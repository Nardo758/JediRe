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 Registry" sheetId="1" state="visible" r:id="rId3"/>
    <sheet name="Formula Engine" sheetId="2" state="visible" r:id="rId4"/>
    <sheet name="Data Flow Matrix" sheetId="3" state="visible" r:id="rId5"/>
    <sheet name="Agent Coverage" sheetId="4" state="visible" r:id="rId6"/>
    <sheet name="Wireframe Specs" sheetId="5" state="visible" r:id="rId7"/>
    <sheet name="Strategy Signal Weights" sheetId="6" state="visible" r:id="rId8"/>
    <sheet name="Implementation Priority" sheetId="7" state="visible" r:id="rId9"/>
  </sheets>
  <definedNames>
    <definedName function="false" hidden="true" localSheetId="3" name="_xlnm._FilterDatabase" vbProcedure="false">'Agent Coverage'!$A$1:$I$14</definedName>
    <definedName function="false" hidden="true" localSheetId="1" name="_xlnm._FilterDatabase" vbProcedure="false">'Formula Engine'!$A$1:$K$36</definedName>
    <definedName function="false" hidden="true" localSheetId="6" name="_xlnm._FilterDatabase" vbProcedure="false">'Implementation Priority'!$A$1:$G$13</definedName>
    <definedName function="false" hidden="true" localSheetId="0" name="_xlnm._FilterDatabase" vbProcedure="false">'Module Registry'!$A$1:$M$26</definedName>
    <definedName function="false" hidden="true" localSheetId="4" name="_xlnm._FilterDatabase" vbProcedure="false">'Wireframe Specs'!$A$1:$I$21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<sst xmlns="http://schemas.openxmlformats.org/spreadsheetml/2006/main" count="1307" uniqueCount="844">
  <si>
    <t xml:space="preserve">Module ID</t>
  </si>
  <si>
    <t xml:space="preserve">Module Name</t>
  </si>
  <si>
    <t xml:space="preserve">Stage</t>
  </si>
  <si>
    <t xml:space="preserve">Category</t>
  </si>
  <si>
    <t xml:space="preserve">Purpose / What It Does</t>
  </si>
  <si>
    <t xml:space="preserve">Has Agent?</t>
  </si>
  <si>
    <t xml:space="preserve">Agent Name</t>
  </si>
  <si>
    <t xml:space="preserve">Key Outputs</t>
  </si>
  <si>
    <t xml:space="preserve">Feeds Into (Modules)</t>
  </si>
  <si>
    <t xml:space="preserve">Receives From (Modules)</t>
  </si>
  <si>
    <t xml:space="preserve">Build Status</t>
  </si>
  <si>
    <t xml:space="preserve">Priority</t>
  </si>
  <si>
    <t xml:space="preserve">UI Location</t>
  </si>
  <si>
    <t xml:space="preserve">M01</t>
  </si>
  <si>
    <t xml:space="preserve">Deal Overview</t>
  </si>
  <si>
    <t xml:space="preserve">S1: Overview</t>
  </si>
  <si>
    <t xml:space="preserve">Core</t>
  </si>
  <si>
    <t xml:space="preserve">Single-pane summary: JEDI Score, property basics, owner intel, quick stats. First thing user sees when opening a deal.</t>
  </si>
  <si>
    <t xml:space="preserve">No</t>
  </si>
  <si>
    <t xml:space="preserve">—</t>
  </si>
  <si>
    <t xml:space="preserve">JEDI Score display, property snapshot, owner propensity score</t>
  </si>
  <si>
    <t xml:space="preserve">M02,M06,M08,M09,M14</t>
  </si>
  <si>
    <t xml:space="preserve">ALL (aggregator)</t>
  </si>
  <si>
    <t xml:space="preserve">Built</t>
  </si>
  <si>
    <t xml:space="preserve">P0</t>
  </si>
  <si>
    <t xml:space="preserve">Deal Capsule → Overview Tab</t>
  </si>
  <si>
    <t xml:space="preserve">M02</t>
  </si>
  <si>
    <t xml:space="preserve">Zoning &amp; Entitlements</t>
  </si>
  <si>
    <t xml:space="preserve">Intelligence</t>
  </si>
  <si>
    <t xml:space="preserve">Current zoning code, density utilization %, max buildable, entitlement pathway, regulatory risk. Verification-first with Municode.</t>
  </si>
  <si>
    <t xml:space="preserve">Yes</t>
  </si>
  <si>
    <t xml:space="preserve">Zoning Agent</t>
  </si>
  <si>
    <t xml:space="preserve">Zoning code, max density, FAR, setbacks, entitlement risk score, zoning utilization %</t>
  </si>
  <si>
    <t xml:space="preserve">M03,M05,M08,M14</t>
  </si>
  <si>
    <t xml:space="preserve">Municode API, user input, municipal databases</t>
  </si>
  <si>
    <t xml:space="preserve">Partial</t>
  </si>
  <si>
    <t xml:space="preserve">Deal Capsule → Zoning Tab</t>
  </si>
  <si>
    <t xml:space="preserve">M03</t>
  </si>
  <si>
    <t xml:space="preserve">Development Capacity</t>
  </si>
  <si>
    <t xml:space="preserve">10-year supply forecast. Building envelope calculator: what CAN be built vs what IS built. As-of-right vs variance scenarios.</t>
  </si>
  <si>
    <t xml:space="preserve">Max units by-right, envelope dimensions, scenario comparison (as-right/variance/rezone), 10yr supply gap</t>
  </si>
  <si>
    <t xml:space="preserve">M05,M08,M09,M14</t>
  </si>
  <si>
    <t xml:space="preserve">M02 (zoning), M04 (supply pipeline), property boundaries</t>
  </si>
  <si>
    <t xml:space="preserve">P1</t>
  </si>
  <si>
    <t xml:space="preserve">Deal Capsule → Development Tab</t>
  </si>
  <si>
    <t xml:space="preserve">M04</t>
  </si>
  <si>
    <t xml:space="preserve">Supply Pipeline</t>
  </si>
  <si>
    <t xml:space="preserve">Track all permitted/under-construction/delivered units in trade area. Pipeline pressure score. Competitive set identification.</t>
  </si>
  <si>
    <t xml:space="preserve">Supply Agent</t>
  </si>
  <si>
    <t xml:space="preserve">Pipeline units by status, absorption rate, months of supply, supply pressure score, competitive projects list</t>
  </si>
  <si>
    <t xml:space="preserve">M03,M05,M08,M09,M14</t>
  </si>
  <si>
    <t xml:space="preserve">Permit databases, CoStar, news events, user contributions</t>
  </si>
  <si>
    <t xml:space="preserve">Deal Capsule → Supply Tab</t>
  </si>
  <si>
    <t xml:space="preserve">M05</t>
  </si>
  <si>
    <t xml:space="preserve">Market Analysis</t>
  </si>
  <si>
    <t xml:space="preserve">S2: Market Intel</t>
  </si>
  <si>
    <t xml:space="preserve">Submarket fundamentals: rent levels, vacancy, absorption, rent growth trends, demographic shifts. Comp set analysis.</t>
  </si>
  <si>
    <t xml:space="preserve">Avg rent/SF, vacancy rate, absorption rate, rent growth %, demographic trends, submarket rank</t>
  </si>
  <si>
    <t xml:space="preserve">M08,M09,M10,M14</t>
  </si>
  <si>
    <t xml:space="preserve">M02,M04, apartments.com scraper, RentCast API, Census data</t>
  </si>
  <si>
    <t xml:space="preserve">Deal Capsule → Market Tab</t>
  </si>
  <si>
    <t xml:space="preserve">M06</t>
  </si>
  <si>
    <t xml:space="preserve">Demand Signals</t>
  </si>
  <si>
    <t xml:space="preserve">Convert news events into quantified housing demand: employment expansions, university growth, migration. Phased quarterly projections.</t>
  </si>
  <si>
    <t xml:space="preserve">Demand units (total &amp; phased), income tier breakdown, demand score, employer concentration risk</t>
  </si>
  <si>
    <t xml:space="preserve">News API, email intel, user inputs, BLS data</t>
  </si>
  <si>
    <t xml:space="preserve">Deal Capsule → Market Tab (sub-section)</t>
  </si>
  <si>
    <t xml:space="preserve">M07</t>
  </si>
  <si>
    <t xml:space="preserve">Traffic Intelligence</t>
  </si>
  <si>
    <t xml:space="preserve">Physical + digital traffic → lease prediction. Drive-by counts, web visits, search volume → expected tours/leases.</t>
  </si>
  <si>
    <t xml:space="preserve">Predicted leases/week, traffic-to-lease ratio, traffic trend, search volume index</t>
  </si>
  <si>
    <t xml:space="preserve">M05,M08,M09</t>
  </si>
  <si>
    <t xml:space="preserve">Placer.ai, SpyFu, Google Trends, user lease data</t>
  </si>
  <si>
    <t xml:space="preserve">New</t>
  </si>
  <si>
    <t xml:space="preserve">P2</t>
  </si>
  <si>
    <t xml:space="preserve">Deal Capsule → Traffic Tab</t>
  </si>
  <si>
    <t xml:space="preserve">M08</t>
  </si>
  <si>
    <t xml:space="preserve">Strategy Arbitrage</t>
  </si>
  <si>
    <t xml:space="preserve">THE differentiator. Simultaneously analyze all 4 strategies (BTS, Flip, Rental, STR) for every deal. Identify hidden ROI gaps.</t>
  </si>
  <si>
    <t xml:space="preserve">Strategy scores (4), ROI comparison matrix, recommended strategy, arbitrage opportunity flag</t>
  </si>
  <si>
    <t xml:space="preserve">M09,M10,M14</t>
  </si>
  <si>
    <t xml:space="preserve">M02,M03,M04,M05,M06,M07 (needs ALL signals)</t>
  </si>
  <si>
    <t xml:space="preserve">Deal Capsule → Strategy Tab</t>
  </si>
  <si>
    <t xml:space="preserve">M09</t>
  </si>
  <si>
    <t xml:space="preserve">Pro Forma Engine</t>
  </si>
  <si>
    <t xml:space="preserve">S3: Financial</t>
  </si>
  <si>
    <t xml:space="preserve">Financial</t>
  </si>
  <si>
    <t xml:space="preserve">Dynamic pro forma per strategy. Baseline vs news-adjusted assumptions. Auto-sync from market data. User override capability.</t>
  </si>
  <si>
    <t xml:space="preserve">NOI, cash flow projections, IRR, equity multiple, CoC return, cap rate analysis</t>
  </si>
  <si>
    <t xml:space="preserve">M10,M11,M14</t>
  </si>
  <si>
    <t xml:space="preserve">M02,M03,M04,M05,M06,M08 (all intelligence modules)</t>
  </si>
  <si>
    <t xml:space="preserve">Deal Capsule → Financial Tab</t>
  </si>
  <si>
    <t xml:space="preserve">M10</t>
  </si>
  <si>
    <t xml:space="preserve">Scenario Engine</t>
  </si>
  <si>
    <t xml:space="preserve">Bull/Base/Bear/Stress scenarios. Evidence-based parameters from actual news events, not generic ±10%. Custom scenario builder.</t>
  </si>
  <si>
    <t xml:space="preserve">Scenario comparison table, probability-weighted returns, scenario narratives, sensitivity ranges</t>
  </si>
  <si>
    <t xml:space="preserve">M09,M11,M14</t>
  </si>
  <si>
    <t xml:space="preserve">M06 (demand events), M04 (supply events), M09 (base proforma)</t>
  </si>
  <si>
    <t xml:space="preserve">Deal Capsule → Scenarios Tab</t>
  </si>
  <si>
    <t xml:space="preserve">M11</t>
  </si>
  <si>
    <t xml:space="preserve">Debt Analysis</t>
  </si>
  <si>
    <t xml:space="preserve">Debt market conditions, lender matching, DSCR analysis, rate sensitivity, refi risk assessment.</t>
  </si>
  <si>
    <t xml:space="preserve">DSCR, LTV, debt yield, rate sensitivity matrix, lender recommendations</t>
  </si>
  <si>
    <t xml:space="preserve">M09,M14</t>
  </si>
  <si>
    <t xml:space="preserve">M09 (NOI), rate feeds, lender database</t>
  </si>
  <si>
    <t xml:space="preserve">Deal Capsule → Debt Tab</t>
  </si>
  <si>
    <t xml:space="preserve">M12</t>
  </si>
  <si>
    <t xml:space="preserve">Exit Analysis</t>
  </si>
  <si>
    <t xml:space="preserve">Exit timing optimization. Cap rate forecast, disposition strategy, 1031 exchange planning, hold vs sell analysis.</t>
  </si>
  <si>
    <t xml:space="preserve">Optimal exit year, exit cap rate range, disposition value, hold vs sell NPV comparison</t>
  </si>
  <si>
    <t xml:space="preserve">M14</t>
  </si>
  <si>
    <t xml:space="preserve">M09 (proforma), M05 (market trends), M04 (future supply)</t>
  </si>
  <si>
    <t xml:space="preserve">Deal Capsule → Exit Tab</t>
  </si>
  <si>
    <t xml:space="preserve">M13</t>
  </si>
  <si>
    <t xml:space="preserve">Due Diligence Tracker</t>
  </si>
  <si>
    <t xml:space="preserve">S4: DD &amp; Risk</t>
  </si>
  <si>
    <t xml:space="preserve">Operations</t>
  </si>
  <si>
    <t xml:space="preserve">Checklist-driven DD workflow. Document tracking, inspection scheduling, vendor management, red flag alerts.</t>
  </si>
  <si>
    <t xml:space="preserve">DD completion %, critical findings, timeline status, document checklist</t>
  </si>
  <si>
    <t xml:space="preserve">M14,M15</t>
  </si>
  <si>
    <t xml:space="preserve">User input, document uploads, vendor responses</t>
  </si>
  <si>
    <t xml:space="preserve">Deal Capsule → DD Tab</t>
  </si>
  <si>
    <t xml:space="preserve">Risk Dashboard</t>
  </si>
  <si>
    <t xml:space="preserve">Composite risk: supply risk, demand risk, regulatory risk, market risk, execution risk, climate risk. Auto-calculated from signals.</t>
  </si>
  <si>
    <t xml:space="preserve">Composite risk score, risk heatmap by category, risk trend, alert triggers</t>
  </si>
  <si>
    <t xml:space="preserve">M01,M08,M09</t>
  </si>
  <si>
    <t xml:space="preserve">M02,M04,M05,M06 (all signal modules)</t>
  </si>
  <si>
    <t xml:space="preserve">Deal Capsule → Risk section in Overview</t>
  </si>
  <si>
    <t xml:space="preserve">M15</t>
  </si>
  <si>
    <t xml:space="preserve">Competition Analysis</t>
  </si>
  <si>
    <t xml:space="preserve">Competitive set: identify, track, compare properties within trade area. Rent comp grid. Amenity comparison.</t>
  </si>
  <si>
    <t xml:space="preserve">Comp set list, rent comp matrix, amenity gap analysis, competitive position score</t>
  </si>
  <si>
    <t xml:space="preserve">M04 (supply), apartments.com, user input</t>
  </si>
  <si>
    <t xml:space="preserve">Deal Capsule → Competition Tab</t>
  </si>
  <si>
    <t xml:space="preserve">M16</t>
  </si>
  <si>
    <t xml:space="preserve">Deal Pipeline</t>
  </si>
  <si>
    <t xml:space="preserve">S5: Execution</t>
  </si>
  <si>
    <t xml:space="preserve">Kanban pipeline: Lead → Prospect → LOI → DD → Close → Asset. Stage gates with auto-progression rules.</t>
  </si>
  <si>
    <t xml:space="preserve">Pipeline stage, days in stage, conversion rates, deal velocity metrics</t>
  </si>
  <si>
    <t xml:space="preserve">M01,M17</t>
  </si>
  <si>
    <t xml:space="preserve">User actions, deal status changes</t>
  </si>
  <si>
    <t xml:space="preserve">Dashboard → Pipeline View</t>
  </si>
  <si>
    <t xml:space="preserve">M17</t>
  </si>
  <si>
    <t xml:space="preserve">Team &amp; Collaboration</t>
  </si>
  <si>
    <t xml:space="preserve">Multi-user deal access, role-based permissions, activity feed, task assignment, @mentions.</t>
  </si>
  <si>
    <t xml:space="preserve">Team members, task status, activity log, permission levels</t>
  </si>
  <si>
    <t xml:space="preserve">M16,M13</t>
  </si>
  <si>
    <t xml:space="preserve">User actions</t>
  </si>
  <si>
    <t xml:space="preserve">Deal Capsule → Team Tab</t>
  </si>
  <si>
    <t xml:space="preserve">M18</t>
  </si>
  <si>
    <t xml:space="preserve">Documents &amp; Files</t>
  </si>
  <si>
    <t xml:space="preserve">Document management: upload, version, categorize, OCR. Auto-categorization by deal stage. Template library.</t>
  </si>
  <si>
    <t xml:space="preserve">Document index, version history, auto-tags, OCR extracted data</t>
  </si>
  <si>
    <t xml:space="preserve">M13,M09</t>
  </si>
  <si>
    <t xml:space="preserve">User uploads, OCR engine</t>
  </si>
  <si>
    <t xml:space="preserve">Deal Capsule → Documents Tab</t>
  </si>
  <si>
    <t xml:space="preserve">M19</t>
  </si>
  <si>
    <t xml:space="preserve">News Intelligence</t>
  </si>
  <si>
    <t xml:space="preserve">S6: Platform</t>
  </si>
  <si>
    <t xml:space="preserve">Scrape, classify, extract structured data from news. Employment events, zoning changes, infrastructure announcements. Email intelligence.</t>
  </si>
  <si>
    <t xml:space="preserve">Classified events, demand/supply signals, sentiment score, geographic tagging</t>
  </si>
  <si>
    <t xml:space="preserve">M06,M04,M14</t>
  </si>
  <si>
    <t xml:space="preserve">News APIs, email sync, RSS feeds</t>
  </si>
  <si>
    <t xml:space="preserve">Dashboard → News Feed</t>
  </si>
  <si>
    <t xml:space="preserve">M20</t>
  </si>
  <si>
    <t xml:space="preserve">Map Intelligence</t>
  </si>
  <si>
    <t xml:space="preserve">Interactive war map. Property bubbles with JEDI scores. Layer toggles. Drawing tools. Trade area visualization. Heat maps.</t>
  </si>
  <si>
    <t xml:space="preserve">Property map, heat maps, layer overlays, drawn trade areas, bubble drill-downs</t>
  </si>
  <si>
    <t xml:space="preserve">M01,M16</t>
  </si>
  <si>
    <t xml:space="preserve">ALL modules (visualization layer)</t>
  </si>
  <si>
    <t xml:space="preserve">Dashboard → Map View</t>
  </si>
  <si>
    <t xml:space="preserve">M21</t>
  </si>
  <si>
    <t xml:space="preserve">AI Chat (Opus)</t>
  </si>
  <si>
    <t xml:space="preserve">Claude-powered conversational analysis. Ask questions about deals, markets, strategies. Natural language to structured queries.</t>
  </si>
  <si>
    <t xml:space="preserve">Natural language insights, analysis requests, report generation</t>
  </si>
  <si>
    <t xml:space="preserve">ALL</t>
  </si>
  <si>
    <t xml:space="preserve">ALL modules (query layer)</t>
  </si>
  <si>
    <t xml:space="preserve">Global → Chat Panel</t>
  </si>
  <si>
    <t xml:space="preserve">M22</t>
  </si>
  <si>
    <t xml:space="preserve">Portfolio Manager</t>
  </si>
  <si>
    <t xml:space="preserve">Owned assets view. Actual vs projected performance. Budget vs actual tracking. Portfolio-level metrics.</t>
  </si>
  <si>
    <t xml:space="preserve">Portfolio NOI, actual vs budget, asset performance ranking, portfolio risk score</t>
  </si>
  <si>
    <t xml:space="preserve">M01,M20</t>
  </si>
  <si>
    <t xml:space="preserve">M09 (proforma), actual financial data uploads</t>
  </si>
  <si>
    <t xml:space="preserve">Dashboard → Assets View</t>
  </si>
  <si>
    <t xml:space="preserve">M23</t>
  </si>
  <si>
    <t xml:space="preserve">Alerts &amp; Notifications</t>
  </si>
  <si>
    <t xml:space="preserve">Real-time alerts: JEDI score changes, news events, pipeline status, risk threshold breaches, market shifts.</t>
  </si>
  <si>
    <t xml:space="preserve">Alert feed, alert rules, notification preferences, alert history</t>
  </si>
  <si>
    <t xml:space="preserve">M06,M04,M14,M16 (event-driven)</t>
  </si>
  <si>
    <t xml:space="preserve">Global → Notification Bell</t>
  </si>
  <si>
    <t xml:space="preserve">M24</t>
  </si>
  <si>
    <t xml:space="preserve">Settings &amp; Preferences</t>
  </si>
  <si>
    <t xml:space="preserve">User preferences: keywords, trade areas, data sources, module activation, subscription management.</t>
  </si>
  <si>
    <t xml:space="preserve">User config, active modules, keyword lists, trade area definitions</t>
  </si>
  <si>
    <t xml:space="preserve">User input</t>
  </si>
  <si>
    <t xml:space="preserve">Settings Page</t>
  </si>
  <si>
    <t xml:space="preserve">M25</t>
  </si>
  <si>
    <t xml:space="preserve">JEDI Score Engine</t>
  </si>
  <si>
    <t xml:space="preserve">Master scoring: Demand(30%) + Supply(25%) + Momentum(20%) + Position(15%) + Risk(10%). Recalculates on signal changes.</t>
  </si>
  <si>
    <t xml:space="preserve">JEDI Score (0-100), 5 sub-scores, score delta, score history, confidence level</t>
  </si>
  <si>
    <t xml:space="preserve">M01,M08,M14,M20</t>
  </si>
  <si>
    <t xml:space="preserve">M04,M05,M06,M07,M14 (all signals)</t>
  </si>
  <si>
    <t xml:space="preserve">Embedded in M01, M20</t>
  </si>
  <si>
    <t xml:space="preserve">Formula ID</t>
  </si>
  <si>
    <t xml:space="preserve">Formula Name</t>
  </si>
  <si>
    <t xml:space="preserve">Module(s)</t>
  </si>
  <si>
    <t xml:space="preserve">Formula / Calculation</t>
  </si>
  <si>
    <t xml:space="preserve">Input Variables</t>
  </si>
  <si>
    <t xml:space="preserve">Output</t>
  </si>
  <si>
    <t xml:space="preserve">Unit</t>
  </si>
  <si>
    <t xml:space="preserve">Update Trigger</t>
  </si>
  <si>
    <t xml:space="preserve">Agent Required?</t>
  </si>
  <si>
    <t xml:space="preserve">Status</t>
  </si>
  <si>
    <t xml:space="preserve">F01</t>
  </si>
  <si>
    <t xml:space="preserve">JEDI Score (Composite)</t>
  </si>
  <si>
    <t xml:space="preserve">Scoring</t>
  </si>
  <si>
    <t xml:space="preserve">(demand × 0.30) + (Supply × 0.25) + (Momentum × 0.20) + (Position × 0.15) + (Risk × 0.10))</t>
  </si>
  <si>
    <t xml:space="preserve">demand_score, supply_score, momentum_score, position_score, risk_score (each 0-100)</t>
  </si>
  <si>
    <t xml:space="preserve">jedi_score (0-100)</t>
  </si>
  <si>
    <t xml:space="preserve">Score</t>
  </si>
  <si>
    <t xml:space="preserve">On any sub-score change</t>
  </si>
  <si>
    <t xml:space="preserve">F02</t>
  </si>
  <si>
    <t xml:space="preserve">Demand Sub-Score</t>
  </si>
  <si>
    <t xml:space="preserve">M06,M25</t>
  </si>
  <si>
    <t xml:space="preserve">σ(event_impact × confidence_weight × distance_decay) / normalizer
where distance_decay = 1 / (1 + distance_miles/5))</t>
  </si>
  <si>
    <t xml:space="preserve">demand_events[], confidence (H=1.0,M=0.7,L=0.4), distance_miles</t>
  </si>
  <si>
    <t xml:space="preserve">demand_score (0-100)</t>
  </si>
  <si>
    <t xml:space="preserve">On new demand event</t>
  </si>
  <si>
    <t xml:space="preserve">F03</t>
  </si>
  <si>
    <t xml:space="preserve">Supply Sub-Score</t>
  </si>
  <si>
    <t xml:space="preserve">M04,M25</t>
  </si>
  <si>
    <t xml:space="preserve">100 - (supply_pressure × 100)
where supply_pressure = pipeline_units / (existing_units × absorption_rate × 12))</t>
  </si>
  <si>
    <t xml:space="preserve">pipeline_units, existing_units, annual_absorption_rate</t>
  </si>
  <si>
    <t xml:space="preserve">supply_score (0-100)</t>
  </si>
  <si>
    <t xml:space="preserve">On new supply event</t>
  </si>
  <si>
    <t xml:space="preserve">Yes (Supply)</t>
  </si>
  <si>
    <t xml:space="preserve">F04</t>
  </si>
  <si>
    <t xml:space="preserve">Momentum Sub-Score</t>
  </si>
  <si>
    <t xml:space="preserve">M05,M25</t>
  </si>
  <si>
    <t xml:space="preserve">(rent_growth_percentile × 0.4) + (transaction_velocity_percentile × 0.3) + (sentiment_score × 0.3))</t>
  </si>
  <si>
    <t xml:space="preserve">rent_growth_rate, transaction_count, market_sentiment</t>
  </si>
  <si>
    <t xml:space="preserve">momentum_score (0-100)</t>
  </si>
  <si>
    <t xml:space="preserve">Monthly recalc</t>
  </si>
  <si>
    <t xml:space="preserve">F05</t>
  </si>
  <si>
    <t xml:space="preserve">Position Sub-Score</t>
  </si>
  <si>
    <t xml:space="preserve">(submarket_rank_percentile × 0.5) + (amenity_score × 0.25) + (competitive_position × 0.25))</t>
  </si>
  <si>
    <t xml:space="preserve">submarket_rank, amenity_proximity_scores[], comp_set_position</t>
  </si>
  <si>
    <t xml:space="preserve">position_score (0-100)</t>
  </si>
  <si>
    <t xml:space="preserve">On property change</t>
  </si>
  <si>
    <t xml:space="preserve">F06</t>
  </si>
  <si>
    <t xml:space="preserve">Risk Sub-Score (Composite)</t>
  </si>
  <si>
    <t xml:space="preserve">M14,M25</t>
  </si>
  <si>
    <t xml:space="preserve">(supply_risk × 0.35) + (demand_risk × 0.35) + (regulatory × 0.10) + (market × 0.10) + (execution × 0.05) + (climate × 0.05))</t>
  </si>
  <si>
    <t xml:space="preserve">supply_risk, demand_risk, regulatory_risk, market_risk, execution_risk, climate_risk</t>
  </si>
  <si>
    <t xml:space="preserve">risk_score (0-100, inverted: lower risk = higher score)</t>
  </si>
  <si>
    <t xml:space="preserve">On risk factor change</t>
  </si>
  <si>
    <t xml:space="preserve">F07</t>
  </si>
  <si>
    <t xml:space="preserve">Supply Pressure Ratio</t>
  </si>
  <si>
    <t xml:space="preserve">Supply</t>
  </si>
  <si>
    <t xml:space="preserve">pipeline_units / (existing_units × annual_absorption_rate))</t>
  </si>
  <si>
    <t xml:space="preserve">pipeline_units (permitted + under_construction), existing_units, absorption_rate</t>
  </si>
  <si>
    <t xml:space="preserve">supply_pressure (ratio, &gt;1.0 = oversupply)</t>
  </si>
  <si>
    <t xml:space="preserve">Ratio</t>
  </si>
  <si>
    <t xml:space="preserve">On supply event</t>
  </si>
  <si>
    <t xml:space="preserve">F08</t>
  </si>
  <si>
    <t xml:space="preserve">Months of Supply</t>
  </si>
  <si>
    <t xml:space="preserve">pipeline_units / monthly_absorption
where monthly_absorption = existing_units × (absorption_rate / 12)</t>
  </si>
  <si>
    <t xml:space="preserve">pipeline_units, existing_units, absorption_rate</t>
  </si>
  <si>
    <t xml:space="preserve">months_to_absorb</t>
  </si>
  <si>
    <t xml:space="preserve">Months</t>
  </si>
  <si>
    <t xml:space="preserve">F09</t>
  </si>
  <si>
    <t xml:space="preserve">Supply Risk Score</t>
  </si>
  <si>
    <t xml:space="preserve">M04,M14</t>
  </si>
  <si>
    <t xml:space="preserve">Base = min(100, months_to_absorb × 10)
+ escalation (luxury concentration &gt;40%: +15, single developer &gt;30%: +10)
- de-escalation (absorption acceleration: -10)</t>
  </si>
  <si>
    <t xml:space="preserve">months_to_absorb, luxury_pct, developer_concentration, absorption_trend</t>
  </si>
  <si>
    <t xml:space="preserve">supply_risk_score (0-100)</t>
  </si>
  <si>
    <t xml:space="preserve">F10</t>
  </si>
  <si>
    <t xml:space="preserve">Housing Demand Conversion</t>
  </si>
  <si>
    <t xml:space="preserve">Demand</t>
  </si>
  <si>
    <t xml:space="preserve">people_count × conversion_rate × (1 - remote_work_pct) × geographic_concentration
Conversion rates: Employment=0.3, University=0.8, Military=0.9</t>
  </si>
  <si>
    <t xml:space="preserve">people_count, category, remote_work_pct, geographic_concentration</t>
  </si>
  <si>
    <t xml:space="preserve">total_housing_units_demanded</t>
  </si>
  <si>
    <t xml:space="preserve">Units</t>
  </si>
  <si>
    <t xml:space="preserve">On news event</t>
  </si>
  <si>
    <t xml:space="preserve">F11</t>
  </si>
  <si>
    <t xml:space="preserve">Demand Phasing (Quarterly)</t>
  </si>
  <si>
    <t xml:space="preserve">Phasing templates by category:
Employment: Q1=10%, Q2=25%, Q3=35%, Q4=30%
University: Q1=5%, Q2=10%, Q3=70%, Q4=15%</t>
  </si>
  <si>
    <t xml:space="preserve">total_units, category, start_date</t>
  </si>
  <si>
    <t xml:space="preserve">quarterly_demand_projections[]</t>
  </si>
  <si>
    <t xml:space="preserve">Units/Qtr</t>
  </si>
  <si>
    <t xml:space="preserve">On event creation</t>
  </si>
  <si>
    <t xml:space="preserve">F12</t>
  </si>
  <si>
    <t xml:space="preserve">Income Tier Stratification</t>
  </si>
  <si>
    <t xml:space="preserve">Low (&lt;$40k): affordable_pct=60%, workforce=30%, luxury=10%
Standard ($40-80k): 20%/60%/20%
High ($80-150k): 10%/40%/50%
Luxury (&gt;$150k): 5%/15%/80%</t>
  </si>
  <si>
    <t xml:space="preserve">income_tier, total_units</t>
  </si>
  <si>
    <t xml:space="preserve">units_by_tier (affordable, workforce, market, luxury)</t>
  </si>
  <si>
    <t xml:space="preserve">F13</t>
  </si>
  <si>
    <t xml:space="preserve">Zoning Utilization %</t>
  </si>
  <si>
    <t xml:space="preserve">Zoning</t>
  </si>
  <si>
    <t xml:space="preserve">(current_units / max_allowed_units) × 100
where max_allowed_units = land_area × max_density</t>
  </si>
  <si>
    <t xml:space="preserve">current_units, land_area_acres, max_density_per_acre</t>
  </si>
  <si>
    <t xml:space="preserve">zoning_utilization_pct</t>
  </si>
  <si>
    <t xml:space="preserve">%</t>
  </si>
  <si>
    <t xml:space="preserve">On zoning data update</t>
  </si>
  <si>
    <t xml:space="preserve">Yes (Zoning)</t>
  </si>
  <si>
    <t xml:space="preserve">F14</t>
  </si>
  <si>
    <t xml:space="preserve">Building Envelope (As-of-Right)</t>
  </si>
  <si>
    <t xml:space="preserve">Development</t>
  </si>
  <si>
    <t xml:space="preserve">buildable_area = land_area - setback_area
max_GFA = buildable_area × FAR
max_units = max_GFA / avg_unit_size
parking = max_units × parking_ratio</t>
  </si>
  <si>
    <t xml:space="preserve">land_area, setbacks (F/S/R), FAR, max_height, avg_unit_size, parking_ratio</t>
  </si>
  <si>
    <t xml:space="preserve">max_units, max_GFA, building_height, parking_spaces</t>
  </si>
  <si>
    <t xml:space="preserve">Units/SF</t>
  </si>
  <si>
    <t xml:space="preserve">On zoning change</t>
  </si>
  <si>
    <t xml:space="preserve">F15</t>
  </si>
  <si>
    <t xml:space="preserve">Development Capacity Gap</t>
  </si>
  <si>
    <t xml:space="preserve">max_buildable_units - existing_units
10yr gap = (projected_demand × 10) - (existing + pipeline))</t>
  </si>
  <si>
    <t xml:space="preserve">max_buildable_units, existing_units, projected_annual_demand, pipeline_units</t>
  </si>
  <si>
    <t xml:space="preserve">capacity_gap_units, 10yr_supply_gap</t>
  </si>
  <si>
    <t xml:space="preserve">On demand/supply change</t>
  </si>
  <si>
    <t xml:space="preserve">F16</t>
  </si>
  <si>
    <t xml:space="preserve">Net Operating Income (NOI)</t>
  </si>
  <si>
    <t xml:space="preserve">effective gross income - operating expenses
egi = (units × avg_rent × 12) × (1 - vacancy) + other_income
OpEx = EGI × opex_ratio)</t>
  </si>
  <si>
    <t xml:space="preserve">units, avg_rent, vacancy_rate, other_income, opex_ratio</t>
  </si>
  <si>
    <t xml:space="preserve">NOI (annual)</t>
  </si>
  <si>
    <t xml:space="preserve">$</t>
  </si>
  <si>
    <t xml:space="preserve">On assumption change</t>
  </si>
  <si>
    <t xml:space="preserve">F17</t>
  </si>
  <si>
    <t xml:space="preserve">Cap Rate (Going-In)</t>
  </si>
  <si>
    <t xml:space="preserve">noi / purchase_price</t>
  </si>
  <si>
    <t xml:space="preserve">NOI_year1, purchase_price</t>
  </si>
  <si>
    <t xml:space="preserve">cap_rate</t>
  </si>
  <si>
    <t xml:space="preserve">On price or NOI change</t>
  </si>
  <si>
    <t xml:space="preserve">F18</t>
  </si>
  <si>
    <t xml:space="preserve">Cash-on-Cash Return</t>
  </si>
  <si>
    <t xml:space="preserve">annual_before_tax_cash_flow / total_equity_invested
btcf = noi - debt_service</t>
  </si>
  <si>
    <t xml:space="preserve">NOI, annual_debt_service, total_equity</t>
  </si>
  <si>
    <t xml:space="preserve">coc_return</t>
  </si>
  <si>
    <t xml:space="preserve">On financial change</t>
  </si>
  <si>
    <t xml:space="preserve">F19</t>
  </si>
  <si>
    <t xml:space="preserve">IRR (Internal Rate of Return)</t>
  </si>
  <si>
    <t xml:space="preserve">Solve for r: 0 = -equity + Σ(CFt / (1+r)^t) + (sale_proceeds / (1+r)^n)
where CFt = annual cash flow, n = hold period</t>
  </si>
  <si>
    <t xml:space="preserve">initial_equity, annual_cash_flows[], exit_proceeds, hold_years</t>
  </si>
  <si>
    <t xml:space="preserve">irr</t>
  </si>
  <si>
    <t xml:space="preserve">On any financial change</t>
  </si>
  <si>
    <t xml:space="preserve">F20</t>
  </si>
  <si>
    <t xml:space="preserve">Equity Multiple</t>
  </si>
  <si>
    <t xml:space="preserve">(total_distributions + exit_proceeds) / total_equity_invested</t>
  </si>
  <si>
    <t xml:space="preserve">annual_cash_flows[], exit_proceeds, total_equity</t>
  </si>
  <si>
    <t xml:space="preserve">equity_multiple</t>
  </si>
  <si>
    <t xml:space="preserve">x</t>
  </si>
  <si>
    <t xml:space="preserve">F21</t>
  </si>
  <si>
    <t xml:space="preserve">DSCR (Debt Service Coverage)</t>
  </si>
  <si>
    <t xml:space="preserve">noi / annual_debt_service
annual_ds = loan_amount × (rate × (1+rate)^n) / ((1+rate)^n - 1) × 12</t>
  </si>
  <si>
    <t xml:space="preserve">NOI, loan_amount, interest_rate, amortization_years</t>
  </si>
  <si>
    <t xml:space="preserve">dscr (ratio, &gt;1.25 = healthy)</t>
  </si>
  <si>
    <t xml:space="preserve">On NOI or debt change</t>
  </si>
  <si>
    <t xml:space="preserve">F22</t>
  </si>
  <si>
    <t xml:space="preserve">Debt Yield</t>
  </si>
  <si>
    <t xml:space="preserve">noi / loan_amount</t>
  </si>
  <si>
    <t xml:space="preserve">NOI, loan_amount</t>
  </si>
  <si>
    <t xml:space="preserve">debt_yield</t>
  </si>
  <si>
    <t xml:space="preserve">F23</t>
  </si>
  <si>
    <t xml:space="preserve">Strategy Score (per strategy)</t>
  </si>
  <si>
    <t xml:space="preserve">Strategy</t>
  </si>
  <si>
    <t xml:space="preserve">For each strategy (BTS/Flip/Rental/STR):
score = Σ(signal_score × strategy_weight)
Weights vary by strategy per Strategy Matrix</t>
  </si>
  <si>
    <t xml:space="preserve">demand_score, supply_score, momentum_score, position_score, risk_score, strategy_weights{}</t>
  </si>
  <si>
    <t xml:space="preserve">strategy_score (0-100) per strategy</t>
  </si>
  <si>
    <t xml:space="preserve">On any JEDI sub-score change</t>
  </si>
  <si>
    <t xml:space="preserve">F24</t>
  </si>
  <si>
    <t xml:space="preserve">Arbitrage Opportunity Flag</t>
  </si>
  <si>
    <t xml:space="preserve">MAX(strategy_scores) - second_max(strategy_scores)
flag if delta &gt; 15 points and max_score &gt; 70</t>
  </si>
  <si>
    <t xml:space="preserve">strategy_scores[4]</t>
  </si>
  <si>
    <t xml:space="preserve">arbitrage_flag (bool), arbitrage_delta, recommended_strategy</t>
  </si>
  <si>
    <t xml:space="preserve">Flag</t>
  </si>
  <si>
    <t xml:space="preserve">On strategy score change</t>
  </si>
  <si>
    <t xml:space="preserve">F25</t>
  </si>
  <si>
    <t xml:space="preserve">Strategy-Specific ROI</t>
  </si>
  <si>
    <t xml:space="preserve">M08,M09</t>
  </si>
  <si>
    <t xml:space="preserve">BTS: yield_on_cost = stabilized_NOI / total_dev_cost
Flip: profit_margin = (ARV - acquisition - rehab) / (acquisition + rehab)
Rental: CoC = BTCF / equity
STR: RevPAR vs long-term rent premium</t>
  </si>
  <si>
    <t xml:space="preserve">Per strategy: costs, revenues, timelines from M09</t>
  </si>
  <si>
    <t xml:space="preserve">roi_by_strategy[4]</t>
  </si>
  <si>
    <t xml:space="preserve">F26</t>
  </si>
  <si>
    <t xml:space="preserve">Submarket Rank</t>
  </si>
  <si>
    <t xml:space="preserve">Market</t>
  </si>
  <si>
    <t xml:space="preserve">percentile_rank(rent_growth × 0.3 + absorption × 0.25 + vacancy_inverse × 0.25 + pop_growth × 0.2))</t>
  </si>
  <si>
    <t xml:space="preserve">rent_growth, absorption_rate, vacancy_rate, population_growth_rate</t>
  </si>
  <si>
    <t xml:space="preserve">submarket_rank_percentile (0-100)</t>
  </si>
  <si>
    <t xml:space="preserve">Percentile</t>
  </si>
  <si>
    <t xml:space="preserve">Monthly</t>
  </si>
  <si>
    <t xml:space="preserve">F27</t>
  </si>
  <si>
    <t xml:space="preserve">Rent Comp Analysis</t>
  </si>
  <si>
    <t xml:space="preserve">M05,M15</t>
  </si>
  <si>
    <t xml:space="preserve">subject_rent_psf / avg_comp_rent_psf
premium/discount = (subject - avg_comp) / avg_comp × 100</t>
  </si>
  <si>
    <t xml:space="preserve">subject_property_rent, comp_rents[], comp_sizes[], comp_amenities[]</t>
  </si>
  <si>
    <t xml:space="preserve">rent_premium_pct, comp_position</t>
  </si>
  <si>
    <t xml:space="preserve">On comp data update</t>
  </si>
  <si>
    <t xml:space="preserve">F28</t>
  </si>
  <si>
    <t xml:space="preserve">Traffic-to-Lease Prediction</t>
  </si>
  <si>
    <t xml:space="preserve">Traffic</t>
  </si>
  <si>
    <t xml:space="preserve">predicted_leases = β0 + β1(drive_bys) + β2(web_visits) + β3(search_volume)
Train with user-contributed actual lease data</t>
  </si>
  <si>
    <t xml:space="preserve">daily_drive_bys, weekly_web_visits, monthly_search_volume</t>
  </si>
  <si>
    <t xml:space="preserve">predicted_weekly_leases, prediction_confidence</t>
  </si>
  <si>
    <t xml:space="preserve">Leases/wk</t>
  </si>
  <si>
    <t xml:space="preserve">Weekly</t>
  </si>
  <si>
    <t xml:space="preserve">F29</t>
  </si>
  <si>
    <t xml:space="preserve">Lease Velocity Index</t>
  </si>
  <si>
    <t xml:space="preserve">M07,M05</t>
  </si>
  <si>
    <t xml:space="preserve">actual_leases_per_month / available_units × 100
Benchmark: &lt;5% = slow, 5-10% = normal, &gt;10% = hot</t>
  </si>
  <si>
    <t xml:space="preserve">monthly_leases, available_units</t>
  </si>
  <si>
    <t xml:space="preserve">lease_velocity_pct, velocity_rating</t>
  </si>
  <si>
    <t xml:space="preserve">F30</t>
  </si>
  <si>
    <t xml:space="preserve">Scenario Parameter Generation</t>
  </si>
  <si>
    <t xml:space="preserve">Scenario</t>
  </si>
  <si>
    <t xml:space="preserve">Bull: include demand_positive events, exclude negative, demand_multiplier=1.2
Bear: include supply_positive, demand_negative, supply_multiplier=1.3
Stress: worst case all categories, delay demand 6mo</t>
  </si>
  <si>
    <t xml:space="preserve">demand_events[], supply_events[], scenario_template</t>
  </si>
  <si>
    <t xml:space="preserve">scenario_assumptions{} per scenario type</t>
  </si>
  <si>
    <t xml:space="preserve">Assumptions</t>
  </si>
  <si>
    <t xml:space="preserve">On event change</t>
  </si>
  <si>
    <t xml:space="preserve">F31</t>
  </si>
  <si>
    <t xml:space="preserve">Probability-Weighted Return</t>
  </si>
  <si>
    <t xml:space="preserve">σ(scenario_probability × scenario_irr)
Default weights: Bull=20%, Base=50%, Bear=25%, Stress=5%)</t>
  </si>
  <si>
    <t xml:space="preserve">scenario_irrs[4], scenario_probabilities[4]</t>
  </si>
  <si>
    <t xml:space="preserve">expected_irr, expected_equity_multiple</t>
  </si>
  <si>
    <t xml:space="preserve">On scenario change</t>
  </si>
  <si>
    <t xml:space="preserve">F32</t>
  </si>
  <si>
    <t xml:space="preserve">News-Adjusted Rent Growth</t>
  </si>
  <si>
    <t xml:space="preserve">baseline_rent_growth + σ(event_rent_impact)
event_rent_impact = demand_units × rent_sensitivity × confidence</t>
  </si>
  <si>
    <t xml:space="preserve">baseline_rent_growth, demand_events[], rent_sensitivity_factor</t>
  </si>
  <si>
    <t xml:space="preserve">adjusted_rent_growth</t>
  </si>
  <si>
    <t xml:space="preserve">On demand event</t>
  </si>
  <si>
    <t xml:space="preserve">F33</t>
  </si>
  <si>
    <t xml:space="preserve">News-Adjusted Vacancy</t>
  </si>
  <si>
    <t xml:space="preserve">baseline_vacancy - (net_demand_units / existing_units × vacancy_sensitivity)
Capped at floor of 2%)</t>
  </si>
  <si>
    <t xml:space="preserve">baseline_vacancy, net_demand_units, existing_units, vacancy_sensitivity</t>
  </si>
  <si>
    <t xml:space="preserve">adjusted_vacancy</t>
  </si>
  <si>
    <t xml:space="preserve">On demand/supply event</t>
  </si>
  <si>
    <t xml:space="preserve">F34</t>
  </si>
  <si>
    <t xml:space="preserve">Optimal Exit Year</t>
  </si>
  <si>
    <t xml:space="preserve">For each year y: exit_value_y = NOI_y+1 / exit_cap_y
hold_value_y = Σ(CF_t for t&gt;y) / (1+discount_rate)^(t-y)
Optimal = year where exit_value &gt; hold_value first time</t>
  </si>
  <si>
    <t xml:space="preserve">projected_NOIs[], projected_exit_caps[], discount_rate, annual_CFs[]</t>
  </si>
  <si>
    <t xml:space="preserve">optimal_exit_year, exit_value_at_optimal</t>
  </si>
  <si>
    <t xml:space="preserve">Year/$</t>
  </si>
  <si>
    <t xml:space="preserve">F35</t>
  </si>
  <si>
    <t xml:space="preserve">Portfolio Performance</t>
  </si>
  <si>
    <t xml:space="preserve">Portfolio</t>
  </si>
  <si>
    <t xml:space="preserve">Portfolio NOI = Σ(asset_NOIs)
Actual vs Budget = (actual_NOI - budget_NOI) / budget_NOI × 100
Portfolio JEDI = weighted_avg(asset_JEDI_scores, by_value)</t>
  </si>
  <si>
    <t xml:space="preserve">asset_NOIs[], budget_NOIs[], asset_values[], asset_jedi_scores[]</t>
  </si>
  <si>
    <t xml:space="preserve">portfolio_NOI, variance_pct, portfolio_jedi_score</t>
  </si>
  <si>
    <t xml:space="preserve">$/%/Score</t>
  </si>
  <si>
    <t xml:space="preserve">On actual data upload</t>
  </si>
  <si>
    <t xml:space="preserve">FROM ↓  /  TO →</t>
  </si>
  <si>
    <t xml:space="preserve">M01
Overview</t>
  </si>
  <si>
    <t xml:space="preserve">M02
Zoning</t>
  </si>
  <si>
    <t xml:space="preserve">M03
Dev Cap</t>
  </si>
  <si>
    <t xml:space="preserve">M04
Supply</t>
  </si>
  <si>
    <t xml:space="preserve">M05
Market</t>
  </si>
  <si>
    <t xml:space="preserve">M06
Demand</t>
  </si>
  <si>
    <t xml:space="preserve">M07
Traffic</t>
  </si>
  <si>
    <t xml:space="preserve">M08
Strategy</t>
  </si>
  <si>
    <t xml:space="preserve">M09
ProForma</t>
  </si>
  <si>
    <t xml:space="preserve">M10
Scenario</t>
  </si>
  <si>
    <t xml:space="preserve">M11
Debt</t>
  </si>
  <si>
    <t xml:space="preserve">M12
Exit</t>
  </si>
  <si>
    <t xml:space="preserve">M13
DD</t>
  </si>
  <si>
    <t xml:space="preserve">M14
Risk</t>
  </si>
  <si>
    <t xml:space="preserve">M15
Competition</t>
  </si>
  <si>
    <t xml:space="preserve">M16
Pipeline</t>
  </si>
  <si>
    <t xml:space="preserve">M17
Team</t>
  </si>
  <si>
    <t xml:space="preserve">M18
Documents</t>
  </si>
  <si>
    <t xml:space="preserve">M19
News Intel</t>
  </si>
  <si>
    <t xml:space="preserve">M20
Map</t>
  </si>
  <si>
    <t xml:space="preserve">M21
AI Chat</t>
  </si>
  <si>
    <t xml:space="preserve">M22
Portfolio</t>
  </si>
  <si>
    <t xml:space="preserve">M23
Alerts</t>
  </si>
  <si>
    <t xml:space="preserve">M24
Settings</t>
  </si>
  <si>
    <t xml:space="preserve">M25
JEDI Score</t>
  </si>
  <si>
    <t xml:space="preserve">M01 Overview</t>
  </si>
  <si>
    <t xml:space="preserve">M02 Zoning</t>
  </si>
  <si>
    <t xml:space="preserve">● zoning code, FAR, setbacks, max density</t>
  </si>
  <si>
    <t xml:space="preserve">○ regulatory constraints per strategy</t>
  </si>
  <si>
    <t xml:space="preserve">● zoning-adjusted assumptions</t>
  </si>
  <si>
    <t xml:space="preserve">○ regulatory risk factors</t>
  </si>
  <si>
    <t xml:space="preserve">M03 Dev Cap</t>
  </si>
  <si>
    <t xml:space="preserve">● max buildable units, envelope</t>
  </si>
  <si>
    <t xml:space="preserve">● development cost estimates</t>
  </si>
  <si>
    <t xml:space="preserve">○ development risk</t>
  </si>
  <si>
    <t xml:space="preserve">M04 Supply</t>
  </si>
  <si>
    <t xml:space="preserve">● pipeline context for gap analysis</t>
  </si>
  <si>
    <t xml:space="preserve">● supply pressure, absorption</t>
  </si>
  <si>
    <t xml:space="preserve">● supply signals per strategy</t>
  </si>
  <si>
    <t xml:space="preserve">● vacancy projections</t>
  </si>
  <si>
    <t xml:space="preserve">● supply risk score</t>
  </si>
  <si>
    <t xml:space="preserve">○ comp set data</t>
  </si>
  <si>
    <t xml:space="preserve">● supply sub-score input</t>
  </si>
  <si>
    <t xml:space="preserve">M05 Market</t>
  </si>
  <si>
    <t xml:space="preserve">● market signals per strategy</t>
  </si>
  <si>
    <t xml:space="preserve">● rent levels, vacancy, growth</t>
  </si>
  <si>
    <t xml:space="preserve">○ market condition inputs</t>
  </si>
  <si>
    <t xml:space="preserve">○ market risk factors</t>
  </si>
  <si>
    <t xml:space="preserve">● rent comp data</t>
  </si>
  <si>
    <t xml:space="preserve">● momentum + position inputs</t>
  </si>
  <si>
    <t xml:space="preserve">M06 Demand</t>
  </si>
  <si>
    <t xml:space="preserve">● demand-side market signals</t>
  </si>
  <si>
    <t xml:space="preserve">● demand signals per strategy</t>
  </si>
  <si>
    <t xml:space="preserve">● demand-adjusted assumptions</t>
  </si>
  <si>
    <t xml:space="preserve">● demand risk (concentration)</t>
  </si>
  <si>
    <t xml:space="preserve">● demand sub-score input</t>
  </si>
  <si>
    <t xml:space="preserve">M07 Traffic</t>
  </si>
  <si>
    <t xml:space="preserve">○ traffic demand signals</t>
  </si>
  <si>
    <t xml:space="preserve">○ traffic correlation per strategy</t>
  </si>
  <si>
    <t xml:space="preserve">M08 Strategy</t>
  </si>
  <si>
    <t xml:space="preserve">● strategy recommendation, scores</t>
  </si>
  <si>
    <t xml:space="preserve">● strategy-specific proforma params</t>
  </si>
  <si>
    <t xml:space="preserve">○ strategy-adjusted weighting</t>
  </si>
  <si>
    <t xml:space="preserve">M09 ProForma</t>
  </si>
  <si>
    <t xml:space="preserve">● key financials for overview</t>
  </si>
  <si>
    <t xml:space="preserve">● base case financials</t>
  </si>
  <si>
    <t xml:space="preserve">● NOI for DSCR/debt analysis</t>
  </si>
  <si>
    <t xml:space="preserve">● NOI/CF projections for exit timing</t>
  </si>
  <si>
    <t xml:space="preserve">○ financial risk indicators</t>
  </si>
  <si>
    <t xml:space="preserve">● projected vs actual</t>
  </si>
  <si>
    <t xml:space="preserve">M10 Scenario</t>
  </si>
  <si>
    <t xml:space="preserve">○ probability-weighted returns</t>
  </si>
  <si>
    <t xml:space="preserve">○ stress-test parameters</t>
  </si>
  <si>
    <t xml:space="preserve">M11 Debt</t>
  </si>
  <si>
    <t xml:space="preserve">○ debt terms summary</t>
  </si>
  <si>
    <t xml:space="preserve">● debt service into CF</t>
  </si>
  <si>
    <t xml:space="preserve">M12 Exit</t>
  </si>
  <si>
    <t xml:space="preserve">M13 DD</t>
  </si>
  <si>
    <t xml:space="preserve">○ DD completion %</t>
  </si>
  <si>
    <t xml:space="preserve">○ DD red flags</t>
  </si>
  <si>
    <t xml:space="preserve">M14 Risk</t>
  </si>
  <si>
    <t xml:space="preserve">● composite risk display</t>
  </si>
  <si>
    <t xml:space="preserve">○ risk-adjusted strategy scores</t>
  </si>
  <si>
    <t xml:space="preserve">● risk sub-score input</t>
  </si>
  <si>
    <t xml:space="preserve">M15 Competition</t>
  </si>
  <si>
    <t xml:space="preserve">● competitive positioning data</t>
  </si>
  <si>
    <t xml:space="preserve">○ competitive advantage per strategy</t>
  </si>
  <si>
    <t xml:space="preserve">M16 Pipeline</t>
  </si>
  <si>
    <t xml:space="preserve">○ pipeline stage</t>
  </si>
  <si>
    <t xml:space="preserve">M17 Team</t>
  </si>
  <si>
    <t xml:space="preserve">M18 Documents</t>
  </si>
  <si>
    <t xml:space="preserve">M19 News Intel</t>
  </si>
  <si>
    <t xml:space="preserve">● classified supply events</t>
  </si>
  <si>
    <t xml:space="preserve">● classified demand events</t>
  </si>
  <si>
    <t xml:space="preserve">○ sentiment, risk signals</t>
  </si>
  <si>
    <t xml:space="preserve">M20 Map</t>
  </si>
  <si>
    <t xml:space="preserve">M21 AI Chat</t>
  </si>
  <si>
    <t xml:space="preserve">M22 Portfolio</t>
  </si>
  <si>
    <t xml:space="preserve">M23 Alerts</t>
  </si>
  <si>
    <t xml:space="preserve">M24 Settings</t>
  </si>
  <si>
    <t xml:space="preserve">○ user weight overrides</t>
  </si>
  <si>
    <t xml:space="preserve">M25 JEDI Score</t>
  </si>
  <si>
    <t xml:space="preserve">● JEDI Score for display</t>
  </si>
  <si>
    <t xml:space="preserve">● scores for map bubbles</t>
  </si>
  <si>
    <t xml:space="preserve">● score changes trigger alerts</t>
  </si>
  <si>
    <t xml:space="preserve">Module</t>
  </si>
  <si>
    <t xml:space="preserve">Current Agent</t>
  </si>
  <si>
    <t xml:space="preserve">Agent Status</t>
  </si>
  <si>
    <t xml:space="preserve">What Agent Would Do</t>
  </si>
  <si>
    <t xml:space="preserve">Data Sources It Needs</t>
  </si>
  <si>
    <t xml:space="preserve">Automation Level Without Agent</t>
  </si>
  <si>
    <t xml:space="preserve">Priority for Agent</t>
  </si>
  <si>
    <t xml:space="preserve">Estimated Complexity</t>
  </si>
  <si>
    <t xml:space="preserve">Notes</t>
  </si>
  <si>
    <t xml:space="preserve">Active</t>
  </si>
  <si>
    <t xml:space="preserve">Query Municode, parse zoning codes, extract FAR/setbacks/density, verify against municipal source</t>
  </si>
  <si>
    <t xml:space="preserve">Municode API, municipal databases, user corrections</t>
  </si>
  <si>
    <t xml:space="preserve">Low (manual lookup)</t>
  </si>
  <si>
    <t xml:space="preserve">P0 - EXISTS</t>
  </si>
  <si>
    <t xml:space="preserve">Medium</t>
  </si>
  <si>
    <t xml:space="preserve">Verification-first approach. 90% Municode, 10% direct municipal.</t>
  </si>
  <si>
    <t xml:space="preserve">Track permits, classify construction status, calculate pipeline metrics, identify competitive projects</t>
  </si>
  <si>
    <t xml:space="preserve">Permit databases, CoStar, news events, apartments.com</t>
  </si>
  <si>
    <t xml:space="preserve">Very Low (manual tracking)</t>
  </si>
  <si>
    <t xml:space="preserve">High</t>
  </si>
  <si>
    <t xml:space="preserve">Needs real permit database connections.</t>
  </si>
  <si>
    <t xml:space="preserve">M03 Dev Capacity</t>
  </si>
  <si>
    <t xml:space="preserve">None</t>
  </si>
  <si>
    <t xml:space="preserve">Auto-calculate building envelope from zoning + parcel data. Run as-right/variance/rezone scenarios. 10yr forecast.</t>
  </si>
  <si>
    <t xml:space="preserve">M02 zoning data, property boundaries (PostGIS), building codes</t>
  </si>
  <si>
    <t xml:space="preserve">Medium (uses M02 output)</t>
  </si>
  <si>
    <t xml:space="preserve">Can be formula-driven initially, agent later for complex scenarios.</t>
  </si>
  <si>
    <t xml:space="preserve">Auto-classify news events into demand categories. Extract employee counts, income tiers. Calculate housing conversion.</t>
  </si>
  <si>
    <t xml:space="preserve">News APIs, email sync, LLM for classification</t>
  </si>
  <si>
    <t xml:space="preserve">Medium (service exists)</t>
  </si>
  <si>
    <t xml:space="preserve">Demand Signal Service exists but no autonomous agent. LLM classification needed.</t>
  </si>
  <si>
    <t xml:space="preserve">Aggregate physical + digital traffic data. Train lease prediction model. Generate weekly forecasts.</t>
  </si>
  <si>
    <t xml:space="preserve">Placer.ai API, SpyFu API, Google Trends, user lease data</t>
  </si>
  <si>
    <t xml:space="preserve">None (new module)</t>
  </si>
  <si>
    <t xml:space="preserve">Requires paid data sources. Start with digital-only.</t>
  </si>
  <si>
    <t xml:space="preserve">Run 4-strategy simultaneous analysis. Flag arbitrage opportunities. Generate strategy recommendation with reasoning.</t>
  </si>
  <si>
    <t xml:space="preserve">ALL signal modules (M02-M07), Strategy Matrix weights</t>
  </si>
  <si>
    <t xml:space="preserve">Low (needs all inputs wired)</t>
  </si>
  <si>
    <t xml:space="preserve">THE core differentiator. Needs all other modules feeding it.</t>
  </si>
  <si>
    <t xml:space="preserve">Auto-generate proforma from market data + zoning. Apply news-adjusted assumptions. Recalculate on signal changes.</t>
  </si>
  <si>
    <t xml:space="preserve">M02-M08 outputs, user overrides, rate data</t>
  </si>
  <si>
    <t xml:space="preserve">Proforma Adjustment Service exists. Needs auto-sync wiring.</t>
  </si>
  <si>
    <t xml:space="preserve">Scrape news sources, classify events, extract structured data (people count, location, category), geographic tag.</t>
  </si>
  <si>
    <t xml:space="preserve">News APIs, email inbox (OAuth), RSS feeds, LLM</t>
  </si>
  <si>
    <t xml:space="preserve">Low (manual news tracking)</t>
  </si>
  <si>
    <t xml:space="preserve">Email intelligence is premium. LLM needed for classification. Weeks-ahead signal.</t>
  </si>
  <si>
    <t xml:space="preserve">Orchestrate all sub-scores. Recalculate on any signal change. Track history. Generate confidence interval.</t>
  </si>
  <si>
    <t xml:space="preserve">M04,M05,M06,M07,M14 outputs</t>
  </si>
  <si>
    <t xml:space="preserve">Service exists and is well-defined. Needs trigger wiring.</t>
  </si>
  <si>
    <t xml:space="preserve">Auto-calculate 6 risk categories. Generate risk alerts on threshold breach. Trend tracking.</t>
  </si>
  <si>
    <t xml:space="preserve">M04 supply data, M06 demand data, regulatory feeds, market data</t>
  </si>
  <si>
    <t xml:space="preserve">Risk Scoring Service exists. Needs Phase 3 categories.</t>
  </si>
  <si>
    <t xml:space="preserve">Aggregate market data from multiple sources. Calculate submarket metrics. Rank submarkets. Comp analysis.</t>
  </si>
  <si>
    <t xml:space="preserve">Apartments.com scraper, RentCast API, Census, BLS</t>
  </si>
  <si>
    <t xml:space="preserve">Medium (partial services)</t>
  </si>
  <si>
    <t xml:space="preserve">Multiple data sources to normalize. Comp analysis is complex.</t>
  </si>
  <si>
    <t xml:space="preserve">Identify competitive set within trade area. Track their rents, occupancy, amenities. Generate competitive position.</t>
  </si>
  <si>
    <t xml:space="preserve">Apartments.com, CoStar, Google Maps, user input</t>
  </si>
  <si>
    <t xml:space="preserve">Low (manual comps)</t>
  </si>
  <si>
    <t xml:space="preserve">Overlaps with M05 Market. Could be sub-agent.</t>
  </si>
  <si>
    <t xml:space="preserve">Natural language interface to all platform data. Answer deal questions. Generate reports. Conversational analysis.</t>
  </si>
  <si>
    <t xml:space="preserve">ALL module APIs, LLM (Claude)</t>
  </si>
  <si>
    <t xml:space="preserve">None (new capability)</t>
  </si>
  <si>
    <t xml:space="preserve">Very High</t>
  </si>
  <si>
    <t xml:space="preserve">Opus integration exists but needs full data wiring.</t>
  </si>
  <si>
    <t xml:space="preserve">UI View / Tab</t>
  </si>
  <si>
    <t xml:space="preserve">Primary Data Displayed</t>
  </si>
  <si>
    <t xml:space="preserve">Secondary Data</t>
  </si>
  <si>
    <t xml:space="preserve">User Actions</t>
  </si>
  <si>
    <t xml:space="preserve">Cross-Module Dependencies</t>
  </si>
  <si>
    <t xml:space="preserve">Key Widgets</t>
  </si>
  <si>
    <t xml:space="preserve">Data Refresh Rate</t>
  </si>
  <si>
    <t xml:space="preserve">JEDI Score (large gauge), property photo/address, owner info, strategy recommendation, pipeline stage</t>
  </si>
  <si>
    <t xml:space="preserve">Score delta (trending arrow), DD completion %, team members, last activity</t>
  </si>
  <si>
    <t xml:space="preserve">Edit property details, change pipeline stage, assign team member, flag deal</t>
  </si>
  <si>
    <t xml:space="preserve">M25→score, M08→strategy, M16→stage, M14→risk, M13→DD%</t>
  </si>
  <si>
    <t xml:space="preserve">Score gauge, mini sparkline (score history), property card, quick stats grid</t>
  </si>
  <si>
    <t xml:space="preserve">Real-time (WebSocket)</t>
  </si>
  <si>
    <t xml:space="preserve">Zoning code, current density vs max, FAR, setbacks, land use, entitlement pathway</t>
  </si>
  <si>
    <t xml:space="preserve">Zoning utilization gauge, comparable redevelopments, zoning map overlay</t>
  </si>
  <si>
    <t xml:space="preserve">Request zoning verification, submit user correction, view Municode source, compare to neighboring parcels</t>
  </si>
  <si>
    <t xml:space="preserve">Municode API→code, M03→density comparison, PostGIS→parcel boundaries</t>
  </si>
  <si>
    <t xml:space="preserve">Zoning card with source citation, density bar chart, setback diagram, entitlement timeline</t>
  </si>
  <si>
    <t xml:space="preserve">On-demand (agent query)</t>
  </si>
  <si>
    <t xml:space="preserve">As-of-right scenario (units/GFA/height/parking), variance scenario, rezone scenario comparison table</t>
  </si>
  <si>
    <t xml:space="preserve">10-year supply gap chart, construction cost estimate, comparable developments</t>
  </si>
  <si>
    <t xml:space="preserve">Adjust unit mix, change building parameters, run custom scenario, export envelope to 3D</t>
  </si>
  <si>
    <t xml:space="preserve">M02→zoning params, M04→pipeline for gap calc, property boundaries→site area</t>
  </si>
  <si>
    <t xml:space="preserve">Scenario comparison table, building envelope 3D preview, supply gap chart, cost waterfall</t>
  </si>
  <si>
    <t xml:space="preserve">Pipeline summary (permitted/UC/delivered), supply pressure gauge, months of supply, competitive project list</t>
  </si>
  <si>
    <t xml:space="preserve">Supply trend chart (12mo), absorption rate trend, pipeline map (locations), developer concentration</t>
  </si>
  <si>
    <t xml:space="preserve">Add manual supply event, mark project status change, filter by distance/price tier, export pipeline</t>
  </si>
  <si>
    <t xml:space="preserve">Permit DBs→events, M19→news supply events, apartments.com→comp data</t>
  </si>
  <si>
    <t xml:space="preserve">Pipeline donut chart, supply pressure gauge, project timeline, competitive map overlay</t>
  </si>
  <si>
    <t xml:space="preserve">Daily (scraper)</t>
  </si>
  <si>
    <t xml:space="preserve">Avg rent/SF, vacancy rate, absorption, rent growth trend, submarket rank, demographic snapshot</t>
  </si>
  <si>
    <t xml:space="preserve">Rent trend chart (24mo), vacancy trend, population growth, employment data, income distribution</t>
  </si>
  <si>
    <t xml:space="preserve">Set comp radius, filter by property type/class, compare submarkets, set rent assumptions</t>
  </si>
  <si>
    <t xml:space="preserve">Apartments.com→rents, RentCast→market data, Census→demographics, M06→demand context</t>
  </si>
  <si>
    <t xml:space="preserve">Rent trend sparkline, vacancy gauge, demographic donut chart, submarket rank bar, comp grid</t>
  </si>
  <si>
    <t xml:space="preserve">Weekly (scraper)</t>
  </si>
  <si>
    <t xml:space="preserve">Market Tab → Demand Sub-section</t>
  </si>
  <si>
    <t xml:space="preserve">Active demand events list, total units demanded, phased projection chart (quarterly), income tier breakdown</t>
  </si>
  <si>
    <t xml:space="preserve">Demand event timeline, employer concentration pie chart, demand confidence level</t>
  </si>
  <si>
    <t xml:space="preserve">Add manual demand event, adjust conversion rates, set confidence, link to news source</t>
  </si>
  <si>
    <t xml:space="preserve">M19→classified news events, BLS→employment, Census→migration data</t>
  </si>
  <si>
    <t xml:space="preserve">Demand event cards, phased bar chart, income tier stacked bar, employer pie chart</t>
  </si>
  <si>
    <t xml:space="preserve">Predicted leases/week, traffic-to-lease funnel, physical traffic count, digital traffic (web/search)</t>
  </si>
  <si>
    <t xml:space="preserve">Traffic trend (weekly), search keyword cloud, drive-by heatmap, competitor traffic comparison</t>
  </si>
  <si>
    <t xml:space="preserve">Input actual lease data (trains model), set traffic sources, compare to portfolio</t>
  </si>
  <si>
    <t xml:space="preserve">Placer.ai→physical, SpyFu→digital, user→actual leases</t>
  </si>
  <si>
    <t xml:space="preserve">Traffic funnel visualization, prediction gauge with confidence, trend line chart, keyword cloud</t>
  </si>
  <si>
    <t xml:space="preserve">4-strategy comparison matrix: BTS / Flip / Rental / STR scores, ROI comparison, recommended strategy with reasoning</t>
  </si>
  <si>
    <t xml:space="preserve">Strategy radar chart (5 signals × 4 strategies), arbitrage opportunity flag, strategy-specific assumptions</t>
  </si>
  <si>
    <t xml:space="preserve">Override strategy weights, toggle strategies on/off, drill into strategy details, generate strategy memo</t>
  </si>
  <si>
    <t xml:space="preserve">M02-M07→all signals, M09→ROI per strategy, Strategy Matrix→weights</t>
  </si>
  <si>
    <t xml:space="preserve">Strategy comparison table, radar chart, ROI bar chart, arbitrage alert banner, recommendation card</t>
  </si>
  <si>
    <t xml:space="preserve">On any signal change</t>
  </si>
  <si>
    <t xml:space="preserve">Income statement (5-10yr), NOI, cash flow, IRR, equity multiple, CoC, cap rate. Baseline vs news-adjusted columns.</t>
  </si>
  <si>
    <t xml:space="preserve">Assumption panel (editable), waterfall chart (value creation), sensitivity table</t>
  </si>
  <si>
    <t xml:space="preserve">Edit assumptions (blue cells), toggle news-adjustment on/off, switch strategy, export to Excel, run sensitivity</t>
  </si>
  <si>
    <t xml:space="preserve">M02-M08→assumptions auto-sync, user→overrides, rate feeds→debt terms</t>
  </si>
  <si>
    <t xml:space="preserve">Proforma spreadsheet grid, assumption sidebar, waterfall chart, returns summary card, toggle baseline/adjusted</t>
  </si>
  <si>
    <t xml:space="preserve">Financial Tab → Scenarios Sub-tab</t>
  </si>
  <si>
    <t xml:space="preserve">Bull/Base/Bear/Stress comparison table, probability-weighted return, scenario narratives</t>
  </si>
  <si>
    <t xml:space="preserve">Scenario parameter diff table, event sources per scenario, Monte Carlo distribution (future)</t>
  </si>
  <si>
    <t xml:space="preserve">Generate scenarios, adjust probabilities, create custom scenario, view event evidence</t>
  </si>
  <si>
    <t xml:space="preserve">M06→demand events, M04→supply events, M09→base proforma</t>
  </si>
  <si>
    <t xml:space="preserve">Scenario comparison table, probability slider, return distribution chart, event evidence cards</t>
  </si>
  <si>
    <t xml:space="preserve">DSCR gauge, LTV, debt yield, amortization schedule, rate sensitivity table</t>
  </si>
  <si>
    <t xml:space="preserve">Lender comp table, refi risk timeline, rate forecast chart</t>
  </si>
  <si>
    <t xml:space="preserve">Input loan terms, compare lender quotes, run rate sensitivity, toggle fixed/floating</t>
  </si>
  <si>
    <t xml:space="preserve">M09→NOI, rate feeds, lender database</t>
  </si>
  <si>
    <t xml:space="preserve">DSCR gauge, amortization table, rate sensitivity heatmap, lender comparison grid</t>
  </si>
  <si>
    <t xml:space="preserve">On NOI or rate change</t>
  </si>
  <si>
    <t xml:space="preserve">Optimal exit year, hold vs sell NPV chart, exit cap rate range, disposition value estimate</t>
  </si>
  <si>
    <t xml:space="preserve">1031 exchange timeline, exit comp transactions, cap rate forecast</t>
  </si>
  <si>
    <t xml:space="preserve">Set exit assumptions, compare hold periods, model 1031 scenarios, set target returns</t>
  </si>
  <si>
    <t xml:space="preserve">M09→projected NOI/CF, M05→cap rate trends, M04→future supply</t>
  </si>
  <si>
    <t xml:space="preserve">Hold vs Sell line chart, exit value table by year, cap rate forecast, disposition waterfall</t>
  </si>
  <si>
    <t xml:space="preserve">DD checklist by category (physical/financial/legal/environmental), completion %, critical findings</t>
  </si>
  <si>
    <t xml:space="preserve">Document tracker, inspection calendar, vendor assignments, red flag alerts</t>
  </si>
  <si>
    <t xml:space="preserve">Check off items, upload documents, assign vendors, flag findings, set deadlines</t>
  </si>
  <si>
    <t xml:space="preserve">User input, M18→documents, vendor responses</t>
  </si>
  <si>
    <t xml:space="preserve">Checklist with progress bars, document grid, calendar view, red flag banner, timeline</t>
  </si>
  <si>
    <t xml:space="preserve">Real-time (user input)</t>
  </si>
  <si>
    <t xml:space="preserve">Overview Tab → Risk Section</t>
  </si>
  <si>
    <t xml:space="preserve">Composite risk score, 6-category risk heatmap, highest risk alert, risk trend arrow</t>
  </si>
  <si>
    <t xml:space="preserve">Category drill-down, risk factor detail, mitigation suggestions, risk history chart</t>
  </si>
  <si>
    <t xml:space="preserve">Acknowledge risk, add mitigation note, set risk threshold alerts, override risk category</t>
  </si>
  <si>
    <t xml:space="preserve">M04→supply risk, M06→demand risk, M02→regulatory, M05→market, M13→execution, climate data</t>
  </si>
  <si>
    <t xml:space="preserve">Risk heatmap (6 cells), composite gauge, risk trend sparkline, alert cards</t>
  </si>
  <si>
    <t xml:space="preserve">Competitive set (5-10 properties), rent comp grid, amenity comparison matrix, competitive position score</t>
  </si>
  <si>
    <t xml:space="preserve">Property photos, occupancy trends, rent trend per comp, map with comp locations</t>
  </si>
  <si>
    <t xml:space="preserve">Add/remove comps, adjust trade area for comp search, export comp report, flag a comp</t>
  </si>
  <si>
    <t xml:space="preserve">M04→pipeline projects, apartments.com→property data, M05→market context</t>
  </si>
  <si>
    <t xml:space="preserve">Comp grid table, amenity comparison matrix, rent index chart, comp map overlay</t>
  </si>
  <si>
    <t xml:space="preserve">Kanban board (Lead→Prospect→LOI→DD→Close→Asset), deal count per stage, total pipeline value</t>
  </si>
  <si>
    <t xml:space="preserve">Deal velocity metrics, conversion rates, stage duration averages</t>
  </si>
  <si>
    <t xml:space="preserve">Drag-and-drop deal between stages, filter by strategy/market, sort by JEDI score, bulk actions</t>
  </si>
  <si>
    <t xml:space="preserve">M01→deal summary cards, M25→JEDI scores for sorting</t>
  </si>
  <si>
    <t xml:space="preserve">Kanban board, pipeline value bar chart, velocity metrics, filter panel</t>
  </si>
  <si>
    <t xml:space="preserve">Real-time</t>
  </si>
  <si>
    <t xml:space="preserve">M19 News</t>
  </si>
  <si>
    <t xml:space="preserve">Classified news events, geographic relevance, demand/supply impact tag, sentiment score</t>
  </si>
  <si>
    <t xml:space="preserve">Event detail modal, affected deals list, historical similar events</t>
  </si>
  <si>
    <t xml:space="preserve">Reclassify event, link to deal, dismiss, set keyword alerts, mark as processed</t>
  </si>
  <si>
    <t xml:space="preserve">News APIs→raw articles, M06→demand classification, M04→supply classification, email sync</t>
  </si>
  <si>
    <t xml:space="preserve">News card feed, classification badges, geographic tag, impact indicator, linked deals</t>
  </si>
  <si>
    <t xml:space="preserve">Real-time (polling)</t>
  </si>
  <si>
    <t xml:space="preserve">Property bubbles (sized by units, colored by JEDI score), trade area boundaries, heat map layers</t>
  </si>
  <si>
    <t xml:space="preserve">Layer controls (zoning, supply pipeline, demand events, traffic), filter panel, property detail popup</t>
  </si>
  <si>
    <t xml:space="preserve">Draw trade area, toggle layers, click bubble for detail, filter by score/strategy/type, save map view</t>
  </si>
  <si>
    <t xml:space="preserve">M25→scores for bubbles, M04→supply locations, M06→demand locations, M02→zoning overlay</t>
  </si>
  <si>
    <t xml:space="preserve">Mapbox map, bubble layer, drawing tools, layer control panel, filter sidebar, popup cards</t>
  </si>
  <si>
    <t xml:space="preserve">Owned asset grid, portfolio NOI, actual vs budget variance, portfolio JEDI score</t>
  </si>
  <si>
    <t xml:space="preserve">Asset performance ranking, variance trend chart, cash flow timeline</t>
  </si>
  <si>
    <t xml:space="preserve">Upload actuals, compare to projections, drill into asset detail, export portfolio report</t>
  </si>
  <si>
    <t xml:space="preserve">M09→projected data, user→actual financials, M25→asset JEDI scores</t>
  </si>
  <si>
    <t xml:space="preserve">Asset grid table, performance bar chart, variance sparklines, portfolio summary card</t>
  </si>
  <si>
    <t xml:space="preserve">Monthly (on actual upload)</t>
  </si>
  <si>
    <t xml:space="preserve">Embedded (M01, M20)</t>
  </si>
  <si>
    <t xml:space="preserve">Total JEDI Score (0-100) with 5 sub-score breakdown, confidence level, score delta</t>
  </si>
  <si>
    <t xml:space="preserve">Score history chart, sub-score contribution bar, benchmark comparison</t>
  </si>
  <si>
    <t xml:space="preserve">View score breakdown, drill into sub-score, view score history, set score alerts</t>
  </si>
  <si>
    <t xml:space="preserve">M04→supply, M05→market, M06→demand, M07→traffic, M14→risk</t>
  </si>
  <si>
    <t xml:space="preserve">Score gauge (large), sub-score bars, trend sparkline, confidence indicator</t>
  </si>
  <si>
    <t xml:space="preserve">Signal</t>
  </si>
  <si>
    <t xml:space="preserve">JEDI Weight</t>
  </si>
  <si>
    <t xml:space="preserve">Build-to-Sell Weight</t>
  </si>
  <si>
    <t xml:space="preserve">Flip Weight</t>
  </si>
  <si>
    <t xml:space="preserve">Rental Weight</t>
  </si>
  <si>
    <t xml:space="preserve">STR Weight</t>
  </si>
  <si>
    <t xml:space="preserve">Key Indicator (BTS)</t>
  </si>
  <si>
    <t xml:space="preserve">Key Indicator (Flip)</t>
  </si>
  <si>
    <t xml:space="preserve">Key Indicator (Rental)</t>
  </si>
  <si>
    <t xml:space="preserve">Key Indicator (STR)</t>
  </si>
  <si>
    <t xml:space="preserve">Absorption rate &gt; supply pipeline</t>
  </si>
  <si>
    <t xml:space="preserve">Distressed inventory rising</t>
  </si>
  <si>
    <t xml:space="preserve">Rent growth &gt; inflation</t>
  </si>
  <si>
    <t xml:space="preserve">Tourism/business travel trends</t>
  </si>
  <si>
    <t xml:space="preserve">Permit activity low</t>
  </si>
  <si>
    <t xml:space="preserve">REO/foreclosure inventory</t>
  </si>
  <si>
    <t xml:space="preserve">Vacancy rate declining</t>
  </si>
  <si>
    <t xml:space="preserve">STR permit availability</t>
  </si>
  <si>
    <t xml:space="preserve">Momentum</t>
  </si>
  <si>
    <t xml:space="preserve">Price appreciation accelerating</t>
  </si>
  <si>
    <t xml:space="preserve">Days on market declining</t>
  </si>
  <si>
    <t xml:space="preserve">Cap rate compression</t>
  </si>
  <si>
    <t xml:space="preserve">ADR growth rate</t>
  </si>
  <si>
    <t xml:space="preserve">Position</t>
  </si>
  <si>
    <t xml:space="preserve">Entitled land available</t>
  </si>
  <si>
    <t xml:space="preserve">Below-market distressed deals</t>
  </si>
  <si>
    <t xml:space="preserve">Cash flow positive at acquisition</t>
  </si>
  <si>
    <t xml:space="preserve">Revenue/key above market</t>
  </si>
  <si>
    <t xml:space="preserve">Risk</t>
  </si>
  <si>
    <t xml:space="preserve">Construction cost stability</t>
  </si>
  <si>
    <t xml:space="preserve">Renovation cost certainty</t>
  </si>
  <si>
    <t xml:space="preserve">Tenant quality/default risk</t>
  </si>
  <si>
    <t xml:space="preserve">Regulatory environment</t>
  </si>
  <si>
    <t xml:space="preserve">TOTAL</t>
  </si>
  <si>
    <t xml:space="preserve">What to Wire</t>
  </si>
  <si>
    <t xml:space="preserve">Formulas Needed</t>
  </si>
  <si>
    <t xml:space="preserve">Blocked By</t>
  </si>
  <si>
    <t xml:space="preserve">Effort</t>
  </si>
  <si>
    <t xml:space="preserve">Impact</t>
  </si>
  <si>
    <t xml:space="preserve">P0-1</t>
  </si>
  <si>
    <t xml:space="preserve">M25 JEDI Score → M01 Overview</t>
  </si>
  <si>
    <t xml:space="preserve">Wire JEDI Score service to Overview display. Score recalculation triggers on sub-score change.</t>
  </si>
  <si>
    <t xml:space="preserve">F01 (composite), F02-F06 (sub-scores)</t>
  </si>
  <si>
    <t xml:space="preserve">Sub-score services need data feeds</t>
  </si>
  <si>
    <t xml:space="preserve">Critical</t>
  </si>
  <si>
    <t xml:space="preserve">P0-2</t>
  </si>
  <si>
    <t xml:space="preserve">M19 News → M06 Demand + M04 Supply</t>
  </si>
  <si>
    <t xml:space="preserve">News classification pipeline: raw article → LLM classification → structured event → demand/supply service</t>
  </si>
  <si>
    <t xml:space="preserve">F10 (housing conversion), F11 (phasing)</t>
  </si>
  <si>
    <t xml:space="preserve">LLM integration, news API setup</t>
  </si>
  <si>
    <t xml:space="preserve">P0-3</t>
  </si>
  <si>
    <t xml:space="preserve">M02 Zoning → M03 Dev Cap → M08 Strategy</t>
  </si>
  <si>
    <t xml:space="preserve">Zoning output feeds building envelope calculator, which feeds strategy-specific development feasibility</t>
  </si>
  <si>
    <t xml:space="preserve">F13 (utilization), F14 (envelope), F15 (gap)</t>
  </si>
  <si>
    <t xml:space="preserve">Zoning Agent data quality</t>
  </si>
  <si>
    <t xml:space="preserve">P0-4</t>
  </si>
  <si>
    <t xml:space="preserve">M04 Supply + M06 Demand → M14 Risk</t>
  </si>
  <si>
    <t xml:space="preserve">Supply pressure + demand concentration → composite risk score → risk sub-score → JEDI</t>
  </si>
  <si>
    <t xml:space="preserve">F07 (pressure), F08 (months), F09 (supply risk), F06 (composite)</t>
  </si>
  <si>
    <t xml:space="preserve">Supply/demand data feeds</t>
  </si>
  <si>
    <t xml:space="preserve">P0-5</t>
  </si>
  <si>
    <t xml:space="preserve">M08 Strategy Arbitrage Engine</t>
  </si>
  <si>
    <t xml:space="preserve">Wire all signals into 4-strategy scoring. Apply strategy-specific weights from Strategy Matrix. Flag arbitrage.</t>
  </si>
  <si>
    <t xml:space="preserve">F23 (strategy scores), F24 (arbitrage flag)</t>
  </si>
  <si>
    <t xml:space="preserve">Needs M02-M07 all wired first</t>
  </si>
  <si>
    <t xml:space="preserve">P1-1</t>
  </si>
  <si>
    <t xml:space="preserve">M09 ProForma auto-sync</t>
  </si>
  <si>
    <t xml:space="preserve">Market data + news adjustments auto-populate proforma assumptions. User override layer on top.</t>
  </si>
  <si>
    <t xml:space="preserve">F16-F22 (financial), F32-F33 (adjustments)</t>
  </si>
  <si>
    <t xml:space="preserve">M05 market data feed</t>
  </si>
  <si>
    <t xml:space="preserve">P1-2</t>
  </si>
  <si>
    <t xml:space="preserve">M10 Scenario → M09 ProForma</t>
  </si>
  <si>
    <t xml:space="preserve">Evidence-based scenarios from actual events. Scenario parameters modify proforma assumptions.</t>
  </si>
  <si>
    <t xml:space="preserve">F30 (scenario params), F31 (prob-weighted)</t>
  </si>
  <si>
    <t xml:space="preserve">M06+M04 event feeds</t>
  </si>
  <si>
    <t xml:space="preserve">P1-3</t>
  </si>
  <si>
    <t xml:space="preserve">M15 Competition → M05 Market</t>
  </si>
  <si>
    <t xml:space="preserve">Comp set data feeds into market analysis. Rent comps calibrate proforma assumptions.</t>
  </si>
  <si>
    <t xml:space="preserve">F26 (submarket rank), F27 (rent comp)</t>
  </si>
  <si>
    <t xml:space="preserve">Apartments.com scraper</t>
  </si>
  <si>
    <t xml:space="preserve">P1-4</t>
  </si>
  <si>
    <t xml:space="preserve">M11 Debt analysis wiring</t>
  </si>
  <si>
    <t xml:space="preserve">NOI from proforma feeds DSCR/LTV calculations. Rate sensitivity matrix.</t>
  </si>
  <si>
    <t xml:space="preserve">F21 (DSCR), F22 (debt yield)</t>
  </si>
  <si>
    <t xml:space="preserve">M09 proforma</t>
  </si>
  <si>
    <t xml:space="preserve">P2-1</t>
  </si>
  <si>
    <t xml:space="preserve">M07 Traffic Intelligence</t>
  </si>
  <si>
    <t xml:space="preserve">New module: traffic data aggregation, lease prediction model, correlation analysis</t>
  </si>
  <si>
    <t xml:space="preserve">F28 (traffic-to-lease), F29 (velocity)</t>
  </si>
  <si>
    <t xml:space="preserve">Paid data source contracts</t>
  </si>
  <si>
    <t xml:space="preserve">P2-2</t>
  </si>
  <si>
    <t xml:space="preserve">M12 Exit Analysis</t>
  </si>
  <si>
    <t xml:space="preserve">Optimal exit timing from proforma projections. Cap rate forecasting.</t>
  </si>
  <si>
    <t xml:space="preserve">F34 (optimal exit)</t>
  </si>
  <si>
    <t xml:space="preserve">M09 multi-year proforma</t>
  </si>
  <si>
    <t xml:space="preserve">P2-3</t>
  </si>
  <si>
    <t xml:space="preserve">M22 Portfolio + M09 actuals</t>
  </si>
  <si>
    <t xml:space="preserve">Actual financial uploads vs projected. Portfolio-level aggregation.</t>
  </si>
  <si>
    <t xml:space="preserve">F35 (portfolio perf)</t>
  </si>
  <si>
    <t xml:space="preserve">M09 proforma, user data uploads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</si>
</sst>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7"/>
      <color rgb="FFFFFFFF"/>
      <name val="Arial"/>
      <family val="0"/>
      <charset val="1"/>
    </font>
    <font>
      <sz val="7"/>
      <color rgb="FF1B4A2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FC7CE"/>
        <bgColor rgb="FFD0D0D0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E8EDF3"/>
        <bgColor rgb="FFFFFFFF"/>
      </patternFill>
    </fill>
    <fill>
      <patternFill patternType="solid">
        <fgColor rgb="FFD0D0D0"/>
        <bgColor rgb="FFCCCCCC"/>
      </patternFill>
    </fill>
    <fill>
      <patternFill patternType="solid">
        <fgColor rgb="FF1B6B3A"/>
        <bgColor rgb="FF006400"/>
      </patternFill>
    </fill>
    <fill>
      <patternFill patternType="solid">
        <fgColor rgb="FFA8D5BA"/>
        <bgColor rgb="FF99CC99"/>
      </patternFill>
    </fill>
    <fill>
      <patternFill patternType="solid">
        <fgColor rgb="FFFF6B6B"/>
        <bgColor rgb="FFFF6600"/>
      </patternFill>
    </fill>
    <fill>
      <patternFill patternType="solid">
        <fgColor rgb="FFFFBB33"/>
        <bgColor rgb="FFFF9900"/>
      </patternFill>
    </fill>
    <fill>
      <patternFill patternType="solid">
        <fgColor rgb="FF99CC99"/>
        <bgColor rgb="FFA8D5B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9CC99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BB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1B6B3A"/>
      <rgbColor rgb="FFCCCCCC"/>
      <rgbColor rgb="FF808080"/>
      <rgbColor rgb="FF9999FF"/>
      <rgbColor rgb="FF7A2D4A"/>
      <rgbColor rgb="FFFFFFCC"/>
      <rgbColor rgb="FFE8EDF3"/>
      <rgbColor rgb="FF660066"/>
      <rgbColor rgb="FFFF6B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A8D5BA"/>
      <rgbColor rgb="FFFF99CC"/>
      <rgbColor rgb="FFCC99FF"/>
      <rgbColor rgb="FFFFC7CE"/>
      <rgbColor rgb="FF3366FF"/>
      <rgbColor rgb="FF33CCCC"/>
      <rgbColor rgb="FF99CC00"/>
      <rgbColor rgb="FFFFBB33"/>
      <rgbColor rgb="FFFF9900"/>
      <rgbColor rgb="FFFF6600"/>
      <rgbColor rgb="FF666699"/>
      <rgbColor rgb="FF99CC99"/>
      <rgbColor rgb="FF1B2A4A"/>
      <rgbColor rgb="FF4A7A2D"/>
      <rgbColor rgb="FF003300"/>
      <rgbColor rgb="FF1B4A2A"/>
      <rgbColor rgb="FFC45100"/>
      <rgbColor rgb="FF993366"/>
      <rgbColor rgb="FF2D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55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50"/>
    <col collapsed="false" customWidth="true" hidden="false" outlineLevel="0" max="10" min="9" style="1" width="28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3" min="13" style="1" width="30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3.25" hidden="false" customHeight="true" outlineLevel="0" collapsed="false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5" t="s">
        <v>23</v>
      </c>
      <c r="L2" s="3" t="s">
        <v>24</v>
      </c>
      <c r="M2" s="3" t="s">
        <v>25</v>
      </c>
    </row>
    <row r="3" customFormat="false" ht="23.25" hidden="false" customHeight="true" outlineLevel="0" collapsed="false">
      <c r="A3" s="3" t="s">
        <v>26</v>
      </c>
      <c r="B3" s="3" t="s">
        <v>27</v>
      </c>
      <c r="C3" s="3" t="s">
        <v>15</v>
      </c>
      <c r="D3" s="3" t="s">
        <v>28</v>
      </c>
      <c r="E3" s="3" t="s">
        <v>29</v>
      </c>
      <c r="F3" s="5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6" t="s">
        <v>35</v>
      </c>
      <c r="L3" s="3" t="s">
        <v>24</v>
      </c>
      <c r="M3" s="3" t="s">
        <v>36</v>
      </c>
    </row>
    <row r="4" customFormat="false" ht="23.25" hidden="false" customHeight="true" outlineLevel="0" collapsed="false">
      <c r="A4" s="3" t="s">
        <v>37</v>
      </c>
      <c r="B4" s="3" t="s">
        <v>38</v>
      </c>
      <c r="C4" s="3" t="s">
        <v>15</v>
      </c>
      <c r="D4" s="3" t="s">
        <v>28</v>
      </c>
      <c r="E4" s="3" t="s">
        <v>39</v>
      </c>
      <c r="F4" s="4" t="s">
        <v>18</v>
      </c>
      <c r="G4" s="3" t="s">
        <v>19</v>
      </c>
      <c r="H4" s="3" t="s">
        <v>40</v>
      </c>
      <c r="I4" s="3" t="s">
        <v>41</v>
      </c>
      <c r="J4" s="3" t="s">
        <v>42</v>
      </c>
      <c r="K4" s="6" t="s">
        <v>35</v>
      </c>
      <c r="L4" s="3" t="s">
        <v>43</v>
      </c>
      <c r="M4" s="3" t="s">
        <v>44</v>
      </c>
    </row>
    <row r="5" customFormat="false" ht="23.25" hidden="false" customHeight="true" outlineLevel="0" collapsed="false">
      <c r="A5" s="3" t="s">
        <v>45</v>
      </c>
      <c r="B5" s="3" t="s">
        <v>46</v>
      </c>
      <c r="C5" s="3" t="s">
        <v>15</v>
      </c>
      <c r="D5" s="3" t="s">
        <v>28</v>
      </c>
      <c r="E5" s="3" t="s">
        <v>47</v>
      </c>
      <c r="F5" s="5" t="s">
        <v>30</v>
      </c>
      <c r="G5" s="3" t="s">
        <v>48</v>
      </c>
      <c r="H5" s="3" t="s">
        <v>49</v>
      </c>
      <c r="I5" s="3" t="s">
        <v>50</v>
      </c>
      <c r="J5" s="3" t="s">
        <v>51</v>
      </c>
      <c r="K5" s="6" t="s">
        <v>35</v>
      </c>
      <c r="L5" s="3" t="s">
        <v>24</v>
      </c>
      <c r="M5" s="3" t="s">
        <v>52</v>
      </c>
    </row>
    <row r="6" customFormat="false" ht="34.5" hidden="false" customHeight="true" outlineLevel="0" collapsed="false">
      <c r="A6" s="3" t="s">
        <v>53</v>
      </c>
      <c r="B6" s="3" t="s">
        <v>54</v>
      </c>
      <c r="C6" s="3" t="s">
        <v>55</v>
      </c>
      <c r="D6" s="3" t="s">
        <v>28</v>
      </c>
      <c r="E6" s="3" t="s">
        <v>56</v>
      </c>
      <c r="F6" s="4" t="s">
        <v>18</v>
      </c>
      <c r="G6" s="3" t="s">
        <v>19</v>
      </c>
      <c r="H6" s="3" t="s">
        <v>57</v>
      </c>
      <c r="I6" s="3" t="s">
        <v>58</v>
      </c>
      <c r="J6" s="3" t="s">
        <v>59</v>
      </c>
      <c r="K6" s="6" t="s">
        <v>35</v>
      </c>
      <c r="L6" s="3" t="s">
        <v>24</v>
      </c>
      <c r="M6" s="3" t="s">
        <v>60</v>
      </c>
    </row>
    <row r="7" customFormat="false" ht="34.5" hidden="false" customHeight="true" outlineLevel="0" collapsed="false">
      <c r="A7" s="3" t="s">
        <v>61</v>
      </c>
      <c r="B7" s="3" t="s">
        <v>62</v>
      </c>
      <c r="C7" s="3" t="s">
        <v>55</v>
      </c>
      <c r="D7" s="3" t="s">
        <v>28</v>
      </c>
      <c r="E7" s="3" t="s">
        <v>63</v>
      </c>
      <c r="F7" s="4" t="s">
        <v>18</v>
      </c>
      <c r="G7" s="3" t="s">
        <v>19</v>
      </c>
      <c r="H7" s="3" t="s">
        <v>64</v>
      </c>
      <c r="I7" s="3" t="s">
        <v>41</v>
      </c>
      <c r="J7" s="3" t="s">
        <v>65</v>
      </c>
      <c r="K7" s="5" t="s">
        <v>23</v>
      </c>
      <c r="L7" s="3" t="s">
        <v>24</v>
      </c>
      <c r="M7" s="3" t="s">
        <v>66</v>
      </c>
    </row>
    <row r="8" customFormat="false" ht="23.25" hidden="false" customHeight="true" outlineLevel="0" collapsed="false">
      <c r="A8" s="3" t="s">
        <v>67</v>
      </c>
      <c r="B8" s="3" t="s">
        <v>68</v>
      </c>
      <c r="C8" s="3" t="s">
        <v>55</v>
      </c>
      <c r="D8" s="3" t="s">
        <v>28</v>
      </c>
      <c r="E8" s="3" t="s">
        <v>69</v>
      </c>
      <c r="F8" s="4" t="s">
        <v>18</v>
      </c>
      <c r="G8" s="3" t="s">
        <v>19</v>
      </c>
      <c r="H8" s="3" t="s">
        <v>70</v>
      </c>
      <c r="I8" s="3" t="s">
        <v>71</v>
      </c>
      <c r="J8" s="3" t="s">
        <v>72</v>
      </c>
      <c r="K8" s="4" t="s">
        <v>73</v>
      </c>
      <c r="L8" s="3" t="s">
        <v>74</v>
      </c>
      <c r="M8" s="3" t="s">
        <v>75</v>
      </c>
    </row>
    <row r="9" customFormat="false" ht="23.25" hidden="false" customHeight="true" outlineLevel="0" collapsed="false">
      <c r="A9" s="3" t="s">
        <v>76</v>
      </c>
      <c r="B9" s="3" t="s">
        <v>77</v>
      </c>
      <c r="C9" s="3" t="s">
        <v>55</v>
      </c>
      <c r="D9" s="3" t="s">
        <v>16</v>
      </c>
      <c r="E9" s="3" t="s">
        <v>78</v>
      </c>
      <c r="F9" s="4" t="s">
        <v>18</v>
      </c>
      <c r="G9" s="3" t="s">
        <v>19</v>
      </c>
      <c r="H9" s="3" t="s">
        <v>79</v>
      </c>
      <c r="I9" s="3" t="s">
        <v>80</v>
      </c>
      <c r="J9" s="3" t="s">
        <v>81</v>
      </c>
      <c r="K9" s="6" t="s">
        <v>35</v>
      </c>
      <c r="L9" s="3" t="s">
        <v>24</v>
      </c>
      <c r="M9" s="3" t="s">
        <v>82</v>
      </c>
    </row>
    <row r="10" customFormat="false" ht="23.25" hidden="false" customHeight="true" outlineLevel="0" collapsed="false">
      <c r="A10" s="3" t="s">
        <v>83</v>
      </c>
      <c r="B10" s="3" t="s">
        <v>84</v>
      </c>
      <c r="C10" s="3" t="s">
        <v>85</v>
      </c>
      <c r="D10" s="3" t="s">
        <v>86</v>
      </c>
      <c r="E10" s="3" t="s">
        <v>87</v>
      </c>
      <c r="F10" s="4" t="s">
        <v>18</v>
      </c>
      <c r="G10" s="3" t="s">
        <v>19</v>
      </c>
      <c r="H10" s="3" t="s">
        <v>88</v>
      </c>
      <c r="I10" s="3" t="s">
        <v>89</v>
      </c>
      <c r="J10" s="3" t="s">
        <v>90</v>
      </c>
      <c r="K10" s="6" t="s">
        <v>35</v>
      </c>
      <c r="L10" s="3" t="s">
        <v>24</v>
      </c>
      <c r="M10" s="3" t="s">
        <v>91</v>
      </c>
    </row>
    <row r="11" customFormat="false" ht="34.5" hidden="false" customHeight="true" outlineLevel="0" collapsed="false">
      <c r="A11" s="3" t="s">
        <v>92</v>
      </c>
      <c r="B11" s="3" t="s">
        <v>93</v>
      </c>
      <c r="C11" s="3" t="s">
        <v>85</v>
      </c>
      <c r="D11" s="3" t="s">
        <v>86</v>
      </c>
      <c r="E11" s="3" t="s">
        <v>94</v>
      </c>
      <c r="F11" s="4" t="s">
        <v>18</v>
      </c>
      <c r="G11" s="3" t="s">
        <v>19</v>
      </c>
      <c r="H11" s="3" t="s">
        <v>95</v>
      </c>
      <c r="I11" s="3" t="s">
        <v>96</v>
      </c>
      <c r="J11" s="3" t="s">
        <v>97</v>
      </c>
      <c r="K11" s="5" t="s">
        <v>23</v>
      </c>
      <c r="L11" s="3" t="s">
        <v>43</v>
      </c>
      <c r="M11" s="3" t="s">
        <v>98</v>
      </c>
    </row>
    <row r="12" customFormat="false" ht="23.25" hidden="false" customHeight="true" outlineLevel="0" collapsed="false">
      <c r="A12" s="3" t="s">
        <v>99</v>
      </c>
      <c r="B12" s="3" t="s">
        <v>100</v>
      </c>
      <c r="C12" s="3" t="s">
        <v>85</v>
      </c>
      <c r="D12" s="3" t="s">
        <v>86</v>
      </c>
      <c r="E12" s="3" t="s">
        <v>101</v>
      </c>
      <c r="F12" s="4" t="s">
        <v>18</v>
      </c>
      <c r="G12" s="3" t="s">
        <v>19</v>
      </c>
      <c r="H12" s="3" t="s">
        <v>102</v>
      </c>
      <c r="I12" s="3" t="s">
        <v>103</v>
      </c>
      <c r="J12" s="3" t="s">
        <v>104</v>
      </c>
      <c r="K12" s="6" t="s">
        <v>35</v>
      </c>
      <c r="L12" s="3" t="s">
        <v>43</v>
      </c>
      <c r="M12" s="3" t="s">
        <v>105</v>
      </c>
    </row>
    <row r="13" customFormat="false" ht="23.25" hidden="false" customHeight="true" outlineLevel="0" collapsed="false">
      <c r="A13" s="3" t="s">
        <v>106</v>
      </c>
      <c r="B13" s="3" t="s">
        <v>107</v>
      </c>
      <c r="C13" s="3" t="s">
        <v>85</v>
      </c>
      <c r="D13" s="3" t="s">
        <v>86</v>
      </c>
      <c r="E13" s="3" t="s">
        <v>108</v>
      </c>
      <c r="F13" s="4" t="s">
        <v>18</v>
      </c>
      <c r="G13" s="3" t="s">
        <v>19</v>
      </c>
      <c r="H13" s="3" t="s">
        <v>109</v>
      </c>
      <c r="I13" s="3" t="s">
        <v>110</v>
      </c>
      <c r="J13" s="3" t="s">
        <v>111</v>
      </c>
      <c r="K13" s="6" t="s">
        <v>35</v>
      </c>
      <c r="L13" s="3" t="s">
        <v>74</v>
      </c>
      <c r="M13" s="3" t="s">
        <v>112</v>
      </c>
    </row>
    <row r="14" customFormat="false" ht="23.25" hidden="false" customHeight="true" outlineLevel="0" collapsed="false">
      <c r="A14" s="3" t="s">
        <v>113</v>
      </c>
      <c r="B14" s="3" t="s">
        <v>114</v>
      </c>
      <c r="C14" s="3" t="s">
        <v>115</v>
      </c>
      <c r="D14" s="3" t="s">
        <v>116</v>
      </c>
      <c r="E14" s="3" t="s">
        <v>117</v>
      </c>
      <c r="F14" s="4" t="s">
        <v>18</v>
      </c>
      <c r="G14" s="3" t="s">
        <v>19</v>
      </c>
      <c r="H14" s="3" t="s">
        <v>118</v>
      </c>
      <c r="I14" s="3" t="s">
        <v>119</v>
      </c>
      <c r="J14" s="3" t="s">
        <v>120</v>
      </c>
      <c r="K14" s="6" t="s">
        <v>35</v>
      </c>
      <c r="L14" s="3" t="s">
        <v>43</v>
      </c>
      <c r="M14" s="3" t="s">
        <v>121</v>
      </c>
    </row>
    <row r="15" customFormat="false" ht="23.25" hidden="false" customHeight="true" outlineLevel="0" collapsed="false">
      <c r="A15" s="3" t="s">
        <v>110</v>
      </c>
      <c r="B15" s="3" t="s">
        <v>122</v>
      </c>
      <c r="C15" s="3" t="s">
        <v>115</v>
      </c>
      <c r="D15" s="3" t="s">
        <v>28</v>
      </c>
      <c r="E15" s="3" t="s">
        <v>123</v>
      </c>
      <c r="F15" s="4" t="s">
        <v>18</v>
      </c>
      <c r="G15" s="3" t="s">
        <v>19</v>
      </c>
      <c r="H15" s="3" t="s">
        <v>124</v>
      </c>
      <c r="I15" s="3" t="s">
        <v>125</v>
      </c>
      <c r="J15" s="3" t="s">
        <v>126</v>
      </c>
      <c r="K15" s="5" t="s">
        <v>23</v>
      </c>
      <c r="L15" s="3" t="s">
        <v>24</v>
      </c>
      <c r="M15" s="3" t="s">
        <v>127</v>
      </c>
    </row>
    <row r="16" customFormat="false" ht="23.25" hidden="false" customHeight="true" outlineLevel="0" collapsed="false">
      <c r="A16" s="3" t="s">
        <v>128</v>
      </c>
      <c r="B16" s="3" t="s">
        <v>129</v>
      </c>
      <c r="C16" s="3" t="s">
        <v>115</v>
      </c>
      <c r="D16" s="3" t="s">
        <v>28</v>
      </c>
      <c r="E16" s="3" t="s">
        <v>130</v>
      </c>
      <c r="F16" s="4" t="s">
        <v>18</v>
      </c>
      <c r="G16" s="3" t="s">
        <v>19</v>
      </c>
      <c r="H16" s="3" t="s">
        <v>131</v>
      </c>
      <c r="I16" s="3" t="s">
        <v>71</v>
      </c>
      <c r="J16" s="3" t="s">
        <v>132</v>
      </c>
      <c r="K16" s="6" t="s">
        <v>35</v>
      </c>
      <c r="L16" s="3" t="s">
        <v>43</v>
      </c>
      <c r="M16" s="3" t="s">
        <v>133</v>
      </c>
    </row>
    <row r="17" customFormat="false" ht="23.25" hidden="false" customHeight="true" outlineLevel="0" collapsed="false">
      <c r="A17" s="3" t="s">
        <v>134</v>
      </c>
      <c r="B17" s="3" t="s">
        <v>135</v>
      </c>
      <c r="C17" s="3" t="s">
        <v>136</v>
      </c>
      <c r="D17" s="3" t="s">
        <v>116</v>
      </c>
      <c r="E17" s="3" t="s">
        <v>137</v>
      </c>
      <c r="F17" s="4" t="s">
        <v>18</v>
      </c>
      <c r="G17" s="3" t="s">
        <v>19</v>
      </c>
      <c r="H17" s="3" t="s">
        <v>138</v>
      </c>
      <c r="I17" s="3" t="s">
        <v>139</v>
      </c>
      <c r="J17" s="3" t="s">
        <v>140</v>
      </c>
      <c r="K17" s="5" t="s">
        <v>23</v>
      </c>
      <c r="L17" s="3" t="s">
        <v>24</v>
      </c>
      <c r="M17" s="3" t="s">
        <v>141</v>
      </c>
    </row>
    <row r="18" customFormat="false" ht="23.25" hidden="false" customHeight="true" outlineLevel="0" collapsed="false">
      <c r="A18" s="3" t="s">
        <v>142</v>
      </c>
      <c r="B18" s="3" t="s">
        <v>143</v>
      </c>
      <c r="C18" s="3" t="s">
        <v>136</v>
      </c>
      <c r="D18" s="3" t="s">
        <v>116</v>
      </c>
      <c r="E18" s="3" t="s">
        <v>144</v>
      </c>
      <c r="F18" s="4" t="s">
        <v>18</v>
      </c>
      <c r="G18" s="3" t="s">
        <v>19</v>
      </c>
      <c r="H18" s="3" t="s">
        <v>145</v>
      </c>
      <c r="I18" s="3" t="s">
        <v>146</v>
      </c>
      <c r="J18" s="3" t="s">
        <v>147</v>
      </c>
      <c r="K18" s="6" t="s">
        <v>35</v>
      </c>
      <c r="L18" s="3" t="s">
        <v>74</v>
      </c>
      <c r="M18" s="3" t="s">
        <v>148</v>
      </c>
    </row>
    <row r="19" customFormat="false" ht="23.25" hidden="false" customHeight="true" outlineLevel="0" collapsed="false">
      <c r="A19" s="3" t="s">
        <v>149</v>
      </c>
      <c r="B19" s="3" t="s">
        <v>150</v>
      </c>
      <c r="C19" s="3" t="s">
        <v>136</v>
      </c>
      <c r="D19" s="3" t="s">
        <v>116</v>
      </c>
      <c r="E19" s="3" t="s">
        <v>151</v>
      </c>
      <c r="F19" s="4" t="s">
        <v>18</v>
      </c>
      <c r="G19" s="3" t="s">
        <v>19</v>
      </c>
      <c r="H19" s="3" t="s">
        <v>152</v>
      </c>
      <c r="I19" s="3" t="s">
        <v>153</v>
      </c>
      <c r="J19" s="3" t="s">
        <v>154</v>
      </c>
      <c r="K19" s="6" t="s">
        <v>35</v>
      </c>
      <c r="L19" s="3" t="s">
        <v>43</v>
      </c>
      <c r="M19" s="3" t="s">
        <v>155</v>
      </c>
    </row>
    <row r="20" customFormat="false" ht="34.5" hidden="false" customHeight="true" outlineLevel="0" collapsed="false">
      <c r="A20" s="3" t="s">
        <v>156</v>
      </c>
      <c r="B20" s="3" t="s">
        <v>157</v>
      </c>
      <c r="C20" s="3" t="s">
        <v>158</v>
      </c>
      <c r="D20" s="3" t="s">
        <v>28</v>
      </c>
      <c r="E20" s="3" t="s">
        <v>159</v>
      </c>
      <c r="F20" s="4" t="s">
        <v>18</v>
      </c>
      <c r="G20" s="3" t="s">
        <v>19</v>
      </c>
      <c r="H20" s="3" t="s">
        <v>160</v>
      </c>
      <c r="I20" s="3" t="s">
        <v>161</v>
      </c>
      <c r="J20" s="3" t="s">
        <v>162</v>
      </c>
      <c r="K20" s="6" t="s">
        <v>35</v>
      </c>
      <c r="L20" s="3" t="s">
        <v>24</v>
      </c>
      <c r="M20" s="3" t="s">
        <v>163</v>
      </c>
    </row>
    <row r="21" customFormat="false" ht="23.25" hidden="false" customHeight="true" outlineLevel="0" collapsed="false">
      <c r="A21" s="3" t="s">
        <v>164</v>
      </c>
      <c r="B21" s="3" t="s">
        <v>165</v>
      </c>
      <c r="C21" s="3" t="s">
        <v>158</v>
      </c>
      <c r="D21" s="3" t="s">
        <v>16</v>
      </c>
      <c r="E21" s="3" t="s">
        <v>166</v>
      </c>
      <c r="F21" s="4" t="s">
        <v>18</v>
      </c>
      <c r="G21" s="3" t="s">
        <v>19</v>
      </c>
      <c r="H21" s="3" t="s">
        <v>167</v>
      </c>
      <c r="I21" s="3" t="s">
        <v>168</v>
      </c>
      <c r="J21" s="3" t="s">
        <v>169</v>
      </c>
      <c r="K21" s="6" t="s">
        <v>35</v>
      </c>
      <c r="L21" s="3" t="s">
        <v>24</v>
      </c>
      <c r="M21" s="3" t="s">
        <v>170</v>
      </c>
    </row>
    <row r="22" customFormat="false" ht="23.25" hidden="false" customHeight="true" outlineLevel="0" collapsed="false">
      <c r="A22" s="3" t="s">
        <v>171</v>
      </c>
      <c r="B22" s="3" t="s">
        <v>172</v>
      </c>
      <c r="C22" s="3" t="s">
        <v>158</v>
      </c>
      <c r="D22" s="3" t="s">
        <v>16</v>
      </c>
      <c r="E22" s="3" t="s">
        <v>173</v>
      </c>
      <c r="F22" s="4" t="s">
        <v>18</v>
      </c>
      <c r="G22" s="3" t="s">
        <v>19</v>
      </c>
      <c r="H22" s="3" t="s">
        <v>174</v>
      </c>
      <c r="I22" s="3" t="s">
        <v>175</v>
      </c>
      <c r="J22" s="3" t="s">
        <v>176</v>
      </c>
      <c r="K22" s="6" t="s">
        <v>35</v>
      </c>
      <c r="L22" s="3" t="s">
        <v>43</v>
      </c>
      <c r="M22" s="3" t="s">
        <v>177</v>
      </c>
    </row>
    <row r="23" customFormat="false" ht="23.25" hidden="false" customHeight="true" outlineLevel="0" collapsed="false">
      <c r="A23" s="3" t="s">
        <v>178</v>
      </c>
      <c r="B23" s="3" t="s">
        <v>179</v>
      </c>
      <c r="C23" s="3" t="s">
        <v>158</v>
      </c>
      <c r="D23" s="3" t="s">
        <v>86</v>
      </c>
      <c r="E23" s="3" t="s">
        <v>180</v>
      </c>
      <c r="F23" s="4" t="s">
        <v>18</v>
      </c>
      <c r="G23" s="3" t="s">
        <v>19</v>
      </c>
      <c r="H23" s="3" t="s">
        <v>181</v>
      </c>
      <c r="I23" s="3" t="s">
        <v>182</v>
      </c>
      <c r="J23" s="3" t="s">
        <v>183</v>
      </c>
      <c r="K23" s="6" t="s">
        <v>35</v>
      </c>
      <c r="L23" s="3" t="s">
        <v>43</v>
      </c>
      <c r="M23" s="3" t="s">
        <v>184</v>
      </c>
    </row>
    <row r="24" customFormat="false" ht="23.25" hidden="false" customHeight="true" outlineLevel="0" collapsed="false">
      <c r="A24" s="3" t="s">
        <v>185</v>
      </c>
      <c r="B24" s="3" t="s">
        <v>186</v>
      </c>
      <c r="C24" s="3" t="s">
        <v>158</v>
      </c>
      <c r="D24" s="3" t="s">
        <v>116</v>
      </c>
      <c r="E24" s="3" t="s">
        <v>187</v>
      </c>
      <c r="F24" s="4" t="s">
        <v>18</v>
      </c>
      <c r="G24" s="3" t="s">
        <v>19</v>
      </c>
      <c r="H24" s="3" t="s">
        <v>188</v>
      </c>
      <c r="I24" s="3" t="s">
        <v>175</v>
      </c>
      <c r="J24" s="3" t="s">
        <v>189</v>
      </c>
      <c r="K24" s="6" t="s">
        <v>35</v>
      </c>
      <c r="L24" s="3" t="s">
        <v>43</v>
      </c>
      <c r="M24" s="3" t="s">
        <v>190</v>
      </c>
    </row>
    <row r="25" customFormat="false" ht="23.25" hidden="false" customHeight="true" outlineLevel="0" collapsed="false">
      <c r="A25" s="3" t="s">
        <v>191</v>
      </c>
      <c r="B25" s="3" t="s">
        <v>192</v>
      </c>
      <c r="C25" s="3" t="s">
        <v>158</v>
      </c>
      <c r="D25" s="3" t="s">
        <v>16</v>
      </c>
      <c r="E25" s="3" t="s">
        <v>193</v>
      </c>
      <c r="F25" s="4" t="s">
        <v>18</v>
      </c>
      <c r="G25" s="3" t="s">
        <v>19</v>
      </c>
      <c r="H25" s="3" t="s">
        <v>194</v>
      </c>
      <c r="I25" s="3" t="s">
        <v>175</v>
      </c>
      <c r="J25" s="3" t="s">
        <v>195</v>
      </c>
      <c r="K25" s="6" t="s">
        <v>35</v>
      </c>
      <c r="L25" s="3" t="s">
        <v>74</v>
      </c>
      <c r="M25" s="3" t="s">
        <v>196</v>
      </c>
    </row>
    <row r="26" customFormat="false" ht="23.25" hidden="false" customHeight="true" outlineLevel="0" collapsed="false">
      <c r="A26" s="3" t="s">
        <v>197</v>
      </c>
      <c r="B26" s="3" t="s">
        <v>198</v>
      </c>
      <c r="C26" s="3" t="s">
        <v>158</v>
      </c>
      <c r="D26" s="3" t="s">
        <v>16</v>
      </c>
      <c r="E26" s="3" t="s">
        <v>199</v>
      </c>
      <c r="F26" s="4" t="s">
        <v>18</v>
      </c>
      <c r="G26" s="3" t="s">
        <v>19</v>
      </c>
      <c r="H26" s="3" t="s">
        <v>200</v>
      </c>
      <c r="I26" s="3" t="s">
        <v>201</v>
      </c>
      <c r="J26" s="3" t="s">
        <v>202</v>
      </c>
      <c r="K26" s="5" t="s">
        <v>23</v>
      </c>
      <c r="L26" s="3" t="s">
        <v>24</v>
      </c>
      <c r="M26" s="3" t="s">
        <v>203</v>
      </c>
    </row>
  </sheetData>
  <autoFilter ref="A1:M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A7A"/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4" min="3" style="1" width="14"/>
    <col collapsed="false" customWidth="true" hidden="false" outlineLevel="0" max="5" min="5" style="1" width="65"/>
    <col collapsed="false" customWidth="true" hidden="false" outlineLevel="0" max="6" min="6" style="1" width="50"/>
    <col collapsed="false" customWidth="true" hidden="false" outlineLevel="0" max="7" min="7" style="1" width="40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26.25" hidden="false" customHeight="true" outlineLevel="0" collapsed="false">
      <c r="A1" s="2" t="s">
        <v>204</v>
      </c>
      <c r="B1" s="2" t="s">
        <v>205</v>
      </c>
      <c r="C1" s="2" t="s">
        <v>206</v>
      </c>
      <c r="D1" s="2" t="s">
        <v>3</v>
      </c>
      <c r="E1" s="2" t="s">
        <v>207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212</v>
      </c>
      <c r="K1" s="2" t="s">
        <v>213</v>
      </c>
    </row>
    <row r="2" customFormat="false" ht="23.25" hidden="false" customHeight="true" outlineLevel="0" collapsed="false">
      <c r="A2" s="3" t="s">
        <v>214</v>
      </c>
      <c r="B2" s="3" t="s">
        <v>215</v>
      </c>
      <c r="C2" s="3" t="s">
        <v>197</v>
      </c>
      <c r="D2" s="3" t="s">
        <v>216</v>
      </c>
      <c r="E2" s="3" t="s">
        <v>217</v>
      </c>
      <c r="F2" s="3" t="s">
        <v>218</v>
      </c>
      <c r="G2" s="3" t="s">
        <v>219</v>
      </c>
      <c r="H2" s="3" t="s">
        <v>220</v>
      </c>
      <c r="I2" s="3" t="s">
        <v>221</v>
      </c>
      <c r="J2" s="3" t="s">
        <v>18</v>
      </c>
      <c r="K2" s="5" t="s">
        <v>23</v>
      </c>
    </row>
    <row r="3" customFormat="false" ht="23.25" hidden="false" customHeight="true" outlineLevel="0" collapsed="false">
      <c r="A3" s="3" t="s">
        <v>222</v>
      </c>
      <c r="B3" s="3" t="s">
        <v>223</v>
      </c>
      <c r="C3" s="3" t="s">
        <v>224</v>
      </c>
      <c r="D3" s="3" t="s">
        <v>216</v>
      </c>
      <c r="E3" s="3" t="s">
        <v>225</v>
      </c>
      <c r="F3" s="3" t="s">
        <v>226</v>
      </c>
      <c r="G3" s="3" t="s">
        <v>227</v>
      </c>
      <c r="H3" s="3" t="s">
        <v>220</v>
      </c>
      <c r="I3" s="3" t="s">
        <v>228</v>
      </c>
      <c r="J3" s="3" t="s">
        <v>18</v>
      </c>
      <c r="K3" s="5" t="s">
        <v>23</v>
      </c>
    </row>
    <row r="4" customFormat="false" ht="15" hidden="false" customHeight="true" outlineLevel="0" collapsed="false">
      <c r="A4" s="3" t="s">
        <v>229</v>
      </c>
      <c r="B4" s="3" t="s">
        <v>230</v>
      </c>
      <c r="C4" s="3" t="s">
        <v>231</v>
      </c>
      <c r="D4" s="3" t="s">
        <v>216</v>
      </c>
      <c r="E4" s="3" t="s">
        <v>232</v>
      </c>
      <c r="F4" s="3" t="s">
        <v>233</v>
      </c>
      <c r="G4" s="3" t="s">
        <v>234</v>
      </c>
      <c r="H4" s="3" t="s">
        <v>220</v>
      </c>
      <c r="I4" s="3" t="s">
        <v>235</v>
      </c>
      <c r="J4" s="3" t="s">
        <v>236</v>
      </c>
      <c r="K4" s="5" t="s">
        <v>23</v>
      </c>
    </row>
    <row r="5" customFormat="false" ht="15" hidden="false" customHeight="true" outlineLevel="0" collapsed="false">
      <c r="A5" s="3" t="s">
        <v>237</v>
      </c>
      <c r="B5" s="3" t="s">
        <v>238</v>
      </c>
      <c r="C5" s="3" t="s">
        <v>239</v>
      </c>
      <c r="D5" s="3" t="s">
        <v>216</v>
      </c>
      <c r="E5" s="3" t="s">
        <v>240</v>
      </c>
      <c r="F5" s="3" t="s">
        <v>241</v>
      </c>
      <c r="G5" s="3" t="s">
        <v>242</v>
      </c>
      <c r="H5" s="3" t="s">
        <v>220</v>
      </c>
      <c r="I5" s="3" t="s">
        <v>243</v>
      </c>
      <c r="J5" s="3" t="s">
        <v>18</v>
      </c>
      <c r="K5" s="6" t="s">
        <v>35</v>
      </c>
    </row>
    <row r="6" customFormat="false" ht="23.25" hidden="false" customHeight="true" outlineLevel="0" collapsed="false">
      <c r="A6" s="3" t="s">
        <v>244</v>
      </c>
      <c r="B6" s="3" t="s">
        <v>245</v>
      </c>
      <c r="C6" s="3" t="s">
        <v>239</v>
      </c>
      <c r="D6" s="3" t="s">
        <v>216</v>
      </c>
      <c r="E6" s="3" t="s">
        <v>246</v>
      </c>
      <c r="F6" s="3" t="s">
        <v>247</v>
      </c>
      <c r="G6" s="3" t="s">
        <v>248</v>
      </c>
      <c r="H6" s="3" t="s">
        <v>220</v>
      </c>
      <c r="I6" s="3" t="s">
        <v>249</v>
      </c>
      <c r="J6" s="3" t="s">
        <v>18</v>
      </c>
      <c r="K6" s="6" t="s">
        <v>35</v>
      </c>
    </row>
    <row r="7" customFormat="false" ht="23.25" hidden="false" customHeight="true" outlineLevel="0" collapsed="false">
      <c r="A7" s="3" t="s">
        <v>250</v>
      </c>
      <c r="B7" s="3" t="s">
        <v>251</v>
      </c>
      <c r="C7" s="3" t="s">
        <v>252</v>
      </c>
      <c r="D7" s="3" t="s">
        <v>216</v>
      </c>
      <c r="E7" s="3" t="s">
        <v>253</v>
      </c>
      <c r="F7" s="3" t="s">
        <v>254</v>
      </c>
      <c r="G7" s="3" t="s">
        <v>255</v>
      </c>
      <c r="H7" s="3" t="s">
        <v>220</v>
      </c>
      <c r="I7" s="3" t="s">
        <v>256</v>
      </c>
      <c r="J7" s="3" t="s">
        <v>18</v>
      </c>
      <c r="K7" s="5" t="s">
        <v>23</v>
      </c>
    </row>
    <row r="8" customFormat="false" ht="23.25" hidden="false" customHeight="true" outlineLevel="0" collapsed="false">
      <c r="A8" s="3" t="s">
        <v>257</v>
      </c>
      <c r="B8" s="3" t="s">
        <v>258</v>
      </c>
      <c r="C8" s="3" t="s">
        <v>45</v>
      </c>
      <c r="D8" s="3" t="s">
        <v>259</v>
      </c>
      <c r="E8" s="3" t="s">
        <v>260</v>
      </c>
      <c r="F8" s="3" t="s">
        <v>261</v>
      </c>
      <c r="G8" s="3" t="s">
        <v>262</v>
      </c>
      <c r="H8" s="3" t="s">
        <v>263</v>
      </c>
      <c r="I8" s="3" t="s">
        <v>264</v>
      </c>
      <c r="J8" s="3" t="s">
        <v>236</v>
      </c>
      <c r="K8" s="5" t="s">
        <v>23</v>
      </c>
    </row>
    <row r="9" customFormat="false" ht="15" hidden="false" customHeight="true" outlineLevel="0" collapsed="false">
      <c r="A9" s="3" t="s">
        <v>265</v>
      </c>
      <c r="B9" s="3" t="s">
        <v>266</v>
      </c>
      <c r="C9" s="3" t="s">
        <v>45</v>
      </c>
      <c r="D9" s="3" t="s">
        <v>259</v>
      </c>
      <c r="E9" s="3" t="s">
        <v>267</v>
      </c>
      <c r="F9" s="3" t="s">
        <v>268</v>
      </c>
      <c r="G9" s="3" t="s">
        <v>269</v>
      </c>
      <c r="H9" s="3" t="s">
        <v>270</v>
      </c>
      <c r="I9" s="3" t="s">
        <v>264</v>
      </c>
      <c r="J9" s="3" t="s">
        <v>236</v>
      </c>
      <c r="K9" s="5" t="s">
        <v>23</v>
      </c>
    </row>
    <row r="10" customFormat="false" ht="34.5" hidden="false" customHeight="true" outlineLevel="0" collapsed="false">
      <c r="A10" s="3" t="s">
        <v>271</v>
      </c>
      <c r="B10" s="3" t="s">
        <v>272</v>
      </c>
      <c r="C10" s="3" t="s">
        <v>273</v>
      </c>
      <c r="D10" s="3" t="s">
        <v>259</v>
      </c>
      <c r="E10" s="3" t="s">
        <v>274</v>
      </c>
      <c r="F10" s="3" t="s">
        <v>275</v>
      </c>
      <c r="G10" s="3" t="s">
        <v>276</v>
      </c>
      <c r="H10" s="3" t="s">
        <v>220</v>
      </c>
      <c r="I10" s="3" t="s">
        <v>264</v>
      </c>
      <c r="J10" s="3" t="s">
        <v>236</v>
      </c>
      <c r="K10" s="5" t="s">
        <v>23</v>
      </c>
    </row>
    <row r="11" customFormat="false" ht="23.25" hidden="false" customHeight="true" outlineLevel="0" collapsed="false">
      <c r="A11" s="3" t="s">
        <v>277</v>
      </c>
      <c r="B11" s="3" t="s">
        <v>278</v>
      </c>
      <c r="C11" s="3" t="s">
        <v>61</v>
      </c>
      <c r="D11" s="3" t="s">
        <v>279</v>
      </c>
      <c r="E11" s="3" t="s">
        <v>280</v>
      </c>
      <c r="F11" s="3" t="s">
        <v>281</v>
      </c>
      <c r="G11" s="3" t="s">
        <v>282</v>
      </c>
      <c r="H11" s="3" t="s">
        <v>283</v>
      </c>
      <c r="I11" s="3" t="s">
        <v>284</v>
      </c>
      <c r="J11" s="3" t="s">
        <v>18</v>
      </c>
      <c r="K11" s="5" t="s">
        <v>23</v>
      </c>
    </row>
    <row r="12" customFormat="false" ht="34.5" hidden="false" customHeight="true" outlineLevel="0" collapsed="false">
      <c r="A12" s="3" t="s">
        <v>285</v>
      </c>
      <c r="B12" s="3" t="s">
        <v>286</v>
      </c>
      <c r="C12" s="3" t="s">
        <v>61</v>
      </c>
      <c r="D12" s="3" t="s">
        <v>279</v>
      </c>
      <c r="E12" s="3" t="s">
        <v>287</v>
      </c>
      <c r="F12" s="3" t="s">
        <v>288</v>
      </c>
      <c r="G12" s="3" t="s">
        <v>289</v>
      </c>
      <c r="H12" s="3" t="s">
        <v>290</v>
      </c>
      <c r="I12" s="3" t="s">
        <v>291</v>
      </c>
      <c r="J12" s="3" t="s">
        <v>18</v>
      </c>
      <c r="K12" s="5" t="s">
        <v>23</v>
      </c>
    </row>
    <row r="13" customFormat="false" ht="45.75" hidden="false" customHeight="true" outlineLevel="0" collapsed="false">
      <c r="A13" s="3" t="s">
        <v>292</v>
      </c>
      <c r="B13" s="3" t="s">
        <v>293</v>
      </c>
      <c r="C13" s="3" t="s">
        <v>61</v>
      </c>
      <c r="D13" s="3" t="s">
        <v>279</v>
      </c>
      <c r="E13" s="3" t="s">
        <v>294</v>
      </c>
      <c r="F13" s="3" t="s">
        <v>295</v>
      </c>
      <c r="G13" s="3" t="s">
        <v>296</v>
      </c>
      <c r="H13" s="3" t="s">
        <v>283</v>
      </c>
      <c r="I13" s="3" t="s">
        <v>291</v>
      </c>
      <c r="J13" s="3" t="s">
        <v>18</v>
      </c>
      <c r="K13" s="5" t="s">
        <v>23</v>
      </c>
    </row>
    <row r="14" customFormat="false" ht="15" hidden="false" customHeight="true" outlineLevel="0" collapsed="false">
      <c r="A14" s="3" t="s">
        <v>297</v>
      </c>
      <c r="B14" s="3" t="s">
        <v>298</v>
      </c>
      <c r="C14" s="3" t="s">
        <v>26</v>
      </c>
      <c r="D14" s="3" t="s">
        <v>299</v>
      </c>
      <c r="E14" s="3" t="s">
        <v>300</v>
      </c>
      <c r="F14" s="3" t="s">
        <v>301</v>
      </c>
      <c r="G14" s="3" t="s">
        <v>302</v>
      </c>
      <c r="H14" s="3" t="s">
        <v>303</v>
      </c>
      <c r="I14" s="3" t="s">
        <v>304</v>
      </c>
      <c r="J14" s="3" t="s">
        <v>305</v>
      </c>
      <c r="K14" s="5" t="s">
        <v>23</v>
      </c>
    </row>
    <row r="15" customFormat="false" ht="45.75" hidden="false" customHeight="true" outlineLevel="0" collapsed="false">
      <c r="A15" s="3" t="s">
        <v>306</v>
      </c>
      <c r="B15" s="3" t="s">
        <v>307</v>
      </c>
      <c r="C15" s="3" t="s">
        <v>37</v>
      </c>
      <c r="D15" s="3" t="s">
        <v>308</v>
      </c>
      <c r="E15" s="3" t="s">
        <v>309</v>
      </c>
      <c r="F15" s="3" t="s">
        <v>310</v>
      </c>
      <c r="G15" s="3" t="s">
        <v>311</v>
      </c>
      <c r="H15" s="3" t="s">
        <v>312</v>
      </c>
      <c r="I15" s="3" t="s">
        <v>313</v>
      </c>
      <c r="J15" s="3" t="s">
        <v>18</v>
      </c>
      <c r="K15" s="6" t="s">
        <v>35</v>
      </c>
    </row>
    <row r="16" customFormat="false" ht="23.25" hidden="false" customHeight="true" outlineLevel="0" collapsed="false">
      <c r="A16" s="3" t="s">
        <v>314</v>
      </c>
      <c r="B16" s="3" t="s">
        <v>315</v>
      </c>
      <c r="C16" s="3" t="s">
        <v>37</v>
      </c>
      <c r="D16" s="3" t="s">
        <v>308</v>
      </c>
      <c r="E16" s="3" t="s">
        <v>316</v>
      </c>
      <c r="F16" s="3" t="s">
        <v>317</v>
      </c>
      <c r="G16" s="3" t="s">
        <v>318</v>
      </c>
      <c r="H16" s="3" t="s">
        <v>283</v>
      </c>
      <c r="I16" s="3" t="s">
        <v>319</v>
      </c>
      <c r="J16" s="3" t="s">
        <v>18</v>
      </c>
      <c r="K16" s="6" t="s">
        <v>35</v>
      </c>
    </row>
    <row r="17" customFormat="false" ht="15" hidden="false" customHeight="true" outlineLevel="0" collapsed="false">
      <c r="A17" s="3" t="s">
        <v>320</v>
      </c>
      <c r="B17" s="3" t="s">
        <v>321</v>
      </c>
      <c r="C17" s="3" t="s">
        <v>83</v>
      </c>
      <c r="D17" s="3" t="s">
        <v>86</v>
      </c>
      <c r="E17" s="3" t="s">
        <v>322</v>
      </c>
      <c r="F17" s="3" t="s">
        <v>323</v>
      </c>
      <c r="G17" s="3" t="s">
        <v>324</v>
      </c>
      <c r="H17" s="3" t="s">
        <v>325</v>
      </c>
      <c r="I17" s="3" t="s">
        <v>326</v>
      </c>
      <c r="J17" s="3" t="s">
        <v>18</v>
      </c>
      <c r="K17" s="6" t="s">
        <v>35</v>
      </c>
    </row>
    <row r="18" customFormat="false" ht="15" hidden="false" customHeight="true" outlineLevel="0" collapsed="false">
      <c r="A18" s="3" t="s">
        <v>327</v>
      </c>
      <c r="B18" s="3" t="s">
        <v>328</v>
      </c>
      <c r="C18" s="3" t="s">
        <v>83</v>
      </c>
      <c r="D18" s="3" t="s">
        <v>86</v>
      </c>
      <c r="E18" s="3" t="s">
        <v>329</v>
      </c>
      <c r="F18" s="3" t="s">
        <v>330</v>
      </c>
      <c r="G18" s="3" t="s">
        <v>331</v>
      </c>
      <c r="H18" s="3" t="s">
        <v>303</v>
      </c>
      <c r="I18" s="3" t="s">
        <v>332</v>
      </c>
      <c r="J18" s="3" t="s">
        <v>18</v>
      </c>
      <c r="K18" s="6" t="s">
        <v>35</v>
      </c>
    </row>
    <row r="19" customFormat="false" ht="15" hidden="false" customHeight="true" outlineLevel="0" collapsed="false">
      <c r="A19" s="3" t="s">
        <v>333</v>
      </c>
      <c r="B19" s="3" t="s">
        <v>334</v>
      </c>
      <c r="C19" s="3" t="s">
        <v>83</v>
      </c>
      <c r="D19" s="3" t="s">
        <v>86</v>
      </c>
      <c r="E19" s="3" t="s">
        <v>335</v>
      </c>
      <c r="F19" s="3" t="s">
        <v>336</v>
      </c>
      <c r="G19" s="3" t="s">
        <v>337</v>
      </c>
      <c r="H19" s="3" t="s">
        <v>303</v>
      </c>
      <c r="I19" s="3" t="s">
        <v>338</v>
      </c>
      <c r="J19" s="3" t="s">
        <v>18</v>
      </c>
      <c r="K19" s="6" t="s">
        <v>35</v>
      </c>
    </row>
    <row r="20" customFormat="false" ht="23.25" hidden="false" customHeight="true" outlineLevel="0" collapsed="false">
      <c r="A20" s="3" t="s">
        <v>339</v>
      </c>
      <c r="B20" s="3" t="s">
        <v>340</v>
      </c>
      <c r="C20" s="3" t="s">
        <v>83</v>
      </c>
      <c r="D20" s="3" t="s">
        <v>86</v>
      </c>
      <c r="E20" s="3" t="s">
        <v>341</v>
      </c>
      <c r="F20" s="3" t="s">
        <v>342</v>
      </c>
      <c r="G20" s="3" t="s">
        <v>343</v>
      </c>
      <c r="H20" s="3" t="s">
        <v>303</v>
      </c>
      <c r="I20" s="3" t="s">
        <v>344</v>
      </c>
      <c r="J20" s="3" t="s">
        <v>18</v>
      </c>
      <c r="K20" s="6" t="s">
        <v>35</v>
      </c>
    </row>
    <row r="21" customFormat="false" ht="15" hidden="false" customHeight="true" outlineLevel="0" collapsed="false">
      <c r="A21" s="3" t="s">
        <v>345</v>
      </c>
      <c r="B21" s="3" t="s">
        <v>346</v>
      </c>
      <c r="C21" s="3" t="s">
        <v>83</v>
      </c>
      <c r="D21" s="3" t="s">
        <v>86</v>
      </c>
      <c r="E21" s="3" t="s">
        <v>347</v>
      </c>
      <c r="F21" s="3" t="s">
        <v>348</v>
      </c>
      <c r="G21" s="3" t="s">
        <v>349</v>
      </c>
      <c r="H21" s="3" t="s">
        <v>350</v>
      </c>
      <c r="I21" s="3" t="s">
        <v>338</v>
      </c>
      <c r="J21" s="3" t="s">
        <v>18</v>
      </c>
      <c r="K21" s="6" t="s">
        <v>35</v>
      </c>
    </row>
    <row r="22" customFormat="false" ht="15" hidden="false" customHeight="true" outlineLevel="0" collapsed="false">
      <c r="A22" s="3" t="s">
        <v>351</v>
      </c>
      <c r="B22" s="3" t="s">
        <v>352</v>
      </c>
      <c r="C22" s="3" t="s">
        <v>99</v>
      </c>
      <c r="D22" s="3" t="s">
        <v>86</v>
      </c>
      <c r="E22" s="3" t="s">
        <v>353</v>
      </c>
      <c r="F22" s="3" t="s">
        <v>354</v>
      </c>
      <c r="G22" s="3" t="s">
        <v>355</v>
      </c>
      <c r="H22" s="3" t="s">
        <v>263</v>
      </c>
      <c r="I22" s="3" t="s">
        <v>356</v>
      </c>
      <c r="J22" s="3" t="s">
        <v>18</v>
      </c>
      <c r="K22" s="6" t="s">
        <v>35</v>
      </c>
    </row>
    <row r="23" customFormat="false" ht="15" hidden="false" customHeight="true" outlineLevel="0" collapsed="false">
      <c r="A23" s="3" t="s">
        <v>357</v>
      </c>
      <c r="B23" s="3" t="s">
        <v>358</v>
      </c>
      <c r="C23" s="3" t="s">
        <v>99</v>
      </c>
      <c r="D23" s="3" t="s">
        <v>86</v>
      </c>
      <c r="E23" s="3" t="s">
        <v>359</v>
      </c>
      <c r="F23" s="3" t="s">
        <v>360</v>
      </c>
      <c r="G23" s="3" t="s">
        <v>361</v>
      </c>
      <c r="H23" s="3" t="s">
        <v>303</v>
      </c>
      <c r="I23" s="3" t="s">
        <v>356</v>
      </c>
      <c r="J23" s="3" t="s">
        <v>18</v>
      </c>
      <c r="K23" s="6" t="s">
        <v>35</v>
      </c>
    </row>
    <row r="24" customFormat="false" ht="34.5" hidden="false" customHeight="true" outlineLevel="0" collapsed="false">
      <c r="A24" s="3" t="s">
        <v>362</v>
      </c>
      <c r="B24" s="3" t="s">
        <v>363</v>
      </c>
      <c r="C24" s="3" t="s">
        <v>76</v>
      </c>
      <c r="D24" s="3" t="s">
        <v>364</v>
      </c>
      <c r="E24" s="3" t="s">
        <v>365</v>
      </c>
      <c r="F24" s="3" t="s">
        <v>366</v>
      </c>
      <c r="G24" s="3" t="s">
        <v>367</v>
      </c>
      <c r="H24" s="3" t="s">
        <v>220</v>
      </c>
      <c r="I24" s="3" t="s">
        <v>368</v>
      </c>
      <c r="J24" s="3" t="s">
        <v>18</v>
      </c>
      <c r="K24" s="6" t="s">
        <v>35</v>
      </c>
    </row>
    <row r="25" customFormat="false" ht="23.25" hidden="false" customHeight="true" outlineLevel="0" collapsed="false">
      <c r="A25" s="3" t="s">
        <v>369</v>
      </c>
      <c r="B25" s="3" t="s">
        <v>370</v>
      </c>
      <c r="C25" s="3" t="s">
        <v>76</v>
      </c>
      <c r="D25" s="3" t="s">
        <v>364</v>
      </c>
      <c r="E25" s="3" t="s">
        <v>371</v>
      </c>
      <c r="F25" s="3" t="s">
        <v>372</v>
      </c>
      <c r="G25" s="3" t="s">
        <v>373</v>
      </c>
      <c r="H25" s="3" t="s">
        <v>374</v>
      </c>
      <c r="I25" s="3" t="s">
        <v>375</v>
      </c>
      <c r="J25" s="3" t="s">
        <v>18</v>
      </c>
      <c r="K25" s="4" t="s">
        <v>73</v>
      </c>
    </row>
    <row r="26" customFormat="false" ht="45.75" hidden="false" customHeight="true" outlineLevel="0" collapsed="false">
      <c r="A26" s="3" t="s">
        <v>376</v>
      </c>
      <c r="B26" s="3" t="s">
        <v>377</v>
      </c>
      <c r="C26" s="3" t="s">
        <v>378</v>
      </c>
      <c r="D26" s="3" t="s">
        <v>364</v>
      </c>
      <c r="E26" s="3" t="s">
        <v>379</v>
      </c>
      <c r="F26" s="3" t="s">
        <v>380</v>
      </c>
      <c r="G26" s="3" t="s">
        <v>381</v>
      </c>
      <c r="H26" s="3" t="s">
        <v>303</v>
      </c>
      <c r="I26" s="3" t="s">
        <v>338</v>
      </c>
      <c r="J26" s="3" t="s">
        <v>18</v>
      </c>
      <c r="K26" s="6" t="s">
        <v>35</v>
      </c>
    </row>
    <row r="27" customFormat="false" ht="23.25" hidden="false" customHeight="true" outlineLevel="0" collapsed="false">
      <c r="A27" s="3" t="s">
        <v>382</v>
      </c>
      <c r="B27" s="3" t="s">
        <v>383</v>
      </c>
      <c r="C27" s="3" t="s">
        <v>53</v>
      </c>
      <c r="D27" s="3" t="s">
        <v>384</v>
      </c>
      <c r="E27" s="3" t="s">
        <v>385</v>
      </c>
      <c r="F27" s="3" t="s">
        <v>386</v>
      </c>
      <c r="G27" s="3" t="s">
        <v>387</v>
      </c>
      <c r="H27" s="3" t="s">
        <v>388</v>
      </c>
      <c r="I27" s="3" t="s">
        <v>389</v>
      </c>
      <c r="J27" s="3" t="s">
        <v>18</v>
      </c>
      <c r="K27" s="4" t="s">
        <v>73</v>
      </c>
    </row>
    <row r="28" customFormat="false" ht="23.25" hidden="false" customHeight="true" outlineLevel="0" collapsed="false">
      <c r="A28" s="3" t="s">
        <v>390</v>
      </c>
      <c r="B28" s="3" t="s">
        <v>391</v>
      </c>
      <c r="C28" s="3" t="s">
        <v>392</v>
      </c>
      <c r="D28" s="3" t="s">
        <v>384</v>
      </c>
      <c r="E28" s="3" t="s">
        <v>393</v>
      </c>
      <c r="F28" s="3" t="s">
        <v>394</v>
      </c>
      <c r="G28" s="3" t="s">
        <v>395</v>
      </c>
      <c r="H28" s="3" t="s">
        <v>303</v>
      </c>
      <c r="I28" s="3" t="s">
        <v>396</v>
      </c>
      <c r="J28" s="3" t="s">
        <v>18</v>
      </c>
      <c r="K28" s="6" t="s">
        <v>35</v>
      </c>
    </row>
    <row r="29" customFormat="false" ht="23.25" hidden="false" customHeight="true" outlineLevel="0" collapsed="false">
      <c r="A29" s="3" t="s">
        <v>397</v>
      </c>
      <c r="B29" s="3" t="s">
        <v>398</v>
      </c>
      <c r="C29" s="3" t="s">
        <v>67</v>
      </c>
      <c r="D29" s="3" t="s">
        <v>399</v>
      </c>
      <c r="E29" s="3" t="s">
        <v>400</v>
      </c>
      <c r="F29" s="3" t="s">
        <v>401</v>
      </c>
      <c r="G29" s="3" t="s">
        <v>402</v>
      </c>
      <c r="H29" s="3" t="s">
        <v>403</v>
      </c>
      <c r="I29" s="3" t="s">
        <v>404</v>
      </c>
      <c r="J29" s="3" t="s">
        <v>18</v>
      </c>
      <c r="K29" s="4" t="s">
        <v>73</v>
      </c>
    </row>
    <row r="30" customFormat="false" ht="15" hidden="false" customHeight="true" outlineLevel="0" collapsed="false">
      <c r="A30" s="3" t="s">
        <v>405</v>
      </c>
      <c r="B30" s="3" t="s">
        <v>406</v>
      </c>
      <c r="C30" s="3" t="s">
        <v>407</v>
      </c>
      <c r="D30" s="3" t="s">
        <v>399</v>
      </c>
      <c r="E30" s="3" t="s">
        <v>408</v>
      </c>
      <c r="F30" s="3" t="s">
        <v>409</v>
      </c>
      <c r="G30" s="3" t="s">
        <v>410</v>
      </c>
      <c r="H30" s="3" t="s">
        <v>303</v>
      </c>
      <c r="I30" s="3" t="s">
        <v>389</v>
      </c>
      <c r="J30" s="3" t="s">
        <v>18</v>
      </c>
      <c r="K30" s="4" t="s">
        <v>73</v>
      </c>
    </row>
    <row r="31" customFormat="false" ht="34.5" hidden="false" customHeight="true" outlineLevel="0" collapsed="false">
      <c r="A31" s="3" t="s">
        <v>411</v>
      </c>
      <c r="B31" s="3" t="s">
        <v>412</v>
      </c>
      <c r="C31" s="3" t="s">
        <v>92</v>
      </c>
      <c r="D31" s="3" t="s">
        <v>413</v>
      </c>
      <c r="E31" s="3" t="s">
        <v>414</v>
      </c>
      <c r="F31" s="3" t="s">
        <v>415</v>
      </c>
      <c r="G31" s="3" t="s">
        <v>416</v>
      </c>
      <c r="H31" s="3" t="s">
        <v>417</v>
      </c>
      <c r="I31" s="3" t="s">
        <v>418</v>
      </c>
      <c r="J31" s="3" t="s">
        <v>18</v>
      </c>
      <c r="K31" s="5" t="s">
        <v>23</v>
      </c>
    </row>
    <row r="32" customFormat="false" ht="15" hidden="false" customHeight="true" outlineLevel="0" collapsed="false">
      <c r="A32" s="3" t="s">
        <v>419</v>
      </c>
      <c r="B32" s="3" t="s">
        <v>420</v>
      </c>
      <c r="C32" s="3" t="s">
        <v>92</v>
      </c>
      <c r="D32" s="3" t="s">
        <v>413</v>
      </c>
      <c r="E32" s="3" t="s">
        <v>421</v>
      </c>
      <c r="F32" s="3" t="s">
        <v>422</v>
      </c>
      <c r="G32" s="3" t="s">
        <v>423</v>
      </c>
      <c r="H32" s="3" t="s">
        <v>303</v>
      </c>
      <c r="I32" s="3" t="s">
        <v>424</v>
      </c>
      <c r="J32" s="3" t="s">
        <v>18</v>
      </c>
      <c r="K32" s="4" t="s">
        <v>73</v>
      </c>
    </row>
    <row r="33" customFormat="false" ht="23.25" hidden="false" customHeight="true" outlineLevel="0" collapsed="false">
      <c r="A33" s="3" t="s">
        <v>425</v>
      </c>
      <c r="B33" s="3" t="s">
        <v>426</v>
      </c>
      <c r="C33" s="3" t="s">
        <v>83</v>
      </c>
      <c r="D33" s="3" t="s">
        <v>86</v>
      </c>
      <c r="E33" s="3" t="s">
        <v>427</v>
      </c>
      <c r="F33" s="3" t="s">
        <v>428</v>
      </c>
      <c r="G33" s="3" t="s">
        <v>429</v>
      </c>
      <c r="H33" s="3" t="s">
        <v>303</v>
      </c>
      <c r="I33" s="3" t="s">
        <v>430</v>
      </c>
      <c r="J33" s="3" t="s">
        <v>18</v>
      </c>
      <c r="K33" s="5" t="s">
        <v>23</v>
      </c>
    </row>
    <row r="34" customFormat="false" ht="23.25" hidden="false" customHeight="true" outlineLevel="0" collapsed="false">
      <c r="A34" s="3" t="s">
        <v>431</v>
      </c>
      <c r="B34" s="3" t="s">
        <v>432</v>
      </c>
      <c r="C34" s="3" t="s">
        <v>83</v>
      </c>
      <c r="D34" s="3" t="s">
        <v>86</v>
      </c>
      <c r="E34" s="3" t="s">
        <v>433</v>
      </c>
      <c r="F34" s="3" t="s">
        <v>434</v>
      </c>
      <c r="G34" s="3" t="s">
        <v>435</v>
      </c>
      <c r="H34" s="3" t="s">
        <v>303</v>
      </c>
      <c r="I34" s="3" t="s">
        <v>436</v>
      </c>
      <c r="J34" s="3" t="s">
        <v>18</v>
      </c>
      <c r="K34" s="5" t="s">
        <v>23</v>
      </c>
    </row>
    <row r="35" customFormat="false" ht="34.5" hidden="false" customHeight="true" outlineLevel="0" collapsed="false">
      <c r="A35" s="3" t="s">
        <v>437</v>
      </c>
      <c r="B35" s="3" t="s">
        <v>438</v>
      </c>
      <c r="C35" s="3" t="s">
        <v>106</v>
      </c>
      <c r="D35" s="3" t="s">
        <v>86</v>
      </c>
      <c r="E35" s="3" t="s">
        <v>439</v>
      </c>
      <c r="F35" s="3" t="s">
        <v>440</v>
      </c>
      <c r="G35" s="3" t="s">
        <v>441</v>
      </c>
      <c r="H35" s="3" t="s">
        <v>442</v>
      </c>
      <c r="I35" s="3" t="s">
        <v>338</v>
      </c>
      <c r="J35" s="3" t="s">
        <v>18</v>
      </c>
      <c r="K35" s="4" t="s">
        <v>73</v>
      </c>
    </row>
    <row r="36" customFormat="false" ht="34.5" hidden="false" customHeight="true" outlineLevel="0" collapsed="false">
      <c r="A36" s="3" t="s">
        <v>443</v>
      </c>
      <c r="B36" s="3" t="s">
        <v>444</v>
      </c>
      <c r="C36" s="3" t="s">
        <v>178</v>
      </c>
      <c r="D36" s="3" t="s">
        <v>445</v>
      </c>
      <c r="E36" s="3" t="s">
        <v>446</v>
      </c>
      <c r="F36" s="3" t="s">
        <v>447</v>
      </c>
      <c r="G36" s="3" t="s">
        <v>448</v>
      </c>
      <c r="H36" s="3" t="s">
        <v>449</v>
      </c>
      <c r="I36" s="3" t="s">
        <v>450</v>
      </c>
      <c r="J36" s="3" t="s">
        <v>18</v>
      </c>
      <c r="K36" s="4" t="s">
        <v>73</v>
      </c>
    </row>
  </sheetData>
  <autoFilter ref="A1:K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A2D"/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6" min="2" style="1" width="12"/>
  </cols>
  <sheetData>
    <row r="1" customFormat="false" ht="60" hidden="false" customHeight="true" outlineLevel="0" collapsed="false">
      <c r="A1" s="7" t="s">
        <v>451</v>
      </c>
      <c r="B1" s="8" t="s">
        <v>452</v>
      </c>
      <c r="C1" s="8" t="s">
        <v>453</v>
      </c>
      <c r="D1" s="8" t="s">
        <v>454</v>
      </c>
      <c r="E1" s="8" t="s">
        <v>455</v>
      </c>
      <c r="F1" s="8" t="s">
        <v>456</v>
      </c>
      <c r="G1" s="8" t="s">
        <v>457</v>
      </c>
      <c r="H1" s="8" t="s">
        <v>458</v>
      </c>
      <c r="I1" s="8" t="s">
        <v>459</v>
      </c>
      <c r="J1" s="8" t="s">
        <v>460</v>
      </c>
      <c r="K1" s="8" t="s">
        <v>461</v>
      </c>
      <c r="L1" s="8" t="s">
        <v>462</v>
      </c>
      <c r="M1" s="8" t="s">
        <v>463</v>
      </c>
      <c r="N1" s="8" t="s">
        <v>464</v>
      </c>
      <c r="O1" s="8" t="s">
        <v>465</v>
      </c>
      <c r="P1" s="8" t="s">
        <v>466</v>
      </c>
      <c r="Q1" s="8" t="s">
        <v>467</v>
      </c>
      <c r="R1" s="8" t="s">
        <v>468</v>
      </c>
      <c r="S1" s="8" t="s">
        <v>469</v>
      </c>
      <c r="T1" s="8" t="s">
        <v>470</v>
      </c>
      <c r="U1" s="8" t="s">
        <v>471</v>
      </c>
      <c r="V1" s="8" t="s">
        <v>472</v>
      </c>
      <c r="W1" s="8" t="s">
        <v>473</v>
      </c>
      <c r="X1" s="8" t="s">
        <v>474</v>
      </c>
      <c r="Y1" s="8" t="s">
        <v>475</v>
      </c>
      <c r="Z1" s="8" t="s">
        <v>476</v>
      </c>
    </row>
    <row r="2" customFormat="false" ht="15" hidden="false" customHeight="true" outlineLevel="0" collapsed="false">
      <c r="A2" s="9" t="s">
        <v>477</v>
      </c>
      <c r="B2" s="10" t="s">
        <v>19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23.25" hidden="false" customHeight="true" outlineLevel="0" collapsed="false">
      <c r="A3" s="9" t="s">
        <v>478</v>
      </c>
      <c r="B3" s="11"/>
      <c r="C3" s="10" t="s">
        <v>19</v>
      </c>
      <c r="D3" s="12" t="s">
        <v>479</v>
      </c>
      <c r="E3" s="11"/>
      <c r="F3" s="11"/>
      <c r="G3" s="11"/>
      <c r="H3" s="11"/>
      <c r="I3" s="13" t="s">
        <v>480</v>
      </c>
      <c r="J3" s="12" t="s">
        <v>481</v>
      </c>
      <c r="K3" s="11"/>
      <c r="L3" s="11"/>
      <c r="M3" s="11"/>
      <c r="N3" s="11"/>
      <c r="O3" s="13" t="s">
        <v>482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5.75" hidden="false" customHeight="true" outlineLevel="0" collapsed="false">
      <c r="A4" s="9" t="s">
        <v>483</v>
      </c>
      <c r="B4" s="11"/>
      <c r="C4" s="11"/>
      <c r="D4" s="10" t="s">
        <v>19</v>
      </c>
      <c r="E4" s="11"/>
      <c r="F4" s="11"/>
      <c r="G4" s="11"/>
      <c r="H4" s="11"/>
      <c r="I4" s="12" t="s">
        <v>484</v>
      </c>
      <c r="J4" s="12" t="s">
        <v>485</v>
      </c>
      <c r="K4" s="11"/>
      <c r="L4" s="11"/>
      <c r="M4" s="11"/>
      <c r="N4" s="11"/>
      <c r="O4" s="13" t="s">
        <v>486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.75" hidden="false" customHeight="true" outlineLevel="0" collapsed="false">
      <c r="A5" s="9" t="s">
        <v>487</v>
      </c>
      <c r="B5" s="11"/>
      <c r="C5" s="11"/>
      <c r="D5" s="12" t="s">
        <v>488</v>
      </c>
      <c r="E5" s="10" t="s">
        <v>19</v>
      </c>
      <c r="F5" s="12" t="s">
        <v>489</v>
      </c>
      <c r="G5" s="11"/>
      <c r="H5" s="11"/>
      <c r="I5" s="12" t="s">
        <v>490</v>
      </c>
      <c r="J5" s="12" t="s">
        <v>491</v>
      </c>
      <c r="K5" s="11"/>
      <c r="L5" s="11"/>
      <c r="M5" s="11"/>
      <c r="N5" s="11"/>
      <c r="O5" s="12" t="s">
        <v>492</v>
      </c>
      <c r="P5" s="13" t="s">
        <v>493</v>
      </c>
      <c r="Q5" s="11"/>
      <c r="R5" s="11"/>
      <c r="S5" s="11"/>
      <c r="T5" s="11"/>
      <c r="U5" s="11"/>
      <c r="V5" s="11"/>
      <c r="W5" s="11"/>
      <c r="X5" s="11"/>
      <c r="Y5" s="11"/>
      <c r="Z5" s="12" t="s">
        <v>494</v>
      </c>
    </row>
    <row r="6" customFormat="false" ht="15.75" hidden="false" customHeight="true" outlineLevel="0" collapsed="false">
      <c r="A6" s="9" t="s">
        <v>495</v>
      </c>
      <c r="B6" s="11"/>
      <c r="C6" s="11"/>
      <c r="D6" s="11"/>
      <c r="E6" s="11"/>
      <c r="F6" s="10" t="s">
        <v>19</v>
      </c>
      <c r="G6" s="11"/>
      <c r="H6" s="11"/>
      <c r="I6" s="12" t="s">
        <v>496</v>
      </c>
      <c r="J6" s="12" t="s">
        <v>497</v>
      </c>
      <c r="K6" s="13" t="s">
        <v>498</v>
      </c>
      <c r="L6" s="11"/>
      <c r="M6" s="11"/>
      <c r="N6" s="11"/>
      <c r="O6" s="13" t="s">
        <v>499</v>
      </c>
      <c r="P6" s="12" t="s">
        <v>500</v>
      </c>
      <c r="Q6" s="11"/>
      <c r="R6" s="11"/>
      <c r="S6" s="11"/>
      <c r="T6" s="11"/>
      <c r="U6" s="11"/>
      <c r="V6" s="11"/>
      <c r="W6" s="11"/>
      <c r="X6" s="11"/>
      <c r="Y6" s="11"/>
      <c r="Z6" s="12" t="s">
        <v>501</v>
      </c>
    </row>
    <row r="7" customFormat="false" ht="15.75" hidden="false" customHeight="true" outlineLevel="0" collapsed="false">
      <c r="A7" s="9" t="s">
        <v>502</v>
      </c>
      <c r="B7" s="11"/>
      <c r="C7" s="11"/>
      <c r="D7" s="11"/>
      <c r="E7" s="11"/>
      <c r="F7" s="12" t="s">
        <v>503</v>
      </c>
      <c r="G7" s="10" t="s">
        <v>19</v>
      </c>
      <c r="H7" s="11"/>
      <c r="I7" s="12" t="s">
        <v>504</v>
      </c>
      <c r="J7" s="12" t="s">
        <v>505</v>
      </c>
      <c r="K7" s="11"/>
      <c r="L7" s="11"/>
      <c r="M7" s="11"/>
      <c r="N7" s="11"/>
      <c r="O7" s="12" t="s">
        <v>506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2" t="s">
        <v>507</v>
      </c>
    </row>
    <row r="8" customFormat="false" ht="15.75" hidden="false" customHeight="true" outlineLevel="0" collapsed="false">
      <c r="A8" s="9" t="s">
        <v>508</v>
      </c>
      <c r="B8" s="11"/>
      <c r="C8" s="11"/>
      <c r="D8" s="11"/>
      <c r="E8" s="11"/>
      <c r="F8" s="13" t="s">
        <v>509</v>
      </c>
      <c r="G8" s="11"/>
      <c r="H8" s="10" t="s">
        <v>19</v>
      </c>
      <c r="I8" s="13" t="s">
        <v>510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23.25" hidden="false" customHeight="true" outlineLevel="0" collapsed="false">
      <c r="A9" s="9" t="s">
        <v>511</v>
      </c>
      <c r="B9" s="12" t="s">
        <v>512</v>
      </c>
      <c r="C9" s="11"/>
      <c r="D9" s="11"/>
      <c r="E9" s="11"/>
      <c r="F9" s="11"/>
      <c r="G9" s="11"/>
      <c r="H9" s="11"/>
      <c r="I9" s="10" t="s">
        <v>19</v>
      </c>
      <c r="J9" s="12" t="s">
        <v>513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 t="s">
        <v>514</v>
      </c>
    </row>
    <row r="10" customFormat="false" ht="23.25" hidden="false" customHeight="true" outlineLevel="0" collapsed="false">
      <c r="A10" s="9" t="s">
        <v>515</v>
      </c>
      <c r="B10" s="12" t="s">
        <v>516</v>
      </c>
      <c r="C10" s="11"/>
      <c r="D10" s="11"/>
      <c r="E10" s="11"/>
      <c r="F10" s="11"/>
      <c r="G10" s="11"/>
      <c r="H10" s="11"/>
      <c r="I10" s="11"/>
      <c r="J10" s="10" t="s">
        <v>19</v>
      </c>
      <c r="K10" s="12" t="s">
        <v>517</v>
      </c>
      <c r="L10" s="12" t="s">
        <v>518</v>
      </c>
      <c r="M10" s="12" t="s">
        <v>519</v>
      </c>
      <c r="N10" s="11"/>
      <c r="O10" s="13" t="s">
        <v>520</v>
      </c>
      <c r="P10" s="11"/>
      <c r="Q10" s="11"/>
      <c r="R10" s="11"/>
      <c r="S10" s="11"/>
      <c r="T10" s="11"/>
      <c r="U10" s="11"/>
      <c r="V10" s="11"/>
      <c r="W10" s="12" t="s">
        <v>521</v>
      </c>
      <c r="X10" s="11"/>
      <c r="Y10" s="11"/>
      <c r="Z10" s="11"/>
    </row>
    <row r="11" customFormat="false" ht="15.75" hidden="false" customHeight="true" outlineLevel="0" collapsed="false">
      <c r="A11" s="9" t="s">
        <v>522</v>
      </c>
      <c r="B11" s="13" t="s">
        <v>523</v>
      </c>
      <c r="C11" s="11"/>
      <c r="D11" s="11"/>
      <c r="E11" s="11"/>
      <c r="F11" s="11"/>
      <c r="G11" s="11"/>
      <c r="H11" s="11"/>
      <c r="I11" s="11"/>
      <c r="J11" s="13" t="s">
        <v>524</v>
      </c>
      <c r="K11" s="10" t="s">
        <v>19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.75" hidden="false" customHeight="true" outlineLevel="0" collapsed="false">
      <c r="A12" s="9" t="s">
        <v>525</v>
      </c>
      <c r="B12" s="13" t="s">
        <v>526</v>
      </c>
      <c r="C12" s="11"/>
      <c r="D12" s="11"/>
      <c r="E12" s="11"/>
      <c r="F12" s="11"/>
      <c r="G12" s="11"/>
      <c r="H12" s="11"/>
      <c r="I12" s="11"/>
      <c r="J12" s="12" t="s">
        <v>527</v>
      </c>
      <c r="K12" s="11"/>
      <c r="L12" s="10" t="s">
        <v>19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5" hidden="false" customHeight="true" outlineLevel="0" collapsed="false">
      <c r="A13" s="9" t="s">
        <v>528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0" t="s">
        <v>19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5" hidden="false" customHeight="true" outlineLevel="0" collapsed="false">
      <c r="A14" s="9" t="s">
        <v>529</v>
      </c>
      <c r="B14" s="13" t="s">
        <v>530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0" t="s">
        <v>19</v>
      </c>
      <c r="O14" s="13" t="s">
        <v>531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5.75" hidden="false" customHeight="true" outlineLevel="0" collapsed="false">
      <c r="A15" s="9" t="s">
        <v>532</v>
      </c>
      <c r="B15" s="12" t="s">
        <v>533</v>
      </c>
      <c r="C15" s="11"/>
      <c r="D15" s="11"/>
      <c r="E15" s="11"/>
      <c r="F15" s="11"/>
      <c r="G15" s="11"/>
      <c r="H15" s="11"/>
      <c r="I15" s="13" t="s">
        <v>534</v>
      </c>
      <c r="J15" s="11"/>
      <c r="K15" s="11"/>
      <c r="L15" s="11"/>
      <c r="M15" s="11"/>
      <c r="N15" s="11"/>
      <c r="O15" s="10" t="s">
        <v>19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 t="s">
        <v>535</v>
      </c>
    </row>
    <row r="16" customFormat="false" ht="23.25" hidden="false" customHeight="true" outlineLevel="0" collapsed="false">
      <c r="A16" s="9" t="s">
        <v>536</v>
      </c>
      <c r="B16" s="11"/>
      <c r="C16" s="11"/>
      <c r="D16" s="11"/>
      <c r="E16" s="11"/>
      <c r="F16" s="12" t="s">
        <v>537</v>
      </c>
      <c r="G16" s="11"/>
      <c r="H16" s="11"/>
      <c r="I16" s="13" t="s">
        <v>538</v>
      </c>
      <c r="J16" s="11"/>
      <c r="K16" s="11"/>
      <c r="L16" s="11"/>
      <c r="M16" s="11"/>
      <c r="N16" s="11"/>
      <c r="O16" s="11"/>
      <c r="P16" s="10" t="s">
        <v>19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5" hidden="false" customHeight="true" outlineLevel="0" collapsed="false">
      <c r="A17" s="9" t="s">
        <v>539</v>
      </c>
      <c r="B17" s="13" t="s">
        <v>540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0" t="s">
        <v>19</v>
      </c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" hidden="false" customHeight="true" outlineLevel="0" collapsed="false">
      <c r="A18" s="9" t="s">
        <v>541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0" t="s">
        <v>19</v>
      </c>
      <c r="S18" s="11"/>
      <c r="T18" s="11"/>
      <c r="U18" s="11"/>
      <c r="V18" s="11"/>
      <c r="W18" s="11"/>
      <c r="X18" s="11"/>
      <c r="Y18" s="11"/>
      <c r="Z18" s="11"/>
    </row>
    <row r="19" customFormat="false" ht="15" hidden="false" customHeight="true" outlineLevel="0" collapsed="false">
      <c r="A19" s="9" t="s">
        <v>542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0" t="s">
        <v>19</v>
      </c>
      <c r="T19" s="11"/>
      <c r="U19" s="11"/>
      <c r="V19" s="11"/>
      <c r="W19" s="11"/>
      <c r="X19" s="11"/>
      <c r="Y19" s="11"/>
      <c r="Z19" s="11"/>
    </row>
    <row r="20" customFormat="false" ht="15.75" hidden="false" customHeight="true" outlineLevel="0" collapsed="false">
      <c r="A20" s="9" t="s">
        <v>543</v>
      </c>
      <c r="B20" s="11"/>
      <c r="C20" s="11"/>
      <c r="D20" s="11"/>
      <c r="E20" s="12" t="s">
        <v>544</v>
      </c>
      <c r="F20" s="11"/>
      <c r="G20" s="12" t="s">
        <v>545</v>
      </c>
      <c r="H20" s="11"/>
      <c r="I20" s="11"/>
      <c r="J20" s="11"/>
      <c r="K20" s="11"/>
      <c r="L20" s="11"/>
      <c r="M20" s="11"/>
      <c r="N20" s="11"/>
      <c r="O20" s="13" t="s">
        <v>546</v>
      </c>
      <c r="P20" s="11"/>
      <c r="Q20" s="11"/>
      <c r="R20" s="11"/>
      <c r="S20" s="11"/>
      <c r="T20" s="10" t="s">
        <v>19</v>
      </c>
      <c r="U20" s="11"/>
      <c r="V20" s="11"/>
      <c r="W20" s="11"/>
      <c r="X20" s="11"/>
      <c r="Y20" s="11"/>
      <c r="Z20" s="11"/>
    </row>
    <row r="21" customFormat="false" ht="15" hidden="false" customHeight="true" outlineLevel="0" collapsed="false">
      <c r="A21" s="9" t="s">
        <v>547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0" t="s">
        <v>19</v>
      </c>
      <c r="V21" s="11"/>
      <c r="W21" s="11"/>
      <c r="X21" s="11"/>
      <c r="Y21" s="11"/>
      <c r="Z21" s="11"/>
    </row>
    <row r="22" customFormat="false" ht="15" hidden="false" customHeight="true" outlineLevel="0" collapsed="false">
      <c r="A22" s="9" t="s">
        <v>548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0" t="s">
        <v>19</v>
      </c>
      <c r="W22" s="11"/>
      <c r="X22" s="11"/>
      <c r="Y22" s="11"/>
      <c r="Z22" s="11"/>
    </row>
    <row r="23" customFormat="false" ht="15" hidden="false" customHeight="true" outlineLevel="0" collapsed="false">
      <c r="A23" s="9" t="s">
        <v>549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0" t="s">
        <v>19</v>
      </c>
      <c r="X23" s="11"/>
      <c r="Y23" s="11"/>
      <c r="Z23" s="11"/>
    </row>
    <row r="24" customFormat="false" ht="15" hidden="false" customHeight="true" outlineLevel="0" collapsed="false">
      <c r="A24" s="9" t="s">
        <v>550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0" t="s">
        <v>19</v>
      </c>
      <c r="Y24" s="11"/>
      <c r="Z24" s="11"/>
    </row>
    <row r="25" customFormat="false" ht="15.75" hidden="false" customHeight="true" outlineLevel="0" collapsed="false">
      <c r="A25" s="9" t="s">
        <v>551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0" t="s">
        <v>19</v>
      </c>
      <c r="Z25" s="13" t="s">
        <v>552</v>
      </c>
    </row>
    <row r="26" customFormat="false" ht="15.75" hidden="false" customHeight="true" outlineLevel="0" collapsed="false">
      <c r="A26" s="9" t="s">
        <v>553</v>
      </c>
      <c r="B26" s="12" t="s">
        <v>554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 t="s">
        <v>555</v>
      </c>
      <c r="V26" s="11"/>
      <c r="W26" s="11"/>
      <c r="X26" s="12" t="s">
        <v>556</v>
      </c>
      <c r="Y26" s="11"/>
      <c r="Z26" s="1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100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5"/>
    <col collapsed="false" customWidth="true" hidden="false" outlineLevel="0" max="5" min="5" style="1" width="45"/>
    <col collapsed="false" customWidth="true" hidden="false" outlineLevel="0" max="6" min="6" style="1" width="25"/>
    <col collapsed="false" customWidth="true" hidden="false" outlineLevel="0" max="8" min="7" style="1" width="18"/>
    <col collapsed="false" customWidth="true" hidden="false" outlineLevel="0" max="9" min="9" style="1" width="50"/>
  </cols>
  <sheetData>
    <row r="1" customFormat="false" ht="26.25" hidden="false" customHeight="true" outlineLevel="0" collapsed="false">
      <c r="A1" s="2" t="s">
        <v>557</v>
      </c>
      <c r="B1" s="2" t="s">
        <v>558</v>
      </c>
      <c r="C1" s="2" t="s">
        <v>559</v>
      </c>
      <c r="D1" s="2" t="s">
        <v>560</v>
      </c>
      <c r="E1" s="2" t="s">
        <v>561</v>
      </c>
      <c r="F1" s="2" t="s">
        <v>562</v>
      </c>
      <c r="G1" s="2" t="s">
        <v>563</v>
      </c>
      <c r="H1" s="2" t="s">
        <v>564</v>
      </c>
      <c r="I1" s="2" t="s">
        <v>565</v>
      </c>
    </row>
    <row r="2" customFormat="false" ht="23.25" hidden="false" customHeight="true" outlineLevel="0" collapsed="false">
      <c r="A2" s="3" t="s">
        <v>478</v>
      </c>
      <c r="B2" s="3" t="s">
        <v>31</v>
      </c>
      <c r="C2" s="5" t="s">
        <v>566</v>
      </c>
      <c r="D2" s="3" t="s">
        <v>567</v>
      </c>
      <c r="E2" s="3" t="s">
        <v>568</v>
      </c>
      <c r="F2" s="3" t="s">
        <v>569</v>
      </c>
      <c r="G2" s="3" t="s">
        <v>570</v>
      </c>
      <c r="H2" s="3" t="s">
        <v>571</v>
      </c>
      <c r="I2" s="3" t="s">
        <v>572</v>
      </c>
    </row>
    <row r="3" customFormat="false" ht="23.25" hidden="false" customHeight="true" outlineLevel="0" collapsed="false">
      <c r="A3" s="3" t="s">
        <v>487</v>
      </c>
      <c r="B3" s="3" t="s">
        <v>48</v>
      </c>
      <c r="C3" s="5" t="s">
        <v>566</v>
      </c>
      <c r="D3" s="3" t="s">
        <v>573</v>
      </c>
      <c r="E3" s="3" t="s">
        <v>574</v>
      </c>
      <c r="F3" s="3" t="s">
        <v>575</v>
      </c>
      <c r="G3" s="3" t="s">
        <v>570</v>
      </c>
      <c r="H3" s="3" t="s">
        <v>576</v>
      </c>
      <c r="I3" s="3" t="s">
        <v>577</v>
      </c>
    </row>
    <row r="4" customFormat="false" ht="23.25" hidden="false" customHeight="true" outlineLevel="0" collapsed="false">
      <c r="A4" s="3" t="s">
        <v>578</v>
      </c>
      <c r="B4" s="3" t="s">
        <v>19</v>
      </c>
      <c r="C4" s="4" t="s">
        <v>579</v>
      </c>
      <c r="D4" s="3" t="s">
        <v>580</v>
      </c>
      <c r="E4" s="3" t="s">
        <v>581</v>
      </c>
      <c r="F4" s="3" t="s">
        <v>582</v>
      </c>
      <c r="G4" s="3" t="s">
        <v>43</v>
      </c>
      <c r="H4" s="3" t="s">
        <v>571</v>
      </c>
      <c r="I4" s="3" t="s">
        <v>583</v>
      </c>
    </row>
    <row r="5" customFormat="false" ht="23.25" hidden="false" customHeight="true" outlineLevel="0" collapsed="false">
      <c r="A5" s="3" t="s">
        <v>502</v>
      </c>
      <c r="B5" s="3" t="s">
        <v>19</v>
      </c>
      <c r="C5" s="4" t="s">
        <v>579</v>
      </c>
      <c r="D5" s="3" t="s">
        <v>584</v>
      </c>
      <c r="E5" s="3" t="s">
        <v>585</v>
      </c>
      <c r="F5" s="3" t="s">
        <v>586</v>
      </c>
      <c r="G5" s="3" t="s">
        <v>43</v>
      </c>
      <c r="H5" s="3" t="s">
        <v>571</v>
      </c>
      <c r="I5" s="3" t="s">
        <v>587</v>
      </c>
    </row>
    <row r="6" customFormat="false" ht="23.25" hidden="false" customHeight="true" outlineLevel="0" collapsed="false">
      <c r="A6" s="3" t="s">
        <v>508</v>
      </c>
      <c r="B6" s="3" t="s">
        <v>19</v>
      </c>
      <c r="C6" s="4" t="s">
        <v>579</v>
      </c>
      <c r="D6" s="3" t="s">
        <v>588</v>
      </c>
      <c r="E6" s="3" t="s">
        <v>589</v>
      </c>
      <c r="F6" s="3" t="s">
        <v>590</v>
      </c>
      <c r="G6" s="3" t="s">
        <v>74</v>
      </c>
      <c r="H6" s="3" t="s">
        <v>576</v>
      </c>
      <c r="I6" s="3" t="s">
        <v>591</v>
      </c>
    </row>
    <row r="7" customFormat="false" ht="23.25" hidden="false" customHeight="true" outlineLevel="0" collapsed="false">
      <c r="A7" s="3" t="s">
        <v>511</v>
      </c>
      <c r="B7" s="3" t="s">
        <v>19</v>
      </c>
      <c r="C7" s="4" t="s">
        <v>579</v>
      </c>
      <c r="D7" s="3" t="s">
        <v>592</v>
      </c>
      <c r="E7" s="3" t="s">
        <v>593</v>
      </c>
      <c r="F7" s="3" t="s">
        <v>594</v>
      </c>
      <c r="G7" s="3" t="s">
        <v>24</v>
      </c>
      <c r="H7" s="3" t="s">
        <v>576</v>
      </c>
      <c r="I7" s="3" t="s">
        <v>595</v>
      </c>
    </row>
    <row r="8" customFormat="false" ht="23.25" hidden="false" customHeight="true" outlineLevel="0" collapsed="false">
      <c r="A8" s="3" t="s">
        <v>515</v>
      </c>
      <c r="B8" s="3" t="s">
        <v>19</v>
      </c>
      <c r="C8" s="4" t="s">
        <v>579</v>
      </c>
      <c r="D8" s="3" t="s">
        <v>596</v>
      </c>
      <c r="E8" s="3" t="s">
        <v>597</v>
      </c>
      <c r="F8" s="3" t="s">
        <v>586</v>
      </c>
      <c r="G8" s="3" t="s">
        <v>24</v>
      </c>
      <c r="H8" s="3" t="s">
        <v>576</v>
      </c>
      <c r="I8" s="3" t="s">
        <v>598</v>
      </c>
    </row>
    <row r="9" customFormat="false" ht="23.25" hidden="false" customHeight="true" outlineLevel="0" collapsed="false">
      <c r="A9" s="3" t="s">
        <v>543</v>
      </c>
      <c r="B9" s="3" t="s">
        <v>19</v>
      </c>
      <c r="C9" s="4" t="s">
        <v>579</v>
      </c>
      <c r="D9" s="3" t="s">
        <v>599</v>
      </c>
      <c r="E9" s="3" t="s">
        <v>600</v>
      </c>
      <c r="F9" s="3" t="s">
        <v>601</v>
      </c>
      <c r="G9" s="3" t="s">
        <v>24</v>
      </c>
      <c r="H9" s="3" t="s">
        <v>576</v>
      </c>
      <c r="I9" s="3" t="s">
        <v>602</v>
      </c>
    </row>
    <row r="10" customFormat="false" ht="23.25" hidden="false" customHeight="true" outlineLevel="0" collapsed="false">
      <c r="A10" s="3" t="s">
        <v>553</v>
      </c>
      <c r="B10" s="3" t="s">
        <v>19</v>
      </c>
      <c r="C10" s="4" t="s">
        <v>579</v>
      </c>
      <c r="D10" s="3" t="s">
        <v>603</v>
      </c>
      <c r="E10" s="3" t="s">
        <v>604</v>
      </c>
      <c r="F10" s="3" t="s">
        <v>586</v>
      </c>
      <c r="G10" s="3" t="s">
        <v>24</v>
      </c>
      <c r="H10" s="3" t="s">
        <v>571</v>
      </c>
      <c r="I10" s="3" t="s">
        <v>605</v>
      </c>
    </row>
    <row r="11" customFormat="false" ht="23.25" hidden="false" customHeight="true" outlineLevel="0" collapsed="false">
      <c r="A11" s="3" t="s">
        <v>532</v>
      </c>
      <c r="B11" s="3" t="s">
        <v>19</v>
      </c>
      <c r="C11" s="4" t="s">
        <v>579</v>
      </c>
      <c r="D11" s="3" t="s">
        <v>606</v>
      </c>
      <c r="E11" s="3" t="s">
        <v>607</v>
      </c>
      <c r="F11" s="3" t="s">
        <v>586</v>
      </c>
      <c r="G11" s="3" t="s">
        <v>43</v>
      </c>
      <c r="H11" s="3" t="s">
        <v>571</v>
      </c>
      <c r="I11" s="3" t="s">
        <v>608</v>
      </c>
    </row>
    <row r="12" customFormat="false" ht="23.25" hidden="false" customHeight="true" outlineLevel="0" collapsed="false">
      <c r="A12" s="3" t="s">
        <v>495</v>
      </c>
      <c r="B12" s="3" t="s">
        <v>19</v>
      </c>
      <c r="C12" s="4" t="s">
        <v>579</v>
      </c>
      <c r="D12" s="3" t="s">
        <v>609</v>
      </c>
      <c r="E12" s="3" t="s">
        <v>610</v>
      </c>
      <c r="F12" s="3" t="s">
        <v>611</v>
      </c>
      <c r="G12" s="3" t="s">
        <v>43</v>
      </c>
      <c r="H12" s="3" t="s">
        <v>576</v>
      </c>
      <c r="I12" s="3" t="s">
        <v>612</v>
      </c>
    </row>
    <row r="13" customFormat="false" ht="23.25" hidden="false" customHeight="true" outlineLevel="0" collapsed="false">
      <c r="A13" s="3" t="s">
        <v>536</v>
      </c>
      <c r="B13" s="3" t="s">
        <v>19</v>
      </c>
      <c r="C13" s="4" t="s">
        <v>579</v>
      </c>
      <c r="D13" s="3" t="s">
        <v>613</v>
      </c>
      <c r="E13" s="3" t="s">
        <v>614</v>
      </c>
      <c r="F13" s="3" t="s">
        <v>615</v>
      </c>
      <c r="G13" s="3" t="s">
        <v>43</v>
      </c>
      <c r="H13" s="3" t="s">
        <v>571</v>
      </c>
      <c r="I13" s="3" t="s">
        <v>616</v>
      </c>
    </row>
    <row r="14" customFormat="false" ht="23.25" hidden="false" customHeight="true" outlineLevel="0" collapsed="false">
      <c r="A14" s="3" t="s">
        <v>548</v>
      </c>
      <c r="B14" s="3" t="s">
        <v>19</v>
      </c>
      <c r="C14" s="4" t="s">
        <v>579</v>
      </c>
      <c r="D14" s="3" t="s">
        <v>617</v>
      </c>
      <c r="E14" s="3" t="s">
        <v>618</v>
      </c>
      <c r="F14" s="3" t="s">
        <v>619</v>
      </c>
      <c r="G14" s="3" t="s">
        <v>43</v>
      </c>
      <c r="H14" s="3" t="s">
        <v>620</v>
      </c>
      <c r="I14" s="3" t="s">
        <v>621</v>
      </c>
    </row>
  </sheetData>
  <autoFilter ref="A1:I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D4A"/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5" min="4" style="1" width="50"/>
    <col collapsed="false" customWidth="true" hidden="false" outlineLevel="0" max="6" min="6" style="1" width="45"/>
    <col collapsed="false" customWidth="true" hidden="false" outlineLevel="0" max="7" min="7" style="1" width="50"/>
    <col collapsed="false" customWidth="true" hidden="false" outlineLevel="0" max="8" min="8" style="1" width="20"/>
    <col collapsed="false" customWidth="true" hidden="false" outlineLevel="0" max="9" min="9" style="1" width="12"/>
  </cols>
  <sheetData>
    <row r="1" customFormat="false" ht="26.25" hidden="false" customHeight="true" outlineLevel="0" collapsed="false">
      <c r="A1" s="2" t="s">
        <v>557</v>
      </c>
      <c r="B1" s="2" t="s">
        <v>622</v>
      </c>
      <c r="C1" s="2" t="s">
        <v>623</v>
      </c>
      <c r="D1" s="2" t="s">
        <v>624</v>
      </c>
      <c r="E1" s="2" t="s">
        <v>625</v>
      </c>
      <c r="F1" s="2" t="s">
        <v>626</v>
      </c>
      <c r="G1" s="2" t="s">
        <v>627</v>
      </c>
      <c r="H1" s="2" t="s">
        <v>628</v>
      </c>
      <c r="I1" s="2" t="s">
        <v>10</v>
      </c>
    </row>
    <row r="2" customFormat="false" ht="23.25" hidden="false" customHeight="true" outlineLevel="0" collapsed="false">
      <c r="A2" s="3" t="s">
        <v>477</v>
      </c>
      <c r="B2" s="3" t="s">
        <v>25</v>
      </c>
      <c r="C2" s="3" t="s">
        <v>629</v>
      </c>
      <c r="D2" s="3" t="s">
        <v>630</v>
      </c>
      <c r="E2" s="3" t="s">
        <v>631</v>
      </c>
      <c r="F2" s="3" t="s">
        <v>632</v>
      </c>
      <c r="G2" s="3" t="s">
        <v>633</v>
      </c>
      <c r="H2" s="3" t="s">
        <v>634</v>
      </c>
      <c r="I2" s="6" t="s">
        <v>35</v>
      </c>
    </row>
    <row r="3" customFormat="false" ht="23.25" hidden="false" customHeight="true" outlineLevel="0" collapsed="false">
      <c r="A3" s="3" t="s">
        <v>478</v>
      </c>
      <c r="B3" s="3" t="s">
        <v>36</v>
      </c>
      <c r="C3" s="3" t="s">
        <v>635</v>
      </c>
      <c r="D3" s="3" t="s">
        <v>636</v>
      </c>
      <c r="E3" s="3" t="s">
        <v>637</v>
      </c>
      <c r="F3" s="3" t="s">
        <v>638</v>
      </c>
      <c r="G3" s="3" t="s">
        <v>639</v>
      </c>
      <c r="H3" s="3" t="s">
        <v>640</v>
      </c>
      <c r="I3" s="6" t="s">
        <v>35</v>
      </c>
    </row>
    <row r="4" customFormat="false" ht="23.25" hidden="false" customHeight="true" outlineLevel="0" collapsed="false">
      <c r="A4" s="3" t="s">
        <v>483</v>
      </c>
      <c r="B4" s="3" t="s">
        <v>44</v>
      </c>
      <c r="C4" s="3" t="s">
        <v>641</v>
      </c>
      <c r="D4" s="3" t="s">
        <v>642</v>
      </c>
      <c r="E4" s="3" t="s">
        <v>643</v>
      </c>
      <c r="F4" s="3" t="s">
        <v>644</v>
      </c>
      <c r="G4" s="3" t="s">
        <v>645</v>
      </c>
      <c r="H4" s="3" t="s">
        <v>313</v>
      </c>
      <c r="I4" s="6" t="s">
        <v>35</v>
      </c>
    </row>
    <row r="5" customFormat="false" ht="23.25" hidden="false" customHeight="true" outlineLevel="0" collapsed="false">
      <c r="A5" s="3" t="s">
        <v>487</v>
      </c>
      <c r="B5" s="3" t="s">
        <v>52</v>
      </c>
      <c r="C5" s="3" t="s">
        <v>646</v>
      </c>
      <c r="D5" s="3" t="s">
        <v>647</v>
      </c>
      <c r="E5" s="3" t="s">
        <v>648</v>
      </c>
      <c r="F5" s="3" t="s">
        <v>649</v>
      </c>
      <c r="G5" s="3" t="s">
        <v>650</v>
      </c>
      <c r="H5" s="3" t="s">
        <v>651</v>
      </c>
      <c r="I5" s="6" t="s">
        <v>35</v>
      </c>
    </row>
    <row r="6" customFormat="false" ht="23.25" hidden="false" customHeight="true" outlineLevel="0" collapsed="false">
      <c r="A6" s="3" t="s">
        <v>495</v>
      </c>
      <c r="B6" s="3" t="s">
        <v>60</v>
      </c>
      <c r="C6" s="3" t="s">
        <v>652</v>
      </c>
      <c r="D6" s="3" t="s">
        <v>653</v>
      </c>
      <c r="E6" s="3" t="s">
        <v>654</v>
      </c>
      <c r="F6" s="3" t="s">
        <v>655</v>
      </c>
      <c r="G6" s="3" t="s">
        <v>656</v>
      </c>
      <c r="H6" s="3" t="s">
        <v>657</v>
      </c>
      <c r="I6" s="6" t="s">
        <v>35</v>
      </c>
    </row>
    <row r="7" customFormat="false" ht="23.25" hidden="false" customHeight="true" outlineLevel="0" collapsed="false">
      <c r="A7" s="3" t="s">
        <v>502</v>
      </c>
      <c r="B7" s="3" t="s">
        <v>658</v>
      </c>
      <c r="C7" s="3" t="s">
        <v>659</v>
      </c>
      <c r="D7" s="3" t="s">
        <v>660</v>
      </c>
      <c r="E7" s="3" t="s">
        <v>661</v>
      </c>
      <c r="F7" s="3" t="s">
        <v>662</v>
      </c>
      <c r="G7" s="3" t="s">
        <v>663</v>
      </c>
      <c r="H7" s="3" t="s">
        <v>284</v>
      </c>
      <c r="I7" s="5" t="s">
        <v>23</v>
      </c>
    </row>
    <row r="8" customFormat="false" ht="23.25" hidden="false" customHeight="true" outlineLevel="0" collapsed="false">
      <c r="A8" s="3" t="s">
        <v>508</v>
      </c>
      <c r="B8" s="3" t="s">
        <v>75</v>
      </c>
      <c r="C8" s="3" t="s">
        <v>664</v>
      </c>
      <c r="D8" s="3" t="s">
        <v>665</v>
      </c>
      <c r="E8" s="3" t="s">
        <v>666</v>
      </c>
      <c r="F8" s="3" t="s">
        <v>667</v>
      </c>
      <c r="G8" s="3" t="s">
        <v>668</v>
      </c>
      <c r="H8" s="3" t="s">
        <v>404</v>
      </c>
      <c r="I8" s="4" t="s">
        <v>73</v>
      </c>
    </row>
    <row r="9" customFormat="false" ht="23.25" hidden="false" customHeight="true" outlineLevel="0" collapsed="false">
      <c r="A9" s="3" t="s">
        <v>511</v>
      </c>
      <c r="B9" s="3" t="s">
        <v>82</v>
      </c>
      <c r="C9" s="3" t="s">
        <v>669</v>
      </c>
      <c r="D9" s="3" t="s">
        <v>670</v>
      </c>
      <c r="E9" s="3" t="s">
        <v>671</v>
      </c>
      <c r="F9" s="3" t="s">
        <v>672</v>
      </c>
      <c r="G9" s="3" t="s">
        <v>673</v>
      </c>
      <c r="H9" s="3" t="s">
        <v>674</v>
      </c>
      <c r="I9" s="6" t="s">
        <v>35</v>
      </c>
    </row>
    <row r="10" customFormat="false" ht="23.25" hidden="false" customHeight="true" outlineLevel="0" collapsed="false">
      <c r="A10" s="3" t="s">
        <v>515</v>
      </c>
      <c r="B10" s="3" t="s">
        <v>91</v>
      </c>
      <c r="C10" s="3" t="s">
        <v>675</v>
      </c>
      <c r="D10" s="3" t="s">
        <v>676</v>
      </c>
      <c r="E10" s="3" t="s">
        <v>677</v>
      </c>
      <c r="F10" s="3" t="s">
        <v>678</v>
      </c>
      <c r="G10" s="3" t="s">
        <v>679</v>
      </c>
      <c r="H10" s="3" t="s">
        <v>326</v>
      </c>
      <c r="I10" s="6" t="s">
        <v>35</v>
      </c>
    </row>
    <row r="11" customFormat="false" ht="23.25" hidden="false" customHeight="true" outlineLevel="0" collapsed="false">
      <c r="A11" s="3" t="s">
        <v>522</v>
      </c>
      <c r="B11" s="3" t="s">
        <v>680</v>
      </c>
      <c r="C11" s="3" t="s">
        <v>681</v>
      </c>
      <c r="D11" s="3" t="s">
        <v>682</v>
      </c>
      <c r="E11" s="3" t="s">
        <v>683</v>
      </c>
      <c r="F11" s="3" t="s">
        <v>684</v>
      </c>
      <c r="G11" s="3" t="s">
        <v>685</v>
      </c>
      <c r="H11" s="3" t="s">
        <v>418</v>
      </c>
      <c r="I11" s="5" t="s">
        <v>23</v>
      </c>
    </row>
    <row r="12" customFormat="false" ht="23.25" hidden="false" customHeight="true" outlineLevel="0" collapsed="false">
      <c r="A12" s="3" t="s">
        <v>525</v>
      </c>
      <c r="B12" s="3" t="s">
        <v>105</v>
      </c>
      <c r="C12" s="3" t="s">
        <v>686</v>
      </c>
      <c r="D12" s="3" t="s">
        <v>687</v>
      </c>
      <c r="E12" s="3" t="s">
        <v>688</v>
      </c>
      <c r="F12" s="3" t="s">
        <v>689</v>
      </c>
      <c r="G12" s="3" t="s">
        <v>690</v>
      </c>
      <c r="H12" s="3" t="s">
        <v>691</v>
      </c>
      <c r="I12" s="6" t="s">
        <v>35</v>
      </c>
    </row>
    <row r="13" customFormat="false" ht="23.25" hidden="false" customHeight="true" outlineLevel="0" collapsed="false">
      <c r="A13" s="3" t="s">
        <v>528</v>
      </c>
      <c r="B13" s="3" t="s">
        <v>112</v>
      </c>
      <c r="C13" s="3" t="s">
        <v>692</v>
      </c>
      <c r="D13" s="3" t="s">
        <v>693</v>
      </c>
      <c r="E13" s="3" t="s">
        <v>694</v>
      </c>
      <c r="F13" s="3" t="s">
        <v>695</v>
      </c>
      <c r="G13" s="3" t="s">
        <v>696</v>
      </c>
      <c r="H13" s="3" t="s">
        <v>338</v>
      </c>
      <c r="I13" s="6" t="s">
        <v>35</v>
      </c>
    </row>
    <row r="14" customFormat="false" ht="23.25" hidden="false" customHeight="true" outlineLevel="0" collapsed="false">
      <c r="A14" s="3" t="s">
        <v>529</v>
      </c>
      <c r="B14" s="3" t="s">
        <v>121</v>
      </c>
      <c r="C14" s="3" t="s">
        <v>697</v>
      </c>
      <c r="D14" s="3" t="s">
        <v>698</v>
      </c>
      <c r="E14" s="3" t="s">
        <v>699</v>
      </c>
      <c r="F14" s="3" t="s">
        <v>700</v>
      </c>
      <c r="G14" s="3" t="s">
        <v>701</v>
      </c>
      <c r="H14" s="3" t="s">
        <v>702</v>
      </c>
      <c r="I14" s="6" t="s">
        <v>35</v>
      </c>
    </row>
    <row r="15" customFormat="false" ht="34.5" hidden="false" customHeight="true" outlineLevel="0" collapsed="false">
      <c r="A15" s="3" t="s">
        <v>532</v>
      </c>
      <c r="B15" s="3" t="s">
        <v>703</v>
      </c>
      <c r="C15" s="3" t="s">
        <v>704</v>
      </c>
      <c r="D15" s="3" t="s">
        <v>705</v>
      </c>
      <c r="E15" s="3" t="s">
        <v>706</v>
      </c>
      <c r="F15" s="3" t="s">
        <v>707</v>
      </c>
      <c r="G15" s="3" t="s">
        <v>708</v>
      </c>
      <c r="H15" s="3" t="s">
        <v>674</v>
      </c>
      <c r="I15" s="5" t="s">
        <v>23</v>
      </c>
    </row>
    <row r="16" customFormat="false" ht="23.25" hidden="false" customHeight="true" outlineLevel="0" collapsed="false">
      <c r="A16" s="3" t="s">
        <v>536</v>
      </c>
      <c r="B16" s="3" t="s">
        <v>133</v>
      </c>
      <c r="C16" s="3" t="s">
        <v>709</v>
      </c>
      <c r="D16" s="3" t="s">
        <v>710</v>
      </c>
      <c r="E16" s="3" t="s">
        <v>711</v>
      </c>
      <c r="F16" s="3" t="s">
        <v>712</v>
      </c>
      <c r="G16" s="3" t="s">
        <v>713</v>
      </c>
      <c r="H16" s="3" t="s">
        <v>404</v>
      </c>
      <c r="I16" s="6" t="s">
        <v>35</v>
      </c>
    </row>
    <row r="17" customFormat="false" ht="23.25" hidden="false" customHeight="true" outlineLevel="0" collapsed="false">
      <c r="A17" s="3" t="s">
        <v>539</v>
      </c>
      <c r="B17" s="3" t="s">
        <v>141</v>
      </c>
      <c r="C17" s="3" t="s">
        <v>714</v>
      </c>
      <c r="D17" s="3" t="s">
        <v>715</v>
      </c>
      <c r="E17" s="3" t="s">
        <v>716</v>
      </c>
      <c r="F17" s="3" t="s">
        <v>717</v>
      </c>
      <c r="G17" s="3" t="s">
        <v>718</v>
      </c>
      <c r="H17" s="3" t="s">
        <v>719</v>
      </c>
      <c r="I17" s="5" t="s">
        <v>23</v>
      </c>
    </row>
    <row r="18" customFormat="false" ht="23.25" hidden="false" customHeight="true" outlineLevel="0" collapsed="false">
      <c r="A18" s="3" t="s">
        <v>720</v>
      </c>
      <c r="B18" s="3" t="s">
        <v>163</v>
      </c>
      <c r="C18" s="3" t="s">
        <v>721</v>
      </c>
      <c r="D18" s="3" t="s">
        <v>722</v>
      </c>
      <c r="E18" s="3" t="s">
        <v>723</v>
      </c>
      <c r="F18" s="3" t="s">
        <v>724</v>
      </c>
      <c r="G18" s="3" t="s">
        <v>725</v>
      </c>
      <c r="H18" s="3" t="s">
        <v>726</v>
      </c>
      <c r="I18" s="6" t="s">
        <v>35</v>
      </c>
    </row>
    <row r="19" customFormat="false" ht="23.25" hidden="false" customHeight="true" outlineLevel="0" collapsed="false">
      <c r="A19" s="3" t="s">
        <v>547</v>
      </c>
      <c r="B19" s="3" t="s">
        <v>170</v>
      </c>
      <c r="C19" s="3" t="s">
        <v>727</v>
      </c>
      <c r="D19" s="3" t="s">
        <v>728</v>
      </c>
      <c r="E19" s="3" t="s">
        <v>729</v>
      </c>
      <c r="F19" s="3" t="s">
        <v>730</v>
      </c>
      <c r="G19" s="3" t="s">
        <v>731</v>
      </c>
      <c r="H19" s="3" t="s">
        <v>634</v>
      </c>
      <c r="I19" s="6" t="s">
        <v>35</v>
      </c>
    </row>
    <row r="20" customFormat="false" ht="23.25" hidden="false" customHeight="true" outlineLevel="0" collapsed="false">
      <c r="A20" s="3" t="s">
        <v>549</v>
      </c>
      <c r="B20" s="3" t="s">
        <v>184</v>
      </c>
      <c r="C20" s="3" t="s">
        <v>732</v>
      </c>
      <c r="D20" s="3" t="s">
        <v>733</v>
      </c>
      <c r="E20" s="3" t="s">
        <v>734</v>
      </c>
      <c r="F20" s="3" t="s">
        <v>735</v>
      </c>
      <c r="G20" s="3" t="s">
        <v>736</v>
      </c>
      <c r="H20" s="3" t="s">
        <v>737</v>
      </c>
      <c r="I20" s="6" t="s">
        <v>35</v>
      </c>
    </row>
    <row r="21" customFormat="false" ht="23.25" hidden="false" customHeight="true" outlineLevel="0" collapsed="false">
      <c r="A21" s="3" t="s">
        <v>553</v>
      </c>
      <c r="B21" s="3" t="s">
        <v>738</v>
      </c>
      <c r="C21" s="3" t="s">
        <v>739</v>
      </c>
      <c r="D21" s="3" t="s">
        <v>740</v>
      </c>
      <c r="E21" s="3" t="s">
        <v>741</v>
      </c>
      <c r="F21" s="3" t="s">
        <v>742</v>
      </c>
      <c r="G21" s="3" t="s">
        <v>743</v>
      </c>
      <c r="H21" s="3" t="s">
        <v>221</v>
      </c>
      <c r="I21" s="5" t="s">
        <v>23</v>
      </c>
    </row>
  </sheetData>
  <autoFilter ref="A1:I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0"/>
    <col collapsed="false" customWidth="true" hidden="false" outlineLevel="0" max="6" min="4" style="1" width="14"/>
    <col collapsed="false" customWidth="true" hidden="false" outlineLevel="0" max="10" min="7" style="1" width="35"/>
  </cols>
  <sheetData>
    <row r="1" customFormat="false" ht="26.25" hidden="false" customHeight="true" outlineLevel="0" collapsed="false">
      <c r="A1" s="2" t="s">
        <v>744</v>
      </c>
      <c r="B1" s="2" t="s">
        <v>745</v>
      </c>
      <c r="C1" s="2" t="s">
        <v>746</v>
      </c>
      <c r="D1" s="2" t="s">
        <v>747</v>
      </c>
      <c r="E1" s="2" t="s">
        <v>748</v>
      </c>
      <c r="F1" s="2" t="s">
        <v>749</v>
      </c>
      <c r="G1" s="2" t="s">
        <v>750</v>
      </c>
      <c r="H1" s="2" t="s">
        <v>751</v>
      </c>
      <c r="I1" s="2" t="s">
        <v>752</v>
      </c>
      <c r="J1" s="2" t="s">
        <v>753</v>
      </c>
    </row>
    <row r="2" customFormat="false" ht="15" hidden="false" customHeight="true" outlineLevel="0" collapsed="false">
      <c r="A2" s="3" t="s">
        <v>279</v>
      </c>
      <c r="B2" s="14" t="n">
        <v>0.3</v>
      </c>
      <c r="C2" s="14" t="n">
        <v>0.3</v>
      </c>
      <c r="D2" s="14" t="n">
        <v>0.15</v>
      </c>
      <c r="E2" s="14" t="n">
        <v>0.3</v>
      </c>
      <c r="F2" s="14" t="n">
        <v>0.25</v>
      </c>
      <c r="G2" s="3" t="s">
        <v>754</v>
      </c>
      <c r="H2" s="3" t="s">
        <v>755</v>
      </c>
      <c r="I2" s="3" t="s">
        <v>756</v>
      </c>
      <c r="J2" s="3" t="s">
        <v>757</v>
      </c>
    </row>
    <row r="3" customFormat="false" ht="15" hidden="false" customHeight="true" outlineLevel="0" collapsed="false">
      <c r="A3" s="3" t="s">
        <v>259</v>
      </c>
      <c r="B3" s="14" t="n">
        <v>0.25</v>
      </c>
      <c r="C3" s="14" t="n">
        <v>0.25</v>
      </c>
      <c r="D3" s="14" t="n">
        <v>0.2</v>
      </c>
      <c r="E3" s="14" t="n">
        <v>0.25</v>
      </c>
      <c r="F3" s="14" t="n">
        <v>0.2</v>
      </c>
      <c r="G3" s="3" t="s">
        <v>758</v>
      </c>
      <c r="H3" s="3" t="s">
        <v>759</v>
      </c>
      <c r="I3" s="3" t="s">
        <v>760</v>
      </c>
      <c r="J3" s="3" t="s">
        <v>761</v>
      </c>
    </row>
    <row r="4" customFormat="false" ht="15" hidden="false" customHeight="true" outlineLevel="0" collapsed="false">
      <c r="A4" s="3" t="s">
        <v>762</v>
      </c>
      <c r="B4" s="14" t="n">
        <v>0.2</v>
      </c>
      <c r="C4" s="14" t="n">
        <v>0.2</v>
      </c>
      <c r="D4" s="14" t="n">
        <v>0.3</v>
      </c>
      <c r="E4" s="14" t="n">
        <v>0.2</v>
      </c>
      <c r="F4" s="14" t="n">
        <v>0.25</v>
      </c>
      <c r="G4" s="3" t="s">
        <v>763</v>
      </c>
      <c r="H4" s="3" t="s">
        <v>764</v>
      </c>
      <c r="I4" s="3" t="s">
        <v>765</v>
      </c>
      <c r="J4" s="3" t="s">
        <v>766</v>
      </c>
    </row>
    <row r="5" customFormat="false" ht="15" hidden="false" customHeight="true" outlineLevel="0" collapsed="false">
      <c r="A5" s="3" t="s">
        <v>767</v>
      </c>
      <c r="B5" s="14" t="n">
        <v>0.15</v>
      </c>
      <c r="C5" s="14" t="n">
        <v>0.15</v>
      </c>
      <c r="D5" s="14" t="n">
        <v>0.2</v>
      </c>
      <c r="E5" s="14" t="n">
        <v>0.15</v>
      </c>
      <c r="F5" s="14" t="n">
        <v>0.2</v>
      </c>
      <c r="G5" s="3" t="s">
        <v>768</v>
      </c>
      <c r="H5" s="3" t="s">
        <v>769</v>
      </c>
      <c r="I5" s="3" t="s">
        <v>770</v>
      </c>
      <c r="J5" s="3" t="s">
        <v>771</v>
      </c>
    </row>
    <row r="6" customFormat="false" ht="15" hidden="false" customHeight="true" outlineLevel="0" collapsed="false">
      <c r="A6" s="3" t="s">
        <v>772</v>
      </c>
      <c r="B6" s="14" t="n">
        <v>0.1</v>
      </c>
      <c r="C6" s="14" t="n">
        <v>0.1</v>
      </c>
      <c r="D6" s="14" t="n">
        <v>0.15</v>
      </c>
      <c r="E6" s="14" t="n">
        <v>0.1</v>
      </c>
      <c r="F6" s="14" t="n">
        <v>0.1</v>
      </c>
      <c r="G6" s="3" t="s">
        <v>773</v>
      </c>
      <c r="H6" s="3" t="s">
        <v>774</v>
      </c>
      <c r="I6" s="3" t="s">
        <v>775</v>
      </c>
      <c r="J6" s="3" t="s">
        <v>776</v>
      </c>
    </row>
    <row r="7" customFormat="false" ht="15" hidden="false" customHeight="true" outlineLevel="0" collapsed="false">
      <c r="A7" s="15" t="s">
        <v>777</v>
      </c>
      <c r="B7" s="16" t="n">
        <f aca="false">SUM(B2:B6)</f>
        <v>1</v>
      </c>
      <c r="C7" s="16" t="n">
        <f aca="false">SUM(C2:C6)</f>
        <v>1</v>
      </c>
      <c r="D7" s="16" t="n">
        <f aca="false">SUM(D2:D6)</f>
        <v>1</v>
      </c>
      <c r="E7" s="16" t="n">
        <f aca="false">SUM(E2:E6)</f>
        <v>1</v>
      </c>
      <c r="F7" s="16" t="n">
        <f aca="false">SUM(F2:F6)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3" min="3" style="1" width="60"/>
    <col collapsed="false" customWidth="true" hidden="false" outlineLevel="0" max="4" min="4" style="1" width="40"/>
    <col collapsed="false" customWidth="true" hidden="false" outlineLevel="0" max="5" min="5" style="1" width="35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15" hidden="false" customHeight="true" outlineLevel="0" collapsed="false">
      <c r="A1" s="2" t="s">
        <v>11</v>
      </c>
      <c r="B1" s="2" t="s">
        <v>206</v>
      </c>
      <c r="C1" s="2" t="s">
        <v>778</v>
      </c>
      <c r="D1" s="2" t="s">
        <v>779</v>
      </c>
      <c r="E1" s="2" t="s">
        <v>780</v>
      </c>
      <c r="F1" s="2" t="s">
        <v>781</v>
      </c>
      <c r="G1" s="2" t="s">
        <v>782</v>
      </c>
    </row>
    <row r="2" customFormat="false" ht="23.25" hidden="false" customHeight="true" outlineLevel="0" collapsed="false">
      <c r="A2" s="3" t="s">
        <v>783</v>
      </c>
      <c r="B2" s="3" t="s">
        <v>784</v>
      </c>
      <c r="C2" s="3" t="s">
        <v>785</v>
      </c>
      <c r="D2" s="3" t="s">
        <v>786</v>
      </c>
      <c r="E2" s="3" t="s">
        <v>787</v>
      </c>
      <c r="F2" s="3" t="s">
        <v>571</v>
      </c>
      <c r="G2" s="17" t="s">
        <v>788</v>
      </c>
    </row>
    <row r="3" customFormat="false" ht="23.25" hidden="false" customHeight="true" outlineLevel="0" collapsed="false">
      <c r="A3" s="3" t="s">
        <v>789</v>
      </c>
      <c r="B3" s="3" t="s">
        <v>790</v>
      </c>
      <c r="C3" s="3" t="s">
        <v>791</v>
      </c>
      <c r="D3" s="3" t="s">
        <v>792</v>
      </c>
      <c r="E3" s="3" t="s">
        <v>793</v>
      </c>
      <c r="F3" s="3" t="s">
        <v>576</v>
      </c>
      <c r="G3" s="17" t="s">
        <v>788</v>
      </c>
    </row>
    <row r="4" customFormat="false" ht="23.25" hidden="false" customHeight="true" outlineLevel="0" collapsed="false">
      <c r="A4" s="3" t="s">
        <v>794</v>
      </c>
      <c r="B4" s="3" t="s">
        <v>795</v>
      </c>
      <c r="C4" s="3" t="s">
        <v>796</v>
      </c>
      <c r="D4" s="3" t="s">
        <v>797</v>
      </c>
      <c r="E4" s="3" t="s">
        <v>798</v>
      </c>
      <c r="F4" s="3" t="s">
        <v>576</v>
      </c>
      <c r="G4" s="17" t="s">
        <v>788</v>
      </c>
    </row>
    <row r="5" customFormat="false" ht="23.25" hidden="false" customHeight="true" outlineLevel="0" collapsed="false">
      <c r="A5" s="3" t="s">
        <v>799</v>
      </c>
      <c r="B5" s="3" t="s">
        <v>800</v>
      </c>
      <c r="C5" s="3" t="s">
        <v>801</v>
      </c>
      <c r="D5" s="3" t="s">
        <v>802</v>
      </c>
      <c r="E5" s="3" t="s">
        <v>803</v>
      </c>
      <c r="F5" s="3" t="s">
        <v>571</v>
      </c>
      <c r="G5" s="18" t="s">
        <v>576</v>
      </c>
    </row>
    <row r="6" customFormat="false" ht="23.25" hidden="false" customHeight="true" outlineLevel="0" collapsed="false">
      <c r="A6" s="3" t="s">
        <v>804</v>
      </c>
      <c r="B6" s="3" t="s">
        <v>805</v>
      </c>
      <c r="C6" s="3" t="s">
        <v>806</v>
      </c>
      <c r="D6" s="3" t="s">
        <v>807</v>
      </c>
      <c r="E6" s="3" t="s">
        <v>808</v>
      </c>
      <c r="F6" s="3" t="s">
        <v>620</v>
      </c>
      <c r="G6" s="17" t="s">
        <v>788</v>
      </c>
    </row>
    <row r="7" customFormat="false" ht="23.25" hidden="false" customHeight="true" outlineLevel="0" collapsed="false">
      <c r="A7" s="3" t="s">
        <v>809</v>
      </c>
      <c r="B7" s="3" t="s">
        <v>810</v>
      </c>
      <c r="C7" s="3" t="s">
        <v>811</v>
      </c>
      <c r="D7" s="3" t="s">
        <v>812</v>
      </c>
      <c r="E7" s="3" t="s">
        <v>813</v>
      </c>
      <c r="F7" s="3" t="s">
        <v>576</v>
      </c>
      <c r="G7" s="18" t="s">
        <v>576</v>
      </c>
    </row>
    <row r="8" customFormat="false" ht="23.25" hidden="false" customHeight="true" outlineLevel="0" collapsed="false">
      <c r="A8" s="3" t="s">
        <v>814</v>
      </c>
      <c r="B8" s="3" t="s">
        <v>815</v>
      </c>
      <c r="C8" s="3" t="s">
        <v>816</v>
      </c>
      <c r="D8" s="3" t="s">
        <v>817</v>
      </c>
      <c r="E8" s="3" t="s">
        <v>818</v>
      </c>
      <c r="F8" s="3" t="s">
        <v>571</v>
      </c>
      <c r="G8" s="18" t="s">
        <v>576</v>
      </c>
    </row>
    <row r="9" customFormat="false" ht="23.25" hidden="false" customHeight="true" outlineLevel="0" collapsed="false">
      <c r="A9" s="3" t="s">
        <v>819</v>
      </c>
      <c r="B9" s="3" t="s">
        <v>820</v>
      </c>
      <c r="C9" s="3" t="s">
        <v>821</v>
      </c>
      <c r="D9" s="3" t="s">
        <v>822</v>
      </c>
      <c r="E9" s="3" t="s">
        <v>823</v>
      </c>
      <c r="F9" s="3" t="s">
        <v>571</v>
      </c>
      <c r="G9" s="19" t="s">
        <v>571</v>
      </c>
    </row>
    <row r="10" customFormat="false" ht="15" hidden="false" customHeight="true" outlineLevel="0" collapsed="false">
      <c r="A10" s="3" t="s">
        <v>824</v>
      </c>
      <c r="B10" s="3" t="s">
        <v>825</v>
      </c>
      <c r="C10" s="3" t="s">
        <v>826</v>
      </c>
      <c r="D10" s="3" t="s">
        <v>827</v>
      </c>
      <c r="E10" s="3" t="s">
        <v>828</v>
      </c>
      <c r="F10" s="3" t="s">
        <v>571</v>
      </c>
      <c r="G10" s="19" t="s">
        <v>571</v>
      </c>
    </row>
    <row r="11" customFormat="false" ht="23.25" hidden="false" customHeight="true" outlineLevel="0" collapsed="false">
      <c r="A11" s="3" t="s">
        <v>829</v>
      </c>
      <c r="B11" s="3" t="s">
        <v>830</v>
      </c>
      <c r="C11" s="3" t="s">
        <v>831</v>
      </c>
      <c r="D11" s="3" t="s">
        <v>832</v>
      </c>
      <c r="E11" s="3" t="s">
        <v>833</v>
      </c>
      <c r="F11" s="3" t="s">
        <v>620</v>
      </c>
      <c r="G11" s="19" t="s">
        <v>571</v>
      </c>
    </row>
    <row r="12" customFormat="false" ht="15" hidden="false" customHeight="true" outlineLevel="0" collapsed="false">
      <c r="A12" s="3" t="s">
        <v>834</v>
      </c>
      <c r="B12" s="3" t="s">
        <v>835</v>
      </c>
      <c r="C12" s="3" t="s">
        <v>836</v>
      </c>
      <c r="D12" s="3" t="s">
        <v>837</v>
      </c>
      <c r="E12" s="3" t="s">
        <v>838</v>
      </c>
      <c r="F12" s="3" t="s">
        <v>571</v>
      </c>
      <c r="G12" s="19" t="s">
        <v>571</v>
      </c>
    </row>
    <row r="13" customFormat="false" ht="15" hidden="false" customHeight="true" outlineLevel="0" collapsed="false">
      <c r="A13" s="3" t="s">
        <v>839</v>
      </c>
      <c r="B13" s="3" t="s">
        <v>840</v>
      </c>
      <c r="C13" s="3" t="s">
        <v>841</v>
      </c>
      <c r="D13" s="3" t="s">
        <v>842</v>
      </c>
      <c r="E13" s="3" t="s">
        <v>843</v>
      </c>
      <c r="F13" s="3" t="s">
        <v>571</v>
      </c>
      <c r="G13" s="19" t="s">
        <v>571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2026-02-25T18:32:08Z</dcterms:created>
  <dc:creator>openpyxl</dc:creator>
  <dc:description/>
  <dc:language>en-US</dc:language>
  <cp:lastModifiedBy/>
  <dcterms:modified xsi:type="dcterms:W3CDTF">2026-02-25T18:32:28Z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