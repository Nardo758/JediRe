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5"/>
  <workbookPr defaultThemeVersion="166925"/>
  <mc:AlternateContent xmlns:mc="http://schemas.openxmlformats.org/markup-compatibility/2006">
    <mc:Choice Requires="x15">
      <x15ac:absPath xmlns:x15ac="http://schemas.microsoft.com/office/spreadsheetml/2010/11/ac" url="\\gsofile02\acctshar\Carly Lavinder\Myers Multifamily\2021\August\"/>
    </mc:Choice>
  </mc:AlternateContent>
  <xr:revisionPtr revIDLastSave="347" documentId="13_ncr:1_{98769430-E6AA-4ADF-B900-ED479DBB8672}" xr6:coauthVersionLast="47" xr6:coauthVersionMax="47" xr10:uidLastSave="{F6F255FC-33C4-4588-8BF9-B1E7A22AD49B}"/>
  <bookViews>
    <workbookView xWindow="57480" yWindow="-120" windowWidth="29040" windowHeight="15840" firstSheet="2" activeTab="2" xr2:uid="{DA86A319-58A9-49F2-B32B-FD1F70D71A12}"/>
  </bookViews>
  <sheets>
    <sheet name="Prepaid Insurance" sheetId="4" r:id="rId1"/>
    <sheet name="Prepaid other" sheetId="3" r:id="rId2"/>
    <sheet name="Accrued other" sheetId="1" r:id="rId3"/>
    <sheet name="RE tax" sheetId="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C">'[1]7%AMT'!$N$3</definedName>
    <definedName name="\M">[2]MBAYPREF!#REF!</definedName>
    <definedName name="\p">#REF!</definedName>
    <definedName name="\Q">'[1]7%AMT'!$S$5</definedName>
    <definedName name="\R">'[1]7%AMT'!$N$5:$O$10</definedName>
    <definedName name="\S">'[1]7%AMT'!$N$11:$O$11</definedName>
    <definedName name="__123Graph_A" hidden="1">[3]B!$B$14:$B$14</definedName>
    <definedName name="__123Graph_X" hidden="1">[3]B!$A$14:$A$14</definedName>
    <definedName name="__CAM96">[4]RentRoll!$K$6</definedName>
    <definedName name="__CAM97">[4]RentRoll!$K$8</definedName>
    <definedName name="__CAM98">[4]RentRoll!$K$10</definedName>
    <definedName name="__IRR10">#REF!</definedName>
    <definedName name="__IRR20">#REF!</definedName>
    <definedName name="__key1" hidden="1">'[5]Inc &amp; Exp Assump (1)'!#REF!</definedName>
    <definedName name="__key2" hidden="1">'[5]Inc &amp; Exp Assump (1)'!#REF!</definedName>
    <definedName name="__Mtx1">#REF!</definedName>
    <definedName name="__Mtx5">#REF!</definedName>
    <definedName name="_1__123Graph_ACHART_1" hidden="1">[3]B!$E$6:$E$8</definedName>
    <definedName name="_1998">#REF!</definedName>
    <definedName name="_1ESCROW_PRO">#REF!</definedName>
    <definedName name="_2__123Graph_BCHART_1" hidden="1">[3]B!$F$6:$F$8</definedName>
    <definedName name="_2RENT_PRO">#REF!</definedName>
    <definedName name="_3__123Graph_XCHART_1" hidden="1">[3]B!$A$6:$A$8</definedName>
    <definedName name="_3W_S">#REF!</definedName>
    <definedName name="_4800">#REF!</definedName>
    <definedName name="_CAM96">[4]RentRoll!$K$6</definedName>
    <definedName name="_CAM97">[4]RentRoll!$K$8</definedName>
    <definedName name="_CAM98">[4]RentRoll!$K$10</definedName>
    <definedName name="_Fill" hidden="1">[6]TCTTOC!#REF!</definedName>
    <definedName name="_IRR10">#REF!</definedName>
    <definedName name="_IRR20">#REF!</definedName>
    <definedName name="_Key1" hidden="1">#REF!</definedName>
    <definedName name="_Key2" hidden="1">'[7]Inc &amp; Exp Assump (1)'!#REF!</definedName>
    <definedName name="_Market">[8]Assumptions!$C$11</definedName>
    <definedName name="_Mtx1">#REF!</definedName>
    <definedName name="_Mtx5">#REF!</definedName>
    <definedName name="_Order1" hidden="1">255</definedName>
    <definedName name="_Order2" hidden="1">255</definedName>
    <definedName name="_OtherInc">[8]Assumptions!$C$12</definedName>
    <definedName name="_PG1">#REF!</definedName>
    <definedName name="_PG2">#REF!</definedName>
    <definedName name="_PG3">#N/A</definedName>
    <definedName name="_PG4">#N/A</definedName>
    <definedName name="_PG5">#N/A</definedName>
    <definedName name="_Sort" hidden="1">#REF!</definedName>
    <definedName name="_Table2_Out" hidden="1">[9]General!#REF!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a" hidden="1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a_Key1" hidden="1">'[10]A Inc &amp; Exp'!#REF!</definedName>
    <definedName name="a_Key2" hidden="1">'[10]A Inc &amp; Exp'!#REF!</definedName>
    <definedName name="A1761.0000D22">#REF!</definedName>
    <definedName name="A2530.00005020.0000E27">#REF!</definedName>
    <definedName name="A2530.00005020.0000E8">#REF!</definedName>
    <definedName name="A3190.0000G42">'[11]Master Rent'!#REF!</definedName>
    <definedName name="aaaaaaa" hidden="1">{"Outflow 1",#N/A,FALSE,"Outflows-Inflows";"Outflow 2",#N/A,FALSE,"Outflows-Inflows";"Inflow 1",#N/A,FALSE,"Outflows-Inflows";"Inflow 2",#N/A,FALSE,"Outflows-Inflows"}</definedName>
    <definedName name="aasdfa" hidden="1">{"rtn",#N/A,FALSE,"RTN";"tables",#N/A,FALSE,"RTN";"cf",#N/A,FALSE,"CF";"stats",#N/A,FALSE,"Stats";"prop",#N/A,FALSE,"Prop"}</definedName>
    <definedName name="accr_test">#REF!</definedName>
    <definedName name="Active">#REF!</definedName>
    <definedName name="ActiveVendorAccounts">[12]BellActiveVendorAccounts!$E$2:$E$7519</definedName>
    <definedName name="Adj_Yr">#REF!</definedName>
    <definedName name="Advertising_Per_Unit">#REF!</definedName>
    <definedName name="AMORT">'[13]2Assumptions'!$C$125</definedName>
    <definedName name="Anls_Pd">#REF!</definedName>
    <definedName name="anscount" hidden="1">1</definedName>
    <definedName name="arev_test">#REF!</definedName>
    <definedName name="as" hidden="1">{"Outflow 1",#N/A,FALSE,"Outflows-Inflows";"Outflow 2",#N/A,FALSE,"Outflows-Inflows";"Inflow 1",#N/A,FALSE,"Outflows-Inflows";"Inflow 2",#N/A,FALSE,"Outflows-Inflows"}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hish" hidden="1">{"'Assump'!$F$6:$J$6"}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Assumed_loan_amount">#REF!</definedName>
    <definedName name="Assumed_loan_term">'[14]Amort Schedule'!$B$8</definedName>
    <definedName name="Assumed_Mortgage_Rate">#REF!</definedName>
    <definedName name="Assumed_Principal_Year1">'[14]Amort Schedule'!$J$13</definedName>
    <definedName name="Assumed_Time_Elapsed">'[14]Amort Schedule'!$J$10</definedName>
    <definedName name="AssumedInterest">'[14]Amort Schedule'!$B$7/12</definedName>
    <definedName name="Assump_Names_List1">#REF!</definedName>
    <definedName name="Assump_Names_List2">#REF!</definedName>
    <definedName name="Assump_Names_List3">#REF!</definedName>
    <definedName name="Assumptions">#REF!</definedName>
    <definedName name="ATaxAllocation">0</definedName>
    <definedName name="b" hidden="1">{#N/A,#N/A,FALSE,"P &amp; L Detail";#N/A,#N/A,FALSE,"Rent Roll";#N/A,#N/A,FALSE,"Sales History";#N/A,#N/A,FALSE,"Spec Pool";#N/A,#N/A,FALSE,"Square Footage Calculations";#N/A,#N/A,FALSE,"Class. &amp; Rent";#N/A,#N/A,FALSE,"Recovery Tables";#N/A,#N/A,FALSE,"Expiration Detail"}</definedName>
    <definedName name="b_Key1" hidden="1">'[10]B Inc &amp; Exp'!#REF!</definedName>
    <definedName name="b_Key2" hidden="1">'[10]B Inc &amp; Exp'!#REF!</definedName>
    <definedName name="barea">#REF!</definedName>
    <definedName name="Base">#REF!</definedName>
    <definedName name="BEAUTY">#N/A</definedName>
    <definedName name="BH_Contr_percent">#REF!</definedName>
    <definedName name="Body">[15]Template!#REF!</definedName>
    <definedName name="Bridge_First_Mortgage">#REF!</definedName>
    <definedName name="Bridge_loan_amount">#REF!</definedName>
    <definedName name="Bridge_Loan_Rate">#REF!</definedName>
    <definedName name="Bridge_Second_Mortgage">#REF!</definedName>
    <definedName name="broker">[16]Info!$C$30</definedName>
    <definedName name="BTaxAllocation">0</definedName>
    <definedName name="bunits">'[17]UNIT RENT'!#REF!</definedName>
    <definedName name="Cap_Exp">#REF!</definedName>
    <definedName name="Cap_Exp___Unit">#REF!</definedName>
    <definedName name="Cap_rate">#REF!</definedName>
    <definedName name="Cap_Resrv">#REF!</definedName>
    <definedName name="Cap_Resrv_Plug">#REF!</definedName>
    <definedName name="Cap_Rt_Form">#REF!</definedName>
    <definedName name="Cap_Rt_Val">#REF!</definedName>
    <definedName name="Cap_Rt_Val2">#REF!</definedName>
    <definedName name="cash_test">#REF!</definedName>
    <definedName name="CashReconsE17">[18]Cash!#REF!</definedName>
    <definedName name="Cass">#REF!</definedName>
    <definedName name="CassFour">#REF!</definedName>
    <definedName name="CassStillInAccrual">#REF!</definedName>
    <definedName name="CassThree">#REF!</definedName>
    <definedName name="CassTwo">#REF!</definedName>
    <definedName name="CBWorkbookPriority" hidden="1">-2085252812</definedName>
    <definedName name="CF_Data_Main">#REF!</definedName>
    <definedName name="cfassum" hidden="1">{#N/A,#N/A,FALSE,"1st DOT Repay Sch";#N/A,#N/A,FALSE,"NPV Comp"}</definedName>
    <definedName name="chaseacomps">#REF!</definedName>
    <definedName name="chasebcomps">#REF!</definedName>
    <definedName name="City">'[13]2Assumptions'!$C$8</definedName>
    <definedName name="City_St">#REF!</definedName>
    <definedName name="Class_A_Fee">#REF!</definedName>
    <definedName name="Class_A_Financing_Amount">#REF!</definedName>
    <definedName name="Class_A_Financing_Rate">#REF!</definedName>
    <definedName name="Class_A_Participation_Rate">#REF!</definedName>
    <definedName name="close_date">[16]Info!$C$18</definedName>
    <definedName name="closeDate">'[19]JE Sheet'!#REF!</definedName>
    <definedName name="Col_Cnt_NPV_Comp">#REF!</definedName>
    <definedName name="Concessions_Stabilized">#REF!</definedName>
    <definedName name="Concessions_Yr_1">#REF!</definedName>
    <definedName name="Concessions_Yr_2">#REF!</definedName>
    <definedName name="COS">#REF!</definedName>
    <definedName name="Cr_Loss">#REF!</definedName>
    <definedName name="Cr_Loss_Plug">#REF!</definedName>
    <definedName name="_xlnm.Criteria">#REF!</definedName>
    <definedName name="csac_test">#REF!</definedName>
    <definedName name="CurBilling">[20]Billing!$18:$28,[20]Billing!$41:$42,[20]Billing!$53:$63,[20]Billing!$76:$77,[20]Billing!$88:$98,[20]Billing!$111:$112,[20]Billing!$123:$133,[20]Billing!$146:$147,[20]Billing!$158:$162,[20]Billing!$174:$174</definedName>
    <definedName name="Current_Year">#REF!</definedName>
    <definedName name="cut_off">[16]Info!$C$34</definedName>
    <definedName name="CY_1HE">#REF!</definedName>
    <definedName name="CY_1HS">#REF!</definedName>
    <definedName name="CY_2HE">#REF!</definedName>
    <definedName name="CY_2HS">#REF!</definedName>
    <definedName name="Date">#REF!</definedName>
    <definedName name="days_in_mo">[16]Info!$F$26</definedName>
    <definedName name="days_in_yr">[16]Info!$F$22</definedName>
    <definedName name="dd" hidden="1">{"CF",#N/A,FALSE,"Cash Flow";"RET",#N/A,FALSE,"Returns";"NPV",#N/A,FALSE,"Values";"ASMPT",#N/A,FALSE,"Assumptions"}</definedName>
    <definedName name="del">#REF!</definedName>
    <definedName name="Discl_Exec_Summ">#REF!</definedName>
    <definedName name="EIGHT">#REF!</definedName>
    <definedName name="EstBilling">[20]Billing!$29:$40,[20]Billing!$43:$43,[20]Billing!$64:$75,[20]Billing!$78:$78,[20]Billing!$99:$110,[20]Billing!$113:$113,[20]Billing!$134:$145,[20]Billing!$148:$148,[20]Billing!$163:$174</definedName>
    <definedName name="Existing">#REF!</definedName>
    <definedName name="EXP">#REF!</definedName>
    <definedName name="EXP_AREA">#REF!</definedName>
    <definedName name="Exp_Rnt_Lst">#REF!</definedName>
    <definedName name="Expense_escalator">#REF!</definedName>
    <definedName name="FAO">[21]LEASGR!$A$42:$J$120</definedName>
    <definedName name="FASHACC">#N/A</definedName>
    <definedName name="FASHION">#N/A</definedName>
    <definedName name="fd" hidden="1">{#N/A,#N/A,FALSE,"P &amp; L Detail";#N/A,#N/A,FALSE,"Rent Roll";#N/A,#N/A,FALSE,"Sales History";#N/A,#N/A,FALSE,"Spec Pool";#N/A,#N/A,FALSE,"Square Footage Calculations";#N/A,#N/A,FALSE,"Class. &amp; Rent";#N/A,#N/A,FALSE,"Recovery Tables";#N/A,#N/A,FALSE,"Expiration Detail"}</definedName>
    <definedName name="First_Mortgage">#REF!</definedName>
    <definedName name="First_Mortgage_Amount">#REF!</definedName>
    <definedName name="First_Mortgage_Partnership">#REF!</definedName>
    <definedName name="First_Mortgage_Payment">#REF!</definedName>
    <definedName name="First_Mortgage_Principal">#REF!</definedName>
    <definedName name="First_Mortgage_Principal_Year1">#REF!</definedName>
    <definedName name="First_Mortgage_Rate">#REF!</definedName>
    <definedName name="FixedandIntangibleAssetsC14">'[22]Fixed and Intangible Assets'!#REF!</definedName>
    <definedName name="FixedandIntangibleAssetsD14">'[22]Fixed and Intangible Assets'!#REF!</definedName>
    <definedName name="FixedandIntangibleAssetsE14">'[22]Fixed and Intangible Assets'!#REF!</definedName>
    <definedName name="FixedandIntangibleAssetsF14">'[22]Fixed and Intangible Assets'!#REF!</definedName>
    <definedName name="FixedandIntangibleAssetsG14">'[22]Fixed and Intangible Assets'!#REF!</definedName>
    <definedName name="Floor_Plan">'[23]Inc Assump'!$B$12:$B$59</definedName>
    <definedName name="FOOD">#N/A</definedName>
    <definedName name="FS_Category_SPECIFIC">'[24]Data Validation'!$M$2:$M$33</definedName>
    <definedName name="G_A_Per_Unit">#REF!</definedName>
    <definedName name="gables">#REF!</definedName>
    <definedName name="GLA">#REF!</definedName>
    <definedName name="GP_Excess_percent">#REF!</definedName>
    <definedName name="GRID">[25]Sales!#REF!</definedName>
    <definedName name="Hdr_Assump_2nd_Exist_Mkt">#REF!</definedName>
    <definedName name="Hdr_Assump_2nd_Lse">#REF!</definedName>
    <definedName name="Hdr_Assump_2nd_Tnt_Cost">#REF!</definedName>
    <definedName name="Hdr_Assump_Vac">#REF!</definedName>
    <definedName name="Hdr_Exp_Anl">#REF!</definedName>
    <definedName name="Hdr_Exp_Dtl">#REF!</definedName>
    <definedName name="Hdr_Exp_Recov_Dtl">#REF!</definedName>
    <definedName name="Hdr_LAR">#REF!</definedName>
    <definedName name="Hdr_Lse_Up">#REF!</definedName>
    <definedName name="Hdr_Min_Rnt_Dtl_Exist">#REF!</definedName>
    <definedName name="Hdr_Min_Rnt_Dtl_Type">#REF!</definedName>
    <definedName name="Hdr_Min_Rnt_Dtl_Vac">#REF!</definedName>
    <definedName name="Hdr_Occ_Cost">#REF!</definedName>
    <definedName name="Hdr_Options">#REF!</definedName>
    <definedName name="Hdr_PJ_Codes">#REF!</definedName>
    <definedName name="Hdr_Rnt_Roll">#REF!</definedName>
    <definedName name="Hid_Repl_1">#REF!</definedName>
    <definedName name="Hid_Vac_Mtx">#REF!</definedName>
    <definedName name="HOME">#N/A</definedName>
    <definedName name="html" hidden="1">{"'Assump'!$F$6:$J$6"}</definedName>
    <definedName name="HTML_CodePage" hidden="1">1252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"Assump"</definedName>
    <definedName name="HTML_LastUpdate" hidden="1">"7/24/98"</definedName>
    <definedName name="HTML_LineAfter" hidden="1">FALSE</definedName>
    <definedName name="HTML_LineBefore" hidden="1">FALSE</definedName>
    <definedName name="HTML_Name" hidden="1">"Russell Caplin"</definedName>
    <definedName name="HTML_OBDlg2" hidden="1">TRUE</definedName>
    <definedName name="HTML_OBDlg4" hidden="1">TRUE</definedName>
    <definedName name="HTML_OS" hidden="1">0</definedName>
    <definedName name="HTML_PathFile" hidden="1">"C:\acg\MyHTML.htm"</definedName>
    <definedName name="HTML_Title" hidden="1">"ashish"</definedName>
    <definedName name="htmlnew" hidden="1">{"'Assump'!$F$6:$J$6"}</definedName>
    <definedName name="INC_AREA">#REF!</definedName>
    <definedName name="INCOME">#REF!</definedName>
    <definedName name="Income_escalator">#REF!</definedName>
    <definedName name="Insurance_Unit">#REF!</definedName>
    <definedName name="INT_RATE">'[13]2Assumptions'!$C$123</definedName>
    <definedName name="Int_Rt">#REF!</definedName>
    <definedName name="Interest">'[26]Amortization Schedule'!$B$4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38971.5771064815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10_Plug">#REF!</definedName>
    <definedName name="IRR10B">#REF!</definedName>
    <definedName name="Joint_Venture_Pref_Returns">#REF!</definedName>
    <definedName name="Labor_Per_Unit">#REF!</definedName>
    <definedName name="Lag">#REF!</definedName>
    <definedName name="LAR_Data">#REF!</definedName>
    <definedName name="LAR_Strt">#REF!</definedName>
    <definedName name="lauracomps">#REF!</definedName>
    <definedName name="laurbcomps">#REF!</definedName>
    <definedName name="LenderReservesC56">'[22]Lender Reserves'!$C$61</definedName>
    <definedName name="LenderReservesD56">'[22]Lender Reserves'!$D$61</definedName>
    <definedName name="LenderReservesE56">'[22]Lender Reserves'!$E$61</definedName>
    <definedName name="LenderReservesF56">'[22]Lender Reserves'!$F$61</definedName>
    <definedName name="LenderReservesG56">'[22]Lender Reserves'!$G$61</definedName>
    <definedName name="Ln_Const">#REF!</definedName>
    <definedName name="Ln_Fee">#REF!</definedName>
    <definedName name="LOAN_CONST">'[13]2Assumptions'!$C$127</definedName>
    <definedName name="lookup_table">#REF!</definedName>
    <definedName name="LP_Excess_percent">#REF!</definedName>
    <definedName name="LseUp_Row_Data">#REF!</definedName>
    <definedName name="MACROFAO">[21]LEASGR!$L$2:$L$2</definedName>
    <definedName name="MAIN">#REF!</definedName>
    <definedName name="MENU">[2]MBAYPREF!#REF!</definedName>
    <definedName name="Mezz_Amount">#REF!</definedName>
    <definedName name="Mezz_Contr_Percent">#REF!</definedName>
    <definedName name="Mezz_Part_factor">#REF!</definedName>
    <definedName name="Mezz_Rate">#REF!</definedName>
    <definedName name="MONTH">'[1]7%AMT'!$C$9</definedName>
    <definedName name="month_end">[16]Info!$C$26</definedName>
    <definedName name="MonthLastYear">'[27]DRA 13 MONTH'!#REF!</definedName>
    <definedName name="Monthly_Nonrev_Units">#REF!</definedName>
    <definedName name="Monthly_Nonrevl_Units">#REF!</definedName>
    <definedName name="months">#REF!</definedName>
    <definedName name="Mtx_Incr_Price">#REF!</definedName>
    <definedName name="Mtx1_IRR_Val">#REF!</definedName>
    <definedName name="Mtx1_Results">#REF!</definedName>
    <definedName name="Mtx2A">#REF!</definedName>
    <definedName name="Mtx2A_Results">#REF!</definedName>
    <definedName name="Mtx2B">#REF!</definedName>
    <definedName name="Mtx2B_Results">#REF!</definedName>
    <definedName name="Mtx2C">#REF!</definedName>
    <definedName name="Mtx2C_Results">#REF!</definedName>
    <definedName name="Mtx4_Rntl_Rt">#REF!</definedName>
    <definedName name="Mtx4_TI">#REF!</definedName>
    <definedName name="Mtx4A">#REF!</definedName>
    <definedName name="Mtx4A_Results">#REF!</definedName>
    <definedName name="Mtx4B">#REF!</definedName>
    <definedName name="Mtx4B_Results">#REF!</definedName>
    <definedName name="Mtx5_NRV">#REF!</definedName>
    <definedName name="Mtx5_Purch">#REF!</definedName>
    <definedName name="Mtx5_Results">#REF!</definedName>
    <definedName name="Net_Refinance_Proceeds">#REF!</definedName>
    <definedName name="Net_Refinance_Ratio">#REF!</definedName>
    <definedName name="Net_Resid_Val">#REF!</definedName>
    <definedName name="Net_Sale_Ratio">#REF!</definedName>
    <definedName name="New_First_Mortgage">#REF!</definedName>
    <definedName name="New_Mortgage">#REF!</definedName>
    <definedName name="New_Mortgage_Payment">#REF!</definedName>
    <definedName name="newhtml" hidden="1">{"'Assump'!$F$6:$J$6"}</definedName>
    <definedName name="No_of_Units">#REF!</definedName>
    <definedName name="NOI_Loan_Ratio">#REF!</definedName>
    <definedName name="NOI_Yr1">#REF!</definedName>
    <definedName name="NPV_Comp_Data">#REF!</definedName>
    <definedName name="Number_of_months_to_annualize">#REF!</definedName>
    <definedName name="NumProps0">'[28]SREO Stabilized'!$A$9</definedName>
    <definedName name="NvsASD">"V2008-02-29"</definedName>
    <definedName name="NvsAutoDrillOk">"VN"</definedName>
    <definedName name="NvsElapsedTime">0.0000231481535593048</definedName>
    <definedName name="NvsEndTime">39520.4082523148</definedName>
    <definedName name="NvsInstLang">"VENG"</definedName>
    <definedName name="NvsInstSpec">"%,FBUSINESS_UNIT,V14106"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Effdt">"V1900-01-01"</definedName>
    <definedName name="NvsPanelSetid">"VSHARE"</definedName>
    <definedName name="NvsReqBU">"V10100"</definedName>
    <definedName name="NvsReqBUOnly">"VN"</definedName>
    <definedName name="NvsTransLed">"VN"</definedName>
    <definedName name="NvsTreeASD">"V2008-02-29"</definedName>
    <definedName name="NvsValTbl.ACCOUNT">"GL_ACCOUNT_TBL"</definedName>
    <definedName name="NvsValTbl.CURRENCY_CD">"CURRENCY_CD_TBL"</definedName>
    <definedName name="NvsValTbl.STATISTICS_CODE">"STAT_TBL"</definedName>
    <definedName name="OC_Anls_Pd">#REF!</definedName>
    <definedName name="OC_Assump_2nd">#REF!</definedName>
    <definedName name="OC_Assump_Genl">#REF!</definedName>
    <definedName name="OC_Assump_Vac">#REF!</definedName>
    <definedName name="OC_Cap_Res_Plcmnt">#REF!</definedName>
    <definedName name="OC_CF_11to20">#REF!</definedName>
    <definedName name="OC_CF_1to10">#REF!</definedName>
    <definedName name="OC_CF_1to10_Grph">#REF!</definedName>
    <definedName name="OC_CF_NPV">#REF!</definedName>
    <definedName name="OC_Comp_Val">#REF!</definedName>
    <definedName name="OC_Cover">#REF!</definedName>
    <definedName name="OC_Disp_Mtcs">#REF!</definedName>
    <definedName name="OC_Exec_Summ">#REF!</definedName>
    <definedName name="OC_Exp_Anl">#REF!</definedName>
    <definedName name="OC_Exp_Dtl">#REF!</definedName>
    <definedName name="OC_Exp_Recov_Dtl">#REF!</definedName>
    <definedName name="OC_Expir_Exist">#REF!</definedName>
    <definedName name="OC_Expir_Mkt_Contr">#REF!</definedName>
    <definedName name="OC_Financing">#REF!</definedName>
    <definedName name="OC_Ftr">#REF!</definedName>
    <definedName name="OC_Ftr_Date">#REF!</definedName>
    <definedName name="OC_Hold_by_Year">#REF!</definedName>
    <definedName name="OC_IRR_Mtcs_1">#REF!</definedName>
    <definedName name="OC_IRR_Mtx_2">#REF!</definedName>
    <definedName name="OC_LAR">#REF!</definedName>
    <definedName name="OC_Lse_Up">#REF!</definedName>
    <definedName name="OC_Min_Rnt_Comp_Chart">#REF!</definedName>
    <definedName name="OC_Min_Rnt_Dtl_EV">#REF!</definedName>
    <definedName name="OC_Min_Rnt_Dtl_Type">#REF!</definedName>
    <definedName name="OC_Min_Rnt_Type">#REF!</definedName>
    <definedName name="OC_Mkt_Rt_Calcs">#REF!</definedName>
    <definedName name="OC_Mo_Price">#REF!</definedName>
    <definedName name="OC_Mtx_Input1">#REF!</definedName>
    <definedName name="OC_Mtx_Input2">#REF!</definedName>
    <definedName name="OC_Occ_Cost">#REF!</definedName>
    <definedName name="OC_Occ_Rpt">#REF!</definedName>
    <definedName name="OC_Options">#REF!</definedName>
    <definedName name="OC_Owner">#REF!</definedName>
    <definedName name="OC_Paper_Type">#REF!</definedName>
    <definedName name="OC_PJ_Codes">#REF!</definedName>
    <definedName name="OC_Pricing_Mtx">#REF!</definedName>
    <definedName name="OC_Prn_PJ">#REF!</definedName>
    <definedName name="OC_Repl">#REF!</definedName>
    <definedName name="OC_Resid_Meth">#REF!</definedName>
    <definedName name="OC_Resid_Price_Mtx">#REF!</definedName>
    <definedName name="OC_Residual_10">#REF!</definedName>
    <definedName name="OC_Residual_20">#REF!</definedName>
    <definedName name="OC_Rnt_Calcs">#REF!</definedName>
    <definedName name="OC_Rnt_Grw">#REF!</definedName>
    <definedName name="OC_Rnt_Roll">#REF!</definedName>
    <definedName name="OC_ROI">#REF!</definedName>
    <definedName name="OC_Scen">#REF!</definedName>
    <definedName name="OC_Straight_Ln">#REF!</definedName>
    <definedName name="OC_Supp_Notes">#REF!</definedName>
    <definedName name="OC_Vac_Chart">#REF!</definedName>
    <definedName name="OC_Vac_Mtx">#REF!</definedName>
    <definedName name="OC_Val_Disc_Rt">#REF!</definedName>
    <definedName name="OC_Val_Mtcs_2">#REF!</definedName>
    <definedName name="OC_Val_Mtx_1">#REF!</definedName>
    <definedName name="oldhtl" hidden="1">{"'Assump'!$F$6:$J$6"}</definedName>
    <definedName name="Oper_Exp_Per_Unit">#REF!</definedName>
    <definedName name="Original_principal_balance">'[14]Amort Schedule'!$B$6</definedName>
    <definedName name="Owner">'[13]2Assumptions'!$C$9</definedName>
    <definedName name="PAGE1">#REF!</definedName>
    <definedName name="Partner_Contr_percent">#REF!</definedName>
    <definedName name="Physical_Vac_Stabilized">#REF!</definedName>
    <definedName name="Physical_Vac_Yr_1">#REF!</definedName>
    <definedName name="Physical_Vac_Yr_2">#REF!</definedName>
    <definedName name="PJ_Base">#REF!</definedName>
    <definedName name="PJ_Base_Name">#REF!</definedName>
    <definedName name="PJ_Data_Base">#REF!</definedName>
    <definedName name="PJ_Data_Exist">#REF!</definedName>
    <definedName name="PJ_Data_Lag">#REF!</definedName>
    <definedName name="PJ_Desig">#REF!</definedName>
    <definedName name="PJ_Exist">#REF!</definedName>
    <definedName name="PJ_Exist_Name">#REF!</definedName>
    <definedName name="PJ_Expir">#REF!</definedName>
    <definedName name="PJ_Expir_Name">#REF!</definedName>
    <definedName name="PJ_Lag">#REF!</definedName>
    <definedName name="PJ_Lag_Name">#REF!</definedName>
    <definedName name="PJ_LAR">#REF!</definedName>
    <definedName name="PJ_LAR_Name">#REF!</definedName>
    <definedName name="PJ_Occ">#REF!</definedName>
    <definedName name="PJ_Occ_Data_1">#REF!</definedName>
    <definedName name="PJ_Occ_Data_2">#REF!</definedName>
    <definedName name="PJ_Occ_Data_3">#REF!</definedName>
    <definedName name="PJ_Occ_Data_4">#REF!</definedName>
    <definedName name="PJ_Occ_Name">#REF!</definedName>
    <definedName name="PJ_Path">#REF!</definedName>
    <definedName name="PJ_Uplink_Data">#REF!</definedName>
    <definedName name="pnrz">#REF!</definedName>
    <definedName name="portacomps">#REF!</definedName>
    <definedName name="portbcomps">#REF!</definedName>
    <definedName name="Pref_Return_percent">#REF!</definedName>
    <definedName name="Principal_BH_percent">#REF!</definedName>
    <definedName name="Principal_Pref_percent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_Zone">#REF!</definedName>
    <definedName name="Prior_Year">#REF!</definedName>
    <definedName name="prn">#REF!</definedName>
    <definedName name="Prn_Assump_2nd_Exist_Mkt">#REF!</definedName>
    <definedName name="Prn_Assump_2nd_Lse">#REF!</definedName>
    <definedName name="Prn_Assump_2nd_Tnt_Cost">#REF!</definedName>
    <definedName name="Prn_Assump_Genl_1">#REF!</definedName>
    <definedName name="Prn_Assump_Genl_2">#REF!</definedName>
    <definedName name="Prn_Assump_Vac">#REF!</definedName>
    <definedName name="Prn_CF_11to20">#REF!</definedName>
    <definedName name="Prn_CF_1to10">#REF!</definedName>
    <definedName name="Prn_CF_1to10_Grph">#REF!</definedName>
    <definedName name="Prn_CF_NPV">#REF!</definedName>
    <definedName name="Prn_Comp_Val">#REF!</definedName>
    <definedName name="Prn_Cover">#REF!</definedName>
    <definedName name="Prn_Disp_Mtx_1">#REF!</definedName>
    <definedName name="Prn_Disp_Mtx_2">#REF!</definedName>
    <definedName name="Prn_Disp_Mtx_3">#REF!</definedName>
    <definedName name="Prn_Exec_Summ">#REF!</definedName>
    <definedName name="Prn_Exp_Anl">#REF!</definedName>
    <definedName name="Prn_Exp_Dtl">#REF!</definedName>
    <definedName name="Prn_Exp_Recov_Dtl">#REF!</definedName>
    <definedName name="Prn_Expir_Exist">#REF!</definedName>
    <definedName name="Prn_Expir_Mkt_Contr">#REF!</definedName>
    <definedName name="Prn_Hold_Buyer">#REF!</definedName>
    <definedName name="Prn_Hold_Seller">#REF!</definedName>
    <definedName name="Prn_IRR_Mtx_1A">#REF!</definedName>
    <definedName name="Prn_IRR_Mtx_1B">#REF!</definedName>
    <definedName name="Prn_IRR_Mtx_2">#REF!</definedName>
    <definedName name="Prn_LAR_Rpt">#REF!</definedName>
    <definedName name="Prn_Lse_Up">#REF!</definedName>
    <definedName name="Prn_Min_Rnt_Comp_Chart">#REF!</definedName>
    <definedName name="Prn_Min_Rnt_Dtl_Exist">#REF!</definedName>
    <definedName name="Prn_Min_Rnt_Dtl_Type">#REF!</definedName>
    <definedName name="Prn_Min_Rnt_Dtl_Vac">#REF!</definedName>
    <definedName name="Prn_Mkt_Rt_Calcs">#REF!</definedName>
    <definedName name="Prn_Mo_Price">#REF!</definedName>
    <definedName name="Prn_Mtx1">#REF!</definedName>
    <definedName name="Prn_Mtx2A">#REF!</definedName>
    <definedName name="Prn_Mtx2B">#REF!</definedName>
    <definedName name="Prn_Mtx2C">#REF!</definedName>
    <definedName name="Prn_Occ_Cost">#REF!</definedName>
    <definedName name="Prn_Occ_Rpt">#REF!</definedName>
    <definedName name="Prn_Options">#REF!</definedName>
    <definedName name="Prn_PJ_Base">#REF!</definedName>
    <definedName name="Prn_PJ_Codes">#REF!</definedName>
    <definedName name="Prn_PJ_Exist">#REF!</definedName>
    <definedName name="Prn_PJ_Lag">#REF!</definedName>
    <definedName name="Prn_PJLink_Instr">#REF!</definedName>
    <definedName name="Prn_Pricing_Mtx">#REF!</definedName>
    <definedName name="Prn_Repl">#REF!</definedName>
    <definedName name="Prn_Resid_10">#REF!</definedName>
    <definedName name="Prn_Resid_20">#REF!</definedName>
    <definedName name="Prn_Resid_Mktng">#REF!</definedName>
    <definedName name="Prn_Resid_Price_Mtx">#REF!</definedName>
    <definedName name="Prn_Resid_Simple">#REF!</definedName>
    <definedName name="Prn_Rnt_Calc_Constr_1">#REF!</definedName>
    <definedName name="Prn_Rnt_Calc_Constr_2">#REF!</definedName>
    <definedName name="Prn_Rnt_Chart_1">#REF!</definedName>
    <definedName name="Prn_Rnt_Chart_2">#REF!</definedName>
    <definedName name="Prn_Rnt_Roll">#REF!</definedName>
    <definedName name="Prn_ROI_Chart">#REF!</definedName>
    <definedName name="Prn_Supp_Notes">#REF!</definedName>
    <definedName name="Prn_Tmplt_Instr">#REF!</definedName>
    <definedName name="Prn_Vac_Chart">#REF!</definedName>
    <definedName name="Prn_Vac_Mtx">#REF!</definedName>
    <definedName name="Prn_Val_Disc_Rt">#REF!</definedName>
    <definedName name="prodate">[16]Info!$C$14</definedName>
    <definedName name="Prop_Name">#REF!</definedName>
    <definedName name="property">[16]Info!$C$6</definedName>
    <definedName name="Property_Improvements">#REF!</definedName>
    <definedName name="Property_Local">#REF!</definedName>
    <definedName name="Property_Name">#REF!</definedName>
    <definedName name="Property_Name_ALL">'[24]Data Validation'!$A$2:$A$78</definedName>
    <definedName name="prorate">[29]Info!$B$10</definedName>
    <definedName name="Purch_Pr_Input">#REF!</definedName>
    <definedName name="purchaser">[16]Info!$C$10</definedName>
    <definedName name="QI">[16]Info!$C$32</definedName>
    <definedName name="qryPopulation">#REF!</definedName>
    <definedName name="qtrly_accr_test">#REF!</definedName>
    <definedName name="qtrly_arev_test">#REF!</definedName>
    <definedName name="R_M_Per_Unit">#REF!</definedName>
    <definedName name="Range1">#REF!</definedName>
    <definedName name="RATIO">#REF!</definedName>
    <definedName name="re" hidden="1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receivables">[30]A!$B$12:$I$55</definedName>
    <definedName name="_xlnm.Recorder">#REF!</definedName>
    <definedName name="Refinance_Rate">#REF!</definedName>
    <definedName name="Rent_Loss_Stabilized">#REF!</definedName>
    <definedName name="Rent_Loss_Yr_1">#REF!</definedName>
    <definedName name="Rent_Loss_Yr_2">#REF!</definedName>
    <definedName name="Repl_Cost_0A">#REF!</definedName>
    <definedName name="Repl_Cost_0B">#REF!</definedName>
    <definedName name="Repl_Cost_1A">#REF!</definedName>
    <definedName name="Repl_Cost_1B">#REF!</definedName>
    <definedName name="Report_date">#REF!</definedName>
    <definedName name="Report_Prior">#REF!</definedName>
    <definedName name="RES_CAP">'[13]2Assumptions'!$C$115</definedName>
    <definedName name="Resid_Cap_Rt">#REF!</definedName>
    <definedName name="Resid_Mtx1">#REF!</definedName>
    <definedName name="Resid_Mtx1_Input">#REF!</definedName>
    <definedName name="Resid_Mtx1_Results">#REF!</definedName>
    <definedName name="Resid_Mtx2">#REF!</definedName>
    <definedName name="Resid_Mtx2_Input">#REF!</definedName>
    <definedName name="Resid_Mtx2_Results">#REF!</definedName>
    <definedName name="Rntl_Rt">#REF!</definedName>
    <definedName name="ROLL">'[31]EXH VIII Rent Roll'!$B$6:$M$41</definedName>
    <definedName name="Row_Cnt_Assump_2nd">#REF!</definedName>
    <definedName name="Row_Cnt_Assump_Vac">#REF!</definedName>
    <definedName name="Row_Cnt_CF">#REF!</definedName>
    <definedName name="Row_Cnt_LseUp">#REF!</definedName>
    <definedName name="Row_Cnt_NPV_Comp">#REF!</definedName>
    <definedName name="Rpts">#REF!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d" hidden="1">{"AnnualRentRoll",#N/A,FALSE,"RentRoll"}</definedName>
    <definedName name="saddddd" hidden="1">{"AnnualRentRoll",#N/A,FALSE,"RentRoll"}</definedName>
    <definedName name="sadddddddd" hidden="1">{#N/A,#N/A,FALSE,"ExitStratigy"}</definedName>
    <definedName name="sadddddddddd" hidden="1">{#N/A,#N/A,FALSE,"LoanAssumptions"}</definedName>
    <definedName name="saddddddddddddd" hidden="1">{#N/A,#N/A,FALSE,"OperatingAssumptions"}</definedName>
    <definedName name="sadsadsa" hidden="1">{"'Assump'!$F$6:$J$6"}</definedName>
    <definedName name="saleg">#REF!</definedName>
    <definedName name="Sample1">[32]Template!#REF!</definedName>
    <definedName name="sas" hidden="1">{"Outflow 1",#N/A,FALSE,"Outflows-Inflows";"Outflow 2",#N/A,FALSE,"Outflows-Inflows";"Inflow 1",#N/A,FALSE,"Outflows-Inflows";"Inflow 2",#N/A,FALSE,"Outflows-Inflows"}</definedName>
    <definedName name="Scenario">'[13]2Assumptions'!$A$4</definedName>
    <definedName name="SD">[33]Template!#REF!</definedName>
    <definedName name="sdcds" hidden="1">{"'Assump'!$F$6:$J$6"}</definedName>
    <definedName name="sdfass" hidden="1">{"Outflow 1",#N/A,FALSE,"Outflows-Inflows";"Outflow 2",#N/A,FALSE,"Outflows-Inflows";"Inflow 1",#N/A,FALSE,"Outflows-Inflows";"Inflow 2",#N/A,FALSE,"Outflows-Inflows"}</definedName>
    <definedName name="Second__Mortgage">#REF!</definedName>
    <definedName name="Second_Mortgage_Mezz_Amt">#REF!</definedName>
    <definedName name="Select_Exp_Crit">[20]Expense!$25:$25,[20]Expense!$65:$65,[20]Expense!$101:$101,[20]Expense!$135:$135</definedName>
    <definedName name="seller">[16]Info!$C$8</definedName>
    <definedName name="Seller_amount">#REF!</definedName>
    <definedName name="Seller_Note_Rate">#REF!</definedName>
    <definedName name="SERVICES">#N/A</definedName>
    <definedName name="SF">#REF!</definedName>
    <definedName name="sheet2" hidden="1">{"CF",#N/A,FALSE,"Cash Flow";"RET",#N/A,FALSE,"Returns";"NPV",#N/A,FALSE,"Values";"ASMPT",#N/A,FALSE,"Assumptions"}</definedName>
    <definedName name="SOA">#REF!</definedName>
    <definedName name="SORT_2">[34]Sort!$A$30:$IV$44</definedName>
    <definedName name="SORTME">[34]Sort!$A$10:$IV$20</definedName>
    <definedName name="Start_Year">'[13]2Assumptions'!$C$39</definedName>
    <definedName name="Statement_Date">#REF!</definedName>
    <definedName name="Sterling_BH_percent">#REF!</definedName>
    <definedName name="Sterling_Pref_percent">#REF!</definedName>
    <definedName name="Street">'[13]2Assumptions'!$C$7</definedName>
    <definedName name="Strt">[35]!Strt_Lag</definedName>
    <definedName name="Strt_Base">#REF!</definedName>
    <definedName name="Strt_Disc_Rt">#REF!</definedName>
    <definedName name="Strt_Exist">#REF!</definedName>
    <definedName name="Strt_Exp_Rnt_Lst">#REF!</definedName>
    <definedName name="Strt_Hid_Assump_2nd">#REF!</definedName>
    <definedName name="Strt_Hid_Assump_Vac">#REF!</definedName>
    <definedName name="Strt_Hid_CF">#REF!</definedName>
    <definedName name="Strt_Hid_LseUp">#REF!</definedName>
    <definedName name="Strt_Hid_Min_Rnt_Chrt">#REF!</definedName>
    <definedName name="Strt_Lag">#REF!</definedName>
    <definedName name="Strt_NPV_Comp">#REF!</definedName>
    <definedName name="Strt_Val_IRR">#REF!</definedName>
    <definedName name="Strt_Yr">#REF!</definedName>
    <definedName name="SubInt1">#REF!/12</definedName>
    <definedName name="SubInt2">#REF!/12</definedName>
    <definedName name="SubInt3">#REF!/12</definedName>
    <definedName name="SubInt4">#REF!/12</definedName>
    <definedName name="SubInt5">#REF!/12</definedName>
    <definedName name="tax_begin">[36]Info!$B$21</definedName>
    <definedName name="TEN">#REF!</definedName>
    <definedName name="TI_Prcnt">#REF!</definedName>
    <definedName name="title">[16]Info!$C$28</definedName>
    <definedName name="Title_14A">#REF!</definedName>
    <definedName name="Title_14B">#REF!</definedName>
    <definedName name="Title_20A">#REF!</definedName>
    <definedName name="Title_20B">#REF!</definedName>
    <definedName name="Title_22A">#REF!</definedName>
    <definedName name="Title_22B">#REF!</definedName>
    <definedName name="Title_22C">#REF!</definedName>
    <definedName name="Title_22D">#REF!</definedName>
    <definedName name="Title_24A">#REF!</definedName>
    <definedName name="Title_24B">#REF!</definedName>
    <definedName name="Title_24C">#REF!</definedName>
    <definedName name="Title_25A">#REF!</definedName>
    <definedName name="Title_25B">#REF!</definedName>
    <definedName name="Title_2A">#REF!</definedName>
    <definedName name="Title_2B">#REF!</definedName>
    <definedName name="Title_4A">#REF!</definedName>
    <definedName name="Title_5A">#REF!</definedName>
    <definedName name="Title_5B">#REF!</definedName>
    <definedName name="Title_8A">#REF!</definedName>
    <definedName name="Title_8B">#REF!</definedName>
    <definedName name="TRANS">#REF!</definedName>
    <definedName name="TRANSLATE">#REF!</definedName>
    <definedName name="TWENTYSEVEN">#REF!</definedName>
    <definedName name="Two_year">#REF!</definedName>
    <definedName name="TWR_SubMkt">#REF!</definedName>
    <definedName name="TWR_SubMkt_Title">#REF!</definedName>
    <definedName name="type">'[13]2Assumptions'!$C$11</definedName>
    <definedName name="ULI">#REF!</definedName>
    <definedName name="Untitled">#REF!</definedName>
    <definedName name="uploadlist">#REF!</definedName>
    <definedName name="v_Key1" hidden="1">'[10]V Inc &amp; Exp'!#REF!</definedName>
    <definedName name="v_Key2" hidden="1">'[10]V Inc &amp; Exp'!#REF!</definedName>
    <definedName name="value1" hidden="1">{#N/A,#N/A,FALSE,"Cashflow Analysis";#N/A,#N/A,FALSE,"Sensitivity Analysis";#N/A,#N/A,FALSE,"PV";#N/A,#N/A,FALSE,"Pro Forma"}</definedName>
    <definedName name="VES">#REF!</definedName>
    <definedName name="VesEstimatedAccruals">'[12]RealPage Estimated Accrual'!$N$2:$N$6889</definedName>
    <definedName name="vesEstimatedInvoices">#REF!</definedName>
    <definedName name="VESThree">#REF!</definedName>
    <definedName name="VESTwo">#REF!</definedName>
    <definedName name="vinecompa">#REF!</definedName>
    <definedName name="vinecompb">#REF!</definedName>
    <definedName name="wrn.1st._.DOT._.Repay._.Schedule." hidden="1">{#N/A,#N/A,FALSE,"1st DOT Repay Sch";#N/A,#N/A,FALSE,"NPV Comp"}</definedName>
    <definedName name="wrn.2ndry._.Repay._.Schedule." hidden="1">{#N/A,#N/A,FALSE,"2ndry Repay Sch"}</definedName>
    <definedName name="wrn.3yr.CF." hidden="1">{"assume",#N/A,FALSE,"K&amp;20th Month CF";"MoCF",#N/A,FALSE,"K&amp;20th Month CF";"AnCF",#N/A,FALSE,"K&amp;20th Month CF"}</definedName>
    <definedName name="wrn.AnnualRentRoll" hidden="1">{"AnnualRentRoll",#N/A,FALSE,"RentRoll"}</definedName>
    <definedName name="wrn.AnnualRentRoll." hidden="1">{"AnnualRentRoll",#N/A,FALSE,"RentRoll"}</definedName>
    <definedName name="wrn.Bob." hidden="1">{#N/A,#N/A,TRUE,"33_Cover";#N/A,#N/A,TRUE,"1_Exec_Summ";#N/A,#N/A,TRUE,"2_Assump_Genl";#N/A,#N/A,TRUE,"5_Cash_Flow";#N/A,#N/A,TRUE,"11_Exp_Dtl";#N/A,#N/A,TRUE,"10_Exp_Recov_Dtl";#N/A,#N/A,TRUE,"12_Residual";#N/A,#N/A,TRUE,"14_Pricing_Mtx";#N/A,#N/A,TRUE,"29_Residual_Mtx";#N/A,#N/A,TRUE,"18_Expirations"}</definedName>
    <definedName name="wrn.Camp._.Rent._.Rolls." hidden="1">{"DCF",#N/A,TRUE,"DCF";#N/A,#N/A,TRUE,"CF Assumptions";"Yield Analysis",#N/A,TRUE,"DCF";#N/A,#N/A,TRUE,"Rent Roll - Bluefield";#N/A,#N/A,TRUE,"Rent Roll - Richland";#N/A,#N/A,TRUE,"Rent Roll - Beckley";#N/A,#N/A,TRUE,"BOI &amp; MV";#N/A,#N/A,TRUE,"Lease Matu Sch"}</definedName>
    <definedName name="wrn.Cash._.Flow._.Analysis." hidden="1">{"CF",#N/A,FALSE,"Cash Flow";"RET",#N/A,FALSE,"Returns";"NPV",#N/A,FALSE,"Values";"ASMPT",#N/A,FALSE,"Assumptions"}</definedName>
    <definedName name="wrn.cLosing." hidden="1">{#N/A,#N/A,FALSE,"cLosing"}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rabtree._.Office._.Building." hidden="1">{#N/A,#N/A,FALSE,"Project Investment Summary";#N/A,#N/A,FALSE,"Project Finance Summary";#N/A,#N/A,FALSE,"Development Summary";#N/A,#N/A,FALSE,"Development Detail";#N/A,#N/A,FALSE,"Lease-Up Cost Projections";#N/A,#N/A,FALSE,"Overall Assumptions";#N/A,#N/A,FALSE,"Operating Income";#N/A,#N/A,FALSE,"Rent Roll-Up";#N/A,#N/A,FALSE,"Estimated Mkt Value"}</definedName>
    <definedName name="wrn.CS1." hidden="1">{#N/A,#N/A,FALSE,"Closing";#N/A,#N/A,FALSE,"Sources";#N/A,#N/A,FALSE,"Taxes (A)";#N/A,#N/A,FALSE,"Prepaid (B)";#N/A,#N/A,FALSE,"Service (C)";#N/A,#N/A,FALSE,"RR (D)"}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xitAndSalesAssumptions." hidden="1">{#N/A,#N/A,FALSE,"ExitStratigy"}</definedName>
    <definedName name="wrn.FOschedules." hidden="1">{"FOschedule1",#N/A,FALSE,"Sheet1";"FOschedule2",#N/A,FALSE,"Sheet1";"FOschedule3",#N/A,FALSE,"Sheet1"}</definedName>
    <definedName name="wrn.internal." hidden="1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wrn.Investment._.Review." hidden="1">{#N/A,#N/A,FALSE,"Proforma Five Yr";#N/A,#N/A,FALSE,"Capital Input";#N/A,#N/A,FALSE,"Calculations";#N/A,#N/A,FALSE,"Transaction Summary-DTW"}</definedName>
    <definedName name="wrn.LoanInformation." hidden="1">{#N/A,#N/A,FALSE,"LoanAssumptions"}</definedName>
    <definedName name="wrn.Market._.Values." hidden="1">{#N/A,#N/A,TRUE,"10 Yr Hold";#N/A,#N/A,TRUE,"7 Yr Hold";#N/A,#N/A,TRUE,"5 Yr Hold";#N/A,#N/A,TRUE,"3 Yr Hold"}</definedName>
    <definedName name="wrn.marketing." hidden="1">{#N/A,#N/A,FALSE,"P &amp; L Detail";#N/A,#N/A,FALSE,"Rent Roll";#N/A,#N/A,FALSE,"Sales History";#N/A,#N/A,FALSE,"Spec Pool";#N/A,#N/A,FALSE,"Square Footage Calculations";#N/A,#N/A,FALSE,"Class. &amp; Rent";#N/A,#N/A,FALSE,"Recovery Tables";#N/A,#N/A,FALSE,"Expiration Detail"}</definedName>
    <definedName name="wrn.MonthlyRentRoll." hidden="1">{"MonthlyRentRoll",#N/A,FALSE,"RentRoll"}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hase._.I." hidden="1">{#N/A,#N/A,FALSE,"Transaction Summary-DTW";#N/A,#N/A,FALSE,"Proforma Five Yr";#N/A,#N/A,FALSE,"Occ and Rate"}</definedName>
    <definedName name="wrn.PrepaidB." hidden="1">{#N/A,#N/A,FALSE,"Prepaid (B)"}</definedName>
    <definedName name="wrn.Presentation." hidden="1">{#N/A,#N/A,TRUE,"Summary";"AnnualRentRoll",#N/A,TRUE,"RentRoll";#N/A,#N/A,TRUE,"ExitStratigy";#N/A,#N/A,TRUE,"OperatingAssumptions"}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oforma." hidden="1">{#N/A,#N/A,TRUE,"Invest Sum";#N/A,#N/A,TRUE,"Dev Costs";#N/A,#N/A,TRUE,"PnL 5 Year";#N/A,#N/A,TRUE,"Draw - Constr Period";#N/A,#N/A,TRUE,"Ops - Constr Period";#N/A,#N/A,TRUE,"Ops Yr 1";#N/A,#N/A,TRUE,"Ops Yr 2";#N/A,#N/A,TRUE,"Ops Yr 3 Stabl"}</definedName>
    <definedName name="wrn.Proforma._.Review." hidden="1">{#N/A,#N/A,FALSE,"Occ and Rate";#N/A,#N/A,FALSE,"PF Input";#N/A,#N/A,FALSE,"Proforma Five Yr";#N/A,#N/A,FALSE,"Hotcomps"}</definedName>
    <definedName name="wrn.PropertyInformation." hidden="1">{#N/A,#N/A,FALSE,"PropertyInfo"}</definedName>
    <definedName name="wrn.RentRollD." hidden="1">{#N/A,#N/A,FALSE,"RR (D)"}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erviceC." hidden="1">{#N/A,#N/A,FALSE,"Service (C)"}</definedName>
    <definedName name="wrn.Sources." hidden="1">{#N/A,#N/A,FALSE,"Sources"}</definedName>
    <definedName name="wrn.Summary." hidden="1">{#N/A,#N/A,FALSE,"Summary"}</definedName>
    <definedName name="wrn.Summary._.Proforma." hidden="1">{#N/A,#N/A,FALSE,"Invest Sum";#N/A,#N/A,FALSE,"Dev Costs";#N/A,#N/A,FALSE,"PnL 5 Year"}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xesA." hidden="1">{#N/A,#N/A,FALSE,"Taxes (A)"}</definedName>
    <definedName name="wrn.Template." hidden="1">{#N/A,#N/A,FALSE,"1_Executive Summary";#N/A,#N/A,FALSE,"2_Assumptions";#N/A,#N/A,FALSE,"3_Footnotes";#N/A,#N/A,FALSE,"4_Cash Flow";#N/A,#N/A,FALSE,"5_Exp Detail";#N/A,#N/A,FALSE,"6_Residual - Marketing";#N/A,#N/A,FALSE,"7_Residual Matrix";#N/A,#N/A,FALSE,"8_Pricing Matrix";#N/A,#N/A,FALSE,"9_Value Matrix";#N/A,#N/A,FALSE,"10_Vacancy Detail";#N/A,#N/A,FALSE,"12_Expiration Schedule";#N/A,#N/A,FALSE,"13_Exp Analysis Fixed-Var";#N/A,#N/A,FALSE,"14_Existing vs Mkt"}</definedName>
    <definedName name="wrn.Tycon._.Model." hidden="1">{"rtn",#N/A,FALSE,"RTN";"tables",#N/A,FALSE,"RTN";"cf",#N/A,FALSE,"CF";"stats",#N/A,FALSE,"Stats";"prop",#N/A,FALSE,"Prop"}</definedName>
    <definedName name="wrn.Value." hidden="1">{#N/A,#N/A,FALSE,"Cashflow Analysis";#N/A,#N/A,FALSE,"Sensitivity Analysis";#N/A,#N/A,FALSE,"PV";#N/A,#N/A,FALSE,"Pro Forma"}</definedName>
    <definedName name="WTBI21">#REF!</definedName>
    <definedName name="WTBI24">#REF!</definedName>
    <definedName name="WTBM14">#REF!</definedName>
    <definedName name="WTBM17">#REF!</definedName>
    <definedName name="WTBM20">#REF!</definedName>
    <definedName name="WTBM23">#REF!</definedName>
    <definedName name="WTBM26">#REF!</definedName>
    <definedName name="WTBM29">#REF!</definedName>
    <definedName name="WTBM32">#REF!</definedName>
    <definedName name="WTBM35">#REF!</definedName>
    <definedName name="WTBM38">#REF!</definedName>
    <definedName name="WTBM44">#REF!</definedName>
    <definedName name="WTBM47">#REF!</definedName>
    <definedName name="WTBM50">#REF!</definedName>
    <definedName name="WTBM53">#REF!</definedName>
    <definedName name="WTBM56">#REF!</definedName>
    <definedName name="WTBM68">#REF!</definedName>
    <definedName name="WTBM71">#REF!</definedName>
    <definedName name="WTBM85">#REF!</definedName>
    <definedName name="WTBN41">#REF!</definedName>
    <definedName name="WTBN59">#REF!</definedName>
    <definedName name="WTBN62">#REF!</definedName>
    <definedName name="WTBN65">#REF!</definedName>
    <definedName name="WTBN79">#REF!</definedName>
    <definedName name="XLFile">#REF!</definedName>
    <definedName name="xtra_test">#REF!</definedName>
    <definedName name="YEAR">'[1]7%AMT'!$C$8</definedName>
    <definedName name="Yr_built">#REF!</definedName>
    <definedName name="YTDAdj">[20]Billing!$142:$145,[20]Billing!$107:$110,[20]Billing!$72:$75,[20]Billing!$37:$40,[20]Billing!$168:$174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H19" i="1"/>
  <c r="C19" i="1"/>
  <c r="F44" i="2"/>
  <c r="F45" i="2"/>
  <c r="G24" i="4"/>
  <c r="G23" i="4"/>
  <c r="D23" i="4"/>
  <c r="F11" i="4"/>
  <c r="D11" i="4"/>
  <c r="F39" i="2"/>
  <c r="F40" i="2" s="1"/>
  <c r="F41" i="2" s="1"/>
  <c r="F42" i="2" s="1"/>
  <c r="F43" i="2" s="1"/>
  <c r="E14" i="2"/>
  <c r="G14" i="2" s="1"/>
  <c r="H14" i="2" s="1"/>
  <c r="G22" i="4"/>
  <c r="D22" i="4"/>
  <c r="E10" i="3"/>
  <c r="D19" i="4"/>
  <c r="D20" i="4" s="1"/>
  <c r="D21" i="4" s="1"/>
  <c r="G18" i="4"/>
  <c r="G19" i="4" s="1"/>
  <c r="G20" i="4" s="1"/>
  <c r="G21" i="4" s="1"/>
  <c r="F10" i="4"/>
  <c r="H10" i="4" s="1"/>
  <c r="I10" i="4" s="1"/>
  <c r="F9" i="4"/>
  <c r="H9" i="4" s="1"/>
  <c r="I9" i="4" s="1"/>
  <c r="F8" i="4"/>
  <c r="C10" i="3"/>
  <c r="H8" i="4" l="1"/>
  <c r="I8" i="4" s="1"/>
  <c r="I13" i="4" s="1"/>
  <c r="H10" i="3"/>
  <c r="C27" i="2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F26" i="2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C19" i="2"/>
  <c r="H17" i="2"/>
  <c r="H19" i="2" s="1"/>
</calcChain>
</file>

<file path=xl/sharedStrings.xml><?xml version="1.0" encoding="utf-8"?>
<sst xmlns="http://schemas.openxmlformats.org/spreadsheetml/2006/main" count="151" uniqueCount="67">
  <si>
    <t>Highlands at Sweetwater</t>
  </si>
  <si>
    <t>Prepaid Insurance</t>
  </si>
  <si>
    <t>Account 1030-3600 / 2010-2000</t>
  </si>
  <si>
    <t>Insurance Policy</t>
  </si>
  <si>
    <t>Coverage Period</t>
  </si>
  <si>
    <t> </t>
  </si>
  <si>
    <t>Premium</t>
  </si>
  <si>
    <t>Months in Coverage Period</t>
  </si>
  <si>
    <t>Per Month</t>
  </si>
  <si>
    <t>Months Expensed</t>
  </si>
  <si>
    <t>Payments</t>
  </si>
  <si>
    <t>Prepaid / Balance</t>
  </si>
  <si>
    <t>Property</t>
  </si>
  <si>
    <t>Pollution</t>
  </si>
  <si>
    <t>TB  1030-3600</t>
  </si>
  <si>
    <t>Ins Exp</t>
  </si>
  <si>
    <t xml:space="preserve"> Ppd Ins </t>
  </si>
  <si>
    <t>Amount</t>
  </si>
  <si>
    <t xml:space="preserve"> Acct 6020-2000 </t>
  </si>
  <si>
    <t>Payment</t>
  </si>
  <si>
    <t>Adjustment</t>
  </si>
  <si>
    <t xml:space="preserve"> Acct 1030-3600 / (2010-2000) </t>
  </si>
  <si>
    <t>TB</t>
  </si>
  <si>
    <t>2010-2200</t>
  </si>
  <si>
    <t>Misc Prepaid expense (1030-9900)</t>
  </si>
  <si>
    <t>Prepaids</t>
  </si>
  <si>
    <t>Prepaid / (Accrual) Balance</t>
  </si>
  <si>
    <t>Accrued Other (2010-6000)</t>
  </si>
  <si>
    <t>Accrued other</t>
  </si>
  <si>
    <t>Pest Control</t>
  </si>
  <si>
    <t>07/01/21 - 07/31/21</t>
  </si>
  <si>
    <t>Internet service per budget</t>
  </si>
  <si>
    <t>11/01/21 - 11/30/21</t>
  </si>
  <si>
    <t>Revenue mgmt service</t>
  </si>
  <si>
    <t>08/01/21 - 08/31/21</t>
  </si>
  <si>
    <t>09/01/21 - 09/30/21</t>
  </si>
  <si>
    <t>10/01/21 - 10/31/21</t>
  </si>
  <si>
    <t>12/01/12 - 12/31/21</t>
  </si>
  <si>
    <t xml:space="preserve">P card accrual </t>
  </si>
  <si>
    <t>12/16/12 - 12/31/21</t>
  </si>
  <si>
    <t>Trimont loan service fee not drafted in November</t>
  </si>
  <si>
    <t>IR invoices</t>
  </si>
  <si>
    <t>12/01/21 - 12/31/21</t>
  </si>
  <si>
    <t xml:space="preserve"> </t>
  </si>
  <si>
    <t>Real Estate Tax Accrual</t>
  </si>
  <si>
    <t>State:</t>
  </si>
  <si>
    <t>GA</t>
  </si>
  <si>
    <t>County:</t>
  </si>
  <si>
    <t>Payment Method:</t>
  </si>
  <si>
    <t>Escrow</t>
  </si>
  <si>
    <t>Taxes Due</t>
  </si>
  <si>
    <t>Date Paid</t>
  </si>
  <si>
    <t>Parcel</t>
  </si>
  <si>
    <t>Accrual / Prepaid Coverage Period</t>
  </si>
  <si>
    <t>Monthly Accrual</t>
  </si>
  <si>
    <t>Prepaid/ Accrual Balance</t>
  </si>
  <si>
    <t>01/2022 - 12/2022</t>
  </si>
  <si>
    <t>Acct 6030-1000</t>
  </si>
  <si>
    <t xml:space="preserve">Acct 2010-7000  Accrued </t>
  </si>
  <si>
    <t>Amortized</t>
  </si>
  <si>
    <t>Total Expense</t>
  </si>
  <si>
    <t>Cash Payments</t>
  </si>
  <si>
    <t>Adjustments</t>
  </si>
  <si>
    <t>Prepaid/ (Accrual)</t>
  </si>
  <si>
    <t>YE 2019</t>
  </si>
  <si>
    <t>YE 2020</t>
  </si>
  <si>
    <t>TB 1030-8000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</si>
</sst>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8"/>
      <color rgb="FF000000"/>
      <name val="Tahoma"/>
      <family val="2"/>
    </font>
    <font>
      <b/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0070C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Calibri"/>
      <family val="2"/>
    </font>
    <font>
      <b/>
      <sz val="8"/>
      <name val="Arial"/>
      <family val="2"/>
    </font>
    <font>
      <i/>
      <sz val="10"/>
      <color rgb="FFFF0000"/>
      <name val="Calibri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CD5B4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2" applyFont="1"/>
    <xf numFmtId="0" fontId="1" fillId="0" borderId="0" xfId="1"/>
    <xf numFmtId="14" fontId="3" fillId="0" borderId="0" xfId="2" applyNumberFormat="1" applyFont="1" applyAlignment="1">
      <alignment horizontal="left"/>
    </xf>
    <xf numFmtId="0" fontId="2" fillId="0" borderId="0" xfId="6"/>
    <xf numFmtId="0" fontId="5" fillId="0" borderId="0" xfId="0" applyFont="1"/>
    <xf numFmtId="44" fontId="4" fillId="0" borderId="0" xfId="2" applyNumberFormat="1" applyFont="1"/>
    <xf numFmtId="0" fontId="4" fillId="0" borderId="0" xfId="2" applyFont="1" applyAlignment="1">
      <alignment horizontal="right"/>
    </xf>
    <xf numFmtId="0" fontId="3" fillId="2" borderId="1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wrapText="1"/>
    </xf>
    <xf numFmtId="0" fontId="6" fillId="0" borderId="0" xfId="0" applyFont="1"/>
    <xf numFmtId="14" fontId="7" fillId="0" borderId="0" xfId="2" quotePrefix="1" applyNumberFormat="1" applyFont="1" applyAlignment="1">
      <alignment horizontal="center" wrapText="1"/>
    </xf>
    <xf numFmtId="0" fontId="7" fillId="0" borderId="0" xfId="4" applyNumberFormat="1" applyFont="1" applyFill="1" applyAlignment="1">
      <alignment horizontal="center" wrapText="1"/>
    </xf>
    <xf numFmtId="44" fontId="7" fillId="0" borderId="0" xfId="5" applyFont="1" applyFill="1" applyAlignment="1">
      <alignment wrapText="1"/>
    </xf>
    <xf numFmtId="0" fontId="7" fillId="0" borderId="0" xfId="4" applyNumberFormat="1" applyFont="1" applyFill="1" applyAlignment="1">
      <alignment horizontal="center"/>
    </xf>
    <xf numFmtId="44" fontId="7" fillId="0" borderId="0" xfId="3" applyFont="1" applyFill="1" applyBorder="1" applyAlignment="1">
      <alignment horizontal="center" wrapText="1"/>
    </xf>
    <xf numFmtId="0" fontId="7" fillId="0" borderId="0" xfId="2" applyFont="1" applyAlignment="1">
      <alignment horizontal="center"/>
    </xf>
    <xf numFmtId="0" fontId="8" fillId="0" borderId="0" xfId="6" applyFont="1"/>
    <xf numFmtId="44" fontId="7" fillId="0" borderId="2" xfId="2" applyNumberFormat="1" applyFont="1" applyBorder="1"/>
    <xf numFmtId="44" fontId="3" fillId="3" borderId="2" xfId="2" applyNumberFormat="1" applyFont="1" applyFill="1" applyBorder="1"/>
    <xf numFmtId="0" fontId="3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 wrapText="1"/>
    </xf>
    <xf numFmtId="44" fontId="0" fillId="0" borderId="0" xfId="0" applyNumberFormat="1"/>
    <xf numFmtId="0" fontId="3" fillId="0" borderId="0" xfId="9" applyNumberFormat="1" applyFont="1" applyFill="1" applyAlignment="1">
      <alignment horizontal="left"/>
    </xf>
    <xf numFmtId="0" fontId="7" fillId="0" borderId="0" xfId="2" applyFont="1"/>
    <xf numFmtId="0" fontId="0" fillId="0" borderId="0" xfId="0" applyAlignment="1">
      <alignment vertical="center"/>
    </xf>
    <xf numFmtId="0" fontId="3" fillId="0" borderId="0" xfId="2" applyFont="1" applyAlignment="1">
      <alignment horizontal="left"/>
    </xf>
    <xf numFmtId="43" fontId="7" fillId="0" borderId="0" xfId="9" applyFont="1"/>
    <xf numFmtId="14" fontId="3" fillId="0" borderId="0" xfId="9" applyNumberFormat="1" applyFont="1" applyAlignment="1">
      <alignment horizontal="left"/>
    </xf>
    <xf numFmtId="0" fontId="3" fillId="0" borderId="0" xfId="2" applyFont="1" applyAlignment="1">
      <alignment horizontal="right"/>
    </xf>
    <xf numFmtId="0" fontId="7" fillId="0" borderId="0" xfId="2" applyFont="1" applyAlignment="1">
      <alignment horizontal="right"/>
    </xf>
    <xf numFmtId="14" fontId="3" fillId="0" borderId="1" xfId="2" applyNumberFormat="1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43" fontId="3" fillId="0" borderId="1" xfId="9" applyFont="1" applyBorder="1" applyAlignment="1">
      <alignment horizontal="center"/>
    </xf>
    <xf numFmtId="0" fontId="3" fillId="0" borderId="0" xfId="2" applyFont="1" applyAlignment="1">
      <alignment horizontal="center"/>
    </xf>
    <xf numFmtId="14" fontId="7" fillId="0" borderId="0" xfId="2" applyNumberFormat="1" applyFont="1" applyAlignment="1">
      <alignment horizontal="center"/>
    </xf>
    <xf numFmtId="14" fontId="7" fillId="0" borderId="0" xfId="2" applyNumberFormat="1" applyFont="1"/>
    <xf numFmtId="43" fontId="7" fillId="0" borderId="0" xfId="9" applyFont="1" applyAlignment="1">
      <alignment horizontal="center"/>
    </xf>
    <xf numFmtId="0" fontId="7" fillId="0" borderId="0" xfId="2" quotePrefix="1" applyFont="1" applyAlignment="1">
      <alignment horizontal="center"/>
    </xf>
    <xf numFmtId="4" fontId="10" fillId="0" borderId="0" xfId="0" applyNumberFormat="1" applyFont="1" applyAlignment="1">
      <alignment vertical="center"/>
    </xf>
    <xf numFmtId="43" fontId="3" fillId="0" borderId="0" xfId="7" applyFont="1" applyAlignment="1"/>
    <xf numFmtId="0" fontId="3" fillId="2" borderId="1" xfId="2" applyFont="1" applyFill="1" applyBorder="1" applyAlignment="1">
      <alignment horizontal="left"/>
    </xf>
    <xf numFmtId="43" fontId="7" fillId="0" borderId="0" xfId="7" applyFont="1" applyFill="1" applyBorder="1" applyAlignment="1">
      <alignment horizontal="center" wrapText="1"/>
    </xf>
    <xf numFmtId="0" fontId="3" fillId="0" borderId="0" xfId="2" applyFont="1" applyAlignment="1">
      <alignment horizontal="center" wrapText="1"/>
    </xf>
    <xf numFmtId="43" fontId="3" fillId="0" borderId="0" xfId="2" applyNumberFormat="1" applyFont="1" applyAlignment="1">
      <alignment horizontal="center" wrapText="1"/>
    </xf>
    <xf numFmtId="0" fontId="11" fillId="0" borderId="0" xfId="2" applyFont="1" applyAlignment="1">
      <alignment horizontal="center" wrapText="1"/>
    </xf>
    <xf numFmtId="43" fontId="3" fillId="0" borderId="0" xfId="7" applyFont="1" applyFill="1" applyBorder="1" applyAlignment="1">
      <alignment horizontal="center" wrapText="1"/>
    </xf>
    <xf numFmtId="43" fontId="7" fillId="0" borderId="0" xfId="2" applyNumberFormat="1" applyFont="1" applyAlignment="1">
      <alignment horizontal="center" wrapText="1"/>
    </xf>
    <xf numFmtId="0" fontId="7" fillId="0" borderId="0" xfId="2" applyFont="1" applyAlignment="1" applyProtection="1">
      <alignment horizontal="right"/>
      <protection locked="0"/>
    </xf>
    <xf numFmtId="43" fontId="7" fillId="0" borderId="0" xfId="7" applyFont="1" applyFill="1" applyAlignment="1">
      <alignment horizontal="center" wrapText="1"/>
    </xf>
    <xf numFmtId="0" fontId="7" fillId="0" borderId="0" xfId="7" applyNumberFormat="1" applyFont="1" applyFill="1" applyAlignment="1">
      <alignment horizontal="center" wrapText="1"/>
    </xf>
    <xf numFmtId="43" fontId="7" fillId="0" borderId="0" xfId="7" applyFont="1" applyFill="1" applyBorder="1" applyAlignment="1">
      <alignment wrapText="1"/>
    </xf>
    <xf numFmtId="0" fontId="12" fillId="0" borderId="0" xfId="7" applyNumberFormat="1" applyFont="1" applyFill="1" applyAlignment="1">
      <alignment horizontal="center"/>
    </xf>
    <xf numFmtId="43" fontId="7" fillId="0" borderId="0" xfId="7" applyFont="1" applyFill="1" applyAlignment="1">
      <alignment wrapText="1"/>
    </xf>
    <xf numFmtId="0" fontId="7" fillId="0" borderId="0" xfId="2" applyFont="1" applyProtection="1">
      <protection locked="0"/>
    </xf>
    <xf numFmtId="0" fontId="7" fillId="0" borderId="0" xfId="7" applyNumberFormat="1" applyFont="1" applyFill="1" applyAlignment="1">
      <alignment horizontal="center"/>
    </xf>
    <xf numFmtId="44" fontId="3" fillId="0" borderId="2" xfId="8" applyFont="1" applyFill="1" applyBorder="1" applyAlignment="1">
      <alignment wrapText="1"/>
    </xf>
    <xf numFmtId="0" fontId="7" fillId="0" borderId="0" xfId="9" applyNumberFormat="1" applyFont="1" applyFill="1" applyAlignment="1">
      <alignment horizontal="center" wrapText="1"/>
    </xf>
    <xf numFmtId="44" fontId="7" fillId="0" borderId="0" xfId="10" applyFont="1" applyFill="1" applyBorder="1" applyAlignment="1">
      <alignment wrapText="1"/>
    </xf>
    <xf numFmtId="164" fontId="7" fillId="0" borderId="0" xfId="9" applyNumberFormat="1" applyFont="1" applyFill="1" applyBorder="1" applyAlignment="1">
      <alignment horizontal="right"/>
    </xf>
    <xf numFmtId="44" fontId="3" fillId="0" borderId="2" xfId="10" applyFont="1" applyFill="1" applyBorder="1" applyAlignment="1">
      <alignment wrapText="1"/>
    </xf>
    <xf numFmtId="44" fontId="7" fillId="0" borderId="0" xfId="10" applyFont="1" applyFill="1" applyAlignment="1">
      <alignment wrapText="1"/>
    </xf>
    <xf numFmtId="43" fontId="7" fillId="0" borderId="0" xfId="9" applyFont="1" applyBorder="1" applyAlignment="1">
      <alignment horizontal="center"/>
    </xf>
    <xf numFmtId="0" fontId="7" fillId="0" borderId="0" xfId="9" quotePrefix="1" applyNumberFormat="1" applyFont="1" applyBorder="1" applyAlignment="1">
      <alignment horizontal="center"/>
    </xf>
    <xf numFmtId="43" fontId="3" fillId="2" borderId="0" xfId="9" applyFont="1" applyFill="1" applyBorder="1" applyAlignment="1">
      <alignment horizontal="center"/>
    </xf>
    <xf numFmtId="17" fontId="7" fillId="0" borderId="3" xfId="2" applyNumberFormat="1" applyFont="1" applyBorder="1" applyAlignment="1">
      <alignment horizontal="right"/>
    </xf>
    <xf numFmtId="43" fontId="7" fillId="0" borderId="3" xfId="9" applyFont="1" applyFill="1" applyBorder="1"/>
    <xf numFmtId="43" fontId="7" fillId="0" borderId="3" xfId="2" applyNumberFormat="1" applyFont="1" applyBorder="1"/>
    <xf numFmtId="43" fontId="7" fillId="0" borderId="4" xfId="9" applyFont="1" applyFill="1" applyBorder="1"/>
    <xf numFmtId="43" fontId="3" fillId="0" borderId="3" xfId="9" applyFont="1" applyFill="1" applyBorder="1"/>
    <xf numFmtId="43" fontId="5" fillId="0" borderId="0" xfId="9" applyFont="1" applyFill="1" applyBorder="1"/>
    <xf numFmtId="43" fontId="7" fillId="0" borderId="0" xfId="9" applyFont="1" applyBorder="1"/>
    <xf numFmtId="43" fontId="3" fillId="3" borderId="3" xfId="9" applyFont="1" applyFill="1" applyBorder="1"/>
    <xf numFmtId="0" fontId="13" fillId="0" borderId="0" xfId="0" applyFont="1"/>
    <xf numFmtId="0" fontId="2" fillId="0" borderId="0" xfId="0" applyFont="1"/>
    <xf numFmtId="0" fontId="14" fillId="0" borderId="0" xfId="0" applyFont="1"/>
    <xf numFmtId="0" fontId="15" fillId="4" borderId="1" xfId="0" applyFont="1" applyFill="1" applyBorder="1"/>
    <xf numFmtId="0" fontId="15" fillId="4" borderId="1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15" fillId="4" borderId="0" xfId="0" applyFont="1" applyFill="1"/>
    <xf numFmtId="0" fontId="15" fillId="4" borderId="0" xfId="0" applyFont="1" applyFill="1" applyAlignment="1">
      <alignment wrapText="1"/>
    </xf>
    <xf numFmtId="14" fontId="14" fillId="0" borderId="0" xfId="0" applyNumberFormat="1" applyFont="1" applyAlignment="1">
      <alignment wrapText="1"/>
    </xf>
    <xf numFmtId="8" fontId="14" fillId="0" borderId="0" xfId="0" applyNumberFormat="1" applyFont="1" applyAlignment="1">
      <alignment wrapText="1"/>
    </xf>
    <xf numFmtId="0" fontId="16" fillId="0" borderId="0" xfId="0" applyFont="1"/>
    <xf numFmtId="8" fontId="14" fillId="0" borderId="2" xfId="0" applyNumberFormat="1" applyFont="1" applyBorder="1"/>
    <xf numFmtId="8" fontId="15" fillId="5" borderId="2" xfId="0" applyNumberFormat="1" applyFont="1" applyFill="1" applyBorder="1"/>
    <xf numFmtId="0" fontId="15" fillId="0" borderId="0" xfId="0" applyFont="1"/>
    <xf numFmtId="0" fontId="15" fillId="0" borderId="1" xfId="0" applyFont="1" applyBorder="1"/>
    <xf numFmtId="0" fontId="17" fillId="0" borderId="1" xfId="0" applyFont="1" applyBorder="1"/>
    <xf numFmtId="16" fontId="15" fillId="0" borderId="3" xfId="0" applyNumberFormat="1" applyFont="1" applyBorder="1"/>
    <xf numFmtId="0" fontId="14" fillId="0" borderId="5" xfId="0" applyFont="1" applyBorder="1"/>
    <xf numFmtId="4" fontId="14" fillId="0" borderId="5" xfId="0" applyNumberFormat="1" applyFont="1" applyBorder="1"/>
    <xf numFmtId="4" fontId="14" fillId="6" borderId="5" xfId="0" applyNumberFormat="1" applyFont="1" applyFill="1" applyBorder="1"/>
    <xf numFmtId="0" fontId="15" fillId="0" borderId="5" xfId="0" applyFont="1" applyBorder="1"/>
    <xf numFmtId="4" fontId="15" fillId="0" borderId="5" xfId="0" applyNumberFormat="1" applyFont="1" applyBorder="1"/>
    <xf numFmtId="16" fontId="15" fillId="0" borderId="6" xfId="0" applyNumberFormat="1" applyFont="1" applyBorder="1"/>
    <xf numFmtId="0" fontId="18" fillId="0" borderId="0" xfId="0" applyFont="1"/>
    <xf numFmtId="0" fontId="18" fillId="5" borderId="0" xfId="0" applyFont="1" applyFill="1"/>
    <xf numFmtId="0" fontId="14" fillId="7" borderId="5" xfId="0" applyFont="1" applyFill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4" fontId="13" fillId="0" borderId="0" xfId="0" applyNumberFormat="1" applyFont="1" applyAlignment="1">
      <alignment horizontal="left"/>
    </xf>
    <xf numFmtId="0" fontId="22" fillId="0" borderId="0" xfId="0" applyFont="1"/>
    <xf numFmtId="0" fontId="19" fillId="0" borderId="5" xfId="0" applyFont="1" applyBorder="1"/>
    <xf numFmtId="0" fontId="23" fillId="0" borderId="0" xfId="2" applyFont="1"/>
  </cellXfs>
  <cellStyles count="11">
    <cellStyle name="Comma" xfId="7" builtinId="3"/>
    <cellStyle name="Comma 4 2 2" xfId="9" xr:uid="{8415D939-6C0C-4900-9194-034442A6D820}"/>
    <cellStyle name="Comma 4 5" xfId="4" xr:uid="{D2DA7FD6-A2AD-4AF8-B294-4264584A9B2C}"/>
    <cellStyle name="Currency" xfId="8" builtinId="4"/>
    <cellStyle name="Currency 12" xfId="3" xr:uid="{38FC7593-741B-422B-9B0D-E7BF866D6A7D}"/>
    <cellStyle name="Currency 6 2 2" xfId="10" xr:uid="{6A7215B9-5E03-4431-B887-1F2E4B7C87F6}"/>
    <cellStyle name="Currency 6 5" xfId="5" xr:uid="{BDEA946C-393E-4D27-9297-A55D951ECC0D}"/>
    <cellStyle name="Hyperlink" xfId="1" builtinId="8"/>
    <cellStyle name="Normal" xfId="0" builtinId="0"/>
    <cellStyle name="Normal 35" xfId="6" xr:uid="{022F7BE3-2CD1-4481-8197-BC0396CD8870}"/>
    <cellStyle name="Normal_MCD 05.10 2 2" xfId="2" xr:uid="{F01D0123-CD96-49BB-8CE5-F0DC3BCB2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16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excel\DISPO\4225barrett\422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excel\DISPO\2705Marinabay\2705%20liquidation%20analysi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\Nkozinski\My%20Documents\Butterfield%20III\Monthly%20Reports\2003%20Monthly%20reports\Exec.%20Summary%20Dec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ient%20Marketing%20Materials\GMS%20Realty\GMS%20Realty\Nikko%20Capital\Heitman\Carson%20Industrial%20Park\Carson%20Industrial%20Park%20I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ex01\share\Documents%20and%20Settings\hparzybok\Local%20Settings\Temporary%20Internet%20Files\OLK27\5.02.05%20Cherrywood%20&amp;%20Ranchstone%20-%20Underwriting%20-%20BASE%20CAS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FFC_RET\RONNIE\CIGNA\BOOK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ex01\share\Documents%20and%20Settings\Kristopher\Local%20Settings\Temporary%20Internet%20Files\OLK1A8\09.27.05%20-%20The%20Tides%20-%20Underwriting%20-%20BASE%20CA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S\0901-0950\0924-National%20Bank%20Plaza-UBS%20v1.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quistions\RUSSELL\Westchester-Greenwich\800%20Westchester%20Avenue\From%20HOT\FiMo%20Westin%20Rye%20Brook%205-28-04%20-%20300%20room%20scenario%20HYBRI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ex01\share\Documents%20and%20Settings\Administrator.PHOENIX\My%20Documents\GREP%20DEALS\Financial%20Models\Underwriting%20Models\Southern%20California\Oxnard\Models\Oxnard%20Consolidated%207-21%20-%20$81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ounting\Accounting%20Workpapers%20&amp;%20Perm%20Files\Accounting%20Workpapers\2016\Riverside\11.30\2%20-%20DST\530%20Riverside%20DST%20workpapers%2011-30-1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gowda\Downloads\Cass-Realpage%20Accrual%2005.2020%20(3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_SRVS\MODELS\INVESTME\EXCEL50\NHM_INV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HEQ\SPREAD\Verandah\Yield%20maint%2020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ynergy.sdbell.com/homeoffice/operationalaccounting/InternalOpsAcctg/Accounting%20Templates/Documents%20and%20Settings/shutchinson/Local%20Settings/Temporary%20Internet%20Files/OLK1A9/$$2180162736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prince\AppData\Local\Microsoft\Windows\Temporary%20Internet%20Files\Content.Outlook\7AW2Q9TI\Audubon%20Villag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ARTS\CHASES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ounting\Accounting%20Workpapers%20&amp;%20Perm%20Files\Accounting%20Workpapers\2015\Chace%20Lake\12.31\2%20-%20DST\445%20Chace%20Lake%20DST%20workpapers%2012-31-2015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roll%20Organization\Dropbox%20(Team%20Carroll%20001)\0728%20Arium%20Grand%20Lake\03.15%20Financial%20Information\0728_ARIUM%20Grande%20Lakes%20_%20Reclass%20and%20Accruals_3-2015A%20Utilitie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Work\Data2001\Delaware%2063.689\Recov6892001NEW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Kozinski\Local%20Settings\Temporary%20Internet%20Files\OLK1\LEASE%20GRAPH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ounting\Accounting%20Workpapers%20&amp;%20Perm%20Files\Accounting%20Workpapers\2015\Mesa%20Ridge\12.31\2%20-%20DST\425%20Mesa%20DST%20wps%2012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wner\Documents\RAM%20FOLDER\Budgets\ALARA%20Farms%20FYE%202011%206-8-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egg\Q1'18%20guidance\Financial%20Dashboard%20-%202017%20MASTER.xlsb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PUBLIC\BRAD\PROJECTS\GULFISLE\LLOTUS\LLDAT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HEQ\Underwriting\ANALYSIS\General%20Analysis\Amort%20table%20-%20Yield%20main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ynergy.sdbell.com/homeoffice/operationalaccounting/InternalOpsAcctg/Accounting%20Templates/Documents%20and%20Settings/koleary/Local%20Settings/Temporary%20Internet%20Files/OLKAB/08DominionWalnutRidgePG6W3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ing\Corporate\Financial%20Statements\2011\06-11\SREO%20for%20PP%20as%20of%2006-30-201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rfs06\general\HOME\FINSERV\GENERAL\C-HNTSTH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icago\226-230%20Gerry\Tab%2010-receivable%20analysi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Excel\DISPO\2722%20Town%20Center%20Bus%20Park\2722exhibit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ynergy.bellpartnersinc.com/Documents%20and%20Settings/smkelley/Local%20Settings/Temporary%20Internet%20Files/OLK1/47292932644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p1\jfs\jUsersdefpaths\Worthing%20Southeast%20LLC\Live\$$273405329164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RANDALL\FLORENCE\FLORENCERR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gowda\Documents\Gulfshore%20Easy%20Pay%209.2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rfs06\general\HOME\FINSERV\GENERAL\CAPREIT\C-CAPRT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bined-1st"/>
      <sheetName val="Exhibit1"/>
      <sheetName val="Exhibit II"/>
      <sheetName val="BARBACF"/>
      <sheetName val="EXHIBIT III"/>
      <sheetName val="Exhibit 5 RSalComps "/>
      <sheetName val="Exhibit 6 offers"/>
      <sheetName val="Exhibit VII rent roll"/>
      <sheetName val="Exhibit VIII Lease expiration"/>
      <sheetName val="inplace vs mkt"/>
      <sheetName val="7%AMT"/>
      <sheetName val="7.5AMT ("/>
      <sheetName val="EXHIBIT III A 7.5% lev "/>
      <sheetName val="EXHIBIT III A 7% l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hibit VIII LiqAnaly"/>
      <sheetName val="MBAYPREF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Inputs"/>
      <sheetName val="Replacement Cost"/>
      <sheetName val="Taxes"/>
      <sheetName val="Expirations"/>
      <sheetName val="RentRoll"/>
      <sheetName val="Residual"/>
      <sheetName val="Matrices"/>
      <sheetName val="10yrCasflow"/>
      <sheetName val="Revenue"/>
      <sheetName val="ProForma"/>
      <sheetName val="IE Summary"/>
      <sheetName val="Argus"/>
      <sheetName val="Marked to Market"/>
      <sheetName val="Carson Adjusted Recoverie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ecutive Summary"/>
      <sheetName val="Underwriting"/>
      <sheetName val="Inc &amp; Exp Assump (1)"/>
      <sheetName val="Inc &amp; Exp Assump (2)"/>
      <sheetName val="Yr1 Proforma"/>
      <sheetName val="Yr2 Proforma"/>
      <sheetName val="5 YR Capital"/>
      <sheetName val="Historical Comp"/>
      <sheetName val="Amort"/>
      <sheetName val="Closing Costs"/>
      <sheetName val="Promote Calc"/>
      <sheetName val="Monthly Income Statement"/>
      <sheetName val="Prop Performance"/>
      <sheetName val="Comps"/>
      <sheetName val="1Bd1Ba"/>
      <sheetName val="2Bd1Ba"/>
      <sheetName val="2Bd2Ba"/>
      <sheetName val="3Bd2Ba"/>
      <sheetName val="Top Employers"/>
      <sheetName val="Template"/>
      <sheetName val="Beds"/>
      <sheetName val="Lists"/>
      <sheetName val="Executive_Summary"/>
      <sheetName val="Inc_&amp;_Exp_Assump_(1)"/>
      <sheetName val="Inc_&amp;_Exp_Assump_(2)"/>
      <sheetName val="Yr1_Proforma"/>
      <sheetName val="Yr2_Proforma"/>
      <sheetName val="5_YR_Capital"/>
      <sheetName val="Historical_Comp"/>
      <sheetName val="Closing_Costs"/>
      <sheetName val="Promote_Calc"/>
      <sheetName val="Monthly_Income_Statement"/>
      <sheetName val="Prop_Performance"/>
      <sheetName val="Top_Employers"/>
      <sheetName val="Valuation Tearsheet"/>
      <sheetName val="Lists (2)"/>
      <sheetName val="Lists2"/>
      <sheetName val="UW-BC Comparison"/>
      <sheetName val="Directions"/>
      <sheetName val="Instructions"/>
      <sheetName val="KPI"/>
      <sheetName val="Variance"/>
      <sheetName val="12 Month Reforecast"/>
      <sheetName val="Budget"/>
      <sheetName val="Yardi Budget"/>
      <sheetName val="Monthly Budget Comparison"/>
      <sheetName val="Quarterly Budget Comparison"/>
      <sheetName val="12 Month Statement"/>
      <sheetName val="12 Month Actual to Budget"/>
      <sheetName val="Conversion Ratios"/>
      <sheetName val="January-Boxscore"/>
      <sheetName val="February-Boxscore"/>
      <sheetName val="March-Boxscore"/>
      <sheetName val="April-Boxscore"/>
      <sheetName val="May-Boxscore"/>
      <sheetName val="June-Boxscore"/>
      <sheetName val="July-Boxscore"/>
      <sheetName val="August-Boxscore"/>
      <sheetName val="September-Boxscore"/>
      <sheetName val="October-Boxscore"/>
      <sheetName val="November-Boxscore"/>
      <sheetName val="December-Boxscore"/>
      <sheetName val="Multi-Year Forecast"/>
      <sheetName val="DSCR Calc"/>
      <sheetName val="Effective Rents"/>
      <sheetName val="4 - Rents"/>
      <sheetName val="Draw#16 Project Budget"/>
      <sheetName val="Workings"/>
      <sheetName val="Executive_Summary1"/>
      <sheetName val="Inc_&amp;_Exp_Assump_(1)1"/>
      <sheetName val="Inc_&amp;_Exp_Assump_(2)1"/>
      <sheetName val="Yr1_Proforma1"/>
      <sheetName val="Yr2_Proforma1"/>
      <sheetName val="5_YR_Capital1"/>
      <sheetName val="Historical_Comp1"/>
      <sheetName val="Closing_Costs1"/>
      <sheetName val="Promote_Calc1"/>
      <sheetName val="Monthly_Income_Statement1"/>
      <sheetName val="Prop_Performance1"/>
      <sheetName val="Top_Employers1"/>
      <sheetName val="Valuation_Tearsheet"/>
      <sheetName val="Lists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CTTOC"/>
      <sheetName val="Chart1"/>
      <sheetName val="MgmtFee"/>
      <sheetName val="FixedAsset"/>
      <sheetName val="CIP"/>
      <sheetName val="RELATED"/>
      <sheetName val="ACCRUALS"/>
      <sheetName val="AP"/>
      <sheetName val="Cover (2)"/>
      <sheetName val="Qtr"/>
      <sheetName val="Rent rec"/>
      <sheetName val="Prop.Tax"/>
      <sheetName val="Ins."/>
      <sheetName val="C2-Bank Recon Inv"/>
      <sheetName val="January"/>
      <sheetName val="CLOS STAT"/>
      <sheetName val="accrexp"/>
      <sheetName val="Input"/>
      <sheetName val="Premium"/>
      <sheetName val="Instructions"/>
      <sheetName val="0900"/>
      <sheetName val="Query"/>
      <sheetName val="UEA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ive Summary"/>
      <sheetName val="Underwriting"/>
      <sheetName val="Inc &amp; Exp Assump (1)"/>
      <sheetName val="Inc &amp; Exp Assump (2)"/>
      <sheetName val="Yr1 Proforma"/>
      <sheetName val="Yr2 Proforma"/>
      <sheetName val="5 YR Capital"/>
      <sheetName val="Historical Comp"/>
      <sheetName val="TTM Monthly"/>
      <sheetName val="Amort"/>
      <sheetName val="Closing Costs"/>
      <sheetName val="Promote Calc"/>
      <sheetName val="Monthly Income Statement"/>
      <sheetName val="Prop Performance"/>
      <sheetName val="Comps"/>
      <sheetName val="1Bd1Ba"/>
      <sheetName val="2Bd1Ba"/>
      <sheetName val="2Bd2Ba"/>
      <sheetName val="3Bd2Ba"/>
      <sheetName val="Bridgeport"/>
      <sheetName val="Top Employers"/>
      <sheetName val="Sheet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Matrix"/>
      <sheetName val="RR Summary"/>
      <sheetName val="CashFlow"/>
      <sheetName val="Rent Roll"/>
      <sheetName val="Roll Charts"/>
      <sheetName val="DCF"/>
      <sheetName val="Inc &amp; Exp"/>
      <sheetName val="Source Argus Rent Roll"/>
      <sheetName val="Market Rates"/>
      <sheetName val="Scratch"/>
      <sheetName val="Lease Rollover"/>
      <sheetName val="Assumptions"/>
      <sheetName val="Recent Lease"/>
      <sheetName val="RL Summary"/>
      <sheetName val="Pro-Ject Link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W Changes and Comments"/>
      <sheetName val="Notes"/>
      <sheetName val="General"/>
      <sheetName val="Facilities Summary"/>
      <sheetName val="Occ and Rate"/>
      <sheetName val="Hotcomps Act-Fcst 2004"/>
      <sheetName val="Hotcomps 2003"/>
      <sheetName val="Hotcomps 2002"/>
      <sheetName val="PF Input"/>
      <sheetName val="Spa Projections"/>
      <sheetName val="Restaurant Projections (for W)"/>
      <sheetName val="Five-Year Projection"/>
      <sheetName val="Ten-Year Projection"/>
      <sheetName val="Ten-Year Projection $US"/>
      <sheetName val="Capital Input"/>
      <sheetName val="Calculations"/>
      <sheetName val="Transaction Summary &amp; Tables"/>
      <sheetName val="Transaction Metrics"/>
      <sheetName val="Deal Reporting Form"/>
      <sheetName val="Error Check"/>
      <sheetName val="Sensitivity"/>
      <sheetName val="Assumption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Executive Summary"/>
      <sheetName val="Portfolio 10Yr Proforma"/>
      <sheetName val="Portfolio Amort"/>
      <sheetName val="Portfolio CC"/>
      <sheetName val="Promote Calc"/>
      <sheetName val="Monthly Income Statement"/>
      <sheetName val="Portfolio YR1 Proforma"/>
      <sheetName val="Sensitivity"/>
      <sheetName val="Comps"/>
      <sheetName val="Studio"/>
      <sheetName val="1Bd1Ba"/>
      <sheetName val="2Bd2Ba"/>
      <sheetName val="Apt Underwriting"/>
      <sheetName val="Apt Inc &amp; Exp Assump"/>
      <sheetName val="Apt Yr1 Proforma"/>
      <sheetName val="Apt Hist"/>
      <sheetName val="Apt 5-Yr Cap"/>
      <sheetName val="V UW"/>
      <sheetName val="V Inc &amp; Exp"/>
      <sheetName val="V Yr1 Proforma"/>
      <sheetName val="V Hist"/>
      <sheetName val="V 5Yr Cap"/>
      <sheetName val="A UW"/>
      <sheetName val="V CC"/>
      <sheetName val="V Amort"/>
      <sheetName val="A Inc &amp; Exp"/>
      <sheetName val="A Yr1 Proforma"/>
      <sheetName val="A Hist"/>
      <sheetName val="A 5Yr Cap"/>
      <sheetName val="A CC"/>
      <sheetName val="A Amort Calc"/>
      <sheetName val="B UW"/>
      <sheetName val="B Inc &amp; Exp"/>
      <sheetName val="B Yr1 Proforma"/>
      <sheetName val="B Hist"/>
      <sheetName val="B 5-Yr Cap"/>
      <sheetName val="B CC"/>
      <sheetName val="Marinas UW"/>
      <sheetName val="Marina Comps"/>
      <sheetName val="Marinas Hist"/>
      <sheetName val="Marinas Inc &amp; Exp"/>
      <sheetName val="Marinas Yr 1 Proforma"/>
      <sheetName val="Marinas Amort"/>
      <sheetName val="Hotel Hist"/>
      <sheetName val="Marina 5-Yr Cap"/>
      <sheetName val="Hotel UW"/>
      <sheetName val="Hotel YR1 Proforma"/>
      <sheetName val="Hotel 5-Yr Cap"/>
      <sheetName val="Data Input Sheet"/>
      <sheetName val="Lease Terms"/>
      <sheetName val="Hotel Amort"/>
      <sheetName val="EVABT"/>
      <sheetName val="PROFIT"/>
      <sheetName val="Executive_Summary"/>
      <sheetName val="Portfolio_10Yr_Proforma"/>
      <sheetName val="Portfolio_Amort"/>
      <sheetName val="Portfolio_CC"/>
      <sheetName val="Promote_Calc"/>
      <sheetName val="Monthly_Income_Statement"/>
      <sheetName val="Portfolio_YR1_Proforma"/>
      <sheetName val="Apt_Underwriting"/>
      <sheetName val="Apt_Inc_&amp;_Exp_Assump"/>
      <sheetName val="Apt_Yr1_Proforma"/>
      <sheetName val="Apt_Hist"/>
      <sheetName val="Apt_5-Yr_Cap"/>
      <sheetName val="V_UW"/>
      <sheetName val="V_Inc_&amp;_Exp"/>
      <sheetName val="V_Yr1_Proforma"/>
      <sheetName val="V_Hist"/>
      <sheetName val="V_5Yr_Cap"/>
      <sheetName val="A_UW"/>
      <sheetName val="V_CC"/>
      <sheetName val="V_Amort"/>
      <sheetName val="A_Inc_&amp;_Exp"/>
      <sheetName val="A_Yr1_Proforma"/>
      <sheetName val="A_Hist"/>
      <sheetName val="A_5Yr_Cap"/>
      <sheetName val="A_CC"/>
      <sheetName val="A_Amort_Calc"/>
      <sheetName val="B_UW"/>
      <sheetName val="B_Inc_&amp;_Exp"/>
      <sheetName val="B_Yr1_Proforma"/>
      <sheetName val="B_Hist"/>
      <sheetName val="B_5-Yr_Cap"/>
      <sheetName val="B_CC"/>
      <sheetName val="Marinas_UW"/>
      <sheetName val="Marina_Comps"/>
      <sheetName val="Marinas_Hist"/>
      <sheetName val="Marinas_Inc_&amp;_Exp"/>
      <sheetName val="Marinas_Yr_1_Proforma"/>
      <sheetName val="Marinas_Amort"/>
      <sheetName val="Hotel_Hist"/>
      <sheetName val="Marina_5-Yr_Cap"/>
      <sheetName val="Hotel_UW"/>
      <sheetName val="Hotel_YR1_Proforma"/>
      <sheetName val="Hotel_5-Yr_Cap"/>
      <sheetName val="Data_Input_Sheet"/>
      <sheetName val="Lease_Terms"/>
      <sheetName val="Hotel_Amort"/>
      <sheetName val="Income &amp; Expense Assumptions"/>
      <sheetName val="Underwriting"/>
      <sheetName val="Oxnard Consolidated 7-21 - $81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verview"/>
      <sheetName val="TB"/>
      <sheetName val="Cash"/>
      <sheetName val="Mortgage"/>
      <sheetName val="Intercompany"/>
      <sheetName val="Accrued Stated Rent"/>
      <sheetName val="Asset Mgmt Fees"/>
      <sheetName val="Property Tax"/>
      <sheetName val="Fixed Assets"/>
      <sheetName val="AP"/>
      <sheetName val="Equity"/>
      <sheetName val="Distributions"/>
      <sheetName val="Syndication"/>
      <sheetName val="Master Rent"/>
      <sheetName val="Equity Summary"/>
      <sheetName val="Investor List"/>
      <sheetName val="Source and Uses"/>
      <sheetName val="Skyline TB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lPageAndCassCombinedAccrual"/>
      <sheetName val="RealPage Estimated Accrual"/>
      <sheetName val="CassFileProratedTo531"/>
      <sheetName val="AC4348_20200428 (004) FinalCass"/>
      <sheetName val="BellActiveVendorAccounts"/>
      <sheetName val="AccountsPendingFundin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Summary"/>
      <sheetName val="2Assumptions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ort Schedule"/>
      <sheetName val="Yield Maintenance"/>
      <sheetName val="Yield Maintenance (7-04)"/>
      <sheetName val="Amort_Schedule"/>
      <sheetName val="Yield_Maintenance"/>
      <sheetName val="Yield_Maintenance_(7-04)"/>
      <sheetName val="Mgmt fees Calculation 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emplate"/>
      <sheetName val="Message"/>
    </sheetNames>
    <sheetDataSet>
      <sheetData sheetId="0"/>
      <sheetData sheetId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Distribution"/>
      <sheetName val="Closing"/>
      <sheetName val="Wiring Instructions"/>
      <sheetName val="Sources &amp; Uses"/>
      <sheetName val="Rent Ready(B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 RENT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Cash"/>
      <sheetName val="Mortgage"/>
      <sheetName val="AR"/>
      <sheetName val="Intercompany"/>
      <sheetName val="Fixed Assets"/>
      <sheetName val="Financing Fee"/>
      <sheetName val="Syndication Costs"/>
      <sheetName val="Equity"/>
      <sheetName val="AP"/>
      <sheetName val="Distributions"/>
      <sheetName val="Master Rent"/>
      <sheetName val="Skyline TB"/>
      <sheetName val="TB wPM YE AJ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 Sheet"/>
      <sheetName val="Chart of Acct"/>
      <sheetName val="Synergy Accrual Report"/>
      <sheetName val="Utility Billing Summary"/>
      <sheetName val="JE_Sheet"/>
      <sheetName val="Chart_of_Acct"/>
      <sheetName val="Synergy_Accrual_Report"/>
      <sheetName val="Utility_Billing_Summary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M Recovery Schedule"/>
      <sheetName val="Reconciliation"/>
      <sheetName val="Expense"/>
      <sheetName val="CAPS"/>
      <sheetName val="Billing"/>
      <sheetName val="Insur"/>
      <sheetName val="Insur JE"/>
      <sheetName val="GR Tax"/>
      <sheetName val="GR Vouch"/>
      <sheetName val="RE Tax"/>
      <sheetName val="REJE"/>
      <sheetName val="3089 Reconciliation"/>
      <sheetName val="CAM_Recovery_Schedule"/>
      <sheetName val="Insur_JE"/>
      <sheetName val="GR_Tax"/>
      <sheetName val="GR_Vouch"/>
      <sheetName val="RE_Tax"/>
      <sheetName val="3089_Reconcili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SGR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TB wPM YE AJEs"/>
      <sheetName val="Cash Recons"/>
      <sheetName val="Lender Reserves"/>
      <sheetName val="Due to-from MT"/>
      <sheetName val="Fixed and Intangible Assets"/>
      <sheetName val="Capital Accts"/>
      <sheetName val="Distributions - BRMRAC, LLC"/>
      <sheetName val="Master Rent"/>
      <sheetName val="Investors"/>
      <sheetName val="Master Rent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udget"/>
      <sheetName val="Prior Yr"/>
      <sheetName val="Prior Yr - Data Entry"/>
      <sheetName val="Explanation1"/>
      <sheetName val="Explanation2"/>
      <sheetName val="Inc Assump"/>
      <sheetName val="Concessions"/>
      <sheetName val="Income"/>
      <sheetName val="Reimbursements"/>
      <sheetName val="TaxesIns"/>
      <sheetName val="Admin"/>
      <sheetName val="Mktg Adv"/>
      <sheetName val="Security"/>
      <sheetName val="Prof Fees"/>
      <sheetName val="Utilities"/>
      <sheetName val="Make Ready"/>
      <sheetName val="Maintenance"/>
      <sheetName val="Cleaning"/>
      <sheetName val="Landscaping"/>
      <sheetName val="Parking"/>
      <sheetName val="Mgmt Fees"/>
      <sheetName val="Payroll"/>
      <sheetName val="OtherExp"/>
      <sheetName val="BuildingImp"/>
      <sheetName val="TenantImp"/>
      <sheetName val="Debt"/>
      <sheetName val="IntIncome"/>
      <sheetName val="5 Year Capex"/>
      <sheetName val="COA-DO NOT USE"/>
      <sheetName val="Prior Yr Tab 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IT Monthly"/>
      <sheetName val="REIT Quarterly"/>
      <sheetName val="Other Monthly"/>
      <sheetName val="Property T-12"/>
      <sheetName val="Summary-Financial"/>
      <sheetName val="Summ-Q Metrics"/>
      <sheetName val="ALL-Per Unit"/>
      <sheetName val="REIT Summary (Mo)"/>
      <sheetName val="DST-Other Summary (Mo)"/>
      <sheetName val="REIT SS (Table)"/>
      <sheetName val="Reforecast '14"/>
      <sheetName val="Actual + Reforecast"/>
      <sheetName val="Guidance '17 &amp; '18"/>
      <sheetName val="Guidance '16"/>
      <sheetName val="Bluerock Budget '16"/>
      <sheetName val="Bluerock Budget '17 &amp; '18"/>
      <sheetName val="Property Budget '16"/>
      <sheetName val="Reforecast '15"/>
      <sheetName val="Perm-Org.Budg'15"/>
      <sheetName val="Property Budget '17 &amp; '18"/>
      <sheetName val="Proforma"/>
      <sheetName val="Q2 AFFO Summary for AC"/>
      <sheetName val="Q1 AFFO Summ."/>
      <sheetName val="Q1 REIT SS (PY)"/>
      <sheetName val="Q1 REIT SS (PQ)"/>
      <sheetName val="Q4 Act For Board"/>
      <sheetName val="Q1 REIT SS (Guid)"/>
      <sheetName val="Q117 Act"/>
      <sheetName val="Q2 AFFO Summ."/>
      <sheetName val="Q2 REIT SS (PY)"/>
      <sheetName val="Q2 REIT SS (PQ)"/>
      <sheetName val="Q217 Act"/>
      <sheetName val="Q217 Act FOR BOARD"/>
      <sheetName val="Q3 AFFO Summ."/>
      <sheetName val="Q3 REIT SS (PY)"/>
      <sheetName val="Q3 REIT SS (PQ)"/>
      <sheetName val="Q317 Act"/>
      <sheetName val="Q317 Act FOR BOARD wo Sov Sor"/>
      <sheetName val="Q317 Act FOR BOARD"/>
      <sheetName val="REIT 2018 Act &amp; BB"/>
      <sheetName val="2018 by Qtr"/>
      <sheetName val="Q4 AFFO Summ."/>
      <sheetName val="Q4 REIT SS (PY)"/>
      <sheetName val="Q4 REIT SS (PQ)"/>
      <sheetName val="Q417 Act"/>
      <sheetName val="Q1'18 AFFO Summ."/>
      <sheetName val="Q1'18 REIT SS (PY)"/>
      <sheetName val="Q1'18 REIT SS (PQ)"/>
      <sheetName val="Q1'18 Guid"/>
      <sheetName val="SS &amp; AFFO  Summary"/>
      <sheetName val="Property Listing"/>
      <sheetName val="For Board Presentation"/>
      <sheetName val="REIT Summary (Proj Qtr)"/>
      <sheetName val="Growth Metrics"/>
      <sheetName val="Leasing Data"/>
      <sheetName val="Perm-Org.Budg'14"/>
      <sheetName val="Perm-Property"/>
      <sheetName val="Data Validation"/>
      <sheetName val="Batch-Geo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ortization Schedule"/>
      <sheetName val="Yield Maintenance"/>
      <sheetName val="Amortization Schedule-2nd Mort"/>
      <sheetName val="Yield Maintenance-2nd Mortgage"/>
      <sheetName val="Amortization_Schedule"/>
      <sheetName val="Yield_Maintenance"/>
      <sheetName val="Amortization_Schedule-2nd_Mort"/>
      <sheetName val="Yield_Maintenance-2nd_Mortgage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rtgage"/>
      <sheetName val="Amortization"/>
      <sheetName val="Management Fee"/>
      <sheetName val="mgmt fee invoice"/>
      <sheetName val="mgmt fee recon"/>
      <sheetName val="Walnut Ridge CKG-march"/>
      <sheetName val="Walnut Ridge SD March"/>
      <sheetName val="Report"/>
      <sheetName val="DRA 13 MONTH"/>
      <sheetName val="Walnut Ridge CKG April"/>
      <sheetName val="Walnut Ridge SD April"/>
      <sheetName val="BS Recon Apr 08"/>
      <sheetName val="Contracts"/>
      <sheetName val="Walnut Ridge CKG May"/>
      <sheetName val="Walnut Ridge SD May"/>
      <sheetName val="BS recon May 08"/>
      <sheetName val="Walnut Ridge CKG June"/>
      <sheetName val="Walnut Ridge SD June"/>
      <sheetName val="Walnut Ridge CKG July"/>
      <sheetName val="Walnut Ridge SD July"/>
      <sheetName val="Walnut Ridge CKG Aug"/>
      <sheetName val="Walnut Ridge SD A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EO Stabilized"/>
      <sheetName val="SREO Unstabilized"/>
      <sheetName val="Other Recourse Liabilities"/>
    </sheetNames>
    <sheetDataSet>
      <sheetData sheetId="0"/>
      <sheetData sheetId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x"/>
      <sheetName val="Closing"/>
      <sheetName val="Sources"/>
      <sheetName val="Taxes (A)"/>
      <sheetName val="Prepaid (B)"/>
      <sheetName val="Service (C)"/>
      <sheetName val="RR (D)"/>
      <sheetName val="Rent Ready [E]"/>
      <sheetName val="ques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/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22 IRR Test - PMG Data - Net"/>
      <sheetName val="Exhibit I"/>
      <sheetName val="Exhibit II"/>
      <sheetName val="Dynacasflow"/>
      <sheetName val="EXHIBIT III 10yr hold"/>
      <sheetName val="Exhibit IV"/>
      <sheetName val="Exhibit 5 Sales Comps  "/>
      <sheetName val="ExhibitVI offers"/>
      <sheetName val="Exhibit VII-LeaseExpSced"/>
      <sheetName val="EXH VIII Rent Rol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72929326442"/>
      <sheetName val="Template"/>
      <sheetName val="Sheet3"/>
    </sheetNames>
    <sheetDataSet>
      <sheetData sheetId="0"/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2734053291641"/>
      <sheetName val="Template"/>
      <sheetName val="Sheet3"/>
    </sheetNames>
    <sheetDataSet>
      <sheetData sheetId="0"/>
      <sheetData sheetId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 Roll"/>
      <sheetName val="Sort"/>
      <sheetName val="MRKT. RENTS"/>
      <sheetName val="Chart1"/>
      <sheetName val="Expirations"/>
    </sheetNames>
    <sheetDataSet>
      <sheetData sheetId="0"/>
      <sheetData sheetId="1"/>
      <sheetData sheetId="2"/>
      <sheetData sheetId="3" refreshError="1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20-4990"/>
      <sheetName val="Gulfshore Easy Pay 9.20"/>
    </sheetNames>
    <definedNames>
      <definedName name="Strt_Lag" refersTo="#REF!"/>
    </definedNames>
    <sheetDataSet>
      <sheetData sheetId="0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x"/>
      <sheetName val="Closing"/>
      <sheetName val="Sources"/>
      <sheetName val="Atrium (A)"/>
      <sheetName val="Brwck [B]"/>
      <sheetName val="Carol [C]"/>
      <sheetName val="Chimn [D]"/>
      <sheetName val="Clarn [E]"/>
      <sheetName val="Cncrd [F]"/>
      <sheetName val="Creek [G]"/>
      <sheetName val="Estld [H]"/>
      <sheetName val="Gardn [I]"/>
      <sheetName val="Glen [J]"/>
      <sheetName val="Grey [K]"/>
      <sheetName val="Hckry [L]"/>
      <sheetName val="Hiddn [M]"/>
      <sheetName val="Hghld [N]"/>
      <sheetName val="Mrnrs [O]"/>
      <sheetName val="North [P]"/>
      <sheetName val="Slver [Q]"/>
      <sheetName val="Tmrnd [R]"/>
      <sheetName val="Tvoli [S]"/>
      <sheetName val="Vllge [T]"/>
      <sheetName val="Wdlnd [U]"/>
      <sheetName val="Utility [V]"/>
      <sheetName val="NR Fees"/>
      <sheetName val="Prop Lis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B374-FDF9-4643-8EA2-4B117811F390}">
  <dimension ref="A1:L750"/>
  <sheetViews>
    <sheetView workbookViewId="0">
      <selection activeCell="I31" sqref="I31"/>
    </sheetView>
  </sheetViews>
  <sheetFormatPr defaultRowHeight="15"/>
  <cols>
    <col min="1" max="1" width="36.85546875" bestFit="1" customWidth="1"/>
    <col min="3" max="3" width="11.140625" customWidth="1"/>
    <col min="4" max="4" width="14" bestFit="1" customWidth="1"/>
    <col min="6" max="6" width="10.140625" bestFit="1" customWidth="1"/>
    <col min="7" max="7" width="25.140625" bestFit="1" customWidth="1"/>
    <col min="8" max="8" width="13.5703125" bestFit="1" customWidth="1"/>
    <col min="9" max="9" width="10" bestFit="1" customWidth="1"/>
  </cols>
  <sheetData>
    <row r="1" spans="1:12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>
      <c r="A2" s="73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>
      <c r="A3" s="73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2">
      <c r="A4" s="102">
        <v>44561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>
      <c r="A5" s="75"/>
      <c r="B5" s="75"/>
      <c r="C5" s="75"/>
      <c r="D5" s="74"/>
      <c r="E5" s="74"/>
      <c r="F5" s="74"/>
      <c r="G5" s="75"/>
      <c r="H5" s="75"/>
      <c r="I5" s="74"/>
      <c r="J5" s="74"/>
      <c r="K5" s="74"/>
      <c r="L5" s="74"/>
    </row>
    <row r="6" spans="1:12" ht="38.25">
      <c r="A6" s="76" t="s">
        <v>3</v>
      </c>
      <c r="B6" s="77" t="s">
        <v>4</v>
      </c>
      <c r="C6" s="77" t="s">
        <v>5</v>
      </c>
      <c r="D6" s="77" t="s">
        <v>6</v>
      </c>
      <c r="E6" s="77" t="s">
        <v>7</v>
      </c>
      <c r="F6" s="77" t="s">
        <v>8</v>
      </c>
      <c r="G6" s="77" t="s">
        <v>9</v>
      </c>
      <c r="H6" s="77" t="s">
        <v>10</v>
      </c>
      <c r="I6" s="77" t="s">
        <v>11</v>
      </c>
      <c r="J6" s="75"/>
      <c r="K6" s="78"/>
      <c r="L6" s="78"/>
    </row>
    <row r="7" spans="1:12">
      <c r="A7" s="79" t="s">
        <v>5</v>
      </c>
      <c r="B7" s="80" t="s">
        <v>5</v>
      </c>
      <c r="C7" s="80" t="s">
        <v>5</v>
      </c>
      <c r="D7" s="80" t="s">
        <v>5</v>
      </c>
      <c r="E7" s="80" t="s">
        <v>5</v>
      </c>
      <c r="F7" s="80" t="s">
        <v>5</v>
      </c>
      <c r="G7" s="80" t="s">
        <v>5</v>
      </c>
      <c r="H7" s="80" t="s">
        <v>5</v>
      </c>
      <c r="I7" s="80" t="s">
        <v>5</v>
      </c>
      <c r="J7" s="75"/>
      <c r="K7" s="78"/>
      <c r="L7" s="78"/>
    </row>
    <row r="8" spans="1:12">
      <c r="A8" s="75" t="s">
        <v>12</v>
      </c>
      <c r="B8" s="81">
        <v>44378</v>
      </c>
      <c r="C8" s="81">
        <v>44530</v>
      </c>
      <c r="D8" s="82">
        <v>15807</v>
      </c>
      <c r="E8" s="78">
        <v>5</v>
      </c>
      <c r="F8" s="82">
        <f>D8/E8</f>
        <v>3161.4</v>
      </c>
      <c r="G8" s="83">
        <v>5</v>
      </c>
      <c r="H8" s="82">
        <f>F8*G8</f>
        <v>15807</v>
      </c>
      <c r="I8" s="82">
        <f>D8-H8</f>
        <v>0</v>
      </c>
      <c r="J8" s="75"/>
      <c r="K8" s="74"/>
      <c r="L8" s="74"/>
    </row>
    <row r="9" spans="1:12">
      <c r="A9" s="75" t="s">
        <v>12</v>
      </c>
      <c r="B9" s="81">
        <v>44378</v>
      </c>
      <c r="C9" s="81">
        <v>44530</v>
      </c>
      <c r="D9" s="82">
        <v>51883</v>
      </c>
      <c r="E9" s="78">
        <v>5</v>
      </c>
      <c r="F9" s="82">
        <f>D9/E9</f>
        <v>10376.6</v>
      </c>
      <c r="G9" s="83">
        <v>5</v>
      </c>
      <c r="H9" s="82">
        <f>F9*G9</f>
        <v>51883</v>
      </c>
      <c r="I9" s="82">
        <f>D9-H9</f>
        <v>0</v>
      </c>
      <c r="J9" s="75"/>
      <c r="K9" s="74"/>
      <c r="L9" s="74"/>
    </row>
    <row r="10" spans="1:12">
      <c r="A10" s="75" t="s">
        <v>13</v>
      </c>
      <c r="B10" s="81">
        <v>44378</v>
      </c>
      <c r="C10" s="81">
        <v>44530</v>
      </c>
      <c r="D10" s="82">
        <v>750</v>
      </c>
      <c r="E10" s="78">
        <v>5</v>
      </c>
      <c r="F10" s="82">
        <f>D10/E10</f>
        <v>150</v>
      </c>
      <c r="G10" s="83">
        <v>5</v>
      </c>
      <c r="H10" s="82">
        <f>F10*G10</f>
        <v>750</v>
      </c>
      <c r="I10" s="82">
        <f>D10-H10</f>
        <v>0</v>
      </c>
      <c r="J10" s="75"/>
      <c r="K10" s="74"/>
      <c r="L10" s="74"/>
    </row>
    <row r="11" spans="1:12">
      <c r="A11" s="74"/>
      <c r="B11" s="74"/>
      <c r="C11" s="74"/>
      <c r="D11" s="84">
        <f>SUM(D8:D10)</f>
        <v>68440</v>
      </c>
      <c r="E11" s="74"/>
      <c r="F11" s="84">
        <f>SUM(F8:F10)</f>
        <v>13688</v>
      </c>
      <c r="G11" s="74"/>
      <c r="H11" s="74"/>
      <c r="I11" s="74"/>
      <c r="J11" s="74"/>
      <c r="K11" s="74"/>
      <c r="L11" s="74"/>
    </row>
    <row r="12" spans="1:12">
      <c r="A12" s="74"/>
      <c r="B12" s="74"/>
      <c r="C12" s="74"/>
      <c r="D12" s="75"/>
      <c r="E12" s="74"/>
      <c r="F12" s="75"/>
      <c r="G12" s="74"/>
      <c r="H12" s="74"/>
      <c r="I12" s="74"/>
      <c r="J12" s="74"/>
      <c r="K12" s="74"/>
      <c r="L12" s="74"/>
    </row>
    <row r="13" spans="1:12">
      <c r="A13" s="74"/>
      <c r="B13" s="74"/>
      <c r="C13" s="74"/>
      <c r="D13" s="75"/>
      <c r="E13" s="74"/>
      <c r="F13" s="75"/>
      <c r="G13" s="75"/>
      <c r="H13" s="75"/>
      <c r="I13" s="85">
        <f>SUM(I8:I10)</f>
        <v>0</v>
      </c>
      <c r="J13" s="97" t="s">
        <v>14</v>
      </c>
      <c r="K13" s="74"/>
      <c r="L13" s="74"/>
    </row>
    <row r="14" spans="1:12">
      <c r="A14" s="74"/>
      <c r="B14" s="74"/>
      <c r="C14" s="74"/>
      <c r="D14" s="75"/>
      <c r="E14" s="74"/>
      <c r="F14" s="75"/>
      <c r="G14" s="75"/>
      <c r="H14" s="75"/>
      <c r="I14" s="86"/>
      <c r="J14" s="74"/>
      <c r="K14" s="74"/>
      <c r="L14" s="74"/>
    </row>
    <row r="15" spans="1:12">
      <c r="A15" s="74"/>
      <c r="B15" s="74"/>
      <c r="C15" s="74"/>
      <c r="D15" s="75"/>
      <c r="E15" s="74"/>
      <c r="F15" s="75"/>
      <c r="G15" s="74"/>
      <c r="H15" s="74"/>
      <c r="I15" s="75"/>
      <c r="J15" s="74"/>
      <c r="K15" s="74"/>
      <c r="L15" s="74"/>
    </row>
    <row r="16" spans="1:12">
      <c r="A16" s="74"/>
      <c r="B16" s="86"/>
      <c r="C16" s="86"/>
      <c r="D16" s="86" t="s">
        <v>15</v>
      </c>
      <c r="E16" s="86"/>
      <c r="F16" s="86"/>
      <c r="G16" s="86" t="s">
        <v>16</v>
      </c>
      <c r="H16" s="75"/>
      <c r="I16" s="74"/>
      <c r="J16" s="74"/>
      <c r="K16" s="74"/>
      <c r="L16" s="74"/>
    </row>
    <row r="17" spans="1:12">
      <c r="A17" s="74"/>
      <c r="B17" s="87" t="s">
        <v>17</v>
      </c>
      <c r="C17" s="87" t="s">
        <v>5</v>
      </c>
      <c r="D17" s="88" t="s">
        <v>18</v>
      </c>
      <c r="E17" s="87" t="s">
        <v>19</v>
      </c>
      <c r="F17" s="87" t="s">
        <v>20</v>
      </c>
      <c r="G17" s="87" t="s">
        <v>21</v>
      </c>
      <c r="H17" s="75"/>
      <c r="I17" s="74"/>
      <c r="J17" s="74"/>
      <c r="K17" s="74"/>
      <c r="L17" s="74"/>
    </row>
    <row r="18" spans="1:12">
      <c r="A18" s="89">
        <v>44348</v>
      </c>
      <c r="B18" s="91"/>
      <c r="C18" s="90" t="s">
        <v>5</v>
      </c>
      <c r="D18" s="92"/>
      <c r="E18" s="91">
        <v>68440</v>
      </c>
      <c r="F18" s="90" t="s">
        <v>5</v>
      </c>
      <c r="G18" s="94">
        <f>E18-B18</f>
        <v>68440</v>
      </c>
      <c r="H18" s="74"/>
      <c r="I18" s="86"/>
      <c r="J18" s="74"/>
      <c r="K18" s="74"/>
      <c r="L18" s="74"/>
    </row>
    <row r="19" spans="1:12">
      <c r="A19" s="95">
        <v>44378</v>
      </c>
      <c r="B19" s="91">
        <v>13688</v>
      </c>
      <c r="C19" s="90" t="s">
        <v>5</v>
      </c>
      <c r="D19" s="92">
        <f>D18+B19</f>
        <v>13688</v>
      </c>
      <c r="E19" s="90"/>
      <c r="F19" s="90" t="s">
        <v>5</v>
      </c>
      <c r="G19" s="94">
        <f>G18-B19</f>
        <v>54752</v>
      </c>
      <c r="H19" s="74"/>
      <c r="I19" s="86"/>
      <c r="J19" s="74"/>
      <c r="K19" s="74"/>
      <c r="L19" s="74"/>
    </row>
    <row r="20" spans="1:12">
      <c r="A20" s="95">
        <v>44409</v>
      </c>
      <c r="B20" s="91">
        <v>13688</v>
      </c>
      <c r="C20" s="90" t="s">
        <v>5</v>
      </c>
      <c r="D20" s="92">
        <f t="shared" ref="D20:D24" si="0">D19+B20</f>
        <v>27376</v>
      </c>
      <c r="E20" s="90"/>
      <c r="F20" s="90" t="s">
        <v>5</v>
      </c>
      <c r="G20" s="94">
        <f t="shared" ref="G20:G24" si="1">G19-B20</f>
        <v>41064</v>
      </c>
      <c r="H20" s="74"/>
      <c r="I20" s="86"/>
      <c r="J20" s="74"/>
      <c r="K20" s="74"/>
      <c r="L20" s="74"/>
    </row>
    <row r="21" spans="1:12">
      <c r="A21" s="95">
        <v>44440</v>
      </c>
      <c r="B21" s="91">
        <v>13688</v>
      </c>
      <c r="C21" s="90" t="s">
        <v>5</v>
      </c>
      <c r="D21" s="92">
        <f t="shared" si="0"/>
        <v>41064</v>
      </c>
      <c r="E21" s="90"/>
      <c r="F21" s="90" t="s">
        <v>5</v>
      </c>
      <c r="G21" s="94">
        <f t="shared" si="1"/>
        <v>27376</v>
      </c>
      <c r="I21" s="86"/>
      <c r="J21" s="74"/>
      <c r="K21" s="74"/>
      <c r="L21" s="74"/>
    </row>
    <row r="22" spans="1:12">
      <c r="A22" s="95">
        <v>44470</v>
      </c>
      <c r="B22" s="91">
        <v>13688</v>
      </c>
      <c r="C22" s="90" t="s">
        <v>5</v>
      </c>
      <c r="D22" s="92">
        <f t="shared" si="0"/>
        <v>54752</v>
      </c>
      <c r="E22" s="104" t="s">
        <v>22</v>
      </c>
      <c r="F22" s="90" t="s">
        <v>5</v>
      </c>
      <c r="G22" s="94">
        <f t="shared" si="1"/>
        <v>13688</v>
      </c>
      <c r="H22" s="103"/>
      <c r="I22" s="86"/>
      <c r="J22" s="74"/>
      <c r="K22" s="74"/>
      <c r="L22" s="74"/>
    </row>
    <row r="23" spans="1:12">
      <c r="A23" s="95">
        <v>44501</v>
      </c>
      <c r="B23" s="91">
        <v>13688</v>
      </c>
      <c r="C23" s="90" t="s">
        <v>5</v>
      </c>
      <c r="D23" s="92">
        <f t="shared" si="0"/>
        <v>68440</v>
      </c>
      <c r="E23" s="90"/>
      <c r="F23" s="90" t="s">
        <v>5</v>
      </c>
      <c r="G23" s="94">
        <f t="shared" si="1"/>
        <v>0</v>
      </c>
      <c r="H23" s="103"/>
      <c r="I23" s="86"/>
      <c r="J23" s="74"/>
      <c r="K23" s="74"/>
      <c r="L23" s="74"/>
    </row>
    <row r="24" spans="1:12">
      <c r="A24" s="95">
        <v>44531</v>
      </c>
      <c r="B24" s="91"/>
      <c r="C24" s="90"/>
      <c r="D24" s="92"/>
      <c r="E24" s="91"/>
      <c r="F24" s="90" t="s">
        <v>5</v>
      </c>
      <c r="G24" s="94">
        <f t="shared" si="1"/>
        <v>0</v>
      </c>
      <c r="H24" s="103" t="s">
        <v>22</v>
      </c>
      <c r="I24" s="86" t="s">
        <v>23</v>
      </c>
      <c r="J24" s="74"/>
      <c r="K24" s="74"/>
      <c r="L24" s="74"/>
    </row>
    <row r="25" spans="1:12">
      <c r="A25" s="95"/>
      <c r="B25" s="91"/>
      <c r="C25" s="90" t="s">
        <v>5</v>
      </c>
      <c r="D25" s="92"/>
      <c r="E25" s="90"/>
      <c r="F25" s="90" t="s">
        <v>5</v>
      </c>
      <c r="G25" s="94"/>
      <c r="H25" s="74"/>
      <c r="I25" s="86"/>
      <c r="J25" s="74"/>
      <c r="K25" s="74"/>
      <c r="L25" s="74"/>
    </row>
    <row r="26" spans="1:12">
      <c r="A26" s="95"/>
      <c r="B26" s="91"/>
      <c r="C26" s="90" t="s">
        <v>5</v>
      </c>
      <c r="D26" s="92"/>
      <c r="E26" s="91"/>
      <c r="F26" s="90" t="s">
        <v>5</v>
      </c>
      <c r="G26" s="94"/>
      <c r="I26" s="86"/>
      <c r="J26" s="74"/>
      <c r="K26" s="74"/>
      <c r="L26" s="74"/>
    </row>
    <row r="27" spans="1:12">
      <c r="A27" s="95"/>
      <c r="B27" s="90" t="s">
        <v>5</v>
      </c>
      <c r="C27" s="90" t="s">
        <v>5</v>
      </c>
      <c r="D27" s="98" t="s">
        <v>5</v>
      </c>
      <c r="E27" s="90" t="s">
        <v>5</v>
      </c>
      <c r="F27" s="90" t="s">
        <v>5</v>
      </c>
      <c r="G27" s="93" t="s">
        <v>5</v>
      </c>
      <c r="H27" s="96"/>
      <c r="I27" s="86"/>
      <c r="J27" s="74"/>
      <c r="K27" s="74"/>
      <c r="L27" s="74"/>
    </row>
    <row r="28" spans="1:12">
      <c r="A28" s="95"/>
      <c r="B28" s="90" t="s">
        <v>5</v>
      </c>
      <c r="C28" s="90" t="s">
        <v>5</v>
      </c>
      <c r="D28" s="98" t="s">
        <v>5</v>
      </c>
      <c r="E28" s="90" t="s">
        <v>5</v>
      </c>
      <c r="F28" s="90" t="s">
        <v>5</v>
      </c>
      <c r="G28" s="93" t="s">
        <v>5</v>
      </c>
      <c r="H28" s="74"/>
      <c r="I28" s="86"/>
      <c r="J28" s="74"/>
      <c r="K28" s="74"/>
      <c r="L28" s="74"/>
    </row>
    <row r="29" spans="1:12">
      <c r="A29" s="95"/>
      <c r="B29" s="90" t="s">
        <v>5</v>
      </c>
      <c r="C29" s="90" t="s">
        <v>5</v>
      </c>
      <c r="D29" s="98" t="s">
        <v>5</v>
      </c>
      <c r="E29" s="90" t="s">
        <v>5</v>
      </c>
      <c r="F29" s="90" t="s">
        <v>5</v>
      </c>
      <c r="G29" s="93" t="s">
        <v>5</v>
      </c>
      <c r="H29" s="74"/>
      <c r="I29" s="86"/>
      <c r="J29" s="74"/>
      <c r="K29" s="74"/>
      <c r="L29" s="74"/>
    </row>
    <row r="30" spans="1:12">
      <c r="A30" s="95"/>
      <c r="B30" s="90" t="s">
        <v>5</v>
      </c>
      <c r="C30" s="90" t="s">
        <v>5</v>
      </c>
      <c r="D30" s="98" t="s">
        <v>5</v>
      </c>
      <c r="E30" s="90" t="s">
        <v>5</v>
      </c>
      <c r="F30" s="90" t="s">
        <v>5</v>
      </c>
      <c r="G30" s="93" t="s">
        <v>5</v>
      </c>
      <c r="H30" s="96"/>
      <c r="I30" s="86"/>
      <c r="J30" s="74"/>
      <c r="K30" s="74"/>
      <c r="L30" s="74"/>
    </row>
    <row r="31" spans="1:12">
      <c r="A31" s="86"/>
      <c r="B31" s="75"/>
      <c r="C31" s="75"/>
      <c r="D31" s="75"/>
      <c r="E31" s="75"/>
      <c r="F31" s="75"/>
      <c r="G31" s="86"/>
      <c r="H31" s="86"/>
      <c r="I31" s="86"/>
      <c r="J31" s="74"/>
      <c r="K31" s="74"/>
      <c r="L31" s="74"/>
    </row>
    <row r="32" spans="1:12">
      <c r="A32" s="86"/>
      <c r="B32" s="86"/>
      <c r="C32" s="86"/>
      <c r="D32" s="86"/>
      <c r="E32" s="99"/>
      <c r="F32" s="74"/>
      <c r="G32" s="74"/>
      <c r="H32" s="74"/>
      <c r="I32" s="74"/>
      <c r="J32" s="74"/>
      <c r="K32" s="74"/>
      <c r="L32" s="74"/>
    </row>
    <row r="33" spans="1:12">
      <c r="A33" s="86"/>
      <c r="B33" s="100"/>
      <c r="C33" s="100"/>
      <c r="D33" s="75"/>
      <c r="E33" s="75"/>
      <c r="F33" s="75"/>
      <c r="G33" s="75"/>
      <c r="H33" s="75"/>
      <c r="I33" s="75"/>
      <c r="J33" s="74"/>
      <c r="K33" s="74"/>
      <c r="L33" s="74"/>
    </row>
    <row r="34" spans="1:12">
      <c r="A34" s="75"/>
      <c r="B34" s="75"/>
      <c r="C34" s="75"/>
      <c r="D34" s="74"/>
      <c r="E34" s="75"/>
      <c r="F34" s="75"/>
      <c r="G34" s="75"/>
      <c r="H34" s="75"/>
      <c r="I34" s="74"/>
      <c r="J34" s="74"/>
      <c r="K34" s="74"/>
      <c r="L34" s="74"/>
    </row>
    <row r="35" spans="1:12">
      <c r="A35" s="75"/>
      <c r="B35" s="75"/>
      <c r="C35" s="75"/>
      <c r="D35" s="75"/>
      <c r="E35" s="75"/>
      <c r="F35" s="75"/>
      <c r="G35" s="74"/>
      <c r="H35" s="74"/>
      <c r="I35" s="74"/>
      <c r="J35" s="74"/>
      <c r="K35" s="74"/>
      <c r="L35" s="74"/>
    </row>
    <row r="36" spans="1:12">
      <c r="A36" s="101"/>
      <c r="B36" s="75"/>
      <c r="C36" s="75"/>
      <c r="D36" s="75"/>
      <c r="E36" s="75"/>
      <c r="F36" s="74"/>
      <c r="G36" s="74"/>
      <c r="H36" s="74"/>
      <c r="I36" s="74"/>
      <c r="J36" s="74"/>
      <c r="K36" s="74"/>
    </row>
    <row r="37" spans="1:12">
      <c r="A37" s="75"/>
      <c r="B37" s="75"/>
      <c r="C37" s="75"/>
      <c r="D37" s="75"/>
      <c r="E37" s="75"/>
      <c r="F37" s="75"/>
      <c r="G37" s="74"/>
      <c r="H37" s="74"/>
      <c r="I37" s="74"/>
      <c r="J37" s="74"/>
      <c r="K37" s="74"/>
      <c r="L37" s="74"/>
    </row>
    <row r="38" spans="1:12">
      <c r="A38" s="74"/>
      <c r="B38" s="75"/>
      <c r="C38" s="75"/>
      <c r="D38" s="75"/>
      <c r="E38" s="75"/>
      <c r="F38" s="75"/>
      <c r="G38" s="74"/>
      <c r="H38" s="74"/>
      <c r="I38" s="74"/>
      <c r="J38" s="74"/>
      <c r="K38" s="74"/>
      <c r="L38" s="74"/>
    </row>
    <row r="39" spans="1:12">
      <c r="A39" s="75"/>
      <c r="B39" s="75"/>
      <c r="C39" s="75"/>
      <c r="D39" s="75"/>
      <c r="E39" s="75"/>
      <c r="F39" s="75"/>
      <c r="G39" s="74"/>
      <c r="H39" s="74"/>
      <c r="I39" s="74"/>
      <c r="J39" s="74"/>
      <c r="K39" s="74"/>
      <c r="L39" s="74"/>
    </row>
    <row r="40" spans="1:12">
      <c r="A40" s="75"/>
      <c r="B40" s="75"/>
      <c r="C40" s="75"/>
      <c r="D40" s="75"/>
      <c r="E40" s="75"/>
      <c r="F40" s="75"/>
      <c r="G40" s="74"/>
      <c r="H40" s="74"/>
      <c r="I40" s="74"/>
      <c r="J40" s="74"/>
      <c r="K40" s="74"/>
      <c r="L40" s="74"/>
    </row>
    <row r="41" spans="1:12">
      <c r="A41" s="75"/>
      <c r="B41" s="75"/>
      <c r="C41" s="75"/>
      <c r="D41" s="75"/>
      <c r="E41" s="75"/>
      <c r="F41" s="75"/>
      <c r="G41" s="74"/>
      <c r="H41" s="74"/>
      <c r="I41" s="74"/>
      <c r="J41" s="74"/>
      <c r="K41" s="74"/>
      <c r="L41" s="74"/>
    </row>
    <row r="42" spans="1:12">
      <c r="A42" s="75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</row>
    <row r="43" spans="1:12">
      <c r="A43" s="75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2">
      <c r="A44" s="75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2">
      <c r="A45" s="75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2">
      <c r="A46" s="75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2">
      <c r="A47" s="75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2">
      <c r="A48" s="75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</row>
    <row r="49" spans="1:12">
      <c r="A49" s="75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</row>
    <row r="50" spans="1:12">
      <c r="A50" s="75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</row>
    <row r="51" spans="1:12">
      <c r="A51" s="75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</row>
    <row r="52" spans="1:12">
      <c r="A52" s="75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</row>
    <row r="53" spans="1:12">
      <c r="A53" s="75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</row>
    <row r="54" spans="1:12">
      <c r="A54" s="75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5" spans="1:12">
      <c r="A55" s="75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</row>
    <row r="56" spans="1:12">
      <c r="A56" s="75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</row>
    <row r="57" spans="1:12">
      <c r="A57" s="75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>
      <c r="A58" s="75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</row>
    <row r="59" spans="1:12">
      <c r="A59" s="75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>
      <c r="A60" s="75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1:12">
      <c r="A61" s="75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</row>
    <row r="62" spans="1:12">
      <c r="A62" s="75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</row>
    <row r="63" spans="1:12">
      <c r="A63" s="75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</row>
    <row r="64" spans="1:12">
      <c r="A64" s="75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</row>
    <row r="65" spans="1:12">
      <c r="A65" s="75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</row>
    <row r="66" spans="1:12">
      <c r="A66" s="75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</row>
    <row r="67" spans="1:12">
      <c r="A67" s="75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</row>
    <row r="68" spans="1:12">
      <c r="A68" s="75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1:12">
      <c r="A69" s="75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1:12">
      <c r="A70" s="75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</row>
    <row r="71" spans="1:12">
      <c r="A71" s="75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</row>
    <row r="72" spans="1:12">
      <c r="A72" s="75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</row>
    <row r="73" spans="1:12">
      <c r="A73" s="75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</row>
    <row r="74" spans="1:12">
      <c r="A74" s="75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</row>
    <row r="75" spans="1:12">
      <c r="A75" s="75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</row>
    <row r="76" spans="1:12">
      <c r="A76" s="75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</row>
    <row r="77" spans="1:12">
      <c r="A77" s="75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1:12">
      <c r="A78" s="75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1:12">
      <c r="A79" s="75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1:12">
      <c r="A80" s="75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1:12">
      <c r="A81" s="75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</row>
    <row r="82" spans="1:12">
      <c r="A82" s="75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</row>
    <row r="83" spans="1:12">
      <c r="A83" s="75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</row>
    <row r="84" spans="1:12">
      <c r="A84" s="75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</row>
    <row r="85" spans="1:12">
      <c r="A85" s="75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1:12">
      <c r="A86" s="75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</row>
    <row r="87" spans="1:12">
      <c r="A87" s="75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</row>
    <row r="88" spans="1:12">
      <c r="A88" s="75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1:12">
      <c r="A89" s="75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1:12">
      <c r="A90" s="75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1:12">
      <c r="A91" s="75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</row>
    <row r="92" spans="1:12">
      <c r="A92" s="75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</row>
    <row r="93" spans="1:12">
      <c r="A93" s="75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</row>
    <row r="94" spans="1:12">
      <c r="A94" s="75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</row>
    <row r="95" spans="1:12">
      <c r="A95" s="75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1:12">
      <c r="A96" s="75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</row>
    <row r="97" spans="1:12">
      <c r="A97" s="75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</row>
    <row r="98" spans="1:12">
      <c r="A98" s="75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1:12">
      <c r="A99" s="75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1:12">
      <c r="A100" s="75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1:12">
      <c r="A101" s="75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1:12">
      <c r="A102" s="75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</row>
    <row r="103" spans="1:12">
      <c r="A103" s="75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</row>
    <row r="104" spans="1:12">
      <c r="A104" s="75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</row>
    <row r="105" spans="1:12">
      <c r="A105" s="75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</row>
    <row r="106" spans="1:12">
      <c r="A106" s="75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  <row r="107" spans="1:12">
      <c r="A107" s="75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</row>
    <row r="108" spans="1:12">
      <c r="A108" s="75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</row>
    <row r="109" spans="1:12">
      <c r="A109" s="75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</row>
    <row r="110" spans="1:12">
      <c r="A110" s="75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</row>
    <row r="111" spans="1:12">
      <c r="A111" s="75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</row>
    <row r="112" spans="1:12">
      <c r="A112" s="75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</row>
    <row r="113" spans="1:12">
      <c r="A113" s="75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</row>
    <row r="114" spans="1:12">
      <c r="A114" s="75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</row>
    <row r="115" spans="1:12">
      <c r="A115" s="75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</row>
    <row r="116" spans="1:12">
      <c r="A116" s="75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</row>
    <row r="117" spans="1:12">
      <c r="A117" s="75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</row>
    <row r="118" spans="1:12">
      <c r="A118" s="75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</row>
    <row r="119" spans="1:12">
      <c r="A119" s="75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</row>
    <row r="120" spans="1:12">
      <c r="A120" s="75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</row>
    <row r="121" spans="1:12">
      <c r="A121" s="75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</row>
    <row r="122" spans="1:12">
      <c r="A122" s="75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</row>
    <row r="123" spans="1:12">
      <c r="A123" s="75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</row>
    <row r="124" spans="1:12">
      <c r="A124" s="75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</row>
    <row r="125" spans="1:12">
      <c r="A125" s="75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</row>
    <row r="126" spans="1:12">
      <c r="A126" s="75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</row>
    <row r="127" spans="1:12">
      <c r="A127" s="75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</row>
    <row r="128" spans="1:12">
      <c r="A128" s="75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</row>
    <row r="129" spans="1:12">
      <c r="A129" s="75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</row>
    <row r="130" spans="1:12">
      <c r="A130" s="75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</row>
    <row r="131" spans="1:12">
      <c r="A131" s="75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</row>
    <row r="132" spans="1:12">
      <c r="A132" s="75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</row>
    <row r="133" spans="1:12">
      <c r="A133" s="75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</row>
    <row r="134" spans="1:12">
      <c r="A134" s="75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</row>
    <row r="135" spans="1:12">
      <c r="A135" s="75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</row>
    <row r="136" spans="1:12">
      <c r="A136" s="75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</row>
    <row r="137" spans="1:12">
      <c r="A137" s="75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</row>
    <row r="138" spans="1:12">
      <c r="A138" s="75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</row>
    <row r="139" spans="1:12">
      <c r="A139" s="75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</row>
    <row r="140" spans="1:12">
      <c r="A140" s="75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</row>
    <row r="141" spans="1:12">
      <c r="A141" s="75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</row>
    <row r="142" spans="1:12">
      <c r="A142" s="75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</row>
    <row r="143" spans="1:12">
      <c r="A143" s="75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</row>
    <row r="144" spans="1:12">
      <c r="A144" s="75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</row>
    <row r="145" spans="1:12">
      <c r="A145" s="75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</row>
    <row r="146" spans="1:12">
      <c r="A146" s="75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</row>
    <row r="147" spans="1:12">
      <c r="A147" s="75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</row>
    <row r="148" spans="1:12">
      <c r="A148" s="75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</row>
    <row r="149" spans="1:12">
      <c r="A149" s="75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</row>
    <row r="150" spans="1:12">
      <c r="A150" s="75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</row>
    <row r="151" spans="1:12">
      <c r="A151" s="75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</row>
    <row r="152" spans="1:12">
      <c r="A152" s="75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</row>
    <row r="153" spans="1:12">
      <c r="A153" s="75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</row>
    <row r="154" spans="1:12">
      <c r="A154" s="75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</row>
    <row r="155" spans="1:12">
      <c r="A155" s="75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</row>
    <row r="156" spans="1:12">
      <c r="A156" s="75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</row>
    <row r="157" spans="1:12">
      <c r="A157" s="75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</row>
    <row r="158" spans="1:12">
      <c r="A158" s="75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</row>
    <row r="159" spans="1:12">
      <c r="A159" s="75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</row>
    <row r="160" spans="1:12">
      <c r="A160" s="75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</row>
    <row r="161" spans="1:12">
      <c r="A161" s="75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</row>
    <row r="162" spans="1:12">
      <c r="A162" s="75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</row>
    <row r="163" spans="1:12">
      <c r="A163" s="75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</row>
    <row r="164" spans="1:12">
      <c r="A164" s="75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</row>
    <row r="165" spans="1:12">
      <c r="A165" s="75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</row>
    <row r="166" spans="1:12">
      <c r="A166" s="75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</row>
    <row r="167" spans="1:12">
      <c r="A167" s="75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</row>
    <row r="168" spans="1:12">
      <c r="A168" s="75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</row>
    <row r="169" spans="1:12">
      <c r="A169" s="75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</row>
    <row r="170" spans="1:12">
      <c r="A170" s="75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</row>
    <row r="171" spans="1:12">
      <c r="A171" s="75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</row>
    <row r="172" spans="1:12">
      <c r="A172" s="75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</row>
    <row r="173" spans="1:12">
      <c r="A173" s="75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</row>
    <row r="174" spans="1:12">
      <c r="A174" s="75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</row>
    <row r="175" spans="1:12">
      <c r="A175" s="75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</row>
    <row r="176" spans="1:12">
      <c r="A176" s="75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</row>
    <row r="177" spans="1:12">
      <c r="A177" s="75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</row>
    <row r="178" spans="1:12">
      <c r="A178" s="75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</row>
    <row r="179" spans="1:12">
      <c r="A179" s="75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</row>
    <row r="180" spans="1:12">
      <c r="A180" s="75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</row>
    <row r="181" spans="1:12">
      <c r="A181" s="75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</row>
    <row r="182" spans="1:12">
      <c r="A182" s="75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</row>
    <row r="183" spans="1:12">
      <c r="A183" s="75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</row>
    <row r="184" spans="1:12">
      <c r="A184" s="75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</row>
    <row r="185" spans="1:12">
      <c r="A185" s="75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</row>
    <row r="186" spans="1:12">
      <c r="A186" s="75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</row>
    <row r="187" spans="1:12">
      <c r="A187" s="75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</row>
    <row r="188" spans="1:12">
      <c r="A188" s="75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</row>
    <row r="189" spans="1:12">
      <c r="A189" s="75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</row>
    <row r="190" spans="1:12">
      <c r="A190" s="75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</row>
    <row r="191" spans="1:12">
      <c r="A191" s="75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</row>
    <row r="192" spans="1:12">
      <c r="A192" s="75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</row>
    <row r="193" spans="1:12">
      <c r="A193" s="75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</row>
    <row r="194" spans="1:12">
      <c r="A194" s="75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</row>
    <row r="195" spans="1:12">
      <c r="A195" s="75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</row>
    <row r="196" spans="1:12">
      <c r="A196" s="75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</row>
    <row r="197" spans="1:12">
      <c r="A197" s="75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</row>
    <row r="198" spans="1:12">
      <c r="A198" s="75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</row>
    <row r="199" spans="1:12">
      <c r="A199" s="75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</row>
    <row r="200" spans="1:12">
      <c r="A200" s="75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</row>
    <row r="201" spans="1:12">
      <c r="A201" s="75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</row>
    <row r="202" spans="1:12">
      <c r="A202" s="75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</row>
    <row r="203" spans="1:12">
      <c r="A203" s="75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</row>
    <row r="204" spans="1:12">
      <c r="A204" s="75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</row>
    <row r="205" spans="1:12">
      <c r="A205" s="75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</row>
    <row r="206" spans="1:12">
      <c r="A206" s="75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</row>
    <row r="207" spans="1:12">
      <c r="A207" s="75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</row>
    <row r="208" spans="1:12">
      <c r="A208" s="75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</row>
    <row r="209" spans="1:12">
      <c r="A209" s="75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</row>
    <row r="210" spans="1:12">
      <c r="A210" s="75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</row>
    <row r="211" spans="1:12">
      <c r="A211" s="75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</row>
    <row r="212" spans="1:12">
      <c r="A212" s="75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</row>
    <row r="213" spans="1:12">
      <c r="A213" s="75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</row>
    <row r="214" spans="1:12">
      <c r="A214" s="75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</row>
    <row r="215" spans="1:12">
      <c r="A215" s="75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</row>
    <row r="216" spans="1:12">
      <c r="A216" s="75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</row>
    <row r="217" spans="1:12">
      <c r="A217" s="75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</row>
    <row r="218" spans="1:12">
      <c r="A218" s="75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</row>
    <row r="219" spans="1:12">
      <c r="A219" s="75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</row>
    <row r="220" spans="1:12">
      <c r="A220" s="75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</row>
    <row r="221" spans="1:12">
      <c r="A221" s="75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</row>
    <row r="222" spans="1:12">
      <c r="A222" s="75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</row>
    <row r="223" spans="1:12">
      <c r="A223" s="75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</row>
    <row r="224" spans="1:12">
      <c r="A224" s="75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</row>
    <row r="225" spans="1:12">
      <c r="A225" s="75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</row>
    <row r="226" spans="1:12">
      <c r="A226" s="75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</row>
    <row r="227" spans="1:12">
      <c r="A227" s="75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</row>
    <row r="228" spans="1:12">
      <c r="A228" s="75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</row>
    <row r="229" spans="1:12">
      <c r="A229" s="75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</row>
    <row r="230" spans="1:12">
      <c r="A230" s="75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</row>
    <row r="231" spans="1:12">
      <c r="A231" s="75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</row>
    <row r="232" spans="1:12">
      <c r="A232" s="75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</row>
    <row r="233" spans="1:12">
      <c r="A233" s="75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</row>
    <row r="234" spans="1:12">
      <c r="A234" s="75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</row>
    <row r="235" spans="1:12">
      <c r="A235" s="75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</row>
    <row r="236" spans="1:12">
      <c r="A236" s="75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</row>
    <row r="237" spans="1:12">
      <c r="A237" s="75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</row>
    <row r="238" spans="1:12">
      <c r="A238" s="75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</row>
    <row r="239" spans="1:12">
      <c r="A239" s="75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</row>
    <row r="240" spans="1:12">
      <c r="A240" s="75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</row>
    <row r="241" spans="1:12">
      <c r="A241" s="75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</row>
    <row r="242" spans="1:12">
      <c r="A242" s="75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</row>
    <row r="243" spans="1:12">
      <c r="A243" s="75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</row>
    <row r="244" spans="1:12">
      <c r="A244" s="75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</row>
    <row r="245" spans="1:12">
      <c r="A245" s="75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</row>
    <row r="246" spans="1:12">
      <c r="A246" s="75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</row>
    <row r="247" spans="1:12">
      <c r="A247" s="75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</row>
    <row r="248" spans="1:12">
      <c r="A248" s="75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</row>
    <row r="249" spans="1:12">
      <c r="A249" s="75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</row>
    <row r="250" spans="1:12">
      <c r="A250" s="75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</row>
    <row r="251" spans="1:12">
      <c r="A251" s="75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</row>
    <row r="252" spans="1:12">
      <c r="A252" s="75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</row>
    <row r="253" spans="1:12">
      <c r="A253" s="75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</row>
    <row r="254" spans="1:12">
      <c r="A254" s="75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</row>
    <row r="255" spans="1:12">
      <c r="A255" s="75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</row>
    <row r="256" spans="1:12">
      <c r="A256" s="75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</row>
    <row r="257" spans="1:12">
      <c r="A257" s="75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</row>
    <row r="258" spans="1:12">
      <c r="A258" s="75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</row>
    <row r="259" spans="1:12">
      <c r="A259" s="75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</row>
    <row r="260" spans="1:12">
      <c r="A260" s="75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</row>
    <row r="261" spans="1:12">
      <c r="A261" s="75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</row>
    <row r="262" spans="1:12">
      <c r="A262" s="75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</row>
    <row r="263" spans="1:12">
      <c r="A263" s="75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</row>
    <row r="264" spans="1:12">
      <c r="A264" s="75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</row>
    <row r="265" spans="1:12">
      <c r="A265" s="75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</row>
    <row r="266" spans="1:12">
      <c r="A266" s="75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</row>
    <row r="267" spans="1:12">
      <c r="A267" s="75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</row>
    <row r="268" spans="1:12">
      <c r="A268" s="75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</row>
    <row r="269" spans="1:12">
      <c r="A269" s="75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</row>
    <row r="270" spans="1:12">
      <c r="A270" s="75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</row>
    <row r="271" spans="1:12">
      <c r="A271" s="75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</row>
    <row r="272" spans="1:12">
      <c r="A272" s="75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</row>
    <row r="273" spans="1:12">
      <c r="A273" s="75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</row>
    <row r="274" spans="1:12">
      <c r="A274" s="75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</row>
    <row r="275" spans="1:12">
      <c r="A275" s="75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</row>
    <row r="276" spans="1:12">
      <c r="A276" s="75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</row>
    <row r="277" spans="1:12">
      <c r="A277" s="75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</row>
    <row r="278" spans="1:12">
      <c r="A278" s="75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</row>
    <row r="279" spans="1:12">
      <c r="A279" s="75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</row>
    <row r="280" spans="1:12">
      <c r="A280" s="75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</row>
    <row r="281" spans="1:12">
      <c r="A281" s="75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</row>
    <row r="282" spans="1:12">
      <c r="A282" s="75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</row>
    <row r="283" spans="1:12">
      <c r="A283" s="75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</row>
    <row r="284" spans="1:12">
      <c r="A284" s="75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</row>
    <row r="285" spans="1:12">
      <c r="A285" s="75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</row>
    <row r="286" spans="1:12">
      <c r="A286" s="75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</row>
    <row r="287" spans="1:12">
      <c r="A287" s="75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</row>
    <row r="288" spans="1:12">
      <c r="A288" s="75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</row>
    <row r="289" spans="1:12">
      <c r="A289" s="75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</row>
    <row r="290" spans="1:12">
      <c r="A290" s="75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</row>
    <row r="291" spans="1:12">
      <c r="A291" s="75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</row>
    <row r="292" spans="1:12">
      <c r="A292" s="75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</row>
    <row r="293" spans="1:12">
      <c r="A293" s="75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</row>
    <row r="294" spans="1:12">
      <c r="A294" s="75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</row>
    <row r="295" spans="1:12">
      <c r="A295" s="75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</row>
    <row r="296" spans="1:12">
      <c r="A296" s="75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</row>
    <row r="297" spans="1:12">
      <c r="A297" s="75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</row>
    <row r="298" spans="1:12">
      <c r="A298" s="75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</row>
    <row r="299" spans="1:12">
      <c r="A299" s="75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</row>
    <row r="300" spans="1:12">
      <c r="A300" s="75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</row>
    <row r="301" spans="1:12">
      <c r="A301" s="75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</row>
    <row r="302" spans="1:12">
      <c r="A302" s="75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</row>
    <row r="303" spans="1:12">
      <c r="A303" s="75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</row>
    <row r="304" spans="1:12">
      <c r="A304" s="75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</row>
    <row r="305" spans="1:12">
      <c r="A305" s="75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</row>
    <row r="306" spans="1:12">
      <c r="A306" s="75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</row>
    <row r="307" spans="1:12">
      <c r="A307" s="75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</row>
    <row r="308" spans="1:12">
      <c r="A308" s="75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</row>
    <row r="309" spans="1:12">
      <c r="A309" s="75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</row>
    <row r="310" spans="1:12">
      <c r="A310" s="75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</row>
    <row r="311" spans="1:12">
      <c r="A311" s="75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</row>
    <row r="312" spans="1:12">
      <c r="A312" s="75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</row>
    <row r="313" spans="1:12">
      <c r="A313" s="75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</row>
    <row r="314" spans="1:12">
      <c r="A314" s="75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</row>
    <row r="315" spans="1:12">
      <c r="A315" s="75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</row>
    <row r="316" spans="1:12">
      <c r="A316" s="75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</row>
    <row r="317" spans="1:12">
      <c r="A317" s="75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</row>
    <row r="318" spans="1:12">
      <c r="A318" s="75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</row>
    <row r="319" spans="1:12">
      <c r="A319" s="75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</row>
    <row r="320" spans="1:12">
      <c r="A320" s="75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</row>
    <row r="321" spans="1:12">
      <c r="A321" s="75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</row>
    <row r="322" spans="1:12">
      <c r="A322" s="75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</row>
    <row r="323" spans="1:12">
      <c r="A323" s="75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</row>
    <row r="324" spans="1:12">
      <c r="A324" s="75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</row>
    <row r="325" spans="1:12">
      <c r="A325" s="75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</row>
    <row r="326" spans="1:12">
      <c r="A326" s="75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</row>
    <row r="327" spans="1:12">
      <c r="A327" s="75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</row>
    <row r="328" spans="1:12">
      <c r="A328" s="75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</row>
    <row r="329" spans="1:12">
      <c r="A329" s="75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</row>
    <row r="330" spans="1:12">
      <c r="A330" s="75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</row>
    <row r="331" spans="1:12">
      <c r="A331" s="75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</row>
    <row r="332" spans="1:12">
      <c r="A332" s="75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</row>
    <row r="333" spans="1:12">
      <c r="A333" s="75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</row>
    <row r="334" spans="1:12">
      <c r="A334" s="75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</row>
    <row r="335" spans="1:12">
      <c r="A335" s="75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</row>
    <row r="336" spans="1:12">
      <c r="A336" s="75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</row>
    <row r="337" spans="1:12">
      <c r="A337" s="75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</row>
    <row r="338" spans="1:12">
      <c r="A338" s="75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</row>
    <row r="339" spans="1:12">
      <c r="A339" s="75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</row>
    <row r="340" spans="1:12">
      <c r="A340" s="75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</row>
    <row r="341" spans="1:12">
      <c r="A341" s="75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</row>
    <row r="342" spans="1:12">
      <c r="A342" s="75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</row>
    <row r="343" spans="1:12">
      <c r="A343" s="75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</row>
    <row r="344" spans="1:12">
      <c r="A344" s="75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</row>
    <row r="345" spans="1:12">
      <c r="A345" s="75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</row>
    <row r="346" spans="1:12">
      <c r="A346" s="75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</row>
    <row r="347" spans="1:12">
      <c r="A347" s="75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</row>
    <row r="348" spans="1:12">
      <c r="A348" s="75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</row>
    <row r="349" spans="1:12">
      <c r="A349" s="75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</row>
    <row r="350" spans="1:12">
      <c r="A350" s="75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</row>
    <row r="351" spans="1:12">
      <c r="A351" s="75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</row>
    <row r="352" spans="1:12">
      <c r="A352" s="75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</row>
    <row r="353" spans="1:12">
      <c r="A353" s="75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</row>
    <row r="354" spans="1:12">
      <c r="A354" s="75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</row>
    <row r="355" spans="1:12">
      <c r="A355" s="75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</row>
    <row r="356" spans="1:12">
      <c r="A356" s="75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</row>
    <row r="357" spans="1:12">
      <c r="A357" s="75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</row>
    <row r="358" spans="1:12">
      <c r="A358" s="75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</row>
    <row r="359" spans="1:12">
      <c r="A359" s="75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</row>
    <row r="360" spans="1:12">
      <c r="A360" s="75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</row>
    <row r="361" spans="1:12">
      <c r="A361" s="75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</row>
    <row r="362" spans="1:12">
      <c r="A362" s="75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</row>
    <row r="363" spans="1:12">
      <c r="A363" s="75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</row>
    <row r="364" spans="1:12">
      <c r="A364" s="75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</row>
    <row r="365" spans="1:12">
      <c r="A365" s="75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</row>
    <row r="366" spans="1:12">
      <c r="A366" s="75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</row>
    <row r="367" spans="1:12">
      <c r="A367" s="75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</row>
    <row r="368" spans="1:12">
      <c r="A368" s="75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</row>
    <row r="369" spans="1:12">
      <c r="A369" s="75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</row>
    <row r="370" spans="1:12">
      <c r="A370" s="75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</row>
    <row r="371" spans="1:12">
      <c r="A371" s="75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</row>
    <row r="372" spans="1:12">
      <c r="A372" s="75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</row>
    <row r="373" spans="1:12">
      <c r="A373" s="75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</row>
    <row r="374" spans="1:12">
      <c r="A374" s="75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</row>
    <row r="375" spans="1:12">
      <c r="A375" s="75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</row>
    <row r="376" spans="1:12">
      <c r="A376" s="75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</row>
    <row r="377" spans="1:12">
      <c r="A377" s="75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</row>
    <row r="378" spans="1:12">
      <c r="A378" s="75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</row>
    <row r="379" spans="1:12">
      <c r="A379" s="75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</row>
    <row r="380" spans="1:12">
      <c r="A380" s="75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</row>
    <row r="381" spans="1:12">
      <c r="A381" s="75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</row>
    <row r="382" spans="1:12">
      <c r="A382" s="75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</row>
    <row r="383" spans="1:12">
      <c r="A383" s="75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</row>
    <row r="384" spans="1:12">
      <c r="A384" s="75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</row>
    <row r="385" spans="1:12">
      <c r="A385" s="75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</row>
    <row r="386" spans="1:12">
      <c r="A386" s="75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</row>
    <row r="387" spans="1:12">
      <c r="A387" s="75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</row>
    <row r="388" spans="1:12">
      <c r="A388" s="75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</row>
    <row r="389" spans="1:12">
      <c r="A389" s="75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</row>
    <row r="390" spans="1:12">
      <c r="A390" s="75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</row>
    <row r="391" spans="1:12">
      <c r="A391" s="75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</row>
    <row r="392" spans="1:12">
      <c r="A392" s="75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</row>
    <row r="393" spans="1:12">
      <c r="A393" s="75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</row>
    <row r="394" spans="1:12">
      <c r="A394" s="75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</row>
    <row r="395" spans="1:12">
      <c r="A395" s="75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</row>
    <row r="396" spans="1:12">
      <c r="A396" s="75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</row>
    <row r="397" spans="1:12">
      <c r="A397" s="75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</row>
    <row r="398" spans="1:12">
      <c r="A398" s="75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</row>
    <row r="399" spans="1:12">
      <c r="A399" s="75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</row>
    <row r="400" spans="1:12">
      <c r="A400" s="75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</row>
    <row r="401" spans="1:12">
      <c r="A401" s="75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</row>
    <row r="402" spans="1:12">
      <c r="A402" s="75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</row>
    <row r="403" spans="1:12">
      <c r="A403" s="75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</row>
    <row r="404" spans="1:12">
      <c r="A404" s="75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</row>
    <row r="405" spans="1:12">
      <c r="A405" s="75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</row>
    <row r="406" spans="1:12">
      <c r="A406" s="75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</row>
    <row r="407" spans="1:12">
      <c r="A407" s="75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</row>
    <row r="408" spans="1:12">
      <c r="A408" s="75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</row>
    <row r="409" spans="1:12">
      <c r="A409" s="75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</row>
    <row r="410" spans="1:12">
      <c r="A410" s="75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</row>
    <row r="411" spans="1:12">
      <c r="A411" s="75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</row>
    <row r="412" spans="1:12">
      <c r="A412" s="75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</row>
    <row r="413" spans="1:12">
      <c r="A413" s="75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</row>
    <row r="414" spans="1:12">
      <c r="A414" s="75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</row>
    <row r="415" spans="1:12">
      <c r="A415" s="75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</row>
    <row r="416" spans="1:12">
      <c r="A416" s="75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</row>
    <row r="417" spans="1:12">
      <c r="A417" s="75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</row>
    <row r="418" spans="1:12">
      <c r="A418" s="75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</row>
    <row r="419" spans="1:12">
      <c r="A419" s="75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</row>
    <row r="420" spans="1:12">
      <c r="A420" s="75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</row>
    <row r="421" spans="1:12">
      <c r="A421" s="75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</row>
    <row r="422" spans="1:12">
      <c r="A422" s="75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</row>
    <row r="423" spans="1:12">
      <c r="A423" s="75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</row>
    <row r="424" spans="1:12">
      <c r="A424" s="75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</row>
    <row r="425" spans="1:12">
      <c r="A425" s="75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</row>
    <row r="426" spans="1:12">
      <c r="A426" s="75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</row>
    <row r="427" spans="1:12">
      <c r="A427" s="75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</row>
    <row r="428" spans="1:12">
      <c r="A428" s="75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</row>
    <row r="429" spans="1:12">
      <c r="A429" s="75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</row>
    <row r="430" spans="1:12">
      <c r="A430" s="75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</row>
    <row r="431" spans="1:12">
      <c r="A431" s="75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</row>
    <row r="432" spans="1:12">
      <c r="A432" s="75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</row>
    <row r="433" spans="1:12">
      <c r="A433" s="75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</row>
    <row r="434" spans="1:12">
      <c r="A434" s="75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</row>
    <row r="435" spans="1:12">
      <c r="A435" s="75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</row>
    <row r="436" spans="1:12">
      <c r="A436" s="75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</row>
    <row r="437" spans="1:12">
      <c r="A437" s="75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</row>
    <row r="438" spans="1:12">
      <c r="A438" s="75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</row>
    <row r="439" spans="1:12">
      <c r="A439" s="75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</row>
    <row r="440" spans="1:12">
      <c r="A440" s="75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</row>
    <row r="441" spans="1:12">
      <c r="A441" s="75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</row>
    <row r="442" spans="1:12">
      <c r="A442" s="75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</row>
    <row r="443" spans="1:12">
      <c r="A443" s="75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</row>
    <row r="444" spans="1:12">
      <c r="A444" s="75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</row>
    <row r="445" spans="1:12">
      <c r="A445" s="75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</row>
    <row r="446" spans="1:12">
      <c r="A446" s="75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</row>
    <row r="447" spans="1:12">
      <c r="A447" s="75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</row>
    <row r="448" spans="1:12">
      <c r="A448" s="75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</row>
    <row r="449" spans="1:12">
      <c r="A449" s="75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</row>
    <row r="450" spans="1:12">
      <c r="A450" s="75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</row>
    <row r="451" spans="1:12">
      <c r="A451" s="75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</row>
    <row r="452" spans="1:12">
      <c r="A452" s="75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</row>
    <row r="453" spans="1:12">
      <c r="A453" s="75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</row>
    <row r="454" spans="1:12">
      <c r="A454" s="75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</row>
    <row r="455" spans="1:12">
      <c r="A455" s="75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</row>
    <row r="456" spans="1:12">
      <c r="A456" s="75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</row>
    <row r="457" spans="1:12">
      <c r="A457" s="75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</row>
    <row r="458" spans="1:12">
      <c r="A458" s="75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</row>
    <row r="459" spans="1:12">
      <c r="A459" s="75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</row>
    <row r="460" spans="1:12">
      <c r="A460" s="75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</row>
    <row r="461" spans="1:12">
      <c r="A461" s="75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</row>
    <row r="462" spans="1:12">
      <c r="A462" s="75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</row>
    <row r="463" spans="1:12">
      <c r="A463" s="75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</row>
    <row r="464" spans="1:12">
      <c r="A464" s="75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</row>
    <row r="465" spans="1:12">
      <c r="A465" s="75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</row>
    <row r="466" spans="1:12">
      <c r="A466" s="75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</row>
    <row r="467" spans="1:12">
      <c r="A467" s="75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</row>
    <row r="468" spans="1:12">
      <c r="A468" s="75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</row>
    <row r="469" spans="1:12">
      <c r="A469" s="75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</row>
    <row r="470" spans="1:12">
      <c r="A470" s="75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</row>
    <row r="471" spans="1:12">
      <c r="A471" s="75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</row>
    <row r="472" spans="1:12">
      <c r="A472" s="75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</row>
    <row r="473" spans="1:12">
      <c r="A473" s="75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</row>
    <row r="474" spans="1:12">
      <c r="A474" s="75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</row>
    <row r="475" spans="1:12">
      <c r="A475" s="75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</row>
    <row r="476" spans="1:12">
      <c r="A476" s="75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</row>
    <row r="477" spans="1:12">
      <c r="A477" s="75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</row>
    <row r="478" spans="1:12">
      <c r="A478" s="75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</row>
    <row r="479" spans="1:12">
      <c r="A479" s="75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</row>
    <row r="480" spans="1:12">
      <c r="A480" s="75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</row>
    <row r="481" spans="1:12">
      <c r="A481" s="75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</row>
    <row r="482" spans="1:12">
      <c r="A482" s="75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</row>
    <row r="483" spans="1:12">
      <c r="A483" s="75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</row>
    <row r="484" spans="1:12">
      <c r="A484" s="75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</row>
    <row r="485" spans="1:12">
      <c r="A485" s="75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</row>
    <row r="486" spans="1:12">
      <c r="A486" s="75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</row>
    <row r="487" spans="1:12">
      <c r="A487" s="75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</row>
    <row r="488" spans="1:12">
      <c r="A488" s="75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</row>
    <row r="489" spans="1:12">
      <c r="A489" s="75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</row>
    <row r="490" spans="1:12">
      <c r="A490" s="75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</row>
    <row r="491" spans="1:12">
      <c r="A491" s="75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</row>
    <row r="492" spans="1:12">
      <c r="A492" s="75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</row>
    <row r="493" spans="1:12">
      <c r="A493" s="75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</row>
    <row r="494" spans="1:12">
      <c r="A494" s="75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</row>
    <row r="495" spans="1:12">
      <c r="A495" s="75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</row>
    <row r="496" spans="1:12">
      <c r="A496" s="75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</row>
    <row r="497" spans="1:12">
      <c r="A497" s="75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</row>
    <row r="498" spans="1:12">
      <c r="A498" s="75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</row>
    <row r="499" spans="1:12">
      <c r="A499" s="75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</row>
    <row r="500" spans="1:12">
      <c r="A500" s="75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</row>
    <row r="501" spans="1:12">
      <c r="A501" s="75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</row>
    <row r="502" spans="1:12">
      <c r="A502" s="75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</row>
    <row r="503" spans="1:12">
      <c r="A503" s="75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</row>
    <row r="504" spans="1:12">
      <c r="A504" s="75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</row>
    <row r="505" spans="1:12">
      <c r="A505" s="75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</row>
    <row r="506" spans="1:12">
      <c r="A506" s="75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</row>
    <row r="507" spans="1:12">
      <c r="A507" s="75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</row>
    <row r="508" spans="1:12">
      <c r="A508" s="75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</row>
    <row r="509" spans="1:12">
      <c r="A509" s="75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</row>
    <row r="510" spans="1:12">
      <c r="A510" s="75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</row>
    <row r="511" spans="1:12">
      <c r="A511" s="75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</row>
    <row r="512" spans="1:12">
      <c r="A512" s="75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</row>
    <row r="513" spans="1:12">
      <c r="A513" s="75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</row>
    <row r="514" spans="1:12">
      <c r="A514" s="75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</row>
    <row r="515" spans="1:12">
      <c r="A515" s="75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</row>
    <row r="516" spans="1:12">
      <c r="A516" s="75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</row>
    <row r="517" spans="1:12">
      <c r="A517" s="75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</row>
    <row r="518" spans="1:12">
      <c r="A518" s="75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</row>
    <row r="519" spans="1:12">
      <c r="A519" s="75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</row>
    <row r="520" spans="1:12">
      <c r="A520" s="75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</row>
    <row r="521" spans="1:12">
      <c r="A521" s="75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</row>
    <row r="522" spans="1:12">
      <c r="A522" s="75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</row>
    <row r="523" spans="1:12">
      <c r="A523" s="75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</row>
    <row r="524" spans="1:12">
      <c r="A524" s="75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</row>
    <row r="525" spans="1:12">
      <c r="A525" s="75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</row>
    <row r="526" spans="1:12">
      <c r="A526" s="75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</row>
    <row r="527" spans="1:12">
      <c r="A527" s="75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</row>
    <row r="528" spans="1:12">
      <c r="A528" s="75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</row>
    <row r="529" spans="1:12">
      <c r="A529" s="75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</row>
    <row r="530" spans="1:12">
      <c r="A530" s="75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</row>
    <row r="531" spans="1:12">
      <c r="A531" s="75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</row>
    <row r="532" spans="1:12">
      <c r="A532" s="75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</row>
    <row r="533" spans="1:12">
      <c r="A533" s="75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</row>
    <row r="534" spans="1:12">
      <c r="A534" s="75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</row>
    <row r="535" spans="1:12">
      <c r="A535" s="75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</row>
    <row r="536" spans="1:12">
      <c r="A536" s="75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</row>
    <row r="537" spans="1:12">
      <c r="A537" s="75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</row>
    <row r="538" spans="1:12">
      <c r="A538" s="75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</row>
    <row r="539" spans="1:12">
      <c r="A539" s="75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</row>
    <row r="540" spans="1:12">
      <c r="A540" s="75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</row>
    <row r="541" spans="1:12">
      <c r="A541" s="75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</row>
    <row r="542" spans="1:12">
      <c r="A542" s="75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</row>
    <row r="543" spans="1:12">
      <c r="A543" s="75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</row>
    <row r="544" spans="1:12">
      <c r="A544" s="75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</row>
    <row r="545" spans="1:12">
      <c r="A545" s="75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</row>
    <row r="546" spans="1:12">
      <c r="A546" s="75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</row>
    <row r="547" spans="1:12">
      <c r="A547" s="75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</row>
    <row r="548" spans="1:12">
      <c r="A548" s="75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</row>
    <row r="549" spans="1:12">
      <c r="A549" s="75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</row>
    <row r="550" spans="1:12">
      <c r="A550" s="75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</row>
    <row r="551" spans="1:12">
      <c r="A551" s="75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</row>
    <row r="552" spans="1:12">
      <c r="A552" s="75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</row>
    <row r="553" spans="1:12">
      <c r="A553" s="75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</row>
    <row r="554" spans="1:12">
      <c r="A554" s="75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</row>
    <row r="555" spans="1:12">
      <c r="A555" s="75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</row>
    <row r="556" spans="1:12">
      <c r="A556" s="75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</row>
    <row r="557" spans="1:12">
      <c r="A557" s="75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</row>
    <row r="558" spans="1:12">
      <c r="A558" s="75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</row>
    <row r="559" spans="1:12">
      <c r="A559" s="75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</row>
    <row r="560" spans="1:12">
      <c r="A560" s="75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</row>
    <row r="561" spans="1:12">
      <c r="A561" s="75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</row>
    <row r="562" spans="1:12">
      <c r="A562" s="75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</row>
    <row r="563" spans="1:12">
      <c r="A563" s="75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</row>
    <row r="564" spans="1:12">
      <c r="A564" s="75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</row>
    <row r="565" spans="1:12">
      <c r="A565" s="75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</row>
    <row r="566" spans="1:12">
      <c r="A566" s="75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</row>
    <row r="567" spans="1:12">
      <c r="A567" s="75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</row>
    <row r="568" spans="1:12">
      <c r="A568" s="75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</row>
    <row r="569" spans="1:12">
      <c r="A569" s="75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</row>
    <row r="570" spans="1:12">
      <c r="A570" s="75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</row>
    <row r="571" spans="1:12">
      <c r="A571" s="75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</row>
    <row r="572" spans="1:12">
      <c r="A572" s="75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</row>
    <row r="573" spans="1:12">
      <c r="A573" s="75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</row>
    <row r="574" spans="1:12">
      <c r="A574" s="75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</row>
    <row r="575" spans="1:12">
      <c r="A575" s="75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</row>
    <row r="576" spans="1:12">
      <c r="A576" s="75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</row>
    <row r="577" spans="1:12">
      <c r="A577" s="75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</row>
    <row r="578" spans="1:12">
      <c r="A578" s="75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</row>
    <row r="579" spans="1:12">
      <c r="A579" s="75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</row>
    <row r="580" spans="1:12">
      <c r="A580" s="75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</row>
    <row r="581" spans="1:12">
      <c r="A581" s="75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</row>
    <row r="582" spans="1:12">
      <c r="A582" s="75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</row>
    <row r="583" spans="1:12">
      <c r="A583" s="75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</row>
    <row r="584" spans="1:12">
      <c r="A584" s="75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</row>
    <row r="585" spans="1:12">
      <c r="A585" s="75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</row>
    <row r="586" spans="1:12">
      <c r="A586" s="75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</row>
    <row r="587" spans="1:12">
      <c r="A587" s="75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</row>
    <row r="588" spans="1:12">
      <c r="A588" s="75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</row>
    <row r="589" spans="1:12">
      <c r="A589" s="75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</row>
    <row r="590" spans="1:12">
      <c r="A590" s="75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</row>
    <row r="591" spans="1:12">
      <c r="A591" s="75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</row>
    <row r="592" spans="1:12">
      <c r="A592" s="75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</row>
    <row r="593" spans="1:12">
      <c r="A593" s="75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</row>
    <row r="594" spans="1:12">
      <c r="A594" s="75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</row>
    <row r="595" spans="1:12">
      <c r="A595" s="75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</row>
    <row r="596" spans="1:12">
      <c r="A596" s="75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</row>
    <row r="597" spans="1:12">
      <c r="A597" s="75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</row>
    <row r="598" spans="1:12">
      <c r="A598" s="75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</row>
    <row r="599" spans="1:12">
      <c r="A599" s="75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</row>
    <row r="600" spans="1:12">
      <c r="A600" s="75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</row>
    <row r="601" spans="1:12">
      <c r="A601" s="75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</row>
    <row r="602" spans="1:12">
      <c r="A602" s="75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</row>
    <row r="603" spans="1:12">
      <c r="A603" s="75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</row>
    <row r="604" spans="1:12">
      <c r="A604" s="75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</row>
    <row r="605" spans="1:12">
      <c r="A605" s="75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</row>
    <row r="606" spans="1:12">
      <c r="A606" s="75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</row>
    <row r="607" spans="1:12">
      <c r="A607" s="75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</row>
    <row r="608" spans="1:12">
      <c r="A608" s="75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</row>
    <row r="609" spans="1:12">
      <c r="A609" s="75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</row>
    <row r="610" spans="1:12">
      <c r="A610" s="75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</row>
    <row r="611" spans="1:12">
      <c r="A611" s="75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</row>
    <row r="612" spans="1:12">
      <c r="A612" s="75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</row>
    <row r="613" spans="1:12">
      <c r="A613" s="75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</row>
    <row r="614" spans="1:12">
      <c r="A614" s="75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</row>
    <row r="615" spans="1:12">
      <c r="A615" s="75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</row>
    <row r="616" spans="1:12">
      <c r="A616" s="75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</row>
    <row r="617" spans="1:12">
      <c r="A617" s="75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</row>
    <row r="618" spans="1:12">
      <c r="A618" s="75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</row>
    <row r="619" spans="1:12">
      <c r="A619" s="75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</row>
    <row r="620" spans="1:12">
      <c r="A620" s="75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</row>
    <row r="621" spans="1:12">
      <c r="A621" s="75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</row>
    <row r="622" spans="1:12">
      <c r="A622" s="75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</row>
    <row r="623" spans="1:12">
      <c r="A623" s="75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</row>
    <row r="624" spans="1:12">
      <c r="A624" s="75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</row>
    <row r="625" spans="1:12">
      <c r="A625" s="75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</row>
    <row r="626" spans="1:12">
      <c r="A626" s="75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</row>
    <row r="627" spans="1:12">
      <c r="A627" s="75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</row>
    <row r="628" spans="1:12">
      <c r="A628" s="75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</row>
    <row r="629" spans="1:12">
      <c r="A629" s="75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</row>
    <row r="630" spans="1:12">
      <c r="A630" s="75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</row>
    <row r="631" spans="1:12">
      <c r="A631" s="75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</row>
    <row r="632" spans="1:12">
      <c r="A632" s="75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</row>
    <row r="633" spans="1:12">
      <c r="A633" s="75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</row>
    <row r="634" spans="1:12">
      <c r="A634" s="75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</row>
    <row r="635" spans="1:12">
      <c r="A635" s="75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</row>
    <row r="636" spans="1:12">
      <c r="A636" s="75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</row>
    <row r="637" spans="1:12">
      <c r="A637" s="75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</row>
    <row r="638" spans="1:12">
      <c r="A638" s="75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</row>
    <row r="639" spans="1:12">
      <c r="A639" s="75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</row>
    <row r="640" spans="1:12">
      <c r="A640" s="75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</row>
    <row r="641" spans="1:12">
      <c r="A641" s="75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</row>
    <row r="642" spans="1:12">
      <c r="A642" s="75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</row>
    <row r="643" spans="1:12">
      <c r="A643" s="75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</row>
    <row r="644" spans="1:12">
      <c r="A644" s="75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</row>
    <row r="645" spans="1:12">
      <c r="A645" s="75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</row>
    <row r="646" spans="1:12">
      <c r="A646" s="75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</row>
    <row r="647" spans="1:12">
      <c r="A647" s="75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</row>
    <row r="648" spans="1:12">
      <c r="A648" s="75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</row>
    <row r="649" spans="1:12">
      <c r="A649" s="75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</row>
    <row r="650" spans="1:12">
      <c r="A650" s="75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</row>
    <row r="651" spans="1:12">
      <c r="A651" s="75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</row>
    <row r="652" spans="1:12">
      <c r="A652" s="75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</row>
    <row r="653" spans="1:12">
      <c r="A653" s="75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</row>
    <row r="654" spans="1:12">
      <c r="A654" s="75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</row>
    <row r="655" spans="1:12">
      <c r="A655" s="75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</row>
    <row r="656" spans="1:12">
      <c r="A656" s="75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</row>
    <row r="657" spans="1:12">
      <c r="A657" s="75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</row>
    <row r="658" spans="1:12">
      <c r="A658" s="75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</row>
    <row r="659" spans="1:12">
      <c r="A659" s="75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</row>
    <row r="660" spans="1:12">
      <c r="A660" s="75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</row>
    <row r="661" spans="1:12">
      <c r="A661" s="75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</row>
    <row r="662" spans="1:12">
      <c r="A662" s="75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</row>
    <row r="663" spans="1:12">
      <c r="A663" s="75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</row>
    <row r="664" spans="1:12">
      <c r="A664" s="75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</row>
    <row r="665" spans="1:12">
      <c r="A665" s="75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</row>
    <row r="666" spans="1:12">
      <c r="A666" s="75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</row>
    <row r="667" spans="1:12">
      <c r="A667" s="75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</row>
    <row r="668" spans="1:12">
      <c r="A668" s="75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</row>
    <row r="669" spans="1:12">
      <c r="A669" s="75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</row>
    <row r="670" spans="1:12">
      <c r="A670" s="75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</row>
    <row r="671" spans="1:12">
      <c r="A671" s="75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</row>
    <row r="672" spans="1:12">
      <c r="A672" s="75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</row>
    <row r="673" spans="1:12">
      <c r="A673" s="75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</row>
    <row r="674" spans="1:12">
      <c r="A674" s="75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</row>
    <row r="675" spans="1:12">
      <c r="A675" s="75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</row>
    <row r="676" spans="1:12">
      <c r="A676" s="75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</row>
    <row r="677" spans="1:12">
      <c r="A677" s="75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</row>
    <row r="678" spans="1:12">
      <c r="A678" s="75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</row>
    <row r="679" spans="1:12">
      <c r="A679" s="75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</row>
    <row r="680" spans="1:12">
      <c r="A680" s="75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</row>
    <row r="681" spans="1:12">
      <c r="A681" s="75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</row>
    <row r="682" spans="1:12">
      <c r="A682" s="75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</row>
    <row r="683" spans="1:12">
      <c r="A683" s="75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</row>
    <row r="684" spans="1:12">
      <c r="A684" s="75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</row>
    <row r="685" spans="1:12">
      <c r="A685" s="75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</row>
    <row r="686" spans="1:12">
      <c r="A686" s="75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</row>
    <row r="687" spans="1:12">
      <c r="A687" s="75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</row>
    <row r="688" spans="1:12">
      <c r="A688" s="75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</row>
    <row r="689" spans="1:12">
      <c r="A689" s="75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</row>
    <row r="690" spans="1:12">
      <c r="A690" s="75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</row>
    <row r="691" spans="1:12">
      <c r="A691" s="75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</row>
    <row r="692" spans="1:12">
      <c r="A692" s="75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</row>
    <row r="693" spans="1:12">
      <c r="A693" s="75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</row>
    <row r="694" spans="1:12">
      <c r="A694" s="75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</row>
    <row r="695" spans="1:12">
      <c r="A695" s="75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</row>
    <row r="696" spans="1:12">
      <c r="A696" s="75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</row>
    <row r="697" spans="1:12">
      <c r="A697" s="75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</row>
    <row r="698" spans="1:12">
      <c r="A698" s="75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</row>
    <row r="699" spans="1:12">
      <c r="A699" s="75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</row>
    <row r="700" spans="1:12">
      <c r="A700" s="75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</row>
    <row r="701" spans="1:12">
      <c r="A701" s="75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</row>
    <row r="702" spans="1:12">
      <c r="A702" s="75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</row>
    <row r="703" spans="1:12">
      <c r="A703" s="75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</row>
    <row r="704" spans="1:12">
      <c r="A704" s="75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</row>
    <row r="705" spans="1:12">
      <c r="A705" s="75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</row>
    <row r="706" spans="1:12">
      <c r="A706" s="75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</row>
    <row r="707" spans="1:12">
      <c r="A707" s="75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</row>
    <row r="708" spans="1:12">
      <c r="A708" s="75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</row>
    <row r="709" spans="1:12">
      <c r="A709" s="75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</row>
    <row r="710" spans="1:12">
      <c r="A710" s="75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</row>
    <row r="711" spans="1:12">
      <c r="A711" s="75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</row>
    <row r="712" spans="1:12">
      <c r="A712" s="75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</row>
    <row r="713" spans="1:12">
      <c r="A713" s="75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</row>
    <row r="714" spans="1:12">
      <c r="A714" s="75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</row>
    <row r="715" spans="1:12">
      <c r="A715" s="75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</row>
    <row r="716" spans="1:12">
      <c r="A716" s="75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</row>
    <row r="717" spans="1:12">
      <c r="A717" s="75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</row>
    <row r="718" spans="1:12">
      <c r="A718" s="75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</row>
    <row r="719" spans="1:12">
      <c r="A719" s="75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</row>
    <row r="720" spans="1:12">
      <c r="A720" s="75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</row>
    <row r="721" spans="1:12">
      <c r="A721" s="75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</row>
    <row r="722" spans="1:12">
      <c r="A722" s="75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</row>
    <row r="723" spans="1:12">
      <c r="A723" s="75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</row>
    <row r="724" spans="1:12">
      <c r="A724" s="75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</row>
    <row r="725" spans="1:12">
      <c r="A725" s="75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</row>
    <row r="726" spans="1:12">
      <c r="A726" s="75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</row>
    <row r="727" spans="1:12">
      <c r="A727" s="75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</row>
    <row r="728" spans="1:12">
      <c r="A728" s="75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</row>
    <row r="729" spans="1:12">
      <c r="A729" s="75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</row>
    <row r="730" spans="1:12">
      <c r="A730" s="75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</row>
    <row r="731" spans="1:12">
      <c r="A731" s="75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</row>
    <row r="732" spans="1:12">
      <c r="A732" s="75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</row>
    <row r="733" spans="1:12">
      <c r="A733" s="75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</row>
    <row r="734" spans="1:12">
      <c r="A734" s="75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</row>
    <row r="735" spans="1:12">
      <c r="A735" s="75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</row>
    <row r="736" spans="1:12">
      <c r="A736" s="75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</row>
    <row r="737" spans="1:12">
      <c r="A737" s="75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</row>
    <row r="738" spans="1:12">
      <c r="A738" s="75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</row>
    <row r="739" spans="1:12">
      <c r="A739" s="75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</row>
    <row r="740" spans="1:12">
      <c r="A740" s="75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</row>
    <row r="741" spans="1:12">
      <c r="A741" s="75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</row>
    <row r="742" spans="1:12">
      <c r="A742" s="75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</row>
    <row r="743" spans="1:12">
      <c r="A743" s="75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</row>
    <row r="744" spans="1:12">
      <c r="A744" s="75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</row>
    <row r="745" spans="1:12">
      <c r="A745" s="75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</row>
    <row r="746" spans="1:12">
      <c r="A746" s="75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</row>
    <row r="747" spans="1:12">
      <c r="A747" s="75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</row>
    <row r="748" spans="1:12">
      <c r="A748" s="75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</row>
    <row r="749" spans="1:12">
      <c r="A749" s="75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</row>
    <row r="750" spans="1:12">
      <c r="A750" s="75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9C6C-DCC6-455F-81CA-31D9C33FF667}">
  <dimension ref="A1:K16"/>
  <sheetViews>
    <sheetView workbookViewId="0">
      <selection activeCell="A8" sqref="A8:H9"/>
    </sheetView>
  </sheetViews>
  <sheetFormatPr defaultRowHeight="14.45"/>
  <cols>
    <col min="1" max="1" width="42.42578125" bestFit="1" customWidth="1"/>
    <col min="2" max="2" width="20.7109375" bestFit="1" customWidth="1"/>
    <col min="3" max="3" width="12.140625" bestFit="1" customWidth="1"/>
    <col min="4" max="4" width="9.140625" bestFit="1" customWidth="1"/>
    <col min="5" max="5" width="10.85546875" bestFit="1" customWidth="1"/>
    <col min="6" max="6" width="9.140625" bestFit="1" customWidth="1"/>
    <col min="7" max="7" width="11.5703125" bestFit="1" customWidth="1"/>
    <col min="8" max="8" width="23.7109375" bestFit="1" customWidth="1"/>
    <col min="9" max="9" width="9.42578125" bestFit="1" customWidth="1"/>
    <col min="10" max="10" width="23.85546875" bestFit="1" customWidth="1"/>
  </cols>
  <sheetData>
    <row r="1" spans="1:11">
      <c r="A1" s="1" t="s">
        <v>0</v>
      </c>
    </row>
    <row r="2" spans="1:11">
      <c r="A2" s="1" t="s">
        <v>24</v>
      </c>
      <c r="K2" s="2"/>
    </row>
    <row r="3" spans="1:11">
      <c r="A3" s="3">
        <v>44561</v>
      </c>
    </row>
    <row r="4" spans="1:11" ht="15" customHeight="1"/>
    <row r="5" spans="1:11" ht="15" customHeight="1"/>
    <row r="6" spans="1:11" ht="57.95">
      <c r="A6" s="8" t="s">
        <v>25</v>
      </c>
      <c r="B6" s="9" t="s">
        <v>4</v>
      </c>
      <c r="C6" s="9" t="s">
        <v>17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26</v>
      </c>
      <c r="I6" s="10"/>
    </row>
    <row r="7" spans="1:11" ht="15" customHeight="1">
      <c r="A7" s="20"/>
      <c r="B7" s="21"/>
      <c r="C7" s="21"/>
      <c r="D7" s="21"/>
      <c r="E7" s="21"/>
      <c r="F7" s="21"/>
      <c r="G7" s="21"/>
      <c r="H7" s="21"/>
      <c r="I7" s="10"/>
    </row>
    <row r="8" spans="1:11" ht="15">
      <c r="A8" s="16"/>
      <c r="B8" s="11"/>
      <c r="C8" s="15"/>
      <c r="D8" s="12"/>
      <c r="E8" s="13"/>
      <c r="F8" s="14"/>
      <c r="G8" s="13"/>
      <c r="H8" s="13"/>
      <c r="I8" s="10"/>
    </row>
    <row r="9" spans="1:11" ht="15">
      <c r="A9" s="16"/>
      <c r="B9" s="11"/>
      <c r="C9" s="15"/>
      <c r="D9" s="12"/>
      <c r="E9" s="13"/>
      <c r="F9" s="14"/>
      <c r="G9" s="13"/>
      <c r="H9" s="13"/>
      <c r="I9" s="10"/>
    </row>
    <row r="10" spans="1:11" ht="15" thickBot="1">
      <c r="A10" s="17"/>
      <c r="B10" s="17"/>
      <c r="C10" s="18">
        <f>SUM(C8:C9)</f>
        <v>0</v>
      </c>
      <c r="D10" s="17"/>
      <c r="E10" s="18">
        <f>SUM(E8:E9)</f>
        <v>0</v>
      </c>
      <c r="F10" s="17"/>
      <c r="G10" s="17"/>
      <c r="H10" s="19">
        <f>SUM(H8:H9)</f>
        <v>0</v>
      </c>
      <c r="I10" s="5" t="s">
        <v>22</v>
      </c>
    </row>
    <row r="11" spans="1:11" ht="15" thickTop="1">
      <c r="A11" s="4"/>
      <c r="B11" s="4"/>
      <c r="C11" s="6"/>
      <c r="D11" s="4"/>
      <c r="E11" s="6"/>
      <c r="F11" s="7"/>
      <c r="G11" s="7"/>
      <c r="I11" s="5"/>
    </row>
    <row r="12" spans="1:11">
      <c r="I12" s="5"/>
    </row>
    <row r="14" spans="1:11">
      <c r="H14" s="22"/>
    </row>
    <row r="15" spans="1:11" ht="15"/>
    <row r="16" spans="1:11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37AB-982D-459E-87E0-9EAE6EB85E7D}">
  <dimension ref="A1:K28"/>
  <sheetViews>
    <sheetView tabSelected="1" zoomScale="95" zoomScaleNormal="95" workbookViewId="0">
      <pane ySplit="6" topLeftCell="A7" activePane="bottomLeft" state="frozen"/>
      <selection pane="bottomLeft" activeCell="E20" sqref="E20"/>
    </sheetView>
  </sheetViews>
  <sheetFormatPr defaultRowHeight="14.45"/>
  <cols>
    <col min="1" max="1" width="42.42578125" bestFit="1" customWidth="1"/>
    <col min="2" max="2" width="20.7109375" bestFit="1" customWidth="1"/>
    <col min="3" max="3" width="12.140625" bestFit="1" customWidth="1"/>
    <col min="4" max="4" width="9.140625" bestFit="1" customWidth="1"/>
    <col min="5" max="5" width="10.85546875" bestFit="1" customWidth="1"/>
    <col min="6" max="6" width="9.140625" bestFit="1" customWidth="1"/>
    <col min="7" max="7" width="11.5703125" bestFit="1" customWidth="1"/>
    <col min="8" max="8" width="23.7109375" bestFit="1" customWidth="1"/>
    <col min="9" max="9" width="9.42578125" bestFit="1" customWidth="1"/>
    <col min="10" max="10" width="23.85546875" bestFit="1" customWidth="1"/>
  </cols>
  <sheetData>
    <row r="1" spans="1:11">
      <c r="A1" s="1" t="s">
        <v>0</v>
      </c>
    </row>
    <row r="2" spans="1:11">
      <c r="A2" s="1" t="s">
        <v>27</v>
      </c>
      <c r="K2" s="2"/>
    </row>
    <row r="3" spans="1:11">
      <c r="A3" s="3">
        <v>44561</v>
      </c>
    </row>
    <row r="4" spans="1:11" ht="15" customHeight="1"/>
    <row r="5" spans="1:11" ht="15" customHeight="1"/>
    <row r="6" spans="1:11" ht="15" customHeight="1">
      <c r="A6" s="8" t="s">
        <v>28</v>
      </c>
      <c r="B6" s="9" t="s">
        <v>4</v>
      </c>
      <c r="C6" s="9" t="s">
        <v>17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26</v>
      </c>
      <c r="I6" s="10"/>
    </row>
    <row r="7" spans="1:11" ht="15" customHeight="1">
      <c r="A7" s="20"/>
      <c r="B7" s="21"/>
      <c r="C7" s="21"/>
      <c r="D7" s="21"/>
      <c r="E7" s="21"/>
      <c r="F7" s="21"/>
      <c r="G7" s="21"/>
      <c r="H7" s="21"/>
      <c r="I7" s="10"/>
    </row>
    <row r="8" spans="1:11" ht="15">
      <c r="A8" s="16" t="s">
        <v>29</v>
      </c>
      <c r="B8" s="11" t="s">
        <v>30</v>
      </c>
      <c r="C8" s="15">
        <v>300</v>
      </c>
      <c r="D8" s="12">
        <v>1</v>
      </c>
      <c r="E8" s="13">
        <v>300</v>
      </c>
      <c r="F8" s="14">
        <v>0</v>
      </c>
      <c r="G8" s="13">
        <v>300</v>
      </c>
      <c r="H8" s="13">
        <v>300</v>
      </c>
      <c r="I8" s="10"/>
    </row>
    <row r="9" spans="1:11" ht="15">
      <c r="A9" s="16" t="s">
        <v>31</v>
      </c>
      <c r="B9" s="11" t="s">
        <v>32</v>
      </c>
      <c r="C9" s="15">
        <v>500</v>
      </c>
      <c r="D9" s="12">
        <v>1</v>
      </c>
      <c r="E9" s="13">
        <v>500</v>
      </c>
      <c r="F9" s="14">
        <v>0</v>
      </c>
      <c r="G9" s="13">
        <v>500</v>
      </c>
      <c r="H9" s="13">
        <v>500</v>
      </c>
      <c r="I9" s="10"/>
    </row>
    <row r="10" spans="1:11" ht="15">
      <c r="A10" s="16" t="s">
        <v>33</v>
      </c>
      <c r="B10" s="11" t="s">
        <v>30</v>
      </c>
      <c r="C10" s="15">
        <v>560</v>
      </c>
      <c r="D10" s="12">
        <v>1</v>
      </c>
      <c r="E10" s="13">
        <v>560</v>
      </c>
      <c r="F10" s="14">
        <v>0</v>
      </c>
      <c r="G10" s="13">
        <v>560</v>
      </c>
      <c r="H10" s="13">
        <v>560</v>
      </c>
      <c r="I10" s="10"/>
    </row>
    <row r="11" spans="1:11" ht="15">
      <c r="A11" s="16" t="s">
        <v>33</v>
      </c>
      <c r="B11" s="11" t="s">
        <v>34</v>
      </c>
      <c r="C11" s="15">
        <v>560</v>
      </c>
      <c r="D11" s="12">
        <v>1</v>
      </c>
      <c r="E11" s="13">
        <v>560</v>
      </c>
      <c r="F11" s="14">
        <v>0</v>
      </c>
      <c r="G11" s="13">
        <v>560</v>
      </c>
      <c r="H11" s="13">
        <v>560</v>
      </c>
      <c r="I11" s="10"/>
    </row>
    <row r="12" spans="1:11" ht="15">
      <c r="A12" s="16" t="s">
        <v>33</v>
      </c>
      <c r="B12" s="11" t="s">
        <v>35</v>
      </c>
      <c r="C12" s="15">
        <v>560</v>
      </c>
      <c r="D12" s="12">
        <v>1</v>
      </c>
      <c r="E12" s="13">
        <v>560</v>
      </c>
      <c r="F12" s="14">
        <v>0</v>
      </c>
      <c r="G12" s="13">
        <v>560</v>
      </c>
      <c r="H12" s="13">
        <v>560</v>
      </c>
      <c r="I12" s="10"/>
    </row>
    <row r="13" spans="1:11" ht="15">
      <c r="A13" s="16" t="s">
        <v>33</v>
      </c>
      <c r="B13" s="11" t="s">
        <v>36</v>
      </c>
      <c r="C13" s="15">
        <v>560</v>
      </c>
      <c r="D13" s="12">
        <v>1</v>
      </c>
      <c r="E13" s="13">
        <v>560</v>
      </c>
      <c r="F13" s="14">
        <v>0</v>
      </c>
      <c r="G13" s="13">
        <v>560</v>
      </c>
      <c r="H13" s="13">
        <v>560</v>
      </c>
      <c r="I13" s="10"/>
    </row>
    <row r="14" spans="1:11" ht="15">
      <c r="A14" s="16" t="s">
        <v>33</v>
      </c>
      <c r="B14" s="11" t="s">
        <v>32</v>
      </c>
      <c r="C14" s="15">
        <v>560</v>
      </c>
      <c r="D14" s="12">
        <v>1</v>
      </c>
      <c r="E14" s="13">
        <v>560</v>
      </c>
      <c r="F14" s="14">
        <v>0</v>
      </c>
      <c r="G14" s="13">
        <v>560</v>
      </c>
      <c r="H14" s="13">
        <v>560</v>
      </c>
      <c r="I14" s="10"/>
    </row>
    <row r="15" spans="1:11" ht="15">
      <c r="A15" s="16" t="s">
        <v>33</v>
      </c>
      <c r="B15" s="11" t="s">
        <v>37</v>
      </c>
      <c r="C15" s="15">
        <v>560</v>
      </c>
      <c r="D15" s="12">
        <v>1</v>
      </c>
      <c r="E15" s="13">
        <v>560</v>
      </c>
      <c r="F15" s="14">
        <v>0</v>
      </c>
      <c r="G15" s="13">
        <v>560</v>
      </c>
      <c r="H15" s="13">
        <v>560</v>
      </c>
      <c r="I15" s="10"/>
    </row>
    <row r="16" spans="1:11" ht="15">
      <c r="A16" s="16" t="s">
        <v>38</v>
      </c>
      <c r="B16" s="11" t="s">
        <v>39</v>
      </c>
      <c r="C16" s="15">
        <v>1076.1099999999999</v>
      </c>
      <c r="D16" s="12">
        <v>1</v>
      </c>
      <c r="E16" s="13">
        <v>1076.1099999999999</v>
      </c>
      <c r="F16" s="14">
        <v>0</v>
      </c>
      <c r="G16" s="13">
        <v>1076.1099999999999</v>
      </c>
      <c r="H16" s="13">
        <v>1076.1099999999999</v>
      </c>
      <c r="I16" s="10"/>
    </row>
    <row r="17" spans="1:9" ht="15">
      <c r="A17" s="16" t="s">
        <v>40</v>
      </c>
      <c r="B17" s="11" t="s">
        <v>32</v>
      </c>
      <c r="C17" s="15">
        <v>3400</v>
      </c>
      <c r="D17" s="12">
        <v>1</v>
      </c>
      <c r="E17" s="13">
        <v>3400</v>
      </c>
      <c r="F17" s="14">
        <v>0</v>
      </c>
      <c r="G17" s="13">
        <v>3400</v>
      </c>
      <c r="H17" s="13">
        <v>3400</v>
      </c>
      <c r="I17" s="10"/>
    </row>
    <row r="18" spans="1:9" ht="15">
      <c r="A18" s="16" t="s">
        <v>41</v>
      </c>
      <c r="B18" s="11" t="s">
        <v>42</v>
      </c>
      <c r="C18" s="15">
        <v>5656.96</v>
      </c>
      <c r="D18" s="12">
        <v>1</v>
      </c>
      <c r="E18" s="13">
        <v>5656.96</v>
      </c>
      <c r="F18" s="14">
        <v>0</v>
      </c>
      <c r="G18" s="13">
        <v>5656.96</v>
      </c>
      <c r="H18" s="13">
        <v>5656.96</v>
      </c>
      <c r="I18" s="10"/>
    </row>
    <row r="19" spans="1:9" ht="15" thickBot="1">
      <c r="A19" s="17"/>
      <c r="B19" s="17"/>
      <c r="C19" s="18">
        <f>SUM(C8:C17)</f>
        <v>8636.11</v>
      </c>
      <c r="D19" s="17"/>
      <c r="E19" s="18">
        <f>SUM(E8:E18)</f>
        <v>14293.07</v>
      </c>
      <c r="F19" s="17"/>
      <c r="G19" s="17"/>
      <c r="H19" s="19">
        <f>SUM(H8:H18)</f>
        <v>14293.07</v>
      </c>
      <c r="I19" s="5" t="s">
        <v>43</v>
      </c>
    </row>
    <row r="20" spans="1:9" ht="15" thickTop="1">
      <c r="A20" s="4"/>
      <c r="B20" s="4"/>
      <c r="C20" s="6"/>
      <c r="D20" s="4"/>
      <c r="E20" s="6"/>
      <c r="F20" s="7"/>
      <c r="G20" s="7"/>
      <c r="I20" s="5"/>
    </row>
    <row r="21" spans="1:9">
      <c r="I21" s="5"/>
    </row>
    <row r="23" spans="1:9">
      <c r="H23" s="22"/>
    </row>
    <row r="24" spans="1:9" ht="15"/>
    <row r="25" spans="1:9" ht="15"/>
    <row r="26" spans="1:9" ht="15"/>
    <row r="27" spans="1:9" ht="15"/>
    <row r="28" spans="1:9" ht="15"/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E48C-4663-4CF0-A717-5C5F68330C22}">
  <dimension ref="A1:H50"/>
  <sheetViews>
    <sheetView workbookViewId="0">
      <selection activeCell="G24" sqref="G24"/>
    </sheetView>
  </sheetViews>
  <sheetFormatPr defaultColWidth="8.7109375" defaultRowHeight="14.45" outlineLevelRow="1"/>
  <cols>
    <col min="1" max="1" width="24" style="24" customWidth="1"/>
    <col min="2" max="2" width="17.42578125" style="24" customWidth="1"/>
    <col min="3" max="3" width="20.7109375" style="24" customWidth="1"/>
    <col min="4" max="4" width="19.5703125" style="24" customWidth="1"/>
    <col min="5" max="5" width="19.85546875" style="24" customWidth="1"/>
    <col min="6" max="7" width="18" style="24" customWidth="1"/>
    <col min="8" max="8" width="22.7109375" style="24" bestFit="1" customWidth="1"/>
    <col min="9" max="9" width="18.85546875" style="25" bestFit="1" customWidth="1"/>
    <col min="10" max="16384" width="8.7109375" style="25"/>
  </cols>
  <sheetData>
    <row r="1" spans="1:8">
      <c r="A1" s="23" t="s">
        <v>0</v>
      </c>
    </row>
    <row r="2" spans="1:8">
      <c r="A2" s="26" t="s">
        <v>44</v>
      </c>
      <c r="C2" s="27"/>
    </row>
    <row r="3" spans="1:8">
      <c r="A3" s="28">
        <v>44561</v>
      </c>
      <c r="C3" s="27"/>
    </row>
    <row r="4" spans="1:8">
      <c r="B4" s="27"/>
      <c r="C4" s="27"/>
    </row>
    <row r="5" spans="1:8">
      <c r="C5" s="27"/>
    </row>
    <row r="6" spans="1:8">
      <c r="A6" s="29" t="s">
        <v>45</v>
      </c>
      <c r="B6" s="1" t="s">
        <v>46</v>
      </c>
      <c r="C6" s="27"/>
    </row>
    <row r="7" spans="1:8">
      <c r="A7" s="29" t="s">
        <v>47</v>
      </c>
      <c r="B7" s="1"/>
      <c r="C7" s="27"/>
    </row>
    <row r="8" spans="1:8">
      <c r="A8" s="29" t="s">
        <v>48</v>
      </c>
      <c r="B8" s="1" t="s">
        <v>49</v>
      </c>
      <c r="C8" s="27"/>
    </row>
    <row r="9" spans="1:8">
      <c r="A9" s="29"/>
      <c r="B9" s="1"/>
      <c r="C9" s="27"/>
    </row>
    <row r="10" spans="1:8">
      <c r="A10" s="30"/>
      <c r="B10" s="31" t="s">
        <v>50</v>
      </c>
      <c r="C10" s="32" t="s">
        <v>51</v>
      </c>
      <c r="D10" s="33" t="s">
        <v>4</v>
      </c>
      <c r="E10" s="32" t="s">
        <v>52</v>
      </c>
      <c r="F10" s="32" t="s">
        <v>17</v>
      </c>
      <c r="G10" s="34"/>
    </row>
    <row r="11" spans="1:8">
      <c r="A11" s="1"/>
      <c r="B11" s="35"/>
      <c r="C11" s="36"/>
      <c r="D11" s="37"/>
      <c r="E11" s="38"/>
      <c r="F11" s="39"/>
      <c r="G11" s="40"/>
    </row>
    <row r="12" spans="1:8">
      <c r="A12" s="1"/>
      <c r="C12" s="27"/>
    </row>
    <row r="13" spans="1:8" ht="29.1">
      <c r="A13" s="41"/>
      <c r="B13" s="9" t="s">
        <v>53</v>
      </c>
      <c r="C13" s="9" t="s">
        <v>6</v>
      </c>
      <c r="D13" s="9" t="s">
        <v>7</v>
      </c>
      <c r="E13" s="9" t="s">
        <v>54</v>
      </c>
      <c r="F13" s="9" t="s">
        <v>9</v>
      </c>
      <c r="G13" s="9" t="s">
        <v>10</v>
      </c>
      <c r="H13" s="9" t="s">
        <v>55</v>
      </c>
    </row>
    <row r="14" spans="1:8" ht="15">
      <c r="A14" s="30"/>
      <c r="B14" s="16" t="s">
        <v>56</v>
      </c>
      <c r="C14" s="42">
        <v>402731.55</v>
      </c>
      <c r="D14" s="43">
        <v>12</v>
      </c>
      <c r="E14" s="44">
        <f>C14/D14</f>
        <v>33560.962500000001</v>
      </c>
      <c r="F14" s="45"/>
      <c r="G14" s="46">
        <f>E14*F14</f>
        <v>0</v>
      </c>
      <c r="H14" s="47">
        <f>G14</f>
        <v>0</v>
      </c>
    </row>
    <row r="15" spans="1:8">
      <c r="A15" s="30"/>
      <c r="B15" s="16"/>
      <c r="C15" s="47"/>
      <c r="D15" s="43"/>
      <c r="E15" s="43"/>
      <c r="F15" s="43"/>
      <c r="G15" s="44"/>
      <c r="H15" s="47"/>
    </row>
    <row r="16" spans="1:8">
      <c r="B16" s="30"/>
      <c r="C16" s="42"/>
      <c r="D16" s="43"/>
      <c r="E16" s="43"/>
      <c r="F16" s="43"/>
      <c r="G16" s="43"/>
      <c r="H16" s="47"/>
    </row>
    <row r="17" spans="1:8">
      <c r="A17" s="48"/>
      <c r="B17" s="16"/>
      <c r="C17" s="49">
        <v>0</v>
      </c>
      <c r="D17" s="50">
        <v>0</v>
      </c>
      <c r="E17" s="51">
        <v>0</v>
      </c>
      <c r="F17" s="52"/>
      <c r="G17" s="53">
        <v>0</v>
      </c>
      <c r="H17" s="53">
        <f>(-E17*F17)+G17</f>
        <v>0</v>
      </c>
    </row>
    <row r="18" spans="1:8">
      <c r="A18" s="54"/>
      <c r="B18" s="16"/>
      <c r="D18" s="50"/>
      <c r="E18" s="51"/>
      <c r="F18" s="55"/>
      <c r="G18" s="55"/>
      <c r="H18" s="53"/>
    </row>
    <row r="19" spans="1:8" ht="15" thickBot="1">
      <c r="A19" s="54"/>
      <c r="B19" s="16"/>
      <c r="C19" s="56">
        <f>SUM(C14:C17)</f>
        <v>402731.55</v>
      </c>
      <c r="D19" s="57"/>
      <c r="E19" s="58"/>
      <c r="F19" s="59"/>
      <c r="G19" s="59"/>
      <c r="H19" s="60">
        <f>SUM(H14:H17)</f>
        <v>0</v>
      </c>
    </row>
    <row r="20" spans="1:8" ht="15" thickTop="1">
      <c r="A20" s="54"/>
      <c r="B20" s="16"/>
      <c r="C20" s="61"/>
      <c r="D20" s="57"/>
      <c r="E20" s="58"/>
      <c r="F20" s="59"/>
      <c r="G20" s="59"/>
    </row>
    <row r="21" spans="1:8">
      <c r="A21" s="16"/>
      <c r="B21" s="37"/>
      <c r="D21" s="37"/>
      <c r="E21" s="37"/>
      <c r="F21" s="16"/>
      <c r="G21" s="16"/>
      <c r="H21" s="62"/>
    </row>
    <row r="22" spans="1:8">
      <c r="A22" s="16"/>
      <c r="B22" s="37"/>
      <c r="D22" s="37"/>
      <c r="E22" s="37"/>
      <c r="F22" s="16"/>
      <c r="G22" s="16"/>
      <c r="H22" s="62"/>
    </row>
    <row r="23" spans="1:8">
      <c r="A23" s="16"/>
      <c r="B23" s="63"/>
      <c r="C23" s="16" t="s">
        <v>57</v>
      </c>
      <c r="D23" s="37"/>
      <c r="E23" s="37"/>
      <c r="F23" s="16" t="s">
        <v>58</v>
      </c>
      <c r="G23" s="16"/>
      <c r="H23" s="62"/>
    </row>
    <row r="24" spans="1:8">
      <c r="A24" s="20"/>
      <c r="B24" s="20" t="s">
        <v>59</v>
      </c>
      <c r="C24" s="20" t="s">
        <v>60</v>
      </c>
      <c r="D24" s="64" t="s">
        <v>61</v>
      </c>
      <c r="E24" s="64" t="s">
        <v>62</v>
      </c>
      <c r="F24" s="20" t="s">
        <v>63</v>
      </c>
      <c r="G24" s="34"/>
      <c r="H24" s="62"/>
    </row>
    <row r="25" spans="1:8" hidden="1" outlineLevel="1">
      <c r="A25" s="65"/>
      <c r="B25" s="66"/>
      <c r="C25" s="67"/>
      <c r="D25" s="66"/>
      <c r="E25" s="68"/>
      <c r="F25" s="69">
        <v>119957.13</v>
      </c>
      <c r="G25" s="24" t="s">
        <v>64</v>
      </c>
    </row>
    <row r="26" spans="1:8" hidden="1" outlineLevel="1">
      <c r="A26" s="65">
        <v>43831</v>
      </c>
      <c r="B26" s="66">
        <v>42757.83</v>
      </c>
      <c r="C26" s="67">
        <v>42757.54</v>
      </c>
      <c r="D26" s="66">
        <v>0</v>
      </c>
      <c r="E26" s="68">
        <v>0</v>
      </c>
      <c r="F26" s="69">
        <f>F25+B26-D26</f>
        <v>162714.96000000002</v>
      </c>
      <c r="G26" s="70"/>
    </row>
    <row r="27" spans="1:8" hidden="1" outlineLevel="1">
      <c r="A27" s="65">
        <v>43862</v>
      </c>
      <c r="B27" s="66">
        <v>42757.83</v>
      </c>
      <c r="C27" s="67">
        <f t="shared" ref="C27:C37" si="0">+C26+B27</f>
        <v>85515.37</v>
      </c>
      <c r="D27" s="66">
        <v>0</v>
      </c>
      <c r="E27" s="68">
        <v>0</v>
      </c>
      <c r="F27" s="69">
        <f t="shared" ref="F27:F36" si="1">F26+B27</f>
        <v>205472.79000000004</v>
      </c>
    </row>
    <row r="28" spans="1:8" hidden="1" outlineLevel="1">
      <c r="A28" s="65">
        <v>43891</v>
      </c>
      <c r="B28" s="66">
        <v>42757.83</v>
      </c>
      <c r="C28" s="67">
        <f t="shared" si="0"/>
        <v>128273.2</v>
      </c>
      <c r="D28" s="66">
        <v>0</v>
      </c>
      <c r="E28" s="68">
        <v>0</v>
      </c>
      <c r="F28" s="69">
        <f t="shared" si="1"/>
        <v>248230.62000000005</v>
      </c>
    </row>
    <row r="29" spans="1:8" hidden="1" outlineLevel="1">
      <c r="A29" s="65">
        <v>43922</v>
      </c>
      <c r="B29" s="66">
        <v>42757.83</v>
      </c>
      <c r="C29" s="67">
        <f t="shared" si="0"/>
        <v>171031.03</v>
      </c>
      <c r="D29" s="66">
        <v>0</v>
      </c>
      <c r="E29" s="68">
        <v>0</v>
      </c>
      <c r="F29" s="69">
        <f t="shared" si="1"/>
        <v>290988.45000000007</v>
      </c>
    </row>
    <row r="30" spans="1:8" hidden="1" outlineLevel="1">
      <c r="A30" s="65">
        <v>43952</v>
      </c>
      <c r="B30" s="66">
        <v>42757.83</v>
      </c>
      <c r="C30" s="67">
        <f t="shared" si="0"/>
        <v>213788.86</v>
      </c>
      <c r="D30" s="66">
        <v>0</v>
      </c>
      <c r="E30" s="68">
        <v>0</v>
      </c>
      <c r="F30" s="69">
        <f t="shared" si="1"/>
        <v>333746.28000000009</v>
      </c>
    </row>
    <row r="31" spans="1:8" hidden="1" outlineLevel="1">
      <c r="A31" s="65">
        <v>43983</v>
      </c>
      <c r="B31" s="66">
        <v>42757.83</v>
      </c>
      <c r="C31" s="67">
        <f t="shared" si="0"/>
        <v>256546.69</v>
      </c>
      <c r="D31" s="66">
        <v>0</v>
      </c>
      <c r="E31" s="68">
        <v>0</v>
      </c>
      <c r="F31" s="69">
        <f t="shared" si="1"/>
        <v>376504.1100000001</v>
      </c>
    </row>
    <row r="32" spans="1:8" hidden="1" outlineLevel="1">
      <c r="A32" s="65">
        <v>44013</v>
      </c>
      <c r="B32" s="66">
        <v>42757.83</v>
      </c>
      <c r="C32" s="67">
        <f t="shared" si="0"/>
        <v>299304.52</v>
      </c>
      <c r="D32" s="66">
        <v>0</v>
      </c>
      <c r="E32" s="68">
        <v>0</v>
      </c>
      <c r="F32" s="69">
        <f t="shared" si="1"/>
        <v>419261.94000000012</v>
      </c>
    </row>
    <row r="33" spans="1:8" hidden="1" outlineLevel="1">
      <c r="A33" s="65">
        <v>44044</v>
      </c>
      <c r="B33" s="66">
        <v>42757.83</v>
      </c>
      <c r="C33" s="67">
        <f t="shared" si="0"/>
        <v>342062.35000000003</v>
      </c>
      <c r="D33" s="66">
        <v>0</v>
      </c>
      <c r="E33" s="68">
        <v>0</v>
      </c>
      <c r="F33" s="69">
        <f t="shared" si="1"/>
        <v>462019.77000000014</v>
      </c>
    </row>
    <row r="34" spans="1:8" hidden="1" outlineLevel="1">
      <c r="A34" s="65">
        <v>44075</v>
      </c>
      <c r="B34" s="66">
        <v>42757.83</v>
      </c>
      <c r="C34" s="67">
        <f t="shared" si="0"/>
        <v>384820.18000000005</v>
      </c>
      <c r="D34" s="66">
        <v>0</v>
      </c>
      <c r="E34" s="68">
        <v>0</v>
      </c>
      <c r="F34" s="69">
        <f t="shared" si="1"/>
        <v>504777.60000000015</v>
      </c>
      <c r="G34" s="70"/>
    </row>
    <row r="35" spans="1:8" hidden="1" outlineLevel="1">
      <c r="A35" s="65">
        <v>44105</v>
      </c>
      <c r="B35" s="66">
        <v>42757.83</v>
      </c>
      <c r="C35" s="67">
        <f t="shared" si="0"/>
        <v>427578.01000000007</v>
      </c>
      <c r="D35" s="66">
        <v>0</v>
      </c>
      <c r="E35" s="68">
        <v>0</v>
      </c>
      <c r="F35" s="69">
        <f t="shared" si="1"/>
        <v>547535.43000000017</v>
      </c>
    </row>
    <row r="36" spans="1:8" hidden="1" outlineLevel="1">
      <c r="A36" s="65">
        <v>44136</v>
      </c>
      <c r="B36" s="66">
        <v>83172.929999999993</v>
      </c>
      <c r="C36" s="67">
        <f t="shared" si="0"/>
        <v>510750.94000000006</v>
      </c>
      <c r="D36" s="66">
        <v>0</v>
      </c>
      <c r="E36" s="68">
        <v>0</v>
      </c>
      <c r="F36" s="69">
        <f t="shared" si="1"/>
        <v>630708.3600000001</v>
      </c>
      <c r="G36" s="70"/>
    </row>
    <row r="37" spans="1:8" hidden="1" outlineLevel="1">
      <c r="A37" s="65">
        <v>44166</v>
      </c>
      <c r="B37" s="66">
        <v>44810.83</v>
      </c>
      <c r="C37" s="67">
        <f t="shared" si="0"/>
        <v>555561.77</v>
      </c>
      <c r="D37" s="66">
        <v>541086.68999999994</v>
      </c>
      <c r="E37" s="68">
        <v>0</v>
      </c>
      <c r="F37" s="69">
        <f>F36+B37-D37</f>
        <v>134432.50000000012</v>
      </c>
      <c r="G37" s="24" t="s">
        <v>65</v>
      </c>
    </row>
    <row r="38" spans="1:8" outlineLevel="1">
      <c r="A38" s="65"/>
      <c r="B38" s="66"/>
      <c r="C38" s="67"/>
      <c r="D38" s="66"/>
      <c r="E38" s="68"/>
      <c r="F38" s="69">
        <v>0</v>
      </c>
    </row>
    <row r="39" spans="1:8" ht="15">
      <c r="A39" s="65">
        <v>44368</v>
      </c>
      <c r="B39" s="66">
        <v>212028.54</v>
      </c>
      <c r="C39" s="67"/>
      <c r="D39" s="66"/>
      <c r="E39" s="68"/>
      <c r="F39" s="69">
        <f>F38+B39-D39+E39</f>
        <v>212028.54</v>
      </c>
    </row>
    <row r="40" spans="1:8" ht="15">
      <c r="A40" s="65">
        <v>44398</v>
      </c>
      <c r="B40" s="66">
        <v>65792</v>
      </c>
      <c r="C40" s="67"/>
      <c r="D40" s="66"/>
      <c r="E40" s="68"/>
      <c r="F40" s="69">
        <f t="shared" ref="F40:F42" si="2">F39+B40-D40+E40</f>
        <v>277820.54000000004</v>
      </c>
    </row>
    <row r="41" spans="1:8" ht="15">
      <c r="A41" s="65">
        <v>44429</v>
      </c>
      <c r="B41" s="66">
        <v>65792</v>
      </c>
      <c r="C41" s="67"/>
      <c r="D41" s="66"/>
      <c r="E41" s="68"/>
      <c r="F41" s="69">
        <f t="shared" si="2"/>
        <v>343612.54000000004</v>
      </c>
      <c r="G41" s="70"/>
      <c r="H41" s="25"/>
    </row>
    <row r="42" spans="1:8" ht="15">
      <c r="A42" s="65">
        <v>44460</v>
      </c>
      <c r="B42" s="66">
        <v>65792</v>
      </c>
      <c r="C42" s="67"/>
      <c r="D42" s="66"/>
      <c r="E42" s="68"/>
      <c r="F42" s="69">
        <f t="shared" si="2"/>
        <v>409404.54000000004</v>
      </c>
      <c r="G42" s="70"/>
      <c r="H42" s="25"/>
    </row>
    <row r="43" spans="1:8" ht="15">
      <c r="A43" s="65">
        <v>44490</v>
      </c>
      <c r="B43" s="66">
        <v>65792</v>
      </c>
      <c r="D43" s="66">
        <v>402731.55</v>
      </c>
      <c r="E43" s="67">
        <v>-72464.990000000005</v>
      </c>
      <c r="F43" s="69">
        <f>F42+B43-D43+E43</f>
        <v>0</v>
      </c>
      <c r="G43" s="70"/>
      <c r="H43" s="71"/>
    </row>
    <row r="44" spans="1:8" ht="15">
      <c r="A44" s="65">
        <v>44521</v>
      </c>
      <c r="B44" s="66">
        <v>33560.959999999999</v>
      </c>
      <c r="C44" s="67"/>
      <c r="D44" s="66"/>
      <c r="E44" s="68">
        <v>-67121.919999999998</v>
      </c>
      <c r="F44" s="69">
        <f t="shared" ref="F44:F45" si="3">F43+B44-D44+E44</f>
        <v>-33560.959999999999</v>
      </c>
      <c r="H44" s="71"/>
    </row>
    <row r="45" spans="1:8" ht="15">
      <c r="A45" s="65">
        <v>44551</v>
      </c>
      <c r="B45" s="66">
        <v>33560.959999999999</v>
      </c>
      <c r="C45" s="67"/>
      <c r="D45" s="66"/>
      <c r="E45" s="68"/>
      <c r="F45" s="69">
        <f t="shared" si="3"/>
        <v>0</v>
      </c>
      <c r="G45" s="105" t="s">
        <v>66</v>
      </c>
    </row>
    <row r="46" spans="1:8" ht="15">
      <c r="A46" s="65"/>
      <c r="B46" s="66"/>
      <c r="C46" s="67"/>
      <c r="D46" s="66"/>
      <c r="E46" s="68"/>
      <c r="F46" s="72"/>
    </row>
    <row r="47" spans="1:8" ht="15">
      <c r="A47" s="65"/>
      <c r="B47" s="66"/>
      <c r="C47" s="67"/>
      <c r="D47" s="66"/>
      <c r="E47" s="68"/>
      <c r="F47" s="72"/>
      <c r="G47" s="25"/>
    </row>
    <row r="48" spans="1:8">
      <c r="A48" s="65"/>
      <c r="B48" s="66"/>
      <c r="C48" s="67"/>
      <c r="D48" s="66"/>
      <c r="E48" s="68"/>
      <c r="F48" s="72"/>
    </row>
    <row r="49" spans="1:6">
      <c r="A49" s="65"/>
      <c r="B49" s="66"/>
      <c r="C49" s="67"/>
      <c r="D49" s="66"/>
      <c r="E49" s="68"/>
      <c r="F49" s="69"/>
    </row>
    <row r="50" spans="1:6">
      <c r="A50" s="65"/>
      <c r="B50" s="66"/>
      <c r="C50" s="67"/>
      <c r="D50" s="66"/>
      <c r="E50" s="68"/>
      <c r="F50" s="6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e203cf734b272851ee48c4054b20f0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74927e4b16d37d622d805dea09d4a8be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EF50F5-C1E8-4176-819A-FCBFD966B5FC}"/>
</file>

<file path=customXml/itemProps2.xml><?xml version="1.0" encoding="utf-8"?>
<ds:datastoreItem xmlns:ds="http://schemas.openxmlformats.org/officeDocument/2006/customXml" ds:itemID="{F46B28C8-5698-40D8-89BE-8449AAF59916}"/>
</file>

<file path=customXml/itemProps3.xml><?xml version="1.0" encoding="utf-8"?>
<ds:datastoreItem xmlns:ds="http://schemas.openxmlformats.org/officeDocument/2006/customXml" ds:itemID="{6C7C4D50-69EB-4FE5-BB3A-384456DC5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Van de Meulebroecke</dc:creator>
  <cp:keywords/>
  <dc:description/>
  <cp:lastModifiedBy>Carly Bradshaw</cp:lastModifiedBy>
  <cp:revision/>
  <dcterms:created xsi:type="dcterms:W3CDTF">2020-11-06T18:21:03Z</dcterms:created>
  <dcterms:modified xsi:type="dcterms:W3CDTF">2022-01-12T13:37:20Z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ContentTypeId">
    <vt:lpwstr>0x01010037ADA65F82CA7341B595503F26BA5DE2</vt:lpwstr>
  </property>
  <property fmtid="{D5CDD505-2E9C-101B-9397-08002B2CF9AE}" pid="4" name="Name" linkTarget="Prop_Name">
    <vt:lpwstr>#REF!</vt:lpwstr>
  </property>
</Properties>
</file>