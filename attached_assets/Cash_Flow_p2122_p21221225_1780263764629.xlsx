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cashflow" sheetId="1" r:id="rId1"/>
  </sheets>
  <definedNames>
    <definedName name="Body" localSheetId="0">#REF!</definedName>
    <definedName name="_xlnm.Print_Area" localSheetId="0">cashflow!$B$6:$D$107</definedName>
    <definedName name="_xlnm.Print_Titles" localSheetId="0">cashflow!$6:$13</definedName>
  </definedNames>
  <calcPr fullCalcOnLoad="1"/>
</workbook>
</file>

<file path=xl/sharedStrings.xml><?xml version="1.0" encoding="utf-8"?>
<sst xmlns="http://schemas.openxmlformats.org/spreadsheetml/2006/main" count="169" uniqueCount="161">
  <si>
    <t/>
  </si>
  <si>
    <t>Accrual^GAAP</t>
  </si>
  <si>
    <t>GAAP</t>
  </si>
  <si>
    <t>Accrual</t>
  </si>
  <si>
    <t>For the period ending December 31, 2025</t>
  </si>
  <si>
    <t>Dec 2025</t>
  </si>
  <si>
    <t>Highlands at Sweetwater Creek (p2122)</t>
  </si>
  <si>
    <t>p2122</t>
  </si>
  <si>
    <t>Filter</t>
  </si>
  <si>
    <t>Oracle</t>
  </si>
  <si>
    <t>&lt;&gt;0</t>
  </si>
  <si>
    <t>Sql Server</t>
  </si>
  <si>
    <t xml:space="preserve"> </t>
  </si>
  <si>
    <t>Cash Flow Statement - Current Month</t>
  </si>
  <si>
    <t>Prepared by: Bell Partners Inc.</t>
  </si>
  <si>
    <t>Cash Flows From Operation Activity</t>
  </si>
  <si>
    <t>30901000 30909000</t>
  </si>
  <si>
    <t>Net Income</t>
  </si>
  <si>
    <t>Adjustments to Reconcile Net Income to Net Cash Provided by Operations</t>
  </si>
  <si>
    <t>70901000 70901500 70905500 70901700 70506200</t>
  </si>
  <si>
    <t>(Increase) Decrease In Assets:</t>
  </si>
  <si>
    <t>10200000..10202099 10202101..10204989</t>
  </si>
  <si>
    <t>A/R</t>
  </si>
  <si>
    <t>10204990..10204999</t>
  </si>
  <si>
    <t>Allowance for Doubtful Accounts</t>
  </si>
  <si>
    <t>10209900..10209999</t>
  </si>
  <si>
    <t>A/R Bad Debt Reserve</t>
  </si>
  <si>
    <t>10205000..10209899</t>
  </si>
  <si>
    <t>Due To From</t>
  </si>
  <si>
    <t>10900000..10909999</t>
  </si>
  <si>
    <t>Deposits</t>
  </si>
  <si>
    <t>10300000..10303599</t>
  </si>
  <si>
    <t>Prepaid Warranty</t>
  </si>
  <si>
    <t>10303600..10303799</t>
  </si>
  <si>
    <t>Prepaid Insurance</t>
  </si>
  <si>
    <t>10303800..10304999</t>
  </si>
  <si>
    <t>Prepaid Interest</t>
  </si>
  <si>
    <t>10305000..10306999</t>
  </si>
  <si>
    <t>Prepaid Mortgage Insurance</t>
  </si>
  <si>
    <t>10308000..10308099</t>
  </si>
  <si>
    <t>Prepaid Taxes</t>
  </si>
  <si>
    <t>10307000..10307999</t>
  </si>
  <si>
    <t>Prepaid Other</t>
  </si>
  <si>
    <t>10309000..10309999</t>
  </si>
  <si>
    <t>10010000..10153999</t>
  </si>
  <si>
    <t>Restricted Cash</t>
  </si>
  <si>
    <t>10154000..10154299</t>
  </si>
  <si>
    <t>Escrows Community Fees</t>
  </si>
  <si>
    <t>10154300..10154399</t>
  </si>
  <si>
    <t>Escrows Insurance</t>
  </si>
  <si>
    <t>10154400..10154499</t>
  </si>
  <si>
    <t>Escrows Other</t>
  </si>
  <si>
    <t>10154500..10154599</t>
  </si>
  <si>
    <t>Escrows Security Deposits</t>
  </si>
  <si>
    <t>10154600..10154699</t>
  </si>
  <si>
    <t>10154700..10154799</t>
  </si>
  <si>
    <t>Escrow Tax</t>
  </si>
  <si>
    <t>10154800..10199999</t>
  </si>
  <si>
    <t>Lender Reserves</t>
  </si>
  <si>
    <t>10400000..10409999</t>
  </si>
  <si>
    <t>Inventory</t>
  </si>
  <si>
    <t>Net (Increase) Decrease In Assets:</t>
  </si>
  <si>
    <t>Increase (Decrease) In Liabilities:</t>
  </si>
  <si>
    <t>20000000..20001000</t>
  </si>
  <si>
    <t>A/P</t>
  </si>
  <si>
    <t>20001002..20003099</t>
  </si>
  <si>
    <t>A/P - Other</t>
  </si>
  <si>
    <t>20003100..20003999</t>
  </si>
  <si>
    <t>Unclaimed Property</t>
  </si>
  <si>
    <t>20004000</t>
  </si>
  <si>
    <t>Sales Tax Payable</t>
  </si>
  <si>
    <t>20004001</t>
  </si>
  <si>
    <t>20005000..20009999</t>
  </si>
  <si>
    <t>Insurance Claims Payable</t>
  </si>
  <si>
    <t>20102000..20102999</t>
  </si>
  <si>
    <t>Accrued Insurance</t>
  </si>
  <si>
    <t>20103000..20103999</t>
  </si>
  <si>
    <t>Accrued Interest</t>
  </si>
  <si>
    <t>20104000..20104499</t>
  </si>
  <si>
    <t>Accrued Management Fees</t>
  </si>
  <si>
    <t>20104500..20104799</t>
  </si>
  <si>
    <t>Accrued Operating Expenses</t>
  </si>
  <si>
    <t>20104800..20104999</t>
  </si>
  <si>
    <t>Accrued Payroll</t>
  </si>
  <si>
    <t>20100000..20101999</t>
  </si>
  <si>
    <t>Accrued Misc.</t>
  </si>
  <si>
    <t>20105000..20106999</t>
  </si>
  <si>
    <t>Accrued Other</t>
  </si>
  <si>
    <t>20107000..20109999</t>
  </si>
  <si>
    <t>Accrued Property Taxes</t>
  </si>
  <si>
    <t>20500000..20599999</t>
  </si>
  <si>
    <t>Loan Payable Current</t>
  </si>
  <si>
    <t>20700000..20899999</t>
  </si>
  <si>
    <t>Payroll Liabilities</t>
  </si>
  <si>
    <t>20900000..20901099</t>
  </si>
  <si>
    <t>Community Fee Deposit</t>
  </si>
  <si>
    <t>20901100..20904499</t>
  </si>
  <si>
    <t>Deferred Fees</t>
  </si>
  <si>
    <t>20904500..20905499</t>
  </si>
  <si>
    <t>Other Liabilities</t>
  </si>
  <si>
    <t>20905500..20905699</t>
  </si>
  <si>
    <t>Prepaid Rent</t>
  </si>
  <si>
    <t>20906500..20907049</t>
  </si>
  <si>
    <t>Security Deposit Payable</t>
  </si>
  <si>
    <t>20905700..20906499 20907050..20908099</t>
  </si>
  <si>
    <t>Other Liablities</t>
  </si>
  <si>
    <t>20908101..29999999</t>
  </si>
  <si>
    <t>New Accounts to be added</t>
  </si>
  <si>
    <t>Net Increase (Decrease) In Liabilities:</t>
  </si>
  <si>
    <t>Net Cash Provided by (Used by) OPERATING ACTIVITIES</t>
  </si>
  <si>
    <t>Cash Flows From Investing Activities</t>
  </si>
  <si>
    <t>10600100..10609999</t>
  </si>
  <si>
    <t>N/R</t>
  </si>
  <si>
    <t>10620000..10679999</t>
  </si>
  <si>
    <t>Investments</t>
  </si>
  <si>
    <t>10700000..10709999</t>
  </si>
  <si>
    <t>Property, Plant, &amp; Equipment</t>
  </si>
  <si>
    <t>10760000..10789999</t>
  </si>
  <si>
    <t>Property, Plant, &amp; Equipment - Original</t>
  </si>
  <si>
    <t>10720000..10729999</t>
  </si>
  <si>
    <t>Third Party CapEx</t>
  </si>
  <si>
    <t>10730000..10759999 20001001</t>
  </si>
  <si>
    <t>CIP- Rehab Property, Plant, &amp; Equipment</t>
  </si>
  <si>
    <t>10800000..10804499 10804500..10899999</t>
  </si>
  <si>
    <t>Intangibles</t>
  </si>
  <si>
    <t>20606200 70506200</t>
  </si>
  <si>
    <t>M/P Deferred Loan Fees</t>
  </si>
  <si>
    <t>Net Cash Provided by (Used by) INVESTING ACTIVITIES</t>
  </si>
  <si>
    <t>Cash Flows From Financing  Activities</t>
  </si>
  <si>
    <t xml:space="preserve">20600000..20601099 20602000..20602099 20603000..20603099 20604000..20604099 20605000..20605099 20606000..20606099 </t>
  </si>
  <si>
    <t>M/P Initial Funding</t>
  </si>
  <si>
    <t>20601100..20601199 20602100..20602199 20603100..20603199 20604100..20604199 20605100..20605199 20606100..20606199</t>
  </si>
  <si>
    <t>M/P Principle Pmt On Loans</t>
  </si>
  <si>
    <t>20601200..20601299 20602200..20602299 20603200..20603299 20604200..20604299 20605200..20605299</t>
  </si>
  <si>
    <t>M/P Payoff</t>
  </si>
  <si>
    <t>20601300..20601999 20602300..20602999 20603300..20603999 20604300..20604999 20605300..20605999 20606300..20606899</t>
  </si>
  <si>
    <t>M/P Renovations Draw</t>
  </si>
  <si>
    <t>20606900..20609999</t>
  </si>
  <si>
    <t>N/P - Other</t>
  </si>
  <si>
    <t xml:space="preserve">30201500..30209999 </t>
  </si>
  <si>
    <t>Change In Equity</t>
  </si>
  <si>
    <t>10202100</t>
  </si>
  <si>
    <t>Contributions Receivable</t>
  </si>
  <si>
    <t xml:space="preserve">30101000 30671000..30671160 </t>
  </si>
  <si>
    <t>Contributions</t>
  </si>
  <si>
    <t>30151000..30159900 30671200..30671800</t>
  </si>
  <si>
    <t>Distributions</t>
  </si>
  <si>
    <t>70905500</t>
  </si>
  <si>
    <t>Hedging Activity</t>
  </si>
  <si>
    <t>30102000</t>
  </si>
  <si>
    <t>Minority Interest</t>
  </si>
  <si>
    <t>Net Cash Provided by (Used by) FINANCING ACTIVITIES</t>
  </si>
  <si>
    <t>Net Increase (Decrease) In Cash</t>
  </si>
  <si>
    <t>10001000..10009999</t>
  </si>
  <si>
    <t>Cash At Beginning Of Period</t>
  </si>
  <si>
    <t>Cash At End Of Period</t>
  </si>
  <si>
    <t>RECONCILIATION - ACCOUNTING USE ONLY</t>
  </si>
  <si>
    <t>Cash Flow Test</t>
  </si>
  <si>
    <t>YSL.Net: 70.8.0.0</t>
  </si>
  <si>
    <t>12/1/2025</t>
  </si>
  <si>
    <t>Amortization Expense</t>
  </si>
</sst>
</file>

<file path=xl/styles.xml><?xml version="1.0" encoding="utf-8"?>
<styleSheet xmlns="http://schemas.openxmlformats.org/spreadsheetml/2006/main">
  <numFmts count="2">
    <numFmt numFmtId="177" formatCode="_(* #,##0_);_(* \(#,##0\);_(* &quot;-&quot;??_);_(@_)"/>
    <numFmt numFmtId="178" formatCode="_(&quot;$&quot;* #,##0_);_(&quot;$&quot;* \(#,##0\);_(&quot;$&quot;* &quot;-&quot;??_);_(@_)"/>
  </numFmts>
  <fonts count="7"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 style="medium"/>
      <right>
        <color rgb="FF000000"/>
      </right>
      <top style="medium"/>
      <bottom style="medium"/>
    </border>
    <border>
      <left>
        <color rgb="FF000000"/>
      </left>
      <right>
        <color rgb="FF000000"/>
      </right>
      <top style="medium"/>
      <bottom style="medium"/>
    </border>
    <border>
      <left>
        <color rgb="FF000000"/>
      </left>
      <right style="medium"/>
      <top style="medium"/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 style="thin"/>
    </border>
    <border>
      <left>
        <color rgb="FF000000"/>
      </left>
      <right>
        <color rgb="FF000000"/>
      </right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2" borderId="0" xfId="0" applyFont="1" applyFill="1" applyAlignment="1">
      <alignment horizontal="right"/>
    </xf>
    <xf numFmtId="49" fontId="1" fillId="2" borderId="0" xfId="0" applyNumberFormat="1" applyFont="1" applyFill="1" applyAlignment="1">
      <alignment/>
    </xf>
    <xf numFmtId="14" fontId="1" fillId="2" borderId="0" xfId="0" applyNumberFormat="1" applyFont="1" applyFill="1" applyAlignment="1" quotePrefix="1">
      <alignment/>
    </xf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wrapText="1"/>
    </xf>
    <xf numFmtId="0" fontId="1" fillId="0" borderId="0" xfId="0" applyNumberFormat="1" applyFont="1" applyFill="1" applyAlignment="1">
      <alignment horizontal="center"/>
    </xf>
    <xf numFmtId="49" fontId="1" fillId="2" borderId="1" xfId="0" applyNumberFormat="1" applyFont="1" applyFill="1" applyBorder="1" applyAlignment="1">
      <alignment/>
    </xf>
    <xf numFmtId="0" fontId="1" fillId="2" borderId="1" xfId="0" applyFont="1" applyFill="1" applyBorder="1" applyAlignment="1">
      <alignment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/>
    </xf>
    <xf numFmtId="49" fontId="1" fillId="2" borderId="2" xfId="0" applyNumberFormat="1" applyFont="1" applyFill="1" applyBorder="1" applyAlignment="1">
      <alignment/>
    </xf>
    <xf numFmtId="0" fontId="1" fillId="2" borderId="2" xfId="0" applyFont="1" applyFill="1" applyBorder="1" applyAlignment="1">
      <alignment horizontal="left"/>
    </xf>
    <xf numFmtId="0" fontId="3" fillId="0" borderId="0" xfId="0" applyFont="1" applyAlignment="1">
      <alignment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/>
    </xf>
    <xf numFmtId="0" fontId="4" fillId="0" borderId="0" xfId="0" applyFont="1" applyFill="1" applyBorder="1" applyAlignment="1">
      <alignment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wrapText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/>
    </xf>
    <xf numFmtId="0" fontId="5" fillId="0" borderId="5" xfId="0" applyFont="1" applyBorder="1" applyAlignment="1">
      <alignment horizontal="right"/>
    </xf>
    <xf numFmtId="0" fontId="1" fillId="0" borderId="0" xfId="0" applyFont="1" applyFill="1" applyAlignment="1">
      <alignment/>
    </xf>
    <xf numFmtId="49" fontId="1" fillId="0" borderId="0" xfId="0" applyNumberFormat="1" applyFont="1" applyFill="1" applyAlignment="1">
      <alignment/>
    </xf>
    <xf numFmtId="0" fontId="2" fillId="0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77" fontId="2" fillId="0" borderId="0" xfId="18" applyNumberFormat="1" applyFont="1" applyFill="1" applyBorder="1" applyAlignment="1">
      <alignment horizontal="left"/>
    </xf>
    <xf numFmtId="177" fontId="2" fillId="0" borderId="0" xfId="18" applyNumberFormat="1" applyFont="1" applyFill="1" applyBorder="1" applyAlignment="1">
      <alignment/>
    </xf>
    <xf numFmtId="0" fontId="1" fillId="2" borderId="0" xfId="18" applyNumberFormat="1" applyFont="1" applyFill="1" applyBorder="1" applyAlignment="1">
      <alignment horizontal="left" vertical="center" wrapText="1"/>
    </xf>
    <xf numFmtId="177" fontId="2" fillId="0" borderId="0" xfId="18" applyNumberFormat="1" applyFont="1" applyAlignment="1">
      <alignment horizontal="right"/>
    </xf>
    <xf numFmtId="177" fontId="1" fillId="0" borderId="0" xfId="0" applyNumberFormat="1" applyFont="1" applyAlignment="1">
      <alignment/>
    </xf>
    <xf numFmtId="177" fontId="1" fillId="0" borderId="0" xfId="18" applyNumberFormat="1" applyFont="1" applyFill="1" applyBorder="1" applyAlignment="1">
      <alignment horizontal="left"/>
    </xf>
    <xf numFmtId="177" fontId="1" fillId="0" borderId="0" xfId="18" applyNumberFormat="1" applyFont="1" applyAlignment="1">
      <alignment horizontal="right"/>
    </xf>
    <xf numFmtId="0" fontId="1" fillId="2" borderId="0" xfId="18" applyNumberFormat="1" applyFont="1" applyFill="1" applyBorder="1" applyAlignment="1">
      <alignment horizontal="left"/>
    </xf>
    <xf numFmtId="39" fontId="1" fillId="0" borderId="0" xfId="0" applyNumberFormat="1" applyFont="1" applyFill="1" applyBorder="1" applyAlignment="1">
      <alignment/>
    </xf>
    <xf numFmtId="39" fontId="1" fillId="0" borderId="0" xfId="0" applyNumberFormat="1" applyFont="1" applyAlignment="1">
      <alignment/>
    </xf>
    <xf numFmtId="177" fontId="1" fillId="0" borderId="0" xfId="18" applyNumberFormat="1" applyFont="1" applyAlignment="1">
      <alignment horizontal="left" indent="2"/>
    </xf>
    <xf numFmtId="177" fontId="1" fillId="0" borderId="0" xfId="18" applyNumberFormat="1" applyFont="1" applyBorder="1" applyAlignment="1">
      <alignment horizontal="right"/>
    </xf>
    <xf numFmtId="0" fontId="2" fillId="0" borderId="0" xfId="0" applyFont="1" applyBorder="1" applyAlignment="1">
      <alignment/>
    </xf>
    <xf numFmtId="177" fontId="2" fillId="0" borderId="0" xfId="18" applyNumberFormat="1" applyFont="1" applyBorder="1" applyAlignment="1">
      <alignment horizontal="right"/>
    </xf>
    <xf numFmtId="0" fontId="1" fillId="0" borderId="0" xfId="0" applyFont="1" applyBorder="1" applyAlignment="1">
      <alignment/>
    </xf>
    <xf numFmtId="49" fontId="1" fillId="2" borderId="0" xfId="0" applyNumberFormat="1" applyFont="1" applyFill="1" applyBorder="1" applyAlignment="1">
      <alignment/>
    </xf>
    <xf numFmtId="177" fontId="1" fillId="0" borderId="0" xfId="0" applyNumberFormat="1" applyFont="1" applyBorder="1" applyAlignment="1">
      <alignment/>
    </xf>
    <xf numFmtId="177" fontId="2" fillId="0" borderId="6" xfId="18" applyNumberFormat="1" applyFont="1" applyBorder="1" applyAlignment="1">
      <alignment horizontal="right"/>
    </xf>
    <xf numFmtId="39" fontId="1" fillId="0" borderId="0" xfId="0" applyNumberFormat="1" applyFont="1" applyBorder="1" applyAlignment="1">
      <alignment/>
    </xf>
    <xf numFmtId="177" fontId="2" fillId="0" borderId="7" xfId="18" applyNumberFormat="1" applyFont="1" applyBorder="1" applyAlignment="1">
      <alignment horizontal="right"/>
    </xf>
    <xf numFmtId="177" fontId="1" fillId="0" borderId="0" xfId="18" applyNumberFormat="1" applyFont="1" applyFill="1" applyBorder="1" applyAlignment="1">
      <alignment horizontal="left" vertical="center" wrapText="1" indent="2"/>
    </xf>
    <xf numFmtId="177" fontId="1" fillId="0" borderId="0" xfId="18" applyNumberFormat="1" applyFont="1" applyFill="1" applyBorder="1" applyAlignment="1">
      <alignment horizontal="left" indent="2"/>
    </xf>
    <xf numFmtId="0" fontId="2" fillId="0" borderId="0" xfId="0" applyNumberFormat="1" applyFont="1" applyAlignment="1">
      <alignment horizontal="left" wrapText="1"/>
    </xf>
    <xf numFmtId="178" fontId="2" fillId="0" borderId="0" xfId="16" applyNumberFormat="1" applyFont="1" applyFill="1" applyBorder="1" applyAlignment="1">
      <alignment horizontal="right"/>
    </xf>
    <xf numFmtId="178" fontId="2" fillId="0" borderId="8" xfId="16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left"/>
    </xf>
    <xf numFmtId="177" fontId="2" fillId="0" borderId="0" xfId="18" applyNumberFormat="1" applyFont="1" applyFill="1" applyBorder="1" applyAlignment="1">
      <alignment horizontal="right"/>
    </xf>
    <xf numFmtId="0" fontId="2" fillId="0" borderId="0" xfId="0" applyNumberFormat="1" applyFont="1" applyAlignment="1">
      <alignment horizontal="left"/>
    </xf>
    <xf numFmtId="49" fontId="2" fillId="2" borderId="0" xfId="0" applyNumberFormat="1" applyFont="1" applyFill="1" applyAlignment="1">
      <alignment/>
    </xf>
    <xf numFmtId="178" fontId="2" fillId="0" borderId="0" xfId="16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4" fontId="1" fillId="2" borderId="0" xfId="0" applyNumberFormat="1" applyFont="1" applyFill="1" applyAlignment="1">
      <alignment/>
    </xf>
    <xf numFmtId="0" fontId="6" fillId="4" borderId="3" xfId="0" applyFont="1" applyFill="1" applyBorder="1" applyAlignment="1">
      <alignment horizontal="centerContinuous"/>
    </xf>
    <xf numFmtId="0" fontId="6" fillId="4" borderId="4" xfId="0" applyFont="1" applyFill="1" applyBorder="1" applyAlignment="1">
      <alignment horizontal="centerContinuous"/>
    </xf>
    <xf numFmtId="0" fontId="6" fillId="4" borderId="5" xfId="0" applyFont="1" applyFill="1" applyBorder="1" applyAlignment="1">
      <alignment horizontal="centerContinuous"/>
    </xf>
    <xf numFmtId="37" fontId="1" fillId="0" borderId="0" xfId="0" applyNumberFormat="1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 horizontal="right"/>
    </xf>
    <xf numFmtId="37" fontId="2" fillId="0" borderId="0" xfId="18" applyNumberFormat="1" applyFont="1" applyFill="1" applyBorder="1" applyAlignment="1">
      <alignment horizontal="right"/>
    </xf>
    <xf numFmtId="0" fontId="2" fillId="0" borderId="0" xfId="0" applyFont="1" applyAlignment="1">
      <alignment/>
    </xf>
    <xf numFmtId="0" fontId="1" fillId="0" borderId="0" xfId="0" applyFont="1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13"/>
  <sheetViews>
    <sheetView tabSelected="1" zoomScale="80" zoomScaleNormal="80" zoomScaleSheetLayoutView="75" zoomScalePageLayoutView="0" workbookViewId="0" topLeftCell="A1">
      <selection pane="topLeft" activeCell="B6" sqref="B6"/>
    </sheetView>
  </sheetViews>
  <sheetFormatPr defaultColWidth="9.14428571428571" defaultRowHeight="15"/>
  <cols>
    <col min="1" max="1" width="47" style="4" hidden="1" customWidth="1"/>
    <col min="2" max="2" width="74.1428571428571" style="1" customWidth="1"/>
    <col min="3" max="3" width="18.2857142857143" style="1" customWidth="1"/>
    <col min="4" max="4" width="21.2857142857143" style="69" bestFit="1" customWidth="1"/>
    <col min="5" max="5" width="12" style="1" bestFit="1" customWidth="1"/>
    <col min="6" max="6" width="13.8571428571429" style="1" customWidth="1"/>
    <col min="7" max="7" width="13.8571428571429" style="70" customWidth="1"/>
    <col min="8" max="8" width="13.2857142857143" style="1" hidden="1" customWidth="1"/>
    <col min="9" max="16384" width="9.14285714285714" style="1" customWidth="1"/>
    <col min="257" max="16384" width="9.14285714285714" style="1" customWidth="1"/>
  </cols>
  <sheetData>
    <row r="1" spans="1:8" s="2" customFormat="1" ht="15" hidden="1">
      <c r="A1" s="3" t="s">
        <v>158</v>
      </c>
      <c r="C1" s="4" t="s">
        <v>0</v>
      </c>
      <c r="D1" s="5" t="s">
        <v>159</v>
      </c>
      <c r="E1" s="5" t="s">
        <v>159</v>
      </c>
      <c r="G1" s="6" t="s">
        <v>0</v>
      </c>
      <c r="H1" s="4"/>
    </row>
    <row r="2" spans="1:9" s="2" customFormat="1" ht="15" hidden="1">
      <c r="A2" s="3"/>
      <c r="B2" s="4" t="s">
        <v>1</v>
      </c>
      <c r="C2" s="2" t="s">
        <v>3</v>
      </c>
      <c r="D2" s="2" t="s">
        <v>2</v>
      </c>
      <c r="E2" s="2"/>
      <c r="F2" s="2"/>
      <c r="G2" s="6"/>
      <c r="H2" s="2"/>
      <c r="I2" s="2"/>
    </row>
    <row r="3" spans="1:9" s="4" customFormat="1" ht="15" hidden="1">
      <c r="A3" s="7"/>
      <c r="B3" s="4" t="s">
        <v>7</v>
      </c>
      <c r="C3" s="4" t="s">
        <v>7</v>
      </c>
      <c r="D3" s="4"/>
      <c r="E3" s="4"/>
      <c r="F3" s="4"/>
      <c r="G3" s="8"/>
      <c r="H3" s="9"/>
      <c r="I3" s="4"/>
    </row>
    <row r="4" spans="1:7" s="2" customFormat="1" ht="15" hidden="1">
      <c r="A4" s="10" t="s">
        <v>8</v>
      </c>
      <c r="B4" s="11" t="s">
        <v>9</v>
      </c>
      <c r="C4" s="12"/>
      <c r="D4" s="13"/>
      <c r="G4" s="6"/>
    </row>
    <row r="5" spans="1:7" s="2" customFormat="1" ht="15" hidden="1">
      <c r="A5" s="14" t="s">
        <v>10</v>
      </c>
      <c r="B5" s="15" t="s">
        <v>11</v>
      </c>
      <c r="D5" s="13"/>
      <c r="G5" s="6"/>
    </row>
    <row r="6" spans="1:8" ht="15.75">
      <c r="A6" s="4" t="s">
        <v>12</v>
      </c>
      <c r="B6" s="16" t="s">
        <v>13</v>
      </c>
      <c r="C6" s="16"/>
      <c r="D6" s="16"/>
      <c r="E6" s="17"/>
      <c r="F6" s="18"/>
      <c r="G6" s="19"/>
      <c r="H6" s="1"/>
    </row>
    <row r="7" spans="1:8" ht="15.75">
      <c r="A7" s="4"/>
      <c r="B7" s="20" t="s">
        <v>4</v>
      </c>
      <c r="C7" s="20"/>
      <c r="D7" s="21"/>
      <c r="E7" s="22"/>
      <c r="F7" s="18"/>
      <c r="G7" s="23"/>
      <c r="H7" s="1"/>
    </row>
    <row r="8" spans="1:8" ht="16.5">
      <c r="A8" s="4"/>
      <c r="B8" s="20"/>
      <c r="C8" s="20"/>
      <c r="D8" s="21"/>
      <c r="E8" s="22"/>
      <c r="F8" s="18"/>
      <c r="G8" s="23"/>
      <c r="H8" s="1"/>
    </row>
    <row r="9" spans="1:8" ht="16.5">
      <c r="A9" s="4"/>
      <c r="B9" s="24" t="s">
        <v>6</v>
      </c>
      <c r="C9" s="25"/>
      <c r="D9" s="26" t="s">
        <v>14</v>
      </c>
      <c r="E9" s="22"/>
      <c r="F9" s="18"/>
      <c r="G9" s="23"/>
      <c r="H9" s="1"/>
    </row>
    <row r="10" spans="1:8" s="27" customFormat="1" ht="15">
      <c r="A10" s="28"/>
      <c r="B10" s="29"/>
      <c r="C10" s="29"/>
      <c r="D10" s="29"/>
      <c r="E10" s="17"/>
      <c r="F10" s="17"/>
      <c r="G10" s="17"/>
      <c r="H10" s="27"/>
    </row>
    <row r="11" spans="1:8" s="27" customFormat="1" ht="15">
      <c r="A11" s="28"/>
      <c r="B11" s="30"/>
      <c r="C11" s="30"/>
      <c r="D11" s="30"/>
      <c r="E11" s="17"/>
      <c r="F11" s="17"/>
      <c r="G11" s="17"/>
      <c r="H11" s="27"/>
    </row>
    <row r="12" spans="1:8" ht="15">
      <c r="A12" s="4"/>
      <c r="B12" s="30"/>
      <c r="C12" s="30"/>
      <c r="D12" s="30" t="s">
        <v>5</v>
      </c>
      <c r="E12" s="17"/>
      <c r="F12" s="17"/>
      <c r="G12" s="17"/>
      <c r="H12" s="1"/>
    </row>
    <row r="13" spans="1:8" ht="15">
      <c r="A13" s="4"/>
      <c r="B13" s="1"/>
      <c r="C13" s="1"/>
      <c r="D13" s="69"/>
      <c r="E13" s="18"/>
      <c r="F13" s="18"/>
      <c r="G13" s="23"/>
      <c r="H13" s="1"/>
    </row>
    <row r="14" spans="1:8" ht="15">
      <c r="A14" s="4"/>
      <c r="B14" s="31" t="s">
        <v>15</v>
      </c>
      <c r="C14" s="32"/>
      <c r="D14" s="32"/>
      <c r="E14" s="18"/>
      <c r="F14" s="18"/>
      <c r="G14" s="23"/>
      <c r="H14" s="1"/>
    </row>
    <row r="15" spans="1:8" ht="15">
      <c r="A15" s="33" t="s">
        <v>16</v>
      </c>
      <c r="B15" s="32" t="s">
        <v>17</v>
      </c>
      <c r="C15" s="34"/>
      <c r="D15" s="34">
        <v>11587.55</v>
      </c>
      <c r="E15" s="18"/>
      <c r="F15" s="18"/>
      <c r="G15" s="23"/>
      <c r="H15" s="35">
        <f>D15</f>
        <v>11587.55</v>
      </c>
    </row>
    <row r="16" spans="1:8" ht="15">
      <c r="A16" s="33"/>
      <c r="B16" s="31" t="s">
        <v>18</v>
      </c>
      <c r="C16" s="31"/>
      <c r="D16" s="31"/>
      <c r="E16" s="18"/>
      <c r="F16" s="18"/>
      <c r="G16" s="23"/>
      <c r="H16" s="1"/>
    </row>
    <row r="17" spans="1:8" ht="15">
      <c r="A17" s="33" t="s">
        <v>19</v>
      </c>
      <c r="B17" s="36" t="s">
        <v>160</v>
      </c>
      <c r="C17" s="37"/>
      <c r="D17" s="34">
        <v>0</v>
      </c>
      <c r="E17" s="18"/>
      <c r="F17" s="18"/>
      <c r="G17" s="23"/>
      <c r="H17" s="35">
        <f>D17</f>
        <v>0</v>
      </c>
    </row>
    <row r="18" spans="1:8" ht="15">
      <c r="A18" s="38"/>
      <c r="B18" s="31" t="s">
        <v>20</v>
      </c>
      <c r="C18" s="37"/>
      <c r="D18" s="34"/>
      <c r="E18" s="39"/>
      <c r="F18" s="39"/>
      <c r="G18" s="23"/>
      <c r="H18" s="40"/>
    </row>
    <row r="19" spans="1:8" ht="15">
      <c r="A19" s="4" t="s">
        <v>21</v>
      </c>
      <c r="B19" s="41" t="s">
        <v>22</v>
      </c>
      <c r="C19" s="37">
        <v>6239.62</v>
      </c>
      <c r="D19" s="34"/>
      <c r="E19" s="18"/>
      <c r="F19" s="18"/>
      <c r="G19" s="23"/>
      <c r="H19" s="35">
        <f>C19</f>
        <v>6239.62</v>
      </c>
    </row>
    <row r="20" spans="1:8" ht="15">
      <c r="A20" s="4" t="s">
        <v>23</v>
      </c>
      <c r="B20" s="41" t="s">
        <v>24</v>
      </c>
      <c r="C20" s="37">
        <v>4793.94</v>
      </c>
      <c r="D20" s="34"/>
      <c r="E20" s="18"/>
      <c r="F20" s="18"/>
      <c r="G20" s="23"/>
      <c r="H20" s="35">
        <f>C20</f>
        <v>4793.94</v>
      </c>
    </row>
    <row r="21" spans="1:8" ht="15">
      <c r="A21" s="4" t="s">
        <v>25</v>
      </c>
      <c r="B21" s="41" t="s">
        <v>26</v>
      </c>
      <c r="C21" s="37">
        <v>-1880.46</v>
      </c>
      <c r="D21" s="34"/>
      <c r="E21" s="18"/>
      <c r="F21" s="18"/>
      <c r="G21" s="23"/>
      <c r="H21" s="35">
        <f>C21</f>
        <v>-1880.46</v>
      </c>
    </row>
    <row r="22" spans="1:8" ht="15">
      <c r="A22" s="4" t="s">
        <v>27</v>
      </c>
      <c r="B22" s="41" t="s">
        <v>28</v>
      </c>
      <c r="C22" s="37">
        <v>0</v>
      </c>
      <c r="D22" s="34"/>
      <c r="E22" s="18"/>
      <c r="F22" s="18"/>
      <c r="G22" s="23"/>
      <c r="H22" s="35">
        <f>C22</f>
        <v>0</v>
      </c>
    </row>
    <row r="23" spans="1:8" ht="15">
      <c r="A23" s="4" t="s">
        <v>29</v>
      </c>
      <c r="B23" s="41" t="s">
        <v>30</v>
      </c>
      <c r="C23" s="37">
        <v>0</v>
      </c>
      <c r="D23" s="34"/>
      <c r="E23" s="39"/>
      <c r="F23" s="39"/>
      <c r="G23" s="23"/>
      <c r="H23" s="35">
        <f>C23</f>
        <v>0</v>
      </c>
    </row>
    <row r="24" spans="1:8" ht="15">
      <c r="A24" s="4" t="s">
        <v>31</v>
      </c>
      <c r="B24" s="41" t="s">
        <v>32</v>
      </c>
      <c r="C24" s="37">
        <v>0</v>
      </c>
      <c r="D24" s="34"/>
      <c r="E24" s="18"/>
      <c r="F24" s="18"/>
      <c r="G24" s="23"/>
      <c r="H24" s="35">
        <f>C24</f>
        <v>0</v>
      </c>
    </row>
    <row r="25" spans="1:8" ht="15">
      <c r="A25" s="4" t="s">
        <v>33</v>
      </c>
      <c r="B25" s="41" t="s">
        <v>34</v>
      </c>
      <c r="C25" s="37">
        <v>18083.82</v>
      </c>
      <c r="D25" s="34"/>
      <c r="E25" s="18"/>
      <c r="F25" s="18"/>
      <c r="G25" s="23"/>
      <c r="H25" s="35">
        <f>C25</f>
        <v>18083.82</v>
      </c>
    </row>
    <row r="26" spans="1:8" ht="15">
      <c r="A26" s="4" t="s">
        <v>35</v>
      </c>
      <c r="B26" s="41" t="s">
        <v>36</v>
      </c>
      <c r="C26" s="37">
        <v>0</v>
      </c>
      <c r="D26" s="34"/>
      <c r="E26" s="18"/>
      <c r="F26" s="18"/>
      <c r="G26" s="23"/>
      <c r="H26" s="35">
        <f>C26</f>
        <v>0</v>
      </c>
    </row>
    <row r="27" spans="1:8" ht="15">
      <c r="A27" s="4" t="s">
        <v>37</v>
      </c>
      <c r="B27" s="41" t="s">
        <v>38</v>
      </c>
      <c r="C27" s="37">
        <v>0</v>
      </c>
      <c r="D27" s="34"/>
      <c r="E27" s="39"/>
      <c r="F27" s="18"/>
      <c r="G27" s="23"/>
      <c r="H27" s="35">
        <f>C27</f>
        <v>0</v>
      </c>
    </row>
    <row r="28" spans="1:8" ht="15">
      <c r="A28" s="4" t="s">
        <v>39</v>
      </c>
      <c r="B28" s="41" t="s">
        <v>40</v>
      </c>
      <c r="C28" s="37">
        <v>81674.82</v>
      </c>
      <c r="D28" s="34"/>
      <c r="E28" s="18"/>
      <c r="F28" s="18"/>
      <c r="G28" s="23"/>
      <c r="H28" s="35">
        <f>C28</f>
        <v>81674.82</v>
      </c>
    </row>
    <row r="29" spans="1:8" ht="15">
      <c r="A29" s="4" t="s">
        <v>41</v>
      </c>
      <c r="B29" s="41" t="s">
        <v>42</v>
      </c>
      <c r="C29" s="37">
        <v>0</v>
      </c>
      <c r="D29" s="34"/>
      <c r="E29" s="18"/>
      <c r="F29" s="18"/>
      <c r="G29" s="23"/>
      <c r="H29" s="35">
        <f>C29</f>
        <v>0</v>
      </c>
    </row>
    <row r="30" spans="1:8" ht="15">
      <c r="A30" s="4" t="s">
        <v>43</v>
      </c>
      <c r="B30" s="41" t="s">
        <v>42</v>
      </c>
      <c r="C30" s="37">
        <v>-2662.54</v>
      </c>
      <c r="D30" s="34"/>
      <c r="E30" s="39"/>
      <c r="F30" s="39"/>
      <c r="G30" s="23"/>
      <c r="H30" s="35">
        <f>C30</f>
        <v>-2662.54</v>
      </c>
    </row>
    <row r="31" spans="1:8" ht="15">
      <c r="A31" s="4" t="s">
        <v>44</v>
      </c>
      <c r="B31" s="41" t="s">
        <v>45</v>
      </c>
      <c r="C31" s="37">
        <v>0</v>
      </c>
      <c r="D31" s="34"/>
      <c r="E31" s="18"/>
      <c r="F31" s="18"/>
      <c r="G31" s="23"/>
      <c r="H31" s="35">
        <f>C31</f>
        <v>0</v>
      </c>
    </row>
    <row r="32" spans="1:8" ht="15">
      <c r="A32" s="4" t="s">
        <v>46</v>
      </c>
      <c r="B32" s="41" t="s">
        <v>47</v>
      </c>
      <c r="C32" s="37">
        <v>0</v>
      </c>
      <c r="D32" s="34"/>
      <c r="E32" s="18"/>
      <c r="F32" s="18"/>
      <c r="G32" s="23"/>
      <c r="H32" s="35">
        <f>C32</f>
        <v>0</v>
      </c>
    </row>
    <row r="33" spans="1:8" ht="15">
      <c r="A33" s="4" t="s">
        <v>48</v>
      </c>
      <c r="B33" s="41" t="s">
        <v>49</v>
      </c>
      <c r="C33" s="37">
        <v>0</v>
      </c>
      <c r="D33" s="34"/>
      <c r="E33" s="18"/>
      <c r="F33" s="18"/>
      <c r="G33" s="23"/>
      <c r="H33" s="35">
        <f>C33</f>
        <v>0</v>
      </c>
    </row>
    <row r="34" spans="1:8" ht="15">
      <c r="A34" s="4" t="s">
        <v>50</v>
      </c>
      <c r="B34" s="41" t="s">
        <v>51</v>
      </c>
      <c r="C34" s="37">
        <v>0</v>
      </c>
      <c r="D34" s="34"/>
      <c r="E34" s="18"/>
      <c r="F34" s="18"/>
      <c r="G34" s="23"/>
      <c r="H34" s="35">
        <f>C34</f>
        <v>0</v>
      </c>
    </row>
    <row r="35" spans="1:8" ht="15">
      <c r="A35" s="4" t="s">
        <v>52</v>
      </c>
      <c r="B35" s="41" t="s">
        <v>53</v>
      </c>
      <c r="C35" s="37">
        <v>690</v>
      </c>
      <c r="D35" s="34"/>
      <c r="E35" s="18"/>
      <c r="F35" s="18"/>
      <c r="G35" s="23"/>
      <c r="H35" s="35">
        <f>C35</f>
        <v>690</v>
      </c>
    </row>
    <row r="36" spans="1:8" ht="15">
      <c r="A36" s="4" t="s">
        <v>54</v>
      </c>
      <c r="B36" s="41" t="s">
        <v>53</v>
      </c>
      <c r="C36" s="37">
        <v>0</v>
      </c>
      <c r="D36" s="34"/>
      <c r="E36" s="39"/>
      <c r="F36" s="39"/>
      <c r="G36" s="23"/>
      <c r="H36" s="35">
        <f>C36</f>
        <v>0</v>
      </c>
    </row>
    <row r="37" spans="1:8" ht="15">
      <c r="A37" s="4" t="s">
        <v>55</v>
      </c>
      <c r="B37" s="41" t="s">
        <v>56</v>
      </c>
      <c r="C37" s="37">
        <v>0</v>
      </c>
      <c r="D37" s="34"/>
      <c r="E37" s="18"/>
      <c r="F37" s="18"/>
      <c r="G37" s="23"/>
      <c r="H37" s="35">
        <f>C37</f>
        <v>0</v>
      </c>
    </row>
    <row r="38" spans="1:8" ht="15">
      <c r="A38" s="4" t="s">
        <v>57</v>
      </c>
      <c r="B38" s="41" t="s">
        <v>58</v>
      </c>
      <c r="C38" s="37">
        <v>-113984.34</v>
      </c>
      <c r="D38" s="34"/>
      <c r="E38" s="18"/>
      <c r="F38" s="18"/>
      <c r="G38" s="23"/>
      <c r="H38" s="35">
        <f>C38</f>
        <v>-113984.34</v>
      </c>
    </row>
    <row r="39" spans="1:8" ht="15">
      <c r="A39" s="4" t="s">
        <v>59</v>
      </c>
      <c r="B39" s="41" t="s">
        <v>60</v>
      </c>
      <c r="C39" s="42">
        <v>0</v>
      </c>
      <c r="D39" s="43"/>
      <c r="E39" s="18"/>
      <c r="F39" s="18"/>
      <c r="G39" s="23"/>
      <c r="H39" s="35">
        <f>C39</f>
        <v>0</v>
      </c>
    </row>
    <row r="40" spans="1:8" ht="15">
      <c r="A40" s="4"/>
      <c r="B40" s="31" t="s">
        <v>61</v>
      </c>
      <c r="C40" s="42"/>
      <c r="D40" s="44">
        <f>SUM(C19:C39)</f>
        <v>-7045.13999999998</v>
      </c>
      <c r="E40" s="18"/>
      <c r="F40" s="18"/>
      <c r="G40" s="23"/>
      <c r="H40" s="35"/>
    </row>
    <row r="41" spans="1:8" s="45" customFormat="1" ht="15">
      <c r="A41" s="46"/>
      <c r="B41" s="31"/>
      <c r="C41" s="42"/>
      <c r="D41" s="44"/>
      <c r="E41" s="18"/>
      <c r="F41" s="18"/>
      <c r="G41" s="23"/>
      <c r="H41" s="47"/>
    </row>
    <row r="42" spans="1:8" ht="15">
      <c r="A42" s="33"/>
      <c r="B42" s="31" t="s">
        <v>62</v>
      </c>
      <c r="C42" s="37"/>
      <c r="D42" s="34"/>
      <c r="E42" s="18"/>
      <c r="F42" s="18"/>
      <c r="G42" s="23"/>
      <c r="H42" s="1"/>
    </row>
    <row r="43" spans="1:8" ht="15">
      <c r="A43" s="4" t="s">
        <v>63</v>
      </c>
      <c r="B43" s="41" t="s">
        <v>64</v>
      </c>
      <c r="C43" s="42">
        <v>-7945.71</v>
      </c>
      <c r="D43" s="34"/>
      <c r="E43" s="39"/>
      <c r="F43" s="39"/>
      <c r="G43" s="23"/>
      <c r="H43" s="35">
        <f>C43</f>
        <v>-7945.71</v>
      </c>
    </row>
    <row r="44" spans="1:8" ht="15">
      <c r="A44" s="4" t="s">
        <v>65</v>
      </c>
      <c r="B44" s="41" t="s">
        <v>66</v>
      </c>
      <c r="C44" s="42">
        <v>0</v>
      </c>
      <c r="D44" s="34"/>
      <c r="E44" s="18"/>
      <c r="F44" s="18"/>
      <c r="G44" s="23"/>
      <c r="H44" s="35">
        <f>C44</f>
        <v>0</v>
      </c>
    </row>
    <row r="45" spans="1:8" ht="15">
      <c r="A45" s="4" t="s">
        <v>67</v>
      </c>
      <c r="B45" s="41" t="s">
        <v>68</v>
      </c>
      <c r="C45" s="42">
        <v>28.26</v>
      </c>
      <c r="D45" s="34"/>
      <c r="E45" s="18"/>
      <c r="F45" s="18"/>
      <c r="G45" s="23"/>
      <c r="H45" s="35">
        <f>C45</f>
        <v>28.26</v>
      </c>
    </row>
    <row r="46" spans="1:8" ht="15">
      <c r="A46" s="4" t="s">
        <v>69</v>
      </c>
      <c r="B46" s="41" t="s">
        <v>70</v>
      </c>
      <c r="C46" s="42">
        <v>0</v>
      </c>
      <c r="D46" s="34"/>
      <c r="E46" s="39"/>
      <c r="F46" s="18"/>
      <c r="G46" s="23"/>
      <c r="H46" s="35">
        <f>C46</f>
        <v>0</v>
      </c>
    </row>
    <row r="47" spans="1:8" ht="15">
      <c r="A47" s="4" t="s">
        <v>71</v>
      </c>
      <c r="B47" s="41" t="s">
        <v>0</v>
      </c>
      <c r="C47" s="42">
        <v>0</v>
      </c>
      <c r="D47" s="34"/>
      <c r="E47" s="39"/>
      <c r="F47" s="18"/>
      <c r="G47" s="23"/>
      <c r="H47" s="35">
        <f>C47</f>
        <v>0</v>
      </c>
    </row>
    <row r="48" spans="1:8" ht="15">
      <c r="A48" s="4" t="s">
        <v>72</v>
      </c>
      <c r="B48" s="41" t="s">
        <v>73</v>
      </c>
      <c r="C48" s="42">
        <v>0</v>
      </c>
      <c r="D48" s="34"/>
      <c r="E48" s="39"/>
      <c r="F48" s="18"/>
      <c r="G48" s="23"/>
      <c r="H48" s="35">
        <f>C48</f>
        <v>0</v>
      </c>
    </row>
    <row r="49" spans="1:8" ht="15">
      <c r="A49" s="4" t="s">
        <v>74</v>
      </c>
      <c r="B49" s="41" t="s">
        <v>75</v>
      </c>
      <c r="C49" s="42">
        <v>0</v>
      </c>
      <c r="D49" s="34"/>
      <c r="E49" s="39"/>
      <c r="F49" s="18"/>
      <c r="G49" s="23"/>
      <c r="H49" s="35">
        <f>C49</f>
        <v>0</v>
      </c>
    </row>
    <row r="50" spans="1:8" ht="15">
      <c r="A50" s="4" t="s">
        <v>76</v>
      </c>
      <c r="B50" s="41" t="s">
        <v>77</v>
      </c>
      <c r="C50" s="42">
        <v>-57749.26</v>
      </c>
      <c r="D50" s="34"/>
      <c r="E50" s="18"/>
      <c r="F50" s="18"/>
      <c r="G50" s="23"/>
      <c r="H50" s="35">
        <f>C50</f>
        <v>-57749.26</v>
      </c>
    </row>
    <row r="51" spans="1:8" ht="15">
      <c r="A51" s="4" t="s">
        <v>78</v>
      </c>
      <c r="B51" s="41" t="s">
        <v>79</v>
      </c>
      <c r="C51" s="42">
        <v>2475.85</v>
      </c>
      <c r="D51" s="34"/>
      <c r="E51" s="39"/>
      <c r="F51" s="18"/>
      <c r="G51" s="23"/>
      <c r="H51" s="35">
        <f>C51</f>
        <v>2475.85</v>
      </c>
    </row>
    <row r="52" spans="1:8" ht="15">
      <c r="A52" s="4" t="s">
        <v>80</v>
      </c>
      <c r="B52" s="41" t="s">
        <v>81</v>
      </c>
      <c r="C52" s="42">
        <v>-13378.19</v>
      </c>
      <c r="D52" s="34"/>
      <c r="E52" s="39"/>
      <c r="F52" s="18"/>
      <c r="G52" s="23"/>
      <c r="H52" s="35">
        <f>C52</f>
        <v>-13378.19</v>
      </c>
    </row>
    <row r="53" spans="1:8" ht="15">
      <c r="A53" s="4" t="s">
        <v>82</v>
      </c>
      <c r="B53" s="41" t="s">
        <v>83</v>
      </c>
      <c r="C53" s="42">
        <v>9146.94</v>
      </c>
      <c r="D53" s="34"/>
      <c r="E53" s="39"/>
      <c r="F53" s="39"/>
      <c r="G53" s="23"/>
      <c r="H53" s="35">
        <f>C53</f>
        <v>9146.94</v>
      </c>
    </row>
    <row r="54" spans="1:8" ht="15">
      <c r="A54" s="4" t="s">
        <v>84</v>
      </c>
      <c r="B54" s="41" t="s">
        <v>85</v>
      </c>
      <c r="C54" s="42">
        <v>0</v>
      </c>
      <c r="D54" s="34"/>
      <c r="E54" s="18"/>
      <c r="F54" s="18"/>
      <c r="G54" s="23"/>
      <c r="H54" s="35">
        <f>C54</f>
        <v>0</v>
      </c>
    </row>
    <row r="55" spans="1:8" ht="15">
      <c r="A55" s="4" t="s">
        <v>86</v>
      </c>
      <c r="B55" s="41" t="s">
        <v>87</v>
      </c>
      <c r="C55" s="42">
        <v>-1504.43</v>
      </c>
      <c r="D55" s="34"/>
      <c r="E55" s="18"/>
      <c r="F55" s="18"/>
      <c r="G55" s="23"/>
      <c r="H55" s="35">
        <f>C55</f>
        <v>-1504.43</v>
      </c>
    </row>
    <row r="56" spans="1:8" ht="15">
      <c r="A56" s="4" t="s">
        <v>88</v>
      </c>
      <c r="B56" s="41" t="s">
        <v>89</v>
      </c>
      <c r="C56" s="42">
        <v>0</v>
      </c>
      <c r="D56" s="34"/>
      <c r="E56" s="18"/>
      <c r="F56" s="18"/>
      <c r="G56" s="23"/>
      <c r="H56" s="35">
        <f>C56</f>
        <v>0</v>
      </c>
    </row>
    <row r="57" spans="1:8" ht="15">
      <c r="A57" s="4" t="s">
        <v>90</v>
      </c>
      <c r="B57" s="41" t="s">
        <v>91</v>
      </c>
      <c r="C57" s="42">
        <v>0</v>
      </c>
      <c r="D57" s="34"/>
      <c r="E57" s="39"/>
      <c r="F57" s="18"/>
      <c r="G57" s="23"/>
      <c r="H57" s="35">
        <f>C57</f>
        <v>0</v>
      </c>
    </row>
    <row r="58" spans="1:8" ht="15">
      <c r="A58" s="4" t="s">
        <v>92</v>
      </c>
      <c r="B58" s="41" t="s">
        <v>93</v>
      </c>
      <c r="C58" s="42">
        <v>0</v>
      </c>
      <c r="D58" s="34"/>
      <c r="E58" s="39"/>
      <c r="F58" s="39"/>
      <c r="G58" s="23"/>
      <c r="H58" s="35">
        <f>C58</f>
        <v>0</v>
      </c>
    </row>
    <row r="59" spans="1:8" ht="15">
      <c r="A59" s="4" t="s">
        <v>94</v>
      </c>
      <c r="B59" s="41" t="s">
        <v>95</v>
      </c>
      <c r="C59" s="42">
        <v>0</v>
      </c>
      <c r="D59" s="34"/>
      <c r="E59" s="18"/>
      <c r="F59" s="18"/>
      <c r="G59" s="23"/>
      <c r="H59" s="35">
        <f>C59</f>
        <v>0</v>
      </c>
    </row>
    <row r="60" spans="1:8" ht="15">
      <c r="A60" s="4" t="s">
        <v>96</v>
      </c>
      <c r="B60" s="41" t="s">
        <v>97</v>
      </c>
      <c r="C60" s="42">
        <v>0</v>
      </c>
      <c r="D60" s="34"/>
      <c r="E60" s="18"/>
      <c r="F60" s="18"/>
      <c r="G60" s="23"/>
      <c r="H60" s="35">
        <f>C60</f>
        <v>0</v>
      </c>
    </row>
    <row r="61" spans="1:8" ht="15">
      <c r="A61" s="4" t="s">
        <v>98</v>
      </c>
      <c r="B61" s="41" t="s">
        <v>99</v>
      </c>
      <c r="C61" s="42">
        <v>0</v>
      </c>
      <c r="D61" s="34"/>
      <c r="E61" s="18"/>
      <c r="F61" s="18"/>
      <c r="G61" s="23"/>
      <c r="H61" s="35">
        <f>C61</f>
        <v>0</v>
      </c>
    </row>
    <row r="62" spans="1:8" ht="15">
      <c r="A62" s="4" t="s">
        <v>100</v>
      </c>
      <c r="B62" s="41" t="s">
        <v>101</v>
      </c>
      <c r="C62" s="42">
        <v>-6806.75</v>
      </c>
      <c r="D62" s="34"/>
      <c r="E62" s="18"/>
      <c r="F62" s="18"/>
      <c r="G62" s="23"/>
      <c r="H62" s="35">
        <f>C62</f>
        <v>-6806.75</v>
      </c>
    </row>
    <row r="63" spans="1:8" ht="15">
      <c r="A63" s="4" t="s">
        <v>102</v>
      </c>
      <c r="B63" s="41" t="s">
        <v>103</v>
      </c>
      <c r="C63" s="42">
        <v>-690</v>
      </c>
      <c r="D63" s="34"/>
      <c r="E63" s="18"/>
      <c r="F63" s="18"/>
      <c r="G63" s="23"/>
      <c r="H63" s="35">
        <f>C63</f>
        <v>-690</v>
      </c>
    </row>
    <row r="64" spans="1:8" ht="15">
      <c r="A64" s="4" t="s">
        <v>104</v>
      </c>
      <c r="B64" s="41" t="s">
        <v>105</v>
      </c>
      <c r="C64" s="42">
        <v>0</v>
      </c>
      <c r="D64" s="34"/>
      <c r="E64" s="39"/>
      <c r="F64" s="39"/>
      <c r="G64" s="23"/>
      <c r="H64" s="35">
        <f>C64</f>
        <v>0</v>
      </c>
    </row>
    <row r="65" spans="1:8" ht="15">
      <c r="A65" s="4" t="s">
        <v>106</v>
      </c>
      <c r="B65" s="41" t="s">
        <v>107</v>
      </c>
      <c r="C65" s="42">
        <v>0</v>
      </c>
      <c r="D65" s="45"/>
      <c r="E65" s="18"/>
      <c r="F65" s="18"/>
      <c r="G65" s="23"/>
      <c r="H65" s="35">
        <f>C65</f>
        <v>0</v>
      </c>
    </row>
    <row r="66" spans="1:8" ht="15">
      <c r="A66" s="4"/>
      <c r="B66" s="31" t="s">
        <v>108</v>
      </c>
      <c r="C66" s="42"/>
      <c r="D66" s="44">
        <f>SUM(C43:C65)</f>
        <v>-76423.29</v>
      </c>
      <c r="E66" s="18"/>
      <c r="F66" s="18"/>
      <c r="G66" s="23"/>
      <c r="H66" s="35">
        <f>D66</f>
        <v>-76423.29</v>
      </c>
    </row>
    <row r="67" spans="1:8" s="45" customFormat="1" ht="15">
      <c r="A67" s="46"/>
      <c r="B67" s="36"/>
      <c r="C67" s="42"/>
      <c r="D67" s="44"/>
      <c r="E67" s="18"/>
      <c r="F67" s="18"/>
      <c r="G67" s="23"/>
      <c r="H67" s="45"/>
    </row>
    <row r="68" spans="1:8" ht="15">
      <c r="A68" s="4"/>
      <c r="B68" s="31" t="s">
        <v>109</v>
      </c>
      <c r="C68" s="42"/>
      <c r="D68" s="48">
        <f>SUM(D15:D67)</f>
        <v>-71880.88</v>
      </c>
      <c r="E68" s="39"/>
      <c r="F68" s="39"/>
      <c r="G68" s="23"/>
      <c r="H68" s="35">
        <f>D68</f>
        <v>-71880.88</v>
      </c>
    </row>
    <row r="69" spans="1:8" s="45" customFormat="1" ht="15">
      <c r="A69" s="46"/>
      <c r="B69" s="36"/>
      <c r="C69" s="42"/>
      <c r="D69" s="44"/>
      <c r="E69" s="39"/>
      <c r="F69" s="39"/>
      <c r="G69" s="23"/>
      <c r="H69" s="49"/>
    </row>
    <row r="70" spans="1:8" ht="15">
      <c r="A70" s="4"/>
      <c r="B70" s="31" t="s">
        <v>110</v>
      </c>
      <c r="C70" s="37"/>
      <c r="D70" s="34"/>
      <c r="E70" s="18"/>
      <c r="F70" s="18"/>
      <c r="G70" s="23"/>
      <c r="H70" s="1"/>
    </row>
    <row r="71" spans="1:8" ht="15">
      <c r="A71" s="4" t="s">
        <v>111</v>
      </c>
      <c r="B71" s="41" t="s">
        <v>112</v>
      </c>
      <c r="C71" s="42">
        <v>0</v>
      </c>
      <c r="D71" s="44"/>
      <c r="E71" s="18"/>
      <c r="F71" s="18"/>
      <c r="G71" s="23"/>
      <c r="H71" s="35">
        <f>C71</f>
        <v>0</v>
      </c>
    </row>
    <row r="72" spans="1:8" ht="15">
      <c r="A72" s="4" t="s">
        <v>113</v>
      </c>
      <c r="B72" s="41" t="s">
        <v>114</v>
      </c>
      <c r="C72" s="42">
        <v>0</v>
      </c>
      <c r="D72" s="44"/>
      <c r="E72" s="18"/>
      <c r="F72" s="18"/>
      <c r="G72" s="23"/>
      <c r="H72" s="35">
        <f>C72</f>
        <v>0</v>
      </c>
    </row>
    <row r="73" spans="1:8" ht="15">
      <c r="A73" s="33" t="s">
        <v>115</v>
      </c>
      <c r="B73" s="41" t="s">
        <v>116</v>
      </c>
      <c r="C73" s="42">
        <v>-8476.45</v>
      </c>
      <c r="D73" s="44"/>
      <c r="E73" s="18"/>
      <c r="F73" s="18"/>
      <c r="G73" s="23"/>
      <c r="H73" s="35">
        <f>C73</f>
        <v>-8476.45</v>
      </c>
    </row>
    <row r="74" spans="1:8" ht="15">
      <c r="A74" s="33" t="s">
        <v>117</v>
      </c>
      <c r="B74" s="41" t="s">
        <v>118</v>
      </c>
      <c r="C74" s="42">
        <v>0</v>
      </c>
      <c r="D74" s="44"/>
      <c r="E74" s="18"/>
      <c r="F74" s="18"/>
      <c r="G74" s="23"/>
      <c r="H74" s="35">
        <f>C74</f>
        <v>0</v>
      </c>
    </row>
    <row r="75" spans="1:8" ht="15">
      <c r="A75" s="4" t="s">
        <v>119</v>
      </c>
      <c r="B75" s="41" t="s">
        <v>120</v>
      </c>
      <c r="C75" s="42">
        <v>0</v>
      </c>
      <c r="D75" s="44"/>
      <c r="E75" s="18"/>
      <c r="F75" s="18"/>
      <c r="G75" s="23"/>
      <c r="H75" s="35">
        <f>C75</f>
        <v>0</v>
      </c>
    </row>
    <row r="76" spans="1:8" ht="15">
      <c r="A76" s="4" t="s">
        <v>121</v>
      </c>
      <c r="B76" s="41" t="s">
        <v>122</v>
      </c>
      <c r="C76" s="42">
        <v>0</v>
      </c>
      <c r="D76" s="44"/>
      <c r="E76" s="18"/>
      <c r="F76" s="18"/>
      <c r="G76" s="23"/>
      <c r="H76" s="35">
        <f>C76</f>
        <v>0</v>
      </c>
    </row>
    <row r="77" spans="1:8" ht="15">
      <c r="A77" s="4" t="s">
        <v>123</v>
      </c>
      <c r="B77" s="41" t="s">
        <v>124</v>
      </c>
      <c r="C77" s="42">
        <v>0</v>
      </c>
      <c r="D77" s="44"/>
      <c r="E77" s="18"/>
      <c r="F77" s="18"/>
      <c r="G77" s="23"/>
      <c r="H77" s="35">
        <f>C77</f>
        <v>0</v>
      </c>
    </row>
    <row r="78" spans="1:8" ht="15">
      <c r="A78" s="4" t="s">
        <v>125</v>
      </c>
      <c r="B78" s="41" t="s">
        <v>126</v>
      </c>
      <c r="C78" s="42">
        <v>0</v>
      </c>
      <c r="D78" s="44"/>
      <c r="E78" s="18"/>
      <c r="F78" s="18"/>
      <c r="G78" s="23"/>
      <c r="H78" s="35">
        <f>C78</f>
        <v>0</v>
      </c>
    </row>
    <row r="79" spans="1:8" ht="15">
      <c r="A79" s="4"/>
      <c r="B79" s="41"/>
      <c r="C79" s="42"/>
      <c r="D79" s="50"/>
      <c r="E79" s="18"/>
      <c r="F79" s="18"/>
      <c r="G79" s="23"/>
      <c r="H79" s="35"/>
    </row>
    <row r="80" spans="1:8" ht="15">
      <c r="A80" s="4"/>
      <c r="B80" s="31" t="s">
        <v>127</v>
      </c>
      <c r="C80" s="42"/>
      <c r="D80" s="44">
        <f>SUM(C71:C78)</f>
        <v>-8476.45</v>
      </c>
      <c r="E80" s="18"/>
      <c r="F80" s="18"/>
      <c r="G80" s="23"/>
      <c r="H80" s="35">
        <f>D80</f>
        <v>-8476.45</v>
      </c>
    </row>
    <row r="81" spans="1:8" s="45" customFormat="1" ht="15">
      <c r="A81" s="46"/>
      <c r="B81" s="45"/>
      <c r="C81" s="42"/>
      <c r="D81" s="44"/>
      <c r="E81" s="18"/>
      <c r="F81" s="18"/>
      <c r="G81" s="23"/>
      <c r="H81" s="47"/>
    </row>
    <row r="82" spans="1:8" ht="15">
      <c r="A82" s="4"/>
      <c r="B82" s="36"/>
      <c r="C82" s="37"/>
      <c r="D82" s="34"/>
      <c r="E82" s="18"/>
      <c r="F82" s="18"/>
      <c r="G82" s="23"/>
      <c r="H82" s="1"/>
    </row>
    <row r="83" spans="1:8" ht="15">
      <c r="A83" s="4"/>
      <c r="B83" s="31" t="s">
        <v>128</v>
      </c>
      <c r="C83" s="37"/>
      <c r="D83" s="34"/>
      <c r="E83" s="18"/>
      <c r="F83" s="18"/>
      <c r="G83" s="23"/>
      <c r="H83" s="1"/>
    </row>
    <row r="84" spans="1:8" ht="15">
      <c r="A84" s="4" t="s">
        <v>129</v>
      </c>
      <c r="B84" s="51" t="s">
        <v>130</v>
      </c>
      <c r="C84" s="42">
        <v>0</v>
      </c>
      <c r="D84" s="34"/>
      <c r="E84" s="39"/>
      <c r="F84" s="39"/>
      <c r="G84" s="23"/>
      <c r="H84" s="35">
        <f>C84</f>
        <v>0</v>
      </c>
    </row>
    <row r="85" spans="1:8" ht="15">
      <c r="A85" s="4" t="s">
        <v>131</v>
      </c>
      <c r="B85" s="51" t="s">
        <v>132</v>
      </c>
      <c r="C85" s="42">
        <v>0</v>
      </c>
      <c r="D85" s="34"/>
      <c r="E85" s="18"/>
      <c r="F85" s="18"/>
      <c r="G85" s="23"/>
      <c r="H85" s="35">
        <f>C85</f>
        <v>0</v>
      </c>
    </row>
    <row r="86" spans="1:8" ht="15">
      <c r="A86" s="4" t="s">
        <v>133</v>
      </c>
      <c r="B86" s="51" t="s">
        <v>134</v>
      </c>
      <c r="C86" s="42">
        <v>0</v>
      </c>
      <c r="D86" s="34"/>
      <c r="E86" s="18"/>
      <c r="F86" s="18"/>
      <c r="G86" s="23"/>
      <c r="H86" s="35">
        <f>C86</f>
        <v>0</v>
      </c>
    </row>
    <row r="87" spans="1:8" ht="15">
      <c r="A87" s="4" t="s">
        <v>135</v>
      </c>
      <c r="B87" s="51" t="s">
        <v>136</v>
      </c>
      <c r="C87" s="42">
        <v>0</v>
      </c>
      <c r="D87" s="34"/>
      <c r="E87" s="18"/>
      <c r="F87" s="18"/>
      <c r="G87" s="23"/>
      <c r="H87" s="35">
        <f>C87</f>
        <v>0</v>
      </c>
    </row>
    <row r="88" spans="1:8" ht="15">
      <c r="A88" s="4" t="s">
        <v>137</v>
      </c>
      <c r="B88" s="51" t="s">
        <v>138</v>
      </c>
      <c r="C88" s="42">
        <v>0</v>
      </c>
      <c r="D88" s="34"/>
      <c r="E88" s="18"/>
      <c r="F88" s="18"/>
      <c r="G88" s="23"/>
      <c r="H88" s="35">
        <f>C88</f>
        <v>0</v>
      </c>
    </row>
    <row r="89" spans="1:8" ht="15">
      <c r="A89" s="4" t="s">
        <v>139</v>
      </c>
      <c r="B89" s="52" t="s">
        <v>140</v>
      </c>
      <c r="C89" s="42">
        <v>0</v>
      </c>
      <c r="D89" s="34"/>
      <c r="E89" s="39"/>
      <c r="F89" s="39"/>
      <c r="G89" s="23"/>
      <c r="H89" s="35">
        <f>C89</f>
        <v>0</v>
      </c>
    </row>
    <row r="90" spans="1:8" ht="15">
      <c r="A90" s="4" t="s">
        <v>141</v>
      </c>
      <c r="B90" s="52" t="s">
        <v>142</v>
      </c>
      <c r="C90" s="42">
        <v>0</v>
      </c>
      <c r="D90" s="34"/>
      <c r="E90" s="39"/>
      <c r="F90" s="39"/>
      <c r="G90" s="23"/>
      <c r="H90" s="35">
        <f>C90</f>
        <v>0</v>
      </c>
    </row>
    <row r="91" spans="1:8" ht="15">
      <c r="A91" s="4" t="s">
        <v>143</v>
      </c>
      <c r="B91" s="52" t="s">
        <v>144</v>
      </c>
      <c r="C91" s="42">
        <v>0</v>
      </c>
      <c r="D91" s="34"/>
      <c r="E91" s="39"/>
      <c r="F91" s="39"/>
      <c r="G91" s="23"/>
      <c r="H91" s="35">
        <f>C91</f>
        <v>0</v>
      </c>
    </row>
    <row r="92" spans="1:8" ht="15">
      <c r="A92" s="4" t="s">
        <v>145</v>
      </c>
      <c r="B92" s="52" t="s">
        <v>146</v>
      </c>
      <c r="C92" s="42">
        <v>0</v>
      </c>
      <c r="D92" s="34"/>
      <c r="E92" s="39"/>
      <c r="F92" s="39"/>
      <c r="G92" s="23"/>
      <c r="H92" s="35">
        <f>C92</f>
        <v>0</v>
      </c>
    </row>
    <row r="93" spans="1:8" ht="15">
      <c r="A93" s="4" t="s">
        <v>147</v>
      </c>
      <c r="B93" s="52" t="s">
        <v>148</v>
      </c>
      <c r="C93" s="42">
        <v>0</v>
      </c>
      <c r="D93" s="44"/>
      <c r="E93" s="18"/>
      <c r="F93" s="18"/>
      <c r="G93" s="23"/>
      <c r="H93" s="35">
        <f>C93</f>
        <v>0</v>
      </c>
    </row>
    <row r="94" spans="1:8" ht="15">
      <c r="A94" s="4" t="s">
        <v>149</v>
      </c>
      <c r="B94" s="52" t="s">
        <v>150</v>
      </c>
      <c r="C94" s="42">
        <v>0</v>
      </c>
      <c r="D94" s="44"/>
      <c r="E94" s="18"/>
      <c r="F94" s="18"/>
      <c r="G94" s="23"/>
      <c r="H94" s="35">
        <f>C94</f>
        <v>0</v>
      </c>
    </row>
    <row r="95" spans="1:8" ht="15">
      <c r="A95" s="4"/>
      <c r="B95" s="52"/>
      <c r="C95" s="42"/>
      <c r="D95" s="50"/>
      <c r="E95" s="18"/>
      <c r="F95" s="18"/>
      <c r="G95" s="23"/>
      <c r="H95" s="35"/>
    </row>
    <row r="96" spans="1:8" ht="15">
      <c r="A96" s="4"/>
      <c r="B96" s="31" t="s">
        <v>151</v>
      </c>
      <c r="C96" s="42"/>
      <c r="D96" s="44">
        <f>SUM(C84:C94)</f>
        <v>0</v>
      </c>
      <c r="E96" s="18"/>
      <c r="F96" s="18"/>
      <c r="G96" s="23"/>
      <c r="H96" s="35">
        <f>D96</f>
        <v>0</v>
      </c>
    </row>
    <row r="97" spans="1:8" s="45" customFormat="1" ht="15">
      <c r="A97" s="46"/>
      <c r="B97" s="36"/>
      <c r="C97" s="42"/>
      <c r="D97" s="44"/>
      <c r="E97" s="18"/>
      <c r="F97" s="18"/>
      <c r="G97" s="23"/>
      <c r="H97" s="45"/>
    </row>
    <row r="98" spans="1:8" ht="15.75">
      <c r="A98" s="4"/>
      <c r="B98" s="53" t="s">
        <v>152</v>
      </c>
      <c r="C98" s="54"/>
      <c r="D98" s="55">
        <f>SUM(+D68+D80+D96)</f>
        <v>-80357.33</v>
      </c>
      <c r="E98" s="18"/>
      <c r="F98" s="18"/>
      <c r="G98" s="23"/>
      <c r="H98" s="35">
        <f>D98</f>
        <v>-80357.33</v>
      </c>
    </row>
    <row r="99" spans="1:8" ht="15.75">
      <c r="A99" s="4"/>
      <c r="B99" s="56"/>
      <c r="C99" s="57"/>
      <c r="D99" s="57"/>
      <c r="E99" s="18"/>
      <c r="F99" s="18"/>
      <c r="G99" s="23"/>
      <c r="H99" s="1"/>
    </row>
    <row r="100" spans="1:8" ht="15">
      <c r="A100" s="4"/>
      <c r="B100" s="56"/>
      <c r="C100" s="57"/>
      <c r="D100" s="57"/>
      <c r="E100" s="18"/>
      <c r="F100" s="18"/>
      <c r="G100" s="23"/>
      <c r="H100" s="1"/>
    </row>
    <row r="101" spans="1:8" ht="15">
      <c r="A101" s="4" t="s">
        <v>153</v>
      </c>
      <c r="B101" s="58" t="s">
        <v>154</v>
      </c>
      <c r="C101" s="44"/>
      <c r="D101" s="44">
        <v>644638.92</v>
      </c>
      <c r="E101" s="39"/>
      <c r="F101" s="39"/>
      <c r="G101" s="23"/>
      <c r="H101" s="35">
        <f>D101</f>
        <v>644638.92</v>
      </c>
    </row>
    <row r="102" spans="1:8" ht="15">
      <c r="A102" s="59"/>
      <c r="B102" s="53" t="s">
        <v>152</v>
      </c>
      <c r="C102" s="60"/>
      <c r="D102" s="50">
        <f>+D103-D101</f>
        <v>-80357.3300000001</v>
      </c>
      <c r="E102" s="39"/>
      <c r="F102" s="39"/>
      <c r="G102" s="23"/>
      <c r="H102" s="40">
        <v>1</v>
      </c>
    </row>
    <row r="103" spans="1:8" ht="15">
      <c r="A103" s="4" t="s">
        <v>153</v>
      </c>
      <c r="B103" s="58" t="s">
        <v>155</v>
      </c>
      <c r="C103" s="44"/>
      <c r="D103" s="44">
        <v>564281.59</v>
      </c>
      <c r="E103" s="39"/>
      <c r="F103" s="39"/>
      <c r="G103" s="23"/>
      <c r="H103" s="35">
        <f>D103</f>
        <v>564281.59</v>
      </c>
    </row>
    <row r="104" spans="1:8" ht="15">
      <c r="A104" s="4"/>
      <c r="B104" s="58"/>
      <c r="C104" s="44"/>
      <c r="D104" s="44"/>
      <c r="E104" s="39"/>
      <c r="F104" s="39"/>
      <c r="G104" s="23"/>
      <c r="H104" s="40">
        <v>1</v>
      </c>
    </row>
    <row r="105" spans="1:8" ht="15.75">
      <c r="A105" s="59"/>
      <c r="B105" s="61"/>
      <c r="C105" s="1"/>
      <c r="D105" s="69"/>
      <c r="E105" s="39"/>
      <c r="F105" s="39"/>
      <c r="G105" s="23"/>
      <c r="H105" s="40">
        <v>1</v>
      </c>
    </row>
    <row r="106" spans="1:8" ht="15.75">
      <c r="A106" s="62"/>
      <c r="B106" s="63" t="s">
        <v>156</v>
      </c>
      <c r="C106" s="64"/>
      <c r="D106" s="65"/>
      <c r="E106" s="18"/>
      <c r="F106" s="18"/>
      <c r="G106" s="23"/>
      <c r="H106" s="40">
        <v>1</v>
      </c>
    </row>
    <row r="107" spans="1:8" ht="15">
      <c r="A107" s="4"/>
      <c r="B107" s="66" t="s">
        <v>157</v>
      </c>
      <c r="C107" s="67">
        <f>C98-C102</f>
        <v>0</v>
      </c>
      <c r="D107" s="68">
        <f>D98-D102</f>
        <v>1.01863406598568E-10</v>
      </c>
      <c r="E107" s="1"/>
      <c r="F107" s="1"/>
      <c r="G107" s="70"/>
      <c r="H107" s="40">
        <v>1</v>
      </c>
    </row>
    <row r="108" ht="15">
      <c r="A108" s="4"/>
    </row>
    <row r="109" ht="15">
      <c r="A109" s="4"/>
    </row>
    <row r="110" ht="15">
      <c r="A110" s="4"/>
    </row>
    <row r="111" ht="15">
      <c r="A111" s="4"/>
    </row>
    <row r="112" ht="15">
      <c r="A112" s="4"/>
    </row>
    <row r="113" ht="15">
      <c r="A113" s="4"/>
    </row>
  </sheetData>
  <sheetProtection/>
  <printOptions/>
  <pageMargins left="0.7" right="0.7" top="0.75" bottom="0.75" header="0.3" footer="0.3"/>
  <pageSetup horizontalDpi="600" verticalDpi="600" orientation="portrait" scale="42" r:id="rId1"/>
  <headerFooter alignWithMargins="0">
    <oddHeader>&amp;R&amp;D  &amp;T</oddHeader>
    <oddFooter>&amp;L&amp;F&amp;CBell Partners Inc.&amp;R&amp;P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A679A2-067A-4DEA-9CDD-8064795D5D98}"/>
</file>

<file path=customXml/itemProps2.xml><?xml version="1.0" encoding="utf-8"?>
<ds:datastoreItem xmlns:ds="http://schemas.openxmlformats.org/officeDocument/2006/customXml" ds:itemID="{493E9FBE-EF59-44B2-98BB-07FF8FA99655}"/>
</file>

<file path=customXml/itemProps3.xml><?xml version="1.0" encoding="utf-8"?>
<ds:datastoreItem xmlns:ds="http://schemas.openxmlformats.org/officeDocument/2006/customXml" ds:itemID="{0E481A0E-EE37-4797-B96B-ED6C26677F99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