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Z:\Shared\Sentosa\Acquired\Riverview\Financing\2026 Recap\"/>
    </mc:Choice>
  </mc:AlternateContent>
  <xr:revisionPtr revIDLastSave="0" documentId="13_ncr:1_{C10A2FFC-D939-4157-8813-A255C4F094E5}" xr6:coauthVersionLast="47" xr6:coauthVersionMax="47" xr10:uidLastSave="{00000000-0000-0000-0000-000000000000}"/>
  <bookViews>
    <workbookView xWindow="28680" yWindow="-2055" windowWidth="38640" windowHeight="21120" xr2:uid="{90D94331-7AFC-4BCB-B8D4-485434A7684D}"/>
  </bookViews>
  <sheets>
    <sheet name="Summary" sheetId="1" r:id="rId1"/>
    <sheet name="P_L" sheetId="2" r:id="rId2"/>
    <sheet name="Detail" sheetId="3" r:id="rId3"/>
    <sheet name="Cash Flow" sheetId="4" r:id="rId4"/>
    <sheet name="Sensitivity" sheetId="8" r:id="rId5"/>
    <sheet name="Waterfall (Two Tier)" sheetId="6" r:id="rId6"/>
    <sheet name="Annual Waterfall (Two Tier)" sheetId="7" r:id="rId7"/>
  </sheets>
  <definedNames>
    <definedName name="\" hidden="1">{#N/A,#N/A,FALSE,"A";#N/A,#N/A,FALSE,"C"}</definedName>
    <definedName name="\a">#N/A</definedName>
    <definedName name="\C">#REF!</definedName>
    <definedName name="\E">#REF!</definedName>
    <definedName name="\L">#REF!</definedName>
    <definedName name="\m">#N/A</definedName>
    <definedName name="\P">#REF!</definedName>
    <definedName name="\Q">#REF!</definedName>
    <definedName name="\r">#REF!</definedName>
    <definedName name="\s">#REF!</definedName>
    <definedName name="\t">#REF!</definedName>
    <definedName name="\z">#N/A</definedName>
    <definedName name="_" hidden="1">#REF!</definedName>
    <definedName name="___________del1" hidden="1">{"Page1",#N/A,FALSE,"7979";"Page2",#N/A,FALSE,"7979";"Page3",#N/A,FALSE,"7979"}</definedName>
    <definedName name="__________del1" hidden="1">{"Page1",#N/A,FALSE,"7979";"Page2",#N/A,FALSE,"7979";"Page3",#N/A,FALSE,"7979"}</definedName>
    <definedName name="_________del1" hidden="1">{"Page1",#N/A,FALSE,"7979";"Page2",#N/A,FALSE,"7979";"Page3",#N/A,FALSE,"7979"}</definedName>
    <definedName name="________del1" hidden="1">{"Page1",#N/A,FALSE,"7979";"Page2",#N/A,FALSE,"7979";"Page3",#N/A,FALSE,"7979"}</definedName>
    <definedName name="______del1" hidden="1">{"Page1",#N/A,FALSE,"7979";"Page2",#N/A,FALSE,"7979";"Page3",#N/A,FALSE,"7979"}</definedName>
    <definedName name="_____al1" hidden="1">{"sheet a",#N/A,FALSE,"A";"sheet b 1",#N/A,FALSE,"B";"sheet b 2",#N/A,FALSE,"B"}</definedName>
    <definedName name="_____HRP2" hidden="1">{"'B-2 QSER Jun 98 4-27-98 cor'!$A$1:$F$57"}</definedName>
    <definedName name="_____HRP3" hidden="1">{"'B-2 QSER Jun 98 4-27-98 cor'!$A$1:$F$57"}</definedName>
    <definedName name="____al1" hidden="1">{"sheet a",#N/A,FALSE,"A";"sheet b 1",#N/A,FALSE,"B";"sheet b 2",#N/A,FALSE,"B"}</definedName>
    <definedName name="____del1" hidden="1">{"Page1",#N/A,FALSE,"7979";"Page2",#N/A,FALSE,"7979";"Page3",#N/A,FALSE,"7979"}</definedName>
    <definedName name="____HRP2" hidden="1">{"'B-2 QSER Jun 98 4-27-98 cor'!$A$1:$F$57"}</definedName>
    <definedName name="____HRP3" hidden="1">{"'B-2 QSER Jun 98 4-27-98 cor'!$A$1:$F$57"}</definedName>
    <definedName name="___123Graph_A" hidden="1">#REF!</definedName>
    <definedName name="___al1" hidden="1">{"sheet a",#N/A,FALSE,"A";"sheet b 1",#N/A,FALSE,"B";"sheet b 2",#N/A,FALSE,"B"}</definedName>
    <definedName name="___HRP2" hidden="1">{"'B-2 QSER Jun 98 4-27-98 cor'!$A$1:$F$57"}</definedName>
    <definedName name="___HRP3" hidden="1">{"'B-2 QSER Jun 98 4-27-98 cor'!$A$1:$F$57"}</definedName>
    <definedName name="___wrn4" hidden="1">{"data",#N/A,FALSE,"INPUT"}</definedName>
    <definedName name="__1234Graph_A" hidden="1">#REF!</definedName>
    <definedName name="__123Graph_A" hidden="1">#REF!</definedName>
    <definedName name="__123Graph_AGRAPH1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AMETPLX" hidden="1">#REF!</definedName>
    <definedName name="__123Graph_LBL_ANDALLAS" hidden="1">#REF!</definedName>
    <definedName name="__123Graph_LBL_B" hidden="1">#REF!</definedName>
    <definedName name="__123Graph_LBL_BMETPLX" hidden="1">#REF!</definedName>
    <definedName name="__123Graph_LBL_BNDALLAS" hidden="1">#REF!</definedName>
    <definedName name="__123Graph_LBL_C" hidden="1">#REF!</definedName>
    <definedName name="__123Graph_LBL_CMETPLX" hidden="1">#REF!</definedName>
    <definedName name="__123Graph_LBL_CNDALLAS" hidden="1">#REF!</definedName>
    <definedName name="__123Graph_X" hidden="1">#REF!</definedName>
    <definedName name="__123Graph_XGRAPH1" hidden="1">#REF!</definedName>
    <definedName name="__al1" hidden="1">{"sheet a",#N/A,FALSE,"A";"sheet b 1",#N/A,FALSE,"B";"sheet b 2",#N/A,FALSE,"B"}</definedName>
    <definedName name="__del1" hidden="1">{"Page1",#N/A,FALSE,"7979";"Page2",#N/A,FALSE,"7979";"Page3",#N/A,FALSE,"7979"}</definedName>
    <definedName name="__FDS_HYPERLINK_TOGGLE_STATE__" hidden="1">"ON"</definedName>
    <definedName name="__FDS_UNIQUE_RANGE_ID_GENERATOR_COUNTER" hidden="1">103</definedName>
    <definedName name="__HRP2" hidden="1">{"'B-2 QSER Jun 98 4-27-98 cor'!$A$1:$F$57"}</definedName>
    <definedName name="__HRP3" hidden="1">{"'B-2 QSER Jun 98 4-27-98 cor'!$A$1:$F$57"}</definedName>
    <definedName name="__IntlFixup" hidden="1">TRUE</definedName>
    <definedName name="__IntlFixupTable" hidden="1">#REF!</definedName>
    <definedName name="__wrn4" hidden="1">{"data",#N/A,FALSE,"INPUT"}</definedName>
    <definedName name="_1">#REF!</definedName>
    <definedName name="_1__123Graph_ACHART_1" hidden="1">#REF!</definedName>
    <definedName name="_1__123Graph_ACHART_12" hidden="1">#REF!</definedName>
    <definedName name="_1__123Graph_ACHART_2" hidden="1">#N/A</definedName>
    <definedName name="_1__123Graph_ACHART_3" hidden="1">#REF!</definedName>
    <definedName name="_1__FDSAUDITLINK__" hidden="1">{"fdsup://directions/FAT Viewer?action=UPDATE&amp;creator=factset&amp;DYN_ARGS=TRUE&amp;DOC_NAME=FAT:FQL_AUDITING_CLIENT_TEMPLATE.FAT&amp;display_string=Audit&amp;VAR:KEY=ETCDEBGVWV&amp;VAR:QUERY=RkZfRU5UUlBSX1ZBTF9EQUlMWSg0MDI0MiwsLCwnVVNEJywnRElMJyk=&amp;WINDOW=FIRST_POPUP&amp;HEIGHT=45","0&amp;WIDTH=450&amp;START_MAXIMIZED=FALSE&amp;VAR:CALENDAR=US&amp;VAR:SYMBOL=B0ZSH5&amp;VAR:INDEX=0"}</definedName>
    <definedName name="_10">#REF!</definedName>
    <definedName name="_10__123Graph_ACHART_18" hidden="1">#REF!</definedName>
    <definedName name="_10__123Graph_BCHART_16" hidden="1">#REF!</definedName>
    <definedName name="_10__FDSAUDITLINK__" hidden="1">{"fdsup://directions/FAT Viewer?action=UPDATE&amp;creator=factset&amp;DYN_ARGS=TRUE&amp;DOC_NAME=FAT:FQL_AUDITING_CLIENT_TEMPLATE.FAT&amp;display_string=Audit&amp;VAR:KEY=QVOTMVOFAN&amp;VAR:QUERY=RkZfRU5UUlBSX1ZBTF9EQUlMWSg0MDI0MiwsLCwnVVNEJywnRElMJyk=&amp;WINDOW=FIRST_POPUP&amp;HEIGHT=45","0&amp;WIDTH=450&amp;START_MAXIMIZED=FALSE&amp;VAR:CALENDAR=US&amp;VAR:SYMBOL=B1H508&amp;VAR:INDEX=0"}</definedName>
    <definedName name="_100__FDSAUDITLINK__" hidden="1">{"fdsup://directions/FAT Viewer?action=UPDATE&amp;creator=factset&amp;DYN_ARGS=TRUE&amp;DOC_NAME=FAT:FQL_AUDITING_CLIENT_TEMPLATE.FAT&amp;display_string=Audit&amp;VAR:KEY=MFMZMXUPCP&amp;VAR:QUERY=RkZfRUJJVERBX0lCKCdDQUwnLDIwMDksLCwsJ1VTRCcp&amp;WINDOW=FIRST_POPUP&amp;HEIGHT=450&amp;WIDTH=450&amp;","START_MAXIMIZED=FALSE&amp;VAR:CALENDAR=US&amp;VAR:SYMBOL=332770&amp;VAR:INDEX=0"}</definedName>
    <definedName name="_101__FDSAUDITLINK__" hidden="1">{"fdsup://directions/FAT Viewer?action=UPDATE&amp;creator=factset&amp;DYN_ARGS=TRUE&amp;DOC_NAME=FAT:FQL_AUDITING_CLIENT_TEMPLATE.FAT&amp;display_string=Audit&amp;VAR:KEY=CXEHCRWFAB&amp;VAR:QUERY=RkZfRU5UUlBSX1ZBTF9EQUlMWSg0MDI0MiwsLCwnVVNEJywnRElMJyk=&amp;WINDOW=FIRST_POPUP&amp;HEIGHT=45","0&amp;WIDTH=450&amp;START_MAXIMIZED=FALSE&amp;VAR:CALENDAR=US&amp;VAR:SYMBOL=332770&amp;VAR:INDEX=0"}</definedName>
    <definedName name="_102__123Graph_XCHART_19" hidden="1">#REF!</definedName>
    <definedName name="_102__FDSAUDITLINK__" hidden="1">{"fdsup://directions/FAT Viewer?action=UPDATE&amp;creator=factset&amp;DYN_ARGS=TRUE&amp;DOC_NAME=FAT:FQL_AUDITING_CLIENT_TEMPLATE.FAT&amp;display_string=Audit&amp;VAR:KEY=SVGBOBYLCP&amp;VAR:QUERY=RkZfRUJJVERBX0lCKCdDQUwnLDIwMDksLCwsJ1VTRCcp&amp;WINDOW=FIRST_POPUP&amp;HEIGHT=450&amp;WIDTH=450&amp;","START_MAXIMIZED=FALSE&amp;VAR:CALENDAR=US&amp;VAR:SYMBOL=70454910&amp;VAR:INDEX=0"}</definedName>
    <definedName name="_105__123Graph_XCHART_22" hidden="1">#REF!</definedName>
    <definedName name="_108__123Graph_XSEG_PIE" hidden="1">#REF!</definedName>
    <definedName name="_11">#REF!</definedName>
    <definedName name="_11__123Graph_BCHART_17" hidden="1">#REF!</definedName>
    <definedName name="_11__FDSAUDITLINK__" hidden="1">{"fdsup://directions/FAT Viewer?action=UPDATE&amp;creator=factset&amp;DYN_ARGS=TRUE&amp;DOC_NAME=FAT:FQL_AUDITING_CLIENT_TEMPLATE.FAT&amp;display_string=Audit&amp;VAR:KEY=OXKBUPEVWZ&amp;VAR:QUERY=RkZfRUJJVERBX0lCKCdDQUwnLDIwMDksLCwsJ1VTRCcp&amp;WINDOW=FIRST_POPUP&amp;HEIGHT=450&amp;WIDTH=450&amp;","START_MAXIMIZED=FALSE&amp;VAR:CALENDAR=US&amp;VAR:SYMBOL=B0ZSH5&amp;VAR:INDEX=0"}</definedName>
    <definedName name="_12__123Graph_ACHART_17" hidden="1">#REF!</definedName>
    <definedName name="_12__123Graph_ACHART_19" hidden="1">#REF!</definedName>
    <definedName name="_12__123Graph_BCHART_22" hidden="1">#REF!</definedName>
    <definedName name="_12__FDSAUDITLINK__" hidden="1">{"fdsup://directions/FAT Viewer?action=UPDATE&amp;creator=factset&amp;DYN_ARGS=TRUE&amp;DOC_NAME=FAT:FQL_AUDITING_CLIENT_TEMPLATE.FAT&amp;display_string=Audit&amp;VAR:KEY=EHMBMXQHMZ&amp;VAR:QUERY=RkZfRUJJVERBX0lCKCdDQUwnLDIwMDksLCwsJ1VTRCcp&amp;WINDOW=FIRST_POPUP&amp;HEIGHT=450&amp;WIDTH=450&amp;","START_MAXIMIZED=FALSE&amp;VAR:CALENDAR=US&amp;VAR:SYMBOL=B1H508&amp;VAR:INDEX=0"}</definedName>
    <definedName name="_1234graph_x" hidden="1">#REF!</definedName>
    <definedName name="_123Graph_ACHART15" hidden="1">#REF!</definedName>
    <definedName name="_13__123Graph_CCHART_15" hidden="1">#REF!</definedName>
    <definedName name="_13__FDSAUDITLINK__" hidden="1">{"fdsup://directions/FAT Viewer?action=UPDATE&amp;creator=factset&amp;DYN_ARGS=TRUE&amp;DOC_NAME=FAT:FQL_AUDITING_CLIENT_TEMPLATE.FAT&amp;display_string=Audit&amp;VAR:KEY=ONSFQDEZIB&amp;VAR:QUERY=RkZfRUJJVERBX0lCKCdDQUwnLDIwMDksLCwsJ1VTRCcp&amp;WINDOW=FIRST_POPUP&amp;HEIGHT=450&amp;WIDTH=450&amp;","START_MAXIMIZED=FALSE&amp;VAR:CALENDAR=US&amp;VAR:SYMBOL=B1VRCG&amp;VAR:INDEX=0"}</definedName>
    <definedName name="_14__123Graph_ACHART_21" hidden="1">#REF!</definedName>
    <definedName name="_14__123Graph_CCHART_16" hidden="1">#REF!</definedName>
    <definedName name="_14__FDSAUDITLINK__" hidden="1">{"fdsup://directions/FAT Viewer?action=UPDATE&amp;creator=factset&amp;DYN_ARGS=TRUE&amp;DOC_NAME=FAT:FQL_AUDITING_CLIENT_TEMPLATE.FAT&amp;display_string=Audit&amp;VAR:KEY=KVODGPMXKV&amp;VAR:QUERY=RkZfRU5UUlBSX1ZBTF9EQUlMWSg0MDI0MiwsLCwnVVNEJywnRElMJyk=&amp;WINDOW=FIRST_POPUP&amp;HEIGHT=45","0&amp;WIDTH=450&amp;START_MAXIMIZED=FALSE&amp;VAR:CALENDAR=US&amp;VAR:SYMBOL=B1VRCG&amp;VAR:INDEX=0"}</definedName>
    <definedName name="_15__123Graph_ACHART_18" hidden="1">#REF!</definedName>
    <definedName name="_15__123Graph_CCHART_17" hidden="1">#REF!</definedName>
    <definedName name="_15__FDSAUDITLINK__" hidden="1">{"fdsup://directions/FAT Viewer?action=UPDATE&amp;creator=factset&amp;DYN_ARGS=TRUE&amp;DOC_NAME=FAT:FQL_AUDITING_CLIENT_TEMPLATE.FAT&amp;display_string=Audit&amp;VAR:KEY=QJARQRUDEH&amp;VAR:QUERY=RkZfRUJJVERBX0lCKCdDQUwnLDIwMDksLCwsJ1VTRCcp&amp;WINDOW=FIRST_POPUP&amp;HEIGHT=450&amp;WIDTH=450&amp;","START_MAXIMIZED=FALSE&amp;VAR:CALENDAR=US&amp;VAR:SYMBOL=600030&amp;VAR:INDEX=0"}</definedName>
    <definedName name="_16__123Graph_ASEG_PIE" hidden="1">#REF!</definedName>
    <definedName name="_16__123Graph_CCHART_22" hidden="1">#REF!</definedName>
    <definedName name="_16__FDSAUDITLINK__" hidden="1">{"fdsup://directions/FAT Viewer?action=UPDATE&amp;creator=factset&amp;DYN_ARGS=TRUE&amp;DOC_NAME=FAT:FQL_AUDITING_CLIENT_TEMPLATE.FAT&amp;display_string=Audit&amp;VAR:KEY=SHKZGPYRAD&amp;VAR:QUERY=RkZfRU5UUlBSX1ZBTF9EQUlMWSg0MDI0MiwsLCwnVVNEJywnRElMJyk=&amp;WINDOW=FIRST_POPUP&amp;HEIGHT=45","0&amp;WIDTH=450&amp;START_MAXIMIZED=FALSE&amp;VAR:CALENDAR=US&amp;VAR:SYMBOL=600030&amp;VAR:INDEX=0"}</definedName>
    <definedName name="_17__123Graph_CSEG_PIE" hidden="1">#REF!</definedName>
    <definedName name="_17__FDSAUDITLINK__" hidden="1">{"fdsup://directions/FAT Viewer?action=UPDATE&amp;creator=factset&amp;DYN_ARGS=TRUE&amp;DOC_NAME=FAT:FQL_AUDITING_CLIENT_TEMPLATE.FAT&amp;display_string=Audit&amp;VAR:KEY=WDEJKFYBMT&amp;VAR:QUERY=RkZfRUJJVERBX0lCKCdDQUwnLDIwMDksLCwsJ1VTRCcp&amp;WINDOW=FIRST_POPUP&amp;HEIGHT=450&amp;WIDTH=450&amp;","START_MAXIMIZED=FALSE&amp;VAR:CALENDAR=US&amp;VAR:SYMBOL=610989&amp;VAR:INDEX=0"}</definedName>
    <definedName name="_18__123Graph_ACHART_19" hidden="1">#REF!</definedName>
    <definedName name="_18__123Graph_BCHART_15" hidden="1">#REF!</definedName>
    <definedName name="_18__123Graph_DCHART_15" hidden="1">#REF!</definedName>
    <definedName name="_18__FDSAUDITLINK__" hidden="1">{"fdsup://directions/FAT Viewer?action=UPDATE&amp;creator=factset&amp;DYN_ARGS=TRUE&amp;DOC_NAME=FAT:FQL_AUDITING_CLIENT_TEMPLATE.FAT&amp;display_string=Audit&amp;VAR:KEY=SJEHMVUTUJ&amp;VAR:QUERY=RkZfRU5UUlBSX1ZBTF9EQUlMWSg0MDI0MiwsLCwnVVNEJywnRElMJyk=&amp;WINDOW=FIRST_POPUP&amp;HEIGHT=45","0&amp;WIDTH=450&amp;START_MAXIMIZED=FALSE&amp;VAR:CALENDAR=US&amp;VAR:SYMBOL=610989&amp;VAR:INDEX=0"}</definedName>
    <definedName name="_18WDCART">#N/A</definedName>
    <definedName name="_18WDFEE">#N/A</definedName>
    <definedName name="_18WECART">#N/A</definedName>
    <definedName name="_18WEFEE">#N/A</definedName>
    <definedName name="_19__123Graph_DCHART_16" hidden="1">#REF!</definedName>
    <definedName name="_19__FDSAUDITLINK__" hidden="1">{"fdsup://directions/FAT Viewer?action=UPDATE&amp;creator=factset&amp;DYN_ARGS=TRUE&amp;DOC_NAME=FAT:FQL_AUDITING_CLIENT_TEMPLATE.FAT&amp;display_string=Audit&amp;VAR:KEY=UJSFKRAFAX&amp;VAR:QUERY=RkZfRUJJVERBX0lCKCdDQUwnLDIwMDksLCwsJ1VTRCcp&amp;WINDOW=FIRST_POPUP&amp;HEIGHT=450&amp;WIDTH=450&amp;","START_MAXIMIZED=FALSE&amp;VAR:CALENDAR=US&amp;VAR:SYMBOL=672529&amp;VAR:INDEX=0"}</definedName>
    <definedName name="_1ƒ0ACwvu.Sommai" hidden="1">#REF!,#REF!,#REF!,#REF!,#REF!,#REF!</definedName>
    <definedName name="_2">#REF!</definedName>
    <definedName name="_2__123Graph_ACHART_12" hidden="1">#REF!</definedName>
    <definedName name="_2__123Graph_ACHART_15" hidden="1">#REF!</definedName>
    <definedName name="_2__123Graph_ACHART_2" hidden="1">#REF!</definedName>
    <definedName name="_2__123Graph_ACHART_4" hidden="1">#REF!</definedName>
    <definedName name="_2__123Graph_BCHART_1" hidden="1">#REF!</definedName>
    <definedName name="_2__123Graph_BCHART_2" hidden="1">#N/A</definedName>
    <definedName name="_2__FDSAUDITLINK__" hidden="1">{"fdsup://directions/FAT Viewer?action=UPDATE&amp;creator=factset&amp;DYN_ARGS=TRUE&amp;DOC_NAME=FAT:FQL_AUDITING_CLIENT_TEMPLATE.FAT&amp;display_string=Audit&amp;VAR:KEY=CTADCFEBYL&amp;VAR:QUERY=RkZfRUJJVERBX0lCKCdDQUwnLDIwMDksLCwsJ1VTRCcp&amp;WINDOW=FIRST_POPUP&amp;HEIGHT=450&amp;WIDTH=450&amp;","START_MAXIMIZED=FALSE&amp;VAR:CALENDAR=US&amp;VAR:SYMBOL=678305&amp;VAR:INDEX=0"}</definedName>
    <definedName name="_20__123Graph_BCHART_16" hidden="1">#REF!</definedName>
    <definedName name="_20__123Graph_DCHART_17" hidden="1">#REF!</definedName>
    <definedName name="_20__FDSAUDITLINK__" hidden="1">{"fdsup://directions/FAT Viewer?action=UPDATE&amp;creator=factset&amp;DYN_ARGS=TRUE&amp;DOC_NAME=FAT:FQL_AUDITING_CLIENT_TEMPLATE.FAT&amp;display_string=Audit&amp;VAR:KEY=UZSZCXIVQZ&amp;VAR:QUERY=RkZfRU5UUlBSX1ZBTF9EQUlMWSg0MDI0MiwsLCwnVVNEJywnRElMJyk=&amp;WINDOW=FIRST_POPUP&amp;HEIGHT=45","0&amp;WIDTH=450&amp;START_MAXIMIZED=FALSE&amp;VAR:CALENDAR=US&amp;VAR:SYMBOL=672529&amp;VAR:INDEX=0"}</definedName>
    <definedName name="_21__123Graph_ACHART_21" hidden="1">#REF!</definedName>
    <definedName name="_21__123Graph_DCHART_22" hidden="1">#REF!</definedName>
    <definedName name="_21__FDSAUDITLINK__" hidden="1">{"fdsup://directions/FAT Viewer?action=UPDATE&amp;creator=factset&amp;DYN_ARGS=TRUE&amp;DOC_NAME=FAT:FQL_AUDITING_CLIENT_TEMPLATE.FAT&amp;display_string=Audit&amp;VAR:KEY=MXYZWTSLEL&amp;VAR:QUERY=RkZfRUJJVERBX0lCKCdDQUwnLDIwMDksLCwsJ1VTRCcp&amp;WINDOW=FIRST_POPUP&amp;HEIGHT=450&amp;WIDTH=450&amp;","START_MAXIMIZED=FALSE&amp;VAR:CALENDAR=US&amp;VAR:SYMBOL=642539&amp;VAR:INDEX=0"}</definedName>
    <definedName name="_22__123Graph_BCHART_17" hidden="1">#REF!</definedName>
    <definedName name="_22__123Graph_ECHART_15" hidden="1">#REF!</definedName>
    <definedName name="_22__FDSAUDITLINK__" hidden="1">{"fdsup://directions/FAT Viewer?action=UPDATE&amp;creator=factset&amp;DYN_ARGS=TRUE&amp;DOC_NAME=FAT:FQL_AUDITING_CLIENT_TEMPLATE.FAT&amp;display_string=Audit&amp;VAR:KEY=MXSHIJCBUD&amp;VAR:QUERY=RkZfRU5UUlBSX1ZBTF9EQUlMWSg0MDI0MiwsLCwnVVNEJywnRElMJyk=&amp;WINDOW=FIRST_POPUP&amp;HEIGHT=45","0&amp;WIDTH=450&amp;START_MAXIMIZED=FALSE&amp;VAR:CALENDAR=US&amp;VAR:SYMBOL=642539&amp;VAR:INDEX=0"}</definedName>
    <definedName name="_23__123Graph_ECHART_16" hidden="1">#REF!</definedName>
    <definedName name="_23__FDSAUDITLINK__" hidden="1">{"fdsup://directions/FAT Viewer?action=UPDATE&amp;creator=factset&amp;DYN_ARGS=TRUE&amp;DOC_NAME=FAT:FQL_AUDITING_CLIENT_TEMPLATE.FAT&amp;display_string=Audit&amp;VAR:KEY=CXYHEJMREF&amp;VAR:QUERY=RkZfRUJJVERBX0lCKCdDQUwnLDIwMDksLCwsJ1VTRCcp&amp;WINDOW=FIRST_POPUP&amp;HEIGHT=450&amp;WIDTH=450&amp;","START_MAXIMIZED=FALSE&amp;VAR:CALENDAR=US&amp;VAR:SYMBOL=B1JNK8&amp;VAR:INDEX=0"}</definedName>
    <definedName name="_24__123Graph_ASEG_PIE" hidden="1">#REF!</definedName>
    <definedName name="_24__123Graph_BCHART_22" hidden="1">#REF!</definedName>
    <definedName name="_24__123Graph_ECHART_17" hidden="1">#REF!</definedName>
    <definedName name="_24__FDSAUDITLINK__" hidden="1">{"fdsup://directions/FAT Viewer?action=UPDATE&amp;creator=factset&amp;DYN_ARGS=TRUE&amp;DOC_NAME=FAT:FQL_AUDITING_CLIENT_TEMPLATE.FAT&amp;display_string=Audit&amp;VAR:KEY=EHIVMZAFGB&amp;VAR:QUERY=RkZfRU5UUlBSX1ZBTF9EQUlMWSg0MDI0MiwsLCwnVVNEJywnRElMJyk=&amp;WINDOW=FIRST_POPUP&amp;HEIGHT=45","0&amp;WIDTH=450&amp;START_MAXIMIZED=FALSE&amp;VAR:CALENDAR=US&amp;VAR:SYMBOL=B1JNK8&amp;VAR:INDEX=0"}</definedName>
    <definedName name="_25__123Graph_ECHART_22" hidden="1">#REF!</definedName>
    <definedName name="_25__FDSAUDITLINK__" hidden="1">{"fdsup://directions/FAT Viewer?action=UPDATE&amp;creator=factset&amp;DYN_ARGS=TRUE&amp;DOC_NAME=FAT:FQL_AUDITING_CLIENT_TEMPLATE.FAT&amp;display_string=Audit&amp;VAR:KEY=OVIVMZOVCP&amp;VAR:QUERY=RkZfRUJJVERBX0lCKCdDQUwnLDIwMDksLCwsJ1VTRCcp&amp;WINDOW=FIRST_POPUP&amp;HEIGHT=450&amp;WIDTH=450&amp;","START_MAXIMIZED=FALSE&amp;VAR:CALENDAR=US&amp;VAR:SYMBOL=B09N7M&amp;VAR:INDEX=0"}</definedName>
    <definedName name="_26__123Graph_CCHART_15" hidden="1">#REF!</definedName>
    <definedName name="_26__123Graph_FCHART_15" hidden="1">#REF!</definedName>
    <definedName name="_26__FDSAUDITLINK__" hidden="1">{"fdsup://directions/FAT Viewer?action=UPDATE&amp;creator=factset&amp;DYN_ARGS=TRUE&amp;DOC_NAME=FAT:FQL_AUDITING_CLIENT_TEMPLATE.FAT&amp;display_string=Audit&amp;VAR:KEY=MLSVYZWRCH&amp;VAR:QUERY=RkZfRU5UUlBSX1ZBTF9EQUlMWSg0MDI0MiwsLCwnVVNEJywnRElMJyk=&amp;WINDOW=FIRST_POPUP&amp;HEIGHT=45","0&amp;WIDTH=450&amp;START_MAXIMIZED=FALSE&amp;VAR:CALENDAR=US&amp;VAR:SYMBOL=B09N7M&amp;VAR:INDEX=0"}</definedName>
    <definedName name="_27__123Graph_BCHART_15" hidden="1">#REF!</definedName>
    <definedName name="_27__123Graph_FCHART_16" hidden="1">#REF!</definedName>
    <definedName name="_27__FDSAUDITLINK__" hidden="1">{"fdsup://Directions/FactSet Auditing Viewer?action=AUDIT_VALUE&amp;DB=129&amp;ID1=604348&amp;VALUEID=03426&amp;SDATE=2008&amp;PERIODTYPE=ANN_STD&amp;window=popup_no_bar&amp;width=385&amp;height=120&amp;START_MAXIMIZED=FALSE&amp;creator=factset&amp;display_string=Audit"}</definedName>
    <definedName name="_28__123Graph_CCHART_16" hidden="1">#REF!</definedName>
    <definedName name="_28__123Graph_FCHART_17" hidden="1">#REF!</definedName>
    <definedName name="_28__FDSAUDITLINK__" hidden="1">{"fdsup://directions/FAT Viewer?action=UPDATE&amp;creator=factset&amp;DYN_ARGS=TRUE&amp;DOC_NAME=FAT:FQL_AUDITING_CLIENT_TEMPLATE.FAT&amp;display_string=Audit&amp;VAR:KEY=ALIZMZKVMP&amp;VAR:QUERY=RkZfRU5UUlBSX1ZBTF9EQUlMWSg0MDI0MiwsLCwnVVNEJywnRElMJyk=&amp;WINDOW=FIRST_POPUP&amp;HEIGHT=45","0&amp;WIDTH=450&amp;START_MAXIMIZED=FALSE&amp;VAR:CALENDAR=US&amp;VAR:SYMBOL=70454910&amp;VAR:INDEX=0"}</definedName>
    <definedName name="_29__123Graph_FCHART_22" hidden="1">#REF!</definedName>
    <definedName name="_29__FDSAUDITLINK__" hidden="1">{"fdsup://directions/FAT Viewer?action=UPDATE&amp;creator=factset&amp;DYN_ARGS=TRUE&amp;DOC_NAME=FAT:FQL_AUDITING_CLIENT_TEMPLATE.FAT&amp;display_string=Audit&amp;VAR:KEY=KVIZONYBQL&amp;VAR:QUERY=RkZfRUJJVERBX0lCKCdDQUwnLDIwMDksLCwsJ1VTRCcp&amp;WINDOW=FIRST_POPUP&amp;HEIGHT=450&amp;WIDTH=450&amp;","START_MAXIMIZED=FALSE&amp;VAR:CALENDAR=US&amp;VAR:SYMBOL=01381710&amp;VAR:INDEX=0"}</definedName>
    <definedName name="_2ƒ0Swvu.Sommai" hidden="1">#REF!,#REF!,#REF!,#REF!,#REF!,#REF!</definedName>
    <definedName name="_3">#REF!</definedName>
    <definedName name="_3__123Graph_ACHART_12" hidden="1">#REF!</definedName>
    <definedName name="_3__123Graph_ACHART_16" hidden="1">#REF!</definedName>
    <definedName name="_3__123Graph_ACHART_5" hidden="1">#REF!</definedName>
    <definedName name="_3__123Graph_BCHART_1" hidden="1">#REF!</definedName>
    <definedName name="_3__123Graph_CCHART_2" hidden="1">#N/A</definedName>
    <definedName name="_3__123Graph_XCHART_1" hidden="1">#REF!</definedName>
    <definedName name="_3__FDSAUDITLINK__" hidden="1">{"fdsup://directions/FAT Viewer?action=UPDATE&amp;creator=factset&amp;DYN_ARGS=TRUE&amp;DOC_NAME=FAT:FQL_AUDITING_CLIENT_TEMPLATE.FAT&amp;display_string=Audit&amp;VAR:KEY=YFOVQTWLIJ&amp;VAR:QUERY=RkZfRU5UUlBSX1ZBTF9EQUlMWSg0MDI0MiwsLCwnVVNEJywnRElMJyk=&amp;WINDOW=FIRST_POPUP&amp;HEIGHT=45","0&amp;WIDTH=450&amp;START_MAXIMIZED=FALSE&amp;VAR:CALENDAR=US&amp;VAR:SYMBOL=678305&amp;VAR:INDEX=0"}</definedName>
    <definedName name="_30__123Graph_BCHART_16" hidden="1">#REF!</definedName>
    <definedName name="_30__123Graph_CCHART_17" hidden="1">#REF!</definedName>
    <definedName name="_30__123Graph_XCHART_15" hidden="1">#REF!</definedName>
    <definedName name="_30__FDSAUDITLINK__" hidden="1">{"fdsup://directions/FAT Viewer?action=UPDATE&amp;creator=factset&amp;DYN_ARGS=TRUE&amp;DOC_NAME=FAT:FQL_AUDITING_CLIENT_TEMPLATE.FAT&amp;display_string=Audit&amp;VAR:KEY=WDIPMPONKN&amp;VAR:QUERY=RkZfRU5UUlBSX1ZBTF9EQUlMWSg0MDI0MiwsLCwnVVNEJywnRElMJyk=&amp;WINDOW=FIRST_POPUP&amp;HEIGHT=45","0&amp;WIDTH=450&amp;START_MAXIMIZED=FALSE&amp;VAR:CALENDAR=US&amp;VAR:SYMBOL=01381710&amp;VAR:INDEX=0"}</definedName>
    <definedName name="_31__123Graph_XCHART_16" hidden="1">#REF!</definedName>
    <definedName name="_31__FDSAUDITLINK__" hidden="1">{"fdsup://directions/FAT Viewer?action=UPDATE&amp;creator=factset&amp;DYN_ARGS=TRUE&amp;DOC_NAME=FAT:FQL_AUDITING_CLIENT_TEMPLATE.FAT&amp;display_string=Audit&amp;VAR:KEY=SFSDQLCZQV&amp;VAR:QUERY=RkZfRUJJVERBX0lCKCdDQUwnLDIwMDksLCwsJ1VTRCcp&amp;WINDOW=FIRST_POPUP&amp;HEIGHT=450&amp;WIDTH=450&amp;","START_MAXIMIZED=FALSE&amp;VAR:CALENDAR=US&amp;VAR:SYMBOL=B1G426&amp;VAR:INDEX=0"}</definedName>
    <definedName name="_32__123Graph_CCHART_22" hidden="1">#REF!</definedName>
    <definedName name="_32__123Graph_XCHART_17" hidden="1">#REF!</definedName>
    <definedName name="_32__FDSAUDITLINK__" hidden="1">{"fdsup://directions/FAT Viewer?action=UPDATE&amp;creator=factset&amp;DYN_ARGS=TRUE&amp;DOC_NAME=FAT:FQL_AUDITING_CLIENT_TEMPLATE.FAT&amp;display_string=Audit&amp;VAR:KEY=MZYVMTAFUT&amp;VAR:QUERY=RkZfRU5UUlBSX1ZBTF9EQUlMWSg0MDI0MiwsLCwnVVNEJywnRElMJyk=&amp;WINDOW=FIRST_POPUP&amp;HEIGHT=45","0&amp;WIDTH=450&amp;START_MAXIMIZED=FALSE&amp;VAR:CALENDAR=US&amp;VAR:SYMBOL=B1G426&amp;VAR:INDEX=0"}</definedName>
    <definedName name="_33__123Graph_BCHART_17" hidden="1">#REF!</definedName>
    <definedName name="_33__123Graph_XCHART_18" hidden="1">#REF!</definedName>
    <definedName name="_33__FDSAUDITLINK__" hidden="1">{"fdsup://directions/FAT Viewer?action=UPDATE&amp;creator=factset&amp;DYN_ARGS=TRUE&amp;DOC_NAME=FAT:FQL_AUDITING_CLIENT_TEMPLATE.FAT&amp;display_string=Audit&amp;VAR:KEY=CLMPGRAFIV&amp;VAR:QUERY=RkZfRUJJVERBX0lCKCdDQUwnLDIwMDksLCwsJ1VTRCcp&amp;WINDOW=FIRST_POPUP&amp;HEIGHT=450&amp;WIDTH=450&amp;","START_MAXIMIZED=FALSE&amp;VAR:CALENDAR=US&amp;VAR:SYMBOL=B29BCK&amp;VAR:INDEX=0"}</definedName>
    <definedName name="_34__123Graph_CSEG_PIE" hidden="1">#REF!</definedName>
    <definedName name="_34__123Graph_XCHART_19" hidden="1">#REF!</definedName>
    <definedName name="_34__FDSAUDITLINK__" hidden="1">{"fdsup://directions/FAT Viewer?action=UPDATE&amp;creator=factset&amp;DYN_ARGS=TRUE&amp;DOC_NAME=FAT:FQL_AUDITING_CLIENT_TEMPLATE.FAT&amp;display_string=Audit&amp;VAR:KEY=ONCXUBIDAL&amp;VAR:QUERY=RkZfRU5UUlBSX1ZBTF9EQUlMWSg0MDI0MiwsLCwnVVNEJywnRElMJyk=&amp;WINDOW=FIRST_POPUP&amp;HEIGHT=45","0&amp;WIDTH=450&amp;START_MAXIMIZED=FALSE&amp;VAR:CALENDAR=US&amp;VAR:SYMBOL=B29BCK&amp;VAR:INDEX=0"}</definedName>
    <definedName name="_35__123Graph_XCHART_22" hidden="1">#REF!</definedName>
    <definedName name="_35__FDSAUDITLINK__" hidden="1">{"fdsup://directions/FAT Viewer?action=UPDATE&amp;creator=factset&amp;DYN_ARGS=TRUE&amp;DOC_NAME=FAT:FQL_AUDITING_CLIENT_TEMPLATE.FAT&amp;display_string=Audit&amp;VAR:KEY=CPINQXQDOF&amp;VAR:QUERY=RkZfRUJJVERBX0lCKCdDQUwnLDIwMDksLCwsJ1VTRCcp&amp;WINDOW=FIRST_POPUP&amp;HEIGHT=450&amp;WIDTH=450&amp;","START_MAXIMIZED=FALSE&amp;VAR:CALENDAR=US&amp;VAR:SYMBOL=B019KX&amp;VAR:INDEX=0"}</definedName>
    <definedName name="_36__123Graph_BCHART_22" hidden="1">#REF!</definedName>
    <definedName name="_36__123Graph_DCHART_15" hidden="1">#REF!</definedName>
    <definedName name="_36__123Graph_XSEG_PIE" hidden="1">#REF!</definedName>
    <definedName name="_36__FDSAUDITLINK__" hidden="1">{"fdsup://directions/FAT Viewer?action=UPDATE&amp;creator=factset&amp;DYN_ARGS=TRUE&amp;DOC_NAME=FAT:FQL_AUDITING_CLIENT_TEMPLATE.FAT&amp;display_string=Audit&amp;VAR:KEY=GBWNGBUNCZ&amp;VAR:QUERY=RkZfRUJJVERBX0lCKCdDQUwnLDIwMDksLCwsJ1VTRCcp&amp;WINDOW=FIRST_POPUP&amp;HEIGHT=450&amp;WIDTH=450&amp;","START_MAXIMIZED=FALSE&amp;VAR:CALENDAR=US&amp;VAR:SYMBOL=84265V10&amp;VAR:INDEX=0"}</definedName>
    <definedName name="_37__FDSAUDITLINK__" hidden="1">{"fdsup://directions/FAT Viewer?action=UPDATE&amp;creator=factset&amp;DYN_ARGS=TRUE&amp;DOC_NAME=FAT:FQL_AUDITING_CLIENT_TEMPLATE.FAT&amp;display_string=Audit&amp;VAR:KEY=QTEFEBGPSL&amp;VAR:QUERY=RkZfRUJJVERBX0lCKCdDQUwnLDIwMDksLCwsJ1VTRCcp&amp;WINDOW=FIRST_POPUP&amp;HEIGHT=450&amp;WIDTH=450&amp;","START_MAXIMIZED=FALSE&amp;VAR:CALENDAR=US&amp;VAR:SYMBOL=35671D85&amp;VAR:INDEX=0"}</definedName>
    <definedName name="_38__123Graph_DCHART_16" hidden="1">#REF!</definedName>
    <definedName name="_38__FDSAUDITLINK__" hidden="1">{"fdsup://directions/FAT Viewer?action=UPDATE&amp;creator=factset&amp;DYN_ARGS=TRUE&amp;DOC_NAME=FAT:FQL_AUDITING_CLIENT_TEMPLATE.FAT&amp;display_string=Audit&amp;VAR:KEY=SDCXMZYZYB&amp;VAR:QUERY=RkZfRUJJVERBX0lCKCdDQUwnLDIwMDksLCwsJ1VTRCcp&amp;WINDOW=FIRST_POPUP&amp;HEIGHT=450&amp;WIDTH=450&amp;","START_MAXIMIZED=FALSE&amp;VAR:CALENDAR=US&amp;VAR:SYMBOL=604348&amp;VAR:INDEX=0"}</definedName>
    <definedName name="_39__123Graph_CCHART_15" hidden="1">#REF!</definedName>
    <definedName name="_39__FDSAUDITLINK__" hidden="1">{"fdsup://Directions/FactSet Auditing Viewer?action=AUDIT_VALUE&amp;DB=129&amp;ID1=604348&amp;VALUEID=02001&amp;SDATE=2008&amp;PERIODTYPE=ANN_STD&amp;window=popup_no_bar&amp;width=385&amp;height=120&amp;START_MAXIMIZED=FALSE&amp;creator=factset&amp;display_string=Audit"}</definedName>
    <definedName name="_3p0Rwvu.Sommai" hidden="1">#REF!,#REF!,#REF!,#REF!,#REF!</definedName>
    <definedName name="_4">#REF!</definedName>
    <definedName name="_4__123Graph_ACHART_15" hidden="1">#REF!</definedName>
    <definedName name="_4__123Graph_ACHART_17" hidden="1">#REF!</definedName>
    <definedName name="_4__123Graph_ACHART_6" hidden="1">#REF!</definedName>
    <definedName name="_4__123Graph_XCHART_1" hidden="1">#REF!</definedName>
    <definedName name="_4__123Graph_XCHART_2" hidden="1">#N/A</definedName>
    <definedName name="_4__FDSAUDITLINK__" hidden="1">{"fdsup://directions/FAT Viewer?action=UPDATE&amp;creator=factset&amp;DYN_ARGS=TRUE&amp;DOC_NAME=FAT:FQL_AUDITING_CLIENT_TEMPLATE.FAT&amp;display_string=Audit&amp;VAR:KEY=YDSHWDYLUB&amp;VAR:QUERY=RkZfRUJJVERBX0lCKCdDQUwnLDIwMDksLCwsJ1VTRCcp&amp;WINDOW=FIRST_POPUP&amp;HEIGHT=450&amp;WIDTH=450&amp;","START_MAXIMIZED=FALSE&amp;VAR:CALENDAR=US&amp;VAR:SYMBOL=650432&amp;VAR:INDEX=0"}</definedName>
    <definedName name="_40__123Graph_DCHART_17" hidden="1">#REF!</definedName>
    <definedName name="_40__FDSAUDITLINK__" hidden="1">{"fdsup://directions/FAT Viewer?action=UPDATE&amp;creator=factset&amp;DYN_ARGS=TRUE&amp;DOC_NAME=FAT:FQL_AUDITING_CLIENT_TEMPLATE.FAT&amp;display_string=Audit&amp;VAR:KEY=IBUXKJGJCN&amp;VAR:QUERY=RkZfRU5UUlBSX1ZBTF9EQUlMWSg0MDI0MiwsLCwnVVNEJywnRElMJyk=&amp;WINDOW=FIRST_POPUP&amp;HEIGHT=45","0&amp;WIDTH=450&amp;START_MAXIMIZED=FALSE&amp;VAR:CALENDAR=US&amp;VAR:SYMBOL=604348&amp;VAR:INDEX=0"}</definedName>
    <definedName name="_41__FDSAUDITLINK__" hidden="1">{"fdsup://directions/FAT Viewer?action=UPDATE&amp;creator=factset&amp;DYN_ARGS=TRUE&amp;DOC_NAME=FAT:FQL_AUDITING_CLIENT_TEMPLATE.FAT&amp;display_string=Audit&amp;VAR:KEY=ORCHORYFWP&amp;VAR:QUERY=RkZfRUJJVERBX0lCKCdDQUwnLDIwMDksLCwsJ1VTRCcp&amp;WINDOW=FIRST_POPUP&amp;HEIGHT=450&amp;WIDTH=450&amp;","START_MAXIMIZED=FALSE&amp;VAR:CALENDAR=US&amp;VAR:SYMBOL=613944&amp;VAR:INDEX=0"}</definedName>
    <definedName name="_42__123Graph_CCHART_16" hidden="1">#REF!</definedName>
    <definedName name="_42__123Graph_DCHART_22" hidden="1">#REF!</definedName>
    <definedName name="_42__FDSAUDITLINK__" hidden="1">{"fdsup://directions/FAT Viewer?action=UPDATE&amp;creator=factset&amp;DYN_ARGS=TRUE&amp;DOC_NAME=FAT:FQL_AUDITING_CLIENT_TEMPLATE.FAT&amp;display_string=Audit&amp;VAR:KEY=MPCJKXEHKN&amp;VAR:QUERY=RkZfRU5UUlBSX1ZBTF9EQUlMWSg0MDI0MiwsLCwnVVNEJywnRElMJyk=&amp;WINDOW=FIRST_POPUP&amp;HEIGHT=45","0&amp;WIDTH=450&amp;START_MAXIMIZED=FALSE&amp;VAR:CALENDAR=US&amp;VAR:SYMBOL=613944&amp;VAR:INDEX=0"}</definedName>
    <definedName name="_43__FDSAUDITLINK__" hidden="1">{"fdsup://directions/FAT Viewer?action=UPDATE&amp;creator=factset&amp;DYN_ARGS=TRUE&amp;DOC_NAME=FAT:FQL_AUDITING_CLIENT_TEMPLATE.FAT&amp;display_string=Audit&amp;VAR:KEY=MZMPOVYPOT&amp;VAR:QUERY=RkZfRUJJVERBX0lCKCdDQUwnLDIwMDksLCwsJ1VTRCcp&amp;WINDOW=FIRST_POPUP&amp;HEIGHT=450&amp;WIDTH=450&amp;","START_MAXIMIZED=FALSE&amp;VAR:CALENDAR=US&amp;VAR:SYMBOL=B0GWF4&amp;VAR:INDEX=0"}</definedName>
    <definedName name="_44__123Graph_ECHART_15" hidden="1">#REF!</definedName>
    <definedName name="_44__FDSAUDITLINK__" hidden="1">{"fdsup://directions/FAT Viewer?action=UPDATE&amp;creator=factset&amp;DYN_ARGS=TRUE&amp;DOC_NAME=FAT:FQL_AUDITING_CLIENT_TEMPLATE.FAT&amp;display_string=Audit&amp;VAR:KEY=OTIPUXQVWX&amp;VAR:QUERY=RkZfRU5UUlBSX1ZBTF9EQUlMWSg0MDI0MiwsLCwnVVNEJywnRElMJyk=&amp;WINDOW=FIRST_POPUP&amp;HEIGHT=45","0&amp;WIDTH=450&amp;START_MAXIMIZED=FALSE&amp;VAR:CALENDAR=US&amp;VAR:SYMBOL=B0GWF4&amp;VAR:INDEX=0"}</definedName>
    <definedName name="_45__123Graph_CCHART_17" hidden="1">#REF!</definedName>
    <definedName name="_45__FDSAUDITLINK__" hidden="1">{"fdsup://directions/FAT Viewer?action=UPDATE&amp;creator=factset&amp;DYN_ARGS=TRUE&amp;DOC_NAME=FAT:FQL_AUDITING_CLIENT_TEMPLATE.FAT&amp;display_string=Audit&amp;VAR:KEY=OFSDYBCHEJ&amp;VAR:QUERY=RkZfRUJJVERBX0lCKCdDQUwnLDIwMDksLCwsJ1VTRCcp&amp;WINDOW=FIRST_POPUP&amp;HEIGHT=450&amp;WIDTH=450&amp;","START_MAXIMIZED=FALSE&amp;VAR:CALENDAR=US&amp;VAR:SYMBOL=B11HK3&amp;VAR:INDEX=0"}</definedName>
    <definedName name="_46__123Graph_ECHART_16" hidden="1">#REF!</definedName>
    <definedName name="_46__FDSAUDITLINK__" hidden="1">{"fdsup://directions/FAT Viewer?action=UPDATE&amp;creator=factset&amp;DYN_ARGS=TRUE&amp;DOC_NAME=FAT:FQL_AUDITING_CLIENT_TEMPLATE.FAT&amp;display_string=Audit&amp;VAR:KEY=MDELEFOVAR&amp;VAR:QUERY=RkZfRU5UUlBSX1ZBTF9EQUlMWSg0MDI0MiwsLCwnVVNEJywnRElMJyk=&amp;WINDOW=FIRST_POPUP&amp;HEIGHT=45","0&amp;WIDTH=450&amp;START_MAXIMIZED=FALSE&amp;VAR:CALENDAR=US&amp;VAR:SYMBOL=B11HK3&amp;VAR:INDEX=0"}</definedName>
    <definedName name="_47__FDSAUDITLINK__" hidden="1">{"fdsup://directions/FAT Viewer?action=UPDATE&amp;creator=factset&amp;DYN_ARGS=TRUE&amp;DOC_NAME=FAT:FQL_AUDITING_CLIENT_TEMPLATE.FAT&amp;display_string=Audit&amp;VAR:KEY=UXMFINCVAN&amp;VAR:QUERY=RkZfRUJJVERBX0lCKCdDQUwnLDIwMDksLCwsJ1VTRCcp&amp;WINDOW=FIRST_POPUP&amp;HEIGHT=450&amp;WIDTH=450&amp;","START_MAXIMIZED=FALSE&amp;VAR:CALENDAR=US&amp;VAR:SYMBOL=20854P10&amp;VAR:INDEX=0"}</definedName>
    <definedName name="_48__123Graph_CCHART_22" hidden="1">#REF!</definedName>
    <definedName name="_48__123Graph_ECHART_17" hidden="1">#REF!</definedName>
    <definedName name="_48__FDSAUDITLINK__" hidden="1">{"fdsup://directions/FAT Viewer?action=UPDATE&amp;creator=factset&amp;DYN_ARGS=TRUE&amp;DOC_NAME=FAT:FQL_AUDITING_CLIENT_TEMPLATE.FAT&amp;display_string=Audit&amp;VAR:KEY=YZUDINQFMN&amp;VAR:QUERY=RkZfRU5UUlBSX1ZBTF9EQUlMWSg0MDI0MiwsLCwnVVNEJywnRElMJyk=&amp;WINDOW=FIRST_POPUP&amp;HEIGHT=45","0&amp;WIDTH=450&amp;START_MAXIMIZED=FALSE&amp;VAR:CALENDAR=US&amp;VAR:SYMBOL=20854P10&amp;VAR:INDEX=0"}</definedName>
    <definedName name="_49__FDSAUDITLINK__" hidden="1">{"fdsup://directions/FAT Viewer?action=UPDATE&amp;creator=factset&amp;DYN_ARGS=TRUE&amp;DOC_NAME=FAT:FQL_AUDITING_CLIENT_TEMPLATE.FAT&amp;display_string=Audit&amp;VAR:KEY=MFMZMXUPCP&amp;VAR:QUERY=RkZfRUJJVERBX0lCKCdDQUwnLDIwMDksLCwsJ1VTRCcp&amp;WINDOW=FIRST_POPUP&amp;HEIGHT=450&amp;WIDTH=450&amp;","START_MAXIMIZED=FALSE&amp;VAR:CALENDAR=US&amp;VAR:SYMBOL=332770&amp;VAR:INDEX=0"}</definedName>
    <definedName name="_5">#REF!</definedName>
    <definedName name="_5__123Graph_ACHART_18" hidden="1">#REF!</definedName>
    <definedName name="_5__123Graph_BCHART_3" hidden="1">#REF!</definedName>
    <definedName name="_5__123Graph_XCHART_2" hidden="1">#REF!</definedName>
    <definedName name="_5__FDSAUDITLINK__" hidden="1">{"fdsup://directions/FAT Viewer?action=UPDATE&amp;creator=factset&amp;DYN_ARGS=TRUE&amp;DOC_NAME=FAT:FQL_AUDITING_CLIENT_TEMPLATE.FAT&amp;display_string=Audit&amp;VAR:KEY=WVMRQVONSP&amp;VAR:QUERY=RkZfRU5UUlBSX1ZBTF9EQUlMWSg0MDI0MiwsLCwnVVNEJywnRElMJyk=&amp;WINDOW=FIRST_POPUP&amp;HEIGHT=45","0&amp;WIDTH=450&amp;START_MAXIMIZED=FALSE&amp;VAR:CALENDAR=US&amp;VAR:SYMBOL=650432&amp;VAR:INDEX=0"}</definedName>
    <definedName name="_50__123Graph_ECHART_22" hidden="1">#REF!</definedName>
    <definedName name="_50__FDSAUDITLINK__" hidden="1">{"fdsup://directions/FAT Viewer?action=UPDATE&amp;creator=factset&amp;DYN_ARGS=TRUE&amp;DOC_NAME=FAT:FQL_AUDITING_CLIENT_TEMPLATE.FAT&amp;display_string=Audit&amp;VAR:KEY=CXEHCRWFAB&amp;VAR:QUERY=RkZfRU5UUlBSX1ZBTF9EQUlMWSg0MDI0MiwsLCwnVVNEJywnRElMJyk=&amp;WINDOW=FIRST_POPUP&amp;HEIGHT=45","0&amp;WIDTH=450&amp;START_MAXIMIZED=FALSE&amp;VAR:CALENDAR=US&amp;VAR:SYMBOL=332770&amp;VAR:INDEX=0"}</definedName>
    <definedName name="_51__123Graph_CSEG_PIE" hidden="1">#REF!</definedName>
    <definedName name="_51__FDSAUDITLINK__" hidden="1">{"fdsup://directions/FAT Viewer?action=UPDATE&amp;creator=factset&amp;DYN_ARGS=TRUE&amp;DOC_NAME=FAT:FQL_AUDITING_CLIENT_TEMPLATE.FAT&amp;display_string=Audit&amp;VAR:KEY=SVGBOBYLCP&amp;VAR:QUERY=RkZfRUJJVERBX0lCKCdDQUwnLDIwMDksLCwsJ1VTRCcp&amp;WINDOW=FIRST_POPUP&amp;HEIGHT=450&amp;WIDTH=450&amp;","START_MAXIMIZED=FALSE&amp;VAR:CALENDAR=US&amp;VAR:SYMBOL=70454910&amp;VAR:INDEX=0"}</definedName>
    <definedName name="_52__123Graph_FCHART_15" hidden="1">#REF!</definedName>
    <definedName name="_52__FDSAUDITLINK__" hidden="1">{"fdsup://directions/FAT Viewer?action=UPDATE&amp;creator=factset&amp;DYN_ARGS=TRUE&amp;DOC_NAME=FAT:FQL_AUDITING_CLIENT_TEMPLATE.FAT&amp;display_string=Audit&amp;VAR:KEY=ETCDEBGVWV&amp;VAR:QUERY=RkZfRU5UUlBSX1ZBTF9EQUlMWSg0MDI0MiwsLCwnVVNEJywnRElMJyk=&amp;WINDOW=FIRST_POPUP&amp;HEIGHT=45","0&amp;WIDTH=450&amp;START_MAXIMIZED=FALSE&amp;VAR:CALENDAR=US&amp;VAR:SYMBOL=B0ZSH5&amp;VAR:INDEX=0"}</definedName>
    <definedName name="_53__FDSAUDITLINK__" hidden="1">{"fdsup://directions/FAT Viewer?action=UPDATE&amp;creator=factset&amp;DYN_ARGS=TRUE&amp;DOC_NAME=FAT:FQL_AUDITING_CLIENT_TEMPLATE.FAT&amp;display_string=Audit&amp;VAR:KEY=CTADCFEBYL&amp;VAR:QUERY=RkZfRUJJVERBX0lCKCdDQUwnLDIwMDksLCwsJ1VTRCcp&amp;WINDOW=FIRST_POPUP&amp;HEIGHT=450&amp;WIDTH=450&amp;","START_MAXIMIZED=FALSE&amp;VAR:CALENDAR=US&amp;VAR:SYMBOL=678305&amp;VAR:INDEX=0"}</definedName>
    <definedName name="_54__123Graph_DCHART_15" hidden="1">#REF!</definedName>
    <definedName name="_54__123Graph_FCHART_16" hidden="1">#REF!</definedName>
    <definedName name="_54__FDSAUDITLINK__" hidden="1">{"fdsup://directions/FAT Viewer?action=UPDATE&amp;creator=factset&amp;DYN_ARGS=TRUE&amp;DOC_NAME=FAT:FQL_AUDITING_CLIENT_TEMPLATE.FAT&amp;display_string=Audit&amp;VAR:KEY=YFOVQTWLIJ&amp;VAR:QUERY=RkZfRU5UUlBSX1ZBTF9EQUlMWSg0MDI0MiwsLCwnVVNEJywnRElMJyk=&amp;WINDOW=FIRST_POPUP&amp;HEIGHT=45","0&amp;WIDTH=450&amp;START_MAXIMIZED=FALSE&amp;VAR:CALENDAR=US&amp;VAR:SYMBOL=678305&amp;VAR:INDEX=0"}</definedName>
    <definedName name="_55__FDSAUDITLINK__" hidden="1">{"fdsup://directions/FAT Viewer?action=UPDATE&amp;creator=factset&amp;DYN_ARGS=TRUE&amp;DOC_NAME=FAT:FQL_AUDITING_CLIENT_TEMPLATE.FAT&amp;display_string=Audit&amp;VAR:KEY=YDSHWDYLUB&amp;VAR:QUERY=RkZfRUJJVERBX0lCKCdDQUwnLDIwMDksLCwsJ1VTRCcp&amp;WINDOW=FIRST_POPUP&amp;HEIGHT=450&amp;WIDTH=450&amp;","START_MAXIMIZED=FALSE&amp;VAR:CALENDAR=US&amp;VAR:SYMBOL=650432&amp;VAR:INDEX=0"}</definedName>
    <definedName name="_56__123Graph_FCHART_17" hidden="1">#REF!</definedName>
    <definedName name="_56__FDSAUDITLINK__" hidden="1">{"fdsup://directions/FAT Viewer?action=UPDATE&amp;creator=factset&amp;DYN_ARGS=TRUE&amp;DOC_NAME=FAT:FQL_AUDITING_CLIENT_TEMPLATE.FAT&amp;display_string=Audit&amp;VAR:KEY=WVMRQVONSP&amp;VAR:QUERY=RkZfRU5UUlBSX1ZBTF9EQUlMWSg0MDI0MiwsLCwnVVNEJywnRElMJyk=&amp;WINDOW=FIRST_POPUP&amp;HEIGHT=45","0&amp;WIDTH=450&amp;START_MAXIMIZED=FALSE&amp;VAR:CALENDAR=US&amp;VAR:SYMBOL=650432&amp;VAR:INDEX=0"}</definedName>
    <definedName name="_57__123Graph_DCHART_16" hidden="1">#REF!</definedName>
    <definedName name="_57__FDSAUDITLINK__" hidden="1">{"fdsup://directions/FAT Viewer?action=UPDATE&amp;creator=factset&amp;DYN_ARGS=TRUE&amp;DOC_NAME=FAT:FQL_AUDITING_CLIENT_TEMPLATE.FAT&amp;display_string=Audit&amp;VAR:KEY=IDMNGFAXQB&amp;VAR:QUERY=RkZfRUJJVERBX0lCKCdDQUwnLDIwMDksLCwsJ1VTRCcp&amp;WINDOW=FIRST_POPUP&amp;HEIGHT=450&amp;WIDTH=450&amp;","START_MAXIMIZED=FALSE&amp;VAR:CALENDAR=US&amp;VAR:SYMBOL=610579&amp;VAR:INDEX=0"}</definedName>
    <definedName name="_58__123Graph_FCHART_22" hidden="1">#REF!</definedName>
    <definedName name="_58__FDSAUDITLINK__" hidden="1">{"fdsup://directions/FAT Viewer?action=UPDATE&amp;creator=factset&amp;DYN_ARGS=TRUE&amp;DOC_NAME=FAT:FQL_AUDITING_CLIENT_TEMPLATE.FAT&amp;display_string=Audit&amp;VAR:KEY=CXATOXCJOV&amp;VAR:QUERY=RkZfRU5UUlBSX1ZBTF9EQUlMWSg0MDI0MiwsLCwnVVNEJywnRElMJyk=&amp;WINDOW=FIRST_POPUP&amp;HEIGHT=45","0&amp;WIDTH=450&amp;START_MAXIMIZED=FALSE&amp;VAR:CALENDAR=US&amp;VAR:SYMBOL=610579&amp;VAR:INDEX=0"}</definedName>
    <definedName name="_59__FDSAUDITLINK__" hidden="1">{"fdsup://directions/FAT Viewer?action=UPDATE&amp;creator=factset&amp;DYN_ARGS=TRUE&amp;DOC_NAME=FAT:FQL_AUDITING_CLIENT_TEMPLATE.FAT&amp;display_string=Audit&amp;VAR:KEY=EZUHWRCBOF&amp;VAR:QUERY=RkZfRUJJVERBX0lCKCdDQUwnLDIwMDksLCwsJ1VTRCcp&amp;WINDOW=FIRST_POPUP&amp;HEIGHT=450&amp;WIDTH=450&amp;","START_MAXIMIZED=FALSE&amp;VAR:CALENDAR=US&amp;VAR:SYMBOL=620337&amp;VAR:INDEX=0"}</definedName>
    <definedName name="_6">#REF!</definedName>
    <definedName name="_6__123Graph_ACHART_15" hidden="1">#REF!</definedName>
    <definedName name="_6__123Graph_ACHART_16" hidden="1">#REF!</definedName>
    <definedName name="_6__123Graph_ACHART_19" hidden="1">#REF!</definedName>
    <definedName name="_6__123Graph_XCHART_4" hidden="1">#REF!</definedName>
    <definedName name="_6__FDSAUDITLINK__" hidden="1">{"fdsup://directions/FAT Viewer?action=UPDATE&amp;creator=factset&amp;DYN_ARGS=TRUE&amp;DOC_NAME=FAT:FQL_AUDITING_CLIENT_TEMPLATE.FAT&amp;display_string=Audit&amp;VAR:KEY=IDMNGFAXQB&amp;VAR:QUERY=RkZfRUJJVERBX0lCKCdDQUwnLDIwMDksLCwsJ1VTRCcp&amp;WINDOW=FIRST_POPUP&amp;HEIGHT=450&amp;WIDTH=450&amp;","START_MAXIMIZED=FALSE&amp;VAR:CALENDAR=US&amp;VAR:SYMBOL=610579&amp;VAR:INDEX=0"}</definedName>
    <definedName name="_60__123Graph_DCHART_17" hidden="1">#REF!</definedName>
    <definedName name="_60__123Graph_XCHART_15" hidden="1">#REF!</definedName>
    <definedName name="_60__FDSAUDITLINK__" hidden="1">{"fdsup://directions/FAT Viewer?action=UPDATE&amp;creator=factset&amp;DYN_ARGS=TRUE&amp;DOC_NAME=FAT:FQL_AUDITING_CLIENT_TEMPLATE.FAT&amp;display_string=Audit&amp;VAR:KEY=EDQJQJKLIF&amp;VAR:QUERY=RkZfRU5UUlBSX1ZBTF9EQUlMWSg0MDI0MiwsLCwnVVNEJywnRElMJyk=&amp;WINDOW=FIRST_POPUP&amp;HEIGHT=45","0&amp;WIDTH=450&amp;START_MAXIMIZED=FALSE&amp;VAR:CALENDAR=US&amp;VAR:SYMBOL=620337&amp;VAR:INDEX=0"}</definedName>
    <definedName name="_61__FDSAUDITLINK__" hidden="1">{"fdsup://directions/FAT Viewer?action=UPDATE&amp;creator=factset&amp;DYN_ARGS=TRUE&amp;DOC_NAME=FAT:FQL_AUDITING_CLIENT_TEMPLATE.FAT&amp;display_string=Audit&amp;VAR:KEY=QVOTMVOFAN&amp;VAR:QUERY=RkZfRU5UUlBSX1ZBTF9EQUlMWSg0MDI0MiwsLCwnVVNEJywnRElMJyk=&amp;WINDOW=FIRST_POPUP&amp;HEIGHT=45","0&amp;WIDTH=450&amp;START_MAXIMIZED=FALSE&amp;VAR:CALENDAR=US&amp;VAR:SYMBOL=B1H508&amp;VAR:INDEX=0"}</definedName>
    <definedName name="_62__123Graph_XCHART_16" hidden="1">#REF!</definedName>
    <definedName name="_62__FDSAUDITLINK__" hidden="1">{"fdsup://directions/FAT Viewer?action=UPDATE&amp;creator=factset&amp;DYN_ARGS=TRUE&amp;DOC_NAME=FAT:FQL_AUDITING_CLIENT_TEMPLATE.FAT&amp;display_string=Audit&amp;VAR:KEY=OXKBUPEVWZ&amp;VAR:QUERY=RkZfRUJJVERBX0lCKCdDQUwnLDIwMDksLCwsJ1VTRCcp&amp;WINDOW=FIRST_POPUP&amp;HEIGHT=450&amp;WIDTH=450&amp;","START_MAXIMIZED=FALSE&amp;VAR:CALENDAR=US&amp;VAR:SYMBOL=B0ZSH5&amp;VAR:INDEX=0"}</definedName>
    <definedName name="_63__123Graph_DCHART_22" hidden="1">#REF!</definedName>
    <definedName name="_63__FDSAUDITLINK__" hidden="1">{"fdsup://directions/FAT Viewer?action=UPDATE&amp;creator=factset&amp;DYN_ARGS=TRUE&amp;DOC_NAME=FAT:FQL_AUDITING_CLIENT_TEMPLATE.FAT&amp;display_string=Audit&amp;VAR:KEY=EHMBMXQHMZ&amp;VAR:QUERY=RkZfRUJJVERBX0lCKCdDQUwnLDIwMDksLCwsJ1VTRCcp&amp;WINDOW=FIRST_POPUP&amp;HEIGHT=450&amp;WIDTH=450&amp;","START_MAXIMIZED=FALSE&amp;VAR:CALENDAR=US&amp;VAR:SYMBOL=B1H508&amp;VAR:INDEX=0"}</definedName>
    <definedName name="_64__123Graph_XCHART_17" hidden="1">#REF!</definedName>
    <definedName name="_64__FDSAUDITLINK__" hidden="1">{"fdsup://directions/FAT Viewer?action=UPDATE&amp;creator=factset&amp;DYN_ARGS=TRUE&amp;DOC_NAME=FAT:FQL_AUDITING_CLIENT_TEMPLATE.FAT&amp;display_string=Audit&amp;VAR:KEY=ONSFQDEZIB&amp;VAR:QUERY=RkZfRUJJVERBX0lCKCdDQUwnLDIwMDksLCwsJ1VTRCcp&amp;WINDOW=FIRST_POPUP&amp;HEIGHT=450&amp;WIDTH=450&amp;","START_MAXIMIZED=FALSE&amp;VAR:CALENDAR=US&amp;VAR:SYMBOL=B1VRCG&amp;VAR:INDEX=0"}</definedName>
    <definedName name="_65__FDSAUDITLINK__" hidden="1">{"fdsup://directions/FAT Viewer?action=UPDATE&amp;creator=factset&amp;DYN_ARGS=TRUE&amp;DOC_NAME=FAT:FQL_AUDITING_CLIENT_TEMPLATE.FAT&amp;display_string=Audit&amp;VAR:KEY=KVODGPMXKV&amp;VAR:QUERY=RkZfRU5UUlBSX1ZBTF9EQUlMWSg0MDI0MiwsLCwnVVNEJywnRElMJyk=&amp;WINDOW=FIRST_POPUP&amp;HEIGHT=45","0&amp;WIDTH=450&amp;START_MAXIMIZED=FALSE&amp;VAR:CALENDAR=US&amp;VAR:SYMBOL=B1VRCG&amp;VAR:INDEX=0"}</definedName>
    <definedName name="_66__123Graph_ECHART_15" hidden="1">#REF!</definedName>
    <definedName name="_66__123Graph_XCHART_18" hidden="1">#REF!</definedName>
    <definedName name="_66__FDSAUDITLINK__" hidden="1">{"fdsup://directions/FAT Viewer?action=UPDATE&amp;creator=factset&amp;DYN_ARGS=TRUE&amp;DOC_NAME=FAT:FQL_AUDITING_CLIENT_TEMPLATE.FAT&amp;display_string=Audit&amp;VAR:KEY=QJARQRUDEH&amp;VAR:QUERY=RkZfRUJJVERBX0lCKCdDQUwnLDIwMDksLCwsJ1VTRCcp&amp;WINDOW=FIRST_POPUP&amp;HEIGHT=450&amp;WIDTH=450&amp;","START_MAXIMIZED=FALSE&amp;VAR:CALENDAR=US&amp;VAR:SYMBOL=600030&amp;VAR:INDEX=0"}</definedName>
    <definedName name="_67__FDSAUDITLINK__" hidden="1">{"fdsup://directions/FAT Viewer?action=UPDATE&amp;creator=factset&amp;DYN_ARGS=TRUE&amp;DOC_NAME=FAT:FQL_AUDITING_CLIENT_TEMPLATE.FAT&amp;display_string=Audit&amp;VAR:KEY=SHKZGPYRAD&amp;VAR:QUERY=RkZfRU5UUlBSX1ZBTF9EQUlMWSg0MDI0MiwsLCwnVVNEJywnRElMJyk=&amp;WINDOW=FIRST_POPUP&amp;HEIGHT=45","0&amp;WIDTH=450&amp;START_MAXIMIZED=FALSE&amp;VAR:CALENDAR=US&amp;VAR:SYMBOL=600030&amp;VAR:INDEX=0"}</definedName>
    <definedName name="_68__123Graph_XCHART_19" hidden="1">#REF!</definedName>
    <definedName name="_68__FDSAUDITLINK__" hidden="1">{"fdsup://directions/FAT Viewer?action=UPDATE&amp;creator=factset&amp;DYN_ARGS=TRUE&amp;DOC_NAME=FAT:FQL_AUDITING_CLIENT_TEMPLATE.FAT&amp;display_string=Audit&amp;VAR:KEY=WDEJKFYBMT&amp;VAR:QUERY=RkZfRUJJVERBX0lCKCdDQUwnLDIwMDksLCwsJ1VTRCcp&amp;WINDOW=FIRST_POPUP&amp;HEIGHT=450&amp;WIDTH=450&amp;","START_MAXIMIZED=FALSE&amp;VAR:CALENDAR=US&amp;VAR:SYMBOL=610989&amp;VAR:INDEX=0"}</definedName>
    <definedName name="_69__123Graph_ECHART_16" hidden="1">#REF!</definedName>
    <definedName name="_69__FDSAUDITLINK__" hidden="1">{"fdsup://directions/FAT Viewer?action=UPDATE&amp;creator=factset&amp;DYN_ARGS=TRUE&amp;DOC_NAME=FAT:FQL_AUDITING_CLIENT_TEMPLATE.FAT&amp;display_string=Audit&amp;VAR:KEY=SJEHMVUTUJ&amp;VAR:QUERY=RkZfRU5UUlBSX1ZBTF9EQUlMWSg0MDI0MiwsLCwnVVNEJywnRElMJyk=&amp;WINDOW=FIRST_POPUP&amp;HEIGHT=45","0&amp;WIDTH=450&amp;START_MAXIMIZED=FALSE&amp;VAR:CALENDAR=US&amp;VAR:SYMBOL=610989&amp;VAR:INDEX=0"}</definedName>
    <definedName name="_7">#REF!</definedName>
    <definedName name="_7__123Graph_ACHART_21" hidden="1">#REF!</definedName>
    <definedName name="_7__123Graph_XCHART_5" hidden="1">#REF!</definedName>
    <definedName name="_7__FDSAUDITLINK__" hidden="1">{"fdsup://directions/FAT Viewer?action=UPDATE&amp;creator=factset&amp;DYN_ARGS=TRUE&amp;DOC_NAME=FAT:FQL_AUDITING_CLIENT_TEMPLATE.FAT&amp;display_string=Audit&amp;VAR:KEY=CXATOXCJOV&amp;VAR:QUERY=RkZfRU5UUlBSX1ZBTF9EQUlMWSg0MDI0MiwsLCwnVVNEJywnRElMJyk=&amp;WINDOW=FIRST_POPUP&amp;HEIGHT=45","0&amp;WIDTH=450&amp;START_MAXIMIZED=FALSE&amp;VAR:CALENDAR=US&amp;VAR:SYMBOL=610579&amp;VAR:INDEX=0"}</definedName>
    <definedName name="_70__123Graph_XCHART_22" hidden="1">#REF!</definedName>
    <definedName name="_70__FDSAUDITLINK__" hidden="1">{"fdsup://directions/FAT Viewer?action=UPDATE&amp;creator=factset&amp;DYN_ARGS=TRUE&amp;DOC_NAME=FAT:FQL_AUDITING_CLIENT_TEMPLATE.FAT&amp;display_string=Audit&amp;VAR:KEY=UJSFKRAFAX&amp;VAR:QUERY=RkZfRUJJVERBX0lCKCdDQUwnLDIwMDksLCwsJ1VTRCcp&amp;WINDOW=FIRST_POPUP&amp;HEIGHT=450&amp;WIDTH=450&amp;","START_MAXIMIZED=FALSE&amp;VAR:CALENDAR=US&amp;VAR:SYMBOL=672529&amp;VAR:INDEX=0"}</definedName>
    <definedName name="_71__FDSAUDITLINK__" hidden="1">{"fdsup://directions/FAT Viewer?action=UPDATE&amp;creator=factset&amp;DYN_ARGS=TRUE&amp;DOC_NAME=FAT:FQL_AUDITING_CLIENT_TEMPLATE.FAT&amp;display_string=Audit&amp;VAR:KEY=UZSZCXIVQZ&amp;VAR:QUERY=RkZfRU5UUlBSX1ZBTF9EQUlMWSg0MDI0MiwsLCwnVVNEJywnRElMJyk=&amp;WINDOW=FIRST_POPUP&amp;HEIGHT=45","0&amp;WIDTH=450&amp;START_MAXIMIZED=FALSE&amp;VAR:CALENDAR=US&amp;VAR:SYMBOL=672529&amp;VAR:INDEX=0"}</definedName>
    <definedName name="_72__123Graph_ECHART_17" hidden="1">#REF!</definedName>
    <definedName name="_72__123Graph_XSEG_PIE" hidden="1">#REF!</definedName>
    <definedName name="_72__FDSAUDITLINK__" hidden="1">{"fdsup://directions/FAT Viewer?action=UPDATE&amp;creator=factset&amp;DYN_ARGS=TRUE&amp;DOC_NAME=FAT:FQL_AUDITING_CLIENT_TEMPLATE.FAT&amp;display_string=Audit&amp;VAR:KEY=MXYZWTSLEL&amp;VAR:QUERY=RkZfRUJJVERBX0lCKCdDQUwnLDIwMDksLCwsJ1VTRCcp&amp;WINDOW=FIRST_POPUP&amp;HEIGHT=450&amp;WIDTH=450&amp;","START_MAXIMIZED=FALSE&amp;VAR:CALENDAR=US&amp;VAR:SYMBOL=642539&amp;VAR:INDEX=0"}</definedName>
    <definedName name="_73__FDSAUDITLINK__" hidden="1">{"fdsup://directions/FAT Viewer?action=UPDATE&amp;creator=factset&amp;DYN_ARGS=TRUE&amp;DOC_NAME=FAT:FQL_AUDITING_CLIENT_TEMPLATE.FAT&amp;display_string=Audit&amp;VAR:KEY=MXSHIJCBUD&amp;VAR:QUERY=RkZfRU5UUlBSX1ZBTF9EQUlMWSg0MDI0MiwsLCwnVVNEJywnRElMJyk=&amp;WINDOW=FIRST_POPUP&amp;HEIGHT=45","0&amp;WIDTH=450&amp;START_MAXIMIZED=FALSE&amp;VAR:CALENDAR=US&amp;VAR:SYMBOL=642539&amp;VAR:INDEX=0"}</definedName>
    <definedName name="_74__FDSAUDITLINK__" hidden="1">{"fdsup://directions/FAT Viewer?action=UPDATE&amp;creator=factset&amp;DYN_ARGS=TRUE&amp;DOC_NAME=FAT:FQL_AUDITING_CLIENT_TEMPLATE.FAT&amp;display_string=Audit&amp;VAR:KEY=CXYHEJMREF&amp;VAR:QUERY=RkZfRUJJVERBX0lCKCdDQUwnLDIwMDksLCwsJ1VTRCcp&amp;WINDOW=FIRST_POPUP&amp;HEIGHT=450&amp;WIDTH=450&amp;","START_MAXIMIZED=FALSE&amp;VAR:CALENDAR=US&amp;VAR:SYMBOL=B1JNK8&amp;VAR:INDEX=0"}</definedName>
    <definedName name="_75__123Graph_ECHART_22" hidden="1">#REF!</definedName>
    <definedName name="_75__FDSAUDITLINK__" hidden="1">{"fdsup://directions/FAT Viewer?action=UPDATE&amp;creator=factset&amp;DYN_ARGS=TRUE&amp;DOC_NAME=FAT:FQL_AUDITING_CLIENT_TEMPLATE.FAT&amp;display_string=Audit&amp;VAR:KEY=EHIVMZAFGB&amp;VAR:QUERY=RkZfRU5UUlBSX1ZBTF9EQUlMWSg0MDI0MiwsLCwnVVNEJywnRElMJyk=&amp;WINDOW=FIRST_POPUP&amp;HEIGHT=45","0&amp;WIDTH=450&amp;START_MAXIMIZED=FALSE&amp;VAR:CALENDAR=US&amp;VAR:SYMBOL=B1JNK8&amp;VAR:INDEX=0"}</definedName>
    <definedName name="_76__FDSAUDITLINK__" hidden="1">{"fdsup://directions/FAT Viewer?action=UPDATE&amp;creator=factset&amp;DYN_ARGS=TRUE&amp;DOC_NAME=FAT:FQL_AUDITING_CLIENT_TEMPLATE.FAT&amp;display_string=Audit&amp;VAR:KEY=OVIVMZOVCP&amp;VAR:QUERY=RkZfRUJJVERBX0lCKCdDQUwnLDIwMDksLCwsJ1VTRCcp&amp;WINDOW=FIRST_POPUP&amp;HEIGHT=450&amp;WIDTH=450&amp;","START_MAXIMIZED=FALSE&amp;VAR:CALENDAR=US&amp;VAR:SYMBOL=B09N7M&amp;VAR:INDEX=0"}</definedName>
    <definedName name="_77__FDSAUDITLINK__" hidden="1">{"fdsup://directions/FAT Viewer?action=UPDATE&amp;creator=factset&amp;DYN_ARGS=TRUE&amp;DOC_NAME=FAT:FQL_AUDITING_CLIENT_TEMPLATE.FAT&amp;display_string=Audit&amp;VAR:KEY=MLSVYZWRCH&amp;VAR:QUERY=RkZfRU5UUlBSX1ZBTF9EQUlMWSg0MDI0MiwsLCwnVVNEJywnRElMJyk=&amp;WINDOW=FIRST_POPUP&amp;HEIGHT=45","0&amp;WIDTH=450&amp;START_MAXIMIZED=FALSE&amp;VAR:CALENDAR=US&amp;VAR:SYMBOL=B09N7M&amp;VAR:INDEX=0"}</definedName>
    <definedName name="_78__123Graph_FCHART_15" hidden="1">#REF!</definedName>
    <definedName name="_78__FDSAUDITLINK__" hidden="1">{"fdsup://Directions/FactSet Auditing Viewer?action=AUDIT_VALUE&amp;DB=129&amp;ID1=604348&amp;VALUEID=03426&amp;SDATE=2008&amp;PERIODTYPE=ANN_STD&amp;window=popup_no_bar&amp;width=385&amp;height=120&amp;START_MAXIMIZED=FALSE&amp;creator=factset&amp;display_string=Audit"}</definedName>
    <definedName name="_79__FDSAUDITLINK__" hidden="1">{"fdsup://directions/FAT Viewer?action=UPDATE&amp;creator=factset&amp;DYN_ARGS=TRUE&amp;DOC_NAME=FAT:FQL_AUDITING_CLIENT_TEMPLATE.FAT&amp;display_string=Audit&amp;VAR:KEY=ALIZMZKVMP&amp;VAR:QUERY=RkZfRU5UUlBSX1ZBTF9EQUlMWSg0MDI0MiwsLCwnVVNEJywnRElMJyk=&amp;WINDOW=FIRST_POPUP&amp;HEIGHT=45","0&amp;WIDTH=450&amp;START_MAXIMIZED=FALSE&amp;VAR:CALENDAR=US&amp;VAR:SYMBOL=70454910&amp;VAR:INDEX=0"}</definedName>
    <definedName name="_8">#REF!</definedName>
    <definedName name="_8__123Graph_ACHART_17" hidden="1">#REF!</definedName>
    <definedName name="_8__123Graph_ASEG_PIE" hidden="1">#REF!</definedName>
    <definedName name="_8__123Graph_XCHART_6" hidden="1">#REF!</definedName>
    <definedName name="_8__FDSAUDITLINK__" hidden="1">{"fdsup://directions/FAT Viewer?action=UPDATE&amp;creator=factset&amp;DYN_ARGS=TRUE&amp;DOC_NAME=FAT:FQL_AUDITING_CLIENT_TEMPLATE.FAT&amp;display_string=Audit&amp;VAR:KEY=EZUHWRCBOF&amp;VAR:QUERY=RkZfRUJJVERBX0lCKCdDQUwnLDIwMDksLCwsJ1VTRCcp&amp;WINDOW=FIRST_POPUP&amp;HEIGHT=450&amp;WIDTH=450&amp;","START_MAXIMIZED=FALSE&amp;VAR:CALENDAR=US&amp;VAR:SYMBOL=620337&amp;VAR:INDEX=0"}</definedName>
    <definedName name="_80__FDSAUDITLINK__" hidden="1">{"fdsup://directions/FAT Viewer?action=UPDATE&amp;creator=factset&amp;DYN_ARGS=TRUE&amp;DOC_NAME=FAT:FQL_AUDITING_CLIENT_TEMPLATE.FAT&amp;display_string=Audit&amp;VAR:KEY=KVIZONYBQL&amp;VAR:QUERY=RkZfRUJJVERBX0lCKCdDQUwnLDIwMDksLCwsJ1VTRCcp&amp;WINDOW=FIRST_POPUP&amp;HEIGHT=450&amp;WIDTH=450&amp;","START_MAXIMIZED=FALSE&amp;VAR:CALENDAR=US&amp;VAR:SYMBOL=01381710&amp;VAR:INDEX=0"}</definedName>
    <definedName name="_81__123Graph_FCHART_16" hidden="1">#REF!</definedName>
    <definedName name="_81__FDSAUDITLINK__" hidden="1">{"fdsup://directions/FAT Viewer?action=UPDATE&amp;creator=factset&amp;DYN_ARGS=TRUE&amp;DOC_NAME=FAT:FQL_AUDITING_CLIENT_TEMPLATE.FAT&amp;display_string=Audit&amp;VAR:KEY=WDIPMPONKN&amp;VAR:QUERY=RkZfRU5UUlBSX1ZBTF9EQUlMWSg0MDI0MiwsLCwnVVNEJywnRElMJyk=&amp;WINDOW=FIRST_POPUP&amp;HEIGHT=45","0&amp;WIDTH=450&amp;START_MAXIMIZED=FALSE&amp;VAR:CALENDAR=US&amp;VAR:SYMBOL=01381710&amp;VAR:INDEX=0"}</definedName>
    <definedName name="_82__FDSAUDITLINK__" hidden="1">{"fdsup://directions/FAT Viewer?action=UPDATE&amp;creator=factset&amp;DYN_ARGS=TRUE&amp;DOC_NAME=FAT:FQL_AUDITING_CLIENT_TEMPLATE.FAT&amp;display_string=Audit&amp;VAR:KEY=SFSDQLCZQV&amp;VAR:QUERY=RkZfRUJJVERBX0lCKCdDQUwnLDIwMDksLCwsJ1VTRCcp&amp;WINDOW=FIRST_POPUP&amp;HEIGHT=450&amp;WIDTH=450&amp;","START_MAXIMIZED=FALSE&amp;VAR:CALENDAR=US&amp;VAR:SYMBOL=B1G426&amp;VAR:INDEX=0"}</definedName>
    <definedName name="_83__FDSAUDITLINK__" hidden="1">{"fdsup://directions/FAT Viewer?action=UPDATE&amp;creator=factset&amp;DYN_ARGS=TRUE&amp;DOC_NAME=FAT:FQL_AUDITING_CLIENT_TEMPLATE.FAT&amp;display_string=Audit&amp;VAR:KEY=MZYVMTAFUT&amp;VAR:QUERY=RkZfRU5UUlBSX1ZBTF9EQUlMWSg0MDI0MiwsLCwnVVNEJywnRElMJyk=&amp;WINDOW=FIRST_POPUP&amp;HEIGHT=45","0&amp;WIDTH=450&amp;START_MAXIMIZED=FALSE&amp;VAR:CALENDAR=US&amp;VAR:SYMBOL=B1G426&amp;VAR:INDEX=0"}</definedName>
    <definedName name="_84__123Graph_FCHART_17" hidden="1">#REF!</definedName>
    <definedName name="_84__FDSAUDITLINK__" hidden="1">{"fdsup://directions/FAT Viewer?action=UPDATE&amp;creator=factset&amp;DYN_ARGS=TRUE&amp;DOC_NAME=FAT:FQL_AUDITING_CLIENT_TEMPLATE.FAT&amp;display_string=Audit&amp;VAR:KEY=CLMPGRAFIV&amp;VAR:QUERY=RkZfRUJJVERBX0lCKCdDQUwnLDIwMDksLCwsJ1VTRCcp&amp;WINDOW=FIRST_POPUP&amp;HEIGHT=450&amp;WIDTH=450&amp;","START_MAXIMIZED=FALSE&amp;VAR:CALENDAR=US&amp;VAR:SYMBOL=B29BCK&amp;VAR:INDEX=0"}</definedName>
    <definedName name="_85__FDSAUDITLINK__" hidden="1">{"fdsup://directions/FAT Viewer?action=UPDATE&amp;creator=factset&amp;DYN_ARGS=TRUE&amp;DOC_NAME=FAT:FQL_AUDITING_CLIENT_TEMPLATE.FAT&amp;display_string=Audit&amp;VAR:KEY=ONCXUBIDAL&amp;VAR:QUERY=RkZfRU5UUlBSX1ZBTF9EQUlMWSg0MDI0MiwsLCwnVVNEJywnRElMJyk=&amp;WINDOW=FIRST_POPUP&amp;HEIGHT=45","0&amp;WIDTH=450&amp;START_MAXIMIZED=FALSE&amp;VAR:CALENDAR=US&amp;VAR:SYMBOL=B29BCK&amp;VAR:INDEX=0"}</definedName>
    <definedName name="_86__FDSAUDITLINK__" hidden="1">{"fdsup://directions/FAT Viewer?action=UPDATE&amp;creator=factset&amp;DYN_ARGS=TRUE&amp;DOC_NAME=FAT:FQL_AUDITING_CLIENT_TEMPLATE.FAT&amp;display_string=Audit&amp;VAR:KEY=CPINQXQDOF&amp;VAR:QUERY=RkZfRUJJVERBX0lCKCdDQUwnLDIwMDksLCwsJ1VTRCcp&amp;WINDOW=FIRST_POPUP&amp;HEIGHT=450&amp;WIDTH=450&amp;","START_MAXIMIZED=FALSE&amp;VAR:CALENDAR=US&amp;VAR:SYMBOL=B019KX&amp;VAR:INDEX=0"}</definedName>
    <definedName name="_87__123Graph_FCHART_22" hidden="1">#REF!</definedName>
    <definedName name="_87__FDSAUDITLINK__" hidden="1">{"fdsup://directions/FAT Viewer?action=UPDATE&amp;creator=factset&amp;DYN_ARGS=TRUE&amp;DOC_NAME=FAT:FQL_AUDITING_CLIENT_TEMPLATE.FAT&amp;display_string=Audit&amp;VAR:KEY=GBWNGBUNCZ&amp;VAR:QUERY=RkZfRUJJVERBX0lCKCdDQUwnLDIwMDksLCwsJ1VTRCcp&amp;WINDOW=FIRST_POPUP&amp;HEIGHT=450&amp;WIDTH=450&amp;","START_MAXIMIZED=FALSE&amp;VAR:CALENDAR=US&amp;VAR:SYMBOL=84265V10&amp;VAR:INDEX=0"}</definedName>
    <definedName name="_88__FDSAUDITLINK__" hidden="1">{"fdsup://directions/FAT Viewer?action=UPDATE&amp;creator=factset&amp;DYN_ARGS=TRUE&amp;DOC_NAME=FAT:FQL_AUDITING_CLIENT_TEMPLATE.FAT&amp;display_string=Audit&amp;VAR:KEY=QTEFEBGPSL&amp;VAR:QUERY=RkZfRUJJVERBX0lCKCdDQUwnLDIwMDksLCwsJ1VTRCcp&amp;WINDOW=FIRST_POPUP&amp;HEIGHT=450&amp;WIDTH=450&amp;","START_MAXIMIZED=FALSE&amp;VAR:CALENDAR=US&amp;VAR:SYMBOL=35671D85&amp;VAR:INDEX=0"}</definedName>
    <definedName name="_89__FDSAUDITLINK__" hidden="1">{"fdsup://directions/FAT Viewer?action=UPDATE&amp;creator=factset&amp;DYN_ARGS=TRUE&amp;DOC_NAME=FAT:FQL_AUDITING_CLIENT_TEMPLATE.FAT&amp;display_string=Audit&amp;VAR:KEY=SDCXMZYZYB&amp;VAR:QUERY=RkZfRUJJVERBX0lCKCdDQUwnLDIwMDksLCwsJ1VTRCcp&amp;WINDOW=FIRST_POPUP&amp;HEIGHT=450&amp;WIDTH=450&amp;","START_MAXIMIZED=FALSE&amp;VAR:CALENDAR=US&amp;VAR:SYMBOL=604348&amp;VAR:INDEX=0"}</definedName>
    <definedName name="_9">#REF!</definedName>
    <definedName name="_9__123Graph_ACHART_16" hidden="1">#REF!</definedName>
    <definedName name="_9__123Graph_BCHART_15" hidden="1">#REF!</definedName>
    <definedName name="_9__FDSAUDITLINK__" hidden="1">{"fdsup://directions/FAT Viewer?action=UPDATE&amp;creator=factset&amp;DYN_ARGS=TRUE&amp;DOC_NAME=FAT:FQL_AUDITING_CLIENT_TEMPLATE.FAT&amp;display_string=Audit&amp;VAR:KEY=EDQJQJKLIF&amp;VAR:QUERY=RkZfRU5UUlBSX1ZBTF9EQUlMWSg0MDI0MiwsLCwnVVNEJywnRElMJyk=&amp;WINDOW=FIRST_POPUP&amp;HEIGHT=45","0&amp;WIDTH=450&amp;START_MAXIMIZED=FALSE&amp;VAR:CALENDAR=US&amp;VAR:SYMBOL=620337&amp;VAR:INDEX=0"}</definedName>
    <definedName name="_90__123Graph_XCHART_15" hidden="1">#REF!</definedName>
    <definedName name="_90__FDSAUDITLINK__" hidden="1">{"fdsup://Directions/FactSet Auditing Viewer?action=AUDIT_VALUE&amp;DB=129&amp;ID1=604348&amp;VALUEID=02001&amp;SDATE=2008&amp;PERIODTYPE=ANN_STD&amp;window=popup_no_bar&amp;width=385&amp;height=120&amp;START_MAXIMIZED=FALSE&amp;creator=factset&amp;display_string=Audit"}</definedName>
    <definedName name="_91__FDSAUDITLINK__" hidden="1">{"fdsup://directions/FAT Viewer?action=UPDATE&amp;creator=factset&amp;DYN_ARGS=TRUE&amp;DOC_NAME=FAT:FQL_AUDITING_CLIENT_TEMPLATE.FAT&amp;display_string=Audit&amp;VAR:KEY=IBUXKJGJCN&amp;VAR:QUERY=RkZfRU5UUlBSX1ZBTF9EQUlMWSg0MDI0MiwsLCwnVVNEJywnRElMJyk=&amp;WINDOW=FIRST_POPUP&amp;HEIGHT=45","0&amp;WIDTH=450&amp;START_MAXIMIZED=FALSE&amp;VAR:CALENDAR=US&amp;VAR:SYMBOL=604348&amp;VAR:INDEX=0"}</definedName>
    <definedName name="_92__FDSAUDITLINK__" hidden="1">{"fdsup://directions/FAT Viewer?action=UPDATE&amp;creator=factset&amp;DYN_ARGS=TRUE&amp;DOC_NAME=FAT:FQL_AUDITING_CLIENT_TEMPLATE.FAT&amp;display_string=Audit&amp;VAR:KEY=ORCHORYFWP&amp;VAR:QUERY=RkZfRUJJVERBX0lCKCdDQUwnLDIwMDksLCwsJ1VTRCcp&amp;WINDOW=FIRST_POPUP&amp;HEIGHT=450&amp;WIDTH=450&amp;","START_MAXIMIZED=FALSE&amp;VAR:CALENDAR=US&amp;VAR:SYMBOL=613944&amp;VAR:INDEX=0"}</definedName>
    <definedName name="_93__123Graph_XCHART_16" hidden="1">#REF!</definedName>
    <definedName name="_93__FDSAUDITLINK__" hidden="1">{"fdsup://directions/FAT Viewer?action=UPDATE&amp;creator=factset&amp;DYN_ARGS=TRUE&amp;DOC_NAME=FAT:FQL_AUDITING_CLIENT_TEMPLATE.FAT&amp;display_string=Audit&amp;VAR:KEY=MPCJKXEHKN&amp;VAR:QUERY=RkZfRU5UUlBSX1ZBTF9EQUlMWSg0MDI0MiwsLCwnVVNEJywnRElMJyk=&amp;WINDOW=FIRST_POPUP&amp;HEIGHT=45","0&amp;WIDTH=450&amp;START_MAXIMIZED=FALSE&amp;VAR:CALENDAR=US&amp;VAR:SYMBOL=613944&amp;VAR:INDEX=0"}</definedName>
    <definedName name="_94__FDSAUDITLINK__" hidden="1">{"fdsup://directions/FAT Viewer?action=UPDATE&amp;creator=factset&amp;DYN_ARGS=TRUE&amp;DOC_NAME=FAT:FQL_AUDITING_CLIENT_TEMPLATE.FAT&amp;display_string=Audit&amp;VAR:KEY=MZMPOVYPOT&amp;VAR:QUERY=RkZfRUJJVERBX0lCKCdDQUwnLDIwMDksLCwsJ1VTRCcp&amp;WINDOW=FIRST_POPUP&amp;HEIGHT=450&amp;WIDTH=450&amp;","START_MAXIMIZED=FALSE&amp;VAR:CALENDAR=US&amp;VAR:SYMBOL=B0GWF4&amp;VAR:INDEX=0"}</definedName>
    <definedName name="_95__FDSAUDITLINK__" hidden="1">{"fdsup://directions/FAT Viewer?action=UPDATE&amp;creator=factset&amp;DYN_ARGS=TRUE&amp;DOC_NAME=FAT:FQL_AUDITING_CLIENT_TEMPLATE.FAT&amp;display_string=Audit&amp;VAR:KEY=OTIPUXQVWX&amp;VAR:QUERY=RkZfRU5UUlBSX1ZBTF9EQUlMWSg0MDI0MiwsLCwnVVNEJywnRElMJyk=&amp;WINDOW=FIRST_POPUP&amp;HEIGHT=45","0&amp;WIDTH=450&amp;START_MAXIMIZED=FALSE&amp;VAR:CALENDAR=US&amp;VAR:SYMBOL=B0GWF4&amp;VAR:INDEX=0"}</definedName>
    <definedName name="_96__123Graph_XCHART_17" hidden="1">#REF!</definedName>
    <definedName name="_96__FDSAUDITLINK__" hidden="1">{"fdsup://directions/FAT Viewer?action=UPDATE&amp;creator=factset&amp;DYN_ARGS=TRUE&amp;DOC_NAME=FAT:FQL_AUDITING_CLIENT_TEMPLATE.FAT&amp;display_string=Audit&amp;VAR:KEY=OFSDYBCHEJ&amp;VAR:QUERY=RkZfRUJJVERBX0lCKCdDQUwnLDIwMDksLCwsJ1VTRCcp&amp;WINDOW=FIRST_POPUP&amp;HEIGHT=450&amp;WIDTH=450&amp;","START_MAXIMIZED=FALSE&amp;VAR:CALENDAR=US&amp;VAR:SYMBOL=B11HK3&amp;VAR:INDEX=0"}</definedName>
    <definedName name="_97__FDSAUDITLINK__" hidden="1">{"fdsup://directions/FAT Viewer?action=UPDATE&amp;creator=factset&amp;DYN_ARGS=TRUE&amp;DOC_NAME=FAT:FQL_AUDITING_CLIENT_TEMPLATE.FAT&amp;display_string=Audit&amp;VAR:KEY=MDELEFOVAR&amp;VAR:QUERY=RkZfRU5UUlBSX1ZBTF9EQUlMWSg0MDI0MiwsLCwnVVNEJywnRElMJyk=&amp;WINDOW=FIRST_POPUP&amp;HEIGHT=45","0&amp;WIDTH=450&amp;START_MAXIMIZED=FALSE&amp;VAR:CALENDAR=US&amp;VAR:SYMBOL=B11HK3&amp;VAR:INDEX=0"}</definedName>
    <definedName name="_98__FDSAUDITLINK__" hidden="1">{"fdsup://directions/FAT Viewer?action=UPDATE&amp;creator=factset&amp;DYN_ARGS=TRUE&amp;DOC_NAME=FAT:FQL_AUDITING_CLIENT_TEMPLATE.FAT&amp;display_string=Audit&amp;VAR:KEY=UXMFINCVAN&amp;VAR:QUERY=RkZfRUJJVERBX0lCKCdDQUwnLDIwMDksLCwsJ1VTRCcp&amp;WINDOW=FIRST_POPUP&amp;HEIGHT=450&amp;WIDTH=450&amp;","START_MAXIMIZED=FALSE&amp;VAR:CALENDAR=US&amp;VAR:SYMBOL=20854P10&amp;VAR:INDEX=0"}</definedName>
    <definedName name="_99__123Graph_XCHART_18" hidden="1">#REF!</definedName>
    <definedName name="_99__FDSAUDITLINK__" hidden="1">{"fdsup://directions/FAT Viewer?action=UPDATE&amp;creator=factset&amp;DYN_ARGS=TRUE&amp;DOC_NAME=FAT:FQL_AUDITING_CLIENT_TEMPLATE.FAT&amp;display_string=Audit&amp;VAR:KEY=YZUDINQFMN&amp;VAR:QUERY=RkZfRU5UUlBSX1ZBTF9EQUlMWSg0MDI0MiwsLCwnVVNEJywnRElMJyk=&amp;WINDOW=FIRST_POPUP&amp;HEIGHT=45","0&amp;WIDTH=450&amp;START_MAXIMIZED=FALSE&amp;VAR:CALENDAR=US&amp;VAR:SYMBOL=20854P10&amp;VAR:INDEX=0"}</definedName>
    <definedName name="_9WDCART">#N/A</definedName>
    <definedName name="_9WDFEE">#N/A</definedName>
    <definedName name="_9WECART">#N/A</definedName>
    <definedName name="_9WEFEE">#N/A</definedName>
    <definedName name="_a1" hidden="1">{"Assump",#N/A,TRUE,"Proforma";"first",#N/A,TRUE,"Proforma";"second",#N/A,TRUE,"Proforma";"lease1",#N/A,TRUE,"Proforma";"lease2",#N/A,TRUE,"Proforma"}</definedName>
    <definedName name="_al1" hidden="1">{"sheet a",#N/A,FALSE,"A";"sheet b 1",#N/A,FALSE,"B";"sheet b 2",#N/A,FALSE,"B"}</definedName>
    <definedName name="_ATT1" hidden="1">{"'B-2 QSER Jun 98 4-27-98 cor'!$A$1:$F$57"}</definedName>
    <definedName name="_bdm.1C4F474830BC4014A2F798030CC7D9C8.edm" hidden="1">#REF!</definedName>
    <definedName name="_bdm.2D8A9BA2029349879D845F587E86F8A7.edm" hidden="1">#REF!</definedName>
    <definedName name="_bdm.681E27B1A6144096B1CED1F2C82073BA.edm" hidden="1">#REF!</definedName>
    <definedName name="_bdm.A124FC9248C8486F8F2F5C4C6D6BEE9F.edm" hidden="1">#REF!</definedName>
    <definedName name="_bdm.D59C811B3D494A0EA74B1169FA91A502.edm" hidden="1">#REF!</definedName>
    <definedName name="_bdm.DE98270AB5A941F2B59BAC96AB2837C2.edm" hidden="1">#REF!</definedName>
    <definedName name="_C" hidden="1">#REF!</definedName>
    <definedName name="_DLC141">#REF!</definedName>
    <definedName name="_Fil1" hidden="1">#REF!</definedName>
    <definedName name="_Fill" localSheetId="3" hidden="1">#REF!</definedName>
    <definedName name="_Fill" localSheetId="0" hidden="1">#REF!</definedName>
    <definedName name="_Fill" hidden="1">#REF!</definedName>
    <definedName name="_Fill2" hidden="1">#REF!</definedName>
    <definedName name="_xlnm._FilterDatabase" hidden="1">#REF!</definedName>
    <definedName name="_FL" hidden="1">#REF!</definedName>
    <definedName name="_fx2" hidden="1">#REF!</definedName>
    <definedName name="_HRP2" hidden="1">{"'B-2 QSER Jun 98 4-27-98 cor'!$A$1:$F$57"}</definedName>
    <definedName name="_HRP3" hidden="1">{"'B-2 QSER Jun 98 4-27-98 cor'!$A$1:$F$57"}</definedName>
    <definedName name="_jc1" hidden="1">{"'Cash Requirements 5F '!$A$1:$AC$48"}</definedName>
    <definedName name="_jc2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_jc3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jc4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Key1" localSheetId="3" hidden="1">#REF!</definedName>
    <definedName name="_Key1" localSheetId="0" hidden="1">#REF!</definedName>
    <definedName name="_Key1" hidden="1">#REF!</definedName>
    <definedName name="_Key2" hidden="1">#REF!</definedName>
    <definedName name="_Key4" hidden="1">#REF!</definedName>
    <definedName name="_Key5" hidden="1">#REF!</definedName>
    <definedName name="_Key6" hidden="1">#REF!</definedName>
    <definedName name="_Key8" hidden="1">#REF!</definedName>
    <definedName name="_Key9" hidden="1">#REF!</definedName>
    <definedName name="_old2" hidden="1">{#N/A,#N/A,FALSE,"Chart 2 by Prop Type"}</definedName>
    <definedName name="_Order1" localSheetId="6" hidden="1">255</definedName>
    <definedName name="_Order1" localSheetId="5" hidden="1">255</definedName>
    <definedName name="_Order1" hidden="1">0</definedName>
    <definedName name="_Order2" hidden="1">255</definedName>
    <definedName name="_Ppm2" hidden="1">{"data",#N/A,FALSE,"INPUT"}</definedName>
    <definedName name="_Regression_Out" hidden="1">#REF!</definedName>
    <definedName name="_Regression_X" hidden="1">#REF!</definedName>
    <definedName name="_Regression_Y" hidden="1">#REF!</definedName>
    <definedName name="_Res1">#REF!</definedName>
    <definedName name="_RIV0025e83e449b4edbb12c9a56b08d4026" hidden="1">#REF!</definedName>
    <definedName name="_RIV00fc351428314f26b0cd58bb5c770f7b" hidden="1">#REF!</definedName>
    <definedName name="_RIV01add21c11414057884df87c49213874" hidden="1">#REF!</definedName>
    <definedName name="_RIV01bcde9b5d464f908d8c4c3577e5444a" hidden="1">#REF!</definedName>
    <definedName name="_RIV01c68ed9600e4a38a72053b8e0ecc076" hidden="1">#REF!</definedName>
    <definedName name="_RIV022214c5173b42299d3a39f7c23fa62a" hidden="1">#REF!</definedName>
    <definedName name="_RIV0274d831fd2a4d6180b1e3f20f71fac1" hidden="1">#REF!</definedName>
    <definedName name="_RIV02e517b4413449d39b812b5f62aa5a3f" hidden="1">#REF!</definedName>
    <definedName name="_RIV0338d90e80a845f687a9f9fa546ad326" hidden="1">#REF!</definedName>
    <definedName name="_RIV033e395af0a046c1a48344c8850f0829" hidden="1">#REF!</definedName>
    <definedName name="_RIV0378cea5c1bf4a5c8bb2773b35437824" hidden="1">#REF!</definedName>
    <definedName name="_RIV048452041b3e4673be2635eb708ce1bb" hidden="1">#REF!</definedName>
    <definedName name="_RIV04cefe440b43498da94bb6567b3e5f94" hidden="1">#REF!</definedName>
    <definedName name="_RIV055d9ad042c847aa91fc0717f8d1ae9b" hidden="1">#REF!</definedName>
    <definedName name="_RIV06015fe52ac44a299ec5d8b20fd92954" hidden="1">#REF!</definedName>
    <definedName name="_RIV06495807ac6a4bb68cc7aa3119ab18a6" hidden="1">#REF!</definedName>
    <definedName name="_RIV076df28d3a8b4780bc08f6e067b1cfdb" hidden="1">#REF!</definedName>
    <definedName name="_RIV076e72d9d52a4731b4723338ebc9f3e7" hidden="1">#REF!</definedName>
    <definedName name="_RIV0795278e9ae34281ac03d1ed98b21dfd" hidden="1">#REF!</definedName>
    <definedName name="_RIV07eb56b42f3344f0840ff35015eefc8d" hidden="1">#REF!</definedName>
    <definedName name="_RIV087b3ef8c37b41cb9e57a3c4ac578ed4" hidden="1">#REF!</definedName>
    <definedName name="_RIV08c80f80b4904554b64517a0f0f0d4b6" hidden="1">#REF!</definedName>
    <definedName name="_RIV0906e5b2ffd64ac9a93328dd78c81c2b" hidden="1">#REF!</definedName>
    <definedName name="_RIV09ad5b3d260e4ec2aa6ac16d8cef15f3" hidden="1">#REF!</definedName>
    <definedName name="_RIV0a9415b0e50341fbaffeda1a8b166ee5" hidden="1">#REF!</definedName>
    <definedName name="_RIV0b266dead95e403ca1395cc144b732eb" hidden="1">#REF!</definedName>
    <definedName name="_RIV0b58e3cbcf28474a81c9bb6d6871b5e9" hidden="1">#REF!</definedName>
    <definedName name="_RIV0b9aa7fad84b4579a3b5853c4b50442a" hidden="1">#REF!</definedName>
    <definedName name="_RIV0d23e225ee804facaa9ca004bdf79690" hidden="1">#REF!</definedName>
    <definedName name="_RIV0d713fbb16eb4ba1b376ea917f3001d7" hidden="1">#REF!</definedName>
    <definedName name="_RIV100917f69c664bceb91585154c9cda03" hidden="1">#REF!</definedName>
    <definedName name="_RIV100eba00dd3947b8a655439114dc29fe" hidden="1">#REF!</definedName>
    <definedName name="_RIV101e655436fd4c7796aba8c6de22eafe" hidden="1">#REF!</definedName>
    <definedName name="_RIV10563700a93548f180541cd2a298d1ee" hidden="1">#REF!</definedName>
    <definedName name="_RIV1077f60b52ec4258b56531c6d462f975" hidden="1">#REF!</definedName>
    <definedName name="_RIV1175964dcfca43bbb03aebf1dbe56213" hidden="1">#REF!</definedName>
    <definedName name="_RIV11971f1b814b42899fc3c0cc2e5b23a0" hidden="1">#REF!</definedName>
    <definedName name="_RIV119ef6c8211744d5be28ac5c4e0f9c88" hidden="1">#REF!</definedName>
    <definedName name="_RIV11a4557c5e5a477e8328302289227a28" hidden="1">#REF!</definedName>
    <definedName name="_RIV11eae4a5d84949a7a8a1cbf21acd7756" hidden="1">#REF!</definedName>
    <definedName name="_RIV127bb2355c684f52b8fbb8f6cd7865cf" hidden="1">#REF!</definedName>
    <definedName name="_RIV13026b4c3a2a42f3b4c662740a14eb12" hidden="1">#REF!</definedName>
    <definedName name="_RIV13cf6ac962944491938f1d1a09aae195" hidden="1">#REF!</definedName>
    <definedName name="_RIV1423a3724415428c8a25749787f70efb" hidden="1">#REF!</definedName>
    <definedName name="_RIV153e5d0fad9b462a9d1c0e82e9f61146" hidden="1">#REF!</definedName>
    <definedName name="_RIV159ba8719719443cafbb4f4967f417ec" hidden="1">#REF!</definedName>
    <definedName name="_RIV15a07aed95d943a6a777b287b41cc71e" hidden="1">#REF!</definedName>
    <definedName name="_RIV15fb7c8aa714401d8ddcd8104e4348cb" hidden="1">#REF!</definedName>
    <definedName name="_RIV15ff949fb94442db903772ee5709c5c3" hidden="1">#REF!</definedName>
    <definedName name="_RIV1664d8aee28046d484bb6ed9d1ea27b3" hidden="1">#REF!</definedName>
    <definedName name="_RIV17c1296f756f4d56ae8d23cb95d02029" hidden="1">#REF!</definedName>
    <definedName name="_RIV1921c8aca7174afb843e2b6c6becc1cc" hidden="1">#REF!</definedName>
    <definedName name="_RIV19fd3f0065934e39ae9ed598542e10b1" hidden="1">#REF!</definedName>
    <definedName name="_RIV1a4912a2160c4e98ad42eb5d820cfe75" hidden="1">#REF!</definedName>
    <definedName name="_RIV1a66a8b9aa2d4454b66d9261a937d978" hidden="1">#REF!</definedName>
    <definedName name="_RIV1af7a6aa4e9541c7b67ed793f6712b00" hidden="1">#REF!</definedName>
    <definedName name="_RIV1b4cdc659b7142a39573d20ca4564d68" hidden="1">#REF!</definedName>
    <definedName name="_RIV1ba01d89e0b041d29d531f095f331711" hidden="1">#REF!</definedName>
    <definedName name="_RIV1bbc77e455034542971114befdfe533f" hidden="1">#REF!</definedName>
    <definedName name="_RIV1c1c5c53714c4e68baaa9c5eb75e4e33" hidden="1">#REF!</definedName>
    <definedName name="_RIV1c26f7cc8e4645d2ae17ed7eba4a6852" hidden="1">#REF!</definedName>
    <definedName name="_RIV1c457b7622104933b582c538ca77c730" hidden="1">#REF!</definedName>
    <definedName name="_RIV1c62a998a64b43b8bcc59c17b8325933" hidden="1">#REF!</definedName>
    <definedName name="_RIV1cd27a1b66114307bb1c16c490607714" hidden="1">#REF!</definedName>
    <definedName name="_RIV1d7b0de4821842129e1839e5162eee8d" hidden="1">#REF!</definedName>
    <definedName name="_RIV1d98ebc4d3c049d38d21e9ed73a4613c" hidden="1">#REF!</definedName>
    <definedName name="_RIV1da5cabd3e8540c68f2fa8d42b4d4d1c" hidden="1">#REF!</definedName>
    <definedName name="_RIV1efe788ecc27406d8d2843e46a2740fc" hidden="1">#REF!</definedName>
    <definedName name="_RIV1f1a062ca82f422a9d785bc45157f997" hidden="1">#REF!</definedName>
    <definedName name="_RIV1f51dd34c2e04856978e78a413e00dc3" hidden="1">#REF!</definedName>
    <definedName name="_RIV1fb86c4f97b54b02922556133c36054b" hidden="1">#REF!</definedName>
    <definedName name="_RIV2007dbd884fe490f8005c9df5d25bd23" hidden="1">#REF!</definedName>
    <definedName name="_RIV2044eca95744451294315db79ec058f5" hidden="1">#REF!</definedName>
    <definedName name="_RIV207b74ede318435693d3c90422fd751a" hidden="1">#REF!</definedName>
    <definedName name="_RIV20b20881dcaa46579cef9f1a77216756" hidden="1">#REF!</definedName>
    <definedName name="_RIV21dc4667327c42608a97dde2b093ca12" hidden="1">#REF!</definedName>
    <definedName name="_RIV224f66b40e5346a9bd745fd54a44180f" hidden="1">#REF!</definedName>
    <definedName name="_RIV22dd12694064435e9e109b50ab774860" hidden="1">#REF!</definedName>
    <definedName name="_RIV22dee5fe31c14850922a2191572631fc" hidden="1">#REF!</definedName>
    <definedName name="_RIV2357485cebc749da94fa7065b1a96fb2" hidden="1">#REF!</definedName>
    <definedName name="_RIV23b67c1abbf04ae9afb5f2eb6c48a807" hidden="1">#REF!</definedName>
    <definedName name="_RIV23fa3e3b65aa4152b888d951a12e5fb6" hidden="1">#REF!</definedName>
    <definedName name="_RIV2424ed416a3748cd9520e1897702ba5f" hidden="1">#REF!</definedName>
    <definedName name="_RIV2491100b4ca248ae97889e3c8fe64316" hidden="1">#REF!</definedName>
    <definedName name="_RIV24f03ff88a904e208336e68a296894c7" hidden="1">#REF!</definedName>
    <definedName name="_RIV26cb8997cd77475cb7b0ea7b79e20f67" hidden="1">#REF!</definedName>
    <definedName name="_RIV273dd9e19b774d2f83bb008614fff58b" hidden="1">#REF!</definedName>
    <definedName name="_RIV27981d7ed605449da2b8ff33ef9fe8cd" hidden="1">#REF!</definedName>
    <definedName name="_RIV28c8f15152544d928a64fba5d3bd3b48" hidden="1">#REF!</definedName>
    <definedName name="_RIV290d7c3c39da46cb91bbba8fafecedb3" hidden="1">#REF!</definedName>
    <definedName name="_RIV2962f211c7804b899cab61ed384f4aea" hidden="1">#REF!</definedName>
    <definedName name="_RIV298e62cebf8c4f5e92d882330bc21574" hidden="1">#REF!</definedName>
    <definedName name="_RIV29e7c2bce0c94d0f80811e699a529439" hidden="1">#REF!</definedName>
    <definedName name="_RIV29f09b928024439982bca09ccd67e201" hidden="1">#REF!</definedName>
    <definedName name="_RIV2a00e892722742ff876565cb573edd1d" hidden="1">#REF!</definedName>
    <definedName name="_RIV2aec2c3a746a491fb717106fbdde88fe" hidden="1">#REF!</definedName>
    <definedName name="_RIV2b925f8265b44e73a88a3acac35ea2d4" hidden="1">#REF!</definedName>
    <definedName name="_RIV2b9edc322a4d40f9be455384769aa408" hidden="1">#REF!</definedName>
    <definedName name="_RIV2bcc811b9c6a4d208926a4f7656f620f" hidden="1">#REF!</definedName>
    <definedName name="_RIV2bfa2a43d9364390b3258a5b08f94df6" hidden="1">#REF!</definedName>
    <definedName name="_RIV2c0458208a3c4f8291676e13b0cd4aea" hidden="1">#REF!</definedName>
    <definedName name="_RIV2c4519eeddf740d28149e4ec9d25a855" hidden="1">#REF!</definedName>
    <definedName name="_RIV2c477d878d4845eb946f35e10bb99158" hidden="1">#REF!</definedName>
    <definedName name="_RIV2cf4079e61c840fda443c923e5961480" hidden="1">#REF!</definedName>
    <definedName name="_RIV2d67f04339844f1fb08d78509557fd95" hidden="1">#REF!</definedName>
    <definedName name="_RIV2e9175fa737c4bccb4006d04e0ecbc41" hidden="1">#REF!</definedName>
    <definedName name="_RIV2ed30752320c4532b33a3fd07afee623" hidden="1">#REF!</definedName>
    <definedName name="_RIV2fd8c54358174e7b87caf970e7ec308b" hidden="1">#REF!</definedName>
    <definedName name="_RIV303d63b8a2534c1986e86344130766b3" hidden="1">#REF!</definedName>
    <definedName name="_RIV308e8f672e334232b1a9ce7633ae614b" hidden="1">#REF!</definedName>
    <definedName name="_RIV30f8f5674fec40df8fa86292bed22ad8" hidden="1">#REF!</definedName>
    <definedName name="_RIV3149055fa0a94e5782661b37fc3273c5" hidden="1">#REF!</definedName>
    <definedName name="_RIV320781ca4cd948fb9975f517e9208b45" hidden="1">#REF!</definedName>
    <definedName name="_RIV32749915052640289932ee90dc68fd96" hidden="1">#REF!</definedName>
    <definedName name="_RIV349f865d6b26446283a5a87aaeaf5ab3" hidden="1">#REF!</definedName>
    <definedName name="_RIV35125a78dd4f4e15b8a1e862a5245c58" hidden="1">#REF!</definedName>
    <definedName name="_RIV351fabd777cd437e8966ce5a8818d921" hidden="1">#REF!</definedName>
    <definedName name="_RIV354057ddb7294955a3ca68c016670476" hidden="1">#REF!</definedName>
    <definedName name="_RIV3545219c48714b26bee147677b237280" hidden="1">#REF!</definedName>
    <definedName name="_RIV3550442b9e43484d861ac3e18ff05c65" hidden="1">#REF!</definedName>
    <definedName name="_RIV355e6725ba194acfbdef1a47a57844f3" hidden="1">#REF!</definedName>
    <definedName name="_RIV356be5d1b4e14186a82f54c1d3ada3e5" hidden="1">#REF!</definedName>
    <definedName name="_RIV37f462a5acb0466fa0061d76328d13ab" hidden="1">#REF!</definedName>
    <definedName name="_RIV38124b45b9fd492888fe798b051efbf4" hidden="1">#REF!</definedName>
    <definedName name="_RIV38223f29363047c79eab2e9115d913eb" hidden="1">#REF!</definedName>
    <definedName name="_RIV38643c2691b445a69bbe51f4a9faefc6" hidden="1">#REF!</definedName>
    <definedName name="_RIV388424d691bb4b9081b9a10a59361ce1" hidden="1">#REF!</definedName>
    <definedName name="_RIV38e94ca6c2f242ee8c1cb5c3f0e29089" hidden="1">#REF!</definedName>
    <definedName name="_RIV394c4dff3bcc48f0ae2354c4bcd40df7" hidden="1">#REF!</definedName>
    <definedName name="_RIV3a32cab547094dc689363a40678252ef" hidden="1">#REF!</definedName>
    <definedName name="_RIV3ac59a0e42554c70a6dc21f2302d3d52" hidden="1">#REF!</definedName>
    <definedName name="_RIV3aedac537df14561903503563491fac6" hidden="1">#REF!</definedName>
    <definedName name="_RIV3b1f91eaa2d94f278766ce2a34f194ae" hidden="1">#REF!</definedName>
    <definedName name="_RIV3b2cc51c2599425095be9380cb889c7f" hidden="1">#REF!</definedName>
    <definedName name="_RIV3b386a5fb52e49fd916e5d3c9e094ff2" hidden="1">#REF!</definedName>
    <definedName name="_RIV3b7c9a0c50ed4a5db6de75c82da8a7a9" hidden="1">#REF!</definedName>
    <definedName name="_RIV3b7e2b238f614d5e823078f68033b234" hidden="1">#REF!</definedName>
    <definedName name="_RIV3c19a36c1e1b4a719076eeaa30e4c3dd" hidden="1">#REF!</definedName>
    <definedName name="_RIV3c1e14c6ecb44cd59c6fadcc40dad531" hidden="1">#REF!</definedName>
    <definedName name="_RIV3ccf6e568ac54acbacd82c744ff9ae3b" hidden="1">#REF!</definedName>
    <definedName name="_RIV3d32c46e99f94fdbb02f6b8b7a5d6b5a" hidden="1">#REF!</definedName>
    <definedName name="_RIV3d8ef82d40cb49648e3240b2686df83d" hidden="1">#REF!</definedName>
    <definedName name="_RIV3dd7570a18ed47139edd4a5eef5e555d" hidden="1">#REF!</definedName>
    <definedName name="_RIV3e02a264c5e243c2b774b3fa65d69408" hidden="1">#REF!</definedName>
    <definedName name="_RIV3e28b37e3340461785e0580f86bdacbd" hidden="1">#REF!</definedName>
    <definedName name="_RIV3e42075d8e254542a6dcfc20918725da" hidden="1">#REF!</definedName>
    <definedName name="_RIV3e617b9512084d7e90ba66f95ad4ca9a" hidden="1">#REF!</definedName>
    <definedName name="_RIV3e76b43f282d4ee28fa9414dea0e4893" hidden="1">#REF!</definedName>
    <definedName name="_RIV3e82f5161a1c43ee96d5f610c0156415" hidden="1">#REF!</definedName>
    <definedName name="_RIV3eb2fa5f13ad45a9a3a0070edf301033" hidden="1">#REF!</definedName>
    <definedName name="_RIV3ef54350cc0543ef95ea393f3ebd72f8" hidden="1">#REF!</definedName>
    <definedName name="_RIV3f1ff2bcc9324166928ba29497f39021" hidden="1">#REF!</definedName>
    <definedName name="_RIV3f4856e4a6fe4435ac652b1a7be6ed6c" hidden="1">#REF!</definedName>
    <definedName name="_RIV409a114b09654df9ae81dbf8e0173af3" hidden="1">#REF!</definedName>
    <definedName name="_RIV41e449aaeaa24468808cba8024935afc" hidden="1">#REF!</definedName>
    <definedName name="_RIV423873e30a3d46dc8d36dff79bb1234e" hidden="1">#REF!</definedName>
    <definedName name="_RIV42e7609ef1ff4be29d4fa5dc9132fffc" hidden="1">#REF!</definedName>
    <definedName name="_RIV435b7cc9695d4ed8a0eecc077a43436f" hidden="1">#REF!</definedName>
    <definedName name="_RIV43bd800fd1014c0ca420511ed837556a" hidden="1">#REF!</definedName>
    <definedName name="_RIV43fb791d1919409ebadd2b9f3f9ac0cf" hidden="1">#REF!</definedName>
    <definedName name="_RIV452345ebba6841f28dca8bfb2a8e0790" hidden="1">#REF!</definedName>
    <definedName name="_RIV4573d0e5549745428e4f4154a5d6cc80" hidden="1">#REF!</definedName>
    <definedName name="_RIV45abbb2b9a6848d58dd5ebfb737ce1ef" hidden="1">#REF!</definedName>
    <definedName name="_RIV46a8dd0cd0334d64afa0ff4b816079f7" hidden="1">#REF!</definedName>
    <definedName name="_RIV46fecb5034094f4a98a78a7e8b1e655b" hidden="1">#REF!</definedName>
    <definedName name="_RIV47460fe613d640dcb5b2bc8c180826ae" hidden="1">#REF!</definedName>
    <definedName name="_RIV47b638bc36c0451d94bfe231f78ebb24" hidden="1">#REF!</definedName>
    <definedName name="_RIV47ca136d9f0e405fb5c531d3aa733444" hidden="1">#REF!</definedName>
    <definedName name="_RIV47daad99ec5b4e51be3ef4b38b7613a6" hidden="1">#REF!</definedName>
    <definedName name="_RIV488acf80490743d1b7890eb07e8affe3" hidden="1">#REF!</definedName>
    <definedName name="_RIV48ffafb688054bcd801accef016cfc3a" hidden="1">#REF!</definedName>
    <definedName name="_RIV4910e781e61e4228a01934be7b9825a5" hidden="1">#REF!</definedName>
    <definedName name="_RIV4988c848124144b8b9a728fb9323e22c" hidden="1">#REF!</definedName>
    <definedName name="_RIV49c6d81c40714488885cd03091bd308e" hidden="1">#REF!</definedName>
    <definedName name="_RIV49faa4f0c2d9402db860553a32b7f31b" hidden="1">#REF!</definedName>
    <definedName name="_RIV4a1d3ae22e6f4b44b255e0479b719c2c" hidden="1">#REF!</definedName>
    <definedName name="_RIV4b495f998c0e4845a8df60d97680bfff" hidden="1">#REF!</definedName>
    <definedName name="_RIV4becba80d29947ccae2191d67c75bd62" hidden="1">#REF!</definedName>
    <definedName name="_RIV4d2c12656478431a937e4a3ad20b18b5" hidden="1">#REF!</definedName>
    <definedName name="_RIV4d9d1a65b0fc4f51b02082da05137fd0" hidden="1">#REF!</definedName>
    <definedName name="_RIV4daaa755d51c47449d3e60af8fc45b5c" hidden="1">#REF!</definedName>
    <definedName name="_RIV4df210cebec243cebbaac9c17c3b031f" hidden="1">#REF!</definedName>
    <definedName name="_RIV4e2867a7cbae41b8874d4f14ca558c85" hidden="1">#REF!</definedName>
    <definedName name="_RIV4e84020b738047c6bf9574487b0abff6" hidden="1">#REF!</definedName>
    <definedName name="_RIV4ef20807a5c944b9bf4bfc4370364362" hidden="1">#REF!</definedName>
    <definedName name="_RIV4f004daf8d854442b38f09a3539deada" hidden="1">#REF!</definedName>
    <definedName name="_RIV4f066c6385574dc99331376a9f52948b" hidden="1">#REF!</definedName>
    <definedName name="_RIV4f30eaf4a5bb4289b13399abdb1e4b94" hidden="1">#REF!</definedName>
    <definedName name="_RIV4fcaf0b0972c44d69ae06a3edb0fef45" hidden="1">#REF!</definedName>
    <definedName name="_RIV5056c168f26f4865ae5dcc4149b37c8d" hidden="1">#REF!</definedName>
    <definedName name="_RIV506dec48ec6a469992d8dac0f01c598d" hidden="1">#REF!</definedName>
    <definedName name="_RIV51c4ce138e9d4208b03dafd2f57cf377" hidden="1">#REF!</definedName>
    <definedName name="_RIV5216daeb7ab34356967d0f3784979d4f" hidden="1">#REF!</definedName>
    <definedName name="_RIV523db405a69b4c7295a9ea2db7230383" hidden="1">#REF!</definedName>
    <definedName name="_RIV52b9747cea3041669dfcb8348ec47d1e" hidden="1">#REF!</definedName>
    <definedName name="_RIV52cdcb155fe744bfb434229507bca736" hidden="1">#REF!</definedName>
    <definedName name="_RIV5371fa60c4b74affafc1412be65b7df5" hidden="1">#REF!</definedName>
    <definedName name="_RIV53bebf4553b7454eb5bf6eef9d6c198a" hidden="1">#REF!</definedName>
    <definedName name="_RIV54f22318aed4426ea852d14f821a7d50" hidden="1">#REF!</definedName>
    <definedName name="_RIV55e8f7a7b740484ba91a770d10ffc976" hidden="1">#REF!</definedName>
    <definedName name="_RIV574bd690aac1403391ff862372586f11" hidden="1">#REF!</definedName>
    <definedName name="_RIV57e3e8fc825d4c9ab08ec7e33cfb4814" hidden="1">#REF!</definedName>
    <definedName name="_RIV57f829ada25e4fc593cdcea6cb1312a7" hidden="1">#REF!</definedName>
    <definedName name="_RIV5991a39624094e0eab4cea82088f3c82" hidden="1">#REF!</definedName>
    <definedName name="_RIV5a2613cb84844d2a8fe7f129c593b0d3" hidden="1">#REF!</definedName>
    <definedName name="_RIV5be5f4dfc13b4a02bb917148e5fc27c0" hidden="1">#REF!</definedName>
    <definedName name="_RIV5bfbf127382d40fa83d272f569258e62" hidden="1">#REF!</definedName>
    <definedName name="_RIV5ce12c7c0d7843a9a81882a732d5c176" hidden="1">#REF!</definedName>
    <definedName name="_RIV5da4f2805d1a4d1a980157ba51e394b1" hidden="1">#REF!</definedName>
    <definedName name="_RIV5dc13c36442d45d28e8b8096bb7ef223" hidden="1">#REF!</definedName>
    <definedName name="_RIV5dc54bc2edab42ec976c6e7eab132a10" hidden="1">#REF!</definedName>
    <definedName name="_RIV5ddf3abb1fb043099ac3f8ed3ac8bb71" hidden="1">#REF!</definedName>
    <definedName name="_RIV5e28ac3712b54518a8d2c9f9bec59cf1" hidden="1">#REF!</definedName>
    <definedName name="_RIV5e3e02d0ed2342b5a39cf0f60ddb5c63" hidden="1">#REF!</definedName>
    <definedName name="_RIV5e489c4257564dabb6af50999086419d" hidden="1">#REF!</definedName>
    <definedName name="_RIV5f06e99ecad24d1cb38fccb1fcfab87b" hidden="1">#REF!</definedName>
    <definedName name="_RIV5f3fb17ab2414b0ba24b321cf872dbe6" hidden="1">#REF!</definedName>
    <definedName name="_RIV5fa960dbcad44cbca0fcdad73d20365a" hidden="1">#REF!</definedName>
    <definedName name="_RIV601060c4d0b24e80ad5467fd40010010" hidden="1">#REF!</definedName>
    <definedName name="_RIV615ccd18e1d341ae9efd911cdba4fd21" hidden="1">#REF!</definedName>
    <definedName name="_RIV615d453ee99f4dbd8eb4a8b2a971f924" hidden="1">#REF!</definedName>
    <definedName name="_RIV617b1a28efdb436ebad1f17e5a5f04b4" hidden="1">#REF!</definedName>
    <definedName name="_RIV619a9dff988843e7a05f81a7436ef597" hidden="1">#REF!</definedName>
    <definedName name="_RIV61abd97d80404549983dc20e7739abe0" hidden="1">#REF!</definedName>
    <definedName name="_RIV62582efa45834f19b1b288fd0a4820ec" hidden="1">#REF!</definedName>
    <definedName name="_RIV62f095d3c4a74be38249d41445f60c26" hidden="1">#REF!</definedName>
    <definedName name="_RIV635d99b64d314968af79c69183abae89" hidden="1">#REF!</definedName>
    <definedName name="_RIV63778b7c13084ba0aa3aedcb2846f49d" hidden="1">#REF!</definedName>
    <definedName name="_RIV63de72e5980348118090614da93b466f" hidden="1">#REF!</definedName>
    <definedName name="_RIV64097cbd138a49029e7cead503be2ec4" hidden="1">#REF!</definedName>
    <definedName name="_RIV641dbf87819b41c4be2d3f224c0b7808" hidden="1">#REF!</definedName>
    <definedName name="_RIV65abed1432ab450e9ffa0788db0ffab6" hidden="1">#REF!</definedName>
    <definedName name="_RIV65ff3466df14445783e99088fc39f8a4" hidden="1">#REF!</definedName>
    <definedName name="_RIV664d05c464c94d88b05247f210a41828" hidden="1">#REF!</definedName>
    <definedName name="_RIV67e706771b954ab4a80c66de697fdb24" hidden="1">#REF!</definedName>
    <definedName name="_RIV680b186df025427abfc73b70e455e821" hidden="1">#REF!</definedName>
    <definedName name="_RIV681375caded442bfbfffcb5821a3775a" hidden="1">#REF!</definedName>
    <definedName name="_RIV6827d5f6badc4442a5e56bf7d0939cf5" hidden="1">#REF!</definedName>
    <definedName name="_RIV69cbf4a739e1473aac8c4d03a67981e2" hidden="1">#REF!</definedName>
    <definedName name="_RIV69d2d9c82bcb4f198d1dd2a1ef6f9d31" hidden="1">#REF!</definedName>
    <definedName name="_RIV6a23863ca1304ae8ba48a989c95594a5" hidden="1">#REF!</definedName>
    <definedName name="_RIV6a353bef9a10459d982420e811562b3b" hidden="1">#REF!</definedName>
    <definedName name="_RIV6ab89be36e0842d0b14882e0970ca1a7" hidden="1">#REF!</definedName>
    <definedName name="_RIV6b44a94ee82e4a48a123315b1907a914" hidden="1">#REF!</definedName>
    <definedName name="_RIV6b6ce74cec864c31bcbf38eb6e5ff0bf" hidden="1">#REF!</definedName>
    <definedName name="_RIV6ba2f6cf9e4c4850ba611754bace30e1" hidden="1">#REF!</definedName>
    <definedName name="_RIV6baaa56b5836408b9b572ba95847abff" hidden="1">#REF!</definedName>
    <definedName name="_RIV6bbf26d85f3141c6a090ddc52d337b95" hidden="1">#REF!</definedName>
    <definedName name="_RIV6c76de42465a4cf3869fcb35dff139b1" hidden="1">#REF!</definedName>
    <definedName name="_RIV6cb7bd3350ae4ccc9d843c9de4e2d069" hidden="1">#REF!</definedName>
    <definedName name="_RIV6ccebd1c29084454884fda2b9522bccc" hidden="1">#REF!</definedName>
    <definedName name="_RIV6cfd8ac1d0754bf89fc1aeb6bc26b3b9" hidden="1">#REF!</definedName>
    <definedName name="_RIV6d958e56f0d54d3a885b1f2917c2b364" hidden="1">#REF!</definedName>
    <definedName name="_RIV6e12f96a590c45b3ac263d87d5c288c6" hidden="1">#REF!</definedName>
    <definedName name="_RIV6eb92eef8aa1442fafc0ca6f02e18e0f" hidden="1">#REF!</definedName>
    <definedName name="_RIV6f16ad4f4f3d40358b917d3b2a9dce93" hidden="1">#REF!</definedName>
    <definedName name="_RIV6f29630edd26432f99e8dc5c263baa68" hidden="1">#REF!</definedName>
    <definedName name="_RIV6ff5f90c1c81402a9dbf5f1a4a7ba8db" hidden="1">#REF!</definedName>
    <definedName name="_RIV7164f0569bb64d42bea8c855637802c3" hidden="1">#REF!</definedName>
    <definedName name="_RIV7218d4204a7049b5ba6cef3c384e3e5f" hidden="1">#REF!</definedName>
    <definedName name="_RIV7226669ec1934186bee7fbbf1b411017" hidden="1">#REF!</definedName>
    <definedName name="_RIV72c5e28f2eb54c91b905d70fa40c0a3f" hidden="1">#REF!</definedName>
    <definedName name="_RIV731e706739a147a69d41f9936a3bffcf" hidden="1">#REF!</definedName>
    <definedName name="_RIV73bf76e02bfd4f47bf5055d7b12e20c4" hidden="1">#REF!</definedName>
    <definedName name="_RIV75162c8524cc42ef850401882d89bc04" hidden="1">#REF!</definedName>
    <definedName name="_RIV754c456effc54983996d0e4c02e455f5" hidden="1">#REF!</definedName>
    <definedName name="_RIV764137a28ee94e6b93af0f726495bc95" hidden="1">#REF!</definedName>
    <definedName name="_RIV771e33966255440d80e49ceec6473419" hidden="1">#REF!</definedName>
    <definedName name="_RIV7730907b94ff4be68c1151adccddac09" hidden="1">#REF!</definedName>
    <definedName name="_RIV775a26204dd241d58fa0e381d447ef5b" hidden="1">#REF!</definedName>
    <definedName name="_RIV77645f5b6e834beab66496b9a38812bd" hidden="1">#REF!</definedName>
    <definedName name="_RIV7842f91caff241828109e9909f804a4b" hidden="1">#REF!</definedName>
    <definedName name="_RIV7862cc8b0de04c8bbba699eafbbb9b06" hidden="1">#REF!</definedName>
    <definedName name="_RIV78ca8a2ad24247ab87148dd2d6195c11" hidden="1">#REF!</definedName>
    <definedName name="_RIV78fe47f4efc847579ef55afa61d94efc" hidden="1">#REF!</definedName>
    <definedName name="_RIV7924f71abe764a1b95acaf87b9f5ec9f" hidden="1">#REF!</definedName>
    <definedName name="_RIV7a1c561ebe924dcc959a9d2f4fc56856" hidden="1">#REF!</definedName>
    <definedName name="_RIV7ab30d1c8933482d95174ec181f89df9" hidden="1">#REF!</definedName>
    <definedName name="_RIV7b2a2673af564dc0822f240f042bc64a" hidden="1">#REF!</definedName>
    <definedName name="_RIV7b3bb3c42d744fdb9c4c788046b39b95" hidden="1">#REF!</definedName>
    <definedName name="_RIV7b569989d07e4731a65282a3b38dd686" hidden="1">#REF!</definedName>
    <definedName name="_RIV7c1bbb40278d42a4ba8c1fdaffc8d926" hidden="1">#REF!</definedName>
    <definedName name="_RIV7c8737aea96849acabd1bffee41d75c8" hidden="1">#REF!</definedName>
    <definedName name="_RIV7c9a1bc82a7e4c5297594fc7dd9c1207" hidden="1">#REF!</definedName>
    <definedName name="_RIV7ca79c7698e54e6a825a190b4ea2ce78" hidden="1">#REF!</definedName>
    <definedName name="_RIV7cd19ff3a267443bac6231719430d483" hidden="1">#REF!</definedName>
    <definedName name="_RIV7dcf1d29ed4046429ef99375cefde305" hidden="1">#REF!</definedName>
    <definedName name="_RIV7ddd557c5d16455d8d55767757c1221f" hidden="1">#REF!</definedName>
    <definedName name="_RIV7e522ff835554998bdebc7338a51beb7" hidden="1">#REF!</definedName>
    <definedName name="_RIV80ea5ec1fff54eaf971fbc14dccaccc3" hidden="1">#REF!</definedName>
    <definedName name="_RIV813c5395099f4c3abf45ebe5ae361616" hidden="1">#REF!</definedName>
    <definedName name="_RIV81e16c0b479f418cae8583e265c06a63" hidden="1">#REF!</definedName>
    <definedName name="_RIV81f17ce9942c42418de5485012335814" hidden="1">#REF!</definedName>
    <definedName name="_RIV832ceb2c3d4440928db5d4fa07182513" hidden="1">#REF!</definedName>
    <definedName name="_RIV8466f361f24143a0b515d166f22e4cd0" hidden="1">#REF!</definedName>
    <definedName name="_RIV84c2cdfed0ea4b7b88d741963733a167" hidden="1">#REF!</definedName>
    <definedName name="_RIV84c4f40c63e946238d5090f14dad15d5" hidden="1">#REF!</definedName>
    <definedName name="_RIV84c8e0b0ae1244faab88f524b5e96905" hidden="1">#REF!</definedName>
    <definedName name="_RIV84ccdb0baaa24161a5ce56bb5050b3d2" hidden="1">#REF!</definedName>
    <definedName name="_RIV855a72b957ef475fadfa41ad9ee11b50" hidden="1">#REF!</definedName>
    <definedName name="_RIV858a5533305c486d8e48d88fc46b7106" hidden="1">#REF!</definedName>
    <definedName name="_RIV86ea2d94c88d4503bc410e62cc6b6c2b" hidden="1">#REF!</definedName>
    <definedName name="_RIV86f2d75c307946fba0d0bebbb27a5b02" hidden="1">#REF!</definedName>
    <definedName name="_RIV876c6a43571647d99f46ad871d9306a3" hidden="1">#REF!</definedName>
    <definedName name="_RIV8776d4671ff844d7943e81eaabfea75a" hidden="1">#REF!</definedName>
    <definedName name="_RIV88735397f02043929323838509d636e4" hidden="1">#REF!</definedName>
    <definedName name="_RIV88968903923e4d54bea92edc17fa0283" hidden="1">#REF!</definedName>
    <definedName name="_RIV889921ff76874445a9c68e8553c8ccce" hidden="1">#REF!</definedName>
    <definedName name="_RIV889f04db4c8648e3a6a76ba8e87c2635" hidden="1">#REF!</definedName>
    <definedName name="_RIV89889f00cbb44f5daf406b803ae9e89f" hidden="1">#REF!</definedName>
    <definedName name="_RIV8a5c7509eabf4e8bb4c63a0853698fd8" hidden="1">#REF!</definedName>
    <definedName name="_RIV8b81f416e3b54e2fa781764de9a9d5a7" hidden="1">#REF!</definedName>
    <definedName name="_RIV8b8a4ca1a1a44078992888ccc49a0ccf" hidden="1">#REF!</definedName>
    <definedName name="_RIV8c8f56a056bc4b64942c198d497d3b45" hidden="1">#REF!</definedName>
    <definedName name="_RIV8cdcc536abb54746b11d33d47d5f4b05" hidden="1">#REF!</definedName>
    <definedName name="_RIV8d2466c53ad9401a9305b3e6a9b1d738" hidden="1">#REF!</definedName>
    <definedName name="_RIV8e39de1d2d51437fac07cd0a9a724e0c" hidden="1">#REF!</definedName>
    <definedName name="_RIV8e6e0af9047d45fd86546c2480dc86e9" hidden="1">#REF!</definedName>
    <definedName name="_RIV8e7dabe2dbf04b4fa098dbd42aab04e5" hidden="1">#REF!</definedName>
    <definedName name="_RIV8e91ef9eb35c4979b372ddea78b57e70" hidden="1">#REF!</definedName>
    <definedName name="_RIV8ee75f6d3db9470d86e61ae6f18a6d45" hidden="1">#REF!</definedName>
    <definedName name="_RIV8f0a463a73c34a288e8476aebf3e0887" hidden="1">#REF!</definedName>
    <definedName name="_RIV8f749fcbcbd54fd0abda19cb831d8461" hidden="1">#REF!</definedName>
    <definedName name="_RIV90478f12d4c84d94a10c7950bad6598a" hidden="1">#REF!</definedName>
    <definedName name="_RIV9083f576a7054c6d876947a967ffd593" hidden="1">#REF!</definedName>
    <definedName name="_RIV90a1c9ef506648348499e9aa0ac5573a" hidden="1">#REF!</definedName>
    <definedName name="_RIV90a237e799374c648ba55096b17ba48c" hidden="1">#REF!</definedName>
    <definedName name="_RIV90b0f66ad603485fb975897ee75e484b" hidden="1">#REF!</definedName>
    <definedName name="_RIV912c81af4bb048d585436aa5142ec489" hidden="1">#REF!</definedName>
    <definedName name="_RIV92396e0ff29f4e3fa242addaf8f0f95a" hidden="1">#REF!</definedName>
    <definedName name="_RIV925322b1b524429abef94e364df38721" hidden="1">#REF!</definedName>
    <definedName name="_RIV927199bfd83448bab39311e32e7e1bf1" hidden="1">#REF!</definedName>
    <definedName name="_RIV9357e85ef3a84cc6b25eac0836abc32d" hidden="1">#REF!</definedName>
    <definedName name="_RIV936044637363406596c268a0f6b9785e" hidden="1">#REF!</definedName>
    <definedName name="_RIV93dce7da4aea4d5cb57c9e0cdf8e075e" hidden="1">#REF!</definedName>
    <definedName name="_RIV9493e8b1bba142298f9e66b578ac826e" hidden="1">#REF!</definedName>
    <definedName name="_RIV9585065e2a2e46aaaa10d52a11104443" hidden="1">#REF!</definedName>
    <definedName name="_RIV960c1c18d8e849748579a13d6a5e2305" hidden="1">#REF!</definedName>
    <definedName name="_RIV961eebd1da114463a9b1d1679b6090ea" hidden="1">#REF!</definedName>
    <definedName name="_RIV96530b5aecb94b4eb6757097fb35af06" hidden="1">#REF!</definedName>
    <definedName name="_RIV9655b286e53349e18e8dd2a39837c2d0" hidden="1">#REF!</definedName>
    <definedName name="_RIV9863d1a7bfc041fb9b077895d860db8e" hidden="1">#REF!</definedName>
    <definedName name="_RIV9864dfc2e82941e3b3e5129781abf177" hidden="1">#REF!</definedName>
    <definedName name="_RIV988e049190154b678f54f4dce22130cb" hidden="1">#REF!</definedName>
    <definedName name="_RIV98b273db902c4361b63a7c962e37ced0" hidden="1">#REF!</definedName>
    <definedName name="_RIV98f5942a614b40fd892deea3b0afb808" hidden="1">#REF!</definedName>
    <definedName name="_RIV9961692e98d040c3af6981e203bc763e" hidden="1">#REF!</definedName>
    <definedName name="_RIV99d5e6db618947859c09c5b0ca4230aa" hidden="1">#REF!</definedName>
    <definedName name="_RIV99f10a8340874830b83bbf394af87a7f" hidden="1">#REF!</definedName>
    <definedName name="_RIV9b611ab422a54426882b8f1613a4d21f" hidden="1">#REF!</definedName>
    <definedName name="_RIV9be64dbae3434a2b82b45ef44f4f8736" hidden="1">#REF!</definedName>
    <definedName name="_RIV9cc75bc7b53f420f82f31eee3a0bdf26" hidden="1">#REF!</definedName>
    <definedName name="_RIV9d25d7ba4aaf44b9a5f2c09934fad947" hidden="1">#REF!</definedName>
    <definedName name="_RIV9f21a1c78cbc45b1a13aeb47c3928765" hidden="1">#REF!</definedName>
    <definedName name="_RIVa005224f75f0487fa65b482fcabb8ca1" hidden="1">#REF!</definedName>
    <definedName name="_RIVa03d0546b3a84941a044d23592e49e75" hidden="1">#REF!</definedName>
    <definedName name="_RIVa0912dafb2684964b649b7d28b3b523a" hidden="1">#REF!</definedName>
    <definedName name="_RIVa11ea691d3044724bcf238a680b241e0" hidden="1">#REF!</definedName>
    <definedName name="_RIVa14cf068eb004a83a0d3153295c61904" hidden="1">#REF!</definedName>
    <definedName name="_RIVa21f17f0071243ceae11c84e1732711f" hidden="1">#REF!</definedName>
    <definedName name="_RIVa227e8e6034f4017b3a175c6683b3b02" hidden="1">#REF!</definedName>
    <definedName name="_RIVa2d9bec715624a428243f12220fce7cb" hidden="1">#REF!</definedName>
    <definedName name="_RIVa2dd544613ef4c3dbb266bf39988e48f" hidden="1">#REF!</definedName>
    <definedName name="_RIVa35527942db042a091bd4a7374129d1e" hidden="1">#REF!</definedName>
    <definedName name="_RIVa3793c8516624a8f93546e1ae4b77283" hidden="1">#REF!</definedName>
    <definedName name="_RIVa3d77c17c09647f280652d660388a031" hidden="1">#REF!</definedName>
    <definedName name="_RIVa3e811d273fd416a9e9a36dd5b7b3381" hidden="1">#REF!</definedName>
    <definedName name="_RIVa40ec4658dda42c2b009e0ee8b6a5fd4" hidden="1">#REF!</definedName>
    <definedName name="_RIVa45968c3ea234a4e8eeb897c81b1e4bf" hidden="1">#REF!</definedName>
    <definedName name="_RIVa46568a47b8b42e38af7963252abf89e" hidden="1">#REF!</definedName>
    <definedName name="_RIVa48d1a8aa8fb438f893ce1faa7a92110" hidden="1">#REF!</definedName>
    <definedName name="_RIVa57f28109edf4777bc43d464645953db" hidden="1">#REF!</definedName>
    <definedName name="_RIVa61b0ebc940e47edad6735f7d260fe2f" hidden="1">#REF!</definedName>
    <definedName name="_RIVa62c631f961a43bfad5310d8115e5b07" hidden="1">#REF!</definedName>
    <definedName name="_RIVa63557aae4694ec29f73fe69b7cb450b" hidden="1">#REF!</definedName>
    <definedName name="_RIVa67e9cbd36a341409931a85824483385" hidden="1">#REF!</definedName>
    <definedName name="_RIVa6b882110ca843c4b409eef54819284e" hidden="1">#REF!</definedName>
    <definedName name="_RIVa6cdd807c1494bf3b606b244e45625ec" hidden="1">#REF!</definedName>
    <definedName name="_RIVa7600f5e4f98463787b8dee756d1ebf0" hidden="1">#REF!</definedName>
    <definedName name="_RIVa7be9cdf3b424357b03f419a438d2104" hidden="1">#REF!</definedName>
    <definedName name="_RIVa7c4809615fe4fe9947a2f0139e977d2" hidden="1">#REF!</definedName>
    <definedName name="_RIVa7febc443a694ebbb2141f673e53485e" hidden="1">#REF!</definedName>
    <definedName name="_RIVa8377ea700c94d04aa9934fd3c46895f" hidden="1">#REF!</definedName>
    <definedName name="_RIVa87687cde9d249f4afb472731a7b222a" hidden="1">#REF!</definedName>
    <definedName name="_RIVa88499afeb844ce582727bfd7037c66a" hidden="1">#REF!</definedName>
    <definedName name="_RIVa92a7935bd7c4289997b6ce74b6dbdc2" hidden="1">#REF!</definedName>
    <definedName name="_RIVaa1ec7cafecf4618bcae31155cb26d52" hidden="1">#REF!</definedName>
    <definedName name="_RIVaa3af4e39c8e48d8b406d35f4a496c95" hidden="1">#REF!</definedName>
    <definedName name="_RIVabea643d204f4ed0a91223b01d9d2c46" hidden="1">#REF!</definedName>
    <definedName name="_RIVac1f8ecfb6b94e54ac1eb26d1d16f4af" hidden="1">#REF!</definedName>
    <definedName name="_RIVadd410bdaa3248feb80f2a952ee9dce9" hidden="1">#REF!</definedName>
    <definedName name="_RIVadfd76c78a424cd1be2a539755e7bffe" hidden="1">#REF!</definedName>
    <definedName name="_RIVae107fd824034a04a6d4d9890f530002" hidden="1">#REF!</definedName>
    <definedName name="_RIVae628ad21f134a64bf3c98d08838ba8c" hidden="1">#REF!</definedName>
    <definedName name="_RIVae7bc1ee13dc4157af2a040badad7ff1" hidden="1">#REF!</definedName>
    <definedName name="_RIVaefdaa9af10b4f5ea2e7809dd3256b22" hidden="1">#REF!</definedName>
    <definedName name="_RIVaf47b8f4d11b49ffafa24edb07f0af14" hidden="1">#REF!</definedName>
    <definedName name="_RIVafd5cfe6a03f465a9c45d8016282e33c" hidden="1">#REF!</definedName>
    <definedName name="_RIVb0062056df8842aeb765822b923f8d27" hidden="1">#REF!</definedName>
    <definedName name="_RIVb054177b4b2c4008b9b20c129946d170" hidden="1">#REF!</definedName>
    <definedName name="_RIVb0cdc67178dc4cbd9256b5ea47132ffb" hidden="1">#REF!</definedName>
    <definedName name="_RIVb150487926854c60b17f50545eda2e3d" hidden="1">#REF!</definedName>
    <definedName name="_RIVb19da40153b74a39b843bceb8110a68e" hidden="1">#REF!</definedName>
    <definedName name="_RIVb25eb36437f04847977a3a45b4a5de35" hidden="1">#REF!</definedName>
    <definedName name="_RIVb3661f7e9e38431ab18486afcdc36eb1" hidden="1">#REF!</definedName>
    <definedName name="_RIVb37e88536a87460495a06a30dd6eadac" hidden="1">#REF!</definedName>
    <definedName name="_RIVb4b0dcd25f54495aba8828595b853e84" hidden="1">#REF!</definedName>
    <definedName name="_RIVb4d7ea1e26d84a40a20287e91413f241" hidden="1">#REF!</definedName>
    <definedName name="_RIVb4ef5421cc88493aa8e132fd3d9b210d" hidden="1">#REF!</definedName>
    <definedName name="_RIVb4f504747c194601b9a598c29b59e6f0" hidden="1">#REF!</definedName>
    <definedName name="_RIVb60bfb90722144ee8d857e1c34c9e336" hidden="1">#REF!</definedName>
    <definedName name="_RIVb64dcf19207d4558b2649c3484532710" hidden="1">#REF!</definedName>
    <definedName name="_RIVb7ff7062952c47f197d281da86f9b936" hidden="1">#REF!</definedName>
    <definedName name="_RIVb827c517d8674cd98bd0a09d842741c9" hidden="1">#REF!</definedName>
    <definedName name="_RIVb866c13da2674c1e9800d9763560e342" hidden="1">#REF!</definedName>
    <definedName name="_RIVb8de2eb69be849b094d0dc6d18dcf135" hidden="1">#REF!</definedName>
    <definedName name="_RIVb9298c28c240462ea355eea3319a277f" hidden="1">#REF!</definedName>
    <definedName name="_RIVb9ab4e1488174b18a265a5ed05c75e7b" hidden="1">#REF!</definedName>
    <definedName name="_RIVba5147233d5f44588d9d124bf3b36193" hidden="1">#REF!</definedName>
    <definedName name="_RIVbaa638f3255d4dc2b1fd682100e72802" hidden="1">#REF!</definedName>
    <definedName name="_RIVbade07cd4677443eb6613d83b15b686a" hidden="1">#REF!</definedName>
    <definedName name="_RIVbaf6e6006e94403985cce6160cbf8048" hidden="1">#REF!</definedName>
    <definedName name="_RIVbb00ca849f0245a4badf1918289deb78" hidden="1">#REF!</definedName>
    <definedName name="_RIVbb2a0378b6e64377bd7129bf8d758750" hidden="1">#REF!</definedName>
    <definedName name="_RIVbb43d87181a445a187b7a0bfb23dac1b" hidden="1">#REF!</definedName>
    <definedName name="_RIVbbbd998da3d14795b6b969deb8ef6645" hidden="1">#REF!</definedName>
    <definedName name="_RIVbbc0e38e67f14d6f9edf2f94055210d2" hidden="1">#REF!</definedName>
    <definedName name="_RIVbc091ad3950f41318fb4ea86039f34cd" hidden="1">#REF!</definedName>
    <definedName name="_RIVbd1f2c2a22414eacbb6dc5c608225f64" hidden="1">#REF!</definedName>
    <definedName name="_RIVbd8e1a907c4d4dc2bc45212f5a98562d" hidden="1">#REF!</definedName>
    <definedName name="_RIVbdbd756f84324343ab85d7d526c547cb" hidden="1">#REF!</definedName>
    <definedName name="_RIVbdcba36235b74cdb82c1d24a2eef8641" hidden="1">#REF!</definedName>
    <definedName name="_RIVbe1e3530f34e41b6a56d87593436028e" hidden="1">#REF!</definedName>
    <definedName name="_RIVbe2ecef202d84eda93584269bfa0c915" hidden="1">#REF!</definedName>
    <definedName name="_RIVbe528e4efe734daca66862aa81a2fc92" hidden="1">#REF!</definedName>
    <definedName name="_RIVc1b3a353f9bd405c82ed36be02711ee5" hidden="1">#REF!</definedName>
    <definedName name="_RIVc1fa32f8b9d74885941c330607723ba9" hidden="1">#REF!</definedName>
    <definedName name="_RIVc20858345d664df9a1f8cef1cae71ae8" hidden="1">#REF!</definedName>
    <definedName name="_RIVc2c346862437423aa19f2d1971bf340b" hidden="1">#REF!</definedName>
    <definedName name="_RIVc3785458883d4c01acf508fac6952068" hidden="1">#REF!</definedName>
    <definedName name="_RIVc3dbcf99783c4013b387c6146a94a97a" hidden="1">#REF!</definedName>
    <definedName name="_RIVc41f8fddabab437399f4c2064cec06b5" hidden="1">#REF!</definedName>
    <definedName name="_RIVc462722418ee444bac2a9bbc6abbb844" hidden="1">#REF!</definedName>
    <definedName name="_RIVc4eb65fcfba14ef19d2c32e5645e3d7b" hidden="1">#REF!</definedName>
    <definedName name="_RIVc54c04ba03e14d89af67cf7e4d4faf1f" hidden="1">#REF!</definedName>
    <definedName name="_RIVc577f2f68ba84d93964ad41e8acb732b" hidden="1">#REF!</definedName>
    <definedName name="_RIVc6053b5ed0d5404483c77a5f0a2b6de0" hidden="1">#REF!</definedName>
    <definedName name="_RIVc62cca5bdcbf40e3a4a620c148306293" hidden="1">#REF!</definedName>
    <definedName name="_RIVc697c202b89f44d48cf5614d2691436e" hidden="1">#REF!</definedName>
    <definedName name="_RIVc74decad4b7e4f50b68fbd04513ad46e" hidden="1">#REF!</definedName>
    <definedName name="_RIVc760a3921d374801992697c11dd3989e" hidden="1">#REF!</definedName>
    <definedName name="_RIVc765aa86d86a47d9891eca23dcd39399" hidden="1">#REF!</definedName>
    <definedName name="_RIVc79c95c3e74f4aca97b62ab63f47f31b" hidden="1">#REF!</definedName>
    <definedName name="_RIVc87e0e9ebe5d42d9a21fcdd83c67cc14" hidden="1">#REF!</definedName>
    <definedName name="_RIVc889025a079a4379961dbc24717b52f7" hidden="1">#REF!</definedName>
    <definedName name="_RIVc8eb5baf0600436f8c9728d6a0cbedad" hidden="1">#REF!</definedName>
    <definedName name="_RIVc9403b8b976142f093bfffc97abcd598" hidden="1">#REF!</definedName>
    <definedName name="_RIVc9fab27e335f4d3d82ec8c6e5793d2b2" hidden="1">#REF!</definedName>
    <definedName name="_RIVca90aea46ea549b582f49afcb717d41f" hidden="1">#REF!</definedName>
    <definedName name="_RIVcabcc90b070847e896be073bcee69eb6" hidden="1">#REF!</definedName>
    <definedName name="_RIVcb0e0ede44bd45958fcd60f1f9e8e758" hidden="1">#REF!</definedName>
    <definedName name="_RIVcbbe9679f8464e1ab36c6474c3795447" hidden="1">#REF!</definedName>
    <definedName name="_RIVcbee51c53550478c95d3c72f6c4623b5" hidden="1">#REF!</definedName>
    <definedName name="_RIVcc043f173f0344d093ddf9ce3015f16c" hidden="1">#REF!</definedName>
    <definedName name="_RIVcc425185bea6426b9e353af1e99db291" hidden="1">#REF!</definedName>
    <definedName name="_RIVcca15192c76f4e44ae8a576e655d4e7a" hidden="1">#REF!</definedName>
    <definedName name="_RIVccbb9063b7f54c7cb1a1f72508881776" hidden="1">#REF!</definedName>
    <definedName name="_RIVccdf6f3867314843b9ecbd4b4fdf10ea" hidden="1">#REF!</definedName>
    <definedName name="_RIVcd214b550abb428294816d4ba7de027e" hidden="1">#REF!</definedName>
    <definedName name="_RIVcd2fe5ff0a7a4faa83c7e9a902a519af" hidden="1">#REF!</definedName>
    <definedName name="_RIVcd3b84c6731b455f982f1d05bb3fa4a6" hidden="1">#REF!</definedName>
    <definedName name="_RIVcd4d895953a145cd86f63a6cce0c2744" hidden="1">#REF!</definedName>
    <definedName name="_RIVcde6e7267cb5459189267028ed02492b" hidden="1">#REF!</definedName>
    <definedName name="_RIVceb75107103748689a714441117078f6" hidden="1">#REF!</definedName>
    <definedName name="_RIVced7ae7f87fe48e88780d773f73505a1" hidden="1">#REF!</definedName>
    <definedName name="_RIVcf1a5ff6c0094ac885b4f48b1e9b557a" hidden="1">#REF!</definedName>
    <definedName name="_RIVcf2d4b498e87422eb1e93e33bd021d0a" hidden="1">#REF!</definedName>
    <definedName name="_RIVcf585c6cf562429791e67d4916708d09" hidden="1">#REF!</definedName>
    <definedName name="_RIVcf5872300e464a4c884e028bce2639f5" hidden="1">#REF!</definedName>
    <definedName name="_RIVcf7a5ac3b8594c799658ef341ff79e3d" hidden="1">#REF!</definedName>
    <definedName name="_RIVcfbed3528de84c59bd8f80450f595c08" hidden="1">#REF!</definedName>
    <definedName name="_RIVd06817c6427c40ff9af9db045602ad3c" hidden="1">#REF!</definedName>
    <definedName name="_RIVd0bed317c10b4698bbe4e27085993113" hidden="1">#REF!</definedName>
    <definedName name="_RIVd1af0c337731498bbcbb715cd9018ce8" hidden="1">#REF!</definedName>
    <definedName name="_RIVd258016c20ab4ca39910fa6e5672d874" hidden="1">#REF!</definedName>
    <definedName name="_RIVd32decd37c274433adb08f3e96db19d5" hidden="1">#REF!</definedName>
    <definedName name="_RIVd46a389bc346462182fd11bb8d2674f7" hidden="1">#REF!</definedName>
    <definedName name="_RIVd5364d6676fd401b957bfcdcd7e77a9b" hidden="1">#REF!</definedName>
    <definedName name="_RIVd56c8e37313640749a69a623ed17842b" hidden="1">#REF!</definedName>
    <definedName name="_RIVd5d094b35a5a4e929c9459b54a823396" hidden="1">#REF!</definedName>
    <definedName name="_RIVd60c5181bf8a47dfb407cc8ec5bd1c85" hidden="1">#REF!</definedName>
    <definedName name="_RIVd636d7845e174889a703f63bd4172a11" hidden="1">#REF!</definedName>
    <definedName name="_RIVd7152ef2ae1243adbbb8ea39e0e2332f" hidden="1">#REF!</definedName>
    <definedName name="_RIVd742ea8c517a482384115e6d2d52c07b" hidden="1">#REF!</definedName>
    <definedName name="_RIVd76e73fa0c6c419fad59da10a7929190" hidden="1">#REF!</definedName>
    <definedName name="_RIVd8547b65b186450e806394a6ad37cc07" hidden="1">#REF!</definedName>
    <definedName name="_RIVd85a44531b1e4d2594e84bea1655ca4a" hidden="1">#REF!</definedName>
    <definedName name="_RIVd85c55e8c937491e8ddd0d2b4e072a5b" hidden="1">#REF!</definedName>
    <definedName name="_RIVd8a8091536174ba2a442a4f032d951ec" hidden="1">#REF!</definedName>
    <definedName name="_RIVd8dd4357070341b990f968da9663aaa0" hidden="1">#REF!</definedName>
    <definedName name="_RIVd910b542b9fa4d1e90abd035fff93bf4" hidden="1">#REF!</definedName>
    <definedName name="_RIVda62b47e00554dd78972d7302a9e5911" hidden="1">#REF!</definedName>
    <definedName name="_RIVdae690ee20d8467488c5c8ac21de6975" hidden="1">#REF!</definedName>
    <definedName name="_RIVdaebb50a6b5c41d5bdf869341a584753" hidden="1">#REF!</definedName>
    <definedName name="_RIVdb778e4113724e15af5332412852d461" hidden="1">#REF!</definedName>
    <definedName name="_RIVdb9b5eb7198d41afa24dc996d91d9b88" hidden="1">#REF!</definedName>
    <definedName name="_RIVdc2fe820901c483dadf1fc2007ca9455" hidden="1">#REF!</definedName>
    <definedName name="_RIVdc3d62acc6524a079b649fee22fda0bb" hidden="1">#REF!</definedName>
    <definedName name="_RIVdc4b37c5eb264181a2d4a5bd1554a93a" hidden="1">#REF!</definedName>
    <definedName name="_RIVdc77caca0e4e4315a888941d47d832e3" hidden="1">#REF!</definedName>
    <definedName name="_RIVdc7ae7b5718b4c44b822918ded441c8a" hidden="1">#REF!</definedName>
    <definedName name="_RIVdca103de9aab4211b3b1fce571596571" hidden="1">#REF!</definedName>
    <definedName name="_RIVdce2ed90c00b4eb2971e51c660a3b3c8" hidden="1">#REF!</definedName>
    <definedName name="_RIVdceb3d4c2dc549c98d1c105d06492587" hidden="1">#REF!</definedName>
    <definedName name="_RIVdd34805b9ce14e4c902c5f462ee178e1" hidden="1">#REF!</definedName>
    <definedName name="_RIVdd5df892dac24d13b64112ccf7b1b400" hidden="1">#REF!</definedName>
    <definedName name="_RIVde59680dc95a4312ab3bc98619eb7572" hidden="1">#REF!</definedName>
    <definedName name="_RIVdefc686c09a14f7399ead5002bf83d97" hidden="1">#REF!</definedName>
    <definedName name="_RIVdff7c6b5822647dc9a283cca7845ec37" hidden="1">#REF!</definedName>
    <definedName name="_RIVe0790994945341ca85b3a92e84a94829" hidden="1">#REF!</definedName>
    <definedName name="_RIVe129028b963141e3acf2ddde5befdef5" hidden="1">#REF!</definedName>
    <definedName name="_RIVe21d2cf025834e2aacaa00941ca2d5dc" hidden="1">#REF!</definedName>
    <definedName name="_RIVe226e347e426448a857668a14f0b85e6" hidden="1">#REF!</definedName>
    <definedName name="_RIVe26ead7711ab4a87995a029c5d003e7e" hidden="1">#REF!</definedName>
    <definedName name="_RIVe2d0ab52b0d041d1b280f7273666b8d7" hidden="1">#REF!</definedName>
    <definedName name="_RIVe2e383195caf4da496f9e04ae8869544" hidden="1">#REF!</definedName>
    <definedName name="_RIVe304d267da0f4c6bbfa760eaf0199760" hidden="1">#REF!</definedName>
    <definedName name="_RIVe34a73aa3606404b87b033dd34141f9b" hidden="1">#REF!</definedName>
    <definedName name="_RIVe3d096899bb54cf78cd11fd2e11f9a50" hidden="1">#REF!</definedName>
    <definedName name="_RIVe41eb28e307b441b8e771ca2cacfe707" hidden="1">#REF!</definedName>
    <definedName name="_RIVe4b03209773b47ed98a1c75eae47fdf9" hidden="1">#REF!</definedName>
    <definedName name="_RIVe529c2caed924da2be8f141f1edea176" hidden="1">#REF!</definedName>
    <definedName name="_RIVe5bc8d6103094aee92e5fca14dc51c52" hidden="1">#REF!</definedName>
    <definedName name="_RIVe5bcc30bf92d493abc7746228f840f44" hidden="1">#REF!</definedName>
    <definedName name="_RIVe63fedba7b56426588ae9ac115bc08c5" hidden="1">#REF!</definedName>
    <definedName name="_RIVe683223c8bfe4b248133e53ee2cc6c76" hidden="1">#REF!</definedName>
    <definedName name="_RIVe6995763ea2c4ca591dc83807ea3e5af" hidden="1">#REF!</definedName>
    <definedName name="_RIVe70ad65f0bb347a590d46efbeff7939d" hidden="1">#REF!</definedName>
    <definedName name="_RIVe76cae8e43614ab3972c49e4d14404c9" hidden="1">#REF!</definedName>
    <definedName name="_RIVe843963156b241c4bc58492587eda2d5" hidden="1">#REF!</definedName>
    <definedName name="_RIVe865ba686b74408fb513109ddf40fe08" hidden="1">#REF!</definedName>
    <definedName name="_RIVe87a32b98cd349f7a13447cb23405c90" hidden="1">#REF!</definedName>
    <definedName name="_RIVe8c591bb139441148eaa1afe5c7895b6" hidden="1">#REF!</definedName>
    <definedName name="_RIVe8e67b5289bb4624b67701eb78bf6d6d" hidden="1">#REF!</definedName>
    <definedName name="_RIVe963e38d4eb1405d952eb813618b8ad0" hidden="1">#REF!</definedName>
    <definedName name="_RIVe9d267d872e84e4b92d91b3147424804" hidden="1">#REF!</definedName>
    <definedName name="_RIVea0764210fb04e5284c9187b76520714" hidden="1">#REF!</definedName>
    <definedName name="_RIVea999d55bae74c50aec1d910ea2003e5" hidden="1">#REF!</definedName>
    <definedName name="_RIVeaf312d1c902412b9c42d4e7c63b6e5b" hidden="1">#REF!</definedName>
    <definedName name="_RIVeb527f30093c409ea158896719ac20cb" hidden="1">#REF!</definedName>
    <definedName name="_RIVec221beb9bec423eaf38ac7b9f26a007" hidden="1">#REF!</definedName>
    <definedName name="_RIVec22cbdb8ff4408fb720f8c480e0136e" hidden="1">#REF!</definedName>
    <definedName name="_RIVeca86aeeea014564bce3946fbdd09372" hidden="1">#REF!</definedName>
    <definedName name="_RIVed0d7e12ebcb4cffbad9cf7d8bd18bf8" hidden="1">#REF!</definedName>
    <definedName name="_RIVee30b6286f3542fa971ce84b915f564f" hidden="1">#REF!</definedName>
    <definedName name="_RIVee3466fbd0514b43949cdaa7603e11f1" hidden="1">#REF!</definedName>
    <definedName name="_RIVee5fd16c01794752b99c5fff9df1ef6f" hidden="1">#REF!</definedName>
    <definedName name="_RIVefbefcdc24354034b3afa40e4271be09" hidden="1">#REF!</definedName>
    <definedName name="_RIVf0009aefed444c6aa7b60f2bdceca862" hidden="1">#REF!</definedName>
    <definedName name="_RIVf0181054c11144479beaea98ceb34655" hidden="1">#REF!</definedName>
    <definedName name="_RIVf05d57cd626d4fc9a85f8d3c9615bb51" hidden="1">#REF!</definedName>
    <definedName name="_RIVf11d70efe60240c49fe395a468ec599e" hidden="1">#REF!</definedName>
    <definedName name="_RIVf14fa37acea24d80b92076b87d72a903" hidden="1">#REF!</definedName>
    <definedName name="_RIVf1d0edf64e464b78b819c8a8509621ed" hidden="1">#REF!</definedName>
    <definedName name="_RIVf24955220dbe48409f6320c38a76fb7a" hidden="1">#REF!</definedName>
    <definedName name="_RIVf2a3174a87ab476a87061d7b4e94f4e4" hidden="1">#REF!</definedName>
    <definedName name="_RIVf39fe27cb41f4b78a3e25028df7f372a" hidden="1">#REF!</definedName>
    <definedName name="_RIVf3b7482548e04159bfb44e05954784f7" hidden="1">#REF!</definedName>
    <definedName name="_RIVf3d46906a70245d2bc47eba75f66e7c9" hidden="1">#REF!</definedName>
    <definedName name="_RIVf68d3b95143a47608eefbacd6fb69326" hidden="1">#REF!</definedName>
    <definedName name="_RIVf76d7701412b47da9a4398b838c224ae" hidden="1">#REF!</definedName>
    <definedName name="_RIVf794a0fd48a642c697c021406abae369" hidden="1">#REF!</definedName>
    <definedName name="_RIVf83902b6c03e4ce58cb0b26d8c561907" hidden="1">#REF!</definedName>
    <definedName name="_RIVf865bfd868dc4466b50c79029df2756a" hidden="1">#REF!</definedName>
    <definedName name="_RIVf916aa548ff940fe81243134c071862f" hidden="1">#REF!</definedName>
    <definedName name="_RIVf975e9ac86f44073a3bd1cd12a272a4c" hidden="1">#REF!</definedName>
    <definedName name="_RIVf989b2d288fe4e5ba883f60259de5e86" hidden="1">#REF!</definedName>
    <definedName name="_RIVf9e13a7a2285415c8c6c989194dc6b27" hidden="1">#REF!</definedName>
    <definedName name="_RIVfa893516b4cc4026954d2d49a48790c6" hidden="1">#REF!</definedName>
    <definedName name="_RIVfab1482014af482c828888d48a996ef6" hidden="1">#REF!</definedName>
    <definedName name="_RIVfb1ba0aa49024fcb94ff92bab066d9cb" hidden="1">#REF!</definedName>
    <definedName name="_RIVfbdc76e0387e439aa28957d3640d6d4d" hidden="1">#REF!</definedName>
    <definedName name="_RIVfc9ebcd6324a4e10a910b4d78ba5fe8e" hidden="1">#REF!</definedName>
    <definedName name="_RIVfd10ae21ccc64e6d8a176746438a7b2a" hidden="1">#REF!</definedName>
    <definedName name="_RIVfd73e581a72342178bdfa48bc08dd520" hidden="1">#REF!</definedName>
    <definedName name="_RIVfe03ec89c3af4ecf898a7eac4d4f2ec8" hidden="1">#REF!</definedName>
    <definedName name="_RIVfe76c755a68f471eba871edb45935b91" hidden="1">#REF!</definedName>
    <definedName name="_RIVffde6a989dec44e98cf7f6f79eaaf242" hidden="1">#REF!</definedName>
    <definedName name="_Sort" localSheetId="3" hidden="1">#REF!</definedName>
    <definedName name="_Sort" localSheetId="0" hidden="1">#REF!</definedName>
    <definedName name="_Sort" hidden="1">#REF!</definedName>
    <definedName name="_SPL2">#REF!</definedName>
    <definedName name="_SPL3">#REF!</definedName>
    <definedName name="_T" hidden="1">#REF!</definedName>
    <definedName name="_Tab2_In2" hidden="1">#REF!</definedName>
    <definedName name="_Table1_In1" hidden="1">#N/A</definedName>
    <definedName name="_Table1_Out" hidden="1">#N/A</definedName>
    <definedName name="_Table2" hidden="1">#REF!</definedName>
    <definedName name="_Table2_In1" hidden="1">#N/A</definedName>
    <definedName name="_Table2_In2" hidden="1">#N/A</definedName>
    <definedName name="_Table2_Out" hidden="1">#N/A</definedName>
    <definedName name="_TL" hidden="1">#REF!</definedName>
    <definedName name="_Vst1">#REF!</definedName>
    <definedName name="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wrn4" hidden="1">{"data",#N/A,FALSE,"INPUT"}</definedName>
    <definedName name="_wrn4_1" hidden="1">{"data",#N/A,FALSE,"INPUT"}</definedName>
    <definedName name="_wrn4_2" hidden="1">{"data",#N/A,FALSE,"INPUT"}</definedName>
    <definedName name="a" hidden="1">{"Assump",#N/A,TRUE,"Proforma";"first",#N/A,TRUE,"Proforma";"second",#N/A,TRUE,"Proforma";"lease1",#N/A,TRUE,"Proforma";"lease2",#N/A,TRUE,"Proforma"}</definedName>
    <definedName name="a_1">#REF!</definedName>
    <definedName name="aaa" hidden="1">#REF!</definedName>
    <definedName name="AAA_DOCTOPS" hidden="1">"AAA_SET"</definedName>
    <definedName name="AAA_duser" hidden="1">"OFF"</definedName>
    <definedName name="aaaaa" hidden="1">#REF!</definedName>
    <definedName name="AAB_Addin5" hidden="1">"AAB_Description for addin 5,Description for addin 5,Description for addin 5,Description for addin 5,Description for addin 5,Description for addin 5"</definedName>
    <definedName name="AACT">#REF!</definedName>
    <definedName name="AACTYTD">#REF!</definedName>
    <definedName name="ab" hidden="1">{#N/A,#N/A,TRUE,"Ericsson Stadium PCD ";#N/A,#N/A,TRUE,"Ericsson Stadium IOR"}</definedName>
    <definedName name="AB_1" localSheetId="3">#REF!</definedName>
    <definedName name="AB_1" localSheetId="0">#REF!</definedName>
    <definedName name="AB_1">#REF!</definedName>
    <definedName name="AB_10" localSheetId="3">#REF!</definedName>
    <definedName name="AB_10" localSheetId="0">#REF!</definedName>
    <definedName name="AB_10">#REF!</definedName>
    <definedName name="AB_11" localSheetId="3">#REF!</definedName>
    <definedName name="AB_11" localSheetId="0">#REF!</definedName>
    <definedName name="AB_11">#REF!</definedName>
    <definedName name="AB_12" localSheetId="3">#REF!</definedName>
    <definedName name="AB_12" localSheetId="0">#REF!</definedName>
    <definedName name="AB_12">#REF!</definedName>
    <definedName name="AB_2" localSheetId="3">#REF!</definedName>
    <definedName name="AB_2" localSheetId="0">#REF!</definedName>
    <definedName name="AB_2">#REF!</definedName>
    <definedName name="AB_3" localSheetId="3">#REF!</definedName>
    <definedName name="AB_3" localSheetId="0">#REF!</definedName>
    <definedName name="AB_3">#REF!</definedName>
    <definedName name="AB_4" localSheetId="3">#REF!</definedName>
    <definedName name="AB_4" localSheetId="0">#REF!</definedName>
    <definedName name="AB_4">#REF!</definedName>
    <definedName name="AB_5" localSheetId="3">#REF!</definedName>
    <definedName name="AB_5" localSheetId="0">#REF!</definedName>
    <definedName name="AB_5">#REF!</definedName>
    <definedName name="AB_6" localSheetId="3">#REF!</definedName>
    <definedName name="AB_6" localSheetId="0">#REF!</definedName>
    <definedName name="AB_6">#REF!</definedName>
    <definedName name="AB_7" localSheetId="3">#REF!</definedName>
    <definedName name="AB_7" localSheetId="0">#REF!</definedName>
    <definedName name="AB_7">#REF!</definedName>
    <definedName name="AB_8" localSheetId="3">#REF!</definedName>
    <definedName name="AB_8" localSheetId="0">#REF!</definedName>
    <definedName name="AB_8">#REF!</definedName>
    <definedName name="AB_9" localSheetId="3">#REF!</definedName>
    <definedName name="AB_9" localSheetId="0">#REF!</definedName>
    <definedName name="AB_9">#REF!</definedName>
    <definedName name="ab_condo" hidden="1">{#N/A,#N/A,TRUE,"Ericsson Stadium PCD ";#N/A,#N/A,TRUE,"Ericsson Stadium IOR"}</definedName>
    <definedName name="abc">#REF!</definedName>
    <definedName name="ABS">#REF!</definedName>
    <definedName name="ABUD">#REF!</definedName>
    <definedName name="ABUDYTD">#REF!</definedName>
    <definedName name="ac_ha">#REF!</definedName>
    <definedName name="Academics">#REF!</definedName>
    <definedName name="Access_Button" hidden="1">"Loan_Front_End_Input_List"</definedName>
    <definedName name="AccessDatabase" hidden="1">"C:\My Documents\DAVE\MODELS\Cash at Risk\Loan Front End.mdb"</definedName>
    <definedName name="AccountingDateRange">#REF!</definedName>
    <definedName name="Acquisition">#REF!</definedName>
    <definedName name="ACRE_PY">#REF!</definedName>
    <definedName name="ACRE_SF">#REF!</definedName>
    <definedName name="Actual_EGI">#REF!</definedName>
    <definedName name="ACwvu.Sommaire." hidden="1">#REF!,#REF!,#REF!,#REF!,#REF!,#REF!</definedName>
    <definedName name="ad" hidden="1">{"FORMULAS",#N/A,FALSE,"ESTIMATE"}</definedName>
    <definedName name="adf" hidden="1">{#N/A,#N/A,FALSE,"SCHEDULE G"}</definedName>
    <definedName name="admission">#REF!</definedName>
    <definedName name="Adr_Orange">#REF!</definedName>
    <definedName name="advertising">#REF!</definedName>
    <definedName name="advertising_1">#REF!</definedName>
    <definedName name="agf" hidden="1">{#N/A,#N/A,FALSE,"ExecSum";#N/A,#N/A,FALSE,"total summary";#N/A,#N/A,FALSE,"Budget";#N/A,#N/A,FALSE,"CashFlow"}</definedName>
    <definedName name="Al" hidden="1">{"sheet a",#N/A,FALSE,"A";"2 9 casflow",#N/A,FALSE,"B"}</definedName>
    <definedName name="ALL_SHEETS">#REF!,#REF!,#REF!</definedName>
    <definedName name="ALTERNATE_1">#REF!</definedName>
    <definedName name="ALTERNATE_2">#REF!</definedName>
    <definedName name="amort1">#REF!</definedName>
    <definedName name="amort2">#REF!</definedName>
    <definedName name="Amortization">#REF!</definedName>
    <definedName name="AmountRange">#REF!</definedName>
    <definedName name="AndCond">#REF!</definedName>
    <definedName name="andrew" localSheetId="3" hidden="1">{"eca",#N/A,TRUE,"E-C1 (R)";"ecb",#N/A,TRUE,"E-C1 (R)"}</definedName>
    <definedName name="andrew" localSheetId="0" hidden="1">{"eca",#N/A,TRUE,"E-C1 (R)";"ecb",#N/A,TRUE,"E-C1 (R)"}</definedName>
    <definedName name="andrew" hidden="1">{"eca",#N/A,TRUE,"E-C1 (R)";"ecb",#N/A,TRUE,"E-C1 (R)"}</definedName>
    <definedName name="anscount" hidden="1">1</definedName>
    <definedName name="ApprovedBy">#REF!</definedName>
    <definedName name="APVendorList">#REF!</definedName>
    <definedName name="aqua.pen" hidden="1">{"'B-2 QSER Jun 98 4-27-98 cor'!$A$1:$F$57"}</definedName>
    <definedName name="Arts">#REF!</definedName>
    <definedName name="as" hidden="1">{#N/A,#N/A,FALSE,"A";#N/A,#N/A,FALSE,"C"}</definedName>
    <definedName name="asd" hidden="1">{#N/A,#N/A,FALSE,"Chart 2 by Prop Type"}</definedName>
    <definedName name="asdf" hidden="1">{"sheet a",#N/A,FALSE,"A";"2 9 casflow",#N/A,FALSE,"B"}</definedName>
    <definedName name="asdfa" hidden="1">#N/A</definedName>
    <definedName name="asdfsdfsdf" localSheetId="3" hidden="1">{#N/A,#N/A,FALSE,"Expense Comparison"}</definedName>
    <definedName name="asdfsdfsdf" localSheetId="0" hidden="1">{#N/A,#N/A,FALSE,"Expense Comparison"}</definedName>
    <definedName name="asdfsdfsdf" hidden="1">{#N/A,#N/A,FALSE,"Expense Comparison"}</definedName>
    <definedName name="asf" hidden="1">{"sheet a",#N/A,FALSE,"A";"sheet b 1",#N/A,FALSE,"B";"sheet b 2",#N/A,FALSE,"B"}</definedName>
    <definedName name="asfget" hidden="1">{"Page1",#N/A,FALSE,"7979";"Page2",#N/A,FALSE,"7979";"Page3",#N/A,FALSE,"7979"}</definedName>
    <definedName name="ashish" localSheetId="3" hidden="1">{"'Assump'!$F$6:$J$6"}</definedName>
    <definedName name="ashish" localSheetId="0" hidden="1">{"'Assump'!$F$6:$J$6"}</definedName>
    <definedName name="ashish" hidden="1">{"'Assump'!$F$6:$J$6"}</definedName>
    <definedName name="assum">#REF!</definedName>
    <definedName name="Assumptions">#REF!</definedName>
    <definedName name="Athletics">#REF!</definedName>
    <definedName name="ATITLE">#REF!</definedName>
    <definedName name="attendance" hidden="1">{"'B-2 QSER Jun 98 4-27-98 cor'!$A$1:$F$57"}</definedName>
    <definedName name="AUD">#REF!</definedName>
    <definedName name="aud_usd">#REF!</definedName>
    <definedName name="Background_Screening" localSheetId="3">#REF!</definedName>
    <definedName name="Background_Screening" localSheetId="0">#REF!</definedName>
    <definedName name="Background_Screening">#REF!</definedName>
    <definedName name="BadLink" hidden="1">#N/A</definedName>
    <definedName name="Balance">#REF!</definedName>
    <definedName name="balloon">#REF!</definedName>
    <definedName name="Base">#REF!</definedName>
    <definedName name="BASE_BID">#REF!</definedName>
    <definedName name="BaseYear">#REF!</definedName>
    <definedName name="bbb" hidden="1">#REF!</definedName>
    <definedName name="BDIR">#REF!</definedName>
    <definedName name="beattle" localSheetId="3" hidden="1">{"Full Sheet",#N/A,FALSE,"Expense Comparison"}</definedName>
    <definedName name="beattle" localSheetId="0" hidden="1">{"Full Sheet",#N/A,FALSE,"Expense Comparison"}</definedName>
    <definedName name="beattle" hidden="1">{"Full Sheet",#N/A,FALSE,"Expense Comparison"}</definedName>
    <definedName name="beijing.qual">#REF!</definedName>
    <definedName name="Bin">#REF!</definedName>
    <definedName name="bjtourist.qual.jul7">#REF!</definedName>
    <definedName name="bnmb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BTR_Summary">#REF!</definedName>
    <definedName name="BUDAPR">#REF!</definedName>
    <definedName name="BUDAUG">#REF!</definedName>
    <definedName name="BUDDEC">#REF!</definedName>
    <definedName name="BUDFEB">#REF!</definedName>
    <definedName name="BUDGET">#REF!</definedName>
    <definedName name="Budget_Detailed">#REF!</definedName>
    <definedName name="Budget_EGI">#REF!</definedName>
    <definedName name="BudgetScenario" localSheetId="0">#REF!</definedName>
    <definedName name="BudgetScenario">#REF!</definedName>
    <definedName name="BUDJAN">#REF!</definedName>
    <definedName name="BUDJUL">#REF!</definedName>
    <definedName name="BUDJUN">#REF!</definedName>
    <definedName name="BUDMAR">#REF!</definedName>
    <definedName name="BUDMAY">#REF!</definedName>
    <definedName name="BUDMTDAPR">#REF!</definedName>
    <definedName name="BUDMTDAUG">#REF!</definedName>
    <definedName name="BUDMTDDEC">#REF!</definedName>
    <definedName name="BUDMTDFEB">#REF!</definedName>
    <definedName name="BUDMTDJAN">#REF!</definedName>
    <definedName name="BUDMTDJUL">#REF!</definedName>
    <definedName name="BUDMTDJUN">#REF!</definedName>
    <definedName name="BUDMTDMAR">#REF!</definedName>
    <definedName name="BUDMTDMAY">#REF!</definedName>
    <definedName name="BUDMTDNOV">#REF!</definedName>
    <definedName name="BUDMTDOCT">#REF!</definedName>
    <definedName name="BUDMTDSEP">#REF!</definedName>
    <definedName name="BUDNOV">#REF!</definedName>
    <definedName name="BUDOCT">#REF!</definedName>
    <definedName name="BUDSEP">#REF!</definedName>
    <definedName name="c_v">#REF!</definedName>
    <definedName name="CalendarDays">#REF!,#REF!,#REF!,#REF!,#REF!,#REF!,#REF!,#REF!,#REF!,#REF!,#REF!</definedName>
    <definedName name="cap_rate">#REF!</definedName>
    <definedName name="capital_improvement">#REF!</definedName>
    <definedName name="CARTUTIL">#N/A</definedName>
    <definedName name="Cash" localSheetId="3">#REF!</definedName>
    <definedName name="Cash" localSheetId="0">#REF!</definedName>
    <definedName name="Cash">#REF!</definedName>
    <definedName name="CategoryRange">#REF!</definedName>
    <definedName name="cb_sChart41E9A35_opts" hidden="1">"1, 9, 1, False, 2, False, False, , 0, False, True, 1, 1"</definedName>
    <definedName name="CBRE_VoyagerFee" localSheetId="3">#REF!</definedName>
    <definedName name="CBRE_VoyagerFee" localSheetId="0">#REF!</definedName>
    <definedName name="CBRE_VoyagerFee">#REF!</definedName>
    <definedName name="CBRE_VoyagerLicense" localSheetId="3">#REF!</definedName>
    <definedName name="CBRE_VoyagerLicense" localSheetId="0">#REF!</definedName>
    <definedName name="CBRE_VoyagerLicense">#REF!</definedName>
    <definedName name="CBWorkbookPriority" hidden="1">-874653885</definedName>
    <definedName name="CC" hidden="1">{#N/A,#N/A,TRUE,"summary";#N/A,#N/A,TRUE,"model";#N/A,#N/A,TRUE,"Consolidated P&amp;L Summary";#N/A,#N/A,TRUE,"Schwinn";#N/A,#N/A,TRUE,"G.T.";#N/A,#N/A,TRUE,"Hebb"}</definedName>
    <definedName name="cc." localSheetId="3" hidden="1">{"CD1",#N/A,TRUE,"C-D (R)";"CD2",#N/A,TRUE,"C-D (R)"}</definedName>
    <definedName name="cc." localSheetId="0" hidden="1">{"CD1",#N/A,TRUE,"C-D (R)";"CD2",#N/A,TRUE,"C-D (R)"}</definedName>
    <definedName name="cc." hidden="1">{"CD1",#N/A,TRUE,"C-D (R)";"CD2",#N/A,TRUE,"C-D (R)"}</definedName>
    <definedName name="CCCCCCCCC" localSheetId="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CCCCCCCC" localSheetId="0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CCCCCCCC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CCond">#REF!</definedName>
    <definedName name="CCGroupCol">#REF!</definedName>
    <definedName name="CCID">#REF!</definedName>
    <definedName name="CCList">#REF!</definedName>
    <definedName name="CCName">#REF!</definedName>
    <definedName name="ccs" hidden="1">{#N/A,#N/A,FALSE,"Chart 2 by Prop Type"}</definedName>
    <definedName name="CFafterDS">#REF!</definedName>
    <definedName name="cfgcfg" hidden="1">{#N/A,#N/A,FALSE,"CCC Variance";#N/A,#N/A,FALSE,"CCC Notes"}</definedName>
    <definedName name="cfgjcfgh" hidden="1">{#N/A,#N/A,FALSE,"Common Area Accrual";#N/A,#N/A,FALSE,"Unit One LaSalle";#N/A,#N/A,FALSE,"Unit One CW";#N/A,#N/A,FALSE,"Unit One LaSalle + C &amp; W";#N/A,#N/A,FALSE,"Consolidated Accrual"}</definedName>
    <definedName name="cgs_food">#REF!</definedName>
    <definedName name="cgs_merchandise">#REF!</definedName>
    <definedName name="CIQWBGuid" hidden="1">"EpiCentre Model_v38.xlsx"</definedName>
    <definedName name="circ">#REF!</definedName>
    <definedName name="ClosedJobs">#REF!</definedName>
    <definedName name="ClosingCash">#REF!</definedName>
    <definedName name="cnd1Count">#REF!</definedName>
    <definedName name="cnd2Count">#REF!</definedName>
    <definedName name="cndDue">#REF!</definedName>
    <definedName name="cndST1">#REF!</definedName>
    <definedName name="cndST2">#REF!</definedName>
    <definedName name="CNY">#REF!</definedName>
    <definedName name="CNY_USD">#REF!</definedName>
    <definedName name="cocncf">#REF!</definedName>
    <definedName name="cocnoi">#REF!</definedName>
    <definedName name="coin">#REF!</definedName>
    <definedName name="CommitmentRange">#REF!</definedName>
    <definedName name="Commons">#REF!</definedName>
    <definedName name="Community" localSheetId="0">#REF!</definedName>
    <definedName name="Community">#REF!</definedName>
    <definedName name="COMPARISON">#REF!</definedName>
    <definedName name="Compliance_Fee" localSheetId="3">#REF!</definedName>
    <definedName name="Compliance_Fee" localSheetId="0">#REF!</definedName>
    <definedName name="Compliance_Fee">#REF!</definedName>
    <definedName name="constcomplete">OFFSET(#REF!,0,0,#REF!,1)</definedName>
    <definedName name="constcosts">OFFSET(#REF!,0,0,#REF!,1)</definedName>
    <definedName name="constdates">OFFSET(#REF!,0,0,#REF!,1)</definedName>
    <definedName name="construction" hidden="1">{"Construction Costs",#N/A,FALSE,"Total Costs"}</definedName>
    <definedName name="Construction_Curve">"offset('CashFlow(Yr)'!$BD$191,0,'Main(C)'!$Q$79,1,'Main(C)'!$R$79)"</definedName>
    <definedName name="Construction_Delay">#REF!</definedName>
    <definedName name="Cost_Overruns">#REF!</definedName>
    <definedName name="Cost_Type">#REF!</definedName>
    <definedName name="CostCodeRange">#REF!</definedName>
    <definedName name="costs">#REF!</definedName>
    <definedName name="Cottage" hidden="1">{"cot1",#N/A,FALSE,"Cottages";"cot2",#N/A,FALSE,"Cottages";"cot3",#N/A,FALSE,"Cottages"}</definedName>
    <definedName name="CPIMAyo1" hidden="1">{"Zone1",#N/A,FALSE,"Parameters";"Zone2",#N/A,FALSE,"Parameters"}</definedName>
    <definedName name="_xlnm.Criteria">#REF!</definedName>
    <definedName name="CURRENT">#REF!</definedName>
    <definedName name="Current_Year">#REF!</definedName>
    <definedName name="current_yr">#REF!</definedName>
    <definedName name="currentyear">#REF!</definedName>
    <definedName name="cvar">#REF!</definedName>
    <definedName name="d" hidden="1">#REF!</definedName>
    <definedName name="d_v">#REF!</definedName>
    <definedName name="dat" hidden="1">{"data",#N/A,FALSE,"INPUT"}</definedName>
    <definedName name="dat_1" hidden="1">{"data",#N/A,FALSE,"INPUT"}</definedName>
    <definedName name="dat_2" hidden="1">{"data",#N/A,FALSE,"INPUT"}</definedName>
    <definedName name="data" hidden="1">{"data",#N/A,FALSE,"INPUT"}</definedName>
    <definedName name="DATA_01" hidden="1">#REF!</definedName>
    <definedName name="data_1" hidden="1">{"data",#N/A,FALSE,"INPUT"}</definedName>
    <definedName name="data_2" hidden="1">{"data",#N/A,FALSE,"INPUT"}</definedName>
    <definedName name="data1" hidden="1">{"data",#N/A,FALSE,"INPUT"}</definedName>
    <definedName name="data1_1" hidden="1">{"data",#N/A,FALSE,"INPUT"}</definedName>
    <definedName name="data1_2" hidden="1">{"data",#N/A,FALSE,"INPUT"}</definedName>
    <definedName name="data14" hidden="1">{"data",#N/A,FALSE,"INPUT"}</definedName>
    <definedName name="data2" hidden="1">{"data",#N/A,FALSE,"INPUT"}</definedName>
    <definedName name="data2_1" hidden="1">{"data",#N/A,FALSE,"INPUT"}</definedName>
    <definedName name="data2_2" hidden="1">{"data",#N/A,FALSE,"INPUT"}</definedName>
    <definedName name="data3" hidden="1">{"data",#N/A,FALSE,"INPUT"}</definedName>
    <definedName name="data3_1" hidden="1">{"data",#N/A,FALSE,"INPUT"}</definedName>
    <definedName name="data3_2" hidden="1">{"data",#N/A,FALSE,"INPUT"}</definedName>
    <definedName name="_xlnm.Database">#REF!</definedName>
    <definedName name="dataerror" hidden="1">{"data",#N/A,FALSE,"INPUT"}</definedName>
    <definedName name="dataerror_1" hidden="1">{"data",#N/A,FALSE,"INPUT"}</definedName>
    <definedName name="dataerror_2" hidden="1">{"data",#N/A,FALSE,"INPUT"}</definedName>
    <definedName name="DataFolderList">#REF!</definedName>
    <definedName name="date_printed">#REF!</definedName>
    <definedName name="date_revised">#REF!</definedName>
    <definedName name="DATE1">36130</definedName>
    <definedName name="DayNames">#REF!</definedName>
    <definedName name="DAYS">30.5</definedName>
    <definedName name="dc" hidden="1">#REF!</definedName>
    <definedName name="ddd" hidden="1">{#N/A,#N/A,FALSE,"ACQ";#N/A,#N/A,FALSE,"ASSUMP";#N/A,#N/A,FALSE,"CASH FLOW";#N/A,#N/A,FALSE,"SALE";#N/A,#N/A,FALSE,"TIS";#N/A,#N/A,FALSE,"RENT ROLL"}</definedName>
    <definedName name="dddddd" localSheetId="3" hidden="1">{#N/A,#N/A,FALSE,"CAPREIT"}</definedName>
    <definedName name="dddddd" localSheetId="0" hidden="1">{#N/A,#N/A,FALSE,"CAPREIT"}</definedName>
    <definedName name="dddddd" hidden="1">{#N/A,#N/A,FALSE,"CAPREIT"}</definedName>
    <definedName name="dddddd2" hidden="1">{#N/A,#N/A,FALSE,"CAPREIT"}</definedName>
    <definedName name="ddddddd" localSheetId="3" hidden="1">{#N/A,#N/A,FALSE,"CAPREIT"}</definedName>
    <definedName name="ddddddd" localSheetId="0" hidden="1">{#N/A,#N/A,FALSE,"CAPREIT"}</definedName>
    <definedName name="ddddddd" hidden="1">{#N/A,#N/A,FALSE,"CAPREIT"}</definedName>
    <definedName name="ddddddd2" hidden="1">{#N/A,#N/A,FALSE,"CAPREIT"}</definedName>
    <definedName name="dddddddddddddddddddddddddddd" hidden="1">{#N/A,#N/A,FALSE,"A";#N/A,#N/A,FALSE,"C"}</definedName>
    <definedName name="del" hidden="1">{"Page1",#N/A,FALSE,"7979";"Page2",#N/A,FALSE,"7979";"Page3",#N/A,FALSE,"7979"}</definedName>
    <definedName name="DELETE" hidden="1">{"'B-2 QSER Jun 98 4-27-98 cor'!$A$1:$F$57"}</definedName>
    <definedName name="DELME" hidden="1">{#N/A,#N/A,FALSE,"A";#N/A,#N/A,FALSE,"C"}</definedName>
    <definedName name="DELME_condo" hidden="1">{#N/A,#N/A,FALSE,"A";#N/A,#N/A,FALSE,"C"}</definedName>
    <definedName name="DELME2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2_Condo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3" hidden="1">{#N/A,#N/A,FALSE,"Common Area Accrual";#N/A,#N/A,FALSE,"Unit One LaSalle";#N/A,#N/A,FALSE,"Unit One CW";#N/A,#N/A,FALSE,"Unit One LaSallle + C &amp; W";#N/A,#N/A,FALSE,"Consolidated Accrual"}</definedName>
    <definedName name="DELME3_Condo" hidden="1">{#N/A,#N/A,FALSE,"Common Area Accrual";#N/A,#N/A,FALSE,"Unit One LaSalle";#N/A,#N/A,FALSE,"Unit One CW";#N/A,#N/A,FALSE,"Unit One LaSallle + C &amp; W";#N/A,#N/A,FALSE,"Consolidated Accrual"}</definedName>
    <definedName name="DELME4" hidden="1">{#N/A,#N/A,FALSE,"399 Park Var";#N/A,#N/A,FALSE,"PK NOTES"}</definedName>
    <definedName name="DELME4_Condo" hidden="1">{#N/A,#N/A,FALSE,"399 Park Var";#N/A,#N/A,FALSE,"PK NOTES"}</definedName>
    <definedName name="DELME5" hidden="1">{#N/A,#N/A,FALSE,"Expense Detail ";#N/A,#N/A,FALSE,"Worksheet";#N/A,#N/A,FALSE,"Audit";#N/A,#N/A,FALSE,"Exclusions";#N/A,#N/A,FALSE,"Variance";#N/A,#N/A,FALSE,"Reconciliation"}</definedName>
    <definedName name="DELME5_Condo" hidden="1">{#N/A,#N/A,FALSE,"Expense Detail ";#N/A,#N/A,FALSE,"Worksheet";#N/A,#N/A,FALSE,"Audit";#N/A,#N/A,FALSE,"Exclusions";#N/A,#N/A,FALSE,"Variance";#N/A,#N/A,FALSE,"Reconciliation"}</definedName>
    <definedName name="DELME7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ME7_Condo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tails_14">#REF!</definedName>
    <definedName name="details_21">#REF!</definedName>
    <definedName name="details_30">#REF!</definedName>
    <definedName name="details_60">#REF!</definedName>
    <definedName name="details_7">#REF!</definedName>
    <definedName name="details_past">#REF!</definedName>
    <definedName name="DevCurve">#REF!</definedName>
    <definedName name="DevCurveIndex">#REF!</definedName>
    <definedName name="Development2" hidden="1">#REF!</definedName>
    <definedName name="Development3" hidden="1">#REF!</definedName>
    <definedName name="Development4" hidden="1">#REF!</definedName>
    <definedName name="DFC">#REF!</definedName>
    <definedName name="dfd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dff" hidden="1">{"sheet a",#N/A,FALSE,"A";"2 9 casflow",#N/A,FALSE,"B"}</definedName>
    <definedName name="dfgg" hidden="1">{"sheet a",#N/A,FALSE,"A";"sheet b 1",#N/A,FALSE,"B";"sheet b 2",#N/A,FALSE,"B"}</definedName>
    <definedName name="DFLookup">#REF!</definedName>
    <definedName name="discount">#REF!</definedName>
    <definedName name="Discount_Rate">#REF!</definedName>
    <definedName name="DiscRate_Resid">#REF!</definedName>
    <definedName name="Division">#REF!</definedName>
    <definedName name="DLC">#REF!</definedName>
    <definedName name="Dmd_Forecast">#REF!</definedName>
    <definedName name="Dmd_I_Drive">#REF!</definedName>
    <definedName name="Dmd_K_East">#REF!</definedName>
    <definedName name="Dmd_K_West">#REF!</definedName>
    <definedName name="Dmd_LBV">#REF!</definedName>
    <definedName name="Dmd_Orange">#REF!</definedName>
    <definedName name="Dmd_Orlando_Central">#REF!</definedName>
    <definedName name="Dmd_Orlando_North">#REF!</definedName>
    <definedName name="Dmd_Orlando_South">#REF!</definedName>
    <definedName name="dog" localSheetId="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dog" localSheetId="0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dog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dom_inc">#REF!</definedName>
    <definedName name="DrawCap">#REF!</definedName>
    <definedName name="dsa" hidden="1">{#N/A,#N/A,FALSE,"Chart 2 by Prop Type"}</definedName>
    <definedName name="dsaf" hidden="1">{#N/A,#N/A,FALSE,"ExecSum";#N/A,#N/A,FALSE,"total summary";#N/A,#N/A,FALSE,"Budget";#N/A,#N/A,FALSE,"CashFlow"}</definedName>
    <definedName name="DSS" hidden="1">{"print STAY opening assumptions",#N/A,FALSE,"STAY Openings";"print STAY openings",#N/A,FALSE,"STAY Openings"}</definedName>
    <definedName name="duration">#REF!</definedName>
    <definedName name="e_rate">#REF!</definedName>
    <definedName name="e_v">#REF!</definedName>
    <definedName name="ee" hidden="1">#REF!</definedName>
    <definedName name="eee" hidden="1">{"data",#N/A,FALSE,"INPUT"}</definedName>
    <definedName name="eee_1" hidden="1">{"data",#N/A,FALSE,"INPUT"}</definedName>
    <definedName name="eee_2" hidden="1">{"data",#N/A,FALSE,"INPUT"}</definedName>
    <definedName name="eer" hidden="1">{"Construction_Short",#N/A,FALSE,"Construction"}</definedName>
    <definedName name="EquityReq">#REF!</definedName>
    <definedName name="erate_00">#REF!</definedName>
    <definedName name="erate_01">#REF!</definedName>
    <definedName name="erate_02">#REF!</definedName>
    <definedName name="erate_03">#REF!</definedName>
    <definedName name="erate_04">#REF!</definedName>
    <definedName name="erate_05">#REF!</definedName>
    <definedName name="erate_06">#REF!</definedName>
    <definedName name="erate_07">#REF!</definedName>
    <definedName name="erate_08">#REF!</definedName>
    <definedName name="erate_09">#REF!</definedName>
    <definedName name="erate_88">#REF!</definedName>
    <definedName name="eret" hidden="1">{"sheet a",#N/A,FALSE,"A";"2 9 casflow",#N/A,FALSE,"B"}</definedName>
    <definedName name="erg" hidden="1">{0,0,"",0;0,0,0,0;0,0,0,0;0,0,0,0;0,0,0,0}</definedName>
    <definedName name="Estimate" hidden="1">{#N/A,#N/A,FALSE,"Detail";#N/A,#N/A,FALSE,"Totals"}</definedName>
    <definedName name="etert" hidden="1">{"sheet a",#N/A,FALSE,"A";"sheet b 1",#N/A,FALSE,"B";"sheet b 2",#N/A,FALSE,"B"}</definedName>
    <definedName name="EV__EXPOPTIONS__" hidden="1">0</definedName>
    <definedName name="EV__LASTREFTIME__" hidden="1">38433.706724537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134217855</definedName>
    <definedName name="EV__WBVERSION__" hidden="1">0</definedName>
    <definedName name="ew" hidden="1">#REF!</definedName>
    <definedName name="exchangerate">#REF!</definedName>
    <definedName name="_xlnm.Extract">#REF!</definedName>
    <definedName name="ExtraPayment">#REF!</definedName>
    <definedName name="f">#REF!</definedName>
    <definedName name="f_and_b">#REF!</definedName>
    <definedName name="F_B_REV">#N/A</definedName>
    <definedName name="FAM_DUE">#N/A</definedName>
    <definedName name="FAM_MEM">#N/A</definedName>
    <definedName name="fasffSFffASFasfASFasf" hidden="1">{#N/A,#N/A,FALSE,"LP Exp";#N/A,#N/A,FALSE,"Salary";#N/A,#N/A,FALSE,"Admin Exp";#N/A,#N/A,FALSE,"QTS Bud";#N/A,#N/A,FALSE,"Marketing"}</definedName>
    <definedName name="fdfdfd" localSheetId="3" hidden="1">{#N/A,#N/A,FALSE,"CAPREIT"}</definedName>
    <definedName name="fdfdfd" localSheetId="0" hidden="1">{#N/A,#N/A,FALSE,"CAPREIT"}</definedName>
    <definedName name="fdfdfd" hidden="1">{#N/A,#N/A,FALSE,"CAPREIT"}</definedName>
    <definedName name="fdfdfdf" localSheetId="3" hidden="1">{#N/A,#N/A,FALSE,"CAPREIT"}</definedName>
    <definedName name="fdfdfdf" localSheetId="0" hidden="1">{#N/A,#N/A,FALSE,"CAPREIT"}</definedName>
    <definedName name="fdfdfdf" hidden="1">{#N/A,#N/A,FALSE,"CAPREIT"}</definedName>
    <definedName name="fds" hidden="1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fferw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fff" hidden="1">#REF!</definedName>
    <definedName name="fgdfs" hidden="1">{"FORMULAS",#N/A,FALSE,"ESTIMATE"}</definedName>
    <definedName name="Field">#REF!</definedName>
    <definedName name="FILL2" hidden="1">#REF!</definedName>
    <definedName name="filler" hidden="1">{"Annual Cash Flows",#N/A,FALSE,"Annual Summary"}</definedName>
    <definedName name="filler2" hidden="1">{"Assumptions",#N/A,FALSE,"Assumptions"}</definedName>
    <definedName name="filler3" hidden="1">{"Construction Costs",#N/A,FALSE,"Total Costs"}</definedName>
    <definedName name="FinAnal3" hidden="1">{"Construction_Short",#N/A,FALSE,"Construction"}</definedName>
    <definedName name="financials_inflation">#REF!</definedName>
    <definedName name="Financing">#REF!</definedName>
    <definedName name="fixed_assets" hidden="1">{"Detailed",#N/A,FALSE,"Schedule4"}</definedName>
    <definedName name="fksajf" hidden="1">{#N/A,#N/A,FALSE,"SCHEDULE A";"MINIMUM RENT",#N/A,FALSE,"SCHEDULES B &amp; C";"PERCENTAGE RENT",#N/A,FALSE,"SCHEDULES B &amp; C"}</definedName>
    <definedName name="fldfjlsd" hidden="1">#N/A</definedName>
    <definedName name="Folder1">#REF!</definedName>
    <definedName name="Folder2">#REF!</definedName>
    <definedName name="fr" hidden="1">{"print STAY opening assumptions",#N/A,FALSE,"STAY Openings";"print STAY openings",#N/A,FALSE,"STAY Openings"}</definedName>
    <definedName name="freq">#REF!</definedName>
    <definedName name="FromDate">#REF!</definedName>
    <definedName name="ftgygy" hidden="1">{#N/A,#N/A,FALSE,"LP Exp";#N/A,#N/A,FALSE,"Salary";#N/A,#N/A,FALSE,"Admin Exp";#N/A,#N/A,FALSE,"QTS Bud";#N/A,#N/A,FALSE,"Marketing"}</definedName>
    <definedName name="gar">#REF!</definedName>
    <definedName name="garage" hidden="1">{#N/A,#N/A,FALSE,"Garage Assumpt 1";#N/A,#N/A,FALSE,"Garage Op Proj";#N/A,#N/A,FALSE,"Hist I&amp;E";#N/A,#N/A,FALSE,"Garage Lease"}</definedName>
    <definedName name="gareq">#REF!</definedName>
    <definedName name="gf" hidden="1">{#N/A,#N/A,FALSE,"ACQ";#N/A,#N/A,FALSE,"ASSUMP";#N/A,#N/A,FALSE,"CASH FLOW";#N/A,#N/A,FALSE,"SALE";#N/A,#N/A,FALSE,"TIS";#N/A,#N/A,FALSE,"RENT ROLL"}</definedName>
    <definedName name="ggggg" hidden="1">#REF!</definedName>
    <definedName name="gggggggggg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gmail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graph">#REF!</definedName>
    <definedName name="graphcashflow">OFFSET(#REF!,0,0,1,#REF!)</definedName>
    <definedName name="graphcomplete">OFFSET(#REF!,0,0,1,#REF!)</definedName>
    <definedName name="graphcosts">OFFSET(#REF!,0,0,1,#REF!)</definedName>
    <definedName name="graphdateinvestor">OFFSET(#REF!,0,0,#REF!*12,1)</definedName>
    <definedName name="graphdates">OFFSET(#REF!,0,0,1,#REF!)</definedName>
    <definedName name="graphinvestor">OFFSET(#REF!,0,0,#REF!*12,1)</definedName>
    <definedName name="growth">#REF!</definedName>
    <definedName name="HALFHOUR">#REF!</definedName>
    <definedName name="hallo" hidden="1">{#N/A,#N/A,FALSE,"Occ and Rate";#N/A,#N/A,FALSE,"PF Input";#N/A,#N/A,FALSE,"Capital Input";#N/A,#N/A,FALSE,"Proforma Five Yr";#N/A,#N/A,FALSE,"Calculations";#N/A,#N/A,FALSE,"Transaction Summary-DTW"}</definedName>
    <definedName name="HealthInsurance" localSheetId="3">#REF!</definedName>
    <definedName name="HealthInsurance" localSheetId="0">#REF!</definedName>
    <definedName name="HealthInsurance">#REF!</definedName>
    <definedName name="hebei.qual">#REF!</definedName>
    <definedName name="help" hidden="1">{#N/A,#N/A,FALSE,"SUMMARY";#N/A,#N/A,FALSE,"RET ON CAP"}</definedName>
    <definedName name="hfgh" hidden="1">{"sheet a",#N/A,FALSE,"A";"sheet b 1",#N/A,FALSE,"B";"sheet b 2",#N/A,FALSE,"B"}</definedName>
    <definedName name="HFH" hidden="1">{"print annual inc. statement",#N/A,FALSE,"Summary";"print annual stats",#N/A,FALSE,"Summary";"print quarterly inc. statement",#N/A,FALSE,"Summary";"print quarterly stats",#N/A,FALSE,"Summary"}</definedName>
    <definedName name="hgfgh" hidden="1">{"Zone1",#N/A,FALSE,"Parameters";"Zone2",#N/A,FALSE,"Parameters"}</definedName>
    <definedName name="hgfhgf" hidden="1">#REF!</definedName>
    <definedName name="hhhhhhhhhhhh" hidden="1">{#N/A,#N/A,FALSE,"CCC ACC Budget";#N/A,#N/A,FALSE,"Variance";#N/A,#N/A,FALSE,"CCC Rent Detail";#N/A,#N/A,FALSE,"COMMON AREA";#N/A,#N/A,FALSE,"CCC Electric Inclusion";#N/A,#N/A,FALSE,"CCC Opex Detail";#N/A,#N/A,FALSE,"CCC RE Tax Detail";#N/A,#N/A,FALSE,"CCC Chilled Wtr Inclusion";#N/A,#N/A,FALSE,"CCC OTHVAC ";#N/A,#N/A,FALSE,"CCC INPUT"}</definedName>
    <definedName name="HI" hidden="1">#REF!</definedName>
    <definedName name="HISAPR">#REF!</definedName>
    <definedName name="HISAUG">#REF!</definedName>
    <definedName name="HISDEC">#REF!</definedName>
    <definedName name="HISFEB">#REF!</definedName>
    <definedName name="HISJAN">#REF!</definedName>
    <definedName name="HISJUL">#REF!</definedName>
    <definedName name="HISJUN">#REF!</definedName>
    <definedName name="HISMAR">#REF!</definedName>
    <definedName name="HISMAY">#REF!</definedName>
    <definedName name="HISMTDAPR">#REF!</definedName>
    <definedName name="HISMTDAUG">#REF!</definedName>
    <definedName name="HISMTDDEC">#REF!</definedName>
    <definedName name="HISMTDFEB">#REF!</definedName>
    <definedName name="HISMTDJAN">#REF!</definedName>
    <definedName name="HISMTDJUL">#REF!</definedName>
    <definedName name="HISMTDJUN">#REF!</definedName>
    <definedName name="HISMTDMAR">#REF!</definedName>
    <definedName name="HISMTDMAY">#REF!</definedName>
    <definedName name="HISMTDNOV">#REF!</definedName>
    <definedName name="HISMTDOCT">#REF!</definedName>
    <definedName name="HISMTDSEP">#REF!</definedName>
    <definedName name="HISNOV">#REF!</definedName>
    <definedName name="HISOCT">#REF!</definedName>
    <definedName name="HISSEP">#REF!</definedName>
    <definedName name="HISTORY">#REF!</definedName>
    <definedName name="hjhj" hidden="1">{"PROFORMA",#N/A,FALSE,"A";"BIGGER 1",#N/A,FALSE,"B";"BIGGER 2",#N/A,FALSE,"B";"BIGGER 3",#N/A,FALSE,"B";"SMALL CF 1",#N/A,FALSE,"C"}</definedName>
    <definedName name="hjk" hidden="1">#REF!</definedName>
    <definedName name="hjkl" hidden="1">{"Zone1",#N/A,FALSE,"Parameters";"Zone2",#N/A,FALSE,"Parameters"}</definedName>
    <definedName name="HKD">#REF!</definedName>
    <definedName name="HKD_USD">#REF!</definedName>
    <definedName name="Hold">#REF!</definedName>
    <definedName name="hope" hidden="1">{#N/A,#N/A,FALSE,"LP Exp";#N/A,#N/A,FALSE,"Salary";#N/A,#N/A,FALSE,"Admin Exp";#N/A,#N/A,FALSE,"QTS Bud";#N/A,#N/A,FALSE,"Marketing"}</definedName>
    <definedName name="hope_condo" hidden="1">{#N/A,#N/A,FALSE,"LP Exp";#N/A,#N/A,FALSE,"Salary";#N/A,#N/A,FALSE,"Admin Exp";#N/A,#N/A,FALSE,"QTS Bud";#N/A,#N/A,FALSE,"Marketing"}</definedName>
    <definedName name="HotelScenarioApplied">#REF!</definedName>
    <definedName name="HotelScenarios">#REF!</definedName>
    <definedName name="HOUR">#REF!</definedName>
    <definedName name="HRADJ2" hidden="1">{"2007",#N/A,FALSE,"SUMMARY";"2007",#N/A,FALSE,"RET ON CAP";"2007",#N/A,FALSE,"PROFORMA";"2007",#N/A,FALSE,"Assumptions";"2007",#N/A,FALSE,"Sales &amp; Marketing";"2007",#N/A,FALSE,"Overhead";"2007",#N/A,FALSE,"General Project";"2007",#N/A,FALSE,"Development"}</definedName>
    <definedName name="HRP" hidden="1">{"'B-2 QSER Jun 98 4-27-98 cor'!$A$1:$F$57"}</definedName>
    <definedName name="html" localSheetId="3" hidden="1">{"'Assump'!$F$6:$J$6"}</definedName>
    <definedName name="html" localSheetId="0" hidden="1">{"'Assump'!$F$6:$J$6"}</definedName>
    <definedName name="html" hidden="1">{"'Assump'!$F$6:$J$6"}</definedName>
    <definedName name="HTML_CodePage" hidden="1">1252</definedName>
    <definedName name="HTML_Control" localSheetId="3" hidden="1">{"'Assump'!$F$6:$J$6"}</definedName>
    <definedName name="HTML_Control" localSheetId="0" hidden="1">{"'Assump'!$F$6:$J$6"}</definedName>
    <definedName name="HTML_Control" hidden="1">{"'Assump'!$F$6:$J$6"}</definedName>
    <definedName name="HTML_Control1" hidden="1">{"'B-2 QSER Jun 98 4-27-98 cor'!$A$1:$F$57"}</definedName>
    <definedName name="HTML_Control2" hidden="1">{"'B-2 QSER Jun 98 4-27-98 cor'!$A$1:$F$57"}</definedName>
    <definedName name="HTML_Control5" hidden="1">{"'B-2 QSER Jun 98 4-27-98 cor'!$A$1:$F$57"}</definedName>
    <definedName name="html_control6" hidden="1">{"'B-2 QSER Jun 98 4-27-98 cor'!$A$1:$F$57"}</definedName>
    <definedName name="HTML_Description" hidden="1">""</definedName>
    <definedName name="HTML_Email" hidden="1">""</definedName>
    <definedName name="HTML_Header" hidden="1">"Assump"</definedName>
    <definedName name="HTML_LastUpdate" hidden="1">"7/24/98"</definedName>
    <definedName name="HTML_LineAfter" hidden="1">FALSE</definedName>
    <definedName name="HTML_LineBefore" hidden="1">FALSE</definedName>
    <definedName name="HTML_Name" hidden="1">"Russell Caplin"</definedName>
    <definedName name="HTML_OBDlg2" hidden="1">TRUE</definedName>
    <definedName name="HTML_OBDlg4" hidden="1">TRUE</definedName>
    <definedName name="HTML_OS" hidden="1">0</definedName>
    <definedName name="HTML_PathFile" hidden="1">"C:\acg\MyHTML.htm"</definedName>
    <definedName name="HTML_Title" hidden="1">"ashish"</definedName>
    <definedName name="htmlnew" localSheetId="3" hidden="1">{"'Assump'!$F$6:$J$6"}</definedName>
    <definedName name="htmlnew" localSheetId="0" hidden="1">{"'Assump'!$F$6:$J$6"}</definedName>
    <definedName name="htmlnew" hidden="1">{"'Assump'!$F$6:$J$6"}</definedName>
    <definedName name="IDR">#REF!</definedName>
    <definedName name="idr_usd">#REF!</definedName>
    <definedName name="ignore" hidden="1">{#N/A,#N/A,FALSE,"WATCHDSC";#N/A,#N/A,FALSE,"2LOSSMOD";#N/A,#N/A,FALSE,"2LOSS";#N/A,#N/A,FALSE,"DSC";#N/A,#N/A,FALSE,"OPERAT";#N/A,#N/A,FALSE,"ADJUST";#N/A,#N/A,FALSE,"LEASE EXPIRE"}</definedName>
    <definedName name="ILA">#REF!</definedName>
    <definedName name="ILL">#REF!</definedName>
    <definedName name="ImpCP">#REF!</definedName>
    <definedName name="income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IND_DUE">#N/A</definedName>
    <definedName name="IND_MEM">#N/A</definedName>
    <definedName name="Inflation">#REF!</definedName>
    <definedName name="inflation_long">#REF!</definedName>
    <definedName name="inflation_short">#REF!</definedName>
    <definedName name="inflationrate">#REF!</definedName>
    <definedName name="info" hidden="1">{"data",#N/A,FALSE,"INPUT"}</definedName>
    <definedName name="Initial_LTV">#REF!</definedName>
    <definedName name="input">{"230";"0.3";"0.8";"0.07";"20";"0.12";"15";"0.3";"220";"0.65";"0.74";"850"}</definedName>
    <definedName name="insurance">#REF!</definedName>
    <definedName name="Interest">#REF!</definedName>
    <definedName name="interestpmt">#REF!</definedName>
    <definedName name="InterestRate">#REF!</definedName>
    <definedName name="IntRate">#REF!</definedName>
    <definedName name="IntroPrintArea" hidden="1">#REF!</definedName>
    <definedName name="INV">#REF!</definedName>
    <definedName name="InvCP">#REF!</definedName>
    <definedName name="InverterCurve">#REF!</definedName>
    <definedName name="InverterCurveIndex">#REF!</definedName>
    <definedName name="InvoiceRange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EMPLOYEES" hidden="1">"c6019"</definedName>
    <definedName name="IQ_AVG_INDUSTRY_REC" hidden="1">"c4455"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_STDDEV_EST" hidden="1">"c1686"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" hidden="1">"IQ_EPS"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GW_ACT_OR_EST" hidden="1">"c2223"</definedName>
    <definedName name="IQ_EPS_GW_EST" hidden="1">"c1737"</definedName>
    <definedName name="IQ_EPS_GW_EST_REUT" hidden="1">"c5389"</definedName>
    <definedName name="IQ_EPS_GW_HIGH_EST" hidden="1">"c1739"</definedName>
    <definedName name="IQ_EPS_GW_HIGH_EST_REUT" hidden="1">"c5391"</definedName>
    <definedName name="IQ_EPS_GW_LOW_EST" hidden="1">"c1740"</definedName>
    <definedName name="IQ_EPS_GW_LOW_EST_REUT" hidden="1">"c5392"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ED_EST" hidden="1">"c1744"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REUT" hidden="1">"c3633"</definedName>
    <definedName name="IQ_EST_EPS_GROWTH_5YR_STDDEV" hidden="1">"c1660"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HARE_ACT_OR_EST" hidden="1">"c4446"</definedName>
    <definedName name="IQ_FFO_STDDEV_EST" hidden="1">"c422"</definedName>
    <definedName name="IQ_FH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>1000</definedName>
    <definedName name="IQ_FY_DATE" hidden="1">"IQ_FY_DATE"</definedName>
    <definedName name="IQ_GA_EXP" hidden="1">"c2241"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IGH_TARGET_PRICE" hidden="1">"c1651"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 hidden="1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39940.8427430556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GW_ACT_OR_EST" hidden="1">"c4478"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" hidden="1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39350.6983333333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ate_00_09">#REF!</definedName>
    <definedName name="irate_01_09">#REF!</definedName>
    <definedName name="irate_02_09">#REF!</definedName>
    <definedName name="irate_03_09">#REF!</definedName>
    <definedName name="irate_04_09">#REF!</definedName>
    <definedName name="irate_05_09">#REF!</definedName>
    <definedName name="irate_06_09">#REF!</definedName>
    <definedName name="irate_07_09">#REF!</definedName>
    <definedName name="irate_88_09">#REF!</definedName>
    <definedName name="IsExample">TRUE</definedName>
    <definedName name="jc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JCCCList">#REF!</definedName>
    <definedName name="JCJobList">#REF!</definedName>
    <definedName name="jim" hidden="1">#REF!</definedName>
    <definedName name="jimmy" hidden="1">#REF!</definedName>
    <definedName name="JobCond">#REF!</definedName>
    <definedName name="JobID">#REF!</definedName>
    <definedName name="JobList">#REF!</definedName>
    <definedName name="JobName">#REF!</definedName>
    <definedName name="JobRange">#REF!</definedName>
    <definedName name="JobSect">#REF!</definedName>
    <definedName name="JPY">#REF!</definedName>
    <definedName name="JPY_USD">#REF!</definedName>
    <definedName name="JUNK" hidden="1">{"SCHEDULE",#N/A,FALSE,"Fin_sched"}</definedName>
    <definedName name="Junk_condo" hidden="1">{"SCHEDULE",#N/A,FALSE,"Fin_sched"}</definedName>
    <definedName name="JUNK2" hidden="1">{"SUMMARY",#N/A,FALSE,"Fin_sched"}</definedName>
    <definedName name="k" hidden="1">#REF!</definedName>
    <definedName name="K2_WBEVMODE" hidden="1">-1</definedName>
    <definedName name="ke" hidden="1">#REF!</definedName>
    <definedName name="key" hidden="1">#REF!</definedName>
    <definedName name="Keybank" hidden="1">#REF!</definedName>
    <definedName name="kim">#REF!</definedName>
    <definedName name="kjjjjkjhk" hidden="1">{"sheet a",#N/A,FALSE,"A";"sheet b 1",#N/A,FALSE,"B";"sheet b 2",#N/A,FALSE,"B"}</definedName>
    <definedName name="kjljl" hidden="1">{"page1",#N/A,FALSE,"Model";"page2",#N/A,FALSE,"Model";"page3",#N/A,FALSE,"Model";"page4",#N/A,FALSE,"Model";"page5",#N/A,FALSE,"Model";"page6",#N/A,FALSE,"Model"}</definedName>
    <definedName name="kkjjj" hidden="1">{#N/A,#N/A,FALSE,"Common Area Accrual";#N/A,#N/A,FALSE,"Unit One LaSalle";#N/A,#N/A,FALSE,"Unit One CW";#N/A,#N/A,FALSE,"Unit One LaSallle + C &amp; W";#N/A,#N/A,FALSE,"Consolidated Accrual"}</definedName>
    <definedName name="kkkk" hidden="1">#REF!</definedName>
    <definedName name="Kljl7" hidden="1">{"page1",#N/A,FALSE,"Model";"page2",#N/A,FALSE,"Model";"page3",#N/A,FALSE,"Model";"page4",#N/A,FALSE,"Model";"page5",#N/A,FALSE,"Model";"page6",#N/A,FALSE,"Model"}</definedName>
    <definedName name="KRW">#REF!</definedName>
    <definedName name="kyd.ChngCell.01." hidden="1">#N/A</definedName>
    <definedName name="kyd.CounterLimitCell.01." hidden="1">"x"</definedName>
    <definedName name="kyd.Dim.01." hidden="1">"tm1serv:company"</definedName>
    <definedName name="kyd.ElementList.01." hidden="1">#N/A</definedName>
    <definedName name="kyd.ElementType.01." hidden="1">1</definedName>
    <definedName name="kyd.ItemType.01." hidden="1">2</definedName>
    <definedName name="kyd.MacroAtEnd." hidden="1">""</definedName>
    <definedName name="kyd.MacroEachCycle." hidden="1">""</definedName>
    <definedName name="kyd.MacroEndOfEachCycle." hidden="1">""</definedName>
    <definedName name="kyd.NumLevels.01." hidden="1">999</definedName>
    <definedName name="kyd.PanicStop." hidden="1">FALSE</definedName>
    <definedName name="kyd.ParentName.01." hidden="1">""</definedName>
    <definedName name="kyd.PreScreenData." hidden="1">FALSE</definedName>
    <definedName name="kyd.PrintParent.01." hidden="1">TRUE</definedName>
    <definedName name="kyd.PrintStdWhen." hidden="1">1</definedName>
    <definedName name="kyd.SaveAsFile." hidden="1">FALSE</definedName>
    <definedName name="kyd.SelectString.01." hidden="1">"*"</definedName>
    <definedName name="kyd.StdSortHide." hidden="1">FALSE</definedName>
    <definedName name="l" hidden="1">#REF!</definedName>
    <definedName name="LandAcquisitionType">#REF!</definedName>
    <definedName name="LandStatus">#REF!</definedName>
    <definedName name="landtake2">#REF!</definedName>
    <definedName name="Last_column">#REF!</definedName>
    <definedName name="Last_Row">#REF!</definedName>
    <definedName name="leek" hidden="1">#REF!</definedName>
    <definedName name="LIBOR_INC">#REF!</definedName>
    <definedName name="limcount" hidden="1">1</definedName>
    <definedName name="LIST">#REF!</definedName>
    <definedName name="ljl" hidden="1">{#N/A,#N/A,FALSE,"Expense Detail ";#N/A,#N/A,FALSE,"Worksheet";#N/A,#N/A,FALSE,"Audit";#N/A,#N/A,FALSE,"Exclusions";#N/A,#N/A,FALSE,"Variance";#N/A,#N/A,FALSE,"Reconciliation"}</definedName>
    <definedName name="ll" hidden="1">{#N/A,#N/A,TRUE,"Maritime Park Arena PCD";#N/A,#N/A,TRUE,"Maritime Park Arena IOR"}</definedName>
    <definedName name="LLL" hidden="1">#REF!</definedName>
    <definedName name="lllll" hidden="1">{"sheet a",#N/A,FALSE,"A";"sheet b 1",#N/A,FALSE,"B";"sheet b 2",#N/A,FALSE,"B"}</definedName>
    <definedName name="llllllllllllllllllllllllllllll" hidden="1">{#N/A,#N/A,FALSE,"LP Exp";#N/A,#N/A,FALSE,"Salary";#N/A,#N/A,FALSE,"Admin Exp";#N/A,#N/A,FALSE,"QTS Bud";#N/A,#N/A,FALSE,"Marketing"}</definedName>
    <definedName name="Loan_Detail_Mat_Due_14">#REF!</definedName>
    <definedName name="Loan_Detail_Mat_Due_21">#REF!</definedName>
    <definedName name="Loan_Detail_Mat_Due_30">#REF!</definedName>
    <definedName name="Loan_Detail_Mat_Due_60">#REF!</definedName>
    <definedName name="Loan_Detail_Mat_Due_7">#REF!</definedName>
    <definedName name="Loan_Detail_Mat_Past_Due">#REF!</definedName>
    <definedName name="LoanAmount">#REF!</definedName>
    <definedName name="LoanTerm">#REF!</definedName>
    <definedName name="LoanTermIndex">#REF!</definedName>
    <definedName name="LookupIndex">#REF!</definedName>
    <definedName name="LotSize">#REF!</definedName>
    <definedName name="Louvers" hidden="1">{#N/A,#N/A,TRUE,"Ericsson Stadium PCD ";#N/A,#N/A,TRUE,"Ericsson Stadium IOR"}</definedName>
    <definedName name="Louversa" hidden="1">{#N/A,#N/A,TRUE,"Ericsson Stadium PCD ";#N/A,#N/A,TRUE,"Ericsson Stadium IOR"}</definedName>
    <definedName name="LowPerCap">#REF!</definedName>
    <definedName name="LTV">#REF!</definedName>
    <definedName name="M_PlaceofPath" hidden="1">"\\SNYCEQT0100\HOME\DANDERS\COMPANY\IGT\IGT_VDF.xls"</definedName>
    <definedName name="MacroStatus">#REF!</definedName>
    <definedName name="mal">#REF!</definedName>
    <definedName name="management">#REF!</definedName>
    <definedName name="Mapping">#REF!</definedName>
    <definedName name="margin">#REF!</definedName>
    <definedName name="market1" hidden="1">{"Zone1",#N/A,FALSE,"Parameters";"Zone2",#N/A,FALSE,"Parameters"}</definedName>
    <definedName name="matrices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matricies" hidden="1">{#N/A,#N/A,FALSE,"matx B4 DS";#N/A,#N/A,FALSE,"matx B4 DS Hac";#N/A,#N/A,FALSE,"matx B4 DS Chabot";#N/A,#N/A,FALSE,"matx B4 DS Diablo"}</definedName>
    <definedName name="MaxLoan">#REF!</definedName>
    <definedName name="MCUwork1" localSheetId="3" hidden="1">{#N/A,#N/A,TRUE,"Summary";#N/A,#N/A,TRUE,"Program Scheme";#N/A,#N/A,TRUE,"Assumptions";#N/A,#N/A,TRUE,"Development Budget &amp; Timing";#N/A,#N/A,TRUE,"Cash Flow";#N/A,#N/A,TRUE,"Cash Flow to Debt &amp; Equity"}</definedName>
    <definedName name="MCUwork1" localSheetId="0" hidden="1">{#N/A,#N/A,TRUE,"Summary";#N/A,#N/A,TRUE,"Program Scheme";#N/A,#N/A,TRUE,"Assumptions";#N/A,#N/A,TRUE,"Development Budget &amp; Timing";#N/A,#N/A,TRUE,"Cash Flow";#N/A,#N/A,TRUE,"Cash Flow to Debt &amp; Equity"}</definedName>
    <definedName name="MCUwork1" hidden="1">{#N/A,#N/A,TRUE,"Summary";#N/A,#N/A,TRUE,"Program Scheme";#N/A,#N/A,TRUE,"Assumptions";#N/A,#N/A,TRUE,"Development Budget &amp; Timing";#N/A,#N/A,TRUE,"Cash Flow";#N/A,#N/A,TRUE,"Cash Flow to Debt &amp; Equity"}</definedName>
    <definedName name="MENU">#REF!</definedName>
    <definedName name="merchandise">#REF!</definedName>
    <definedName name="MGDV_IRR" hidden="1">{"Zone1",#N/A,FALSE,"Parameters";"Zone2",#N/A,FALSE,"Parameters"}</definedName>
    <definedName name="MidPerCap">#REF!</definedName>
    <definedName name="minhhinc_high">#REF!</definedName>
    <definedName name="minhhinc_low">#REF!</definedName>
    <definedName name="minhhinc_med">#REF!</definedName>
    <definedName name="mix">#REF!</definedName>
    <definedName name="MktCap1">#REF!</definedName>
    <definedName name="Momentum_Summary">#REF!</definedName>
    <definedName name="MONTH">#REF!</definedName>
    <definedName name="Monthly_PandI">#REF!</definedName>
    <definedName name="MOP">#REF!</definedName>
    <definedName name="MYR">#REF!</definedName>
    <definedName name="myr_usd">#REF!</definedName>
    <definedName name="n_pmts_per">#REF!</definedName>
    <definedName name="NA" hidden="1">#REF!</definedName>
    <definedName name="name1" hidden="1">{"SIMPLIFD_P1",#N/A,FALSE,"SIMPLIFD"}</definedName>
    <definedName name="Nane2" hidden="1">{"TEST1",#N/A,FALSE,"SIMPLIFD"}</definedName>
    <definedName name="nb" hidden="1">#REF!</definedName>
    <definedName name="nbvn" hidden="1">{#N/A,#N/A,TRUE,"CostSumm";#N/A,#N/A,TRUE,"Land";#N/A,#N/A,TRUE,"Construction";#N/A,#N/A,TRUE,"A&amp;E";#N/A,#N/A,TRUE,"Indirect";#N/A,#N/A,TRUE,"Marketing";#N/A,#N/A,TRUE,"Finance";#N/A,#N/A,TRUE,"Gen and Admin"}</definedName>
    <definedName name="NCF">#REF!</definedName>
    <definedName name="NEW" hidden="1">#REF!</definedName>
    <definedName name="New_Equity">#REF!</definedName>
    <definedName name="NewCCID">#REF!</definedName>
    <definedName name="NewDataFolderName">#REF!</definedName>
    <definedName name="newhtml" localSheetId="3" hidden="1">{"'Assump'!$F$6:$J$6"}</definedName>
    <definedName name="newhtml" localSheetId="0" hidden="1">{"'Assump'!$F$6:$J$6"}</definedName>
    <definedName name="newhtml" hidden="1">{"'Assump'!$F$6:$J$6"}</definedName>
    <definedName name="NewJobID">#REF!</definedName>
    <definedName name="newname" hidden="1">{"Zone1",#N/A,FALSE,"Parameters";"Zone2",#N/A,FALSE,"Parameters"}</definedName>
    <definedName name="newrange" hidden="1">{"Annual Cash Flows",#N/A,FALSE,"Annual Summary"}</definedName>
    <definedName name="NewVendorID">#REF!</definedName>
    <definedName name="nnn" hidden="1">{#N/A,#N/A,FALSE,"CCC Variance";#N/A,#N/A,FALSE,"CCC Notes"}</definedName>
    <definedName name="nnnn" hidden="1">{#N/A,#N/A,FALSE,"A";#N/A,#N/A,FALSE,"C"}</definedName>
    <definedName name="nnnnnnn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NOI">#REF!</definedName>
    <definedName name="noijnio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noname1" hidden="1">#REF!</definedName>
    <definedName name="notgood" hidden="1">#REF!</definedName>
    <definedName name="NRSF">#REF!</definedName>
    <definedName name="NSP">#REF!</definedName>
    <definedName name="Number_of_Payments">MATCH(0.01,End_Bal,-1)+1</definedName>
    <definedName name="NumberArea">#REF!</definedName>
    <definedName name="NW" hidden="1">#REF!</definedName>
    <definedName name="o" hidden="1">{"sheet a",#N/A,FALSE,"A";"2 9 casflow",#N/A,FALSE,"B"}</definedName>
    <definedName name="Occ_Forecast">#REF!</definedName>
    <definedName name="Occ_Orange">#REF!</definedName>
    <definedName name="Occupancy">#REF!</definedName>
    <definedName name="OK" hidden="1">#REF!</definedName>
    <definedName name="OKAY" hidden="1">#REF!</definedName>
    <definedName name="oldhtl" localSheetId="3" hidden="1">{"'Assump'!$F$6:$J$6"}</definedName>
    <definedName name="oldhtl" localSheetId="0" hidden="1">{"'Assump'!$F$6:$J$6"}</definedName>
    <definedName name="oldhtl" hidden="1">{"'Assump'!$F$6:$J$6"}</definedName>
    <definedName name="One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nSite">#REF!</definedName>
    <definedName name="OnSite1">#REF!</definedName>
    <definedName name="OnSite1G1">#REF!</definedName>
    <definedName name="OnSite1MktCap">#REF!</definedName>
    <definedName name="OnSite1Spend">#REF!</definedName>
    <definedName name="OnSite1SubjCap">#REF!</definedName>
    <definedName name="oo" hidden="1">#REF!</definedName>
    <definedName name="OPDAY">#REF!</definedName>
    <definedName name="open">#REF!</definedName>
    <definedName name="Open_year">#REF!</definedName>
    <definedName name="Open_Year_Ratio">#REF!</definedName>
    <definedName name="Opening_Year">#REF!</definedName>
    <definedName name="opening_yr">#REF!</definedName>
    <definedName name="openingyear">#REF!</definedName>
    <definedName name="OpeningYr">#REF!</definedName>
    <definedName name="OpenOnly">#REF!</definedName>
    <definedName name="OperExp">#REF!</definedName>
    <definedName name="Origination_Fee">#REF!</definedName>
    <definedName name="other">#REF!</definedName>
    <definedName name="Other_0to99" localSheetId="3">#REF!</definedName>
    <definedName name="Other_0to99" localSheetId="0">#REF!</definedName>
    <definedName name="Other_0to99">#REF!</definedName>
    <definedName name="Other_100to199" localSheetId="3">#REF!</definedName>
    <definedName name="Other_100to199" localSheetId="0">#REF!</definedName>
    <definedName name="Other_100to199">#REF!</definedName>
    <definedName name="Other_200to299" localSheetId="3">#REF!</definedName>
    <definedName name="Other_200to299" localSheetId="0">#REF!</definedName>
    <definedName name="Other_200to299">#REF!</definedName>
    <definedName name="Other_300to849" localSheetId="3">#REF!</definedName>
    <definedName name="Other_300to849" localSheetId="0">#REF!</definedName>
    <definedName name="Other_300to849">#REF!</definedName>
    <definedName name="Other_850" localSheetId="3">#REF!</definedName>
    <definedName name="Other_850" localSheetId="0">#REF!</definedName>
    <definedName name="Other_850">#REF!</definedName>
    <definedName name="othername" hidden="1">{#N/A,#N/A,FALSE,"ExecSum";#N/A,#N/A,FALSE,"Budget";#N/A,#N/A,FALSE,"Summary1";#N/A,#N/A,FALSE,"CashFlow"}</definedName>
    <definedName name="others">#REF!</definedName>
    <definedName name="outside_service">#REF!</definedName>
    <definedName name="OutYear1" localSheetId="0">#REF!</definedName>
    <definedName name="OutYear1">#REF!</definedName>
    <definedName name="OutYear2" localSheetId="0">#REF!</definedName>
    <definedName name="OutYear2">#REF!</definedName>
    <definedName name="OutYear3" localSheetId="0">#REF!</definedName>
    <definedName name="OutYear3">#REF!</definedName>
    <definedName name="OutYear4" localSheetId="0">#REF!</definedName>
    <definedName name="OutYear4">#REF!</definedName>
    <definedName name="OutYear5" localSheetId="0">#REF!</definedName>
    <definedName name="OutYear5">#REF!</definedName>
    <definedName name="OutYear6" localSheetId="0">#REF!</definedName>
    <definedName name="OutYear6">#REF!</definedName>
    <definedName name="OutYear7" localSheetId="0">#REF!</definedName>
    <definedName name="OutYear7">#REF!</definedName>
    <definedName name="OutYear8" localSheetId="0">#REF!</definedName>
    <definedName name="OutYear8">#REF!</definedName>
    <definedName name="page1">#REF!</definedName>
    <definedName name="page2">#REF!</definedName>
    <definedName name="palisades" hidden="1">{#N/A,#N/A,FALSE,"WATCHDSC";#N/A,#N/A,FALSE,"2LOSSMOD";#N/A,#N/A,FALSE,"2LOSS";#N/A,#N/A,FALSE,"DSC";#N/A,#N/A,FALSE,"OPERAT";#N/A,#N/A,FALSE,"ADJUST";#N/A,#N/A,FALSE,"LEASE EXPIRE"}</definedName>
    <definedName name="Payment_Date">DATE(YEAR(Loan_Start),MONTH(Loan_Start)+Payment_Number,DAY(Loan_Start))</definedName>
    <definedName name="Payments">#REF!</definedName>
    <definedName name="PaymentsPerYear">#REF!</definedName>
    <definedName name="PayOffRatio">#REF!</definedName>
    <definedName name="Payroll_Processing" localSheetId="3">#REF!</definedName>
    <definedName name="Payroll_Processing" localSheetId="0">#REF!</definedName>
    <definedName name="Payroll_Processing">#REF!</definedName>
    <definedName name="perc">{"0.9","0.95","1","1.05","1.1"}</definedName>
    <definedName name="percap_high">#REF!</definedName>
    <definedName name="percap_low">#REF!</definedName>
    <definedName name="percap_med">#REF!</definedName>
    <definedName name="PerCapSpendGrowth">#REF!</definedName>
    <definedName name="Period">#REF!</definedName>
    <definedName name="pier90" hidden="1">{"excavation",#N/A,FALSE,"DETAIL.XLS"}</definedName>
    <definedName name="pii" hidden="1">#REF!</definedName>
    <definedName name="pio" hidden="1">#REF!</definedName>
    <definedName name="pl" hidden="1">#REF!</definedName>
    <definedName name="planningYM">#REF!</definedName>
    <definedName name="platform" hidden="1">{#N/A,#N/A,TRUE,"Ericsson Stadium PCD ";#N/A,#N/A,TRUE,"Ericsson Stadium IOR"}</definedName>
    <definedName name="platforma" hidden="1">{#N/A,#N/A,TRUE,"Ericsson Stadium PCD ";#N/A,#N/A,TRUE,"Ericsson Stadium IOR"}</definedName>
    <definedName name="points">#REF!</definedName>
    <definedName name="pou" hidden="1">#REF!</definedName>
    <definedName name="PPT" hidden="1">{#N/A,#N/A,FALSE,"Chart 2 by Prop Type"}</definedName>
    <definedName name="PreCon" hidden="1">{"'Assump'!$F$6:$J$6"}</definedName>
    <definedName name="Pref_Calc">#REF!</definedName>
    <definedName name="PREF1">#REF!</definedName>
    <definedName name="PREF2">#REF!</definedName>
    <definedName name="PREF3">#REF!</definedName>
    <definedName name="Preferred">#REF!</definedName>
    <definedName name="price">#REF!</definedName>
    <definedName name="Price_Book">#REF!</definedName>
    <definedName name="PRIN">#REF!</definedName>
    <definedName name="principalpmt">#REF!</definedName>
    <definedName name="_xlnm.Print_Area" localSheetId="6">'Annual Waterfall (Two Tier)'!$B$2:$L$57</definedName>
    <definedName name="_xlnm.Print_Area" localSheetId="3">'Cash Flow'!$B$2:$AB$97</definedName>
    <definedName name="_xlnm.Print_Area" localSheetId="2">Detail!#REF!</definedName>
    <definedName name="_xlnm.Print_Area" localSheetId="1">P_L!$A$2:$P$38</definedName>
    <definedName name="_xlnm.Print_Area" localSheetId="0">Summary!$B$2:$S$67</definedName>
    <definedName name="_xlnm.Print_Area" localSheetId="5">'Waterfall (Two Tier)'!$B$2:$G$68</definedName>
    <definedName name="_xlnm.Print_Area">#REF!</definedName>
    <definedName name="PRINT_AREA_MI">#REF!</definedName>
    <definedName name="Print_Area_Reset">#N/A</definedName>
    <definedName name="_xlnm.Print_Titles" localSheetId="6">'Annual Waterfall (Two Tier)'!$B:$G</definedName>
    <definedName name="_xlnm.Print_Titles" localSheetId="5">'Waterfall (Two Tier)'!$B:$G</definedName>
    <definedName name="_xlnm.Print_Titles">#REF!</definedName>
    <definedName name="PRINTMENU">#REF!</definedName>
    <definedName name="Prior_Year">#REF!</definedName>
    <definedName name="prntall" localSheetId="3" hidden="1">{#N/A,#N/A,FALSE,"Land";#N/A,#N/A,FALSE,"Cost Analysis";"Summary",#N/A,FALSE,"Equipment"}</definedName>
    <definedName name="prntall" localSheetId="0" hidden="1">{#N/A,#N/A,FALSE,"Land";#N/A,#N/A,FALSE,"Cost Analysis";"Summary",#N/A,FALSE,"Equipment"}</definedName>
    <definedName name="prntall" hidden="1">{#N/A,#N/A,FALSE,"Land";#N/A,#N/A,FALSE,"Cost Analysis";"Summary",#N/A,FALSE,"Equipment"}</definedName>
    <definedName name="Proceeds">#REF!</definedName>
    <definedName name="ProductSeg">#REF!</definedName>
    <definedName name="Project">#REF!</definedName>
    <definedName name="projectname">#REF!</definedName>
    <definedName name="promte" hidden="1">{"Assumptions",#N/A,FALSE,"Assumptions"}</definedName>
    <definedName name="propname">#REF!</definedName>
    <definedName name="proxy1" hidden="1">{"Full Sheet",#N/A,FALSE,"Expense Comparison"}</definedName>
    <definedName name="proxy2" hidden="1">{#N/A,#N/A,FALSE,"Expense Comparison"}</definedName>
    <definedName name="proxy3" hidden="1">{"Full Sheet",#N/A,FALSE,"Expense Comparison"}</definedName>
    <definedName name="proxy4" hidden="1">{#N/A,#N/A,FALSE,"Expense Comparison"}</definedName>
    <definedName name="Purch_Price">#REF!</definedName>
    <definedName name="qq" localSheetId="3" hidden="1">{"ed1",#N/A,TRUE,"E-D";"ed2",#N/A,TRUE,"E-D"}</definedName>
    <definedName name="qq" localSheetId="0" hidden="1">{"ed1",#N/A,TRUE,"E-D";"ed2",#N/A,TRUE,"E-D"}</definedName>
    <definedName name="qq" hidden="1">{"ed1",#N/A,TRUE,"E-D";"ed2",#N/A,TRUE,"E-D"}</definedName>
    <definedName name="qqq" hidden="1">{"TEST1",#N/A,FALSE,"SIMPLIFD"}</definedName>
    <definedName name="qqqq" hidden="1">{#N/A,#N/A,FALSE,"Chart 2 by Prop Type"}</definedName>
    <definedName name="QrtProd">#REF!</definedName>
    <definedName name="QrtProdIndex">#REF!</definedName>
    <definedName name="qryE5Cityrpt">#REF!</definedName>
    <definedName name="qryE5Cityrpt2">#REF!</definedName>
    <definedName name="qwe" hidden="1">{"new",#N/A,FALSE,"D";"PROFORMA",#N/A,FALSE,"A";"partial 1",#N/A,FALSE,"B";"partial 2",#N/A,FALSE,"B";"partial 3",#N/A,FALSE,"B";"SMALL CF 1",#N/A,FALSE,"C"}</definedName>
    <definedName name="RCIII" localSheetId="3" hidden="1">{"ba1",#N/A,TRUE,"B-A";"ba2",#N/A,TRUE,"B-A"}</definedName>
    <definedName name="RCIII" localSheetId="0" hidden="1">{"ba1",#N/A,TRUE,"B-A";"ba2",#N/A,TRUE,"B-A"}</definedName>
    <definedName name="RCIII" hidden="1">{"ba1",#N/A,TRUE,"B-A";"ba2",#N/A,TRUE,"B-A"}</definedName>
    <definedName name="re" hidden="1">#REF!</definedName>
    <definedName name="Region">#REF!</definedName>
    <definedName name="RENT601" hidden="1">#REF!</definedName>
    <definedName name="repair">#REF!</definedName>
    <definedName name="repair_1">#REF!</definedName>
    <definedName name="report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date_begin" localSheetId="0">#REF!</definedName>
    <definedName name="reportdate_begin">#REF!</definedName>
    <definedName name="reportdate_end" localSheetId="0">#REF!</definedName>
    <definedName name="reportdate_end">#REF!</definedName>
    <definedName name="ReportHdr">#REF!</definedName>
    <definedName name="ReportRange">#REF!</definedName>
    <definedName name="Res1G1">#REF!</definedName>
    <definedName name="Res1Spend">#REF!</definedName>
    <definedName name="ResCashInv">#REF!</definedName>
    <definedName name="ResCashOper">#REF!</definedName>
    <definedName name="RetainageRange">#REF!</definedName>
    <definedName name="rosner2" hidden="1">#REF!</definedName>
    <definedName name="RRG_Voyager100to199" localSheetId="3">#REF!</definedName>
    <definedName name="RRG_Voyager100to199" localSheetId="0">#REF!</definedName>
    <definedName name="RRG_Voyager100to199">#REF!</definedName>
    <definedName name="RRG_Voyager200to299" localSheetId="3">#REF!</definedName>
    <definedName name="RRG_Voyager200to299" localSheetId="0">#REF!</definedName>
    <definedName name="RRG_Voyager200to299">#REF!</definedName>
    <definedName name="RRG_Voyager300to499" localSheetId="3">#REF!</definedName>
    <definedName name="RRG_Voyager300to499" localSheetId="0">#REF!</definedName>
    <definedName name="RRG_Voyager300to499">#REF!</definedName>
    <definedName name="RRG_Voyager500to649" localSheetId="3">#REF!</definedName>
    <definedName name="RRG_Voyager500to649" localSheetId="0">#REF!</definedName>
    <definedName name="RRG_Voyager500to649">#REF!</definedName>
    <definedName name="RRG_Voyager650" localSheetId="3">#REF!</definedName>
    <definedName name="RRG_Voyager650" localSheetId="0">#REF!</definedName>
    <definedName name="RRG_Voyager650">#REF!</definedName>
    <definedName name="RRG_Voyagerto99" localSheetId="3">#REF!</definedName>
    <definedName name="RRG_Voyagerto99" localSheetId="0">#REF!</definedName>
    <definedName name="RRG_Voyagerto99">#REF!</definedName>
    <definedName name="rrr" hidden="1">{#N/A,#N/A,FALSE,"ExecutiveSummary";#N/A,#N/A,FALSE,"CostDetail";#N/A,#N/A,FALSE,"IncomeDetail"}</definedName>
    <definedName name="rtyr" hidden="1">{"sheet a",#N/A,FALSE,"A";"sheet b 1",#N/A,FALSE,"B";"sheet b 2",#N/A,FALSE,"B"}</definedName>
    <definedName name="Rwvu.Sommaire." hidden="1">#REF!,#REF!,#REF!,#REF!,#REF!</definedName>
    <definedName name="s" hidden="1">#REF!</definedName>
    <definedName name="s_Orange">#REF!</definedName>
    <definedName name="sa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sadsadsa" localSheetId="3" hidden="1">{"'Assump'!$F$6:$J$6"}</definedName>
    <definedName name="sadsadsa" localSheetId="0" hidden="1">{"'Assump'!$F$6:$J$6"}</definedName>
    <definedName name="sadsadsa" hidden="1">{"'Assump'!$F$6:$J$6"}</definedName>
    <definedName name="SaleCP">#REF!</definedName>
    <definedName name="sales">#REF!</definedName>
    <definedName name="sales_cost">#REF!</definedName>
    <definedName name="SAPBEXhrIndnt" hidden="1">1</definedName>
    <definedName name="SAPBEXrevision" hidden="1">1</definedName>
    <definedName name="SAPBEXsysID" hidden="1">"BWP"</definedName>
    <definedName name="SAPBEXwbID" hidden="1">"6SKS7FBJ10YG7PB0SMOHV6V5A"</definedName>
    <definedName name="scen">#REF!</definedName>
    <definedName name="scen2">#REF!</definedName>
    <definedName name="Scenario" localSheetId="0">#REF!</definedName>
    <definedName name="Scenario">#REF!</definedName>
    <definedName name="ScheduledPayment">#REF!</definedName>
    <definedName name="sdcds" localSheetId="3" hidden="1">{"'Assump'!$F$6:$J$6"}</definedName>
    <definedName name="sdcds" localSheetId="0" hidden="1">{"'Assump'!$F$6:$J$6"}</definedName>
    <definedName name="sdcds" hidden="1">{"'Assump'!$F$6:$J$6"}</definedName>
    <definedName name="sdf" hidden="1">#REF!</definedName>
    <definedName name="sdfh2wh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SDFSDF" hidden="1">{"Page One",#N/A,FALSE,"Model";"Page 2",#N/A,FALSE,"Model";"Page 3",#N/A,FALSE,"Model"}</definedName>
    <definedName name="sdgdfg" hidden="1">{"new",#N/A,FALSE,"D";"PROFORMA",#N/A,FALSE,"A";"partial 1",#N/A,FALSE,"B";"partial 2",#N/A,FALSE,"B";"partial 3",#N/A,FALSE,"B";"SMALL CF 1",#N/A,FALSE,"C"}</definedName>
    <definedName name="sdgfr" hidden="1">{"sheet a",#N/A,FALSE,"A";"sheet b 1",#N/A,FALSE,"B";"sheet b 2",#N/A,FALSE,"B"}</definedName>
    <definedName name="SecDep">#REF!</definedName>
    <definedName name="sencount" hidden="1">1</definedName>
    <definedName name="Sentosa_Summary">#REF!</definedName>
    <definedName name="SF">#REF!</definedName>
    <definedName name="sfg." hidden="1">{"Construction_Short",#N/A,FALSE,"Construction"}</definedName>
    <definedName name="sfp">#REF!</definedName>
    <definedName name="SGD">#REF!</definedName>
    <definedName name="SGD_USD">#REF!</definedName>
    <definedName name="SizingColumn">#REF!</definedName>
    <definedName name="SM">#REF!</definedName>
    <definedName name="SM_PY">#REF!</definedName>
    <definedName name="solver_drv" hidden="1">1</definedName>
    <definedName name="solver_est" hidden="1">1</definedName>
    <definedName name="solver_itr" hidden="1">100</definedName>
    <definedName name="solver_lin" hidden="1">1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1</definedName>
    <definedName name="solver_val" hidden="1">0</definedName>
    <definedName name="Spend1" localSheetId="3">#REF!</definedName>
    <definedName name="Spend1" localSheetId="0">#REF!</definedName>
    <definedName name="Spend1">#REF!</definedName>
    <definedName name="Spend10" localSheetId="3">#REF!</definedName>
    <definedName name="Spend10" localSheetId="0">#REF!</definedName>
    <definedName name="Spend10">#REF!</definedName>
    <definedName name="Spend11" localSheetId="3">#REF!</definedName>
    <definedName name="Spend11" localSheetId="0">#REF!</definedName>
    <definedName name="Spend11">#REF!</definedName>
    <definedName name="Spend12" localSheetId="3">#REF!</definedName>
    <definedName name="Spend12" localSheetId="0">#REF!</definedName>
    <definedName name="Spend12">#REF!</definedName>
    <definedName name="Spend13" localSheetId="3">#REF!</definedName>
    <definedName name="Spend13" localSheetId="0">#REF!</definedName>
    <definedName name="Spend13">#REF!</definedName>
    <definedName name="Spend14" localSheetId="3">#REF!</definedName>
    <definedName name="Spend14" localSheetId="0">#REF!</definedName>
    <definedName name="Spend14">#REF!</definedName>
    <definedName name="Spend2" localSheetId="3">#REF!</definedName>
    <definedName name="Spend2" localSheetId="0">#REF!</definedName>
    <definedName name="Spend2">#REF!</definedName>
    <definedName name="Spend3" localSheetId="3">#REF!</definedName>
    <definedName name="Spend3" localSheetId="0">#REF!</definedName>
    <definedName name="Spend3">#REF!</definedName>
    <definedName name="Spend4" localSheetId="3">#REF!</definedName>
    <definedName name="Spend4" localSheetId="0">#REF!</definedName>
    <definedName name="Spend4">#REF!</definedName>
    <definedName name="Spend5" localSheetId="3">#REF!</definedName>
    <definedName name="Spend5" localSheetId="0">#REF!</definedName>
    <definedName name="Spend5">#REF!</definedName>
    <definedName name="Spend6" localSheetId="3">#REF!</definedName>
    <definedName name="Spend6" localSheetId="0">#REF!</definedName>
    <definedName name="Spend6">#REF!</definedName>
    <definedName name="Spend7" localSheetId="3">#REF!</definedName>
    <definedName name="Spend7" localSheetId="0">#REF!</definedName>
    <definedName name="Spend7">#REF!</definedName>
    <definedName name="Spend8" localSheetId="3">#REF!</definedName>
    <definedName name="Spend8" localSheetId="0">#REF!</definedName>
    <definedName name="Spend8">#REF!</definedName>
    <definedName name="Spend9" localSheetId="3">#REF!</definedName>
    <definedName name="Spend9" localSheetId="0">#REF!</definedName>
    <definedName name="Spend9">#REF!</definedName>
    <definedName name="sqft" localSheetId="0">#REF!</definedName>
    <definedName name="sqft">#REF!</definedName>
    <definedName name="SR_DUE">#N/A</definedName>
    <definedName name="SR_MEM">#N/A</definedName>
    <definedName name="SSSSSVS" hidden="1">{"print annual inc. statement",#N/A,FALSE,"Summary";"print annual stats",#N/A,FALSE,"Summary";"print quarterly inc. statement",#N/A,FALSE,"Summary";"print quarterly stats",#N/A,FALSE,"Summary"}</definedName>
    <definedName name="ST1Col">#REF!</definedName>
    <definedName name="ST2Col">#REF!</definedName>
    <definedName name="stab">#REF!</definedName>
    <definedName name="stab_yr">#REF!</definedName>
    <definedName name="stableyear">#REF!</definedName>
    <definedName name="Stadium" hidden="1">{#N/A,#N/A,TRUE,"Ericsson Stadium PCD ";#N/A,#N/A,TRUE,"Ericsson Stadium IOR"}</definedName>
    <definedName name="stadiuma" hidden="1">{#N/A,#N/A,TRUE,"Ericsson Stadium PCD ";#N/A,#N/A,TRUE,"Ericsson Stadium IOR"}</definedName>
    <definedName name="STARTA">#REF!</definedName>
    <definedName name="STARTB">#REF!</definedName>
    <definedName name="STARTC">#REF!</definedName>
    <definedName name="StartMonth" localSheetId="0">#REF!</definedName>
    <definedName name="StartMonth">#REF!</definedName>
    <definedName name="StartYear" localSheetId="0">#REF!</definedName>
    <definedName name="StartYear">#REF!</definedName>
    <definedName name="StatusCond">#REF!</definedName>
    <definedName name="SubjCap1">#REF!</definedName>
    <definedName name="SubTtlByCol">#REF!</definedName>
    <definedName name="supplies">#REF!</definedName>
    <definedName name="SUPPORT">#REF!</definedName>
    <definedName name="switch">#REF!</definedName>
    <definedName name="Swvu.Sommaire." hidden="1">#REF!,#REF!,#REF!,#REF!,#REF!,#REF!</definedName>
    <definedName name="sxdfrtxdft" hidden="1">{#N/A,#N/A,FALSE,"CCC ACC Budget";#N/A,#N/A,FALSE,"Variance";#N/A,#N/A,FALSE,"CCC Rent Detail";#N/A,#N/A,FALSE,"COMMON AREA";#N/A,#N/A,FALSE,"CCC Electric Inclusion";#N/A,#N/A,FALSE,"CCC Opex Detail";#N/A,#N/A,FALSE,"CCC RE Tax Detail";#N/A,#N/A,FALSE,"CCC Chilled Wtr Inclusion";#N/A,#N/A,FALSE,"CCC OTHVAC ";#N/A,#N/A,FALSE,"CCC INPUT"}</definedName>
    <definedName name="t" hidden="1">{#N/A,#N/A,FALSE,"Summary";#N/A,#N/A,FALSE,"Analysis";#N/A,#N/A,FALSE,"Leases";#N/A,#N/A,FALSE,"Operating History"}</definedName>
    <definedName name="ta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Table10">#REF!</definedName>
    <definedName name="Table11">#REF!</definedName>
    <definedName name="Table12">#REF!</definedName>
    <definedName name="Table4">#REF!</definedName>
    <definedName name="TableVI2">#REF!</definedName>
    <definedName name="TableVI3">#REF!</definedName>
    <definedName name="TableVI4">#REF!</definedName>
    <definedName name="TableVI5">#REF!</definedName>
    <definedName name="Takedown_Interval__months">landtake2</definedName>
    <definedName name="TDIR">#REF!</definedName>
    <definedName name="Tech1" localSheetId="3">#REF!</definedName>
    <definedName name="Tech1" localSheetId="0">#REF!</definedName>
    <definedName name="Tech1">#REF!</definedName>
    <definedName name="Tech2" localSheetId="3">#REF!</definedName>
    <definedName name="Tech2" localSheetId="0">#REF!</definedName>
    <definedName name="Tech2">#REF!</definedName>
    <definedName name="Tech3" localSheetId="3">#REF!</definedName>
    <definedName name="Tech3" localSheetId="0">#REF!</definedName>
    <definedName name="Tech3">#REF!</definedName>
    <definedName name="Tech4" localSheetId="3">#REF!</definedName>
    <definedName name="Tech4" localSheetId="0">#REF!</definedName>
    <definedName name="Tech4">#REF!</definedName>
    <definedName name="temp">#REF!</definedName>
    <definedName name="TEMP2" hidden="1">{"'B-2 QSER Jun 98 4-27-98 cor'!$A$1:$F$57"}</definedName>
    <definedName name="TEMP3" hidden="1">{"'B-2 QSER Jun 98 4-27-98 cor'!$A$1:$F$57"}</definedName>
    <definedName name="tempor" hidden="1">{"print annual inc. statement",#N/A,FALSE,"Summary";"print annual stats",#N/A,FALSE,"Summary";"print quarterly inc. statement",#N/A,FALSE,"Summary";"print quarterly stats",#N/A,FALSE,"Summary";"print STAY opening assumptions",#N/A,FALSE,"STAY Openings";"print STAY openings",#N/A,FALSE,"STAY Openings";"Print SPHI Assumptions",#N/A,FALSE,"SPHI Openings";"Print SPHI Openings",#N/A,FALSE,"SPHI Openings";"Print CRXLAND Assumptions",#N/A,FALSE,"CRXLAND Openings";"Print CRXLAND Openings",#N/A,FALSE,"CRXLAND Openings"}</definedName>
    <definedName name="Term">#REF!</definedName>
    <definedName name="TerminalValue_GrowthRate">#REF!</definedName>
    <definedName name="test1" hidden="1">#REF!</definedName>
    <definedName name="test3" localSheetId="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3" localSheetId="0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4" hidden="1">{#N/A,#N/A,TRUE,"Dev Summ";"P1-2 Quarterly",#N/A,TRUE,"CF Summ";"P1-Quarterly",#N/A,TRUE,"CF Summ";"P2-Quarterly",#N/A,TRUE,"CF Summ";#N/A,#N/A,TRUE,"Proj. Cost Summ";#N/A,#N/A,TRUE,"P1 Cost Summ";#N/A,#N/A,TRUE,"P2 Cost Summ";#N/A,#N/A,TRUE,"General";#N/A,#N/A,TRUE,"Rates";#N/A,#N/A,TRUE,"Abs_Sale"}</definedName>
    <definedName name="test5" hidden="1">{#N/A,#N/A,TRUE,"Dev Summ";"P1-3Quarterly",#N/A,TRUE,"CF Summ";"P1-Quarterly",#N/A,TRUE,"CF Summ";"P2-Quarterly",#N/A,TRUE,"CF Summ";"P3-Quarterly",#N/A,TRUE,"CF Summ";#N/A,#N/A,TRUE,"Proj. Cost Summ";#N/A,#N/A,TRUE,"P1 Cost Summ";#N/A,#N/A,TRUE,"P2 Cost Summ";#N/A,#N/A,TRUE,"P3 Cost Summ";#N/A,#N/A,TRUE,"General";#N/A,#N/A,TRUE,"Rates";#N/A,#N/A,TRUE,"Abs_Sale"}</definedName>
    <definedName name="test6" hidden="1">{"P1",#N/A,FALSE,"Proforma";"P2",#N/A,FALSE,"Proforma";"P3",#N/A,FALSE,"Proforma"}</definedName>
    <definedName name="test7" hidden="1">{#N/A,#N/A,FALSE,"FOR_SUM";#N/A,#N/A,FALSE,"FA";#N/A,#N/A,FALSE,"PTRANS_TAX"}</definedName>
    <definedName name="test8" hidden="1">{"P1-3Quarterly",#N/A,TRUE,"CF Summ";"P1-Quarterly",#N/A,TRUE,"CF Summ";"P2-Quarterly",#N/A,TRUE,"CF Summ";"P3-Quarterly",#N/A,TRUE,"CF Summ"}</definedName>
    <definedName name="test9" hidden="1">{#N/A,#N/A,TRUE,"Dev Summ";#N/A,#N/A,TRUE,"General";#N/A,#N/A,TRUE,"Rates";#N/A,#N/A,TRUE,"Abs_Sale";#N/A,#N/A,TRUE,"P1 Cost Summ";#N/A,#N/A,TRUE,"P2 Cost Summ";#N/A,#N/A,TRUE,"P3 Cost Summ"}</definedName>
    <definedName name="THB">#REF!</definedName>
    <definedName name="thb_usd">#REF!</definedName>
    <definedName name="tianjin.qual">#REF!</definedName>
    <definedName name="time_printed">#REF!</definedName>
    <definedName name="time_revised">#REF!</definedName>
    <definedName name="Titles">#REF!</definedName>
    <definedName name="tjtourist.qual.jul7">#REF!</definedName>
    <definedName name="ToDate">#REF!</definedName>
    <definedName name="Total_Payment">Scheduled_Payment+Extra_Payment</definedName>
    <definedName name="TotalCF">#REF!</definedName>
    <definedName name="totalsf">#REF!</definedName>
    <definedName name="tourist.qual.jul7">#REF!</definedName>
    <definedName name="tourist.qual.jun19">#REF!</definedName>
    <definedName name="TPM_Open">#REF!</definedName>
    <definedName name="TPM_Stable">#REF!</definedName>
    <definedName name="TPM_Start">#REF!</definedName>
    <definedName name="Training_1" localSheetId="3">#REF!</definedName>
    <definedName name="Training_1" localSheetId="0">#REF!</definedName>
    <definedName name="Training_1">#REF!</definedName>
    <definedName name="Training_2" localSheetId="3">#REF!</definedName>
    <definedName name="Training_2" localSheetId="0">#REF!</definedName>
    <definedName name="Training_2">#REF!</definedName>
    <definedName name="Training_3" localSheetId="3">#REF!</definedName>
    <definedName name="Training_3" localSheetId="0">#REF!</definedName>
    <definedName name="Training_3">#REF!</definedName>
    <definedName name="Training_4" localSheetId="3">#REF!</definedName>
    <definedName name="Training_4" localSheetId="0">#REF!</definedName>
    <definedName name="Training_4">#REF!</definedName>
    <definedName name="Training_5" localSheetId="3">#REF!</definedName>
    <definedName name="Training_5" localSheetId="0">#REF!</definedName>
    <definedName name="Training_5">#REF!</definedName>
    <definedName name="TranAPP">#REF!</definedName>
    <definedName name="Tranche">#REF!</definedName>
    <definedName name="TransactionType">#REF!</definedName>
    <definedName name="TranTypeRange">#REF!</definedName>
    <definedName name="TRY_USD">#REF!</definedName>
    <definedName name="tttt" hidden="1">{"data",#N/A,FALSE,"INPUT"}</definedName>
    <definedName name="ttttt" localSheetId="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" localSheetId="0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" localSheetId="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" localSheetId="0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" localSheetId="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" localSheetId="0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" localSheetId="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" localSheetId="0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u" hidden="1">#REF!</definedName>
    <definedName name="uioiuo" hidden="1">{#N/A,#N/A,FALSE,"Highridge Return Analysis";#N/A,#N/A,FALSE,"Sale @ end of year 3 (4yr Plan)";#N/A,#N/A,FALSE,"Highridge Assumption Page"}</definedName>
    <definedName name="uiyui" hidden="1">{"sheet a",#N/A,FALSE,"A";"2 9 casflow",#N/A,FALSE,"B"}</definedName>
    <definedName name="Union" localSheetId="0">#REF!</definedName>
    <definedName name="Union">#REF!</definedName>
    <definedName name="Unit">#REF!</definedName>
    <definedName name="units" localSheetId="0">#REF!</definedName>
    <definedName name="units">#REF!</definedName>
    <definedName name="UnPdBalTtlCol">#REF!</definedName>
    <definedName name="USD_THB">#REF!</definedName>
    <definedName name="USD_TRY">#REF!</definedName>
    <definedName name="utilities">#REF!</definedName>
    <definedName name="Value_Chart">#REF!</definedName>
    <definedName name="Values_Entered">IF(Loan_Amount*Interest_Rate*Loan_Years*Loan_Start&gt;0,1,0)</definedName>
    <definedName name="valuevx">42.314159</definedName>
    <definedName name="vc" hidden="1">#REF!</definedName>
    <definedName name="VendorCond">#REF!</definedName>
    <definedName name="VendorID">#REF!</definedName>
    <definedName name="VendorList">#REF!</definedName>
    <definedName name="VendorName">#REF!</definedName>
    <definedName name="VendorRange">#REF!</definedName>
    <definedName name="vertex42_copyright" hidden="1">"© 2011-2014 Vertex42 LLC"</definedName>
    <definedName name="vertex42_id" hidden="1">"contact-list.xlsx"</definedName>
    <definedName name="vertex42_title" hidden="1">"Contact List Template"</definedName>
    <definedName name="vghjkvgh" hidden="1">{#N/A,#N/A,FALSE,"Expense Detail ";#N/A,#N/A,FALSE,"Worksheet";#N/A,#N/A,FALSE,"Audit";#N/A,#N/A,FALSE,"Exclusions";#N/A,#N/A,FALSE,"Variance";#N/A,#N/A,FALSE,"Reconciliation"}</definedName>
    <definedName name="vghvgh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vhjh" hidden="1">{#N/A,#N/A,FALSE,"CCC ACC Budget";#N/A,#N/A,FALSE,"Variance";#N/A,#N/A,FALSE,"CCC Rent Detail";#N/A,#N/A,FALSE,"COMMON AREA";#N/A,#N/A,FALSE,"CCC Electric Inclusion";#N/A,#N/A,FALSE,"CCC Opex Detail";#N/A,#N/A,FALSE,"CCC RE Tax Detail";#N/A,#N/A,FALSE,"CCC Chilled Wtr Inclusion";#N/A,#N/A,FALSE,"CCC OTHVAC ";#N/A,#N/A,FALSE,"CCC INPUT"}</definedName>
    <definedName name="Visitor">#REF!</definedName>
    <definedName name="Vst1G1">#REF!</definedName>
    <definedName name="w" hidden="1">#REF!</definedName>
    <definedName name="wage">#REF!</definedName>
    <definedName name="we" hidden="1">#N/A</definedName>
    <definedName name="Weekend_Ratio">#REF!</definedName>
    <definedName name="wertwert" hidden="1">{0,0,0,0;0,0,0,0;0,0,0,0;0,0,0,0;0,0,0,0}</definedName>
    <definedName name="werw" hidden="1">{#N/A,#N/A,TRUE,"COVER";#N/A,#N/A,TRUE,"PROFORMA";#N/A,#N/A,TRUE,"Construction CF";#N/A,#N/A,TRUE,"CASHFLOW"}</definedName>
    <definedName name="werwer" hidden="1">#N/A</definedName>
    <definedName name="werwerw" hidden="1">#N/A</definedName>
    <definedName name="what" hidden="1">{"Page1",#N/A,FALSE,"7979";"Page2",#N/A,FALSE,"7979";"Page3",#N/A,FALSE,"7979"}</definedName>
    <definedName name="whatwhat" hidden="1">{"Page1",#N/A,FALSE,"7979";"Page2",#N/A,FALSE,"7979";"Page3",#N/A,FALSE,"7979"}</definedName>
    <definedName name="Wolff_VoyagerFee" localSheetId="3">#REF!</definedName>
    <definedName name="Wolff_VoyagerFee" localSheetId="0">#REF!</definedName>
    <definedName name="Wolff_VoyagerFee">#REF!</definedName>
    <definedName name="WONEX">#REF!</definedName>
    <definedName name="wrn.1995._.Analysis." hidden="1">{#N/A,#N/A,FALSE,"1995 Rev &amp; Exp"}</definedName>
    <definedName name="wrn.2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2002Budget." hidden="1">{"2002Budget",#N/A,FALSE,"PAYROLL"}</definedName>
    <definedName name="wrn.2007._.all." hidden="1">{"2007",#N/A,FALSE,"SUMMARY";"2007",#N/A,FALSE,"RET ON CAP";"2007",#N/A,FALSE,"PROFORMA";"2007",#N/A,FALSE,"Assumptions";"2007",#N/A,FALSE,"Sales &amp; Marketing";"2007",#N/A,FALSE,"Overhead";"2007",#N/A,FALSE,"General Project";"2007",#N/A,FALSE,"Development"}</definedName>
    <definedName name="wrn.2007._.summaries." hidden="1">{#N/A,#N/A,FALSE,"SUMMARY";#N/A,#N/A,FALSE,"RET ON CAP"}</definedName>
    <definedName name="wrn.3._.Year._.Summary." hidden="1">{#N/A,#N/A,FALSE,"3-Year Summary"}</definedName>
    <definedName name="wrn.399." hidden="1">{#N/A,#N/A,FALSE,"A";#N/A,#N/A,FALSE,"C"}</definedName>
    <definedName name="wrn.ALL." localSheetId="3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." localSheetId="0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.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._.Budget._.Detail_Forecast." hidden="1">{"All Budget Detail-Forecast",#N/A,FALSE,"Forecast"}</definedName>
    <definedName name="wrn.All._.Budget._.Detail_Reit." hidden="1">{"All Budget Detail-Reit",#N/A,FALSE,"Forecast"}</definedName>
    <definedName name="wrn.All._.Inputs." hidden="1">{#N/A,#N/A,FALSE,"Primary";#N/A,#N/A,FALSE,"Secondary";#N/A,#N/A,FALSE,"Latent";#N/A,#N/A,FALSE,"Demand Inputs";#N/A,#N/A,FALSE,"Supply Addn";#N/A,#N/A,FALSE,"Mkt Pen"}</definedName>
    <definedName name="wrn.All._.Non._.Recov._.Op._.Exp_Forecast." hidden="1">{"All Non-Recov. Op. Exp-Forecast",#N/A,FALSE,"Forecast"}</definedName>
    <definedName name="wrn.All._.Non._.Recov._.Op._.Exp_Reit." hidden="1">{"All Non-Recov. Op. Exp-Reit",#N/A,FALSE,"Forecast"}</definedName>
    <definedName name="wrn.All._.Pro._.Forma." hidden="1">{#N/A,#N/A,FALSE,"DSCR Sum";#N/A,#N/A,FALSE,"Max  Allocation";#N/A,#N/A,FALSE,"Lake Davis";#N/A,#N/A,FALSE,"Lake Jennie I";#N/A,#N/A,FALSE,"Lake Jennie II";#N/A,#N/A,FALSE,"Gov Man";#N/A,#N/A,FALSE,"Mellonville";#N/A,#N/A,FALSE,"Total"}</definedName>
    <definedName name="wrn.All._.Rental._.Income_Forecast." hidden="1">{"All Rental Income-Reforecast",#N/A,FALSE,"Forecast"}</definedName>
    <definedName name="wrn.All._.Rental._.Income_Reit." hidden="1">{"All Rental Income-Reit",#N/A,FALSE,"Forecast"}</definedName>
    <definedName name="wrn.All._.Schedules.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2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sched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nalysis." hidden="1">{#N/A,#N/A,FALSE,"Setup";#N/A,#N/A,FALSE,"Purchase Analysis"}</definedName>
    <definedName name="wrn.Annual._.Summary." hidden="1">{"Annual Cash Flows",#N/A,FALSE,"Annual Summary"}</definedName>
    <definedName name="wrn.Appendix._.A." hidden="1">{#N/A,#N/A,FALSE,"Proj Des";#N/A,#N/A,FALSE,"TABLE_A_2";#N/A,#N/A,FALSE,"TABLE_A_3";#N/A,#N/A,FALSE,"REV_1";#N/A,#N/A,FALSE,"EXP_1";#N/A,#N/A,FALSE,"PROP_TAX";#N/A,#N/A,FALSE,"Sales_Tax";#N/A,#N/A,FALSE,"Road_maint";#N/A,#N/A,FALSE,"Fire";#N/A,#N/A,FALSE,"Park_maint"}</definedName>
    <definedName name="wrn.Appraisal." hidden="1">{#N/A,#N/A,FALSE,"APPRAISAL";#N/A,#N/A,FALSE,"APPRAISAL 2";#N/A,#N/A,FALSE,"APPRAISAL 3"}</definedName>
    <definedName name="wrn.Arena._.PCD." hidden="1">{#N/A,#N/A,TRUE,"Maritime Park Arena PCD";#N/A,#N/A,TRUE,"Maritime Park Arena IOR"}</definedName>
    <definedName name="wrn.Asset._.Management." hidden="1">{#N/A,#N/A,FALSE,"ASSET MGMT."}</definedName>
    <definedName name="wrn.Assumptions." hidden="1">{"Assumptions",#N/A,FALSE,"Assumptions"}</definedName>
    <definedName name="wrn.BA." localSheetId="3" hidden="1">{"ba1",#N/A,TRUE,"B-A";"ba2",#N/A,TRUE,"B-A"}</definedName>
    <definedName name="wrn.BA." localSheetId="0" hidden="1">{"ba1",#N/A,TRUE,"B-A";"ba2",#N/A,TRUE,"B-A"}</definedName>
    <definedName name="wrn.BA." hidden="1">{"ba1",#N/A,TRUE,"B-A";"ba2",#N/A,TRUE,"B-A"}</definedName>
    <definedName name="wrn.Base._.Case._.Print." hidden="1">{#N/A,#N/A,FALSE,"Assumptions";#N/A,#N/A,FALSE,"Ground Rent";#N/A,#N/A,FALSE,"SQFT SUMMARY";#N/A,#N/A,FALSE,"PROJECT COSTS";#N/A,#N/A,FALSE,"Financing";#N/A,#N/A,FALSE,"RE Tax Analysis";#N/A,#N/A,FALSE,"Oper Pro Forma";#N/A,#N/A,FALSE,"Sale and IRR";#N/A,#N/A,FALSE,"Int BackUP"}</definedName>
    <definedName name="wrn.BaseYearDemand." hidden="1">{"Base Year Demand",#N/A,FALSE,"Demand-Base Year"}</definedName>
    <definedName name="wrn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.Benchmark._.Budget." hidden="1">{#N/A,#N/A,TRUE,"Executive Summary100%";#N/A,#N/A,TRUE,"Executive SummaryFC% (2)";#N/A,#N/A,TRUE,"Assumptions";#N/A,#N/A,TRUE,"Benchmark Budget";#N/A,#N/A,TRUE,"Contingency Management";#N/A,#N/A,TRUE,"Bank Budget comparison";#N/A,#N/A,TRUE,"PartnershipBudget";#N/A,#N/A,TRUE,"Cash Flow";#N/A,#N/A,TRUE,"Carry";#N/A,#N/A,TRUE,"IRR 7-YR";#N/A,#N/A,TRUE,"Lease Up";#N/A,#N/A,TRUE,"Waterfall@4%";#N/A,#N/A,TRUE,"Waterfall@5%"}</definedName>
    <definedName name="wrn.BIGGER." hidden="1">{"PROFORMA",#N/A,FALSE,"A";"BIGGER 1",#N/A,FALSE,"B";"BIGGER 2",#N/A,FALSE,"B";"BIGGER 3",#N/A,FALSE,"B";"SMALL CF 1",#N/A,FALSE,"C"}</definedName>
    <definedName name="wrn.BlackWhite." hidden="1">{#N/A,#N/A,FALSE,"NNN sum";#N/A,#N/A,FALSE,"10-yr Opt. A Sum";#N/A,#N/A,FALSE,"10-yr Opt A Other Costs";#N/A,#N/A,FALSE,"Purchase Sum";#N/A,#N/A,FALSE,"Purchase Other Costs"}</definedName>
    <definedName name="wrn.bleu4." localSheetId="3" hidden="1">{#N/A,#N/A,FALSE}</definedName>
    <definedName name="wrn.bleu4." localSheetId="0" hidden="1">{#N/A,#N/A,FALSE}</definedName>
    <definedName name="wrn.bleu4." hidden="1">{#N/A,#N/A,FALSE}</definedName>
    <definedName name="wrn.Blue._.Book._.Sections." localSheetId="3" hidden="1">{#N/A,#N/A,TRUE,"Summary";#N/A,#N/A,TRUE,"Program Scheme";#N/A,#N/A,TRUE,"Assumptions";#N/A,#N/A,TRUE,"Development Budget &amp; Timing";#N/A,#N/A,TRUE,"Cash Flow";#N/A,#N/A,TRUE,"Cash Flow to Debt &amp; Equity"}</definedName>
    <definedName name="wrn.Blue._.Book._.Sections." localSheetId="0" hidden="1">{#N/A,#N/A,TRUE,"Summary";#N/A,#N/A,TRUE,"Program Scheme";#N/A,#N/A,TRUE,"Assumptions";#N/A,#N/A,TRUE,"Development Budget &amp; Timing";#N/A,#N/A,TRUE,"Cash Flow";#N/A,#N/A,TRUE,"Cash Flow to Debt &amp; Equity"}</definedName>
    <definedName name="wrn.Blue._.Book._.Sections." hidden="1">{#N/A,#N/A,TRUE,"Summary";#N/A,#N/A,TRUE,"Program Scheme";#N/A,#N/A,TRUE,"Assumptions";#N/A,#N/A,TRUE,"Development Budget &amp; Timing";#N/A,#N/A,TRUE,"Cash Flow";#N/A,#N/A,TRUE,"Cash Flow to Debt &amp; Equity"}</definedName>
    <definedName name="wrn.BOOK." hidden="1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wrn.book7" hidden="1">{"page1",#N/A,FALSE,"net investor returns";"page2",#N/A,FALSE,"net investor returns"}</definedName>
    <definedName name="wrn.Both._.Outputs." hidden="1">{"LTV Output",#N/A,FALSE,"Output";"DCR Output",#N/A,FALSE,"Output"}</definedName>
    <definedName name="wrn.Budget." hidden="1">{"Spread Dollars",#N/A,FALSE,"Budget";"Spread Ratios",#N/A,FALSE,"Budget";"Target Comparison",#N/A,FALSE,"Summary"}</definedName>
    <definedName name="wrn.Capital_Increm.." hidden="1">{#N/A,#N/A,FALSE,"Capital-Incremental"}</definedName>
    <definedName name="wrn.Capital_Nonincre.." hidden="1">{#N/A,#N/A,FALSE,"Capital-Nonincremental"}</definedName>
    <definedName name="wrn.CAPREIT." localSheetId="3" hidden="1">{#N/A,#N/A,FALSE,"CAPREIT"}</definedName>
    <definedName name="wrn.CAPREIT." localSheetId="0" hidden="1">{#N/A,#N/A,FALSE,"CAPREIT"}</definedName>
    <definedName name="wrn.CAPREIT." hidden="1">{#N/A,#N/A,FALSE,"CAPREIT"}</definedName>
    <definedName name="wrn.CAPREIT2" localSheetId="3" hidden="1">{#N/A,#N/A,FALSE,"CAPREIT"}</definedName>
    <definedName name="wrn.CAPREIT2" localSheetId="0" hidden="1">{#N/A,#N/A,FALSE,"CAPREIT"}</definedName>
    <definedName name="wrn.CAPREIT2" hidden="1">{#N/A,#N/A,FALSE,"CAPREIT"}</definedName>
    <definedName name="wrn.cash" hidden="1">{#N/A,#N/A,FALSE,"Matrix";#N/A,#N/A,FALSE,"Cash Flow";#N/A,#N/A,FALSE,"10 Year Cost Analysis"}</definedName>
    <definedName name="wrn.Cash._.Flow." hidden="1">{#N/A,#N/A,TRUE,"CashFlowSummary";#N/A,#N/A,TRUE,"FinanceCashFlow";#N/A,#N/A,TRUE,"LandCashFlow";#N/A,#N/A,TRUE,"ConstCashFlow";#N/A,#N/A,TRUE,"A&amp;ECashFlow";#N/A,#N/A,TRUE,"IndirectCashFlow";#N/A,#N/A,TRUE,"MarketingCashFlow";#N/A,#N/A,TRUE,"LeaseUp";#N/A,#N/A,TRUE,"G&amp;ACashFlow"}</definedName>
    <definedName name="wrn.Cash._.Flow._.Analysis." hidden="1">{"CF",#N/A,FALSE,"Cash Flow";"RET",#N/A,FALSE,"Returns";"NPV",#N/A,FALSE,"Values";"ASMPT",#N/A,FALSE,"Assumptions"}</definedName>
    <definedName name="wrn.Cash._.Flow._.Analysis7" hidden="1">{"CF",#N/A,FALSE,"Cash Flow";"RET",#N/A,FALSE,"Returns";"NPV",#N/A,FALSE,"Values";"ASMPT",#N/A,FALSE,"Assumptions"}</definedName>
    <definedName name="wrn.Cash._.Flow._.and._.Matrix." hidden="1">{#N/A,#N/A,FALSE,"Matrix";#N/A,#N/A,FALSE,"Cash Flow";#N/A,#N/A,FALSE,"10 Year Cost Analysis"}</definedName>
    <definedName name="wrn.CASH._.FLOWS._.ONLY." hidden="1">{#N/A,#N/A,FALSE,"Assumptions";#N/A,#N/A,FALSE,"Consol CF";#N/A,#N/A,FALSE,"Hacienda CF";#N/A,#N/A,FALSE,"Chabot CF";#N/A,#N/A,FALSE,"Diablo CF"}</definedName>
    <definedName name="wrn.CCC." hidden="1">{#N/A,#N/A,FALSE,"A";#N/A,#N/A,FALSE,"B"}</definedName>
    <definedName name="wrn.CCC._.OPEX.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wrn.CD." localSheetId="3" hidden="1">{"CD1",#N/A,TRUE,"C-D (R)";"CD2",#N/A,TRUE,"C-D (R)"}</definedName>
    <definedName name="wrn.CD." localSheetId="0" hidden="1">{"CD1",#N/A,TRUE,"C-D (R)";"CD2",#N/A,TRUE,"C-D (R)"}</definedName>
    <definedName name="wrn.CD." hidden="1">{"CD1",#N/A,TRUE,"C-D (R)";"CD2",#N/A,TRUE,"C-D (R)"}</definedName>
    <definedName name="wrn.CF._.Print.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HART2._.detail." hidden="1">{#N/A,#N/A,FALSE,"Chart 2 by Prop Type"}</definedName>
    <definedName name="wrn.check.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.2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leveland." hidden="1">{#N/A,#N/A,FALSE,"Exec. Summary";#N/A,#N/A,FALSE,"Budget";#N/A,#N/A,FALSE,"Assumptions";#N/A,#N/A,FALSE,"Cash Flow";#N/A,#N/A,FALSE,"Apt. Lease-up";#N/A,#N/A,FALSE,"Carry"}</definedName>
    <definedName name="wrn.combined." hidden="1">{#N/A,#N/A,FALSE,"Page 2";#N/A,#N/A,FALSE,"Page 1A";#N/A,#N/A,FALSE,"Page 1B";#N/A,#N/A,FALSE,"ExecSum";#N/A,#N/A,FALSE,"Variance";#N/A,#N/A,FALSE,"Budget";#N/A,#N/A,FALSE,"CashFlow";#N/A,#N/A,FALSE,"Lease Summary";#N/A,#N/A,FALSE,"Summary1";#N/A,#N/A,FALSE,"Page 3";#N/A,#N/A,FALSE,"Page 4";#N/A,#N/A,FALSE,"Carry";#N/A,#N/A,FALSE,"Promote";#N/A,#N/A,FALSE,"Promote bef Refi"}</definedName>
    <definedName name="wrn.Competition." hidden="1">{#N/A,#N/A,FALSE,"CompSummary";#N/A,#N/A,FALSE,"Comp1";#N/A,#N/A,FALSE,"Comp2";#N/A,#N/A,FALSE,"Comp3";#N/A,#N/A,FALSE,"Comp4";#N/A,#N/A,FALSE,"Comp5";#N/A,#N/A,FALSE,"Our Prop";#N/A,#N/A,FALSE,"Projection Sheet"}</definedName>
    <definedName name="wrn.COMPLETE." hidden="1">{#N/A,#N/A,FALSE,"COVER";#N/A,#N/A,FALSE,"PROFORMA";#N/A,#N/A,FALSE,"Construction CF";#N/A,#N/A,FALSE,"CASHFLOW";#N/A,#N/A,FALSE,"Sale &amp; IRR Analysis";#N/A,#N/A,FALSE,"Amortization Table";#N/A,#N/A,FALSE,"Amortization FEMA";#N/A,#N/A,FALSE,"INCOME"}</definedName>
    <definedName name="wrn.Complete._.Review." hidden="1">{#N/A,#N/A,FALSE,"Occ and Rate";#N/A,#N/A,FALSE,"PF Input";#N/A,#N/A,FALSE,"Capital Input";#N/A,#N/A,FALSE,"Proforma Five Yr";#N/A,#N/A,FALSE,"Calculations";#N/A,#N/A,FALSE,"Transaction Summary-DTW"}</definedName>
    <definedName name="wrn.Consolidated._.Only." hidden="1">{#N/A,#N/A,TRUE,"summary";#N/A,#N/A,TRUE,"model"}</definedName>
    <definedName name="wrn.Construction._.Costs." hidden="1">{"Construction Costs",#N/A,FALSE,"Total Costs"}</definedName>
    <definedName name="wrn.Control._.Sheet." hidden="1">{#N/A,#N/A,FALSE,"CONTROL"}</definedName>
    <definedName name="wrn.Cost._.Report." hidden="1">{#N/A,#N/A,TRUE,"CostSumm";#N/A,#N/A,TRUE,"Land";#N/A,#N/A,TRUE,"Construction";#N/A,#N/A,TRUE,"A&amp;E";#N/A,#N/A,TRUE,"Indirect";#N/A,#N/A,TRUE,"Marketing";#N/A,#N/A,TRUE,"Finance";#N/A,#N/A,TRUE,"Gen and Admin"}</definedName>
    <definedName name="wrn.Cottage._.Summary." hidden="1">{"cot1",#N/A,FALSE,"Cottages";"cot2",#N/A,FALSE,"Cottages";"cot3",#N/A,FALSE,"Cottages"}</definedName>
    <definedName name="wrn.Credit._.Summary." hidden="1">{#N/A,#N/A,FALSE,"CREDIT"}</definedName>
    <definedName name="wrn.cssa." hidden="1">{#N/A,#N/A,FALSE,"WATCHDSC";#N/A,#N/A,FALSE,"2LOSSMOD";#N/A,#N/A,FALSE,"2LOSS";#N/A,#N/A,FALSE,"DSC";#N/A,#N/A,FALSE,"OPERAT";#N/A,#N/A,FALSE,"ADJUST";#N/A,#N/A,FALSE,"LEASE EXPIRE"}</definedName>
    <definedName name="wrn.daily." hidden="1">{#N/A,#N/A,FALSE,"Major v. River";#N/A,#N/A,FALSE,"Large Operators";#N/A,#N/A,FALSE,"Smaller Operators";#N/A,#N/A,FALSE,"Equip. Supply";#N/A,#N/A,FALSE,"EBITDA"}</definedName>
    <definedName name="wrn.data." hidden="1">{"data",#N/A,FALSE,"INPUT"}</definedName>
    <definedName name="wrn.data._1" hidden="1">{"data",#N/A,FALSE,"INPUT"}</definedName>
    <definedName name="wrn.data._2" hidden="1">{"data",#N/A,FALSE,"INPUT"}</definedName>
    <definedName name="wrn.data1" hidden="1">{"data",#N/A,FALSE,"INPUT"}</definedName>
    <definedName name="wrn.data1_1" hidden="1">{"data",#N/A,FALSE,"INPUT"}</definedName>
    <definedName name="wrn.data1_2" hidden="1">{"data",#N/A,FALSE,"INPUT"}</definedName>
    <definedName name="wrn.DCR._.Output." hidden="1">{"DCR Output",#N/A,FALSE,"Output"}</definedName>
    <definedName name="wrn.Demand._.Calcs." hidden="1">{#N/A,#N/A,FALSE,"Demand Calcs"}</definedName>
    <definedName name="wrn.Demand._.Inputs." hidden="1">{#N/A,#N/A,FALSE,"Demand Inputs"}</definedName>
    <definedName name="wrn.DETAIL._.SCHEDULES." hidden="1">{"ACCOUNT DETAIL",#N/A,FALSE,"SCHEDULE E";"ACCOUNT DETAIL",#N/A,FALSE,"SCHEDULE G";"ACCOUNT DETAIL",#N/A,FALSE,"SCHEDULE H";"ACCOUNT DETAIL",#N/A,FALSE,"SCHEDULE I"}</definedName>
    <definedName name="wrn.Detailed." hidden="1">{"Detailed",#N/A,FALSE,"Schedule4"}</definedName>
    <definedName name="wrn.Downside." hidden="1">{"Downside",#N/A,FALSE,"Downside"}</definedName>
    <definedName name="wrn.dtl.schedules" hidden="1">{"ACCOUNT DETAIL",#N/A,FALSE,"SCHEDULE E";"ACCOUNT DETAIL",#N/A,FALSE,"SCHEDULE G";"ACCOUNT DETAIL",#N/A,FALSE,"SCHEDULE H";"ACCOUNT DETAIL",#N/A,FALSE,"SCHEDULE I"}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B." localSheetId="3" hidden="1">{"eb1",#N/A,TRUE,"E-B (R)";"eb2",#N/A,TRUE,"E-B (R)"}</definedName>
    <definedName name="wrn.EB." localSheetId="0" hidden="1">{"eb1",#N/A,TRUE,"E-B (R)";"eb2",#N/A,TRUE,"E-B (R)"}</definedName>
    <definedName name="wrn.EB." hidden="1">{"eb1",#N/A,TRUE,"E-B (R)";"eb2",#N/A,TRUE,"E-B (R)"}</definedName>
    <definedName name="wrn.EC1." localSheetId="3" hidden="1">{"eca",#N/A,TRUE,"E-C1 (R)";"ecb",#N/A,TRUE,"E-C1 (R)"}</definedName>
    <definedName name="wrn.EC1." localSheetId="0" hidden="1">{"eca",#N/A,TRUE,"E-C1 (R)";"ecb",#N/A,TRUE,"E-C1 (R)"}</definedName>
    <definedName name="wrn.EC1." hidden="1">{"eca",#N/A,TRUE,"E-C1 (R)";"ecb",#N/A,TRUE,"E-C1 (R)"}</definedName>
    <definedName name="wrn.ED." localSheetId="3" hidden="1">{"ed1",#N/A,TRUE,"E-D";"ed2",#N/A,TRUE,"E-D"}</definedName>
    <definedName name="wrn.ED." localSheetId="0" hidden="1">{"ed1",#N/A,TRUE,"E-D";"ed2",#N/A,TRUE,"E-D"}</definedName>
    <definedName name="wrn.ED." hidden="1">{"ed1",#N/A,TRUE,"E-D";"ed2",#N/A,TRUE,"E-D"}</definedName>
    <definedName name="wrn.El._.Toro._.Pro._.Forma._.Detail." hidden="1">{"P1",#N/A,FALSE,"Proforma";"P1CF",#N/A,FALSE,"Proforma";"P1EquityCF",#N/A,FALSE,"Proforma"}</definedName>
    <definedName name="wrn.El._.Toro._.summary._.Sheets." hidden="1">{#N/A,#N/A,TRUE,"Dev Summ";#N/A,#N/A,TRUE,"General";#N/A,#N/A,TRUE,"Rates";#N/A,#N/A,TRUE,"Cost Summ"}</definedName>
    <definedName name="wrn.Engineering." hidden="1">{#N/A,#N/A,FALSE,"ENGINEERING"}</definedName>
    <definedName name="wrn.Entire._.Model." hidden="1">{#N/A,#N/A,TRUE,"summary";#N/A,#N/A,TRUE,"model";#N/A,#N/A,TRUE,"Consolidated P&amp;L Summary";#N/A,#N/A,TRUE,"Schwinn";#N/A,#N/A,TRUE,"G.T.";#N/A,#N/A,TRUE,"Hebb"}</definedName>
    <definedName name="wrn.Environmental." hidden="1">{#N/A,#N/A,FALSE,"ENVIRONMENTAL"}</definedName>
    <definedName name="wrn.equity." hidden="1">{#N/A,#N/A,FALSE,"Cover";#N/A,#N/A,FALSE,"Equity Sum";#N/A,#N/A,FALSE,"Constr Phase";#N/A,#N/A,FALSE,"Graph";#N/A,#N/A,FALSE,"Proforma";#N/A,#N/A,FALSE,"SQFT";#N/A,#N/A,FALSE,"TDC";#N/A,#N/A,FALSE,"Loan";#N/A,#N/A,FALSE,"Start Costs";#N/A,#N/A,FALSE,"Oper Exp";#N/A,#N/A,FALSE,"Grid"}</definedName>
    <definedName name="wrn.Excavation." hidden="1">{"excavation",#N/A,FALSE,"DETAIL.XLS"}</definedName>
    <definedName name="wrn.EXPENSE." hidden="1">{#N/A,#N/A,FALSE,"Common Area Accrual";#N/A,#N/A,FALSE,"Unit One LaSalle";#N/A,#N/A,FALSE,"Unit One CW";#N/A,#N/A,FALSE,"Unit One LaSallle + C &amp; W";#N/A,#N/A,FALSE,"Consolidated Accrual"}</definedName>
    <definedName name="wrn.Expense._.Detail." hidden="1">{#N/A,#N/A,FALSE,"Common Area Accrual";#N/A,#N/A,FALSE,"Unit One LaSalle";#N/A,#N/A,FALSE,"Unit One CW";#N/A,#N/A,FALSE,"Unit One LaSalle + C &amp; W";#N/A,#N/A,FALSE,"Consolidated Accrual"}</definedName>
    <definedName name="wrn.Exterior._.Wall." hidden="1">{#N/A,#N/A,FALSE,"Paramters";"print range",#N/A,FALSE,"GSF.XLS";"exterior wall",#N/A,FALSE,"DETAIL.XLS"}</definedName>
    <definedName name="wrn.Fair._.Share._.Calcs." hidden="1">{#N/A,#N/A,FALSE,"Fair Share"}</definedName>
    <definedName name="wrn.Feb98." hidden="1">{"sheet a",#N/A,FALSE,"A";"2 9 casflow",#N/A,FALSE,"B"}</definedName>
    <definedName name="wrn.Final._.Output." hidden="1">{#N/A,#N/A,FALSE,"Final Output"}</definedName>
    <definedName name="wrn.Finance._.Package." hidden="1">{#N/A,#N/A,TRUE,"Dev Summ";"P1-2 Quarterly",#N/A,TRUE,"CF Summ";"P1-Quarterly",#N/A,TRUE,"CF Summ";"P2-Quarterly",#N/A,TRUE,"CF Summ";#N/A,#N/A,TRUE,"Proj. Cost Summ";#N/A,#N/A,TRUE,"P1 Cost Summ";#N/A,#N/A,TRUE,"P2 Cost Summ";#N/A,#N/A,TRUE,"General";#N/A,#N/A,TRUE,"Rates";#N/A,#N/A,TRUE,"Abs_Sale"}</definedName>
    <definedName name="wrn.Financial._.Model." hidden="1">{#N/A,#N/A,TRUE,"Input Sheet Model";#N/A,#N/A,TRUE,"Project Proforma Detail";#N/A,#N/A,TRUE,"Signoff Summary";#N/A,#N/A,TRUE,"Assumptions";#N/A,#N/A,TRUE,"Constr. Int. Inc.";#N/A,#N/A,TRUE,"Cashflow Projection"}</definedName>
    <definedName name="wrn.Financial._.Package." hidden="1">{#N/A,#N/A,TRUE,"Dev Summ";"P1-3Quarterly",#N/A,TRUE,"CF Summ";"P1-Quarterly",#N/A,TRUE,"CF Summ";"P2-Quarterly",#N/A,TRUE,"CF Summ";"P3-Quarterly",#N/A,TRUE,"CF Summ";#N/A,#N/A,TRUE,"Proj. Cost Summ";#N/A,#N/A,TRUE,"P1 Cost Summ";#N/A,#N/A,TRUE,"P2 Cost Summ";#N/A,#N/A,TRUE,"P3 Cost Summ";#N/A,#N/A,TRUE,"General";#N/A,#N/A,TRUE,"Rates";#N/A,#N/A,TRUE,"Abs_Sale"}</definedName>
    <definedName name="wrn.Fmgmtfee." hidden="1">{#N/A,#N/A,FALSE,"Fmgmtfee"}</definedName>
    <definedName name="wrn.FORMULAS." hidden="1">{"FORMULAS",#N/A,FALSE,"ESTIMATE"}</definedName>
    <definedName name="wrn.Full." hidden="1">{#N/A,#N/A,FALSE,"ExecutiveSummary";#N/A,#N/A,FALSE,"CostDetail";#N/A,#N/A,FALSE,"IncomeDetail";#N/A,#N/A,FALSE,"InterestCalculation"}</definedName>
    <definedName name="wrn.FULL._.COMPARISON." localSheetId="3" hidden="1">{"Full Sheet",#N/A,FALSE,"Expense Comparison"}</definedName>
    <definedName name="wrn.FULL._.COMPARISON." localSheetId="0" hidden="1">{"Full Sheet",#N/A,FALSE,"Expense Comparison"}</definedName>
    <definedName name="wrn.FULL._.COMPARISON." hidden="1">{"Full Sheet",#N/A,FALSE,"Expense Comparison"}</definedName>
    <definedName name="wrn.Full._.Report" hidden="1">{#N/A,#N/A,FALSE,"Summary";#N/A,#N/A,FALSE,"Project Summary";#N/A,#N/A,FALSE,"Master Developer Cash Flow";#N/A,#N/A,FALSE,"Development Cost Allocation";#N/A,#N/A,FALSE,"Costs";#N/A,#N/A,FALSE,"Pad Fees";#N/A,#N/A,FALSE,"Parking Budget";#N/A,#N/A,FALSE,"Podium Monthly Development #1";#N/A,#N/A,FALSE,"Podium Monthly Development #2";#N/A,#N/A,FALSE,"Podium Quarterly Development Bu";#N/A,#N/A,FALSE,"Parking Cash Flow";#N/A,#N/A,FALSE,"Parking Assumptions";#N/A,#N/A,FALSE,"Bond Debt Service";#N/A,#N/A,FALSE,"Bond Shortfall";#N/A,#N/A,FALSE,"Retail Development Budget";#N/A,#N/A,FALSE,"Retail Monthly Development Budg";#N/A,#N/A,FALSE,"Retail Quarterly Development Bu";#N/A,#N/A,FALSE,"Retail Cash Flow";#N/A,#N/A,FALSE,"Retail Cash Flow";#N/A,#N/A,FALSE,"Retail Assumptions";#N/A,#N/A,FALSE,"Retail Debt Service";#N/A,#N/A,FALSE,"Office Development Budget";#N/A,#N/A,FALSE,"Office Monthly Development Budg";#N/A,#N/A,FALSE,"Office Quarterly Development Bu";#N/A,#N/A,FALSE,"Office Cash Flow";#N/A,#N/A,FALSE,"Office Assumptions";#N/A,#N/A,FALSE,"Office Debt Service";#N/A,#N/A,FALSE,"Hotel Development Budget";#N/A,#N/A,FALSE,"Hotel Monthly Development Budge";#N/A,#N/A,FALSE,"Hotel Quarterly Development Bud";#N/A,#N/A,FALSE,"Hotel Cash Flow";#N/A,#N/A,FALSE,"Hotel Assumptions";#N/A,#N/A,FALSE,"Hotel Debt Service";#N/A,#N/A,FALSE,"Demographics-Hotel";#N/A,#N/A,FALSE,"Land Lease NPV"}</definedName>
    <definedName name="wrn.Full._.Report." hidden="1">{#N/A,#N/A,FALSE,"DSCR Sum";#N/A,#N/A,FALSE,"Max  Allocation";#N/A,#N/A,FALSE,"Rent Matrix Max";#N/A,#N/A,FALSE,"Rent Matrix Potential";#N/A,#N/A,FALSE,"Rent Matrix Actual";#N/A,#N/A,FALSE,"Capital Reserve Analysis";#N/A,#N/A,FALSE,"Lake Davis";#N/A,#N/A,FALSE,"Lake Jennie I";#N/A,#N/A,FALSE,"Lake Jennie II";#N/A,#N/A,FALSE,"Gov Man";#N/A,#N/A,FALSE,"Mellonville";#N/A,#N/A,FALSE,"Total"}</definedName>
    <definedName name="wrn.Garage." hidden="1">{#N/A,#N/A,FALSE,"Garage Assumpt 1";#N/A,#N/A,FALSE,"Garage Op Proj";#N/A,#N/A,FALSE,"Hist I&amp;E";#N/A,#N/A,FALSE,"Garage Lease"}</definedName>
    <definedName name="wrn.Golf._.Summary." hidden="1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wrn.Gross._.up." hidden="1">{#N/A,#N/A,FALSE,"Gross-Up"}</definedName>
    <definedName name="wrn.GSA._.PRINT." hidden="1">{#N/A,#N/A,FALSE,"DEV COSTS";#N/A,#N/A,FALSE,"10-YR C. F."}</definedName>
    <definedName name="wrn.Gund._.Arena._.PCD." hidden="1">{#N/A,#N/A,TRUE,"Gund Arena PCD";#N/A,#N/A,TRUE,"Gund Arena IOR"}</definedName>
    <definedName name="wrn.Historical._.Analysis." hidden="1">{#N/A,#N/A,FALSE,"HISTORICAL REV &amp; EXP"}</definedName>
    <definedName name="wrn.IGT._.Model." hidden="1">{#N/A,#N/A,TRUE,"IGT";#N/A,#N/A,TRUE,"IGTSLOT"}</definedName>
    <definedName name="wrn.Income._.Statements.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dex." hidden="1">{#N/A,#N/A,FALSE,"INDEX"}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ages." hidden="1">{#N/A,#N/A,TRUE,"General Assumptions (Input)";#N/A,#N/A,TRUE,"Income (Input Page)";#N/A,#N/A,TRUE,"Related Mgmt Exps (Input Page)";#N/A,#N/A,TRUE,"Development Cost (Input)"}</definedName>
    <definedName name="wrn.Input._.Pages._.and._.Pro._.Forma." hidden="1">{#N/A,#N/A,TRUE,"General Assumptions (Input)";#N/A,#N/A,TRUE,"Related Mgmt Exps (Input Page)";#N/A,#N/A,TRUE,"Development Cost (Input)";#N/A,#N/A,TRUE,"Summary";#N/A,#N/A,TRUE,"Income (Input Page)";#N/A,#N/A,TRUE,"Expenses";#N/A,#N/A,TRUE,"Dev. Cost &amp; Elig. Basis(Input)";#N/A,#N/A,TRUE,"Tax Credit";#N/A,#N/A,TRUE,"Sources and Uses";#N/A,#N/A,TRUE,"Rent Up Reserve";#N/A,#N/A,TRUE,"Cash Flow";#N/A,#N/A,TRUE,"Construction Cash Flow"}</definedName>
    <definedName name="wrn.Inputs." hidden="1">{"Inflation-BaseYear",#N/A,FALSE,"Inputs"}</definedName>
    <definedName name="wrn.Interior._.finishes." hidden="1">{"interior finishes",#N/A,FALSE,"DETAIL.XLS"}</definedName>
    <definedName name="wrn.Internal." hidden="1">{#N/A,#N/A,FALSE,"Apt. Exec Sum";#N/A,#N/A,FALSE,"Master Budget";#N/A,#N/A,FALSE,"Assumptions";#N/A,#N/A,FALSE,"Unit Schedule no Condo";#N/A,#N/A,FALSE,"Apt.CashFlow";#N/A,#N/A,FALSE,"Apt. Lease-up"}</definedName>
    <definedName name="wrn.Investment._.Review." hidden="1">{#N/A,#N/A,FALSE,"Proforma Five Yr";#N/A,#N/A,FALSE,"Capital Input";#N/A,#N/A,FALSE,"Calculations";#N/A,#N/A,FALSE,"Transaction Summary-DTW"}</definedName>
    <definedName name="wrn.jan._.98." hidden="1">{"sheet a",#N/A,FALSE,"A";"sheet b 1",#N/A,FALSE,"B";"sheet b 2",#N/A,FALSE,"B"}</definedName>
    <definedName name="wrn.JM." hidden="1">{#N/A,#N/A,FALSE,"ExecSum";#N/A,#N/A,FALSE,"Budget";#N/A,#N/A,FALSE,"Summary1";#N/A,#N/A,FALSE,"CashFlow";#N/A,#N/A,FALSE,"Year1 Cash Flow";#N/A,#N/A,FALSE,"Carry";#N/A,#N/A,FALSE,"Page 3"}</definedName>
    <definedName name="wrn.Land._.Takedown._.Summary." hidden="1">{"land1",#N/A,FALSE,"Land";"land2",#N/A,FALSE,"Land";"land3",#N/A,FALSE,"Land"}</definedName>
    <definedName name="wrn.Latent._.Demand._.Inputs." hidden="1">{#N/A,#N/A,FALSE,"Latent"}</definedName>
    <definedName name="wrn.Leases." hidden="1">{#N/A,#N/A,FALSE,"Leases"}</definedName>
    <definedName name="wrn.Leasing._.Variance." hidden="1">{#N/A,#N/A,FALSE,"Leasing 6A"}</definedName>
    <definedName name="wrn.LETTERE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nsum" hidden="1">{"Loan Summary",#N/A,FALSE,"Phase 1 loan &amp; data"}</definedName>
    <definedName name="wrn.Loan._.Pricing._.Analysis." hidden="1">{#N/A,#N/A,FALSE,"LOAN ANALYSIS"}</definedName>
    <definedName name="wrn.Loan._.Summary." hidden="1">{"Loan Summary",#N/A,FALSE,"Phase 1 loan &amp; data"}</definedName>
    <definedName name="wrn.Lodging." hidden="1">{#N/A,#N/A,FALSE,"EPS";#N/A,#N/A,FALSE,"EBITDA"}</definedName>
    <definedName name="wrn.Lot._.Inventory." hidden="1">{"lot inventory",#N/A,FALSE,"Lot List"}</definedName>
    <definedName name="wrn.Lot._.Summary." hidden="1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wrn.ltr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TV._.Output." hidden="1">{"LTV Output",#N/A,FALSE,"Output"}</definedName>
    <definedName name="wrn.market." localSheetId="3" hidden="1">{#N/A,#N/A,FALSE,"SUBMKT";#N/A,#N/A,FALSE,"MARKET";#N/A,#N/A,FALSE,"VACANCY";#N/A,#N/A,FALSE,"ABSORB";#N/A,#N/A,FALSE,"SUBLEASE";#N/A,#N/A,FALSE,"CONSTRCT"}</definedName>
    <definedName name="wrn.market." localSheetId="0" hidden="1">{#N/A,#N/A,FALSE,"SUBMKT";#N/A,#N/A,FALSE,"MARKET";#N/A,#N/A,FALSE,"VACANCY";#N/A,#N/A,FALSE,"ABSORB";#N/A,#N/A,FALSE,"SUBLEASE";#N/A,#N/A,FALSE,"CONSTRCT"}</definedName>
    <definedName name="wrn.market." hidden="1">{#N/A,#N/A,FALSE,"SUBMKT";#N/A,#N/A,FALSE,"MARKET";#N/A,#N/A,FALSE,"VACANCY";#N/A,#N/A,FALSE,"ABSORB";#N/A,#N/A,FALSE,"SUBLEASE";#N/A,#N/A,FALSE,"CONSTRCT"}</definedName>
    <definedName name="wrn.MARKETING." hidden="1">{#N/A,#N/A,FALSE,"MARKETING I";#N/A,#N/A,FALSE,"MARKETING II";#N/A,#N/A,FALSE,"MARKETING III"}</definedName>
    <definedName name="wrn.MATRICES._.and._.CFs.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IES._.ONLY." hidden="1">{#N/A,#N/A,FALSE,"matx B4 DS";#N/A,#N/A,FALSE,"matx B4 DS Hac";#N/A,#N/A,FALSE,"matx B4 DS Chabot";#N/A,#N/A,FALSE,"matx B4 DS Diablo"}</definedName>
    <definedName name="wrn.MINRENT." hidden="1">{"MINRENT2",#N/A,FALSE,"SCHEDULE B"}</definedName>
    <definedName name="wrn.minrent.2" hidden="1">{"MINRENT2",#N/A,FALSE,"SCHEDULE B"}</definedName>
    <definedName name="wrn.mirBellagio." hidden="1">{#N/A,#N/A,FALSE,"MIR";#N/A,#N/A,FALSE,"NYNY"}</definedName>
    <definedName name="wrn.mkting" hidden="1">{#N/A,#N/A,FALSE,"MARKETING I";#N/A,#N/A,FALSE,"MARKETING II";#N/A,#N/A,FALSE,"MARKETING III"}</definedName>
    <definedName name="wrn.MODEL.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nthly." hidden="1">{#N/A,#N/A,FALSE,"Running Total";#N/A,#N/A,FALSE,"Oct 96";#N/A,#N/A,FALSE,"Nov 96";#N/A,#N/A,FALSE,"Dec 96";#N/A,#N/A,FALSE,"Jan 97";#N/A,#N/A,FALSE,"Feb 97";#N/A,#N/A,FALSE,"Mar 97";#N/A,#N/A,FALSE,"Apr 97";#N/A,#N/A,FALSE,"May 97";#N/A,#N/A,FALSE,"June 97";#N/A,#N/A,FALSE,"July 97"}</definedName>
    <definedName name="wrn.monthly._.financial." hidden="1">{#N/A,#N/A,FALSE,"SUMMARY 4a";#N/A,#N/A,FALSE,"GBA 4b";#N/A,#N/A,FALSE,"TENANT 4c";#N/A,#N/A,FALSE,"BUDGET DETAIL";#N/A,#N/A,FALSE,"PRO FORMA"}</definedName>
    <definedName name="wrn.nyt._.times._.full." hidden="1">{#N/A,#N/A,FALSE,"ExecSum";#N/A,#N/A,FALSE,"Budget";#N/A,#N/A,FALSE,"Summary1";#N/A,#N/A,FALSE,"CashFlow";#N/A,#N/A,FALSE,"Year1 Cash Flow";#N/A,#N/A,FALSE,"RE Taxes";#N/A,#N/A,FALSE,"OE Schedule";#N/A,#N/A,FALSE,"Leasing Comm";#N/A,#N/A,FALSE,"Input";#N/A,#N/A,FALSE,"Carry";#N/A,#N/A,FALSE,"Page 1A";#N/A,#N/A,FALSE,"Page 1B";#N/A,#N/A,FALSE,"Page 2";#N/A,#N/A,FALSE,"Page 3";#N/A,#N/A,FALSE,"Page 4";#N/A,#N/A,FALSE,"Summary2";#N/A,#N/A,FALSE,"Lease Summary";#N/A,#N/A,FALSE,"GrossRent";#N/A,#N/A,FALSE,"GrossRent";#N/A,#N/A,FALSE,"FCESummary";#N/A,#N/A,FALSE,"CreditLoss";#N/A,#N/A,FALSE,"Recoveries";#N/A,#N/A,FALSE,"Loan Balance"}</definedName>
    <definedName name="wrn.Occupancy._.Calcs." hidden="1">{#N/A,#N/A,FALSE,"Occ. Calcs"}</definedName>
    <definedName name="wrn.office.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FFICE._.BUDGET." hidden="1">{#N/A,#N/A,FALSE,"LP Exp";#N/A,#N/A,FALSE,"Salary";#N/A,#N/A,FALSE,"Admin Exp";#N/A,#N/A,FALSE,"QTS Bud";#N/A,#N/A,FALSE,"Marketing"}</definedName>
    <definedName name="wrn.ontario." hidden="1">{"page1",#N/A,FALSE,"sheet 1";"Page2",#N/A,FALSE,"sheet 1";"page3",#N/A,FALSE,"sheet 1";"page4",#N/A,FALSE,"sheet 1"}</definedName>
    <definedName name="wrn.Operations._.Review." hidden="1">{#N/A,#N/A,FALSE,"Proforma Five Yr";#N/A,#N/A,FALSE,"Occ and Rate";#N/A,#N/A,FALSE,"PF Input";#N/A,#N/A,FALSE,"Hotcomps"}</definedName>
    <definedName name="wrn.Output3Column." hidden="1">{"Output-3Column",#N/A,FALSE,"Output"}</definedName>
    <definedName name="wrn.OutputAll." hidden="1">{"Output-All",#N/A,FALSE,"Output"}</definedName>
    <definedName name="wrn.OutputBaseYear." hidden="1">{"Output-BaseYear",#N/A,FALSE,"Output"}</definedName>
    <definedName name="wrn.OutputMin." hidden="1">{"Output-Min",#N/A,FALSE,"Output"}</definedName>
    <definedName name="wrn.OutputPercent." hidden="1">{"Output%",#N/A,FALSE,"Output"}</definedName>
    <definedName name="wrn.p3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ACKAGE." hidden="1">{#N/A,#N/A,TRUE,"COVER";#N/A,#N/A,TRUE,"PROFORMA";#N/A,#N/A,TRUE,"Construction CF";#N/A,#N/A,TRUE,"CASHFLOW"}</definedName>
    <definedName name="wrn.Palms._.at._.South._.Shore." hidden="1">{#N/A,#N/A,FALSE,"loananalysis";#N/A,#N/A,FALSE,"proforma";#N/A,#N/A,FALSE,"unitmix"}</definedName>
    <definedName name="wrn.Partial." localSheetId="3" hidden="1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name="wrn.Partial." localSheetId="0" hidden="1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name="wrn.Partial." hidden="1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name="wrn.Partial_Template." hidden="1">{#N/A,#N/A,FALSE,"1Summary";#N/A,#N/A,FALSE,"2Assumptions";#N/A,#N/A,FALSE,"3Cash Flow";#N/A,#N/A,FALSE,"6Residual";#N/A,#N/A,FALSE,"AExpiration Schedule"}</definedName>
    <definedName name="wrn.Penetration." hidden="1">{#N/A,#N/A,FALSE,"Mkt Pen"}</definedName>
    <definedName name="wrn.PERCENTAGE._.RENT." hidden="1">{"PERCENTAGE RENT",#N/A,TRUE,"SCHEDULE B"}</definedName>
    <definedName name="wrn.Phase._.I." hidden="1">{#N/A,#N/A,FALSE,"Transaction Summary-DTW";#N/A,#N/A,FALSE,"Proforma Five Yr";#N/A,#N/A,FALSE,"Occ and Rate"}</definedName>
    <definedName name="wrn.PHASED._.DEVELOPMENT._.DETAIL." hidden="1">{"P1",#N/A,FALSE,"Proforma";"P2",#N/A,FALSE,"Proforma";"P3",#N/A,FALSE,"Proforma"}</definedName>
    <definedName name="wrn.Pineway." hidden="1">{#N/A,#N/A,FALSE,"rent schedule";#N/A,#N/A,FALSE,"income expenses";#N/A,#N/A,FALSE,"proforma";#N/A,#N/A,FALSE,"proforma stab";#N/A,#N/A,FALSE,"loan analysis";#N/A,#N/A,FALSE,"loan analysis stab";#N/A,#N/A,FALSE,"income expenses"}</definedName>
    <definedName name="wrn.PK._.Variance." hidden="1">{#N/A,#N/A,FALSE,"399 Park Var";#N/A,#N/A,FALSE,"PK NOTES"}</definedName>
    <definedName name="wrn.pl." localSheetId="3" hidden="1">{#N/A,#N/A,FALSE,"Cons PL-Accrual"}</definedName>
    <definedName name="wrn.pl." localSheetId="0" hidden="1">{#N/A,#N/A,FALSE,"Cons PL-Accrual"}</definedName>
    <definedName name="wrn.pl." hidden="1">{#N/A,#N/A,FALSE,"Cons PL-Accrual"}</definedName>
    <definedName name="wrn.Plan." hidden="1">{#N/A,#N/A,FALSE,"Highridge Return Analysis";#N/A,#N/A,FALSE,"Sale @ end of year 3 (4yr Plan)";#N/A,#N/A,FALSE,"Highridge Assumption Page"}</definedName>
    <definedName name="wrn.Portfolio." hidden="1">{#N/A,#N/A,FALSE,"Portfolio Summary";#N/A,#N/A,FALSE,"Portfolio Operating Stmt";#N/A,#N/A,FALSE,"Portfolio Cash Flow"}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cntrent" hidden="1">{"PERCENTAGE RENT",#N/A,TRUE,"SCHEDULE B"}</definedName>
    <definedName name="wrn.Prepaid_Recov.." hidden="1">{#N/A,#N/A,FALSE,"Prepaid Recoverable"}</definedName>
    <definedName name="wrn.pres." hidden="1">{#N/A,#N/A,FALSE,"Major v. River";#N/A,#N/A,FALSE,"Industry";#N/A,#N/A,FALSE,"Large Operators";#N/A,#N/A,FALSE,"Smaller Operators";#N/A,#N/A,FALSE,"Equip. Supply";#N/A,#N/A,FALSE,"EBITDA";#N/A,#N/A,FALSE,"States";#N/A,#N/A,FALSE,"LV Detail"}</definedName>
    <definedName name="wrn.pres97.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wrn.Presentation." hidden="1">{#N/A,#N/A,FALSE,"INDEX";#N/A,#N/A,FALSE,"CONTROL";#N/A,#N/A,FALSE,"COMPLIANCE";#N/A,#N/A,FALSE,"OVERVIEW";#N/A,#N/A,FALSE,"OVERVIEW 1";#N/A,#N/A,FALSE,"1995 Rev &amp; Exp";#N/A,#N/A,FALSE,"HISTORICAL REV &amp; EXP";#N/A,#N/A,FALSE,"LEASES";#N/A,#N/A,FALSE,"APPRAISAL";#N/A,#N/A,FALSE,"APPRAISAL 2";#N/A,#N/A,FALSE,"APPRAISAL 3";#N/A,#N/A,FALSE,"ENGINEERING";#N/A,#N/A,FALSE,"ENVIRONMENTAL";#N/A,#N/A,FALSE,"CREDIT";#N/A,#N/A,FALSE,"ASSET MGMT.";#N/A,#N/A,FALSE,"LOAN ANALYSIS";#N/A,#N/A,FALSE,"SOURCES &amp; USES";#N/A,#N/A,FALSE,"Working List"}</definedName>
    <definedName name="wrn.Primary._.Competition." hidden="1">{#N/A,#N/A,FALSE,"Primary"}</definedName>
    <definedName name="wrn.print." hidden="1">{"Assump",#N/A,TRUE,"Proforma";"first",#N/A,TRUE,"Proforma";"second",#N/A,TRUE,"Proforma";"lease1",#N/A,TRUE,"Proforma";"lease2",#N/A,TRUE,"Proforma"}</definedName>
    <definedName name="wrn.Print._.All." localSheetId="3" hidden="1">{#N/A,#N/A,FALSE,"Land";#N/A,#N/A,FALSE,"Cost Analysis";"Summary",#N/A,FALSE,"Equipment"}</definedName>
    <definedName name="wrn.Print._.All." localSheetId="0" hidden="1">{#N/A,#N/A,FALSE,"Land";#N/A,#N/A,FALSE,"Cost Analysis";"Summary",#N/A,FALSE,"Equipment"}</definedName>
    <definedName name="wrn.Print._.All." hidden="1">{#N/A,#N/A,FALSE,"Land";#N/A,#N/A,FALSE,"Cost Analysis";"Summary",#N/A,FALSE,"Equipment"}</definedName>
    <definedName name="wrn.Print._.All._.Improved._.Sales." localSheetId="3" hidden="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Improved._.Sales." localSheetId="0" hidden="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Improved._.Sales." hidden="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Report._.Pages." localSheetId="3" hidden="1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All._.Report._.Pages." localSheetId="0" hidden="1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All._.Report._.Pages." hidden="1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Annual." hidden="1">{"Summary Info",#N/A,TRUE,"Summary";"Sources &amp; Uses",#N/A,TRUE,"Summary";"Development Program",#N/A,TRUE,"Summary";"Timeline",#N/A,TRUE,"Timeline";"Total Annual CF",#N/A,TRUE,"Summary-Annual";"Total Detailed Annual",#N/A,TRUE,"Summary-Annual";"Acq Costs",#N/A,TRUE,"Ent &amp; Infr";"Entitlement Costs",#N/A,TRUE,"Ent &amp; Infr";"Infrastructure Costs",#N/A,TRUE,"Ent &amp; Infr";"Infrastructure Costs 2",#N/A,TRUE,"Ent &amp; Infr";"Infrastructure Costs 3",#N/A,TRUE,"Ent &amp; Infr";"Infrastructure Costs 4",#N/A,TRUE,"Ent &amp; Infr";"DevBudget",#N/A,TRUE,"DevBudget";"Res Summary",#N/A,TRUE,"Residential";"Res DevBudget",#N/A,TRUE,"Residential";"Res CF Annual",#N/A,TRUE,"Residential-Annual";"Res Detailed Annual",#N/A,TRUE,"Residential-Annual";"Res Detailed Annual 2",#N/A,TRUE,"Residential-Annual";"Res D&amp;S Annual",#N/A,TRUE,"Residential-Annual";"Retail Summary",#N/A,TRUE,"Retail";"Retail Budget",#N/A,TRUE,"Retail";"Retail CF Annual",#N/A,TRUE,"Retail-Annual";"Retail Detailed Annual",#N/A,TRUE,"Retail-Annual";"Retail Detailed Annual 2",#N/A,TRUE,"Retail-Annual";"Retail D&amp;S Annual",#N/A,TRUE,"Retail-Annual";"Hotel Annual",#N/A,TRUE,"Hotel-Annual";"CFD Annual",#N/A,TRUE,"CFD-Annual";"Racetrack Summary",#N/A,TRUE,"Racetrack Summary";"Racetrack Summary 2",#N/A,TRUE,"Racetrack Summary"}</definedName>
    <definedName name="wrn.Print._.CRXLAND._.Openings." hidden="1">{"Print CRXLAND Assumptions",#N/A,FALSE,"CRXLAND Openings";"Print CRXLAND Openings",#N/A,FALSE,"CRXLAND Openings"}</definedName>
    <definedName name="wrn.Print._.Entire._.Workbook." hidden="1">{"Assumptions",#N/A,TRUE,"Assumptions";"qtrl1",#N/A,TRUE,"Annual Summary";"qtrl2",#N/A,TRUE,"Annual Summary";"qtrl3",#N/A,TRUE,"Annual Summary";"qtrl4",#N/A,TRUE,"QTLY Summary";"qtrl5",#N/A,TRUE,"QTLY Summary";"qtrl6",#N/A,TRUE,"QTLY Summary";"Lot Prices",#N/A,TRUE,"Annual Summary";"Construction Costs",#N/A,TRUE,"Annual Summary";"land1",#N/A,TRUE,"Annual Summary";"land2",#N/A,TRUE,"Annual Summary";"land3",#N/A,TRUE,"Annual Summary";"lot1",#N/A,TRUE,"Annual Summary";"lot2",#N/A,TRUE,"Annual Summary";"Lot3",#N/A,TRUE,"Annual Summary";"lot4",#N/A,TRUE,"Annual Summary";"lot5",#N/A,TRUE,"Annual Summary";"lot6",#N/A,TRUE,"Annual Summary";"lot7",#N/A,TRUE,"Annual Summary";"lot8",#N/A,TRUE,"Annual Summary";"lot9",#N/A,TRUE,"Annual Summary";"lot10",#N/A,TRUE,"Annual Summary";"lot11",#N/A,TRUE,"Annual Summary";"lot12",#N/A,TRUE,"Annual Summary";"lot inventory",#N/A,TRUE,"Annual Summary";"scen1",#N/A,TRUE,"Annual Summary";"scen2",#N/A,TRUE,"Annual Summary";"View1",#N/A,TRUE,"Annual Summary";"View2",#N/A,TRUE,"Annual Summary";"View3",#N/A,TRUE,"Annual Summary";"View4",#N/A,TRUE,"Annual Summary";"View5",#N/A,TRUE,"Annual Summary";"View6",#N/A,TRUE,"Annual Summary";"View7",#N/A,TRUE,"Annual Summary";"View8",#N/A,TRUE,"Annual Summary";"View9",#N/A,TRUE,"Annual Summary";"View10",#N/A,TRUE,"Annual Summary";"View11",#N/A,TRUE,"Annual Summary";"View12",#N/A,TRUE,"Annual Summary";"cot1",#N/A,TRUE,"Annual Summary";"cot2",#N/A,TRUE,"Annual Summary";"cot3",#N/A,TRUE,"Annual Summary"}</definedName>
    <definedName name="wrn.Print._.Everythin." localSheetId="3" hidden="1">{#N/A,#N/A,FALSE,"PRELIMINARY REVIEW";#N/A,#N/A,FALSE,"SOURCES AND USES OF FUNDS";#N/A,#N/A,FALSE,"COST ITEMS";#N/A,#N/A,FALSE,"DRAW SCHEDULE";#N/A,#N/A,FALSE,"STABILIZED OPERATING PROFORMA";#N/A,#N/A,FALSE,"LEASE UP OPERATING PROFORMA";#N/A,#N/A,FALSE,"INPUT SHEET"}</definedName>
    <definedName name="wrn.Print._.Everythin." localSheetId="0" hidden="1">{#N/A,#N/A,FALSE,"PRELIMINARY REVIEW";#N/A,#N/A,FALSE,"SOURCES AND USES OF FUNDS";#N/A,#N/A,FALSE,"COST ITEMS";#N/A,#N/A,FALSE,"DRAW SCHEDULE";#N/A,#N/A,FALSE,"STABILIZED OPERATING PROFORMA";#N/A,#N/A,FALSE,"LEASE UP OPERATING PROFORMA";#N/A,#N/A,FALSE,"INPUT SHEET"}</definedName>
    <definedName name="wrn.Print._.Everythin." hidden="1">{#N/A,#N/A,FALSE,"PRELIMINARY REVIEW";#N/A,#N/A,FALSE,"SOURCES AND USES OF FUNDS";#N/A,#N/A,FALSE,"COST ITEMS";#N/A,#N/A,FALSE,"DRAW SCHEDULE";#N/A,#N/A,FALSE,"STABILIZED OPERATING PROFORMA";#N/A,#N/A,FALSE,"LEASE UP OPERATING PROFORMA";#N/A,#N/A,FALSE,"INPUT SHEET"}</definedName>
    <definedName name="wrn.Print._.Everything." hidden="1">{"print annual inc. statement",#N/A,FALSE,"Summary";"print annual stats",#N/A,FALSE,"Summary";"print quarterly inc. statement",#N/A,FALSE,"Summary";"print quarterly stats",#N/A,FALSE,"Summary";"print STAY opening assumptions",#N/A,FALSE,"STAY Openings";"print STAY openings",#N/A,FALSE,"STAY Openings";"Print SPHI Assumptions",#N/A,FALSE,"SPHI Openings";"Print SPHI Openings",#N/A,FALSE,"SPHI Openings";"Print CRXLAND Assumptions",#N/A,FALSE,"CRXLAND Openings";"Print CRXLAND Openings",#N/A,FALSE,"CRXLAND Openings"}</definedName>
    <definedName name="wrn.Print._.Inc.._.Statement._.and._.Stats.." hidden="1">{"print annual inc. statement",#N/A,FALSE,"Summary";"print annual stats",#N/A,FALSE,"Summary";"print quarterly inc. statement",#N/A,FALSE,"Summary";"print quarterly stats",#N/A,FALSE,"Summary"}</definedName>
    <definedName name="wrn.Print._.Rent._.Comps." localSheetId="3" hidden="1">{#N/A,#N/A,FALSE,"Rent 1";#N/A,#N/A,FALSE,"Rent 2";#N/A,#N/A,FALSE,"Rent 3";#N/A,#N/A,FALSE,"Rent 4";#N/A,#N/A,FALSE,"Rent 5";#N/A,#N/A,FALSE,"Rent 6";#N/A,#N/A,FALSE,"Rent 7";#N/A,#N/A,FALSE,"Rent 8"}</definedName>
    <definedName name="wrn.Print._.Rent._.Comps." localSheetId="0" hidden="1">{#N/A,#N/A,FALSE,"Rent 1";#N/A,#N/A,FALSE,"Rent 2";#N/A,#N/A,FALSE,"Rent 3";#N/A,#N/A,FALSE,"Rent 4";#N/A,#N/A,FALSE,"Rent 5";#N/A,#N/A,FALSE,"Rent 6";#N/A,#N/A,FALSE,"Rent 7";#N/A,#N/A,FALSE,"Rent 8"}</definedName>
    <definedName name="wrn.Print._.Rent._.Comps." hidden="1">{#N/A,#N/A,FALSE,"Rent 1";#N/A,#N/A,FALSE,"Rent 2";#N/A,#N/A,FALSE,"Rent 3";#N/A,#N/A,FALSE,"Rent 4";#N/A,#N/A,FALSE,"Rent 5";#N/A,#N/A,FALSE,"Rent 6";#N/A,#N/A,FALSE,"Rent 7";#N/A,#N/A,FALSE,"Rent 8"}</definedName>
    <definedName name="wrn.Print._.Report." hidden="1">{"annual",#N/A,FALSE,"Sheet2";"quarters",#N/A,FALSE,"Sheet2"}</definedName>
    <definedName name="wrn.Print._.SPHI._.Openings." hidden="1">{"Print SPHI Assumptions",#N/A,FALSE,"SPHI Openings";"Print SPHI Openings",#N/A,FALSE,"SPHI Openings"}</definedName>
    <definedName name="wrn.Print._.STAY._.Openings." hidden="1">{"print STAY opening assumptions",#N/A,FALSE,"STAY Openings";"print STAY openings",#N/A,FALSE,"STAY Openings"}</definedName>
    <definedName name="wrn.Print._.Three._.Page._.Model." hidden="1">{"Page One",#N/A,FALSE,"Model";"Page 2",#N/A,FALSE,"Model";"Page 3",#N/A,FALSE,"Model"}</definedName>
    <definedName name="wrn.print7" hidden="1">{"page1",#N/A,FALSE,"Model";"page2",#N/A,FALSE,"Model";"page3",#N/A,FALSE,"Model";"page4",#N/A,FALSE,"Model";"page5",#N/A,FALSE,"Model";"page6",#N/A,FALSE,"Model"}</definedName>
    <definedName name="wrn.PrintAll." hidden="1">{#N/A,#N/A,FALSE,"Broker Sheet";#N/A,#N/A,FALSE,"Exec.Summary";#N/A,#N/A,FALSE,"Argus Cash Flow";#N/A,#N/A,FALSE,"SPF";#N/A,#N/A,FALSE,"RentRoll"}</definedName>
    <definedName name="wrn.Printing._.the._.Model." hidden="1">{#N/A,#N/A,FALSE,"General Assumptions";#N/A,#N/A,FALSE,"Summary of Results";#N/A,#N/A,FALSE,"Waterfall - LFSRI";#N/A,#N/A,FALSE,"Sources &amp; Uses - Output";#N/A,#N/A,FALSE,"Existing Portfolio";#N/A,#N/A,FALSE,"1996 Development Schedule";#N/A,#N/A,FALSE,"New Development";#N/A,#N/A,FALSE,"New Acquisitions";#N/A,#N/A,FALSE,"Land Inventory";#N/A,#N/A,FALSE,"Balance Sheet Dec. 1996";#N/A,#N/A,FALSE,"Balance Sheet - Projected";#N/A,#N/A,FALSE,"Total Cash Flow -- Model";#N/A,#N/A,FALSE,"Total Cash Flow -- Output"}</definedName>
    <definedName name="wrn.Printing._.the._.Model7" hidden="1">{#N/A,#N/A,FALSE,"General Assumptions";#N/A,#N/A,FALSE,"Summary of Results";#N/A,#N/A,FALSE,"Waterfall - LFSRI";#N/A,#N/A,FALSE,"Sources &amp; Uses - Output";#N/A,#N/A,FALSE,"Existing Portfolio";#N/A,#N/A,FALSE,"1996 Development Schedule";#N/A,#N/A,FALSE,"New Development";#N/A,#N/A,FALSE,"New Acquisitions";#N/A,#N/A,FALSE,"Land Inventory";#N/A,#N/A,FALSE,"Balance Sheet Dec. 1996";#N/A,#N/A,FALSE,"Balance Sheet - Projected";#N/A,#N/A,FALSE,"Total Cash Flow -- Model";#N/A,#N/A,FALSE,"Total Cash Flow -- Output"}</definedName>
    <definedName name="wrn.Printout." hidden="1">{"Zone1",#N/A,FALSE,"Parameters";"Zone2",#N/A,FALSE,"Parameters"}</definedName>
    <definedName name="wrn.Prints._.All.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O." hidden="1">{#N/A,#N/A,FALSE,"COVER";#N/A,#N/A,FALSE,"Construction CF";#N/A,#N/A,FALSE,"PROFORMA";#N/A,#N/A,FALSE,"CASHFLOW"}</definedName>
    <definedName name="wrn.Pro._.Forma." hidden="1">{#N/A,#N/A,FALSE,"ACQ";#N/A,#N/A,FALSE,"ASSUMP";#N/A,#N/A,FALSE,"CASH FLOW";#N/A,#N/A,FALSE,"SALE";#N/A,#N/A,FALSE,"TIS";#N/A,#N/A,FALSE,"RENT ROLL"}</definedName>
    <definedName name="wrn.ProForma." hidden="1">{#N/A,#N/A,TRUE,"Summary";#N/A,#N/A,TRUE,"Income (Input Page)";#N/A,#N/A,TRUE,"Expenses";#N/A,#N/A,TRUE,"Dev. Cost &amp; Elig. Basis(Input)";#N/A,#N/A,TRUE,"Tax Credit";#N/A,#N/A,TRUE,"Sources and Uses";#N/A,#N/A,TRUE,"Rent Up Reserve";#N/A,#N/A,TRUE,"Cash Flow";#N/A,#N/A,TRUE,"Construction Cash Flow"}</definedName>
    <definedName name="wrn.Proforma._.Review." hidden="1">{#N/A,#N/A,FALSE,"Occ and Rate";#N/A,#N/A,FALSE,"PF Input";#N/A,#N/A,FALSE,"Proforma Five Yr";#N/A,#N/A,FALSE,"Hotcomps"}</definedName>
    <definedName name="wrn.Proforma._.Year._.1." hidden="1">{"Plan Information",#N/A,FALSE,"Plans"}</definedName>
    <definedName name="wrn.Program._.Compliance." hidden="1">{#N/A,#N/A,FALSE,"COMPLIANCE"}</definedName>
    <definedName name="wrn.projection." hidden="1">{#N/A,#N/A,TRUE,"TOC";#N/A,#N/A,TRUE,"GEN";#N/A,#N/A,TRUE,"FINANCING ";#N/A,#N/A,TRUE,"SYND";#N/A,#N/A,TRUE,"RENT";#N/A,#N/A,TRUE,"RENTUP";#N/A,#N/A,TRUE,"CASH";#N/A,#N/A,TRUE,"LOSS";#N/A,#N/A,TRUE,"BENEFITS";#N/A,#N/A,TRUE,"SOURCE";#N/A,#N/A,TRUE,"FLOW";#N/A,#N/A,TRUE,"TAX CREDIT";#N/A,#N/A,TRUE,"DEPREC";#N/A,#N/A,TRUE,"RESERVES";#N/A,#N/A,TRUE,"AMORT_4";#N/A,#N/A,TRUE,"UT SU ";#N/A,#N/A,TRUE,"UT FLOW";#N/A,#N/A,TRUE,"UT BRIDGE LOAN";#N/A,#N/A,TRUE,"UT LOSS";#N/A,#N/A,TRUE,"UT BENEFITS";#N/A,#N/A,TRUE,"UT FUNDED";#N/A,#N/A,TRUE,"SALES1";#N/A,#N/A,TRUE,"SALES2"}</definedName>
    <definedName name="wrn.projection._1" hidden="1">{#N/A,#N/A,TRUE,"TOC";#N/A,#N/A,TRUE,"GEN";#N/A,#N/A,TRUE,"FINANCING ";#N/A,#N/A,TRUE,"SYND";#N/A,#N/A,TRUE,"RENT";#N/A,#N/A,TRUE,"RENTUP";#N/A,#N/A,TRUE,"CASH";#N/A,#N/A,TRUE,"LOSS";#N/A,#N/A,TRUE,"BENEFITS";#N/A,#N/A,TRUE,"SOURCE";#N/A,#N/A,TRUE,"FLOW";#N/A,#N/A,TRUE,"TAX CREDIT";#N/A,#N/A,TRUE,"DEPREC";#N/A,#N/A,TRUE,"RESERVES";#N/A,#N/A,TRUE,"AMORT_4";#N/A,#N/A,TRUE,"UT SU ";#N/A,#N/A,TRUE,"UT FLOW";#N/A,#N/A,TRUE,"UT BRIDGE LOAN";#N/A,#N/A,TRUE,"UT LOSS";#N/A,#N/A,TRUE,"UT BENEFITS";#N/A,#N/A,TRUE,"UT FUNDED";#N/A,#N/A,TRUE,"SALES1";#N/A,#N/A,TRUE,"SALES2"}</definedName>
    <definedName name="wrn.projection._2" hidden="1">{#N/A,#N/A,TRUE,"TOC";#N/A,#N/A,TRUE,"GEN";#N/A,#N/A,TRUE,"FINANCING ";#N/A,#N/A,TRUE,"SYND";#N/A,#N/A,TRUE,"RENT";#N/A,#N/A,TRUE,"RENTUP";#N/A,#N/A,TRUE,"CASH";#N/A,#N/A,TRUE,"LOSS";#N/A,#N/A,TRUE,"BENEFITS";#N/A,#N/A,TRUE,"SOURCE";#N/A,#N/A,TRUE,"FLOW";#N/A,#N/A,TRUE,"TAX CREDIT";#N/A,#N/A,TRUE,"DEPREC";#N/A,#N/A,TRUE,"RESERVES";#N/A,#N/A,TRUE,"AMORT_4";#N/A,#N/A,TRUE,"UT SU ";#N/A,#N/A,TRUE,"UT FLOW";#N/A,#N/A,TRUE,"UT BRIDGE LOAN";#N/A,#N/A,TRUE,"UT LOSS";#N/A,#N/A,TRUE,"UT BENEFITS";#N/A,#N/A,TRUE,"UT FUNDED";#N/A,#N/A,TRUE,"SALES1";#N/A,#N/A,TRUE,"SALES2"}</definedName>
    <definedName name="wrn.projection.new" hidden="1">{#N/A,#N/A,TRUE,"TOC";#N/A,#N/A,TRUE,"GEN";#N/A,#N/A,TRUE,"FINANCING ";#N/A,#N/A,TRUE,"SYND";#N/A,#N/A,TRUE,"RENT";#N/A,#N/A,TRUE,"RENTUP";#N/A,#N/A,TRUE,"CASH";#N/A,#N/A,TRUE,"LOSS";#N/A,#N/A,TRUE,"BENEFITS";#N/A,#N/A,TRUE,"SOURCE";#N/A,#N/A,TRUE,"FLOW";#N/A,#N/A,TRUE,"TAX CREDIT";#N/A,#N/A,TRUE,"DEPREC";#N/A,#N/A,TRUE,"RESERVES";#N/A,#N/A,TRUE,"AMORT_4";#N/A,#N/A,TRUE,"UT SU ";#N/A,#N/A,TRUE,"UT FLOW";#N/A,#N/A,TRUE,"UT BRIDGE LOAN";#N/A,#N/A,TRUE,"UT LOSS";#N/A,#N/A,TRUE,"UT BENEFITS";#N/A,#N/A,TRUE,"UT FUNDED";#N/A,#N/A,TRUE,"SALES1";#N/A,#N/A,TRUE,"SALES2"}</definedName>
    <definedName name="wrn.projection.new_1" hidden="1">{#N/A,#N/A,TRUE,"TOC";#N/A,#N/A,TRUE,"GEN";#N/A,#N/A,TRUE,"FINANCING ";#N/A,#N/A,TRUE,"SYND";#N/A,#N/A,TRUE,"RENT";#N/A,#N/A,TRUE,"RENTUP";#N/A,#N/A,TRUE,"CASH";#N/A,#N/A,TRUE,"LOSS";#N/A,#N/A,TRUE,"BENEFITS";#N/A,#N/A,TRUE,"SOURCE";#N/A,#N/A,TRUE,"FLOW";#N/A,#N/A,TRUE,"TAX CREDIT";#N/A,#N/A,TRUE,"DEPREC";#N/A,#N/A,TRUE,"RESERVES";#N/A,#N/A,TRUE,"AMORT_4";#N/A,#N/A,TRUE,"UT SU ";#N/A,#N/A,TRUE,"UT FLOW";#N/A,#N/A,TRUE,"UT BRIDGE LOAN";#N/A,#N/A,TRUE,"UT LOSS";#N/A,#N/A,TRUE,"UT BENEFITS";#N/A,#N/A,TRUE,"UT FUNDED";#N/A,#N/A,TRUE,"SALES1";#N/A,#N/A,TRUE,"SALES2"}</definedName>
    <definedName name="wrn.projection.new_2" hidden="1">{#N/A,#N/A,TRUE,"TOC";#N/A,#N/A,TRUE,"GEN";#N/A,#N/A,TRUE,"FINANCING ";#N/A,#N/A,TRUE,"SYND";#N/A,#N/A,TRUE,"RENT";#N/A,#N/A,TRUE,"RENTUP";#N/A,#N/A,TRUE,"CASH";#N/A,#N/A,TRUE,"LOSS";#N/A,#N/A,TRUE,"BENEFITS";#N/A,#N/A,TRUE,"SOURCE";#N/A,#N/A,TRUE,"FLOW";#N/A,#N/A,TRUE,"TAX CREDIT";#N/A,#N/A,TRUE,"DEPREC";#N/A,#N/A,TRUE,"RESERVES";#N/A,#N/A,TRUE,"AMORT_4";#N/A,#N/A,TRUE,"UT SU ";#N/A,#N/A,TRUE,"UT FLOW";#N/A,#N/A,TRUE,"UT BRIDGE LOAN";#N/A,#N/A,TRUE,"UT LOSS";#N/A,#N/A,TRUE,"UT BENEFITS";#N/A,#N/A,TRUE,"UT FUNDED";#N/A,#N/A,TRUE,"SALES1";#N/A,#N/A,TRUE,"SALES2"}</definedName>
    <definedName name="wrn.Property._.Description." hidden="1">{#N/A,#N/A,FALSE,"PROP. DESCRIPTION"}</definedName>
    <definedName name="wrn.Property._.Tax." hidden="1">{#N/A,#N/A,FALSE,"FOR_SUM";#N/A,#N/A,FALSE,"FA";#N/A,#N/A,FALSE,"PTRANS_TAX"}</definedName>
    <definedName name="wrn.Quarterly._.Summaries." hidden="1">{"P1-3Quarterly",#N/A,TRUE,"CF Summ";"P1-Quarterly",#N/A,TRUE,"CF Summ";"P2-Quarterly",#N/A,TRUE,"CF Summ";"P3-Quarterly",#N/A,TRUE,"CF Summ"}</definedName>
    <definedName name="wrn.Quarterly._.Summary." hidden="1">{"qtrl1",#N/A,TRUE,"Annual Summary";"qtrl2",#N/A,TRUE,"Annual Summary";"qtrl3",#N/A,TRUE,"Annual Summary";"qtrl4",#N/A,TRUE,"QTLY Summary";"qtrl5",#N/A,TRUE,"QTLY Summary";"qtrl6",#N/A,TRUE,"QTLY Summary"}</definedName>
    <definedName name="wrn.rate." hidden="1">{"RATES",#N/A,FALSE,"RECOVERY RATES";"CONTRIBUTIONS",#N/A,FALSE,"RECOVERY RATES";"GLA CATEGORY SUMMARY",#N/A,FALSE,"RECOVERY RATES"}</definedName>
    <definedName name="wrn.RATES." hidden="1">{"RATES",#N/A,FALSE,"RECOVERY RATES";"CONTRIBUTIONS",#N/A,FALSE,"RECOVERY RATES";"GLA CATEGORY SUMMARY",#N/A,FALSE,"RECOVERY RATES"}</definedName>
    <definedName name="wrn.Relevant._.Sections." localSheetId="3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levant._.Sections." localSheetId="0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levant._.Sections.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port" hidden="1">{#N/A,#N/A,FALSE,"Project Summary";#N/A,#N/A,FALSE,"Parameter Summary";#N/A,#N/A,FALSE,"Budget Control Report";#N/A,#N/A,FALSE,"DETAIL.XLS"}</definedName>
    <definedName name="wrn.Report." localSheetId="6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" localSheetId="3" hidden="1">{#N/A,#N/A,FALSE,"Loan Summary";#N/A,#N/A,FALSE,"NOI";"RR and Expir",#N/A,FALSE,"Rental";"Sales History",#N/A,FALSE,"Rental";#N/A,#N/A,FALSE,"Reserves"}</definedName>
    <definedName name="wrn.Report." localSheetId="0" hidden="1">{#N/A,#N/A,FALSE,"Loan Summary";#N/A,#N/A,FALSE,"NOI";"RR and Expir",#N/A,FALSE,"Rental";"Sales History",#N/A,FALSE,"Rental";#N/A,#N/A,FALSE,"Reserves"}</definedName>
    <definedName name="wrn.Report." localSheetId="5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" hidden="1">{#N/A,#N/A,FALSE,"Loan Summary";#N/A,#N/A,FALSE,"NOI";"RR and Expir",#N/A,FALSE,"Rental";"Sales History",#N/A,FALSE,"Rental";#N/A,#N/A,FALSE,"Reserves"}</definedName>
    <definedName name="wrn.REPORT_1." hidden="1">{"SIMPLIFD_P1",#N/A,FALSE,"SIMPLIFD"}</definedName>
    <definedName name="wrn.reports." hidden="1">{#N/A,#N/A,FALSE,"Project Summary";#N/A,#N/A,FALSE,"Parameter Summary";#N/A,#N/A,FALSE,"Budget Control Report";#N/A,#N/A,FALSE,"DETAIL.XLS"}</definedName>
    <definedName name="wrn.Rmgmtfee." hidden="1">{#N/A,#N/A,FALSE,"Rmgmtfee"}</definedName>
    <definedName name="wrn.Scenario." hidden="1">{"scen1",#N/A,FALSE,"Scenarios";"scen2",#N/A,FALSE,"Scenarios"}</definedName>
    <definedName name="wrn.SCHAs." hidden="1">{"ACCOUNTING COPY",#N/A,FALSE,"SCHEDULE A";"FINANCE COPY",#N/A,FALSE,"SCHEDULE A";"P.L. COPY",#N/A,FALSE,"SCHEDULE A"}</definedName>
    <definedName name="wrn.schas2" hidden="1">{"ACCOUNTING COPY",#N/A,FALSE,"SCHEDULE A";"FINANCE COPY",#N/A,FALSE,"SCHEDULE A";"P.L. COPY",#N/A,FALSE,"SCHEDULE A"}</definedName>
    <definedName name="wrn.SCHEDULE" hidden="1">{"SCHEDULE",#N/A,FALSE,"Fin_sched"}</definedName>
    <definedName name="wrn.SCHEDULE." hidden="1">{"SCHEDULE",#N/A,FALSE,"Fin_sched"}</definedName>
    <definedName name="wrn.SCHEDULES._.ABC." hidden="1">{#N/A,#N/A,FALSE,"SCHEDULE A";"MINIMUM RENT",#N/A,FALSE,"SCHEDULES B &amp; C";"PERCENTAGE RENT",#N/A,FALSE,"SCHEDULES B &amp; C"}</definedName>
    <definedName name="wrn.seafirst.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econdary._.Competition." hidden="1">{#N/A,#N/A,FALSE,"Secondary"}</definedName>
    <definedName name="wrn.Short." hidden="1">{#N/A,#N/A,FALSE,"ExecutiveSummary";#N/A,#N/A,FALSE,"CostDetail";#N/A,#N/A,FALSE,"IncomeDetail"}</definedName>
    <definedName name="wrn.Short._.Print." hidden="1">{#N/A,#N/A,FALSE,"Cover";#N/A,#N/A,FALSE,"Stack";#N/A,#N/A,FALSE,"Cost S";#N/A,#N/A,FALSE," CF";#N/A,#N/A,FALSE,"Investor"}</definedName>
    <definedName name="wrn.Site._.Development._.Package." hidden="1">{#N/A,#N/A,TRUE,"Site Dev P1";#N/A,#N/A,TRUE,"SD P2";#N/A,#N/A,TRUE,"SD P3"}</definedName>
    <definedName name="wrn.SPG._.Estimate." hidden="1">{#N/A,#N/A,FALSE,"Detail";#N/A,#N/A,FALSE,"Totals"}</definedName>
    <definedName name="wrn.Stadium._.PCD." hidden="1">{#N/A,#N/A,TRUE,"Ericsson Stadium PCD ";#N/A,#N/A,TRUE,"Ericsson Stadium IOR"}</definedName>
    <definedName name="wrn.Structural._.Frame." hidden="1">{"structural",#N/A,FALSE,"DETAIL.XLS"}</definedName>
    <definedName name="wrn.SUM._.ONLY." hidden="1">{"SUMMARY",#N/A,FALSE,"BIDSUM"}</definedName>
    <definedName name="wrn.SUM._.WITH._.GC." hidden="1">{"SUMMARY",#N/A,FALSE,"BIDSUM";"SUMALTS",#N/A,FALSE,"BIDSUM";#N/A,#N/A,FALSE,"GCOND"}</definedName>
    <definedName name="wrn.Summaries." hidden="1">{#N/A,#N/A,TRUE,"Dev Summ";#N/A,#N/A,TRUE,"General";#N/A,#N/A,TRUE,"Rates";#N/A,#N/A,TRUE,"Abs_Sale";#N/A,#N/A,TRUE,"P1 Cost Summ";#N/A,#N/A,TRUE,"P2 Cost Summ";#N/A,#N/A,TRUE,"P3 Cost Summ"}</definedName>
    <definedName name="wrn.SUMMARY." hidden="1">{"SUMMARY",#N/A,FALSE,"Fin_sched"}</definedName>
    <definedName name="wrn.Summary._.Overview." hidden="1">{#N/A,#N/A,FALSE,"OVERVIEW"}</definedName>
    <definedName name="wrn.SunModel." hidden="1">{#N/A,#N/A,FALSE,"summary";#N/A,#N/A,FALSE,"SIH";#N/A,#N/A,FALSE,"SIH Value";#N/A,#N/A,FALSE,"tax est.";#N/A,#N/A,FALSE,"Mohegan";#N/A,#N/A,FALSE,"Resorts";#N/A,#N/A,FALSE,"Win Per Day";#N/A,#N/A,FALSE,"CapStr"}</definedName>
    <definedName name="wrn.Supply._.Additions." hidden="1">{#N/A,#N/A,FALSE,"Supply Addn"}</definedName>
    <definedName name="wrn.Syndication." localSheetId="3" hidden="1">{#N/A,#N/A,FALSE,"Assumptions";"Section 1",#N/A,FALSE,"SYNDICATION MODEL";"Section 2",#N/A,FALSE,"SYNDICATION MODEL";#N/A,#N/A,FALSE,"Input Sheet";#N/A,#N/A,FALSE,"SYNDICATION ROE"}</definedName>
    <definedName name="wrn.Syndication." localSheetId="0" hidden="1">{#N/A,#N/A,FALSE,"Assumptions";"Section 1",#N/A,FALSE,"SYNDICATION MODEL";"Section 2",#N/A,FALSE,"SYNDICATION MODEL";#N/A,#N/A,FALSE,"Input Sheet";#N/A,#N/A,FALSE,"SYNDICATION ROE"}</definedName>
    <definedName name="wrn.Syndication." hidden="1">{#N/A,#N/A,FALSE,"Assumptions";"Section 1",#N/A,FALSE,"SYNDICATION MODEL";"Section 2",#N/A,FALSE,"SYNDICATION MODEL";#N/A,#N/A,FALSE,"Input Sheet";#N/A,#N/A,FALSE,"SYNDICATION ROE"}</definedName>
    <definedName name="wrn.TANASBOURNE._.ONLY." localSheetId="3" hidden="1">{#N/A,#N/A,FALSE,"Expense Comparison"}</definedName>
    <definedName name="wrn.TANASBOURNE._.ONLY." localSheetId="0" hidden="1">{#N/A,#N/A,FALSE,"Expense Comparison"}</definedName>
    <definedName name="wrn.TANASBOURNE._.ONLY." hidden="1">{#N/A,#N/A,FALSE,"Expense Comparison"}</definedName>
    <definedName name="wrn.Target._.Comparison." hidden="1">{"Target Comparison",#N/A,FALSE,"Summary"}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nants." hidden="1">{#N/A,#N/A,FALSE,"TENANTS"}</definedName>
    <definedName name="wrn.TEST." hidden="1">{#N/A,#N/A,FALSE,"SCHEDULE G"}</definedName>
    <definedName name="wrn.TEST1." hidden="1">{"TEST1",#N/A,FALSE,"SIMPLIFD"}</definedName>
    <definedName name="wrn.TOCHTERMAN.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tal.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_.SHEETS." hidden="1">{#N/A,#N/A,FALSE,"DEV COSTS";#N/A,#N/A,FALSE,"10-YR C. F."}</definedName>
    <definedName name="wrn.Unit._.Information." hidden="1">{#N/A,#N/A,FALSE,"Unit Info";#N/A,#N/A,FALSE,"Unit Info"}</definedName>
    <definedName name="wrn.valuation." hidden="1">{"Page1",#N/A,FALSE,"7979";"Page2",#N/A,FALSE,"7979";"Page3",#N/A,FALSE,"7979"}</definedName>
    <definedName name="wrn.Variance." hidden="1">{#N/A,#N/A,FALSE,"CCC Variance";#N/A,#N/A,FALSE,"CCC Notes"}</definedName>
    <definedName name="wrn.weekly." hidden="1">{#N/A,#N/A,FALSE,"Large Operators";#N/A,#N/A,FALSE,"Smaller Operators";#N/A,#N/A,FALSE,"Equip. Supply";#N/A,#N/A,FALSE,"EBITDA";#N/A,#N/A,FALSE,"perform"}</definedName>
    <definedName name="wrn.Working._.Party._.List." hidden="1">{#N/A,#N/A,FALSE,"Working List"}</definedName>
    <definedName name="wvu.As._.Is._.Value." localSheetId="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As._.Is._.Value." localSheetId="0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As._.Is._.Value.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Détails." hidden="1">{TRUE,TRUE,-1.25,-15.5,604.5,366.75,FALSE,TRUE,TRUE,TRUE,0,1,#N/A,1,#N/A,6.54838709677419,31.3076923076923,1,FALSE,FALSE,3,TRUE,1,FALSE,75,"Swvu.Détails.","ACwvu.Détails.",#N/A,FALSE,FALSE,0.15748031496063,0.15748031496063,0.748031496062992,0.511811023622047,2,"&amp;C&amp;""Arial,Gras""&amp;20DISNEY  -  PRODUCTION  BUDGET&amp;R&amp;""Arial,Gras""&amp;20SUMMARY","&amp;L&amp;F  -  &amp;A&amp;C&amp;""Arial,Gras""&amp;D&amp;""Arial,Normal""  -  &amp;T&amp;RPage
",TRUE,TRUE,FALSE,TRUE,1,#N/A,1,1,"=R1C1:R60C24","=R1:R5",#N/A,#N/A,FALSE,FALSE,FALSE,5,65532,65532,FALSE,FALSE,TRUE,TRUE,TRUE}</definedName>
    <definedName name="wvu.Sommaire." hidden="1">{TRUE,TRUE,-1.25,-15.5,604.5,366.75,FALSE,TRUE,TRUE,TRUE,0,1,2,1,6,1,5,4,TRUE,TRUE,3,TRUE,1,TRUE,75,"Swvu.Sommaire.","ACwvu.Sommaire.",#N/A,FALSE,FALSE,0.15748031496063,0.15748031496063,0.748031496062992,0.511811023622047,2,"&amp;C&amp;""Arial,Gras""&amp;20DISNEY  -  PRODUCTION  BUDGET&amp;R&amp;""Arial,Gras""&amp;20SUMMARY","&amp;L&amp;F  -  &amp;A&amp;C&amp;""Arial,Gras""&amp;D&amp;""Arial,Normal""  -  &amp;T&amp;RPage
",TRUE,TRUE,FALSE,TRUE,1,#N/A,1,1,"=R1C1:R60C24","=R1:R5","Rwvu.Sommaire.",#N/A,FALSE,FALSE,FALSE,5,65532,65532,FALSE,FALSE,TRUE,TRUE,TRUE}</definedName>
    <definedName name="www" hidden="1">{"data",#N/A,FALSE,"INPUT"}</definedName>
    <definedName name="www_1" hidden="1">{"data",#N/A,FALSE,"INPUT"}</definedName>
    <definedName name="www_2" hidden="1">{"data",#N/A,FALSE,"INPUT"}</definedName>
    <definedName name="x" hidden="1">{#N/A,#N/A,TRUE,"summary";#N/A,#N/A,TRUE,"model";#N/A,#N/A,TRUE,"Consolidated P&amp;L Summary";#N/A,#N/A,TRUE,"Schwinn";#N/A,#N/A,TRUE,"G.T.";#N/A,#N/A,TRUE,"Hebb"}</definedName>
    <definedName name="xcvxv" hidden="1">{#N/A,#N/A,FALSE,"COVER";#N/A,#N/A,FALSE,"PROFORMA";#N/A,#N/A,FALSE,"Construction CF";#N/A,#N/A,FALSE,"CASHFLOW";#N/A,#N/A,FALSE,"Sale &amp; IRR Analysis";#N/A,#N/A,FALSE,"Amortization Table";#N/A,#N/A,FALSE,"Amortization FEMA";#N/A,#N/A,FALSE,"INCOME"}</definedName>
    <definedName name="xdrtuyxftgu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xdxdy" hidden="1">{#N/A,#N/A,FALSE,"A";#N/A,#N/A,FALSE,"B"}</definedName>
    <definedName name="xfgjxcfgj" hidden="1">{#N/A,#N/A,FALSE,"LP Exp";#N/A,#N/A,FALSE,"Salary";#N/A,#N/A,FALSE,"Admin Exp";#N/A,#N/A,FALSE,"QTS Bud";#N/A,#N/A,FALSE,"Marketing"}</definedName>
    <definedName name="xfgujxcfgj" hidden="1">{#N/A,#N/A,FALSE,"Common Area Accrual";#N/A,#N/A,FALSE,"Unit One LaSalle";#N/A,#N/A,FALSE,"Unit One CW";#N/A,#N/A,FALSE,"Unit One LaSallle + C &amp; W";#N/A,#N/A,FALSE,"Consolidated Accrual"}</definedName>
    <definedName name="xfgxcfgj" hidden="1">{#N/A,#N/A,FALSE,"399 Park Var";#N/A,#N/A,FALSE,"PK NOTES"}</definedName>
    <definedName name="xftxft" hidden="1">{#N/A,#N/A,FALSE,"A";#N/A,#N/A,FALSE,"C"}</definedName>
    <definedName name="xrate">#REF!</definedName>
    <definedName name="y" hidden="1">#REF!</definedName>
    <definedName name="YEAR">#REF!</definedName>
    <definedName name="YENEX">#REF!</definedName>
    <definedName name="YORN">#REF!</definedName>
    <definedName name="YORN1">#REF!</definedName>
    <definedName name="YS_CurrentMonthly" localSheetId="3">#REF!</definedName>
    <definedName name="YS_CurrentMonthly" localSheetId="0">#REF!</definedName>
    <definedName name="YS_CurrentMonthly">#REF!</definedName>
    <definedName name="YS_newMonthly" localSheetId="3">#REF!</definedName>
    <definedName name="YS_newMonthly" localSheetId="0">#REF!</definedName>
    <definedName name="YS_newMonthly">#REF!</definedName>
    <definedName name="YS_newSetUp" localSheetId="3">#REF!</definedName>
    <definedName name="YS_newSetUp" localSheetId="0">#REF!</definedName>
    <definedName name="YS_newSetUp">#REF!</definedName>
    <definedName name="yuiy" hidden="1">{#N/A,#N/A,FALSE,"COVER";#N/A,#N/A,FALSE,"Construction CF";#N/A,#N/A,FALSE,"PROFORMA";#N/A,#N/A,FALSE,"CASHFLOW"}</definedName>
    <definedName name="z">#REF!</definedName>
    <definedName name="Z_0DF4CCD5_BD29_11D2_B943_0050040AC21C_.wvu.FilterData" hidden="1">#REF!</definedName>
    <definedName name="Z_1906290E_BC61_11D2_B941_0050040AC21C_.wvu.FilterData" hidden="1">#REF!</definedName>
    <definedName name="Z_19062910_BC61_11D2_B941_0050040AC21C_.wvu.FilterData" hidden="1">#REF!</definedName>
    <definedName name="Z_2DF11753_B84B_11D2_B93A_0050040AC227_.wvu.PrintArea" hidden="1">#REF!</definedName>
    <definedName name="Z_4C1CBF02_B7B5_11D2_B93A_0050040AC21C_.wvu.FilterData" hidden="1">#REF!</definedName>
    <definedName name="Z_4C1CBF02_B7B5_11D2_B93A_0050040AC21C_.wvu.PrintArea" hidden="1">#REF!</definedName>
    <definedName name="Z_4C1CBF02_B7B5_11D2_B93A_0050040AC21C_.wvu.PrintTitles" hidden="1">#REF!</definedName>
    <definedName name="Z_66231A85_C0F1_11D2_B93B_0050040AC227_.wvu.FilterData" hidden="1">#REF!</definedName>
    <definedName name="Z_66231A86_C0F1_11D2_B93B_0050040AC227_.wvu.FilterData" hidden="1">#REF!</definedName>
    <definedName name="Z_A2426FEA_B812_466E_AD56_91907F9FA6F0_.wvu.PrintArea" hidden="1">#REF!</definedName>
    <definedName name="Z_A99CC723_C1C7_11D2_B941_0050040AC228_.wvu.FilterData" hidden="1">#REF!</definedName>
    <definedName name="Z_A99CC729_C1C7_11D2_B941_0050040AC228_.wvu.FilterData" hidden="1">#REF!</definedName>
    <definedName name="Z_A99CC733_C1C7_11D2_B941_0050040AC228_.wvu.FilterData" hidden="1">#REF!</definedName>
    <definedName name="Z_A99CC736_C1C7_11D2_B941_0050040AC228_.wvu.FilterData" hidden="1">#REF!</definedName>
    <definedName name="Z_B3F6EA45_C4B0_11D6_A93C_F3538214D62E_.wvu.Cols" hidden="1">#REF!</definedName>
    <definedName name="Z_B3F6EA45_C4B0_11D6_A93C_F3538214D62E_.wvu.PrintArea" hidden="1">#REF!</definedName>
    <definedName name="Z_B3F6EA45_C4B0_11D6_A93C_F3538214D62E_.wvu.PrintTitles" hidden="1">#REF!</definedName>
    <definedName name="Z_B3F6EA45_C4B0_11D6_A93C_F3538214D62E_.wvu.Rows" hidden="1">#REF!,#REF!,#REF!</definedName>
    <definedName name="Z_C9FB2A72_5C56_11D3_AD66_0050040A13CD_.wvu.PrintArea" hidden="1">#REF!</definedName>
    <definedName name="Z_C9FB2A72_5C56_11D3_AD66_0050040A13CD_.wvu.PrintTitles" hidden="1">#REF!</definedName>
    <definedName name="Z_C9FB2A73_5C56_11D3_AD66_0050040A13CD_.wvu.PrintArea" hidden="1">#REF!</definedName>
    <definedName name="Z_C9FB2A73_5C56_11D3_AD66_0050040A13CD_.wvu.PrintTitles" hidden="1">#REF!</definedName>
    <definedName name="Z_C9FB2A75_5C56_11D3_AD66_0050040A13CD_.wvu.PrintArea" hidden="1">#REF!</definedName>
    <definedName name="Z_C9FB2A75_5C56_11D3_AD66_0050040A13CD_.wvu.PrintTitles" hidden="1">#REF!</definedName>
    <definedName name="Z_C9FB2A76_5C56_11D3_AD66_0050040A13CD_.wvu.PrintArea" hidden="1">#REF!</definedName>
    <definedName name="Z_C9FB2A76_5C56_11D3_AD66_0050040A13CD_.wvu.PrintTitles" hidden="1">#REF!</definedName>
    <definedName name="Z_C9FB2A77_5C56_11D3_AD66_0050040A13CD_.wvu.PrintArea" hidden="1">#REF!</definedName>
    <definedName name="Z_C9FB2A77_5C56_11D3_AD66_0050040A13CD_.wvu.PrintTitles" hidden="1">#REF!</definedName>
    <definedName name="Z_C9FB2A79_5C56_11D3_AD66_0050040A13CD_.wvu.PrintArea" hidden="1">#REF!</definedName>
    <definedName name="Z_C9FB2A79_5C56_11D3_AD66_0050040A13CD_.wvu.PrintTitles" hidden="1">#REF!</definedName>
    <definedName name="Z_D782F750_C0FB_11D2_B941_0050040AC228_.wvu.FilterData" hidden="1">#REF!</definedName>
    <definedName name="Z_DC379DF6_BBB3_11D2_B93F_0050040AC228_.wvu.FilterData" hidden="1">#REF!</definedName>
    <definedName name="Z_ED7DF65E_BB85_11D2_B93F_0050040AC228_.wvu.FilterData" hidden="1">#REF!</definedName>
    <definedName name="Z_F14718EE_5AC2_11D3_AD63_0050040A13CD_.wvu.PrintArea" hidden="1">#REF!</definedName>
    <definedName name="Z_F14718EF_5AC2_11D3_AD63_0050040A13CD_.wvu.PrintArea" hidden="1">#REF!</definedName>
    <definedName name="Z_F14718F1_5AC2_11D3_AD63_0050040A13CD_.wvu.PrintArea" hidden="1">#REF!</definedName>
    <definedName name="Z_F14718F2_5AC2_11D3_AD63_0050040A13CD_.wvu.PrintArea" hidden="1">#REF!</definedName>
    <definedName name="Z_F14718F3_5AC2_11D3_AD63_0050040A13CD_.wvu.PrintArea" hidden="1">#REF!</definedName>
    <definedName name="Z_F14718F5_5AC2_11D3_AD63_0050040A13CD_.wvu.PrintArea" hidden="1">#REF!</definedName>
    <definedName name="Z_F1471909_5AC2_11D3_AD63_0050040A13CD_.wvu.PrintArea" hidden="1">#REF!</definedName>
    <definedName name="Z_F1471909_5AC2_11D3_AD63_0050040A13CD_.wvu.PrintTitles" hidden="1">#REF!</definedName>
    <definedName name="Z_F147190A_5AC2_11D3_AD63_0050040A13CD_.wvu.PrintArea" hidden="1">#REF!</definedName>
    <definedName name="Z_F147190A_5AC2_11D3_AD63_0050040A13CD_.wvu.PrintTitles" hidden="1">#REF!</definedName>
    <definedName name="Z_F147190C_5AC2_11D3_AD63_0050040A13CD_.wvu.PrintArea" hidden="1">#REF!</definedName>
    <definedName name="Z_F147190C_5AC2_11D3_AD63_0050040A13CD_.wvu.PrintTitles" hidden="1">#REF!</definedName>
    <definedName name="Z_F147190D_5AC2_11D3_AD63_0050040A13CD_.wvu.PrintArea" hidden="1">#REF!</definedName>
    <definedName name="Z_F147190D_5AC2_11D3_AD63_0050040A13CD_.wvu.PrintTitles" hidden="1">#REF!</definedName>
    <definedName name="Z_F147190E_5AC2_11D3_AD63_0050040A13CD_.wvu.PrintArea" hidden="1">#REF!</definedName>
    <definedName name="Z_F147190E_5AC2_11D3_AD63_0050040A13CD_.wvu.PrintTitles" hidden="1">#REF!</definedName>
    <definedName name="Z_F1471910_5AC2_11D3_AD63_0050040A13CD_.wvu.PrintArea" hidden="1">#REF!</definedName>
    <definedName name="Z_F1471910_5AC2_11D3_AD63_0050040A13CD_.wvu.PrintTitles" hidden="1">#REF!</definedName>
    <definedName name="Z_F1471912_5AC2_11D3_AD63_0050040A13CD_.wvu.PrintArea" hidden="1">#REF!</definedName>
    <definedName name="Z_F1471912_5AC2_11D3_AD63_0050040A13CD_.wvu.PrintTitles" hidden="1">#REF!</definedName>
    <definedName name="Z_F1471913_5AC2_11D3_AD63_0050040A13CD_.wvu.PrintArea" hidden="1">#REF!</definedName>
    <definedName name="Z_F1471913_5AC2_11D3_AD63_0050040A13CD_.wvu.PrintTitles" hidden="1">#REF!</definedName>
    <definedName name="Z_F1471915_5AC2_11D3_AD63_0050040A13CD_.wvu.PrintArea" hidden="1">#REF!</definedName>
    <definedName name="Z_F1471915_5AC2_11D3_AD63_0050040A13CD_.wvu.PrintTitles" hidden="1">#REF!</definedName>
    <definedName name="Z_F1471916_5AC2_11D3_AD63_0050040A13CD_.wvu.PrintArea" hidden="1">#REF!</definedName>
    <definedName name="Z_F1471916_5AC2_11D3_AD63_0050040A13CD_.wvu.PrintTitles" hidden="1">#REF!</definedName>
    <definedName name="Z_F1471917_5AC2_11D3_AD63_0050040A13CD_.wvu.PrintArea" hidden="1">#REF!</definedName>
    <definedName name="Z_F1471917_5AC2_11D3_AD63_0050040A13CD_.wvu.PrintTitles" hidden="1">#REF!</definedName>
    <definedName name="Z_F1471919_5AC2_11D3_AD63_0050040A13CD_.wvu.PrintArea" hidden="1">#REF!</definedName>
    <definedName name="Z_F1471919_5AC2_11D3_AD63_0050040A13CD_.wvu.PrintTitles" hidden="1">#REF!</definedName>
    <definedName name="zxcxc" hidden="1">{#N/A,#N/A,TRUE,"CashFlowSummary";#N/A,#N/A,TRUE,"FinanceCashFlow";#N/A,#N/A,TRUE,"LandCashFlow";#N/A,#N/A,TRUE,"ConstCashFlow";#N/A,#N/A,TRUE,"A&amp;ECashFlow";#N/A,#N/A,TRUE,"IndirectCashFlow";#N/A,#N/A,TRUE,"MarketingCashFlow";#N/A,#N/A,TRUE,"LeaseUp";#N/A,#N/A,TRUE,"G&amp;ACashFlow"}</definedName>
    <definedName name="전">#REF!</definedName>
    <definedName name="주택사업본부">#REF!</definedName>
    <definedName name="철구사업본부">#REF!</definedName>
  </definedNames>
  <calcPr calcId="191029" calcMode="autoNoTable" iterate="1" iterateCount="5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6" i="3" l="1"/>
  <c r="E146" i="3" s="1"/>
  <c r="F146" i="3" s="1"/>
  <c r="G146" i="3" s="1"/>
  <c r="H146" i="3" s="1"/>
  <c r="I146" i="3" s="1"/>
  <c r="J146" i="3" s="1"/>
  <c r="K146" i="3" s="1"/>
  <c r="L146" i="3" s="1"/>
  <c r="M146" i="3" s="1"/>
  <c r="D147" i="3"/>
  <c r="E147" i="3" s="1"/>
  <c r="F147" i="3" s="1"/>
  <c r="G147" i="3" s="1"/>
  <c r="H147" i="3" s="1"/>
  <c r="I147" i="3" s="1"/>
  <c r="J147" i="3" s="1"/>
  <c r="K147" i="3" s="1"/>
  <c r="L147" i="3" s="1"/>
  <c r="M147" i="3" s="1"/>
  <c r="D148" i="3"/>
  <c r="E148" i="3" s="1"/>
  <c r="F148" i="3" s="1"/>
  <c r="G148" i="3" s="1"/>
  <c r="H148" i="3" s="1"/>
  <c r="I148" i="3" s="1"/>
  <c r="J148" i="3" s="1"/>
  <c r="K148" i="3" s="1"/>
  <c r="L148" i="3" s="1"/>
  <c r="M148" i="3" s="1"/>
  <c r="D149" i="3"/>
  <c r="E149" i="3" s="1"/>
  <c r="F149" i="3" s="1"/>
  <c r="G149" i="3" s="1"/>
  <c r="H149" i="3" s="1"/>
  <c r="I149" i="3" s="1"/>
  <c r="J149" i="3" s="1"/>
  <c r="K149" i="3" s="1"/>
  <c r="L149" i="3" s="1"/>
  <c r="M149" i="3" s="1"/>
  <c r="D145" i="3"/>
  <c r="E145" i="3" s="1"/>
  <c r="F145" i="3" s="1"/>
  <c r="G145" i="3" s="1"/>
  <c r="H145" i="3" s="1"/>
  <c r="I145" i="3" s="1"/>
  <c r="J145" i="3" s="1"/>
  <c r="K145" i="3" s="1"/>
  <c r="L145" i="3" s="1"/>
  <c r="M145" i="3" s="1"/>
  <c r="D144" i="3"/>
  <c r="E144" i="3" s="1"/>
  <c r="F144" i="3" s="1"/>
  <c r="G144" i="3" s="1"/>
  <c r="H144" i="3" s="1"/>
  <c r="I144" i="3" s="1"/>
  <c r="J144" i="3" s="1"/>
  <c r="K144" i="3" s="1"/>
  <c r="L144" i="3" s="1"/>
  <c r="M144" i="3" s="1"/>
  <c r="D143" i="3"/>
  <c r="E143" i="3" s="1"/>
  <c r="F143" i="3" s="1"/>
  <c r="G143" i="3" s="1"/>
  <c r="H143" i="3" s="1"/>
  <c r="I143" i="3" s="1"/>
  <c r="J143" i="3" s="1"/>
  <c r="K143" i="3" s="1"/>
  <c r="L143" i="3" s="1"/>
  <c r="M143" i="3" s="1"/>
  <c r="C9" i="8"/>
  <c r="C10" i="8" s="1"/>
  <c r="C11" i="8" s="1"/>
  <c r="C7" i="8"/>
  <c r="C6" i="8" s="1"/>
  <c r="H5" i="8"/>
  <c r="I5" i="8" s="1"/>
  <c r="F5" i="8"/>
  <c r="E5" i="8" s="1"/>
  <c r="D5" i="8" s="1"/>
  <c r="B19" i="6" l="1"/>
  <c r="B20" i="6"/>
  <c r="B21" i="6"/>
  <c r="B22" i="6"/>
  <c r="B23" i="6"/>
  <c r="B18" i="6"/>
  <c r="I22" i="6"/>
  <c r="FD24" i="6"/>
  <c r="FD25" i="6"/>
  <c r="E46" i="7"/>
  <c r="E39" i="7"/>
  <c r="B35" i="7"/>
  <c r="E25" i="7"/>
  <c r="B21" i="7"/>
  <c r="B19" i="7"/>
  <c r="J17" i="7"/>
  <c r="E14" i="7"/>
  <c r="C14" i="7"/>
  <c r="B42" i="7" s="1"/>
  <c r="E13" i="7"/>
  <c r="C13" i="7"/>
  <c r="E12" i="7"/>
  <c r="E32" i="7" s="1"/>
  <c r="C12" i="7"/>
  <c r="B28" i="7" s="1"/>
  <c r="E11" i="7"/>
  <c r="C11" i="7"/>
  <c r="FC73" i="6"/>
  <c r="E70" i="6"/>
  <c r="E52" i="7" s="1"/>
  <c r="E64" i="6"/>
  <c r="B60" i="6"/>
  <c r="E57" i="6"/>
  <c r="B51" i="6"/>
  <c r="B50" i="6"/>
  <c r="B49" i="6"/>
  <c r="E46" i="6"/>
  <c r="B40" i="6"/>
  <c r="B39" i="6"/>
  <c r="E36" i="6"/>
  <c r="I32" i="6"/>
  <c r="B30" i="6"/>
  <c r="B29" i="6"/>
  <c r="B27" i="6"/>
  <c r="K17" i="7" l="1"/>
  <c r="L17" i="7" l="1"/>
  <c r="D26" i="3"/>
  <c r="E18" i="4"/>
  <c r="P72" i="4"/>
  <c r="O72" i="4"/>
  <c r="N72" i="4"/>
  <c r="M72" i="4"/>
  <c r="L72" i="4"/>
  <c r="K72" i="4"/>
  <c r="J72" i="4"/>
  <c r="I72" i="4"/>
  <c r="H72" i="4"/>
  <c r="G72" i="4"/>
  <c r="F72" i="4"/>
  <c r="E72" i="4"/>
  <c r="Q31" i="4"/>
  <c r="Q72" i="4"/>
  <c r="Q22" i="4"/>
  <c r="P22" i="4"/>
  <c r="O22" i="4"/>
  <c r="N22" i="4"/>
  <c r="M22" i="4"/>
  <c r="L22" i="4"/>
  <c r="K22" i="4"/>
  <c r="J22" i="4"/>
  <c r="I22" i="4"/>
  <c r="H22" i="4"/>
  <c r="G22" i="4"/>
  <c r="F22" i="4"/>
  <c r="F23" i="4"/>
  <c r="P21" i="4"/>
  <c r="O21" i="4"/>
  <c r="N21" i="4"/>
  <c r="M21" i="4"/>
  <c r="L21" i="4"/>
  <c r="K21" i="4"/>
  <c r="J21" i="4"/>
  <c r="F21" i="4"/>
  <c r="P19" i="4"/>
  <c r="O19" i="4"/>
  <c r="N19" i="4"/>
  <c r="M19" i="4"/>
  <c r="L19" i="4"/>
  <c r="K19" i="4"/>
  <c r="J19" i="4"/>
  <c r="I19" i="4"/>
  <c r="I21" i="4" s="1"/>
  <c r="H19" i="4"/>
  <c r="H21" i="4" s="1"/>
  <c r="G19" i="4"/>
  <c r="G21" i="4" s="1"/>
  <c r="F19" i="4"/>
  <c r="G18" i="4"/>
  <c r="H18" i="4"/>
  <c r="I18" i="4"/>
  <c r="J18" i="4"/>
  <c r="K18" i="4"/>
  <c r="L18" i="4"/>
  <c r="M18" i="4"/>
  <c r="N18" i="4"/>
  <c r="O18" i="4"/>
  <c r="P18" i="4"/>
  <c r="F18" i="4"/>
  <c r="E23" i="4"/>
  <c r="M17" i="7" l="1"/>
  <c r="E19" i="4"/>
  <c r="E22" i="4" s="1"/>
  <c r="G23" i="4"/>
  <c r="H23" i="4" s="1"/>
  <c r="N17" i="7" l="1"/>
  <c r="E21" i="4"/>
  <c r="I23" i="4"/>
  <c r="J23" i="4" s="1"/>
  <c r="K23" i="4" s="1"/>
  <c r="L23" i="4" s="1"/>
  <c r="M23" i="4" s="1"/>
  <c r="N23" i="4" s="1"/>
  <c r="O23" i="4" s="1"/>
  <c r="P23" i="4" s="1"/>
  <c r="E116" i="4"/>
  <c r="E115" i="4"/>
  <c r="I21" i="6" s="1"/>
  <c r="C105" i="4"/>
  <c r="E102" i="4"/>
  <c r="E114" i="4" s="1"/>
  <c r="I20" i="6" s="1"/>
  <c r="E97" i="4"/>
  <c r="C94" i="4"/>
  <c r="C93" i="4"/>
  <c r="E91" i="4"/>
  <c r="M90" i="4"/>
  <c r="N90" i="4" s="1"/>
  <c r="O90" i="4" s="1"/>
  <c r="P90" i="4" s="1"/>
  <c r="Q90" i="4" s="1"/>
  <c r="R90" i="4" s="1"/>
  <c r="S90" i="4" s="1"/>
  <c r="T90" i="4" s="1"/>
  <c r="U90" i="4" s="1"/>
  <c r="V90" i="4" s="1"/>
  <c r="W90" i="4" s="1"/>
  <c r="X90" i="4" s="1"/>
  <c r="Y90" i="4" s="1"/>
  <c r="Z90" i="4" s="1"/>
  <c r="AA90" i="4" s="1"/>
  <c r="AB90" i="4" s="1"/>
  <c r="AC90" i="4" s="1"/>
  <c r="AD90" i="4" s="1"/>
  <c r="AE90" i="4" s="1"/>
  <c r="AF90" i="4" s="1"/>
  <c r="AG90" i="4" s="1"/>
  <c r="AH90" i="4" s="1"/>
  <c r="AI90" i="4" s="1"/>
  <c r="AJ90" i="4" s="1"/>
  <c r="AK90" i="4" s="1"/>
  <c r="AL90" i="4" s="1"/>
  <c r="AM90" i="4" s="1"/>
  <c r="AN90" i="4" s="1"/>
  <c r="AO90" i="4" s="1"/>
  <c r="AP90" i="4" s="1"/>
  <c r="AQ90" i="4" s="1"/>
  <c r="AR90" i="4" s="1"/>
  <c r="AS90" i="4" s="1"/>
  <c r="AT90" i="4" s="1"/>
  <c r="AU90" i="4" s="1"/>
  <c r="AV90" i="4" s="1"/>
  <c r="AW90" i="4" s="1"/>
  <c r="AX90" i="4" s="1"/>
  <c r="AY90" i="4" s="1"/>
  <c r="AZ90" i="4" s="1"/>
  <c r="BA90" i="4" s="1"/>
  <c r="BB90" i="4" s="1"/>
  <c r="BC90" i="4" s="1"/>
  <c r="BD90" i="4" s="1"/>
  <c r="BE90" i="4" s="1"/>
  <c r="BF90" i="4" s="1"/>
  <c r="BG90" i="4" s="1"/>
  <c r="BH90" i="4" s="1"/>
  <c r="BI90" i="4" s="1"/>
  <c r="BJ90" i="4" s="1"/>
  <c r="BK90" i="4" s="1"/>
  <c r="BL90" i="4" s="1"/>
  <c r="BM90" i="4" s="1"/>
  <c r="BN90" i="4" s="1"/>
  <c r="BO90" i="4" s="1"/>
  <c r="BP90" i="4" s="1"/>
  <c r="BQ90" i="4" s="1"/>
  <c r="BR90" i="4" s="1"/>
  <c r="BS90" i="4" s="1"/>
  <c r="BT90" i="4" s="1"/>
  <c r="BU90" i="4" s="1"/>
  <c r="BV90" i="4" s="1"/>
  <c r="BW90" i="4" s="1"/>
  <c r="BX90" i="4" s="1"/>
  <c r="BY90" i="4" s="1"/>
  <c r="BZ90" i="4" s="1"/>
  <c r="CA90" i="4" s="1"/>
  <c r="CB90" i="4" s="1"/>
  <c r="CC90" i="4" s="1"/>
  <c r="CD90" i="4" s="1"/>
  <c r="CE90" i="4" s="1"/>
  <c r="CF90" i="4" s="1"/>
  <c r="CG90" i="4" s="1"/>
  <c r="CH90" i="4" s="1"/>
  <c r="CI90" i="4" s="1"/>
  <c r="CJ90" i="4" s="1"/>
  <c r="CK90" i="4" s="1"/>
  <c r="CL90" i="4" s="1"/>
  <c r="CM90" i="4" s="1"/>
  <c r="CN90" i="4" s="1"/>
  <c r="CO90" i="4" s="1"/>
  <c r="CP90" i="4" s="1"/>
  <c r="CQ90" i="4" s="1"/>
  <c r="CR90" i="4" s="1"/>
  <c r="CS90" i="4" s="1"/>
  <c r="CT90" i="4" s="1"/>
  <c r="CU90" i="4" s="1"/>
  <c r="CV90" i="4" s="1"/>
  <c r="CW90" i="4" s="1"/>
  <c r="CX90" i="4" s="1"/>
  <c r="CY90" i="4" s="1"/>
  <c r="CZ90" i="4" s="1"/>
  <c r="DA90" i="4" s="1"/>
  <c r="DB90" i="4" s="1"/>
  <c r="DC90" i="4" s="1"/>
  <c r="DD90" i="4" s="1"/>
  <c r="DE90" i="4" s="1"/>
  <c r="DF90" i="4" s="1"/>
  <c r="DG90" i="4" s="1"/>
  <c r="DH90" i="4" s="1"/>
  <c r="DI90" i="4" s="1"/>
  <c r="DJ90" i="4" s="1"/>
  <c r="DK90" i="4" s="1"/>
  <c r="DL90" i="4" s="1"/>
  <c r="DM90" i="4" s="1"/>
  <c r="DN90" i="4" s="1"/>
  <c r="DO90" i="4" s="1"/>
  <c r="DP90" i="4" s="1"/>
  <c r="DQ90" i="4" s="1"/>
  <c r="DR90" i="4" s="1"/>
  <c r="DS90" i="4" s="1"/>
  <c r="DT90" i="4" s="1"/>
  <c r="DU90" i="4" s="1"/>
  <c r="DV90" i="4" s="1"/>
  <c r="DW90" i="4" s="1"/>
  <c r="DX90" i="4" s="1"/>
  <c r="DY90" i="4" s="1"/>
  <c r="DZ90" i="4" s="1"/>
  <c r="EA90" i="4" s="1"/>
  <c r="EB90" i="4" s="1"/>
  <c r="EC90" i="4" s="1"/>
  <c r="ED90" i="4" s="1"/>
  <c r="EE90" i="4" s="1"/>
  <c r="EF90" i="4" s="1"/>
  <c r="EG90" i="4" s="1"/>
  <c r="EH90" i="4" s="1"/>
  <c r="EI90" i="4" s="1"/>
  <c r="EJ90" i="4" s="1"/>
  <c r="EK90" i="4" s="1"/>
  <c r="EL90" i="4" s="1"/>
  <c r="EM90" i="4" s="1"/>
  <c r="EN90" i="4" s="1"/>
  <c r="EO90" i="4" s="1"/>
  <c r="EP90" i="4" s="1"/>
  <c r="EQ90" i="4" s="1"/>
  <c r="ER90" i="4" s="1"/>
  <c r="ES90" i="4" s="1"/>
  <c r="ET90" i="4" s="1"/>
  <c r="EU90" i="4" s="1"/>
  <c r="EV90" i="4" s="1"/>
  <c r="EW90" i="4" s="1"/>
  <c r="EX90" i="4" s="1"/>
  <c r="EY90" i="4" s="1"/>
  <c r="EZ90" i="4" s="1"/>
  <c r="FA90" i="4" s="1"/>
  <c r="FB90" i="4" s="1"/>
  <c r="FC90" i="4" s="1"/>
  <c r="FD90" i="4" s="1"/>
  <c r="FE90" i="4" s="1"/>
  <c r="FF90" i="4" s="1"/>
  <c r="FG90" i="4" s="1"/>
  <c r="FH90" i="4" s="1"/>
  <c r="FI90" i="4" s="1"/>
  <c r="FJ90" i="4" s="1"/>
  <c r="FK90" i="4" s="1"/>
  <c r="FL90" i="4" s="1"/>
  <c r="FM90" i="4" s="1"/>
  <c r="FN90" i="4" s="1"/>
  <c r="FO90" i="4" s="1"/>
  <c r="FP90" i="4" s="1"/>
  <c r="FQ90" i="4" s="1"/>
  <c r="FR90" i="4" s="1"/>
  <c r="FS90" i="4" s="1"/>
  <c r="G90" i="4"/>
  <c r="H90" i="4" s="1"/>
  <c r="I90" i="4" s="1"/>
  <c r="J90" i="4" s="1"/>
  <c r="K90" i="4" s="1"/>
  <c r="L90" i="4" s="1"/>
  <c r="E82" i="4"/>
  <c r="X22" i="4"/>
  <c r="T22" i="4"/>
  <c r="AG18" i="4" s="1"/>
  <c r="S22" i="4"/>
  <c r="AF18" i="4" s="1"/>
  <c r="W21" i="4"/>
  <c r="V21" i="4"/>
  <c r="T21" i="4"/>
  <c r="S21" i="4"/>
  <c r="Y19" i="4"/>
  <c r="Y21" i="4" s="1"/>
  <c r="X19" i="4"/>
  <c r="X21" i="4" s="1"/>
  <c r="W19" i="4"/>
  <c r="W22" i="4" s="1"/>
  <c r="V19" i="4"/>
  <c r="V22" i="4" s="1"/>
  <c r="U19" i="4"/>
  <c r="U21" i="4" s="1"/>
  <c r="T19" i="4"/>
  <c r="S19" i="4"/>
  <c r="R19" i="4"/>
  <c r="Q19" i="4"/>
  <c r="E35" i="4"/>
  <c r="F17" i="4"/>
  <c r="F12" i="4"/>
  <c r="F13" i="4" s="1"/>
  <c r="E12" i="4"/>
  <c r="E13" i="4" s="1"/>
  <c r="E5" i="4"/>
  <c r="FT2" i="4"/>
  <c r="E142" i="3"/>
  <c r="F142" i="3" s="1"/>
  <c r="G142" i="3" s="1"/>
  <c r="H142" i="3" s="1"/>
  <c r="I142" i="3" s="1"/>
  <c r="J142" i="3" s="1"/>
  <c r="K142" i="3" s="1"/>
  <c r="L142" i="3" s="1"/>
  <c r="M142" i="3" s="1"/>
  <c r="C139" i="3"/>
  <c r="M136" i="3"/>
  <c r="M110" i="3" s="1"/>
  <c r="L125" i="3"/>
  <c r="I125" i="3"/>
  <c r="H125" i="3"/>
  <c r="G125" i="3"/>
  <c r="F125" i="3"/>
  <c r="J124" i="3"/>
  <c r="J123" i="3"/>
  <c r="J122" i="3"/>
  <c r="J121" i="3"/>
  <c r="J120" i="3"/>
  <c r="J119" i="3"/>
  <c r="J118" i="3"/>
  <c r="J117" i="3"/>
  <c r="J125" i="3" s="1"/>
  <c r="H112" i="3"/>
  <c r="I109" i="3"/>
  <c r="H109" i="3"/>
  <c r="L108" i="3"/>
  <c r="B107" i="3"/>
  <c r="M104" i="3"/>
  <c r="L104" i="3" s="1"/>
  <c r="H104" i="3"/>
  <c r="I104" i="3" s="1"/>
  <c r="I103" i="3"/>
  <c r="H103" i="3"/>
  <c r="M102" i="3"/>
  <c r="L102" i="3" s="1"/>
  <c r="H102" i="3"/>
  <c r="I102" i="3" s="1"/>
  <c r="H101" i="3"/>
  <c r="L100" i="3"/>
  <c r="J100" i="3"/>
  <c r="H99" i="3"/>
  <c r="L98" i="3"/>
  <c r="J98" i="3"/>
  <c r="H98" i="3" s="1"/>
  <c r="D81" i="3"/>
  <c r="E81" i="3" s="1"/>
  <c r="I81" i="3" s="1"/>
  <c r="K81" i="3" s="1"/>
  <c r="D80" i="3"/>
  <c r="E80" i="3" s="1"/>
  <c r="D79" i="3"/>
  <c r="L77" i="3"/>
  <c r="M77" i="3" s="1"/>
  <c r="E77" i="3"/>
  <c r="I77" i="3" s="1"/>
  <c r="D77" i="3"/>
  <c r="L74" i="3"/>
  <c r="M74" i="3" s="1"/>
  <c r="H74" i="3"/>
  <c r="J74" i="3" s="1"/>
  <c r="E74" i="3"/>
  <c r="D74" i="3"/>
  <c r="M73" i="3"/>
  <c r="L73" i="3"/>
  <c r="F72" i="3"/>
  <c r="L72" i="3" s="1"/>
  <c r="M72" i="3" s="1"/>
  <c r="H67" i="3"/>
  <c r="G8" i="1" s="1"/>
  <c r="D67" i="3"/>
  <c r="M112" i="3" s="1"/>
  <c r="L61" i="3"/>
  <c r="J61" i="3"/>
  <c r="M61" i="3" s="1"/>
  <c r="G61" i="3"/>
  <c r="E61" i="3"/>
  <c r="L60" i="3"/>
  <c r="J60" i="3"/>
  <c r="M60" i="3" s="1"/>
  <c r="G60" i="3"/>
  <c r="E60" i="3"/>
  <c r="L59" i="3"/>
  <c r="J59" i="3"/>
  <c r="M59" i="3" s="1"/>
  <c r="G59" i="3"/>
  <c r="L58" i="3"/>
  <c r="J58" i="3"/>
  <c r="M58" i="3" s="1"/>
  <c r="G58" i="3"/>
  <c r="E58" i="3"/>
  <c r="M57" i="3"/>
  <c r="L57" i="3"/>
  <c r="J57" i="3"/>
  <c r="G57" i="3"/>
  <c r="M56" i="3"/>
  <c r="L56" i="3"/>
  <c r="J56" i="3"/>
  <c r="G56" i="3"/>
  <c r="M55" i="3"/>
  <c r="L55" i="3"/>
  <c r="J55" i="3"/>
  <c r="G55" i="3"/>
  <c r="E55" i="3"/>
  <c r="M54" i="3"/>
  <c r="L54" i="3"/>
  <c r="J54" i="3"/>
  <c r="G54" i="3"/>
  <c r="E54" i="3"/>
  <c r="M53" i="3"/>
  <c r="L53" i="3"/>
  <c r="J53" i="3"/>
  <c r="G53" i="3"/>
  <c r="E53" i="3"/>
  <c r="L52" i="3"/>
  <c r="J52" i="3"/>
  <c r="M52" i="3" s="1"/>
  <c r="K52" i="3" s="1"/>
  <c r="I52" i="3"/>
  <c r="G52" i="3"/>
  <c r="E52" i="3"/>
  <c r="L51" i="3"/>
  <c r="J51" i="3"/>
  <c r="M51" i="3" s="1"/>
  <c r="K51" i="3" s="1"/>
  <c r="I51" i="3"/>
  <c r="G51" i="3"/>
  <c r="E51" i="3"/>
  <c r="L50" i="3"/>
  <c r="J50" i="3"/>
  <c r="M50" i="3" s="1"/>
  <c r="K50" i="3" s="1"/>
  <c r="I50" i="3"/>
  <c r="G50" i="3"/>
  <c r="E50" i="3"/>
  <c r="L49" i="3"/>
  <c r="J49" i="3"/>
  <c r="M49" i="3" s="1"/>
  <c r="K49" i="3" s="1"/>
  <c r="I49" i="3"/>
  <c r="G49" i="3"/>
  <c r="E49" i="3"/>
  <c r="L48" i="3"/>
  <c r="J48" i="3"/>
  <c r="M48" i="3" s="1"/>
  <c r="K48" i="3" s="1"/>
  <c r="I48" i="3"/>
  <c r="G48" i="3"/>
  <c r="G67" i="3" s="1"/>
  <c r="F67" i="3" s="1"/>
  <c r="E48" i="3"/>
  <c r="L47" i="3"/>
  <c r="J47" i="3"/>
  <c r="M47" i="3" s="1"/>
  <c r="K47" i="3" s="1"/>
  <c r="I47" i="3"/>
  <c r="G47" i="3"/>
  <c r="E47" i="3"/>
  <c r="M35" i="3"/>
  <c r="F34" i="3"/>
  <c r="M33" i="3"/>
  <c r="E25" i="3"/>
  <c r="D25" i="3"/>
  <c r="L23" i="3"/>
  <c r="E22" i="3"/>
  <c r="E30" i="3" s="1"/>
  <c r="E16" i="3"/>
  <c r="E14" i="3"/>
  <c r="C13" i="3"/>
  <c r="E18" i="3" s="1"/>
  <c r="E10" i="3"/>
  <c r="C10" i="3"/>
  <c r="C12" i="3" s="1"/>
  <c r="I9" i="3"/>
  <c r="I8" i="3"/>
  <c r="C8" i="3"/>
  <c r="I7" i="3"/>
  <c r="B2" i="3"/>
  <c r="E35" i="2"/>
  <c r="G35" i="1" s="1"/>
  <c r="E32" i="2"/>
  <c r="I32" i="2" s="1"/>
  <c r="F27" i="2"/>
  <c r="E27" i="2"/>
  <c r="I27" i="2" s="1"/>
  <c r="E25" i="2"/>
  <c r="I25" i="2" s="1"/>
  <c r="E23" i="2"/>
  <c r="I23" i="2" s="1"/>
  <c r="J16" i="2"/>
  <c r="I16" i="2"/>
  <c r="F16" i="2"/>
  <c r="P2" i="2"/>
  <c r="M2" i="3" s="1"/>
  <c r="B2" i="2"/>
  <c r="F57" i="1"/>
  <c r="K50" i="1"/>
  <c r="Q45" i="1"/>
  <c r="R45" i="1" s="1"/>
  <c r="S45" i="1" s="1"/>
  <c r="D24" i="1"/>
  <c r="G24" i="1"/>
  <c r="C21" i="1"/>
  <c r="C16" i="1"/>
  <c r="C9" i="1"/>
  <c r="K6" i="1"/>
  <c r="B5" i="1"/>
  <c r="B4" i="1"/>
  <c r="B3" i="1"/>
  <c r="B2" i="1"/>
  <c r="E8" i="4" l="1"/>
  <c r="I17" i="6"/>
  <c r="O17" i="7"/>
  <c r="D9" i="1"/>
  <c r="F32" i="2"/>
  <c r="G32" i="1"/>
  <c r="F25" i="2"/>
  <c r="G23" i="1"/>
  <c r="F23" i="2"/>
  <c r="L67" i="3"/>
  <c r="E33" i="4" s="1"/>
  <c r="E36" i="4" s="1"/>
  <c r="J67" i="3"/>
  <c r="K67" i="3"/>
  <c r="AK18" i="4"/>
  <c r="AK19" i="4" s="1"/>
  <c r="AK22" i="4" s="1"/>
  <c r="Y22" i="4"/>
  <c r="AL18" i="4" s="1"/>
  <c r="I98" i="3"/>
  <c r="L6" i="1"/>
  <c r="G35" i="2"/>
  <c r="C14" i="3"/>
  <c r="M67" i="3"/>
  <c r="H27" i="3"/>
  <c r="I25" i="3"/>
  <c r="I67" i="3"/>
  <c r="K102" i="3"/>
  <c r="K99" i="3"/>
  <c r="K104" i="3"/>
  <c r="K101" i="3"/>
  <c r="K109" i="3"/>
  <c r="K103" i="3"/>
  <c r="C9" i="3"/>
  <c r="L80" i="3"/>
  <c r="M80" i="3" s="1"/>
  <c r="H81" i="3"/>
  <c r="J81" i="3" s="1"/>
  <c r="K77" i="3"/>
  <c r="L81" i="3"/>
  <c r="M81" i="3" s="1"/>
  <c r="J105" i="3"/>
  <c r="K98" i="3"/>
  <c r="I112" i="3"/>
  <c r="K32" i="2"/>
  <c r="J32" i="2"/>
  <c r="H77" i="3"/>
  <c r="K112" i="3"/>
  <c r="I35" i="2"/>
  <c r="F35" i="2"/>
  <c r="G16" i="2"/>
  <c r="I99" i="3"/>
  <c r="K16" i="2"/>
  <c r="K27" i="2"/>
  <c r="J27" i="2"/>
  <c r="L110" i="3"/>
  <c r="E34" i="2"/>
  <c r="J110" i="3"/>
  <c r="L50" i="1"/>
  <c r="K23" i="2"/>
  <c r="L112" i="3"/>
  <c r="M139" i="3"/>
  <c r="H100" i="3"/>
  <c r="I100" i="3" s="1"/>
  <c r="K100" i="3"/>
  <c r="L79" i="3"/>
  <c r="M79" i="3" s="1"/>
  <c r="E79" i="3"/>
  <c r="I80" i="3"/>
  <c r="K80" i="3" s="1"/>
  <c r="H80" i="3"/>
  <c r="J80" i="3" s="1"/>
  <c r="K25" i="2"/>
  <c r="J25" i="2"/>
  <c r="J23" i="2"/>
  <c r="E15" i="4"/>
  <c r="E16" i="4" s="1"/>
  <c r="FT5" i="4"/>
  <c r="E9" i="4"/>
  <c r="F5" i="4"/>
  <c r="D5" i="4"/>
  <c r="E7" i="4"/>
  <c r="E6" i="4" s="1"/>
  <c r="AF19" i="4"/>
  <c r="I74" i="3"/>
  <c r="K74" i="3" s="1"/>
  <c r="I101" i="3"/>
  <c r="D71" i="3"/>
  <c r="M103" i="3"/>
  <c r="M109" i="3"/>
  <c r="R22" i="4"/>
  <c r="R21" i="4"/>
  <c r="E56" i="3"/>
  <c r="E73" i="3"/>
  <c r="G29" i="1"/>
  <c r="E11" i="3"/>
  <c r="E59" i="3"/>
  <c r="D78" i="3"/>
  <c r="E29" i="2"/>
  <c r="M101" i="3"/>
  <c r="M124" i="3"/>
  <c r="AI18" i="4"/>
  <c r="AJ18" i="4"/>
  <c r="AK21" i="4"/>
  <c r="AX18" i="4" s="1"/>
  <c r="G23" i="2"/>
  <c r="G25" i="2"/>
  <c r="G27" i="2"/>
  <c r="G32" i="2"/>
  <c r="E57" i="3"/>
  <c r="D82" i="3"/>
  <c r="D85" i="3"/>
  <c r="J108" i="3"/>
  <c r="E72" i="3"/>
  <c r="M99" i="3"/>
  <c r="E17" i="3"/>
  <c r="AG19" i="4"/>
  <c r="AG22" i="4" s="1"/>
  <c r="F112" i="4"/>
  <c r="J18" i="6" s="1"/>
  <c r="F115" i="4"/>
  <c r="J21" i="6" s="1"/>
  <c r="F104" i="4"/>
  <c r="F108" i="4"/>
  <c r="F102" i="4"/>
  <c r="F97" i="4"/>
  <c r="F113" i="4" s="1"/>
  <c r="J19" i="6" s="1"/>
  <c r="F91" i="4"/>
  <c r="G17" i="4"/>
  <c r="Q21" i="4"/>
  <c r="AD18" i="4" s="1"/>
  <c r="U22" i="4"/>
  <c r="E92" i="4"/>
  <c r="E96" i="4" s="1"/>
  <c r="E113" i="4"/>
  <c r="I19" i="6" s="1"/>
  <c r="I16" i="6" l="1"/>
  <c r="J17" i="6"/>
  <c r="P17" i="7"/>
  <c r="AB18" i="4"/>
  <c r="Z18" i="4"/>
  <c r="AA18" i="4"/>
  <c r="AC18" i="4"/>
  <c r="AC19" i="4" s="1"/>
  <c r="AC22" i="4" s="1"/>
  <c r="AX19" i="4"/>
  <c r="AX22" i="4" s="1"/>
  <c r="L78" i="3"/>
  <c r="E78" i="3"/>
  <c r="E67" i="3"/>
  <c r="F114" i="4"/>
  <c r="J20" i="6" s="1"/>
  <c r="F103" i="4"/>
  <c r="F107" i="4" s="1"/>
  <c r="AL19" i="4"/>
  <c r="AL22" i="4" s="1"/>
  <c r="AL21" i="4"/>
  <c r="AE18" i="4"/>
  <c r="AH18" i="4"/>
  <c r="AB19" i="4"/>
  <c r="AB22" i="4" s="1"/>
  <c r="AG21" i="4"/>
  <c r="AT18" i="4" s="1"/>
  <c r="AF22" i="4"/>
  <c r="AF21" i="4"/>
  <c r="E33" i="2"/>
  <c r="L109" i="3"/>
  <c r="G104" i="4"/>
  <c r="G112" i="4"/>
  <c r="K18" i="6" s="1"/>
  <c r="G108" i="4"/>
  <c r="G116" i="4" s="1"/>
  <c r="K22" i="6" s="1"/>
  <c r="G115" i="4"/>
  <c r="K21" i="6" s="1"/>
  <c r="G97" i="4"/>
  <c r="G113" i="4" s="1"/>
  <c r="K19" i="6" s="1"/>
  <c r="G102" i="4"/>
  <c r="G91" i="4"/>
  <c r="G12" i="4"/>
  <c r="G13" i="4" s="1"/>
  <c r="H17" i="4"/>
  <c r="AI19" i="4"/>
  <c r="AI22" i="4" s="1"/>
  <c r="E28" i="2"/>
  <c r="L103" i="3"/>
  <c r="E95" i="4"/>
  <c r="L71" i="3"/>
  <c r="E71" i="3"/>
  <c r="F15" i="4"/>
  <c r="F16" i="4" s="1"/>
  <c r="F8" i="4"/>
  <c r="F9" i="4"/>
  <c r="F7" i="4"/>
  <c r="G5" i="4"/>
  <c r="Z19" i="4"/>
  <c r="Z22" i="4" s="1"/>
  <c r="AD19" i="4"/>
  <c r="AD22" i="4" s="1"/>
  <c r="F116" i="4"/>
  <c r="J22" i="6" s="1"/>
  <c r="F92" i="4"/>
  <c r="F96" i="4" s="1"/>
  <c r="I34" i="2"/>
  <c r="G34" i="2"/>
  <c r="F34" i="2"/>
  <c r="G33" i="1"/>
  <c r="G9" i="1"/>
  <c r="H28" i="3"/>
  <c r="C10" i="1"/>
  <c r="I27" i="3"/>
  <c r="M6" i="1"/>
  <c r="FU5" i="4"/>
  <c r="K35" i="2"/>
  <c r="J35" i="2"/>
  <c r="I73" i="3"/>
  <c r="K73" i="3" s="1"/>
  <c r="H73" i="3"/>
  <c r="J73" i="3" s="1"/>
  <c r="E127" i="4"/>
  <c r="E131" i="4"/>
  <c r="E126" i="4"/>
  <c r="E129" i="4"/>
  <c r="E125" i="4"/>
  <c r="E27" i="4" s="1"/>
  <c r="E44" i="4" s="1"/>
  <c r="E130" i="4"/>
  <c r="E70" i="4" s="1"/>
  <c r="E128" i="4"/>
  <c r="FL72" i="4"/>
  <c r="EX72" i="4"/>
  <c r="EJ72" i="4"/>
  <c r="DV72" i="4"/>
  <c r="DH72" i="4"/>
  <c r="CT72" i="4"/>
  <c r="CF72" i="4"/>
  <c r="BR72" i="4"/>
  <c r="BD72" i="4"/>
  <c r="AP72" i="4"/>
  <c r="AB72" i="4"/>
  <c r="FJ72" i="4"/>
  <c r="EV72" i="4"/>
  <c r="EH72" i="4"/>
  <c r="DT72" i="4"/>
  <c r="DF72" i="4"/>
  <c r="CR72" i="4"/>
  <c r="CD72" i="4"/>
  <c r="BP72" i="4"/>
  <c r="BB72" i="4"/>
  <c r="AN72" i="4"/>
  <c r="Z72" i="4"/>
  <c r="FI72" i="4"/>
  <c r="EU72" i="4"/>
  <c r="EG72" i="4"/>
  <c r="DS72" i="4"/>
  <c r="DE72" i="4"/>
  <c r="CQ72" i="4"/>
  <c r="CC72" i="4"/>
  <c r="BO72" i="4"/>
  <c r="BA72" i="4"/>
  <c r="AM72" i="4"/>
  <c r="Y72" i="4"/>
  <c r="FO72" i="4"/>
  <c r="EW72" i="4"/>
  <c r="ED72" i="4"/>
  <c r="DM72" i="4"/>
  <c r="CV72" i="4"/>
  <c r="CB72" i="4"/>
  <c r="BK72" i="4"/>
  <c r="AT72" i="4"/>
  <c r="FN72" i="4"/>
  <c r="ET72" i="4"/>
  <c r="EC72" i="4"/>
  <c r="DL72" i="4"/>
  <c r="CU72" i="4"/>
  <c r="CA72" i="4"/>
  <c r="BJ72" i="4"/>
  <c r="AS72" i="4"/>
  <c r="AA72" i="4"/>
  <c r="FM72" i="4"/>
  <c r="ES72" i="4"/>
  <c r="EB72" i="4"/>
  <c r="DK72" i="4"/>
  <c r="CS72" i="4"/>
  <c r="BZ72" i="4"/>
  <c r="BI72" i="4"/>
  <c r="AR72" i="4"/>
  <c r="FK72" i="4"/>
  <c r="ER72" i="4"/>
  <c r="EA72" i="4"/>
  <c r="DJ72" i="4"/>
  <c r="CP72" i="4"/>
  <c r="BY72" i="4"/>
  <c r="BH72" i="4"/>
  <c r="AQ72" i="4"/>
  <c r="W72" i="4"/>
  <c r="FH72" i="4"/>
  <c r="EQ72" i="4"/>
  <c r="DZ72" i="4"/>
  <c r="DI72" i="4"/>
  <c r="CO72" i="4"/>
  <c r="BX72" i="4"/>
  <c r="BG72" i="4"/>
  <c r="AO72" i="4"/>
  <c r="V72" i="4"/>
  <c r="FG72" i="4"/>
  <c r="EP72" i="4"/>
  <c r="DY72" i="4"/>
  <c r="DG72" i="4"/>
  <c r="CN72" i="4"/>
  <c r="BW72" i="4"/>
  <c r="BF72" i="4"/>
  <c r="AL72" i="4"/>
  <c r="U72" i="4"/>
  <c r="FQ72" i="4"/>
  <c r="EK72" i="4"/>
  <c r="DB72" i="4"/>
  <c r="BV72" i="4"/>
  <c r="AV72" i="4"/>
  <c r="R72" i="4"/>
  <c r="FP72" i="4"/>
  <c r="EI72" i="4"/>
  <c r="DA72" i="4"/>
  <c r="BU72" i="4"/>
  <c r="AU72" i="4"/>
  <c r="FF72" i="4"/>
  <c r="EF72" i="4"/>
  <c r="CZ72" i="4"/>
  <c r="BT72" i="4"/>
  <c r="AK72" i="4"/>
  <c r="FD72" i="4"/>
  <c r="DX72" i="4"/>
  <c r="CX72" i="4"/>
  <c r="BQ72" i="4"/>
  <c r="AI72" i="4"/>
  <c r="EO72" i="4"/>
  <c r="DO72" i="4"/>
  <c r="FE72" i="4"/>
  <c r="DP72" i="4"/>
  <c r="BS72" i="4"/>
  <c r="AE72" i="4"/>
  <c r="FC72" i="4"/>
  <c r="DN72" i="4"/>
  <c r="BN72" i="4"/>
  <c r="AD72" i="4"/>
  <c r="FB72" i="4"/>
  <c r="DD72" i="4"/>
  <c r="BM72" i="4"/>
  <c r="AC72" i="4"/>
  <c r="FA72" i="4"/>
  <c r="DC72" i="4"/>
  <c r="BL72" i="4"/>
  <c r="X72" i="4"/>
  <c r="EZ72" i="4"/>
  <c r="CY72" i="4"/>
  <c r="BE72" i="4"/>
  <c r="T72" i="4"/>
  <c r="EY72" i="4"/>
  <c r="CW72" i="4"/>
  <c r="BC72" i="4"/>
  <c r="S72" i="4"/>
  <c r="EN72" i="4"/>
  <c r="CM72" i="4"/>
  <c r="AZ72" i="4"/>
  <c r="EM72" i="4"/>
  <c r="CL72" i="4"/>
  <c r="AY72" i="4"/>
  <c r="CE72" i="4"/>
  <c r="FS72" i="4"/>
  <c r="AX72" i="4"/>
  <c r="EL72" i="4"/>
  <c r="AJ72" i="4"/>
  <c r="EE72" i="4"/>
  <c r="AH72" i="4"/>
  <c r="DW72" i="4"/>
  <c r="AG72" i="4"/>
  <c r="DU72" i="4"/>
  <c r="AF72" i="4"/>
  <c r="CI72" i="4"/>
  <c r="CH72" i="4"/>
  <c r="CG72" i="4"/>
  <c r="AW72" i="4"/>
  <c r="DQ72" i="4"/>
  <c r="CJ72" i="4"/>
  <c r="FR72" i="4"/>
  <c r="DR72" i="4"/>
  <c r="CK72" i="4"/>
  <c r="L99" i="3"/>
  <c r="E24" i="2"/>
  <c r="M105" i="3"/>
  <c r="K108" i="3"/>
  <c r="H108" i="3"/>
  <c r="I108" i="3" s="1"/>
  <c r="I29" i="2"/>
  <c r="G29" i="2"/>
  <c r="G28" i="1"/>
  <c r="F29" i="2"/>
  <c r="K105" i="3"/>
  <c r="I72" i="3"/>
  <c r="K72" i="3" s="1"/>
  <c r="H72" i="3"/>
  <c r="J72" i="3" s="1"/>
  <c r="L101" i="3"/>
  <c r="E26" i="2"/>
  <c r="I79" i="3"/>
  <c r="K79" i="3" s="1"/>
  <c r="H79" i="3"/>
  <c r="J79" i="3" s="1"/>
  <c r="E85" i="3"/>
  <c r="L85" i="3"/>
  <c r="M85" i="3" s="1"/>
  <c r="E19" i="2" s="1"/>
  <c r="E82" i="3"/>
  <c r="L82" i="3"/>
  <c r="M82" i="3" s="1"/>
  <c r="E10" i="2"/>
  <c r="M50" i="1"/>
  <c r="AJ19" i="4"/>
  <c r="AJ22" i="4" s="1"/>
  <c r="J77" i="3"/>
  <c r="I105" i="3"/>
  <c r="H105" i="3"/>
  <c r="K110" i="3"/>
  <c r="H110" i="3"/>
  <c r="I110" i="3" s="1"/>
  <c r="F6" i="4" l="1"/>
  <c r="J16" i="6"/>
  <c r="K17" i="6"/>
  <c r="E69" i="4"/>
  <c r="E52" i="4"/>
  <c r="E53" i="4"/>
  <c r="E50" i="4"/>
  <c r="E55" i="4"/>
  <c r="E64" i="4"/>
  <c r="E60" i="4"/>
  <c r="E65" i="4"/>
  <c r="E61" i="4"/>
  <c r="E63" i="4"/>
  <c r="E66" i="4"/>
  <c r="E71" i="4"/>
  <c r="E62" i="4"/>
  <c r="F106" i="4"/>
  <c r="F82" i="4" s="1"/>
  <c r="AJ21" i="4"/>
  <c r="AA19" i="4"/>
  <c r="AA22" i="4" s="1"/>
  <c r="AB21" i="4"/>
  <c r="AE19" i="4"/>
  <c r="AE22" i="4" s="1"/>
  <c r="K29" i="2"/>
  <c r="J29" i="2"/>
  <c r="AI21" i="4"/>
  <c r="AV18" i="4" s="1"/>
  <c r="FV5" i="4"/>
  <c r="I33" i="2"/>
  <c r="F33" i="2"/>
  <c r="G34" i="1"/>
  <c r="G33" i="2"/>
  <c r="I78" i="3"/>
  <c r="H78" i="3"/>
  <c r="H82" i="3"/>
  <c r="J82" i="3" s="1"/>
  <c r="I82" i="3"/>
  <c r="K82" i="3" s="1"/>
  <c r="AC21" i="4"/>
  <c r="I28" i="3"/>
  <c r="D23" i="3"/>
  <c r="C23" i="3" s="1"/>
  <c r="C22" i="3" s="1"/>
  <c r="E112" i="4" s="1"/>
  <c r="I18" i="6" s="1"/>
  <c r="C11" i="1"/>
  <c r="F131" i="4"/>
  <c r="F126" i="4"/>
  <c r="F125" i="4"/>
  <c r="F27" i="4" s="1"/>
  <c r="F44" i="4" s="1"/>
  <c r="F130" i="4"/>
  <c r="F127" i="4"/>
  <c r="F128" i="4"/>
  <c r="F129" i="4"/>
  <c r="L83" i="3"/>
  <c r="M78" i="3"/>
  <c r="M83" i="3" s="1"/>
  <c r="E18" i="2" s="1"/>
  <c r="I28" i="2"/>
  <c r="F28" i="2"/>
  <c r="G28" i="2"/>
  <c r="G26" i="1"/>
  <c r="I26" i="2"/>
  <c r="F26" i="2"/>
  <c r="G26" i="2"/>
  <c r="G27" i="1"/>
  <c r="AT19" i="4"/>
  <c r="AT22" i="4" s="1"/>
  <c r="F95" i="4"/>
  <c r="F81" i="4" s="1"/>
  <c r="I24" i="2"/>
  <c r="F24" i="2"/>
  <c r="G25" i="1"/>
  <c r="G24" i="2"/>
  <c r="H115" i="4"/>
  <c r="L21" i="6" s="1"/>
  <c r="H112" i="4"/>
  <c r="L18" i="6" s="1"/>
  <c r="H108" i="4"/>
  <c r="H116" i="4" s="1"/>
  <c r="L22" i="6" s="1"/>
  <c r="H104" i="4"/>
  <c r="H102" i="4"/>
  <c r="H97" i="4"/>
  <c r="H91" i="4"/>
  <c r="I17" i="4"/>
  <c r="H12" i="4"/>
  <c r="H13" i="4" s="1"/>
  <c r="AY18" i="4"/>
  <c r="G15" i="4"/>
  <c r="G16" i="4" s="1"/>
  <c r="G9" i="4"/>
  <c r="H5" i="4"/>
  <c r="G7" i="4"/>
  <c r="G8" i="4"/>
  <c r="I71" i="3"/>
  <c r="H71" i="3"/>
  <c r="AS18" i="4"/>
  <c r="L105" i="3"/>
  <c r="L75" i="3"/>
  <c r="L87" i="3" s="1"/>
  <c r="L89" i="3" s="1"/>
  <c r="M71" i="3"/>
  <c r="M75" i="3" s="1"/>
  <c r="N50" i="1"/>
  <c r="G10" i="2"/>
  <c r="E14" i="2"/>
  <c r="E12" i="2"/>
  <c r="F10" i="2"/>
  <c r="G11" i="1"/>
  <c r="D16" i="2"/>
  <c r="I10" i="2"/>
  <c r="G92" i="4"/>
  <c r="G96" i="4" s="1"/>
  <c r="AO18" i="4"/>
  <c r="AX21" i="4"/>
  <c r="BK18" i="4" s="1"/>
  <c r="AP18" i="4"/>
  <c r="AW18" i="4"/>
  <c r="I19" i="2"/>
  <c r="G19" i="2"/>
  <c r="D19" i="2"/>
  <c r="F19" i="2"/>
  <c r="N6" i="1"/>
  <c r="G103" i="4"/>
  <c r="G107" i="4" s="1"/>
  <c r="G114" i="4"/>
  <c r="K20" i="6" s="1"/>
  <c r="H85" i="3"/>
  <c r="J85" i="3" s="1"/>
  <c r="I85" i="3"/>
  <c r="K85" i="3" s="1"/>
  <c r="K34" i="2"/>
  <c r="J34" i="2"/>
  <c r="AD21" i="4"/>
  <c r="AQ18" i="4" s="1"/>
  <c r="AH19" i="4"/>
  <c r="AH22" i="4" s="1"/>
  <c r="Z21" i="4"/>
  <c r="E81" i="4"/>
  <c r="K16" i="6" l="1"/>
  <c r="L17" i="6"/>
  <c r="F70" i="4"/>
  <c r="F69" i="4"/>
  <c r="F60" i="4"/>
  <c r="F65" i="4"/>
  <c r="F66" i="4"/>
  <c r="F63" i="4"/>
  <c r="F71" i="4"/>
  <c r="F62" i="4"/>
  <c r="F61" i="4"/>
  <c r="F64" i="4"/>
  <c r="F39" i="4"/>
  <c r="F34" i="4"/>
  <c r="F57" i="4"/>
  <c r="F41" i="4"/>
  <c r="F28" i="4"/>
  <c r="F55" i="4"/>
  <c r="F53" i="4"/>
  <c r="F50" i="4"/>
  <c r="F52" i="4"/>
  <c r="E67" i="4"/>
  <c r="AA21" i="4"/>
  <c r="AN18" i="4" s="1"/>
  <c r="AN19" i="4" s="1"/>
  <c r="AN22" i="4" s="1"/>
  <c r="G106" i="4"/>
  <c r="G82" i="4" s="1"/>
  <c r="M9" i="3"/>
  <c r="C15" i="1"/>
  <c r="BK19" i="4"/>
  <c r="BK22" i="4" s="1"/>
  <c r="AM18" i="4"/>
  <c r="AV19" i="4"/>
  <c r="AV22" i="4" s="1"/>
  <c r="AP19" i="4"/>
  <c r="AP22" i="4" s="1"/>
  <c r="AY19" i="4"/>
  <c r="AY22" i="4" s="1"/>
  <c r="K28" i="2"/>
  <c r="J28" i="2"/>
  <c r="O6" i="1"/>
  <c r="AO19" i="4"/>
  <c r="AO22" i="4" s="1"/>
  <c r="I18" i="2"/>
  <c r="F18" i="2"/>
  <c r="D18" i="2"/>
  <c r="G18" i="2"/>
  <c r="AH21" i="4"/>
  <c r="AU18" i="4" s="1"/>
  <c r="AS19" i="4"/>
  <c r="AS22" i="4" s="1"/>
  <c r="J71" i="3"/>
  <c r="J75" i="3" s="1"/>
  <c r="H75" i="3"/>
  <c r="I115" i="4"/>
  <c r="M21" i="6" s="1"/>
  <c r="I112" i="4"/>
  <c r="M18" i="6" s="1"/>
  <c r="I108" i="4"/>
  <c r="I102" i="4"/>
  <c r="I104" i="4"/>
  <c r="I97" i="4"/>
  <c r="I113" i="4" s="1"/>
  <c r="M19" i="6" s="1"/>
  <c r="I91" i="4"/>
  <c r="J17" i="4"/>
  <c r="I12" i="4"/>
  <c r="I13" i="4" s="1"/>
  <c r="O50" i="1"/>
  <c r="I75" i="3"/>
  <c r="K71" i="3"/>
  <c r="K75" i="3" s="1"/>
  <c r="K87" i="3" s="1"/>
  <c r="K89" i="3" s="1"/>
  <c r="AT21" i="4"/>
  <c r="J78" i="3"/>
  <c r="J83" i="3" s="1"/>
  <c r="H83" i="3"/>
  <c r="H92" i="4"/>
  <c r="H96" i="4" s="1"/>
  <c r="K78" i="3"/>
  <c r="K83" i="3" s="1"/>
  <c r="I83" i="3"/>
  <c r="AE21" i="4"/>
  <c r="AR18" i="4" s="1"/>
  <c r="K10" i="2"/>
  <c r="J10" i="2"/>
  <c r="H113" i="4"/>
  <c r="L19" i="6" s="1"/>
  <c r="H114" i="4"/>
  <c r="L20" i="6" s="1"/>
  <c r="H103" i="4"/>
  <c r="H107" i="4" s="1"/>
  <c r="H17" i="1"/>
  <c r="G13" i="1"/>
  <c r="H13" i="1" s="1"/>
  <c r="G15" i="1"/>
  <c r="H15" i="1" s="1"/>
  <c r="G6" i="4"/>
  <c r="K24" i="2"/>
  <c r="J24" i="2"/>
  <c r="AQ19" i="4"/>
  <c r="AQ22" i="4" s="1"/>
  <c r="H15" i="4"/>
  <c r="H16" i="4" s="1"/>
  <c r="H9" i="4"/>
  <c r="I5" i="4"/>
  <c r="H8" i="4"/>
  <c r="H7" i="4"/>
  <c r="H6" i="4" s="1"/>
  <c r="K26" i="2"/>
  <c r="J26" i="2"/>
  <c r="K33" i="2"/>
  <c r="J33" i="2"/>
  <c r="G12" i="2"/>
  <c r="I12" i="2"/>
  <c r="F12" i="2"/>
  <c r="D12" i="2"/>
  <c r="M87" i="3"/>
  <c r="M89" i="3" s="1"/>
  <c r="E17" i="2"/>
  <c r="G131" i="4"/>
  <c r="G126" i="4"/>
  <c r="G130" i="4"/>
  <c r="G125" i="4"/>
  <c r="G27" i="4" s="1"/>
  <c r="G44" i="4" s="1"/>
  <c r="G127" i="4"/>
  <c r="G128" i="4"/>
  <c r="G129" i="4"/>
  <c r="K19" i="2"/>
  <c r="J19" i="2"/>
  <c r="AW21" i="4"/>
  <c r="AW19" i="4"/>
  <c r="AW22" i="4" s="1"/>
  <c r="G14" i="2"/>
  <c r="D14" i="2"/>
  <c r="F14" i="2"/>
  <c r="I14" i="2"/>
  <c r="G95" i="4"/>
  <c r="FW5" i="4"/>
  <c r="E7" i="6" l="1"/>
  <c r="M17" i="6"/>
  <c r="L16" i="6"/>
  <c r="G70" i="4"/>
  <c r="G69" i="4"/>
  <c r="G65" i="4"/>
  <c r="G60" i="4"/>
  <c r="G66" i="4"/>
  <c r="G61" i="4"/>
  <c r="G71" i="4"/>
  <c r="G62" i="4"/>
  <c r="G64" i="4"/>
  <c r="G63" i="4"/>
  <c r="G53" i="4"/>
  <c r="G55" i="4"/>
  <c r="G52" i="4"/>
  <c r="G50" i="4"/>
  <c r="G34" i="4"/>
  <c r="G39" i="4"/>
  <c r="G57" i="4"/>
  <c r="G41" i="4"/>
  <c r="G28" i="4"/>
  <c r="F67" i="4"/>
  <c r="AN21" i="4"/>
  <c r="BA18" i="4" s="1"/>
  <c r="AO21" i="4"/>
  <c r="AY21" i="4"/>
  <c r="AS21" i="4"/>
  <c r="H95" i="4"/>
  <c r="H81" i="4" s="1"/>
  <c r="AU19" i="4"/>
  <c r="AU22" i="4" s="1"/>
  <c r="AR19" i="4"/>
  <c r="AR22" i="4" s="1"/>
  <c r="I114" i="4"/>
  <c r="M20" i="6" s="1"/>
  <c r="I103" i="4"/>
  <c r="I107" i="4" s="1"/>
  <c r="I116" i="4"/>
  <c r="M22" i="6" s="1"/>
  <c r="K18" i="2"/>
  <c r="J18" i="2"/>
  <c r="AV21" i="4"/>
  <c r="BI18" i="4" s="1"/>
  <c r="K12" i="2"/>
  <c r="J12" i="2"/>
  <c r="P50" i="1"/>
  <c r="I92" i="4"/>
  <c r="I96" i="4" s="1"/>
  <c r="AP21" i="4"/>
  <c r="K14" i="2"/>
  <c r="J14" i="2"/>
  <c r="FX5" i="4"/>
  <c r="H106" i="4"/>
  <c r="BJ18" i="4"/>
  <c r="I87" i="3"/>
  <c r="I89" i="3" s="1"/>
  <c r="H87" i="3"/>
  <c r="H89" i="3" s="1"/>
  <c r="BB18" i="4"/>
  <c r="AM19" i="4"/>
  <c r="AM22" i="4" s="1"/>
  <c r="J87" i="3"/>
  <c r="J89" i="3" s="1"/>
  <c r="H126" i="4"/>
  <c r="H130" i="4"/>
  <c r="H131" i="4"/>
  <c r="H127" i="4"/>
  <c r="H128" i="4"/>
  <c r="H125" i="4"/>
  <c r="H27" i="4" s="1"/>
  <c r="H44" i="4" s="1"/>
  <c r="H129" i="4"/>
  <c r="BG18" i="4"/>
  <c r="BF18" i="4"/>
  <c r="BL18" i="4"/>
  <c r="BK21" i="4"/>
  <c r="BX18" i="4" s="1"/>
  <c r="P6" i="1"/>
  <c r="I17" i="2"/>
  <c r="G17" i="2"/>
  <c r="D17" i="2"/>
  <c r="F17" i="2"/>
  <c r="G18" i="1"/>
  <c r="H18" i="1" s="1"/>
  <c r="J45" i="1"/>
  <c r="K45" i="1" s="1"/>
  <c r="L45" i="1" s="1"/>
  <c r="M45" i="1" s="1"/>
  <c r="N45" i="1" s="1"/>
  <c r="C17" i="1"/>
  <c r="D16" i="1" s="1"/>
  <c r="I15" i="4"/>
  <c r="I16" i="4" s="1"/>
  <c r="I9" i="4"/>
  <c r="J5" i="4"/>
  <c r="I8" i="4"/>
  <c r="I7" i="4"/>
  <c r="I6" i="4" s="1"/>
  <c r="AQ21" i="4"/>
  <c r="BD18" i="4" s="1"/>
  <c r="G81" i="4"/>
  <c r="J115" i="4"/>
  <c r="N21" i="6" s="1"/>
  <c r="J112" i="4"/>
  <c r="N18" i="6" s="1"/>
  <c r="J108" i="4"/>
  <c r="J116" i="4" s="1"/>
  <c r="N22" i="6" s="1"/>
  <c r="J102" i="4"/>
  <c r="J91" i="4"/>
  <c r="J104" i="4"/>
  <c r="J97" i="4"/>
  <c r="J113" i="4" s="1"/>
  <c r="N19" i="6" s="1"/>
  <c r="J12" i="4"/>
  <c r="J13" i="4" s="1"/>
  <c r="K17" i="4"/>
  <c r="E7" i="7" l="1"/>
  <c r="M16" i="6"/>
  <c r="N17" i="6"/>
  <c r="H70" i="4"/>
  <c r="H69" i="4"/>
  <c r="H62" i="4"/>
  <c r="H66" i="4"/>
  <c r="H60" i="4"/>
  <c r="H71" i="4"/>
  <c r="H63" i="4"/>
  <c r="H64" i="4"/>
  <c r="H65" i="4"/>
  <c r="H61" i="4"/>
  <c r="H55" i="4"/>
  <c r="H50" i="4"/>
  <c r="H53" i="4"/>
  <c r="H52" i="4"/>
  <c r="G67" i="4"/>
  <c r="H39" i="4"/>
  <c r="H34" i="4"/>
  <c r="H57" i="4"/>
  <c r="H28" i="4"/>
  <c r="H41" i="4"/>
  <c r="I106" i="4"/>
  <c r="I82" i="4" s="1"/>
  <c r="AU21" i="4"/>
  <c r="D15" i="1"/>
  <c r="BX19" i="4"/>
  <c r="BX22" i="4" s="1"/>
  <c r="I130" i="4"/>
  <c r="I126" i="4"/>
  <c r="I127" i="4"/>
  <c r="I131" i="4"/>
  <c r="I128" i="4"/>
  <c r="I125" i="4"/>
  <c r="I27" i="4" s="1"/>
  <c r="I44" i="4" s="1"/>
  <c r="I129" i="4"/>
  <c r="Q6" i="1"/>
  <c r="H82" i="4"/>
  <c r="AR21" i="4"/>
  <c r="I95" i="4"/>
  <c r="BI19" i="4"/>
  <c r="BI22" i="4" s="1"/>
  <c r="BJ19" i="4"/>
  <c r="BJ22" i="4" s="1"/>
  <c r="BH18" i="4"/>
  <c r="J15" i="4"/>
  <c r="J16" i="4" s="1"/>
  <c r="J9" i="4"/>
  <c r="K5" i="4"/>
  <c r="J8" i="4"/>
  <c r="J7" i="4"/>
  <c r="BA19" i="4"/>
  <c r="BA22" i="4" s="1"/>
  <c r="BA21" i="4"/>
  <c r="J92" i="4"/>
  <c r="J96" i="4" s="1"/>
  <c r="BL21" i="4"/>
  <c r="BL19" i="4"/>
  <c r="BL22" i="4" s="1"/>
  <c r="K115" i="4"/>
  <c r="O21" i="6" s="1"/>
  <c r="K112" i="4"/>
  <c r="O18" i="6" s="1"/>
  <c r="K108" i="4"/>
  <c r="K91" i="4"/>
  <c r="K104" i="4"/>
  <c r="K97" i="4"/>
  <c r="K113" i="4" s="1"/>
  <c r="O19" i="6" s="1"/>
  <c r="K102" i="4"/>
  <c r="L17" i="4"/>
  <c r="K12" i="4"/>
  <c r="K13" i="4" s="1"/>
  <c r="J103" i="4"/>
  <c r="J107" i="4" s="1"/>
  <c r="J114" i="4"/>
  <c r="AM21" i="4"/>
  <c r="AZ18" i="4" s="1"/>
  <c r="Q50" i="1"/>
  <c r="BD19" i="4"/>
  <c r="BD22" i="4" s="1"/>
  <c r="BF19" i="4"/>
  <c r="BF22" i="4" s="1"/>
  <c r="BC18" i="4"/>
  <c r="K17" i="2"/>
  <c r="J17" i="2"/>
  <c r="BG19" i="4"/>
  <c r="BG22" i="4" s="1"/>
  <c r="BB19" i="4"/>
  <c r="BB22" i="4" s="1"/>
  <c r="O17" i="6" l="1"/>
  <c r="N16" i="6"/>
  <c r="N20" i="6"/>
  <c r="I70" i="4"/>
  <c r="I69" i="4"/>
  <c r="I66" i="4"/>
  <c r="I60" i="4"/>
  <c r="I63" i="4"/>
  <c r="I61" i="4"/>
  <c r="I62" i="4"/>
  <c r="I64" i="4"/>
  <c r="I65" i="4"/>
  <c r="I71" i="4"/>
  <c r="H67" i="4"/>
  <c r="I55" i="4"/>
  <c r="I50" i="4"/>
  <c r="I52" i="4"/>
  <c r="I53" i="4"/>
  <c r="I34" i="4"/>
  <c r="I39" i="4"/>
  <c r="I41" i="4"/>
  <c r="I28" i="4"/>
  <c r="I57" i="4"/>
  <c r="BD21" i="4"/>
  <c r="BQ18" i="4" s="1"/>
  <c r="BI21" i="4"/>
  <c r="J106" i="4"/>
  <c r="J82" i="4" s="1"/>
  <c r="J95" i="4"/>
  <c r="J81" i="4" s="1"/>
  <c r="K92" i="4"/>
  <c r="K96" i="4" s="1"/>
  <c r="BC19" i="4"/>
  <c r="BC22" i="4" s="1"/>
  <c r="BH19" i="4"/>
  <c r="BH22" i="4" s="1"/>
  <c r="BV18" i="4"/>
  <c r="BE18" i="4"/>
  <c r="L115" i="4"/>
  <c r="P21" i="6" s="1"/>
  <c r="L112" i="4"/>
  <c r="P18" i="6" s="1"/>
  <c r="L108" i="4"/>
  <c r="L116" i="4" s="1"/>
  <c r="P22" i="6" s="1"/>
  <c r="L102" i="4"/>
  <c r="L97" i="4"/>
  <c r="L113" i="4" s="1"/>
  <c r="P19" i="6" s="1"/>
  <c r="L91" i="4"/>
  <c r="L104" i="4"/>
  <c r="L12" i="4"/>
  <c r="L13" i="4" s="1"/>
  <c r="M17" i="4"/>
  <c r="BF21" i="4"/>
  <c r="BS18" i="4" s="1"/>
  <c r="K114" i="4"/>
  <c r="O20" i="6" s="1"/>
  <c r="K103" i="4"/>
  <c r="K107" i="4" s="1"/>
  <c r="BJ21" i="4"/>
  <c r="J130" i="4"/>
  <c r="J129" i="4"/>
  <c r="J126" i="4"/>
  <c r="J127" i="4"/>
  <c r="J131" i="4"/>
  <c r="J128" i="4"/>
  <c r="J125" i="4"/>
  <c r="J27" i="4" s="1"/>
  <c r="J44" i="4" s="1"/>
  <c r="R50" i="1"/>
  <c r="BB21" i="4"/>
  <c r="BO18" i="4" s="1"/>
  <c r="R6" i="1"/>
  <c r="K116" i="4"/>
  <c r="O22" i="6" s="1"/>
  <c r="BN18" i="4"/>
  <c r="AZ19" i="4"/>
  <c r="AZ22" i="4" s="1"/>
  <c r="AZ21" i="4"/>
  <c r="J6" i="4"/>
  <c r="CK18" i="4"/>
  <c r="BG21" i="4"/>
  <c r="BT18" i="4" s="1"/>
  <c r="BX21" i="4"/>
  <c r="BY18" i="4"/>
  <c r="K15" i="4"/>
  <c r="K16" i="4" s="1"/>
  <c r="K9" i="4"/>
  <c r="L5" i="4"/>
  <c r="K8" i="4"/>
  <c r="K7" i="4"/>
  <c r="I81" i="4"/>
  <c r="P17" i="6" l="1"/>
  <c r="O16" i="6"/>
  <c r="J70" i="4"/>
  <c r="J69" i="4"/>
  <c r="J28" i="4"/>
  <c r="J41" i="4"/>
  <c r="J39" i="4"/>
  <c r="J57" i="4"/>
  <c r="J34" i="4"/>
  <c r="J61" i="4"/>
  <c r="J62" i="4"/>
  <c r="J60" i="4"/>
  <c r="J66" i="4"/>
  <c r="J71" i="4"/>
  <c r="J63" i="4"/>
  <c r="J64" i="4"/>
  <c r="J65" i="4"/>
  <c r="J53" i="4"/>
  <c r="J55" i="4"/>
  <c r="J50" i="4"/>
  <c r="J52" i="4"/>
  <c r="I67" i="4"/>
  <c r="BC21" i="4"/>
  <c r="BP18" i="4" s="1"/>
  <c r="BH21" i="4"/>
  <c r="K106" i="4"/>
  <c r="K82" i="4" s="1"/>
  <c r="K95" i="4"/>
  <c r="K81" i="4" s="1"/>
  <c r="BT19" i="4"/>
  <c r="BT22" i="4" s="1"/>
  <c r="BT21" i="4"/>
  <c r="BO19" i="4"/>
  <c r="BO22" i="4" s="1"/>
  <c r="BN19" i="4"/>
  <c r="BN22" i="4" s="1"/>
  <c r="BY19" i="4"/>
  <c r="BY22" i="4" s="1"/>
  <c r="L92" i="4"/>
  <c r="L96" i="4" s="1"/>
  <c r="BV19" i="4"/>
  <c r="BV22" i="4" s="1"/>
  <c r="BW18" i="4"/>
  <c r="L114" i="4"/>
  <c r="P20" i="6" s="1"/>
  <c r="L103" i="4"/>
  <c r="L107" i="4" s="1"/>
  <c r="BU18" i="4"/>
  <c r="K6" i="4"/>
  <c r="S6" i="1"/>
  <c r="L15" i="4"/>
  <c r="L16" i="4" s="1"/>
  <c r="L9" i="4"/>
  <c r="M5" i="4"/>
  <c r="L8" i="4"/>
  <c r="L7" i="4"/>
  <c r="BQ19" i="4"/>
  <c r="BQ22" i="4" s="1"/>
  <c r="CK19" i="4"/>
  <c r="CK22" i="4" s="1"/>
  <c r="K129" i="4"/>
  <c r="K130" i="4"/>
  <c r="K127" i="4"/>
  <c r="K131" i="4"/>
  <c r="K128" i="4"/>
  <c r="K125" i="4"/>
  <c r="K27" i="4" s="1"/>
  <c r="K44" i="4" s="1"/>
  <c r="K126" i="4"/>
  <c r="BS19" i="4"/>
  <c r="BS22" i="4" s="1"/>
  <c r="BS21" i="4"/>
  <c r="BE19" i="4"/>
  <c r="BE22" i="4" s="1"/>
  <c r="BE21" i="4"/>
  <c r="BM18" i="4"/>
  <c r="S50" i="1"/>
  <c r="M115" i="4"/>
  <c r="Q21" i="6" s="1"/>
  <c r="M112" i="4"/>
  <c r="Q18" i="6" s="1"/>
  <c r="M108" i="4"/>
  <c r="M97" i="4"/>
  <c r="M113" i="4" s="1"/>
  <c r="Q19" i="6" s="1"/>
  <c r="M91" i="4"/>
  <c r="M102" i="4"/>
  <c r="M104" i="4"/>
  <c r="N17" i="4"/>
  <c r="M12" i="4"/>
  <c r="M13" i="4" s="1"/>
  <c r="P16" i="6" l="1"/>
  <c r="Q17" i="6"/>
  <c r="K70" i="4"/>
  <c r="K69" i="4"/>
  <c r="J67" i="4"/>
  <c r="K52" i="4"/>
  <c r="K50" i="4"/>
  <c r="K55" i="4"/>
  <c r="K53" i="4"/>
  <c r="K28" i="4"/>
  <c r="K39" i="4"/>
  <c r="K41" i="4"/>
  <c r="K57" i="4"/>
  <c r="K34" i="4"/>
  <c r="K60" i="4"/>
  <c r="K61" i="4"/>
  <c r="K71" i="4"/>
  <c r="K62" i="4"/>
  <c r="K64" i="4"/>
  <c r="K66" i="4"/>
  <c r="K65" i="4"/>
  <c r="K63" i="4"/>
  <c r="BV21" i="4"/>
  <c r="L106" i="4"/>
  <c r="L82" i="4" s="1"/>
  <c r="L95" i="4"/>
  <c r="L81" i="4" s="1"/>
  <c r="M92" i="4"/>
  <c r="M96" i="4" s="1"/>
  <c r="N115" i="4"/>
  <c r="R21" i="6" s="1"/>
  <c r="N112" i="4"/>
  <c r="R18" i="6" s="1"/>
  <c r="N108" i="4"/>
  <c r="N116" i="4" s="1"/>
  <c r="R22" i="6" s="1"/>
  <c r="N97" i="4"/>
  <c r="N113" i="4" s="1"/>
  <c r="R19" i="6" s="1"/>
  <c r="N91" i="4"/>
  <c r="N104" i="4"/>
  <c r="N102" i="4"/>
  <c r="N12" i="4"/>
  <c r="N13" i="4" s="1"/>
  <c r="O17" i="4"/>
  <c r="BU19" i="4"/>
  <c r="BU22" i="4" s="1"/>
  <c r="BP19" i="4"/>
  <c r="BP22" i="4" s="1"/>
  <c r="BP21" i="4"/>
  <c r="CI18" i="4"/>
  <c r="L129" i="4"/>
  <c r="L130" i="4"/>
  <c r="L127" i="4"/>
  <c r="L131" i="4"/>
  <c r="L128" i="4"/>
  <c r="L126" i="4"/>
  <c r="L125" i="4"/>
  <c r="L27" i="4" s="1"/>
  <c r="L44" i="4" s="1"/>
  <c r="M114" i="4"/>
  <c r="Q20" i="6" s="1"/>
  <c r="M103" i="4"/>
  <c r="M107" i="4" s="1"/>
  <c r="BN21" i="4"/>
  <c r="CA18" i="4" s="1"/>
  <c r="M116" i="4"/>
  <c r="Q22" i="6" s="1"/>
  <c r="BM19" i="4"/>
  <c r="BM22" i="4" s="1"/>
  <c r="BR18" i="4"/>
  <c r="BW19" i="4"/>
  <c r="BW22" i="4" s="1"/>
  <c r="BO21" i="4"/>
  <c r="CB18" i="4" s="1"/>
  <c r="CK21" i="4"/>
  <c r="CX18" i="4" s="1"/>
  <c r="BQ21" i="4"/>
  <c r="L6" i="4"/>
  <c r="BY21" i="4"/>
  <c r="CL18" i="4" s="1"/>
  <c r="CD18" i="4"/>
  <c r="M15" i="4"/>
  <c r="M16" i="4" s="1"/>
  <c r="M9" i="4"/>
  <c r="N5" i="4"/>
  <c r="M8" i="4"/>
  <c r="M7" i="4"/>
  <c r="M6" i="4" s="1"/>
  <c r="CF18" i="4"/>
  <c r="CG18" i="4"/>
  <c r="R17" i="6" l="1"/>
  <c r="Q16" i="6"/>
  <c r="K67" i="4"/>
  <c r="L71" i="4"/>
  <c r="L62" i="4"/>
  <c r="L61" i="4"/>
  <c r="L63" i="4"/>
  <c r="L65" i="4"/>
  <c r="L66" i="4"/>
  <c r="L60" i="4"/>
  <c r="L64" i="4"/>
  <c r="L28" i="4"/>
  <c r="L39" i="4"/>
  <c r="L41" i="4"/>
  <c r="L57" i="4"/>
  <c r="L34" i="4"/>
  <c r="L70" i="4"/>
  <c r="L69" i="4"/>
  <c r="L50" i="4"/>
  <c r="L53" i="4"/>
  <c r="L55" i="4"/>
  <c r="L52" i="4"/>
  <c r="N92" i="4"/>
  <c r="N96" i="4" s="1"/>
  <c r="M106" i="4"/>
  <c r="M82" i="4" s="1"/>
  <c r="M95" i="4"/>
  <c r="M81" i="4" s="1"/>
  <c r="CB19" i="4"/>
  <c r="CB22" i="4" s="1"/>
  <c r="CA19" i="4"/>
  <c r="CA22" i="4" s="1"/>
  <c r="CX19" i="4"/>
  <c r="CX22" i="4" s="1"/>
  <c r="M129" i="4"/>
  <c r="M128" i="4"/>
  <c r="M127" i="4"/>
  <c r="M131" i="4"/>
  <c r="M130" i="4"/>
  <c r="M125" i="4"/>
  <c r="M27" i="4" s="1"/>
  <c r="M44" i="4" s="1"/>
  <c r="M126" i="4"/>
  <c r="CL19" i="4"/>
  <c r="CL22" i="4" s="1"/>
  <c r="O115" i="4"/>
  <c r="S21" i="6" s="1"/>
  <c r="O91" i="4"/>
  <c r="O112" i="4"/>
  <c r="S18" i="6" s="1"/>
  <c r="O104" i="4"/>
  <c r="O108" i="4"/>
  <c r="O116" i="4" s="1"/>
  <c r="S22" i="6" s="1"/>
  <c r="O102" i="4"/>
  <c r="O97" i="4"/>
  <c r="O113" i="4" s="1"/>
  <c r="S19" i="6" s="1"/>
  <c r="O12" i="4"/>
  <c r="O13" i="4" s="1"/>
  <c r="P17" i="4"/>
  <c r="CG19" i="4"/>
  <c r="CG22" i="4" s="1"/>
  <c r="CG21" i="4"/>
  <c r="N114" i="4"/>
  <c r="R20" i="6" s="1"/>
  <c r="N103" i="4"/>
  <c r="N107" i="4" s="1"/>
  <c r="BR19" i="4"/>
  <c r="BR22" i="4" s="1"/>
  <c r="BR21" i="4"/>
  <c r="CC18" i="4"/>
  <c r="BU21" i="4"/>
  <c r="CH18" i="4" s="1"/>
  <c r="CD19" i="4"/>
  <c r="CD22" i="4" s="1"/>
  <c r="CD21" i="4"/>
  <c r="BM21" i="4"/>
  <c r="BZ18" i="4" s="1"/>
  <c r="CF19" i="4"/>
  <c r="CF22" i="4" s="1"/>
  <c r="CF21" i="4"/>
  <c r="N15" i="4"/>
  <c r="N16" i="4" s="1"/>
  <c r="O5" i="4"/>
  <c r="N9" i="4"/>
  <c r="N8" i="4"/>
  <c r="N7" i="4"/>
  <c r="N6" i="4" s="1"/>
  <c r="BW21" i="4"/>
  <c r="CI19" i="4"/>
  <c r="CI22" i="4" s="1"/>
  <c r="S17" i="6" l="1"/>
  <c r="R16" i="6"/>
  <c r="O92" i="4"/>
  <c r="O96" i="4" s="1"/>
  <c r="L67" i="4"/>
  <c r="N95" i="4"/>
  <c r="N81" i="4" s="1"/>
  <c r="M28" i="4"/>
  <c r="M39" i="4"/>
  <c r="M34" i="4"/>
  <c r="M57" i="4"/>
  <c r="M41" i="4"/>
  <c r="M50" i="4"/>
  <c r="M52" i="4"/>
  <c r="M53" i="4"/>
  <c r="M55" i="4"/>
  <c r="M70" i="4"/>
  <c r="M69" i="4"/>
  <c r="M61" i="4"/>
  <c r="M71" i="4"/>
  <c r="M62" i="4"/>
  <c r="M65" i="4"/>
  <c r="M60" i="4"/>
  <c r="M63" i="4"/>
  <c r="M64" i="4"/>
  <c r="M66" i="4"/>
  <c r="CB21" i="4"/>
  <c r="CO18" i="4" s="1"/>
  <c r="CX21" i="4"/>
  <c r="N106" i="4"/>
  <c r="N82" i="4" s="1"/>
  <c r="BZ19" i="4"/>
  <c r="BZ22" i="4" s="1"/>
  <c r="P97" i="4"/>
  <c r="P113" i="4" s="1"/>
  <c r="T19" i="6" s="1"/>
  <c r="P91" i="4"/>
  <c r="P115" i="4"/>
  <c r="T21" i="6" s="1"/>
  <c r="P112" i="4"/>
  <c r="T18" i="6" s="1"/>
  <c r="P108" i="4"/>
  <c r="P116" i="4" s="1"/>
  <c r="T22" i="6" s="1"/>
  <c r="P104" i="4"/>
  <c r="P102" i="4"/>
  <c r="P12" i="4"/>
  <c r="P13" i="4" s="1"/>
  <c r="Q17" i="4"/>
  <c r="CI21" i="4"/>
  <c r="CV18" i="4" s="1"/>
  <c r="CT18" i="4"/>
  <c r="DK18" i="4"/>
  <c r="CH19" i="4"/>
  <c r="CH22" i="4" s="1"/>
  <c r="O15" i="4"/>
  <c r="O16" i="4" s="1"/>
  <c r="O9" i="4"/>
  <c r="O8" i="4"/>
  <c r="O7" i="4"/>
  <c r="P5" i="4"/>
  <c r="N128" i="4"/>
  <c r="N131" i="4"/>
  <c r="N130" i="4"/>
  <c r="N129" i="4"/>
  <c r="N126" i="4"/>
  <c r="N127" i="4"/>
  <c r="N125" i="4"/>
  <c r="N27" i="4" s="1"/>
  <c r="N44" i="4" s="1"/>
  <c r="CE18" i="4"/>
  <c r="O114" i="4"/>
  <c r="S20" i="6" s="1"/>
  <c r="O103" i="4"/>
  <c r="O107" i="4" s="1"/>
  <c r="CC19" i="4"/>
  <c r="CC22" i="4" s="1"/>
  <c r="CJ18" i="4"/>
  <c r="CQ18" i="4"/>
  <c r="CA21" i="4"/>
  <c r="CS18" i="4"/>
  <c r="CL21" i="4"/>
  <c r="S16" i="6" l="1"/>
  <c r="T17" i="6"/>
  <c r="P92" i="4"/>
  <c r="P96" i="4" s="1"/>
  <c r="O95" i="4"/>
  <c r="O81" i="4" s="1"/>
  <c r="M67" i="4"/>
  <c r="N41" i="4"/>
  <c r="N28" i="4"/>
  <c r="N34" i="4"/>
  <c r="N39" i="4"/>
  <c r="N57" i="4"/>
  <c r="N63" i="4"/>
  <c r="N64" i="4"/>
  <c r="N71" i="4"/>
  <c r="N62" i="4"/>
  <c r="N65" i="4"/>
  <c r="N66" i="4"/>
  <c r="N61" i="4"/>
  <c r="N60" i="4"/>
  <c r="N50" i="4"/>
  <c r="N53" i="4"/>
  <c r="N52" i="4"/>
  <c r="N55" i="4"/>
  <c r="N70" i="4"/>
  <c r="N69" i="4"/>
  <c r="O6" i="4"/>
  <c r="CC21" i="4"/>
  <c r="CP18" i="4" s="1"/>
  <c r="O106" i="4"/>
  <c r="O82" i="4" s="1"/>
  <c r="CV19" i="4"/>
  <c r="CV22" i="4" s="1"/>
  <c r="CV21" i="4"/>
  <c r="P95" i="4"/>
  <c r="P81" i="4" s="1"/>
  <c r="P7" i="4"/>
  <c r="P15" i="4"/>
  <c r="P16" i="4" s="1"/>
  <c r="P8" i="4"/>
  <c r="P9" i="4"/>
  <c r="Q5" i="4"/>
  <c r="DK19" i="4"/>
  <c r="DK22" i="4" s="1"/>
  <c r="CQ19" i="4"/>
  <c r="CQ22" i="4" s="1"/>
  <c r="CO19" i="4"/>
  <c r="CO22" i="4" s="1"/>
  <c r="CN18" i="4"/>
  <c r="CE19" i="4"/>
  <c r="CE22" i="4" s="1"/>
  <c r="CE21" i="4"/>
  <c r="O128" i="4"/>
  <c r="O131" i="4"/>
  <c r="O125" i="4"/>
  <c r="O27" i="4" s="1"/>
  <c r="O44" i="4" s="1"/>
  <c r="O130" i="4"/>
  <c r="O129" i="4"/>
  <c r="O126" i="4"/>
  <c r="O127" i="4"/>
  <c r="CT19" i="4"/>
  <c r="CT22" i="4" s="1"/>
  <c r="CS19" i="4"/>
  <c r="CS22" i="4" s="1"/>
  <c r="BZ21" i="4"/>
  <c r="CM18" i="4" s="1"/>
  <c r="CY18" i="4"/>
  <c r="CJ19" i="4"/>
  <c r="CJ22" i="4" s="1"/>
  <c r="CH21" i="4"/>
  <c r="CU18" i="4" s="1"/>
  <c r="Q104" i="4"/>
  <c r="Q115" i="4"/>
  <c r="U21" i="6" s="1"/>
  <c r="Q112" i="4"/>
  <c r="U18" i="6" s="1"/>
  <c r="Q108" i="4"/>
  <c r="Q116" i="4" s="1"/>
  <c r="U22" i="6" s="1"/>
  <c r="Q91" i="4"/>
  <c r="Q92" i="4" s="1"/>
  <c r="Q96" i="4" s="1"/>
  <c r="Q97" i="4"/>
  <c r="Q113" i="4" s="1"/>
  <c r="U19" i="6" s="1"/>
  <c r="Q102" i="4"/>
  <c r="Q12" i="4"/>
  <c r="Q13" i="4" s="1"/>
  <c r="R17" i="4"/>
  <c r="P114" i="4"/>
  <c r="T20" i="6" s="1"/>
  <c r="P103" i="4"/>
  <c r="P107" i="4" s="1"/>
  <c r="P6" i="4" l="1"/>
  <c r="T16" i="6"/>
  <c r="U17" i="6"/>
  <c r="O69" i="4"/>
  <c r="O70" i="4"/>
  <c r="O57" i="4"/>
  <c r="O41" i="4"/>
  <c r="O34" i="4"/>
  <c r="O39" i="4"/>
  <c r="O28" i="4"/>
  <c r="O71" i="4"/>
  <c r="O62" i="4"/>
  <c r="O63" i="4"/>
  <c r="O65" i="4"/>
  <c r="O66" i="4"/>
  <c r="O64" i="4"/>
  <c r="O60" i="4"/>
  <c r="O61" i="4"/>
  <c r="O50" i="4"/>
  <c r="O55" i="4"/>
  <c r="O52" i="4"/>
  <c r="O53" i="4"/>
  <c r="N67" i="4"/>
  <c r="CS21" i="4"/>
  <c r="CM19" i="4"/>
  <c r="CM22" i="4" s="1"/>
  <c r="DF18" i="4"/>
  <c r="CR18" i="4"/>
  <c r="P106" i="4"/>
  <c r="P82" i="4" s="1"/>
  <c r="CN19" i="4"/>
  <c r="CN22" i="4" s="1"/>
  <c r="P128" i="4"/>
  <c r="P127" i="4"/>
  <c r="P130" i="4"/>
  <c r="P129" i="4"/>
  <c r="P126" i="4"/>
  <c r="P131" i="4"/>
  <c r="P125" i="4"/>
  <c r="P27" i="4" s="1"/>
  <c r="P44" i="4" s="1"/>
  <c r="Q114" i="4"/>
  <c r="U20" i="6" s="1"/>
  <c r="Q103" i="4"/>
  <c r="Q107" i="4" s="1"/>
  <c r="CO21" i="4"/>
  <c r="DB18" i="4" s="1"/>
  <c r="CT21" i="4"/>
  <c r="DG18" i="4" s="1"/>
  <c r="CP19" i="4"/>
  <c r="CP22" i="4" s="1"/>
  <c r="DK21" i="4"/>
  <c r="DX18" i="4"/>
  <c r="CQ21" i="4"/>
  <c r="Q95" i="4"/>
  <c r="Q81" i="4" s="1"/>
  <c r="Q7" i="4"/>
  <c r="Q15" i="4"/>
  <c r="Q16" i="4" s="1"/>
  <c r="R5" i="4"/>
  <c r="Q8" i="4"/>
  <c r="Q9" i="4"/>
  <c r="CJ21" i="4"/>
  <c r="DI18" i="4"/>
  <c r="CU19" i="4"/>
  <c r="CU22" i="4" s="1"/>
  <c r="R104" i="4"/>
  <c r="R108" i="4"/>
  <c r="R116" i="4" s="1"/>
  <c r="V22" i="6" s="1"/>
  <c r="R97" i="4"/>
  <c r="R113" i="4" s="1"/>
  <c r="V19" i="6" s="1"/>
  <c r="R112" i="4"/>
  <c r="V18" i="6" s="1"/>
  <c r="R102" i="4"/>
  <c r="R115" i="4"/>
  <c r="V21" i="6" s="1"/>
  <c r="R91" i="4"/>
  <c r="R92" i="4" s="1"/>
  <c r="R96" i="4" s="1"/>
  <c r="R12" i="4"/>
  <c r="R13" i="4" s="1"/>
  <c r="S17" i="4"/>
  <c r="CY19" i="4"/>
  <c r="CY22" i="4" s="1"/>
  <c r="U16" i="6" l="1"/>
  <c r="V17" i="6"/>
  <c r="P34" i="4"/>
  <c r="P41" i="4"/>
  <c r="P39" i="4"/>
  <c r="P57" i="4"/>
  <c r="P28" i="4"/>
  <c r="P50" i="4"/>
  <c r="P52" i="4"/>
  <c r="P55" i="4"/>
  <c r="P53" i="4"/>
  <c r="P69" i="4"/>
  <c r="P70" i="4"/>
  <c r="P64" i="4"/>
  <c r="P66" i="4"/>
  <c r="P63" i="4"/>
  <c r="P62" i="4"/>
  <c r="P60" i="4"/>
  <c r="P61" i="4"/>
  <c r="P71" i="4"/>
  <c r="P65" i="4"/>
  <c r="O67" i="4"/>
  <c r="CM21" i="4"/>
  <c r="CZ18" i="4" s="1"/>
  <c r="Q106" i="4"/>
  <c r="Q82" i="4" s="1"/>
  <c r="R95" i="4"/>
  <c r="R81" i="4" s="1"/>
  <c r="R15" i="4"/>
  <c r="R16" i="4" s="1"/>
  <c r="R7" i="4"/>
  <c r="R9" i="4"/>
  <c r="R8" i="4"/>
  <c r="S5" i="4"/>
  <c r="Q127" i="4"/>
  <c r="Q128" i="4"/>
  <c r="Q125" i="4"/>
  <c r="Q27" i="4" s="1"/>
  <c r="Q44" i="4" s="1"/>
  <c r="Q129" i="4"/>
  <c r="Q130" i="4"/>
  <c r="Q126" i="4"/>
  <c r="Q131" i="4"/>
  <c r="Q6" i="4"/>
  <c r="CN21" i="4"/>
  <c r="DA18" i="4" s="1"/>
  <c r="CY21" i="4"/>
  <c r="CW18" i="4"/>
  <c r="CR19" i="4"/>
  <c r="CR22" i="4" s="1"/>
  <c r="R114" i="4"/>
  <c r="V20" i="6" s="1"/>
  <c r="R103" i="4"/>
  <c r="R107" i="4" s="1"/>
  <c r="CU21" i="4"/>
  <c r="DG19" i="4"/>
  <c r="DG22" i="4" s="1"/>
  <c r="DF19" i="4"/>
  <c r="DF22" i="4" s="1"/>
  <c r="S104" i="4"/>
  <c r="S108" i="4"/>
  <c r="S116" i="4" s="1"/>
  <c r="W22" i="6" s="1"/>
  <c r="S97" i="4"/>
  <c r="S113" i="4" s="1"/>
  <c r="W19" i="6" s="1"/>
  <c r="S112" i="4"/>
  <c r="W18" i="6" s="1"/>
  <c r="S102" i="4"/>
  <c r="S115" i="4"/>
  <c r="W21" i="6" s="1"/>
  <c r="S91" i="4"/>
  <c r="S92" i="4" s="1"/>
  <c r="S96" i="4" s="1"/>
  <c r="S12" i="4"/>
  <c r="S13" i="4" s="1"/>
  <c r="T17" i="4"/>
  <c r="DB19" i="4"/>
  <c r="DB22" i="4" s="1"/>
  <c r="CP21" i="4"/>
  <c r="DX19" i="4"/>
  <c r="DX22" i="4" s="1"/>
  <c r="DI19" i="4"/>
  <c r="DI22" i="4" s="1"/>
  <c r="DC18" i="4"/>
  <c r="DD18" i="4"/>
  <c r="W17" i="6" l="1"/>
  <c r="V16" i="6"/>
  <c r="Q49" i="4"/>
  <c r="Q50" i="4"/>
  <c r="Q51" i="4"/>
  <c r="Q52" i="4"/>
  <c r="Q53" i="4"/>
  <c r="Q54" i="4"/>
  <c r="Q55" i="4"/>
  <c r="Q70" i="4"/>
  <c r="Q69" i="4"/>
  <c r="Q28" i="4"/>
  <c r="Q41" i="4"/>
  <c r="Q34" i="4"/>
  <c r="Q39" i="4"/>
  <c r="Q57" i="4"/>
  <c r="P67" i="4"/>
  <c r="Q71" i="4"/>
  <c r="Q61" i="4"/>
  <c r="Q65" i="4"/>
  <c r="Q62" i="4"/>
  <c r="Q66" i="4"/>
  <c r="Q60" i="4"/>
  <c r="Q63" i="4"/>
  <c r="Q64" i="4"/>
  <c r="DX21" i="4"/>
  <c r="DA19" i="4"/>
  <c r="DA22" i="4" s="1"/>
  <c r="DB21" i="4"/>
  <c r="DO18" i="4" s="1"/>
  <c r="DG21" i="4"/>
  <c r="DT18" i="4" s="1"/>
  <c r="S95" i="4"/>
  <c r="S81" i="4" s="1"/>
  <c r="S15" i="4"/>
  <c r="S16" i="4" s="1"/>
  <c r="T5" i="4"/>
  <c r="S8" i="4"/>
  <c r="S9" i="4"/>
  <c r="S7" i="4"/>
  <c r="S6" i="4" s="1"/>
  <c r="EK18" i="4"/>
  <c r="CW19" i="4"/>
  <c r="CW22" i="4" s="1"/>
  <c r="DI21" i="4"/>
  <c r="DV18" i="4" s="1"/>
  <c r="CZ19" i="4"/>
  <c r="CZ22" i="4" s="1"/>
  <c r="R6" i="4"/>
  <c r="R127" i="4"/>
  <c r="R131" i="4"/>
  <c r="R128" i="4"/>
  <c r="R125" i="4"/>
  <c r="R27" i="4" s="1"/>
  <c r="R44" i="4" s="1"/>
  <c r="R129" i="4"/>
  <c r="R126" i="4"/>
  <c r="R130" i="4"/>
  <c r="DC19" i="4"/>
  <c r="DC22" i="4" s="1"/>
  <c r="S114" i="4"/>
  <c r="W20" i="6" s="1"/>
  <c r="S103" i="4"/>
  <c r="S107" i="4" s="1"/>
  <c r="DD19" i="4"/>
  <c r="DD22" i="4" s="1"/>
  <c r="DD21" i="4"/>
  <c r="DH18" i="4"/>
  <c r="DS18" i="4"/>
  <c r="R106" i="4"/>
  <c r="R82" i="4" s="1"/>
  <c r="DF21" i="4"/>
  <c r="DL18" i="4"/>
  <c r="T112" i="4"/>
  <c r="X18" i="6" s="1"/>
  <c r="T104" i="4"/>
  <c r="T108" i="4"/>
  <c r="T116" i="4" s="1"/>
  <c r="X22" i="6" s="1"/>
  <c r="T97" i="4"/>
  <c r="T113" i="4" s="1"/>
  <c r="X19" i="6" s="1"/>
  <c r="T102" i="4"/>
  <c r="T115" i="4"/>
  <c r="X21" i="6" s="1"/>
  <c r="T91" i="4"/>
  <c r="T92" i="4" s="1"/>
  <c r="T96" i="4" s="1"/>
  <c r="T12" i="4"/>
  <c r="T13" i="4" s="1"/>
  <c r="U17" i="4"/>
  <c r="CR21" i="4"/>
  <c r="W16" i="6" l="1"/>
  <c r="X17" i="6"/>
  <c r="Q67" i="4"/>
  <c r="Q56" i="4"/>
  <c r="CZ21" i="4"/>
  <c r="DM18" i="4" s="1"/>
  <c r="S106" i="4"/>
  <c r="S82" i="4" s="1"/>
  <c r="DQ18" i="4"/>
  <c r="DS19" i="4"/>
  <c r="DS22" i="4" s="1"/>
  <c r="DE18" i="4"/>
  <c r="DH19" i="4"/>
  <c r="DH22" i="4" s="1"/>
  <c r="DO19" i="4"/>
  <c r="DO22" i="4" s="1"/>
  <c r="DC21" i="4"/>
  <c r="DP18" i="4" s="1"/>
  <c r="T95" i="4"/>
  <c r="T81" i="4" s="1"/>
  <c r="T15" i="4"/>
  <c r="T16" i="4" s="1"/>
  <c r="T9" i="4"/>
  <c r="T8" i="4"/>
  <c r="U5" i="4"/>
  <c r="T7" i="4"/>
  <c r="S127" i="4"/>
  <c r="S131" i="4"/>
  <c r="S126" i="4"/>
  <c r="S128" i="4"/>
  <c r="S125" i="4"/>
  <c r="S27" i="4" s="1"/>
  <c r="S44" i="4" s="1"/>
  <c r="S129" i="4"/>
  <c r="S130" i="4"/>
  <c r="U104" i="4"/>
  <c r="U115" i="4"/>
  <c r="Y21" i="6" s="1"/>
  <c r="U97" i="4"/>
  <c r="U113" i="4" s="1"/>
  <c r="Y19" i="6" s="1"/>
  <c r="U102" i="4"/>
  <c r="U112" i="4"/>
  <c r="Y18" i="6" s="1"/>
  <c r="U108" i="4"/>
  <c r="U116" i="4" s="1"/>
  <c r="Y22" i="6" s="1"/>
  <c r="U91" i="4"/>
  <c r="U92" i="4" s="1"/>
  <c r="U96" i="4" s="1"/>
  <c r="U12" i="4"/>
  <c r="U13" i="4" s="1"/>
  <c r="V17" i="4"/>
  <c r="DT19" i="4"/>
  <c r="DT22" i="4" s="1"/>
  <c r="T114" i="4"/>
  <c r="X20" i="6" s="1"/>
  <c r="T103" i="4"/>
  <c r="T107" i="4" s="1"/>
  <c r="R70" i="4"/>
  <c r="R69" i="4"/>
  <c r="DL19" i="4"/>
  <c r="DL22" i="4" s="1"/>
  <c r="R55" i="4"/>
  <c r="R50" i="4"/>
  <c r="EK21" i="4"/>
  <c r="EK19" i="4"/>
  <c r="EK22" i="4" s="1"/>
  <c r="DV19" i="4"/>
  <c r="DV22" i="4" s="1"/>
  <c r="R57" i="4"/>
  <c r="R34" i="4"/>
  <c r="R28" i="4"/>
  <c r="R39" i="4"/>
  <c r="DA21" i="4"/>
  <c r="DN18" i="4" s="1"/>
  <c r="R61" i="4"/>
  <c r="R66" i="4"/>
  <c r="R60" i="4"/>
  <c r="R65" i="4"/>
  <c r="R64" i="4"/>
  <c r="R62" i="4"/>
  <c r="R63" i="4"/>
  <c r="R71" i="4"/>
  <c r="CW21" i="4"/>
  <c r="DJ18" i="4" s="1"/>
  <c r="Y17" i="6" l="1"/>
  <c r="X16" i="6"/>
  <c r="T6" i="4"/>
  <c r="DO21" i="4"/>
  <c r="EB18" i="4" s="1"/>
  <c r="DV21" i="4"/>
  <c r="DN19" i="4"/>
  <c r="DN22" i="4" s="1"/>
  <c r="DJ19" i="4"/>
  <c r="DJ22" i="4" s="1"/>
  <c r="DJ21" i="4"/>
  <c r="S61" i="4"/>
  <c r="S65" i="4"/>
  <c r="S66" i="4"/>
  <c r="S60" i="4"/>
  <c r="S71" i="4"/>
  <c r="S63" i="4"/>
  <c r="S64" i="4"/>
  <c r="S62" i="4"/>
  <c r="DE19" i="4"/>
  <c r="DE22" i="4" s="1"/>
  <c r="DH21" i="4"/>
  <c r="DT21" i="4"/>
  <c r="U114" i="4"/>
  <c r="Y20" i="6" s="1"/>
  <c r="U103" i="4"/>
  <c r="U107" i="4" s="1"/>
  <c r="U95" i="4"/>
  <c r="U81" i="4" s="1"/>
  <c r="U15" i="4"/>
  <c r="U16" i="4" s="1"/>
  <c r="V5" i="4"/>
  <c r="U7" i="4"/>
  <c r="U8" i="4"/>
  <c r="U9" i="4"/>
  <c r="DP19" i="4"/>
  <c r="DP22" i="4" s="1"/>
  <c r="EX18" i="4"/>
  <c r="DS21" i="4"/>
  <c r="EF18" i="4" s="1"/>
  <c r="T131" i="4"/>
  <c r="T126" i="4"/>
  <c r="T128" i="4"/>
  <c r="T125" i="4"/>
  <c r="T27" i="4" s="1"/>
  <c r="T44" i="4" s="1"/>
  <c r="T129" i="4"/>
  <c r="T130" i="4"/>
  <c r="T127" i="4"/>
  <c r="DQ19" i="4"/>
  <c r="DQ22" i="4" s="1"/>
  <c r="DQ21" i="4"/>
  <c r="S55" i="4"/>
  <c r="S50" i="4"/>
  <c r="DL21" i="4"/>
  <c r="DY18" i="4" s="1"/>
  <c r="EG18" i="4"/>
  <c r="S70" i="4"/>
  <c r="S69" i="4"/>
  <c r="T106" i="4"/>
  <c r="T82" i="4" s="1"/>
  <c r="DM19" i="4"/>
  <c r="DM22" i="4" s="1"/>
  <c r="R67" i="4"/>
  <c r="S57" i="4"/>
  <c r="S34" i="4"/>
  <c r="S28" i="4"/>
  <c r="S39" i="4"/>
  <c r="EI18" i="4"/>
  <c r="V115" i="4"/>
  <c r="Z21" i="6" s="1"/>
  <c r="V108" i="4"/>
  <c r="V116" i="4" s="1"/>
  <c r="Z22" i="6" s="1"/>
  <c r="V104" i="4"/>
  <c r="V102" i="4"/>
  <c r="V97" i="4"/>
  <c r="V113" i="4" s="1"/>
  <c r="Z19" i="6" s="1"/>
  <c r="V112" i="4"/>
  <c r="Z18" i="6" s="1"/>
  <c r="V91" i="4"/>
  <c r="V92" i="4" s="1"/>
  <c r="V96" i="4" s="1"/>
  <c r="W17" i="4"/>
  <c r="V12" i="4"/>
  <c r="V13" i="4" s="1"/>
  <c r="Y16" i="6" l="1"/>
  <c r="Z17" i="6"/>
  <c r="U6" i="4"/>
  <c r="U106" i="4"/>
  <c r="U82" i="4" s="1"/>
  <c r="DY19" i="4"/>
  <c r="DY22" i="4" s="1"/>
  <c r="T61" i="4"/>
  <c r="T60" i="4"/>
  <c r="T66" i="4"/>
  <c r="T65" i="4"/>
  <c r="T71" i="4"/>
  <c r="T62" i="4"/>
  <c r="T64" i="4"/>
  <c r="T63" i="4"/>
  <c r="T57" i="4"/>
  <c r="T34" i="4"/>
  <c r="T28" i="4"/>
  <c r="T39" i="4"/>
  <c r="W115" i="4"/>
  <c r="AA21" i="6" s="1"/>
  <c r="W112" i="4"/>
  <c r="AA18" i="6" s="1"/>
  <c r="W102" i="4"/>
  <c r="W108" i="4"/>
  <c r="W116" i="4" s="1"/>
  <c r="AA22" i="6" s="1"/>
  <c r="W91" i="4"/>
  <c r="W92" i="4" s="1"/>
  <c r="W96" i="4" s="1"/>
  <c r="W97" i="4"/>
  <c r="W113" i="4" s="1"/>
  <c r="AA19" i="6" s="1"/>
  <c r="W104" i="4"/>
  <c r="X17" i="4"/>
  <c r="W12" i="4"/>
  <c r="W13" i="4" s="1"/>
  <c r="S67" i="4"/>
  <c r="DM21" i="4"/>
  <c r="DZ18" i="4" s="1"/>
  <c r="EG19" i="4"/>
  <c r="EG22" i="4" s="1"/>
  <c r="EG21" i="4"/>
  <c r="T55" i="4"/>
  <c r="T50" i="4"/>
  <c r="T70" i="4"/>
  <c r="T69" i="4"/>
  <c r="EF19" i="4"/>
  <c r="EF22" i="4" s="1"/>
  <c r="EF21" i="4"/>
  <c r="DP21" i="4"/>
  <c r="EC18" i="4" s="1"/>
  <c r="EB19" i="4"/>
  <c r="EB22" i="4" s="1"/>
  <c r="V95" i="4"/>
  <c r="V81" i="4" s="1"/>
  <c r="V15" i="4"/>
  <c r="V16" i="4" s="1"/>
  <c r="W5" i="4"/>
  <c r="V9" i="4"/>
  <c r="V8" i="4"/>
  <c r="V7" i="4"/>
  <c r="U131" i="4"/>
  <c r="U126" i="4"/>
  <c r="U130" i="4"/>
  <c r="U125" i="4"/>
  <c r="U27" i="4" s="1"/>
  <c r="U44" i="4" s="1"/>
  <c r="U129" i="4"/>
  <c r="U127" i="4"/>
  <c r="U128" i="4"/>
  <c r="DE21" i="4"/>
  <c r="DR18" i="4" s="1"/>
  <c r="EI19" i="4"/>
  <c r="EI22" i="4" s="1"/>
  <c r="EX19" i="4"/>
  <c r="EX22" i="4" s="1"/>
  <c r="DU18" i="4"/>
  <c r="DW18" i="4"/>
  <c r="V103" i="4"/>
  <c r="V107" i="4" s="1"/>
  <c r="V114" i="4"/>
  <c r="Z20" i="6" s="1"/>
  <c r="ED18" i="4"/>
  <c r="DN21" i="4"/>
  <c r="EA18" i="4" s="1"/>
  <c r="Z16" i="6" l="1"/>
  <c r="AA17" i="6"/>
  <c r="V6" i="4"/>
  <c r="V106" i="4"/>
  <c r="V82" i="4" s="1"/>
  <c r="EI21" i="4"/>
  <c r="EB21" i="4"/>
  <c r="DR19" i="4"/>
  <c r="DR22" i="4" s="1"/>
  <c r="DR21" i="4"/>
  <c r="EC19" i="4"/>
  <c r="EC22" i="4" s="1"/>
  <c r="X115" i="4"/>
  <c r="AB21" i="6" s="1"/>
  <c r="X108" i="4"/>
  <c r="X116" i="4" s="1"/>
  <c r="AB22" i="6" s="1"/>
  <c r="X112" i="4"/>
  <c r="AB18" i="6" s="1"/>
  <c r="X102" i="4"/>
  <c r="X91" i="4"/>
  <c r="X92" i="4" s="1"/>
  <c r="X96" i="4" s="1"/>
  <c r="X97" i="4"/>
  <c r="X113" i="4" s="1"/>
  <c r="AB19" i="6" s="1"/>
  <c r="X104" i="4"/>
  <c r="X12" i="4"/>
  <c r="X13" i="4" s="1"/>
  <c r="Y17" i="4"/>
  <c r="U57" i="4"/>
  <c r="U34" i="4"/>
  <c r="U28" i="4"/>
  <c r="U39" i="4"/>
  <c r="DW19" i="4"/>
  <c r="DW22" i="4" s="1"/>
  <c r="U55" i="4"/>
  <c r="U50" i="4"/>
  <c r="EO18" i="4"/>
  <c r="W114" i="4"/>
  <c r="AA20" i="6" s="1"/>
  <c r="W103" i="4"/>
  <c r="W107" i="4" s="1"/>
  <c r="U61" i="4"/>
  <c r="U66" i="4"/>
  <c r="U65" i="4"/>
  <c r="U60" i="4"/>
  <c r="U64" i="4"/>
  <c r="U71" i="4"/>
  <c r="U63" i="4"/>
  <c r="U62" i="4"/>
  <c r="DU19" i="4"/>
  <c r="DU22" i="4" s="1"/>
  <c r="ET18" i="4"/>
  <c r="T67" i="4"/>
  <c r="V126" i="4"/>
  <c r="V130" i="4"/>
  <c r="V125" i="4"/>
  <c r="V27" i="4" s="1"/>
  <c r="V44" i="4" s="1"/>
  <c r="V129" i="4"/>
  <c r="V128" i="4"/>
  <c r="V131" i="4"/>
  <c r="V127" i="4"/>
  <c r="EA19" i="4"/>
  <c r="EA22" i="4" s="1"/>
  <c r="U70" i="4"/>
  <c r="U69" i="4"/>
  <c r="EX21" i="4"/>
  <c r="FK18" i="4" s="1"/>
  <c r="ES18" i="4"/>
  <c r="DZ19" i="4"/>
  <c r="DZ22" i="4" s="1"/>
  <c r="DZ21" i="4"/>
  <c r="ED19" i="4"/>
  <c r="ED22" i="4" s="1"/>
  <c r="EV18" i="4"/>
  <c r="W95" i="4"/>
  <c r="W81" i="4" s="1"/>
  <c r="W15" i="4"/>
  <c r="W16" i="4" s="1"/>
  <c r="X5" i="4"/>
  <c r="W9" i="4"/>
  <c r="W8" i="4"/>
  <c r="W7" i="4"/>
  <c r="DY21" i="4"/>
  <c r="W6" i="4" l="1"/>
  <c r="AA16" i="6"/>
  <c r="AB17" i="6"/>
  <c r="EC21" i="4"/>
  <c r="EP18" i="4" s="1"/>
  <c r="W106" i="4"/>
  <c r="W82" i="4" s="1"/>
  <c r="FK19" i="4"/>
  <c r="FK22" i="4" s="1"/>
  <c r="FK21" i="4"/>
  <c r="ES19" i="4"/>
  <c r="ES22" i="4" s="1"/>
  <c r="EL18" i="4"/>
  <c r="X114" i="4"/>
  <c r="AB20" i="6" s="1"/>
  <c r="X103" i="4"/>
  <c r="X107" i="4" s="1"/>
  <c r="EA21" i="4"/>
  <c r="EN18" i="4" s="1"/>
  <c r="DU21" i="4"/>
  <c r="EH18" i="4" s="1"/>
  <c r="V55" i="4"/>
  <c r="V50" i="4"/>
  <c r="EV19" i="4"/>
  <c r="EV22" i="4" s="1"/>
  <c r="DW21" i="4"/>
  <c r="EO19" i="4"/>
  <c r="EO22" i="4" s="1"/>
  <c r="V65" i="4"/>
  <c r="V60" i="4"/>
  <c r="V61" i="4"/>
  <c r="V66" i="4"/>
  <c r="V64" i="4"/>
  <c r="V63" i="4"/>
  <c r="V71" i="4"/>
  <c r="V62" i="4"/>
  <c r="V70" i="4"/>
  <c r="V69" i="4"/>
  <c r="ET19" i="4"/>
  <c r="ET22" i="4" s="1"/>
  <c r="ET21" i="4"/>
  <c r="X95" i="4"/>
  <c r="X81" i="4" s="1"/>
  <c r="X15" i="4"/>
  <c r="X16" i="4" s="1"/>
  <c r="Y5" i="4"/>
  <c r="X9" i="4"/>
  <c r="X8" i="4"/>
  <c r="X7" i="4"/>
  <c r="X6" i="4" s="1"/>
  <c r="EJ18" i="4"/>
  <c r="W130" i="4"/>
  <c r="W125" i="4"/>
  <c r="W27" i="4" s="1"/>
  <c r="W44" i="4" s="1"/>
  <c r="W129" i="4"/>
  <c r="W126" i="4"/>
  <c r="W128" i="4"/>
  <c r="W127" i="4"/>
  <c r="W131" i="4"/>
  <c r="EM18" i="4"/>
  <c r="ED21" i="4"/>
  <c r="EQ18" i="4" s="1"/>
  <c r="V57" i="4"/>
  <c r="V34" i="4"/>
  <c r="V28" i="4"/>
  <c r="V39" i="4"/>
  <c r="U67" i="4"/>
  <c r="Y115" i="4"/>
  <c r="AC21" i="6" s="1"/>
  <c r="Y112" i="4"/>
  <c r="AC18" i="6" s="1"/>
  <c r="Y108" i="4"/>
  <c r="Y116" i="4" s="1"/>
  <c r="AC22" i="6" s="1"/>
  <c r="Y102" i="4"/>
  <c r="Y104" i="4"/>
  <c r="Y97" i="4"/>
  <c r="Y113" i="4" s="1"/>
  <c r="AC19" i="6" s="1"/>
  <c r="Y91" i="4"/>
  <c r="Y92" i="4" s="1"/>
  <c r="Y96" i="4" s="1"/>
  <c r="Z17" i="4"/>
  <c r="Y12" i="4"/>
  <c r="Y13" i="4" s="1"/>
  <c r="EE18" i="4"/>
  <c r="AB16" i="6" l="1"/>
  <c r="AC17" i="6"/>
  <c r="EV21" i="4"/>
  <c r="V67" i="4"/>
  <c r="EQ19" i="4"/>
  <c r="EQ22" i="4" s="1"/>
  <c r="EH19" i="4"/>
  <c r="EH22" i="4" s="1"/>
  <c r="Y95" i="4"/>
  <c r="Y81" i="4" s="1"/>
  <c r="Y15" i="4"/>
  <c r="Y16" i="4" s="1"/>
  <c r="Z5" i="4"/>
  <c r="Y9" i="4"/>
  <c r="Y8" i="4"/>
  <c r="Y7" i="4"/>
  <c r="Y6" i="4" s="1"/>
  <c r="EL19" i="4"/>
  <c r="EL22" i="4" s="1"/>
  <c r="X130" i="4"/>
  <c r="X125" i="4"/>
  <c r="X27" i="4" s="1"/>
  <c r="X129" i="4"/>
  <c r="X126" i="4"/>
  <c r="X128" i="4"/>
  <c r="X127" i="4"/>
  <c r="X131" i="4"/>
  <c r="ES21" i="4"/>
  <c r="Y114" i="4"/>
  <c r="AC20" i="6" s="1"/>
  <c r="Y103" i="4"/>
  <c r="Y107" i="4" s="1"/>
  <c r="EJ19" i="4"/>
  <c r="EJ22" i="4" s="1"/>
  <c r="EE19" i="4"/>
  <c r="EE22" i="4" s="1"/>
  <c r="EM19" i="4"/>
  <c r="EM22" i="4" s="1"/>
  <c r="W66" i="4"/>
  <c r="W65" i="4"/>
  <c r="W61" i="4"/>
  <c r="W60" i="4"/>
  <c r="W63" i="4"/>
  <c r="W64" i="4"/>
  <c r="W62" i="4"/>
  <c r="W71" i="4"/>
  <c r="EP19" i="4"/>
  <c r="EP22" i="4" s="1"/>
  <c r="FF18" i="4"/>
  <c r="Z115" i="4"/>
  <c r="AD21" i="6" s="1"/>
  <c r="Z108" i="4"/>
  <c r="Z116" i="4" s="1"/>
  <c r="AD22" i="6" s="1"/>
  <c r="Z102" i="4"/>
  <c r="Z97" i="4"/>
  <c r="Z113" i="4" s="1"/>
  <c r="AD19" i="6" s="1"/>
  <c r="Z104" i="4"/>
  <c r="Z91" i="4"/>
  <c r="Z92" i="4" s="1"/>
  <c r="Z96" i="4" s="1"/>
  <c r="Z112" i="4"/>
  <c r="AD18" i="6" s="1"/>
  <c r="Z12" i="4"/>
  <c r="Z13" i="4" s="1"/>
  <c r="AA17" i="4"/>
  <c r="X106" i="4"/>
  <c r="X82" i="4" s="1"/>
  <c r="EO21" i="4"/>
  <c r="W55" i="4"/>
  <c r="W50" i="4"/>
  <c r="EN19" i="4"/>
  <c r="EN22" i="4" s="1"/>
  <c r="FG18" i="4"/>
  <c r="W57" i="4"/>
  <c r="W34" i="4"/>
  <c r="W28" i="4"/>
  <c r="W39" i="4"/>
  <c r="W70" i="4"/>
  <c r="W69" i="4"/>
  <c r="FI18" i="4"/>
  <c r="AC16" i="6" l="1"/>
  <c r="AD17" i="6"/>
  <c r="EM21" i="4"/>
  <c r="Y106" i="4"/>
  <c r="Y82" i="4" s="1"/>
  <c r="X70" i="4"/>
  <c r="X69" i="4"/>
  <c r="X57" i="4"/>
  <c r="X34" i="4"/>
  <c r="X28" i="4"/>
  <c r="X39" i="4"/>
  <c r="EH21" i="4"/>
  <c r="EL21" i="4"/>
  <c r="EQ21" i="4"/>
  <c r="EJ21" i="4"/>
  <c r="EW18" i="4" s="1"/>
  <c r="FG19" i="4"/>
  <c r="FG22" i="4" s="1"/>
  <c r="FI19" i="4"/>
  <c r="FI22" i="4" s="1"/>
  <c r="EZ18" i="4"/>
  <c r="W67" i="4"/>
  <c r="X61" i="4"/>
  <c r="X66" i="4"/>
  <c r="X65" i="4"/>
  <c r="X60" i="4"/>
  <c r="X64" i="4"/>
  <c r="X71" i="4"/>
  <c r="X62" i="4"/>
  <c r="X63" i="4"/>
  <c r="AA115" i="4"/>
  <c r="AE21" i="6" s="1"/>
  <c r="AA112" i="4"/>
  <c r="AE18" i="6" s="1"/>
  <c r="AA108" i="4"/>
  <c r="AA116" i="4" s="1"/>
  <c r="AE22" i="6" s="1"/>
  <c r="AA97" i="4"/>
  <c r="AA113" i="4" s="1"/>
  <c r="AE19" i="6" s="1"/>
  <c r="AA102" i="4"/>
  <c r="AA104" i="4"/>
  <c r="AA91" i="4"/>
  <c r="AA92" i="4" s="1"/>
  <c r="AA96" i="4" s="1"/>
  <c r="AA12" i="4"/>
  <c r="AA13" i="4" s="1"/>
  <c r="AB17" i="4"/>
  <c r="EP21" i="4"/>
  <c r="FC18" i="4" s="1"/>
  <c r="EE21" i="4"/>
  <c r="ER18" i="4" s="1"/>
  <c r="EU18" i="4"/>
  <c r="FF19" i="4"/>
  <c r="FF22" i="4" s="1"/>
  <c r="FB18" i="4"/>
  <c r="X55" i="4"/>
  <c r="X50" i="4"/>
  <c r="Z95" i="4"/>
  <c r="Z81" i="4" s="1"/>
  <c r="Z15" i="4"/>
  <c r="Z16" i="4" s="1"/>
  <c r="AA5" i="4"/>
  <c r="Z9" i="4"/>
  <c r="Z8" i="4"/>
  <c r="Z7" i="4"/>
  <c r="Z6" i="4" s="1"/>
  <c r="Z114" i="4"/>
  <c r="AD20" i="6" s="1"/>
  <c r="Z103" i="4"/>
  <c r="Z107" i="4" s="1"/>
  <c r="EN21" i="4"/>
  <c r="FA18" i="4" s="1"/>
  <c r="Y125" i="4"/>
  <c r="Y27" i="4" s="1"/>
  <c r="Y129" i="4"/>
  <c r="Y126" i="4"/>
  <c r="Y130" i="4"/>
  <c r="Y127" i="4"/>
  <c r="Y128" i="4"/>
  <c r="Y131" i="4"/>
  <c r="AD16" i="6" l="1"/>
  <c r="AE17" i="6"/>
  <c r="Z106" i="4"/>
  <c r="Z82" i="4" s="1"/>
  <c r="FA19" i="4"/>
  <c r="FA22" i="4" s="1"/>
  <c r="Y61" i="4"/>
  <c r="Y60" i="4"/>
  <c r="Y65" i="4"/>
  <c r="Y66" i="4"/>
  <c r="Y71" i="4"/>
  <c r="Y62" i="4"/>
  <c r="Y64" i="4"/>
  <c r="Y63" i="4"/>
  <c r="AB115" i="4"/>
  <c r="AF21" i="6" s="1"/>
  <c r="AB108" i="4"/>
  <c r="AB116" i="4" s="1"/>
  <c r="AF22" i="6" s="1"/>
  <c r="AB97" i="4"/>
  <c r="AB113" i="4" s="1"/>
  <c r="AF19" i="6" s="1"/>
  <c r="AB112" i="4"/>
  <c r="AF18" i="6" s="1"/>
  <c r="AB102" i="4"/>
  <c r="AB104" i="4"/>
  <c r="AB91" i="4"/>
  <c r="AB92" i="4" s="1"/>
  <c r="AB96" i="4" s="1"/>
  <c r="AB12" i="4"/>
  <c r="AB13" i="4" s="1"/>
  <c r="AC17" i="4"/>
  <c r="FI21" i="4"/>
  <c r="EW19" i="4"/>
  <c r="EW22" i="4" s="1"/>
  <c r="ER19" i="4"/>
  <c r="ER22" i="4" s="1"/>
  <c r="FF21" i="4"/>
  <c r="FD18" i="4"/>
  <c r="X67" i="4"/>
  <c r="FG21" i="4"/>
  <c r="EY18" i="4"/>
  <c r="FC19" i="4"/>
  <c r="FC22" i="4" s="1"/>
  <c r="Y70" i="4"/>
  <c r="Y69" i="4"/>
  <c r="AA95" i="4"/>
  <c r="AA81" i="4" s="1"/>
  <c r="AA15" i="4"/>
  <c r="AA16" i="4" s="1"/>
  <c r="AA9" i="4"/>
  <c r="AB5" i="4"/>
  <c r="AA8" i="4"/>
  <c r="AA7" i="4"/>
  <c r="EU19" i="4"/>
  <c r="EU22" i="4" s="1"/>
  <c r="Z129" i="4"/>
  <c r="Z126" i="4"/>
  <c r="Z130" i="4"/>
  <c r="Z127" i="4"/>
  <c r="Z128" i="4"/>
  <c r="Z131" i="4"/>
  <c r="Z125" i="4"/>
  <c r="Z27" i="4" s="1"/>
  <c r="EZ19" i="4"/>
  <c r="EZ22" i="4" s="1"/>
  <c r="Y55" i="4"/>
  <c r="Y50" i="4"/>
  <c r="Y57" i="4"/>
  <c r="Y34" i="4"/>
  <c r="Y28" i="4"/>
  <c r="Y39" i="4"/>
  <c r="FB19" i="4"/>
  <c r="FB22" i="4" s="1"/>
  <c r="AA114" i="4"/>
  <c r="AE20" i="6" s="1"/>
  <c r="AA103" i="4"/>
  <c r="AA107" i="4" s="1"/>
  <c r="AE16" i="6" l="1"/>
  <c r="AF17" i="6"/>
  <c r="AA6" i="4"/>
  <c r="FB21" i="4"/>
  <c r="FO18" i="4" s="1"/>
  <c r="EZ21" i="4"/>
  <c r="FD19" i="4"/>
  <c r="FD22" i="4" s="1"/>
  <c r="FS18" i="4"/>
  <c r="EW21" i="4"/>
  <c r="FJ18" i="4" s="1"/>
  <c r="ER21" i="4"/>
  <c r="Z61" i="4"/>
  <c r="Z66" i="4"/>
  <c r="Z60" i="4"/>
  <c r="Z65" i="4"/>
  <c r="Z62" i="4"/>
  <c r="Z64" i="4"/>
  <c r="Z71" i="4"/>
  <c r="Z63" i="4"/>
  <c r="AA106" i="4"/>
  <c r="AA82" i="4" s="1"/>
  <c r="Z57" i="4"/>
  <c r="Z34" i="4"/>
  <c r="Z28" i="4"/>
  <c r="Z39" i="4"/>
  <c r="Z70" i="4"/>
  <c r="Z69" i="4"/>
  <c r="AC108" i="4"/>
  <c r="AC116" i="4" s="1"/>
  <c r="AG22" i="6" s="1"/>
  <c r="AC115" i="4"/>
  <c r="AG21" i="6" s="1"/>
  <c r="AC112" i="4"/>
  <c r="AG18" i="6" s="1"/>
  <c r="AC104" i="4"/>
  <c r="AC91" i="4"/>
  <c r="AC92" i="4" s="1"/>
  <c r="AC96" i="4" s="1"/>
  <c r="AC102" i="4"/>
  <c r="AC97" i="4"/>
  <c r="AC113" i="4" s="1"/>
  <c r="AG19" i="6" s="1"/>
  <c r="AC12" i="4"/>
  <c r="AC13" i="4" s="1"/>
  <c r="AD17" i="4"/>
  <c r="AB95" i="4"/>
  <c r="AB81" i="4" s="1"/>
  <c r="AB15" i="4"/>
  <c r="AB16" i="4" s="1"/>
  <c r="AC5" i="4"/>
  <c r="AB8" i="4"/>
  <c r="AB9" i="4"/>
  <c r="AB7" i="4"/>
  <c r="Z55" i="4"/>
  <c r="Z50" i="4"/>
  <c r="FA21" i="4"/>
  <c r="AB114" i="4"/>
  <c r="AF20" i="6" s="1"/>
  <c r="AB103" i="4"/>
  <c r="AB107" i="4" s="1"/>
  <c r="FE18" i="4"/>
  <c r="AA129" i="4"/>
  <c r="AA128" i="4"/>
  <c r="AA126" i="4"/>
  <c r="AA130" i="4"/>
  <c r="AA127" i="4"/>
  <c r="AA131" i="4"/>
  <c r="AA125" i="4"/>
  <c r="AA27" i="4" s="1"/>
  <c r="FC21" i="4"/>
  <c r="FP18" i="4" s="1"/>
  <c r="Y67" i="4"/>
  <c r="FM18" i="4"/>
  <c r="EU21" i="4"/>
  <c r="FH18" i="4" s="1"/>
  <c r="EY19" i="4"/>
  <c r="EY22" i="4" s="1"/>
  <c r="AB6" i="4" l="1"/>
  <c r="AG17" i="6"/>
  <c r="AF16" i="6"/>
  <c r="FP19" i="4"/>
  <c r="FP22" i="4" s="1"/>
  <c r="FJ19" i="4"/>
  <c r="FJ22" i="4" s="1"/>
  <c r="FO19" i="4"/>
  <c r="FO22" i="4" s="1"/>
  <c r="FO21" i="4"/>
  <c r="AB106" i="4"/>
  <c r="AB82" i="4" s="1"/>
  <c r="AC114" i="4"/>
  <c r="AG20" i="6" s="1"/>
  <c r="AC103" i="4"/>
  <c r="AC107" i="4" s="1"/>
  <c r="FD21" i="4"/>
  <c r="AA57" i="4"/>
  <c r="AA34" i="4"/>
  <c r="AA28" i="4"/>
  <c r="AA39" i="4"/>
  <c r="Z67" i="4"/>
  <c r="AB128" i="4"/>
  <c r="AB126" i="4"/>
  <c r="AB130" i="4"/>
  <c r="AB127" i="4"/>
  <c r="AB131" i="4"/>
  <c r="AB129" i="4"/>
  <c r="AB125" i="4"/>
  <c r="AB27" i="4" s="1"/>
  <c r="FH19" i="4"/>
  <c r="FH22" i="4" s="1"/>
  <c r="FH21" i="4"/>
  <c r="AA65" i="4"/>
  <c r="AA60" i="4"/>
  <c r="AA61" i="4"/>
  <c r="AA66" i="4"/>
  <c r="AA71" i="4"/>
  <c r="AA62" i="4"/>
  <c r="AA64" i="4"/>
  <c r="AA63" i="4"/>
  <c r="FN18" i="4"/>
  <c r="FS19" i="4"/>
  <c r="FS22" i="4" s="1"/>
  <c r="EY21" i="4"/>
  <c r="AA70" i="4"/>
  <c r="AA69" i="4"/>
  <c r="FE19" i="4"/>
  <c r="FE22" i="4" s="1"/>
  <c r="FL18" i="4"/>
  <c r="AA55" i="4"/>
  <c r="AA50" i="4"/>
  <c r="AC95" i="4"/>
  <c r="AC81" i="4" s="1"/>
  <c r="AC15" i="4"/>
  <c r="AC16" i="4" s="1"/>
  <c r="AC8" i="4"/>
  <c r="AC9" i="4"/>
  <c r="AC7" i="4"/>
  <c r="AD5" i="4"/>
  <c r="FM19" i="4"/>
  <c r="FM22" i="4" s="1"/>
  <c r="FM21" i="4"/>
  <c r="AD108" i="4"/>
  <c r="AD116" i="4" s="1"/>
  <c r="AH22" i="6" s="1"/>
  <c r="AD97" i="4"/>
  <c r="AD113" i="4" s="1"/>
  <c r="AH19" i="6" s="1"/>
  <c r="AD115" i="4"/>
  <c r="AH21" i="6" s="1"/>
  <c r="AD112" i="4"/>
  <c r="AH18" i="6" s="1"/>
  <c r="AD91" i="4"/>
  <c r="AD92" i="4" s="1"/>
  <c r="AD96" i="4" s="1"/>
  <c r="AD102" i="4"/>
  <c r="AD104" i="4"/>
  <c r="AD12" i="4"/>
  <c r="AD13" i="4" s="1"/>
  <c r="AE17" i="4"/>
  <c r="AG16" i="6" l="1"/>
  <c r="AH17" i="6"/>
  <c r="AC6" i="4"/>
  <c r="FS21" i="4"/>
  <c r="FP21" i="4"/>
  <c r="AC106" i="4"/>
  <c r="AC82" i="4" s="1"/>
  <c r="AB57" i="4"/>
  <c r="AB34" i="4"/>
  <c r="AB28" i="4"/>
  <c r="AB39" i="4"/>
  <c r="AE108" i="4"/>
  <c r="AE116" i="4" s="1"/>
  <c r="AI22" i="6" s="1"/>
  <c r="AE115" i="4"/>
  <c r="AI21" i="6" s="1"/>
  <c r="AE112" i="4"/>
  <c r="AI18" i="6" s="1"/>
  <c r="AE104" i="4"/>
  <c r="AE102" i="4"/>
  <c r="AE91" i="4"/>
  <c r="AE92" i="4" s="1"/>
  <c r="AE96" i="4" s="1"/>
  <c r="AE97" i="4"/>
  <c r="AE113" i="4" s="1"/>
  <c r="AI19" i="6" s="1"/>
  <c r="AE12" i="4"/>
  <c r="AE13" i="4" s="1"/>
  <c r="AF17" i="4"/>
  <c r="FL19" i="4"/>
  <c r="FL22" i="4" s="1"/>
  <c r="AB61" i="4"/>
  <c r="AB66" i="4"/>
  <c r="AB65" i="4"/>
  <c r="AB60" i="4"/>
  <c r="AB63" i="4"/>
  <c r="AB71" i="4"/>
  <c r="AB64" i="4"/>
  <c r="AB62" i="4"/>
  <c r="AB55" i="4"/>
  <c r="AB50" i="4"/>
  <c r="FN19" i="4"/>
  <c r="FN22" i="4" s="1"/>
  <c r="AC128" i="4"/>
  <c r="AC130" i="4"/>
  <c r="AC127" i="4"/>
  <c r="AC131" i="4"/>
  <c r="AC129" i="4"/>
  <c r="AC125" i="4"/>
  <c r="AC27" i="4" s="1"/>
  <c r="AC126" i="4"/>
  <c r="FE21" i="4"/>
  <c r="AB70" i="4"/>
  <c r="AB69" i="4"/>
  <c r="FQ18" i="4"/>
  <c r="FR18" i="4"/>
  <c r="FJ21" i="4"/>
  <c r="AD95" i="4"/>
  <c r="AD81" i="4" s="1"/>
  <c r="AD9" i="4"/>
  <c r="AD7" i="4"/>
  <c r="AD8" i="4"/>
  <c r="AE5" i="4"/>
  <c r="AD15" i="4"/>
  <c r="AD16" i="4" s="1"/>
  <c r="AD114" i="4"/>
  <c r="AH20" i="6" s="1"/>
  <c r="AD103" i="4"/>
  <c r="AD107" i="4" s="1"/>
  <c r="AA67" i="4"/>
  <c r="AH16" i="6" l="1"/>
  <c r="AI17" i="6"/>
  <c r="FN21" i="4"/>
  <c r="AD106" i="4"/>
  <c r="AD82" i="4" s="1"/>
  <c r="FL21" i="4"/>
  <c r="AC55" i="4"/>
  <c r="AC50" i="4"/>
  <c r="AD6" i="4"/>
  <c r="AE95" i="4"/>
  <c r="AE81" i="4" s="1"/>
  <c r="AE7" i="4"/>
  <c r="AF5" i="4"/>
  <c r="AE8" i="4"/>
  <c r="AE15" i="4"/>
  <c r="AE16" i="4" s="1"/>
  <c r="AE9" i="4"/>
  <c r="AC57" i="4"/>
  <c r="AC34" i="4"/>
  <c r="AC28" i="4"/>
  <c r="AC39" i="4"/>
  <c r="AC70" i="4"/>
  <c r="AC69" i="4"/>
  <c r="FQ19" i="4"/>
  <c r="FQ22" i="4" s="1"/>
  <c r="FQ21" i="4"/>
  <c r="AF115" i="4"/>
  <c r="AJ21" i="6" s="1"/>
  <c r="AF112" i="4"/>
  <c r="AJ18" i="6" s="1"/>
  <c r="AF104" i="4"/>
  <c r="AF108" i="4"/>
  <c r="AF116" i="4" s="1"/>
  <c r="AJ22" i="6" s="1"/>
  <c r="AF102" i="4"/>
  <c r="AF91" i="4"/>
  <c r="AF92" i="4" s="1"/>
  <c r="AF96" i="4" s="1"/>
  <c r="AF97" i="4"/>
  <c r="AF113" i="4" s="1"/>
  <c r="AJ19" i="6" s="1"/>
  <c r="AF12" i="4"/>
  <c r="AF13" i="4" s="1"/>
  <c r="AG17" i="4"/>
  <c r="AE114" i="4"/>
  <c r="AI20" i="6" s="1"/>
  <c r="AE103" i="4"/>
  <c r="AE107" i="4" s="1"/>
  <c r="AC61" i="4"/>
  <c r="AC65" i="4"/>
  <c r="AC60" i="4"/>
  <c r="AC66" i="4"/>
  <c r="AC62" i="4"/>
  <c r="AC63" i="4"/>
  <c r="AC71" i="4"/>
  <c r="AC64" i="4"/>
  <c r="AB67" i="4"/>
  <c r="FR19" i="4"/>
  <c r="FR22" i="4" s="1"/>
  <c r="AD128" i="4"/>
  <c r="AD127" i="4"/>
  <c r="AD130" i="4"/>
  <c r="AD131" i="4"/>
  <c r="AD129" i="4"/>
  <c r="AD125" i="4"/>
  <c r="AD27" i="4" s="1"/>
  <c r="AD126" i="4"/>
  <c r="AJ17" i="6" l="1"/>
  <c r="AI16" i="6"/>
  <c r="AE106" i="4"/>
  <c r="AE82" i="4" s="1"/>
  <c r="AD57" i="4"/>
  <c r="AD34" i="4"/>
  <c r="AD28" i="4"/>
  <c r="AD39" i="4"/>
  <c r="AD65" i="4"/>
  <c r="AD60" i="4"/>
  <c r="AD61" i="4"/>
  <c r="AD66" i="4"/>
  <c r="AD64" i="4"/>
  <c r="AD62" i="4"/>
  <c r="AD71" i="4"/>
  <c r="AD63" i="4"/>
  <c r="FR21" i="4"/>
  <c r="AG115" i="4"/>
  <c r="AK21" i="6" s="1"/>
  <c r="AG112" i="4"/>
  <c r="AK18" i="6" s="1"/>
  <c r="AG104" i="4"/>
  <c r="AG108" i="4"/>
  <c r="AG116" i="4" s="1"/>
  <c r="AK22" i="6" s="1"/>
  <c r="AG102" i="4"/>
  <c r="AG91" i="4"/>
  <c r="AG92" i="4" s="1"/>
  <c r="AG96" i="4" s="1"/>
  <c r="AG97" i="4"/>
  <c r="AG113" i="4" s="1"/>
  <c r="AK19" i="6" s="1"/>
  <c r="AG12" i="4"/>
  <c r="AG13" i="4" s="1"/>
  <c r="AH17" i="4"/>
  <c r="AF114" i="4"/>
  <c r="AJ20" i="6" s="1"/>
  <c r="AF103" i="4"/>
  <c r="AF107" i="4" s="1"/>
  <c r="AE127" i="4"/>
  <c r="AE131" i="4"/>
  <c r="AE129" i="4"/>
  <c r="AE125" i="4"/>
  <c r="AE27" i="4" s="1"/>
  <c r="AE126" i="4"/>
  <c r="AE128" i="4"/>
  <c r="AE130" i="4"/>
  <c r="AD70" i="4"/>
  <c r="AD69" i="4"/>
  <c r="AF95" i="4"/>
  <c r="AF81" i="4" s="1"/>
  <c r="AF15" i="4"/>
  <c r="AF16" i="4" s="1"/>
  <c r="AF7" i="4"/>
  <c r="AF8" i="4"/>
  <c r="AG5" i="4"/>
  <c r="AF9" i="4"/>
  <c r="AC67" i="4"/>
  <c r="AD55" i="4"/>
  <c r="AD50" i="4"/>
  <c r="AE6" i="4"/>
  <c r="AK17" i="6" l="1"/>
  <c r="AJ16" i="6"/>
  <c r="AF106" i="4"/>
  <c r="AF82" i="4" s="1"/>
  <c r="AD67" i="4"/>
  <c r="AE66" i="4"/>
  <c r="AE61" i="4"/>
  <c r="AE65" i="4"/>
  <c r="AE60" i="4"/>
  <c r="AE71" i="4"/>
  <c r="AE62" i="4"/>
  <c r="AE64" i="4"/>
  <c r="AE63" i="4"/>
  <c r="AH112" i="4"/>
  <c r="AL18" i="6" s="1"/>
  <c r="AH115" i="4"/>
  <c r="AL21" i="6" s="1"/>
  <c r="AH104" i="4"/>
  <c r="AH108" i="4"/>
  <c r="AH116" i="4" s="1"/>
  <c r="AL22" i="6" s="1"/>
  <c r="AH102" i="4"/>
  <c r="AH91" i="4"/>
  <c r="AH92" i="4" s="1"/>
  <c r="AH96" i="4" s="1"/>
  <c r="AH97" i="4"/>
  <c r="AH113" i="4" s="1"/>
  <c r="AL19" i="6" s="1"/>
  <c r="AH12" i="4"/>
  <c r="AH13" i="4" s="1"/>
  <c r="AI17" i="4"/>
  <c r="AG95" i="4"/>
  <c r="AG81" i="4" s="1"/>
  <c r="AH5" i="4"/>
  <c r="AG15" i="4"/>
  <c r="AG16" i="4" s="1"/>
  <c r="AG9" i="4"/>
  <c r="AG7" i="4"/>
  <c r="AG8" i="4"/>
  <c r="AE70" i="4"/>
  <c r="AE69" i="4"/>
  <c r="AF6" i="4"/>
  <c r="AG114" i="4"/>
  <c r="AK20" i="6" s="1"/>
  <c r="AG103" i="4"/>
  <c r="AG107" i="4" s="1"/>
  <c r="AF127" i="4"/>
  <c r="AF131" i="4"/>
  <c r="AF128" i="4"/>
  <c r="AF129" i="4"/>
  <c r="AF125" i="4"/>
  <c r="AF27" i="4" s="1"/>
  <c r="AF126" i="4"/>
  <c r="AF130" i="4"/>
  <c r="AE55" i="4"/>
  <c r="AE50" i="4"/>
  <c r="AE57" i="4"/>
  <c r="AE34" i="4"/>
  <c r="AE28" i="4"/>
  <c r="AE39" i="4"/>
  <c r="AK16" i="6" l="1"/>
  <c r="AL17" i="6"/>
  <c r="AG106" i="4"/>
  <c r="AG82" i="4" s="1"/>
  <c r="AE67" i="4"/>
  <c r="AH95" i="4"/>
  <c r="AH81" i="4" s="1"/>
  <c r="AH15" i="4"/>
  <c r="AH16" i="4" s="1"/>
  <c r="AH8" i="4"/>
  <c r="AI5" i="4"/>
  <c r="AH7" i="4"/>
  <c r="AH9" i="4"/>
  <c r="AI115" i="4"/>
  <c r="AM21" i="6" s="1"/>
  <c r="AI104" i="4"/>
  <c r="AI112" i="4"/>
  <c r="AM18" i="6" s="1"/>
  <c r="AI102" i="4"/>
  <c r="AI91" i="4"/>
  <c r="AI92" i="4" s="1"/>
  <c r="AI96" i="4" s="1"/>
  <c r="AI97" i="4"/>
  <c r="AI113" i="4" s="1"/>
  <c r="AM19" i="6" s="1"/>
  <c r="AI108" i="4"/>
  <c r="AI116" i="4" s="1"/>
  <c r="AM22" i="6" s="1"/>
  <c r="AI12" i="4"/>
  <c r="AI13" i="4" s="1"/>
  <c r="AJ17" i="4"/>
  <c r="AF70" i="4"/>
  <c r="AF69" i="4"/>
  <c r="AF55" i="4"/>
  <c r="AF50" i="4"/>
  <c r="AF57" i="4"/>
  <c r="AF28" i="4"/>
  <c r="AF34" i="4"/>
  <c r="AF39" i="4"/>
  <c r="AH103" i="4"/>
  <c r="AH107" i="4" s="1"/>
  <c r="AH114" i="4"/>
  <c r="AL20" i="6" s="1"/>
  <c r="AG6" i="4"/>
  <c r="AF60" i="4"/>
  <c r="AF66" i="4"/>
  <c r="AF61" i="4"/>
  <c r="AF65" i="4"/>
  <c r="AF64" i="4"/>
  <c r="AF62" i="4"/>
  <c r="AF71" i="4"/>
  <c r="AF63" i="4"/>
  <c r="AG127" i="4"/>
  <c r="AG131" i="4"/>
  <c r="AG126" i="4"/>
  <c r="AG128" i="4"/>
  <c r="AG125" i="4"/>
  <c r="AG27" i="4" s="1"/>
  <c r="AG129" i="4"/>
  <c r="AG130" i="4"/>
  <c r="AL16" i="6" l="1"/>
  <c r="AM17" i="6"/>
  <c r="AH6" i="4"/>
  <c r="AF67" i="4"/>
  <c r="AI95" i="4"/>
  <c r="AI81" i="4" s="1"/>
  <c r="AJ5" i="4"/>
  <c r="AI9" i="4"/>
  <c r="AI7" i="4"/>
  <c r="AI15" i="4"/>
  <c r="AI16" i="4" s="1"/>
  <c r="AI8" i="4"/>
  <c r="AH131" i="4"/>
  <c r="AH126" i="4"/>
  <c r="AH127" i="4"/>
  <c r="AH128" i="4"/>
  <c r="AH129" i="4"/>
  <c r="AH125" i="4"/>
  <c r="AH27" i="4" s="1"/>
  <c r="AH130" i="4"/>
  <c r="AH106" i="4"/>
  <c r="AH82" i="4" s="1"/>
  <c r="AJ115" i="4"/>
  <c r="AN21" i="6" s="1"/>
  <c r="AJ108" i="4"/>
  <c r="AJ116" i="4" s="1"/>
  <c r="AN22" i="6" s="1"/>
  <c r="AJ104" i="4"/>
  <c r="AJ102" i="4"/>
  <c r="AJ97" i="4"/>
  <c r="AJ113" i="4" s="1"/>
  <c r="AN19" i="6" s="1"/>
  <c r="AJ91" i="4"/>
  <c r="AJ92" i="4" s="1"/>
  <c r="AJ96" i="4" s="1"/>
  <c r="AJ112" i="4"/>
  <c r="AN18" i="6" s="1"/>
  <c r="AK17" i="4"/>
  <c r="AJ12" i="4"/>
  <c r="AJ13" i="4" s="1"/>
  <c r="AG55" i="4"/>
  <c r="AG50" i="4"/>
  <c r="AI103" i="4"/>
  <c r="AI107" i="4" s="1"/>
  <c r="AI114" i="4"/>
  <c r="AM20" i="6" s="1"/>
  <c r="AG57" i="4"/>
  <c r="AG34" i="4"/>
  <c r="AG28" i="4"/>
  <c r="AG39" i="4"/>
  <c r="AG66" i="4"/>
  <c r="AG65" i="4"/>
  <c r="AG60" i="4"/>
  <c r="AG61" i="4"/>
  <c r="AG71" i="4"/>
  <c r="AG64" i="4"/>
  <c r="AG62" i="4"/>
  <c r="AG63" i="4"/>
  <c r="AG70" i="4"/>
  <c r="AG69" i="4"/>
  <c r="AM16" i="6" l="1"/>
  <c r="AN17" i="6"/>
  <c r="AI6" i="4"/>
  <c r="AI131" i="4"/>
  <c r="AI126" i="4"/>
  <c r="AI130" i="4"/>
  <c r="AI127" i="4"/>
  <c r="AI128" i="4"/>
  <c r="AI125" i="4"/>
  <c r="AI27" i="4" s="1"/>
  <c r="AI129" i="4"/>
  <c r="AH57" i="4"/>
  <c r="AH34" i="4"/>
  <c r="AH28" i="4"/>
  <c r="AH39" i="4"/>
  <c r="AH70" i="4"/>
  <c r="AH69" i="4"/>
  <c r="AK115" i="4"/>
  <c r="AO21" i="6" s="1"/>
  <c r="AK102" i="4"/>
  <c r="AK97" i="4"/>
  <c r="AK113" i="4" s="1"/>
  <c r="AO19" i="6" s="1"/>
  <c r="AK108" i="4"/>
  <c r="AK116" i="4" s="1"/>
  <c r="AO22" i="6" s="1"/>
  <c r="AK91" i="4"/>
  <c r="AK92" i="4" s="1"/>
  <c r="AK96" i="4" s="1"/>
  <c r="AK112" i="4"/>
  <c r="AO18" i="6" s="1"/>
  <c r="AK104" i="4"/>
  <c r="AL17" i="4"/>
  <c r="AK12" i="4"/>
  <c r="AK13" i="4" s="1"/>
  <c r="AH60" i="4"/>
  <c r="AH66" i="4"/>
  <c r="AH65" i="4"/>
  <c r="AH61" i="4"/>
  <c r="AH64" i="4"/>
  <c r="AH63" i="4"/>
  <c r="AH71" i="4"/>
  <c r="AH62" i="4"/>
  <c r="AI106" i="4"/>
  <c r="AI82" i="4" s="1"/>
  <c r="AH55" i="4"/>
  <c r="AH50" i="4"/>
  <c r="AJ95" i="4"/>
  <c r="AJ81" i="4" s="1"/>
  <c r="AJ15" i="4"/>
  <c r="AJ16" i="4" s="1"/>
  <c r="AK5" i="4"/>
  <c r="AJ8" i="4"/>
  <c r="AJ7" i="4"/>
  <c r="AJ6" i="4" s="1"/>
  <c r="AJ9" i="4"/>
  <c r="AG67" i="4"/>
  <c r="AJ103" i="4"/>
  <c r="AJ107" i="4" s="1"/>
  <c r="AJ114" i="4"/>
  <c r="AN20" i="6" s="1"/>
  <c r="AN16" i="6" l="1"/>
  <c r="AO17" i="6"/>
  <c r="AJ126" i="4"/>
  <c r="AJ130" i="4"/>
  <c r="AJ125" i="4"/>
  <c r="AJ27" i="4" s="1"/>
  <c r="AJ131" i="4"/>
  <c r="AJ128" i="4"/>
  <c r="AJ129" i="4"/>
  <c r="AJ127" i="4"/>
  <c r="AI34" i="4"/>
  <c r="AI57" i="4"/>
  <c r="AI28" i="4"/>
  <c r="AI39" i="4"/>
  <c r="AJ106" i="4"/>
  <c r="AJ82" i="4" s="1"/>
  <c r="AI61" i="4"/>
  <c r="AI65" i="4"/>
  <c r="AI60" i="4"/>
  <c r="AI66" i="4"/>
  <c r="AI71" i="4"/>
  <c r="AI64" i="4"/>
  <c r="AI62" i="4"/>
  <c r="AI63" i="4"/>
  <c r="AI70" i="4"/>
  <c r="AI69" i="4"/>
  <c r="AK103" i="4"/>
  <c r="AK107" i="4" s="1"/>
  <c r="AK114" i="4"/>
  <c r="AO20" i="6" s="1"/>
  <c r="AI55" i="4"/>
  <c r="AI50" i="4"/>
  <c r="AL115" i="4"/>
  <c r="AP21" i="6" s="1"/>
  <c r="AL108" i="4"/>
  <c r="AL116" i="4" s="1"/>
  <c r="AP22" i="6" s="1"/>
  <c r="AL112" i="4"/>
  <c r="AP18" i="6" s="1"/>
  <c r="AL102" i="4"/>
  <c r="AL97" i="4"/>
  <c r="AL113" i="4" s="1"/>
  <c r="AP19" i="6" s="1"/>
  <c r="AL104" i="4"/>
  <c r="AL91" i="4"/>
  <c r="AL92" i="4" s="1"/>
  <c r="AL96" i="4" s="1"/>
  <c r="AL12" i="4"/>
  <c r="AL13" i="4" s="1"/>
  <c r="AM17" i="4"/>
  <c r="AH67" i="4"/>
  <c r="AK95" i="4"/>
  <c r="AK81" i="4" s="1"/>
  <c r="AK15" i="4"/>
  <c r="AK16" i="4" s="1"/>
  <c r="AL5" i="4"/>
  <c r="AK8" i="4"/>
  <c r="AK9" i="4"/>
  <c r="AK7" i="4"/>
  <c r="AK6" i="4" s="1"/>
  <c r="AO16" i="6" l="1"/>
  <c r="AP17" i="6"/>
  <c r="AJ61" i="4"/>
  <c r="AJ60" i="4"/>
  <c r="AJ65" i="4"/>
  <c r="AJ66" i="4"/>
  <c r="AJ62" i="4"/>
  <c r="AJ63" i="4"/>
  <c r="AJ71" i="4"/>
  <c r="AJ64" i="4"/>
  <c r="AJ57" i="4"/>
  <c r="AJ34" i="4"/>
  <c r="AJ28" i="4"/>
  <c r="AJ39" i="4"/>
  <c r="AK106" i="4"/>
  <c r="AK82" i="4" s="1"/>
  <c r="AJ70" i="4"/>
  <c r="AJ69" i="4"/>
  <c r="AJ55" i="4"/>
  <c r="AJ50" i="4"/>
  <c r="AM115" i="4"/>
  <c r="AQ21" i="6" s="1"/>
  <c r="AM112" i="4"/>
  <c r="AQ18" i="6" s="1"/>
  <c r="AM97" i="4"/>
  <c r="AM113" i="4" s="1"/>
  <c r="AQ19" i="6" s="1"/>
  <c r="AM102" i="4"/>
  <c r="AM108" i="4"/>
  <c r="AM116" i="4" s="1"/>
  <c r="AQ22" i="6" s="1"/>
  <c r="AM104" i="4"/>
  <c r="AM91" i="4"/>
  <c r="AM92" i="4" s="1"/>
  <c r="AM96" i="4" s="1"/>
  <c r="AN17" i="4"/>
  <c r="AM12" i="4"/>
  <c r="AM13" i="4" s="1"/>
  <c r="AK130" i="4"/>
  <c r="AK125" i="4"/>
  <c r="AK27" i="4" s="1"/>
  <c r="AK131" i="4"/>
  <c r="AK128" i="4"/>
  <c r="AK129" i="4"/>
  <c r="AK126" i="4"/>
  <c r="AK127" i="4"/>
  <c r="AI67" i="4"/>
  <c r="AL103" i="4"/>
  <c r="AL107" i="4" s="1"/>
  <c r="AL114" i="4"/>
  <c r="AP20" i="6" s="1"/>
  <c r="AL95" i="4"/>
  <c r="AL81" i="4" s="1"/>
  <c r="AL15" i="4"/>
  <c r="AL16" i="4" s="1"/>
  <c r="AM5" i="4"/>
  <c r="AL8" i="4"/>
  <c r="AL9" i="4"/>
  <c r="AL7" i="4"/>
  <c r="AL6" i="4" s="1"/>
  <c r="AQ17" i="6" l="1"/>
  <c r="AP16" i="6"/>
  <c r="AK55" i="4"/>
  <c r="AK50" i="4"/>
  <c r="AK65" i="4"/>
  <c r="AK66" i="4"/>
  <c r="AK61" i="4"/>
  <c r="AK60" i="4"/>
  <c r="AK71" i="4"/>
  <c r="AK62" i="4"/>
  <c r="AK64" i="4"/>
  <c r="AK63" i="4"/>
  <c r="AK57" i="4"/>
  <c r="AK34" i="4"/>
  <c r="AK28" i="4"/>
  <c r="AK39" i="4"/>
  <c r="AJ67" i="4"/>
  <c r="AN115" i="4"/>
  <c r="AR21" i="6" s="1"/>
  <c r="AN108" i="4"/>
  <c r="AN116" i="4" s="1"/>
  <c r="AR22" i="6" s="1"/>
  <c r="AN112" i="4"/>
  <c r="AR18" i="6" s="1"/>
  <c r="AN102" i="4"/>
  <c r="AN97" i="4"/>
  <c r="AN113" i="4" s="1"/>
  <c r="AR19" i="6" s="1"/>
  <c r="AN91" i="4"/>
  <c r="AN92" i="4" s="1"/>
  <c r="AN96" i="4" s="1"/>
  <c r="AN104" i="4"/>
  <c r="AN12" i="4"/>
  <c r="AN13" i="4" s="1"/>
  <c r="AO17" i="4"/>
  <c r="AK70" i="4"/>
  <c r="AK69" i="4"/>
  <c r="AL130" i="4"/>
  <c r="AL125" i="4"/>
  <c r="AL27" i="4" s="1"/>
  <c r="AL129" i="4"/>
  <c r="AL128" i="4"/>
  <c r="AL126" i="4"/>
  <c r="AL127" i="4"/>
  <c r="AL131" i="4"/>
  <c r="AM114" i="4"/>
  <c r="AQ20" i="6" s="1"/>
  <c r="AM103" i="4"/>
  <c r="AM107" i="4" s="1"/>
  <c r="AM95" i="4"/>
  <c r="AM81" i="4" s="1"/>
  <c r="AM15" i="4"/>
  <c r="AM16" i="4" s="1"/>
  <c r="AN5" i="4"/>
  <c r="AM8" i="4"/>
  <c r="AM9" i="4"/>
  <c r="AM7" i="4"/>
  <c r="AM6" i="4" s="1"/>
  <c r="AL106" i="4"/>
  <c r="AL82" i="4" s="1"/>
  <c r="AQ16" i="6" l="1"/>
  <c r="AR17" i="6"/>
  <c r="AM106" i="4"/>
  <c r="AM82" i="4" s="1"/>
  <c r="AK67" i="4"/>
  <c r="AM125" i="4"/>
  <c r="AM27" i="4" s="1"/>
  <c r="AM129" i="4"/>
  <c r="AM126" i="4"/>
  <c r="AM127" i="4"/>
  <c r="AM131" i="4"/>
  <c r="AM128" i="4"/>
  <c r="AM130" i="4"/>
  <c r="AL70" i="4"/>
  <c r="AL69" i="4"/>
  <c r="AL57" i="4"/>
  <c r="AL34" i="4"/>
  <c r="AL28" i="4"/>
  <c r="AL39" i="4"/>
  <c r="AN95" i="4"/>
  <c r="AN81" i="4" s="1"/>
  <c r="AN15" i="4"/>
  <c r="AN16" i="4" s="1"/>
  <c r="AO5" i="4"/>
  <c r="AN8" i="4"/>
  <c r="AN9" i="4"/>
  <c r="AN7" i="4"/>
  <c r="AN6" i="4" s="1"/>
  <c r="AO91" i="4"/>
  <c r="AO92" i="4" s="1"/>
  <c r="AO96" i="4" s="1"/>
  <c r="AO112" i="4"/>
  <c r="AS18" i="6" s="1"/>
  <c r="AO102" i="4"/>
  <c r="AO104" i="4"/>
  <c r="AP17" i="4"/>
  <c r="AO12" i="4"/>
  <c r="AO13" i="4" s="1"/>
  <c r="AL55" i="4"/>
  <c r="AL50" i="4"/>
  <c r="AN114" i="4"/>
  <c r="AR20" i="6" s="1"/>
  <c r="AN103" i="4"/>
  <c r="AN107" i="4" s="1"/>
  <c r="AL65" i="4"/>
  <c r="AL66" i="4"/>
  <c r="AL61" i="4"/>
  <c r="AL60" i="4"/>
  <c r="AL64" i="4"/>
  <c r="AL71" i="4"/>
  <c r="AL62" i="4"/>
  <c r="AL63" i="4"/>
  <c r="AS17" i="6" l="1"/>
  <c r="AR16" i="6"/>
  <c r="AO97" i="4"/>
  <c r="AO113" i="4" s="1"/>
  <c r="AS19" i="6" s="1"/>
  <c r="AM57" i="4"/>
  <c r="AM34" i="4"/>
  <c r="AM28" i="4"/>
  <c r="AM39" i="4"/>
  <c r="AM60" i="4"/>
  <c r="AM61" i="4"/>
  <c r="AM65" i="4"/>
  <c r="AM66" i="4"/>
  <c r="AM71" i="4"/>
  <c r="AM62" i="4"/>
  <c r="AM64" i="4"/>
  <c r="AM63" i="4"/>
  <c r="AO95" i="4"/>
  <c r="AO81" i="4" s="1"/>
  <c r="AO15" i="4"/>
  <c r="AO16" i="4" s="1"/>
  <c r="AO9" i="4"/>
  <c r="AP5" i="4"/>
  <c r="AO8" i="4"/>
  <c r="AO7" i="4"/>
  <c r="AO6" i="4" s="1"/>
  <c r="AM70" i="4"/>
  <c r="AM69" i="4"/>
  <c r="AO114" i="4"/>
  <c r="AS20" i="6" s="1"/>
  <c r="AO103" i="4"/>
  <c r="AN129" i="4"/>
  <c r="AN125" i="4"/>
  <c r="AN27" i="4" s="1"/>
  <c r="AN126" i="4"/>
  <c r="AN127" i="4"/>
  <c r="AN131" i="4"/>
  <c r="AN128" i="4"/>
  <c r="AN130" i="4"/>
  <c r="AL67" i="4"/>
  <c r="AN106" i="4"/>
  <c r="AN82" i="4" s="1"/>
  <c r="AP115" i="4"/>
  <c r="AT21" i="6" s="1"/>
  <c r="AP112" i="4"/>
  <c r="AT18" i="6" s="1"/>
  <c r="AP97" i="4"/>
  <c r="AP113" i="4" s="1"/>
  <c r="AT19" i="6" s="1"/>
  <c r="AP91" i="4"/>
  <c r="AP108" i="4"/>
  <c r="AP116" i="4" s="1"/>
  <c r="AT22" i="6" s="1"/>
  <c r="AP102" i="4"/>
  <c r="AP104" i="4"/>
  <c r="AP12" i="4"/>
  <c r="AP13" i="4" s="1"/>
  <c r="AQ17" i="4"/>
  <c r="AM55" i="4"/>
  <c r="AM50" i="4"/>
  <c r="AT17" i="6" l="1"/>
  <c r="AS16" i="6"/>
  <c r="AP92" i="4"/>
  <c r="AP96" i="4" s="1"/>
  <c r="AO107" i="4"/>
  <c r="AO108" i="4"/>
  <c r="AO116" i="4" s="1"/>
  <c r="AS22" i="6" s="1"/>
  <c r="AM67" i="4"/>
  <c r="AN70" i="4"/>
  <c r="AN69" i="4"/>
  <c r="AN57" i="4"/>
  <c r="AN34" i="4"/>
  <c r="AN28" i="4"/>
  <c r="AN39" i="4"/>
  <c r="AN60" i="4"/>
  <c r="AN65" i="4"/>
  <c r="AN61" i="4"/>
  <c r="AN66" i="4"/>
  <c r="AN64" i="4"/>
  <c r="AN63" i="4"/>
  <c r="AN71" i="4"/>
  <c r="AN62" i="4"/>
  <c r="AP114" i="4"/>
  <c r="AT20" i="6" s="1"/>
  <c r="AP15" i="4"/>
  <c r="AP16" i="4" s="1"/>
  <c r="AQ5" i="4"/>
  <c r="AP8" i="4"/>
  <c r="AP9" i="4"/>
  <c r="AP7" i="4"/>
  <c r="AP6" i="4" s="1"/>
  <c r="AO129" i="4"/>
  <c r="AO128" i="4"/>
  <c r="AO125" i="4"/>
  <c r="AO27" i="4" s="1"/>
  <c r="AO127" i="4"/>
  <c r="AO126" i="4"/>
  <c r="AO131" i="4"/>
  <c r="AO130" i="4"/>
  <c r="AN55" i="4"/>
  <c r="AN50" i="4"/>
  <c r="AO106" i="4"/>
  <c r="AO82" i="4" s="1"/>
  <c r="AQ115" i="4"/>
  <c r="AU21" i="6" s="1"/>
  <c r="AQ108" i="4"/>
  <c r="AQ116" i="4" s="1"/>
  <c r="AU22" i="6" s="1"/>
  <c r="AQ97" i="4"/>
  <c r="AQ113" i="4" s="1"/>
  <c r="AU19" i="6" s="1"/>
  <c r="AQ91" i="4"/>
  <c r="AQ102" i="4"/>
  <c r="AQ112" i="4"/>
  <c r="AU18" i="6" s="1"/>
  <c r="AQ104" i="4"/>
  <c r="AQ12" i="4"/>
  <c r="AQ13" i="4" s="1"/>
  <c r="AR17" i="4"/>
  <c r="AU17" i="6" l="1"/>
  <c r="AT16" i="6"/>
  <c r="AQ92" i="4"/>
  <c r="AQ96" i="4" s="1"/>
  <c r="AP95" i="4"/>
  <c r="AP81" i="4" s="1"/>
  <c r="AP103" i="4"/>
  <c r="AP107" i="4" s="1"/>
  <c r="AQ103" i="4" s="1"/>
  <c r="AQ107" i="4" s="1"/>
  <c r="AQ95" i="4"/>
  <c r="AQ81" i="4" s="1"/>
  <c r="AQ15" i="4"/>
  <c r="AQ16" i="4" s="1"/>
  <c r="AQ8" i="4"/>
  <c r="AQ9" i="4"/>
  <c r="AQ7" i="4"/>
  <c r="AR5" i="4"/>
  <c r="AQ114" i="4"/>
  <c r="AU20" i="6" s="1"/>
  <c r="AO70" i="4"/>
  <c r="AO69" i="4"/>
  <c r="AP128" i="4"/>
  <c r="AP125" i="4"/>
  <c r="AP27" i="4" s="1"/>
  <c r="AP129" i="4"/>
  <c r="AP126" i="4"/>
  <c r="AP130" i="4"/>
  <c r="AP131" i="4"/>
  <c r="AP127" i="4"/>
  <c r="AR115" i="4"/>
  <c r="AV21" i="6" s="1"/>
  <c r="AR97" i="4"/>
  <c r="AR113" i="4" s="1"/>
  <c r="AV19" i="6" s="1"/>
  <c r="AR108" i="4"/>
  <c r="AR116" i="4" s="1"/>
  <c r="AV22" i="6" s="1"/>
  <c r="AR91" i="4"/>
  <c r="AR92" i="4" s="1"/>
  <c r="AR96" i="4" s="1"/>
  <c r="AR102" i="4"/>
  <c r="AR112" i="4"/>
  <c r="AV18" i="6" s="1"/>
  <c r="AR104" i="4"/>
  <c r="AR12" i="4"/>
  <c r="AR13" i="4" s="1"/>
  <c r="AS17" i="4"/>
  <c r="AO55" i="4"/>
  <c r="AO50" i="4"/>
  <c r="AO65" i="4"/>
  <c r="AO60" i="4"/>
  <c r="AO61" i="4"/>
  <c r="AO66" i="4"/>
  <c r="AO62" i="4"/>
  <c r="AO63" i="4"/>
  <c r="AO71" i="4"/>
  <c r="AO64" i="4"/>
  <c r="AO57" i="4"/>
  <c r="AO34" i="4"/>
  <c r="AO28" i="4"/>
  <c r="AO39" i="4"/>
  <c r="AN67" i="4"/>
  <c r="AU16" i="6" l="1"/>
  <c r="AV17" i="6"/>
  <c r="AP106" i="4"/>
  <c r="AP82" i="4" s="1"/>
  <c r="AO67" i="4"/>
  <c r="AR95" i="4"/>
  <c r="AR81" i="4" s="1"/>
  <c r="AR9" i="4"/>
  <c r="AR7" i="4"/>
  <c r="AR15" i="4"/>
  <c r="AR16" i="4" s="1"/>
  <c r="AS5" i="4"/>
  <c r="AR8" i="4"/>
  <c r="AR114" i="4"/>
  <c r="AV20" i="6" s="1"/>
  <c r="AR103" i="4"/>
  <c r="AR107" i="4" s="1"/>
  <c r="AQ6" i="4"/>
  <c r="AQ128" i="4"/>
  <c r="AQ125" i="4"/>
  <c r="AQ27" i="4" s="1"/>
  <c r="AQ129" i="4"/>
  <c r="AQ126" i="4"/>
  <c r="AQ130" i="4"/>
  <c r="AQ127" i="4"/>
  <c r="AQ131" i="4"/>
  <c r="AS108" i="4"/>
  <c r="AS116" i="4" s="1"/>
  <c r="AW22" i="6" s="1"/>
  <c r="AS104" i="4"/>
  <c r="AS102" i="4"/>
  <c r="AS112" i="4"/>
  <c r="AW18" i="6" s="1"/>
  <c r="AS97" i="4"/>
  <c r="AS113" i="4" s="1"/>
  <c r="AW19" i="6" s="1"/>
  <c r="AS91" i="4"/>
  <c r="AS92" i="4" s="1"/>
  <c r="AS96" i="4" s="1"/>
  <c r="AS115" i="4"/>
  <c r="AW21" i="6" s="1"/>
  <c r="AS12" i="4"/>
  <c r="AS13" i="4" s="1"/>
  <c r="AT17" i="4"/>
  <c r="AP55" i="4"/>
  <c r="AP50" i="4"/>
  <c r="AP65" i="4"/>
  <c r="AP61" i="4"/>
  <c r="AP66" i="4"/>
  <c r="AP60" i="4"/>
  <c r="AP71" i="4"/>
  <c r="AP62" i="4"/>
  <c r="AP64" i="4"/>
  <c r="AP63" i="4"/>
  <c r="AQ106" i="4"/>
  <c r="AQ82" i="4" s="1"/>
  <c r="AP70" i="4"/>
  <c r="AP69" i="4"/>
  <c r="AP57" i="4"/>
  <c r="AP28" i="4"/>
  <c r="AP34" i="4"/>
  <c r="AP39" i="4"/>
  <c r="AV16" i="6" l="1"/>
  <c r="AW17" i="6"/>
  <c r="AR6" i="4"/>
  <c r="AP67" i="4"/>
  <c r="AQ61" i="4"/>
  <c r="AQ60" i="4"/>
  <c r="AQ65" i="4"/>
  <c r="AQ66" i="4"/>
  <c r="AQ62" i="4"/>
  <c r="AQ64" i="4"/>
  <c r="AQ71" i="4"/>
  <c r="AQ63" i="4"/>
  <c r="AS95" i="4"/>
  <c r="AS81" i="4" s="1"/>
  <c r="AS9" i="4"/>
  <c r="AS7" i="4"/>
  <c r="AT5" i="4"/>
  <c r="AS8" i="4"/>
  <c r="AS15" i="4"/>
  <c r="AS16" i="4" s="1"/>
  <c r="AR128" i="4"/>
  <c r="AR127" i="4"/>
  <c r="AR129" i="4"/>
  <c r="AR126" i="4"/>
  <c r="AR130" i="4"/>
  <c r="AR131" i="4"/>
  <c r="AR125" i="4"/>
  <c r="AR27" i="4" s="1"/>
  <c r="AQ57" i="4"/>
  <c r="AQ34" i="4"/>
  <c r="AQ28" i="4"/>
  <c r="AQ39" i="4"/>
  <c r="AQ55" i="4"/>
  <c r="AQ50" i="4"/>
  <c r="AQ70" i="4"/>
  <c r="AQ69" i="4"/>
  <c r="AT108" i="4"/>
  <c r="AT116" i="4" s="1"/>
  <c r="AX22" i="6" s="1"/>
  <c r="AT104" i="4"/>
  <c r="AT102" i="4"/>
  <c r="AT112" i="4"/>
  <c r="AX18" i="6" s="1"/>
  <c r="AT97" i="4"/>
  <c r="AT113" i="4" s="1"/>
  <c r="AX19" i="6" s="1"/>
  <c r="AT91" i="4"/>
  <c r="AT92" i="4" s="1"/>
  <c r="AT96" i="4" s="1"/>
  <c r="AT115" i="4"/>
  <c r="AX21" i="6" s="1"/>
  <c r="AT12" i="4"/>
  <c r="AT13" i="4" s="1"/>
  <c r="AU17" i="4"/>
  <c r="AS114" i="4"/>
  <c r="AW20" i="6" s="1"/>
  <c r="AS103" i="4"/>
  <c r="AS107" i="4" s="1"/>
  <c r="AR106" i="4"/>
  <c r="AR82" i="4" s="1"/>
  <c r="AW16" i="6" l="1"/>
  <c r="AX17" i="6"/>
  <c r="AR57" i="4"/>
  <c r="AR34" i="4"/>
  <c r="AR28" i="4"/>
  <c r="AR39" i="4"/>
  <c r="AR70" i="4"/>
  <c r="AR69" i="4"/>
  <c r="AR55" i="4"/>
  <c r="AR50" i="4"/>
  <c r="AQ67" i="4"/>
  <c r="AT95" i="4"/>
  <c r="AT81" i="4" s="1"/>
  <c r="AT15" i="4"/>
  <c r="AT16" i="4" s="1"/>
  <c r="AT7" i="4"/>
  <c r="AT8" i="4"/>
  <c r="AU5" i="4"/>
  <c r="AT9" i="4"/>
  <c r="AS106" i="4"/>
  <c r="AS82" i="4" s="1"/>
  <c r="AT114" i="4"/>
  <c r="AX20" i="6" s="1"/>
  <c r="AT103" i="4"/>
  <c r="AT107" i="4" s="1"/>
  <c r="AS127" i="4"/>
  <c r="AS129" i="4"/>
  <c r="AS126" i="4"/>
  <c r="AS130" i="4"/>
  <c r="AS131" i="4"/>
  <c r="AS125" i="4"/>
  <c r="AS27" i="4" s="1"/>
  <c r="AS128" i="4"/>
  <c r="AS6" i="4"/>
  <c r="AR65" i="4"/>
  <c r="AR61" i="4"/>
  <c r="AR66" i="4"/>
  <c r="AR60" i="4"/>
  <c r="AR71" i="4"/>
  <c r="AR62" i="4"/>
  <c r="AR63" i="4"/>
  <c r="AR64" i="4"/>
  <c r="AU108" i="4"/>
  <c r="AU116" i="4" s="1"/>
  <c r="AY22" i="6" s="1"/>
  <c r="AU104" i="4"/>
  <c r="AU112" i="4"/>
  <c r="AY18" i="6" s="1"/>
  <c r="AU97" i="4"/>
  <c r="AU113" i="4" s="1"/>
  <c r="AY19" i="6" s="1"/>
  <c r="AU102" i="4"/>
  <c r="AU91" i="4"/>
  <c r="AU92" i="4" s="1"/>
  <c r="AU96" i="4" s="1"/>
  <c r="AU115" i="4"/>
  <c r="AY21" i="6" s="1"/>
  <c r="AU12" i="4"/>
  <c r="AU13" i="4" s="1"/>
  <c r="AV17" i="4"/>
  <c r="AY17" i="6" l="1"/>
  <c r="AX16" i="6"/>
  <c r="AT6" i="4"/>
  <c r="AU95" i="4"/>
  <c r="AU81" i="4" s="1"/>
  <c r="AU15" i="4"/>
  <c r="AU16" i="4" s="1"/>
  <c r="AV5" i="4"/>
  <c r="AU7" i="4"/>
  <c r="AU9" i="4"/>
  <c r="AU8" i="4"/>
  <c r="AV112" i="4"/>
  <c r="AZ18" i="6" s="1"/>
  <c r="AV104" i="4"/>
  <c r="AV102" i="4"/>
  <c r="AV91" i="4"/>
  <c r="AV92" i="4" s="1"/>
  <c r="AV96" i="4" s="1"/>
  <c r="AV12" i="4"/>
  <c r="AV13" i="4" s="1"/>
  <c r="AW17" i="4"/>
  <c r="AT106" i="4"/>
  <c r="AT82" i="4" s="1"/>
  <c r="AT127" i="4"/>
  <c r="AT131" i="4"/>
  <c r="AT126" i="4"/>
  <c r="AT130" i="4"/>
  <c r="AT128" i="4"/>
  <c r="AT129" i="4"/>
  <c r="AT125" i="4"/>
  <c r="AT27" i="4" s="1"/>
  <c r="AR67" i="4"/>
  <c r="AS57" i="4"/>
  <c r="AS34" i="4"/>
  <c r="AS28" i="4"/>
  <c r="AS39" i="4"/>
  <c r="AS70" i="4"/>
  <c r="AS69" i="4"/>
  <c r="AS61" i="4"/>
  <c r="AS65" i="4"/>
  <c r="AS66" i="4"/>
  <c r="AS60" i="4"/>
  <c r="AS71" i="4"/>
  <c r="AS63" i="4"/>
  <c r="AS62" i="4"/>
  <c r="AS64" i="4"/>
  <c r="AU114" i="4"/>
  <c r="AY20" i="6" s="1"/>
  <c r="AU103" i="4"/>
  <c r="AU107" i="4" s="1"/>
  <c r="AS55" i="4"/>
  <c r="AS50" i="4"/>
  <c r="AZ17" i="6" l="1"/>
  <c r="AY16" i="6"/>
  <c r="AV97" i="4"/>
  <c r="AV113" i="4" s="1"/>
  <c r="AZ19" i="6" s="1"/>
  <c r="AU6" i="4"/>
  <c r="AV95" i="4"/>
  <c r="AV81" i="4" s="1"/>
  <c r="AV15" i="4"/>
  <c r="AV16" i="4" s="1"/>
  <c r="AV8" i="4"/>
  <c r="AV9" i="4"/>
  <c r="AV7" i="4"/>
  <c r="AV6" i="4" s="1"/>
  <c r="AW5" i="4"/>
  <c r="AU106" i="4"/>
  <c r="AU82" i="4" s="1"/>
  <c r="AT57" i="4"/>
  <c r="AT34" i="4"/>
  <c r="AT28" i="4"/>
  <c r="AT39" i="4"/>
  <c r="AV114" i="4"/>
  <c r="AZ20" i="6" s="1"/>
  <c r="AV103" i="4"/>
  <c r="AT70" i="4"/>
  <c r="AT69" i="4"/>
  <c r="AT55" i="4"/>
  <c r="AT50" i="4"/>
  <c r="AW104" i="4"/>
  <c r="AW112" i="4"/>
  <c r="BA18" i="6" s="1"/>
  <c r="AW108" i="4"/>
  <c r="AW116" i="4" s="1"/>
  <c r="BA22" i="6" s="1"/>
  <c r="AW102" i="4"/>
  <c r="AW97" i="4"/>
  <c r="AW113" i="4" s="1"/>
  <c r="BA19" i="6" s="1"/>
  <c r="AW115" i="4"/>
  <c r="BA21" i="6" s="1"/>
  <c r="AW91" i="4"/>
  <c r="AW12" i="4"/>
  <c r="AW13" i="4" s="1"/>
  <c r="AX17" i="4"/>
  <c r="AU127" i="4"/>
  <c r="AU131" i="4"/>
  <c r="AU126" i="4"/>
  <c r="AU130" i="4"/>
  <c r="AU128" i="4"/>
  <c r="AU125" i="4"/>
  <c r="AU27" i="4" s="1"/>
  <c r="AU129" i="4"/>
  <c r="AS67" i="4"/>
  <c r="AT61" i="4"/>
  <c r="AT65" i="4"/>
  <c r="AT60" i="4"/>
  <c r="AT66" i="4"/>
  <c r="AT63" i="4"/>
  <c r="AT64" i="4"/>
  <c r="AT71" i="4"/>
  <c r="AT62" i="4"/>
  <c r="AZ16" i="6" l="1"/>
  <c r="BA17" i="6"/>
  <c r="AV107" i="4"/>
  <c r="AV108" i="4"/>
  <c r="AV116" i="4" s="1"/>
  <c r="AZ22" i="6" s="1"/>
  <c r="AW92" i="4"/>
  <c r="AW96" i="4" s="1"/>
  <c r="AX115" i="4"/>
  <c r="BB21" i="6" s="1"/>
  <c r="AX108" i="4"/>
  <c r="AX116" i="4" s="1"/>
  <c r="BB22" i="6" s="1"/>
  <c r="AX104" i="4"/>
  <c r="AX112" i="4"/>
  <c r="BB18" i="6" s="1"/>
  <c r="AX102" i="4"/>
  <c r="AX91" i="4"/>
  <c r="AX97" i="4"/>
  <c r="AX113" i="4" s="1"/>
  <c r="BB19" i="6" s="1"/>
  <c r="AY17" i="4"/>
  <c r="AX12" i="4"/>
  <c r="AX13" i="4" s="1"/>
  <c r="AU65" i="4"/>
  <c r="AU66" i="4"/>
  <c r="AU60" i="4"/>
  <c r="AU61" i="4"/>
  <c r="AU62" i="4"/>
  <c r="AU64" i="4"/>
  <c r="AU71" i="4"/>
  <c r="AU63" i="4"/>
  <c r="AV131" i="4"/>
  <c r="AV126" i="4"/>
  <c r="AV130" i="4"/>
  <c r="AV128" i="4"/>
  <c r="AV125" i="4"/>
  <c r="AV27" i="4" s="1"/>
  <c r="AV127" i="4"/>
  <c r="AV129" i="4"/>
  <c r="AU57" i="4"/>
  <c r="AU34" i="4"/>
  <c r="AU28" i="4"/>
  <c r="AU39" i="4"/>
  <c r="AU55" i="4"/>
  <c r="AU50" i="4"/>
  <c r="AT67" i="4"/>
  <c r="AV106" i="4"/>
  <c r="AV82" i="4" s="1"/>
  <c r="AW15" i="4"/>
  <c r="AW16" i="4" s="1"/>
  <c r="AX5" i="4"/>
  <c r="AW7" i="4"/>
  <c r="AW9" i="4"/>
  <c r="AW8" i="4"/>
  <c r="AU70" i="4"/>
  <c r="AU69" i="4"/>
  <c r="AW114" i="4"/>
  <c r="BA20" i="6" s="1"/>
  <c r="BA16" i="6" l="1"/>
  <c r="BB17" i="6"/>
  <c r="AW103" i="4"/>
  <c r="AW107" i="4" s="1"/>
  <c r="AX103" i="4" s="1"/>
  <c r="AX107" i="4" s="1"/>
  <c r="AX92" i="4"/>
  <c r="AX96" i="4" s="1"/>
  <c r="AW95" i="4"/>
  <c r="AW81" i="4" s="1"/>
  <c r="AV55" i="4"/>
  <c r="AV50" i="4"/>
  <c r="AX114" i="4"/>
  <c r="BB20" i="6" s="1"/>
  <c r="AU67" i="4"/>
  <c r="AV60" i="4"/>
  <c r="AV65" i="4"/>
  <c r="AV61" i="4"/>
  <c r="AV66" i="4"/>
  <c r="AV62" i="4"/>
  <c r="AV71" i="4"/>
  <c r="AV64" i="4"/>
  <c r="AV63" i="4"/>
  <c r="AV57" i="4"/>
  <c r="AV34" i="4"/>
  <c r="AV28" i="4"/>
  <c r="AV39" i="4"/>
  <c r="AX15" i="4"/>
  <c r="AX16" i="4" s="1"/>
  <c r="AY5" i="4"/>
  <c r="AX8" i="4"/>
  <c r="AX9" i="4"/>
  <c r="AX7" i="4"/>
  <c r="AX6" i="4" s="1"/>
  <c r="AW6" i="4"/>
  <c r="AW131" i="4"/>
  <c r="AW126" i="4"/>
  <c r="AW130" i="4"/>
  <c r="AW127" i="4"/>
  <c r="AW128" i="4"/>
  <c r="AW125" i="4"/>
  <c r="AW27" i="4" s="1"/>
  <c r="AW129" i="4"/>
  <c r="AV70" i="4"/>
  <c r="AV69" i="4"/>
  <c r="AY115" i="4"/>
  <c r="BC21" i="6" s="1"/>
  <c r="AY112" i="4"/>
  <c r="BC18" i="6" s="1"/>
  <c r="AY102" i="4"/>
  <c r="AY108" i="4"/>
  <c r="AY116" i="4" s="1"/>
  <c r="BC22" i="6" s="1"/>
  <c r="AY104" i="4"/>
  <c r="AY91" i="4"/>
  <c r="AY97" i="4"/>
  <c r="AY113" i="4" s="1"/>
  <c r="BC19" i="6" s="1"/>
  <c r="AZ17" i="4"/>
  <c r="AY12" i="4"/>
  <c r="AY13" i="4" s="1"/>
  <c r="BC17" i="6" l="1"/>
  <c r="BB16" i="6"/>
  <c r="AW106" i="4"/>
  <c r="AW82" i="4" s="1"/>
  <c r="AX95" i="4"/>
  <c r="AX81" i="4" s="1"/>
  <c r="AY92" i="4"/>
  <c r="AY96" i="4" s="1"/>
  <c r="AZ112" i="4"/>
  <c r="BD18" i="6" s="1"/>
  <c r="AZ102" i="4"/>
  <c r="AZ104" i="4"/>
  <c r="AZ91" i="4"/>
  <c r="AZ12" i="4"/>
  <c r="AZ13" i="4" s="1"/>
  <c r="BA17" i="4"/>
  <c r="AX106" i="4"/>
  <c r="AX82" i="4" s="1"/>
  <c r="AV67" i="4"/>
  <c r="AY114" i="4"/>
  <c r="BC20" i="6" s="1"/>
  <c r="AY103" i="4"/>
  <c r="AY107" i="4" s="1"/>
  <c r="AW66" i="4"/>
  <c r="AW65" i="4"/>
  <c r="AW61" i="4"/>
  <c r="AW60" i="4"/>
  <c r="AW71" i="4"/>
  <c r="AW64" i="4"/>
  <c r="AW62" i="4"/>
  <c r="AW63" i="4"/>
  <c r="AW57" i="4"/>
  <c r="AW34" i="4"/>
  <c r="AW28" i="4"/>
  <c r="AW39" i="4"/>
  <c r="AW70" i="4"/>
  <c r="AW69" i="4"/>
  <c r="AY15" i="4"/>
  <c r="AY16" i="4" s="1"/>
  <c r="AZ5" i="4"/>
  <c r="AY8" i="4"/>
  <c r="AY7" i="4"/>
  <c r="AY6" i="4" s="1"/>
  <c r="AY9" i="4"/>
  <c r="AW55" i="4"/>
  <c r="AW50" i="4"/>
  <c r="AX126" i="4"/>
  <c r="AX130" i="4"/>
  <c r="AX125" i="4"/>
  <c r="AX27" i="4" s="1"/>
  <c r="AX127" i="4"/>
  <c r="AX131" i="4"/>
  <c r="AX128" i="4"/>
  <c r="AX129" i="4"/>
  <c r="BC16" i="6" l="1"/>
  <c r="BD17" i="6"/>
  <c r="AY95" i="4"/>
  <c r="AY81" i="4" s="1"/>
  <c r="AZ92" i="4"/>
  <c r="AX61" i="4"/>
  <c r="AX65" i="4"/>
  <c r="AX66" i="4"/>
  <c r="AX60" i="4"/>
  <c r="AX62" i="4"/>
  <c r="AX71" i="4"/>
  <c r="AX64" i="4"/>
  <c r="AX63" i="4"/>
  <c r="BA115" i="4"/>
  <c r="BE21" i="6" s="1"/>
  <c r="BA112" i="4"/>
  <c r="BE18" i="6" s="1"/>
  <c r="BA108" i="4"/>
  <c r="BA116" i="4" s="1"/>
  <c r="BE22" i="6" s="1"/>
  <c r="BA104" i="4"/>
  <c r="BA91" i="4"/>
  <c r="BA102" i="4"/>
  <c r="BA97" i="4"/>
  <c r="BA113" i="4" s="1"/>
  <c r="BE19" i="6" s="1"/>
  <c r="BB17" i="4"/>
  <c r="BA12" i="4"/>
  <c r="BA13" i="4" s="1"/>
  <c r="AX57" i="4"/>
  <c r="AX34" i="4"/>
  <c r="AX28" i="4"/>
  <c r="AX39" i="4"/>
  <c r="AZ15" i="4"/>
  <c r="AZ16" i="4" s="1"/>
  <c r="BA5" i="4"/>
  <c r="AZ8" i="4"/>
  <c r="AZ9" i="4"/>
  <c r="AZ7" i="4"/>
  <c r="AX70" i="4"/>
  <c r="AX69" i="4"/>
  <c r="AY130" i="4"/>
  <c r="AY125" i="4"/>
  <c r="AY27" i="4" s="1"/>
  <c r="AY127" i="4"/>
  <c r="AY131" i="4"/>
  <c r="AY128" i="4"/>
  <c r="AY129" i="4"/>
  <c r="AY126" i="4"/>
  <c r="AY106" i="4"/>
  <c r="AY82" i="4" s="1"/>
  <c r="AZ114" i="4"/>
  <c r="BD20" i="6" s="1"/>
  <c r="AZ103" i="4"/>
  <c r="AX55" i="4"/>
  <c r="AX50" i="4"/>
  <c r="AW67" i="4"/>
  <c r="AZ6" i="4" l="1"/>
  <c r="BE17" i="6"/>
  <c r="BD16" i="6"/>
  <c r="AZ107" i="4"/>
  <c r="AZ108" i="4"/>
  <c r="AZ116" i="4" s="1"/>
  <c r="BD22" i="6" s="1"/>
  <c r="AZ96" i="4"/>
  <c r="AZ97" i="4"/>
  <c r="AZ113" i="4" s="1"/>
  <c r="BD19" i="6" s="1"/>
  <c r="AZ95" i="4"/>
  <c r="AZ81" i="4" s="1"/>
  <c r="AZ106" i="4"/>
  <c r="AZ82" i="4" s="1"/>
  <c r="AY55" i="4"/>
  <c r="AY50" i="4"/>
  <c r="AY66" i="4"/>
  <c r="AY61" i="4"/>
  <c r="AY65" i="4"/>
  <c r="AY60" i="4"/>
  <c r="AY62" i="4"/>
  <c r="AY71" i="4"/>
  <c r="AY64" i="4"/>
  <c r="AY63" i="4"/>
  <c r="BA15" i="4"/>
  <c r="BA16" i="4" s="1"/>
  <c r="BB5" i="4"/>
  <c r="BA8" i="4"/>
  <c r="BA9" i="4"/>
  <c r="BA7" i="4"/>
  <c r="AZ130" i="4"/>
  <c r="AZ125" i="4"/>
  <c r="AZ27" i="4" s="1"/>
  <c r="AZ129" i="4"/>
  <c r="AZ127" i="4"/>
  <c r="AZ131" i="4"/>
  <c r="AZ128" i="4"/>
  <c r="AZ126" i="4"/>
  <c r="BB115" i="4"/>
  <c r="BF21" i="6" s="1"/>
  <c r="BB108" i="4"/>
  <c r="BB116" i="4" s="1"/>
  <c r="BF22" i="6" s="1"/>
  <c r="BB112" i="4"/>
  <c r="BF18" i="6" s="1"/>
  <c r="BB102" i="4"/>
  <c r="BB97" i="4"/>
  <c r="BB113" i="4" s="1"/>
  <c r="BF19" i="6" s="1"/>
  <c r="BB104" i="4"/>
  <c r="BB91" i="4"/>
  <c r="BB12" i="4"/>
  <c r="BB13" i="4" s="1"/>
  <c r="BC17" i="4"/>
  <c r="AX67" i="4"/>
  <c r="AY57" i="4"/>
  <c r="AY34" i="4"/>
  <c r="AY28" i="4"/>
  <c r="AY39" i="4"/>
  <c r="AY70" i="4"/>
  <c r="AY69" i="4"/>
  <c r="BA114" i="4"/>
  <c r="BE20" i="6" s="1"/>
  <c r="BA103" i="4"/>
  <c r="BA107" i="4" s="1"/>
  <c r="BE16" i="6" l="1"/>
  <c r="BF17" i="6"/>
  <c r="BA6" i="4"/>
  <c r="BA92" i="4"/>
  <c r="BA106" i="4"/>
  <c r="BA82" i="4" s="1"/>
  <c r="AZ70" i="4"/>
  <c r="AZ69" i="4"/>
  <c r="AY67" i="4"/>
  <c r="AZ55" i="4"/>
  <c r="AZ50" i="4"/>
  <c r="BA125" i="4"/>
  <c r="BA27" i="4" s="1"/>
  <c r="BA129" i="4"/>
  <c r="BA127" i="4"/>
  <c r="BA131" i="4"/>
  <c r="BA128" i="4"/>
  <c r="BA130" i="4"/>
  <c r="BA126" i="4"/>
  <c r="BB114" i="4"/>
  <c r="BF20" i="6" s="1"/>
  <c r="BB103" i="4"/>
  <c r="BB107" i="4" s="1"/>
  <c r="AZ65" i="4"/>
  <c r="AZ61" i="4"/>
  <c r="AZ66" i="4"/>
  <c r="AZ60" i="4"/>
  <c r="AZ64" i="4"/>
  <c r="AZ63" i="4"/>
  <c r="AZ62" i="4"/>
  <c r="AZ71" i="4"/>
  <c r="BC115" i="4"/>
  <c r="BG21" i="6" s="1"/>
  <c r="BC112" i="4"/>
  <c r="BG18" i="6" s="1"/>
  <c r="BC97" i="4"/>
  <c r="BC113" i="4" s="1"/>
  <c r="BG19" i="6" s="1"/>
  <c r="BC108" i="4"/>
  <c r="BC116" i="4" s="1"/>
  <c r="BG22" i="6" s="1"/>
  <c r="BC104" i="4"/>
  <c r="BC91" i="4"/>
  <c r="BC102" i="4"/>
  <c r="BD17" i="4"/>
  <c r="BC12" i="4"/>
  <c r="BC13" i="4" s="1"/>
  <c r="AZ57" i="4"/>
  <c r="AZ34" i="4"/>
  <c r="AZ28" i="4"/>
  <c r="AZ39" i="4"/>
  <c r="BB15" i="4"/>
  <c r="BB16" i="4" s="1"/>
  <c r="BC5" i="4"/>
  <c r="BB8" i="4"/>
  <c r="BB9" i="4"/>
  <c r="BB7" i="4"/>
  <c r="BF16" i="6" l="1"/>
  <c r="BG17" i="6"/>
  <c r="BB6" i="4"/>
  <c r="BA96" i="4"/>
  <c r="BB92" i="4" s="1"/>
  <c r="BB96" i="4" s="1"/>
  <c r="BA95" i="4"/>
  <c r="BA81" i="4" s="1"/>
  <c r="BC92" i="4"/>
  <c r="BC96" i="4" s="1"/>
  <c r="BB95" i="4"/>
  <c r="BB81" i="4" s="1"/>
  <c r="BA70" i="4"/>
  <c r="BA69" i="4"/>
  <c r="BA55" i="4"/>
  <c r="BA50" i="4"/>
  <c r="BA65" i="4"/>
  <c r="BA66" i="4"/>
  <c r="BA61" i="4"/>
  <c r="BA60" i="4"/>
  <c r="BA71" i="4"/>
  <c r="BA62" i="4"/>
  <c r="BA63" i="4"/>
  <c r="BA64" i="4"/>
  <c r="BC15" i="4"/>
  <c r="BC16" i="4" s="1"/>
  <c r="BC9" i="4"/>
  <c r="BD5" i="4"/>
  <c r="BC8" i="4"/>
  <c r="BC7" i="4"/>
  <c r="AZ67" i="4"/>
  <c r="BA57" i="4"/>
  <c r="BA34" i="4"/>
  <c r="BA28" i="4"/>
  <c r="BA39" i="4"/>
  <c r="BC103" i="4"/>
  <c r="BC107" i="4" s="1"/>
  <c r="BC114" i="4"/>
  <c r="BG20" i="6" s="1"/>
  <c r="BB129" i="4"/>
  <c r="BB131" i="4"/>
  <c r="BB128" i="4"/>
  <c r="BB130" i="4"/>
  <c r="BB125" i="4"/>
  <c r="BB27" i="4" s="1"/>
  <c r="BB127" i="4"/>
  <c r="BB126" i="4"/>
  <c r="BD115" i="4"/>
  <c r="BH21" i="6" s="1"/>
  <c r="BD112" i="4"/>
  <c r="BH18" i="6" s="1"/>
  <c r="BD97" i="4"/>
  <c r="BD113" i="4" s="1"/>
  <c r="BH19" i="6" s="1"/>
  <c r="BD91" i="4"/>
  <c r="BD104" i="4"/>
  <c r="BD102" i="4"/>
  <c r="BD108" i="4"/>
  <c r="BD116" i="4" s="1"/>
  <c r="BH22" i="6" s="1"/>
  <c r="BD12" i="4"/>
  <c r="BD13" i="4" s="1"/>
  <c r="BE17" i="4"/>
  <c r="BB106" i="4"/>
  <c r="BB82" i="4" s="1"/>
  <c r="BH17" i="6" l="1"/>
  <c r="BG16" i="6"/>
  <c r="BC6" i="4"/>
  <c r="BD92" i="4"/>
  <c r="BD96" i="4" s="1"/>
  <c r="BC95" i="4"/>
  <c r="BC81" i="4" s="1"/>
  <c r="BC106" i="4"/>
  <c r="BC82" i="4" s="1"/>
  <c r="BB60" i="4"/>
  <c r="BB61" i="4"/>
  <c r="BB65" i="4"/>
  <c r="BB66" i="4"/>
  <c r="BB64" i="4"/>
  <c r="BB62" i="4"/>
  <c r="BB71" i="4"/>
  <c r="BB63" i="4"/>
  <c r="BD114" i="4"/>
  <c r="BH20" i="6" s="1"/>
  <c r="BD103" i="4"/>
  <c r="BD107" i="4" s="1"/>
  <c r="BB55" i="4"/>
  <c r="BB50" i="4"/>
  <c r="BA67" i="4"/>
  <c r="BD95" i="4"/>
  <c r="BD81" i="4" s="1"/>
  <c r="BD15" i="4"/>
  <c r="BD16" i="4" s="1"/>
  <c r="BE5" i="4"/>
  <c r="BD8" i="4"/>
  <c r="BD9" i="4"/>
  <c r="BD7" i="4"/>
  <c r="BB70" i="4"/>
  <c r="BB69" i="4"/>
  <c r="BB57" i="4"/>
  <c r="BB34" i="4"/>
  <c r="BB28" i="4"/>
  <c r="BB39" i="4"/>
  <c r="BE112" i="4"/>
  <c r="BI18" i="6" s="1"/>
  <c r="BE91" i="4"/>
  <c r="BE97" i="4"/>
  <c r="BE113" i="4" s="1"/>
  <c r="BI19" i="6" s="1"/>
  <c r="BE104" i="4"/>
  <c r="BE115" i="4"/>
  <c r="BI21" i="6" s="1"/>
  <c r="BE102" i="4"/>
  <c r="BE108" i="4"/>
  <c r="BE116" i="4" s="1"/>
  <c r="BI22" i="6" s="1"/>
  <c r="BE12" i="4"/>
  <c r="BE13" i="4" s="1"/>
  <c r="BF17" i="4"/>
  <c r="BC129" i="4"/>
  <c r="BC128" i="4"/>
  <c r="BC131" i="4"/>
  <c r="BC125" i="4"/>
  <c r="BC27" i="4" s="1"/>
  <c r="BC130" i="4"/>
  <c r="BC127" i="4"/>
  <c r="BC126" i="4"/>
  <c r="BD6" i="4" l="1"/>
  <c r="BH16" i="6"/>
  <c r="BI17" i="6"/>
  <c r="BE92" i="4"/>
  <c r="BE96" i="4" s="1"/>
  <c r="BB67" i="4"/>
  <c r="BC55" i="4"/>
  <c r="BC50" i="4"/>
  <c r="BC66" i="4"/>
  <c r="BC65" i="4"/>
  <c r="BC60" i="4"/>
  <c r="BC61" i="4"/>
  <c r="BC71" i="4"/>
  <c r="BC63" i="4"/>
  <c r="BC64" i="4"/>
  <c r="BC62" i="4"/>
  <c r="BD106" i="4"/>
  <c r="BD82" i="4" s="1"/>
  <c r="BF97" i="4"/>
  <c r="BF113" i="4" s="1"/>
  <c r="BJ19" i="6" s="1"/>
  <c r="BF112" i="4"/>
  <c r="BJ18" i="6" s="1"/>
  <c r="BF91" i="4"/>
  <c r="BF92" i="4" s="1"/>
  <c r="BF96" i="4" s="1"/>
  <c r="BF115" i="4"/>
  <c r="BJ21" i="6" s="1"/>
  <c r="BF108" i="4"/>
  <c r="BF116" i="4" s="1"/>
  <c r="BJ22" i="6" s="1"/>
  <c r="BF104" i="4"/>
  <c r="BF102" i="4"/>
  <c r="BF12" i="4"/>
  <c r="BF13" i="4" s="1"/>
  <c r="BG17" i="4"/>
  <c r="BE15" i="4"/>
  <c r="BE16" i="4" s="1"/>
  <c r="BE8" i="4"/>
  <c r="BE9" i="4"/>
  <c r="BE7" i="4"/>
  <c r="BE6" i="4" s="1"/>
  <c r="BF5" i="4"/>
  <c r="BD128" i="4"/>
  <c r="BD130" i="4"/>
  <c r="BD125" i="4"/>
  <c r="BD27" i="4" s="1"/>
  <c r="BD127" i="4"/>
  <c r="BD126" i="4"/>
  <c r="BD131" i="4"/>
  <c r="BD129" i="4"/>
  <c r="BC57" i="4"/>
  <c r="BC34" i="4"/>
  <c r="BC28" i="4"/>
  <c r="BC39" i="4"/>
  <c r="BE114" i="4"/>
  <c r="BI20" i="6" s="1"/>
  <c r="BE103" i="4"/>
  <c r="BE107" i="4" s="1"/>
  <c r="BC70" i="4"/>
  <c r="BC69" i="4"/>
  <c r="BJ17" i="6" l="1"/>
  <c r="BI16" i="6"/>
  <c r="BE95" i="4"/>
  <c r="BE81" i="4" s="1"/>
  <c r="BE106" i="4"/>
  <c r="BE82" i="4" s="1"/>
  <c r="BC67" i="4"/>
  <c r="BD57" i="4"/>
  <c r="BD34" i="4"/>
  <c r="BD28" i="4"/>
  <c r="BD39" i="4"/>
  <c r="BE128" i="4"/>
  <c r="BE125" i="4"/>
  <c r="BE27" i="4" s="1"/>
  <c r="BE129" i="4"/>
  <c r="BE130" i="4"/>
  <c r="BE127" i="4"/>
  <c r="BE131" i="4"/>
  <c r="BE126" i="4"/>
  <c r="BG104" i="4"/>
  <c r="BG115" i="4"/>
  <c r="BK21" i="6" s="1"/>
  <c r="BG97" i="4"/>
  <c r="BG113" i="4" s="1"/>
  <c r="BK19" i="6" s="1"/>
  <c r="BG91" i="4"/>
  <c r="BG92" i="4" s="1"/>
  <c r="BG96" i="4" s="1"/>
  <c r="BG102" i="4"/>
  <c r="BG112" i="4"/>
  <c r="BK18" i="6" s="1"/>
  <c r="BG108" i="4"/>
  <c r="BG116" i="4" s="1"/>
  <c r="BK22" i="6" s="1"/>
  <c r="BG12" i="4"/>
  <c r="BG13" i="4" s="1"/>
  <c r="BH17" i="4"/>
  <c r="BD70" i="4"/>
  <c r="BD69" i="4"/>
  <c r="BD61" i="4"/>
  <c r="BD65" i="4"/>
  <c r="BD66" i="4"/>
  <c r="BD60" i="4"/>
  <c r="BD71" i="4"/>
  <c r="BD63" i="4"/>
  <c r="BD64" i="4"/>
  <c r="BD62" i="4"/>
  <c r="BF95" i="4"/>
  <c r="BF81" i="4" s="1"/>
  <c r="BF9" i="4"/>
  <c r="BF7" i="4"/>
  <c r="BF15" i="4"/>
  <c r="BF16" i="4" s="1"/>
  <c r="BG5" i="4"/>
  <c r="BF8" i="4"/>
  <c r="BF114" i="4"/>
  <c r="BJ20" i="6" s="1"/>
  <c r="BF103" i="4"/>
  <c r="BF107" i="4" s="1"/>
  <c r="BD55" i="4"/>
  <c r="BD50" i="4"/>
  <c r="BJ16" i="6" l="1"/>
  <c r="BK17" i="6"/>
  <c r="BG114" i="4"/>
  <c r="BK20" i="6" s="1"/>
  <c r="BG103" i="4"/>
  <c r="BG107" i="4" s="1"/>
  <c r="BG95" i="4"/>
  <c r="BG81" i="4" s="1"/>
  <c r="BG9" i="4"/>
  <c r="BG7" i="4"/>
  <c r="BG15" i="4"/>
  <c r="BG16" i="4" s="1"/>
  <c r="BH5" i="4"/>
  <c r="BG8" i="4"/>
  <c r="BE55" i="4"/>
  <c r="BE50" i="4"/>
  <c r="BF6" i="4"/>
  <c r="BE65" i="4"/>
  <c r="BE60" i="4"/>
  <c r="BE61" i="4"/>
  <c r="BE66" i="4"/>
  <c r="BE64" i="4"/>
  <c r="BE71" i="4"/>
  <c r="BE62" i="4"/>
  <c r="BE63" i="4"/>
  <c r="BH115" i="4"/>
  <c r="BL21" i="6" s="1"/>
  <c r="BH104" i="4"/>
  <c r="BH108" i="4"/>
  <c r="BH116" i="4" s="1"/>
  <c r="BL22" i="6" s="1"/>
  <c r="BH97" i="4"/>
  <c r="BH113" i="4" s="1"/>
  <c r="BL19" i="6" s="1"/>
  <c r="BH102" i="4"/>
  <c r="BH91" i="4"/>
  <c r="BH92" i="4" s="1"/>
  <c r="BH96" i="4" s="1"/>
  <c r="BH112" i="4"/>
  <c r="BL18" i="6" s="1"/>
  <c r="BH12" i="4"/>
  <c r="BH13" i="4" s="1"/>
  <c r="BI17" i="4"/>
  <c r="BE70" i="4"/>
  <c r="BE69" i="4"/>
  <c r="BF128" i="4"/>
  <c r="BF127" i="4"/>
  <c r="BF125" i="4"/>
  <c r="BF27" i="4" s="1"/>
  <c r="BF129" i="4"/>
  <c r="BF126" i="4"/>
  <c r="BF130" i="4"/>
  <c r="BF131" i="4"/>
  <c r="BF106" i="4"/>
  <c r="BF82" i="4" s="1"/>
  <c r="BE57" i="4"/>
  <c r="BE34" i="4"/>
  <c r="BE28" i="4"/>
  <c r="BE39" i="4"/>
  <c r="BD67" i="4"/>
  <c r="BK16" i="6" l="1"/>
  <c r="BL17" i="6"/>
  <c r="BG106" i="4"/>
  <c r="BG82" i="4" s="1"/>
  <c r="BG127" i="4"/>
  <c r="BG128" i="4"/>
  <c r="BG125" i="4"/>
  <c r="BG27" i="4" s="1"/>
  <c r="BG129" i="4"/>
  <c r="BG130" i="4"/>
  <c r="BG126" i="4"/>
  <c r="BG131" i="4"/>
  <c r="BG6" i="4"/>
  <c r="BF65" i="4"/>
  <c r="BF61" i="4"/>
  <c r="BF66" i="4"/>
  <c r="BF60" i="4"/>
  <c r="BF62" i="4"/>
  <c r="BF64" i="4"/>
  <c r="BF71" i="4"/>
  <c r="BF63" i="4"/>
  <c r="BE67" i="4"/>
  <c r="BI115" i="4"/>
  <c r="BM21" i="6" s="1"/>
  <c r="BI104" i="4"/>
  <c r="BI108" i="4"/>
  <c r="BI116" i="4" s="1"/>
  <c r="BM22" i="6" s="1"/>
  <c r="BI97" i="4"/>
  <c r="BI113" i="4" s="1"/>
  <c r="BM19" i="6" s="1"/>
  <c r="BI102" i="4"/>
  <c r="BI112" i="4"/>
  <c r="BM18" i="6" s="1"/>
  <c r="BI91" i="4"/>
  <c r="BI92" i="4" s="1"/>
  <c r="BI96" i="4" s="1"/>
  <c r="BI12" i="4"/>
  <c r="BI13" i="4" s="1"/>
  <c r="BJ17" i="4"/>
  <c r="BF57" i="4"/>
  <c r="BF28" i="4"/>
  <c r="BF34" i="4"/>
  <c r="BF39" i="4"/>
  <c r="BF70" i="4"/>
  <c r="BF69" i="4"/>
  <c r="BH95" i="4"/>
  <c r="BH81" i="4" s="1"/>
  <c r="BH15" i="4"/>
  <c r="BH16" i="4" s="1"/>
  <c r="BH9" i="4"/>
  <c r="BH7" i="4"/>
  <c r="BH8" i="4"/>
  <c r="BI5" i="4"/>
  <c r="BF55" i="4"/>
  <c r="BF50" i="4"/>
  <c r="BH114" i="4"/>
  <c r="BL20" i="6" s="1"/>
  <c r="BH103" i="4"/>
  <c r="BH107" i="4" s="1"/>
  <c r="BL16" i="6" l="1"/>
  <c r="BM17" i="6"/>
  <c r="BI114" i="4"/>
  <c r="BM20" i="6" s="1"/>
  <c r="BI103" i="4"/>
  <c r="BI107" i="4" s="1"/>
  <c r="BI95" i="4"/>
  <c r="BI81" i="4" s="1"/>
  <c r="BI15" i="4"/>
  <c r="BI16" i="4" s="1"/>
  <c r="BJ5" i="4"/>
  <c r="BI9" i="4"/>
  <c r="BI8" i="4"/>
  <c r="BI7" i="4"/>
  <c r="BI6" i="4" s="1"/>
  <c r="BG70" i="4"/>
  <c r="BG69" i="4"/>
  <c r="BG55" i="4"/>
  <c r="BG50" i="4"/>
  <c r="BH6" i="4"/>
  <c r="BG65" i="4"/>
  <c r="BG60" i="4"/>
  <c r="BG61" i="4"/>
  <c r="BG66" i="4"/>
  <c r="BG71" i="4"/>
  <c r="BG64" i="4"/>
  <c r="BG62" i="4"/>
  <c r="BG63" i="4"/>
  <c r="BG57" i="4"/>
  <c r="BG34" i="4"/>
  <c r="BG28" i="4"/>
  <c r="BG39" i="4"/>
  <c r="BH106" i="4"/>
  <c r="BH82" i="4" s="1"/>
  <c r="BJ112" i="4"/>
  <c r="BN18" i="6" s="1"/>
  <c r="BJ115" i="4"/>
  <c r="BN21" i="6" s="1"/>
  <c r="BJ104" i="4"/>
  <c r="BJ108" i="4"/>
  <c r="BJ116" i="4" s="1"/>
  <c r="BN22" i="6" s="1"/>
  <c r="BJ97" i="4"/>
  <c r="BJ113" i="4" s="1"/>
  <c r="BN19" i="6" s="1"/>
  <c r="BJ102" i="4"/>
  <c r="BJ91" i="4"/>
  <c r="BJ92" i="4" s="1"/>
  <c r="BJ96" i="4" s="1"/>
  <c r="BJ12" i="4"/>
  <c r="BJ13" i="4" s="1"/>
  <c r="BK17" i="4"/>
  <c r="BH127" i="4"/>
  <c r="BH131" i="4"/>
  <c r="BH128" i="4"/>
  <c r="BH125" i="4"/>
  <c r="BH27" i="4" s="1"/>
  <c r="BH129" i="4"/>
  <c r="BH126" i="4"/>
  <c r="BH130" i="4"/>
  <c r="BF67" i="4"/>
  <c r="BM16" i="6" l="1"/>
  <c r="BN17" i="6"/>
  <c r="BI106" i="4"/>
  <c r="BI82" i="4" s="1"/>
  <c r="BG67" i="4"/>
  <c r="BH65" i="4"/>
  <c r="BH66" i="4"/>
  <c r="BH61" i="4"/>
  <c r="BH60" i="4"/>
  <c r="BH62" i="4"/>
  <c r="BH63" i="4"/>
  <c r="BH71" i="4"/>
  <c r="BH64" i="4"/>
  <c r="BK104" i="4"/>
  <c r="BK108" i="4"/>
  <c r="BK116" i="4" s="1"/>
  <c r="BO22" i="6" s="1"/>
  <c r="BK115" i="4"/>
  <c r="BO21" i="6" s="1"/>
  <c r="BK102" i="4"/>
  <c r="BK91" i="4"/>
  <c r="BK92" i="4" s="1"/>
  <c r="BK96" i="4" s="1"/>
  <c r="BK97" i="4"/>
  <c r="BK113" i="4" s="1"/>
  <c r="BO19" i="6" s="1"/>
  <c r="BK12" i="4"/>
  <c r="BK13" i="4" s="1"/>
  <c r="BL17" i="4"/>
  <c r="BK112" i="4"/>
  <c r="BO18" i="6" s="1"/>
  <c r="BI127" i="4"/>
  <c r="BI131" i="4"/>
  <c r="BI126" i="4"/>
  <c r="BI125" i="4"/>
  <c r="BI27" i="4" s="1"/>
  <c r="BI129" i="4"/>
  <c r="BI130" i="4"/>
  <c r="BI128" i="4"/>
  <c r="BH55" i="4"/>
  <c r="BH50" i="4"/>
  <c r="BJ103" i="4"/>
  <c r="BJ107" i="4" s="1"/>
  <c r="BJ114" i="4"/>
  <c r="BN20" i="6" s="1"/>
  <c r="BH70" i="4"/>
  <c r="BH69" i="4"/>
  <c r="BH57" i="4"/>
  <c r="BH28" i="4"/>
  <c r="BH34" i="4"/>
  <c r="BH39" i="4"/>
  <c r="BJ95" i="4"/>
  <c r="BJ81" i="4" s="1"/>
  <c r="BJ15" i="4"/>
  <c r="BJ16" i="4" s="1"/>
  <c r="BJ8" i="4"/>
  <c r="BJ9" i="4"/>
  <c r="BJ7" i="4"/>
  <c r="BJ6" i="4" s="1"/>
  <c r="BK5" i="4"/>
  <c r="BN16" i="6" l="1"/>
  <c r="BO17" i="6"/>
  <c r="BI57" i="4"/>
  <c r="BI34" i="4"/>
  <c r="BI28" i="4"/>
  <c r="BI39" i="4"/>
  <c r="BI70" i="4"/>
  <c r="BI69" i="4"/>
  <c r="BI66" i="4"/>
  <c r="BI61" i="4"/>
  <c r="BI65" i="4"/>
  <c r="BI60" i="4"/>
  <c r="BI71" i="4"/>
  <c r="BI62" i="4"/>
  <c r="BI64" i="4"/>
  <c r="BI63" i="4"/>
  <c r="BI55" i="4"/>
  <c r="BI50" i="4"/>
  <c r="BL104" i="4"/>
  <c r="BL102" i="4"/>
  <c r="BL91" i="4"/>
  <c r="BL92" i="4" s="1"/>
  <c r="BL96" i="4" s="1"/>
  <c r="BL112" i="4"/>
  <c r="BP18" i="6" s="1"/>
  <c r="BL97" i="4"/>
  <c r="BL113" i="4" s="1"/>
  <c r="BP19" i="6" s="1"/>
  <c r="BM17" i="4"/>
  <c r="BL12" i="4"/>
  <c r="BL13" i="4" s="1"/>
  <c r="BH67" i="4"/>
  <c r="BJ131" i="4"/>
  <c r="BJ126" i="4"/>
  <c r="BJ129" i="4"/>
  <c r="BJ130" i="4"/>
  <c r="BJ127" i="4"/>
  <c r="BJ125" i="4"/>
  <c r="BJ27" i="4" s="1"/>
  <c r="BJ128" i="4"/>
  <c r="BK103" i="4"/>
  <c r="BK107" i="4" s="1"/>
  <c r="BK114" i="4"/>
  <c r="BO20" i="6" s="1"/>
  <c r="BK95" i="4"/>
  <c r="BK81" i="4" s="1"/>
  <c r="BK15" i="4"/>
  <c r="BK16" i="4" s="1"/>
  <c r="BL5" i="4"/>
  <c r="BK9" i="4"/>
  <c r="BK7" i="4"/>
  <c r="BK8" i="4"/>
  <c r="BJ106" i="4"/>
  <c r="BJ82" i="4" s="1"/>
  <c r="BO16" i="6" l="1"/>
  <c r="BP17" i="6"/>
  <c r="BI67" i="4"/>
  <c r="BJ57" i="4"/>
  <c r="BJ28" i="4"/>
  <c r="BJ34" i="4"/>
  <c r="BJ39" i="4"/>
  <c r="BL103" i="4"/>
  <c r="BL114" i="4"/>
  <c r="BP20" i="6" s="1"/>
  <c r="BJ70" i="4"/>
  <c r="BJ69" i="4"/>
  <c r="BK131" i="4"/>
  <c r="BK126" i="4"/>
  <c r="BK130" i="4"/>
  <c r="BK129" i="4"/>
  <c r="BK127" i="4"/>
  <c r="BK125" i="4"/>
  <c r="BK27" i="4" s="1"/>
  <c r="BK128" i="4"/>
  <c r="BJ55" i="4"/>
  <c r="BJ50" i="4"/>
  <c r="BM115" i="4"/>
  <c r="BQ21" i="6" s="1"/>
  <c r="BM108" i="4"/>
  <c r="BM116" i="4" s="1"/>
  <c r="BQ22" i="6" s="1"/>
  <c r="BM102" i="4"/>
  <c r="BM97" i="4"/>
  <c r="BM113" i="4" s="1"/>
  <c r="BQ19" i="6" s="1"/>
  <c r="BM104" i="4"/>
  <c r="BM91" i="4"/>
  <c r="BM92" i="4" s="1"/>
  <c r="BM96" i="4" s="1"/>
  <c r="BM112" i="4"/>
  <c r="BQ18" i="6" s="1"/>
  <c r="BN17" i="4"/>
  <c r="BM12" i="4"/>
  <c r="BM13" i="4" s="1"/>
  <c r="BL95" i="4"/>
  <c r="BL81" i="4" s="1"/>
  <c r="BL15" i="4"/>
  <c r="BL16" i="4" s="1"/>
  <c r="BM5" i="4"/>
  <c r="BL8" i="4"/>
  <c r="BL9" i="4"/>
  <c r="BL7" i="4"/>
  <c r="BL6" i="4" s="1"/>
  <c r="BK106" i="4"/>
  <c r="BK82" i="4" s="1"/>
  <c r="BJ65" i="4"/>
  <c r="BJ60" i="4"/>
  <c r="BJ61" i="4"/>
  <c r="BJ66" i="4"/>
  <c r="BJ71" i="4"/>
  <c r="BJ64" i="4"/>
  <c r="BJ62" i="4"/>
  <c r="BJ63" i="4"/>
  <c r="BK6" i="4"/>
  <c r="BQ17" i="6" l="1"/>
  <c r="BP16" i="6"/>
  <c r="BL107" i="4"/>
  <c r="BL108" i="4"/>
  <c r="BL116" i="4" s="1"/>
  <c r="BP22" i="6" s="1"/>
  <c r="BL126" i="4"/>
  <c r="BL130" i="4"/>
  <c r="BL125" i="4"/>
  <c r="BL27" i="4" s="1"/>
  <c r="BL127" i="4"/>
  <c r="BL129" i="4"/>
  <c r="BL131" i="4"/>
  <c r="BL128" i="4"/>
  <c r="BM95" i="4"/>
  <c r="BM81" i="4" s="1"/>
  <c r="BM15" i="4"/>
  <c r="BM16" i="4" s="1"/>
  <c r="BN5" i="4"/>
  <c r="BM8" i="4"/>
  <c r="BM9" i="4"/>
  <c r="BM7" i="4"/>
  <c r="BM6" i="4" s="1"/>
  <c r="BK34" i="4"/>
  <c r="BK57" i="4"/>
  <c r="BK28" i="4"/>
  <c r="BK39" i="4"/>
  <c r="BK65" i="4"/>
  <c r="BK66" i="4"/>
  <c r="BK61" i="4"/>
  <c r="BK60" i="4"/>
  <c r="BK71" i="4"/>
  <c r="BK62" i="4"/>
  <c r="BK63" i="4"/>
  <c r="BK64" i="4"/>
  <c r="BN115" i="4"/>
  <c r="BR21" i="6" s="1"/>
  <c r="BN108" i="4"/>
  <c r="BN116" i="4" s="1"/>
  <c r="BR22" i="6" s="1"/>
  <c r="BN102" i="4"/>
  <c r="BN112" i="4"/>
  <c r="BR18" i="6" s="1"/>
  <c r="BN97" i="4"/>
  <c r="BN113" i="4" s="1"/>
  <c r="BR19" i="6" s="1"/>
  <c r="BN91" i="4"/>
  <c r="BN92" i="4" s="1"/>
  <c r="BN96" i="4" s="1"/>
  <c r="BN104" i="4"/>
  <c r="BN12" i="4"/>
  <c r="BN13" i="4" s="1"/>
  <c r="BO17" i="4"/>
  <c r="BM114" i="4"/>
  <c r="BQ20" i="6" s="1"/>
  <c r="BK70" i="4"/>
  <c r="BK69" i="4"/>
  <c r="BL106" i="4"/>
  <c r="BL82" i="4" s="1"/>
  <c r="BJ67" i="4"/>
  <c r="BK55" i="4"/>
  <c r="BK50" i="4"/>
  <c r="BQ16" i="6" l="1"/>
  <c r="BR17" i="6"/>
  <c r="BM103" i="4"/>
  <c r="BM107" i="4" s="1"/>
  <c r="BN103" i="4" s="1"/>
  <c r="BN107" i="4" s="1"/>
  <c r="BN114" i="4"/>
  <c r="BR20" i="6" s="1"/>
  <c r="BL61" i="4"/>
  <c r="BL65" i="4"/>
  <c r="BL60" i="4"/>
  <c r="BL66" i="4"/>
  <c r="BL64" i="4"/>
  <c r="BL71" i="4"/>
  <c r="BL62" i="4"/>
  <c r="BL63" i="4"/>
  <c r="BO115" i="4"/>
  <c r="BS21" i="6" s="1"/>
  <c r="BO108" i="4"/>
  <c r="BO116" i="4" s="1"/>
  <c r="BS22" i="6" s="1"/>
  <c r="BO112" i="4"/>
  <c r="BS18" i="6" s="1"/>
  <c r="BO102" i="4"/>
  <c r="BO97" i="4"/>
  <c r="BO113" i="4" s="1"/>
  <c r="BS19" i="6" s="1"/>
  <c r="BO91" i="4"/>
  <c r="BO92" i="4" s="1"/>
  <c r="BO96" i="4" s="1"/>
  <c r="BO104" i="4"/>
  <c r="BP17" i="4"/>
  <c r="BO12" i="4"/>
  <c r="BO13" i="4" s="1"/>
  <c r="BL57" i="4"/>
  <c r="BL34" i="4"/>
  <c r="BL28" i="4"/>
  <c r="BL39" i="4"/>
  <c r="BK67" i="4"/>
  <c r="BN95" i="4"/>
  <c r="BN81" i="4" s="1"/>
  <c r="BN15" i="4"/>
  <c r="BN16" i="4" s="1"/>
  <c r="BO5" i="4"/>
  <c r="BN8" i="4"/>
  <c r="BN7" i="4"/>
  <c r="BN9" i="4"/>
  <c r="BL70" i="4"/>
  <c r="BL69" i="4"/>
  <c r="BM130" i="4"/>
  <c r="BM125" i="4"/>
  <c r="BM27" i="4" s="1"/>
  <c r="BM126" i="4"/>
  <c r="BM127" i="4"/>
  <c r="BM129" i="4"/>
  <c r="BM131" i="4"/>
  <c r="BM128" i="4"/>
  <c r="BL55" i="4"/>
  <c r="BL50" i="4"/>
  <c r="BR16" i="6" l="1"/>
  <c r="BS17" i="6"/>
  <c r="BM106" i="4"/>
  <c r="BM82" i="4" s="1"/>
  <c r="BN6" i="4"/>
  <c r="BM55" i="4"/>
  <c r="BM50" i="4"/>
  <c r="BL67" i="4"/>
  <c r="BO114" i="4"/>
  <c r="BS20" i="6" s="1"/>
  <c r="BO103" i="4"/>
  <c r="BO107" i="4" s="1"/>
  <c r="BM70" i="4"/>
  <c r="BM69" i="4"/>
  <c r="BO95" i="4"/>
  <c r="BO81" i="4" s="1"/>
  <c r="BO15" i="4"/>
  <c r="BO16" i="4" s="1"/>
  <c r="BP5" i="4"/>
  <c r="BO8" i="4"/>
  <c r="BO9" i="4"/>
  <c r="BO7" i="4"/>
  <c r="BO6" i="4" s="1"/>
  <c r="BM57" i="4"/>
  <c r="BM34" i="4"/>
  <c r="BM28" i="4"/>
  <c r="BM39" i="4"/>
  <c r="BN130" i="4"/>
  <c r="BN125" i="4"/>
  <c r="BN27" i="4" s="1"/>
  <c r="BN129" i="4"/>
  <c r="BN126" i="4"/>
  <c r="BN127" i="4"/>
  <c r="BN131" i="4"/>
  <c r="BN128" i="4"/>
  <c r="BN106" i="4"/>
  <c r="BN82" i="4" s="1"/>
  <c r="BM61" i="4"/>
  <c r="BM65" i="4"/>
  <c r="BM66" i="4"/>
  <c r="BM60" i="4"/>
  <c r="BM63" i="4"/>
  <c r="BM71" i="4"/>
  <c r="BM64" i="4"/>
  <c r="BM62" i="4"/>
  <c r="BP115" i="4"/>
  <c r="BT21" i="6" s="1"/>
  <c r="BP108" i="4"/>
  <c r="BP116" i="4" s="1"/>
  <c r="BT22" i="6" s="1"/>
  <c r="BP112" i="4"/>
  <c r="BT18" i="6" s="1"/>
  <c r="BP102" i="4"/>
  <c r="BP97" i="4"/>
  <c r="BP113" i="4" s="1"/>
  <c r="BT19" i="6" s="1"/>
  <c r="BP91" i="4"/>
  <c r="BP92" i="4" s="1"/>
  <c r="BP96" i="4" s="1"/>
  <c r="BP104" i="4"/>
  <c r="BP12" i="4"/>
  <c r="BP13" i="4" s="1"/>
  <c r="BQ17" i="4"/>
  <c r="BS16" i="6" l="1"/>
  <c r="BT17" i="6"/>
  <c r="BM67" i="4"/>
  <c r="BN70" i="4"/>
  <c r="BN69" i="4"/>
  <c r="BQ115" i="4"/>
  <c r="BU21" i="6" s="1"/>
  <c r="BQ112" i="4"/>
  <c r="BU18" i="6" s="1"/>
  <c r="BQ97" i="4"/>
  <c r="BQ113" i="4" s="1"/>
  <c r="BU19" i="6" s="1"/>
  <c r="BQ91" i="4"/>
  <c r="BQ92" i="4" s="1"/>
  <c r="BQ96" i="4" s="1"/>
  <c r="BQ102" i="4"/>
  <c r="BQ104" i="4"/>
  <c r="BQ108" i="4"/>
  <c r="BQ116" i="4" s="1"/>
  <c r="BU22" i="6" s="1"/>
  <c r="BR17" i="4"/>
  <c r="BQ12" i="4"/>
  <c r="BQ13" i="4" s="1"/>
  <c r="BN61" i="4"/>
  <c r="BN60" i="4"/>
  <c r="BN65" i="4"/>
  <c r="BN66" i="4"/>
  <c r="BN71" i="4"/>
  <c r="BN64" i="4"/>
  <c r="BN63" i="4"/>
  <c r="BN62" i="4"/>
  <c r="BP95" i="4"/>
  <c r="BP81" i="4" s="1"/>
  <c r="BP15" i="4"/>
  <c r="BP16" i="4" s="1"/>
  <c r="BQ5" i="4"/>
  <c r="BP8" i="4"/>
  <c r="BP9" i="4"/>
  <c r="BP7" i="4"/>
  <c r="BO125" i="4"/>
  <c r="BO27" i="4" s="1"/>
  <c r="BO129" i="4"/>
  <c r="BO126" i="4"/>
  <c r="BO130" i="4"/>
  <c r="BO127" i="4"/>
  <c r="BO131" i="4"/>
  <c r="BO128" i="4"/>
  <c r="BN55" i="4"/>
  <c r="BN50" i="4"/>
  <c r="BN57" i="4"/>
  <c r="BN34" i="4"/>
  <c r="BN28" i="4"/>
  <c r="BN39" i="4"/>
  <c r="BP114" i="4"/>
  <c r="BT20" i="6" s="1"/>
  <c r="BP103" i="4"/>
  <c r="BP107" i="4" s="1"/>
  <c r="BO106" i="4"/>
  <c r="BO82" i="4" s="1"/>
  <c r="BP6" i="4" l="1"/>
  <c r="BT16" i="6"/>
  <c r="BU17" i="6"/>
  <c r="BP106" i="4"/>
  <c r="BP82" i="4" s="1"/>
  <c r="BR115" i="4"/>
  <c r="BV21" i="6" s="1"/>
  <c r="BR112" i="4"/>
  <c r="BV18" i="6" s="1"/>
  <c r="BR97" i="4"/>
  <c r="BR113" i="4" s="1"/>
  <c r="BV19" i="6" s="1"/>
  <c r="BR91" i="4"/>
  <c r="BR92" i="4" s="1"/>
  <c r="BR96" i="4" s="1"/>
  <c r="BR102" i="4"/>
  <c r="BR108" i="4"/>
  <c r="BR116" i="4" s="1"/>
  <c r="BV22" i="6" s="1"/>
  <c r="BR104" i="4"/>
  <c r="BR12" i="4"/>
  <c r="BR13" i="4" s="1"/>
  <c r="BS17" i="4"/>
  <c r="BO66" i="4"/>
  <c r="BO61" i="4"/>
  <c r="BO65" i="4"/>
  <c r="BO60" i="4"/>
  <c r="BO62" i="4"/>
  <c r="BO63" i="4"/>
  <c r="BO64" i="4"/>
  <c r="BO71" i="4"/>
  <c r="BO55" i="4"/>
  <c r="BO50" i="4"/>
  <c r="BO70" i="4"/>
  <c r="BO69" i="4"/>
  <c r="BQ95" i="4"/>
  <c r="BQ81" i="4" s="1"/>
  <c r="BQ15" i="4"/>
  <c r="BQ16" i="4" s="1"/>
  <c r="BQ9" i="4"/>
  <c r="BR5" i="4"/>
  <c r="BQ8" i="4"/>
  <c r="BQ7" i="4"/>
  <c r="BO57" i="4"/>
  <c r="BO34" i="4"/>
  <c r="BO28" i="4"/>
  <c r="BO39" i="4"/>
  <c r="BP129" i="4"/>
  <c r="BP126" i="4"/>
  <c r="BP130" i="4"/>
  <c r="BP127" i="4"/>
  <c r="BP131" i="4"/>
  <c r="BP128" i="4"/>
  <c r="BP125" i="4"/>
  <c r="BP27" i="4" s="1"/>
  <c r="BQ114" i="4"/>
  <c r="BU20" i="6" s="1"/>
  <c r="BQ103" i="4"/>
  <c r="BQ107" i="4" s="1"/>
  <c r="BN67" i="4"/>
  <c r="BV17" i="6" l="1"/>
  <c r="BU16" i="6"/>
  <c r="BQ6" i="4"/>
  <c r="BQ106" i="4"/>
  <c r="BQ82" i="4" s="1"/>
  <c r="BP57" i="4"/>
  <c r="BP34" i="4"/>
  <c r="BP28" i="4"/>
  <c r="BP39" i="4"/>
  <c r="BR114" i="4"/>
  <c r="BV20" i="6" s="1"/>
  <c r="BR103" i="4"/>
  <c r="BR107" i="4" s="1"/>
  <c r="BP65" i="4"/>
  <c r="BP60" i="4"/>
  <c r="BP61" i="4"/>
  <c r="BP66" i="4"/>
  <c r="BP62" i="4"/>
  <c r="BP71" i="4"/>
  <c r="BP63" i="4"/>
  <c r="BP64" i="4"/>
  <c r="BR95" i="4"/>
  <c r="BR81" i="4" s="1"/>
  <c r="BR15" i="4"/>
  <c r="BR16" i="4" s="1"/>
  <c r="BS5" i="4"/>
  <c r="BR8" i="4"/>
  <c r="BR7" i="4"/>
  <c r="BR9" i="4"/>
  <c r="BS112" i="4"/>
  <c r="BW18" i="6" s="1"/>
  <c r="BS91" i="4"/>
  <c r="BS92" i="4" s="1"/>
  <c r="BS96" i="4" s="1"/>
  <c r="BS104" i="4"/>
  <c r="BS102" i="4"/>
  <c r="BS12" i="4"/>
  <c r="BS13" i="4" s="1"/>
  <c r="BT17" i="4"/>
  <c r="BP70" i="4"/>
  <c r="BP69" i="4"/>
  <c r="BP55" i="4"/>
  <c r="BP50" i="4"/>
  <c r="BO67" i="4"/>
  <c r="BQ129" i="4"/>
  <c r="BQ128" i="4"/>
  <c r="BQ130" i="4"/>
  <c r="BQ127" i="4"/>
  <c r="BQ131" i="4"/>
  <c r="BQ125" i="4"/>
  <c r="BQ27" i="4" s="1"/>
  <c r="BQ126" i="4"/>
  <c r="BW17" i="6" l="1"/>
  <c r="BV16" i="6"/>
  <c r="BR6" i="4"/>
  <c r="BR106" i="4"/>
  <c r="BR82" i="4" s="1"/>
  <c r="BQ57" i="4"/>
  <c r="BQ34" i="4"/>
  <c r="BQ28" i="4"/>
  <c r="BQ39" i="4"/>
  <c r="BT112" i="4"/>
  <c r="BX18" i="6" s="1"/>
  <c r="BT97" i="4"/>
  <c r="BT113" i="4" s="1"/>
  <c r="BX19" i="6" s="1"/>
  <c r="BT115" i="4"/>
  <c r="BX21" i="6" s="1"/>
  <c r="BT91" i="4"/>
  <c r="BT104" i="4"/>
  <c r="BT102" i="4"/>
  <c r="BT108" i="4"/>
  <c r="BT116" i="4" s="1"/>
  <c r="BX22" i="6" s="1"/>
  <c r="BT84" i="4"/>
  <c r="BT117" i="4" s="1"/>
  <c r="BX23" i="6" s="1"/>
  <c r="BT12" i="4"/>
  <c r="BT13" i="4" s="1"/>
  <c r="BU17" i="4"/>
  <c r="BP67" i="4"/>
  <c r="BQ61" i="4"/>
  <c r="BQ66" i="4"/>
  <c r="BQ65" i="4"/>
  <c r="BQ60" i="4"/>
  <c r="BQ64" i="4"/>
  <c r="BQ62" i="4"/>
  <c r="BQ71" i="4"/>
  <c r="BQ63" i="4"/>
  <c r="BQ70" i="4"/>
  <c r="BQ69" i="4"/>
  <c r="BQ55" i="4"/>
  <c r="BQ50" i="4"/>
  <c r="BS95" i="4"/>
  <c r="BS81" i="4" s="1"/>
  <c r="BS15" i="4"/>
  <c r="BS16" i="4" s="1"/>
  <c r="BS8" i="4"/>
  <c r="BS7" i="4"/>
  <c r="BS6" i="4" s="1"/>
  <c r="BS9" i="4"/>
  <c r="BT5" i="4"/>
  <c r="BR128" i="4"/>
  <c r="BR130" i="4"/>
  <c r="BR127" i="4"/>
  <c r="BR131" i="4"/>
  <c r="BR125" i="4"/>
  <c r="BR27" i="4" s="1"/>
  <c r="BR129" i="4"/>
  <c r="BR126" i="4"/>
  <c r="BS97" i="4"/>
  <c r="BS113" i="4" s="1"/>
  <c r="BW19" i="6" s="1"/>
  <c r="BS114" i="4"/>
  <c r="BW20" i="6" s="1"/>
  <c r="BS103" i="4"/>
  <c r="BX17" i="6" l="1"/>
  <c r="BW16" i="6"/>
  <c r="BT92" i="4"/>
  <c r="BT96" i="4" s="1"/>
  <c r="BT15" i="4"/>
  <c r="BT16" i="4" s="1"/>
  <c r="BT7" i="4"/>
  <c r="BT9" i="4"/>
  <c r="BT8" i="4"/>
  <c r="BU5" i="4"/>
  <c r="BQ67" i="4"/>
  <c r="BS107" i="4"/>
  <c r="BS108" i="4"/>
  <c r="BS116" i="4" s="1"/>
  <c r="BW22" i="6" s="1"/>
  <c r="BU115" i="4"/>
  <c r="BY21" i="6" s="1"/>
  <c r="BU112" i="4"/>
  <c r="BY18" i="6" s="1"/>
  <c r="BU104" i="4"/>
  <c r="BU84" i="4"/>
  <c r="BU117" i="4" s="1"/>
  <c r="BY23" i="6" s="1"/>
  <c r="BU102" i="4"/>
  <c r="BU108" i="4"/>
  <c r="BU116" i="4" s="1"/>
  <c r="BY22" i="6" s="1"/>
  <c r="BU97" i="4"/>
  <c r="BU113" i="4" s="1"/>
  <c r="BY19" i="6" s="1"/>
  <c r="BU91" i="4"/>
  <c r="BU12" i="4"/>
  <c r="BU13" i="4" s="1"/>
  <c r="BV17" i="4"/>
  <c r="BR70" i="4"/>
  <c r="BR69" i="4"/>
  <c r="BS128" i="4"/>
  <c r="BS127" i="4"/>
  <c r="BS131" i="4"/>
  <c r="BS125" i="4"/>
  <c r="BS27" i="4" s="1"/>
  <c r="BS129" i="4"/>
  <c r="BS126" i="4"/>
  <c r="BS130" i="4"/>
  <c r="BR57" i="4"/>
  <c r="BR34" i="4"/>
  <c r="BR28" i="4"/>
  <c r="BR39" i="4"/>
  <c r="BR55" i="4"/>
  <c r="BR50" i="4"/>
  <c r="BT114" i="4"/>
  <c r="BX20" i="6" s="1"/>
  <c r="BX26" i="6" s="1"/>
  <c r="BX27" i="6" s="1"/>
  <c r="BS106" i="4"/>
  <c r="BS82" i="4" s="1"/>
  <c r="BR65" i="4"/>
  <c r="BR61" i="4"/>
  <c r="BR66" i="4"/>
  <c r="BR60" i="4"/>
  <c r="BR62" i="4"/>
  <c r="BR63" i="4"/>
  <c r="BR64" i="4"/>
  <c r="BR71" i="4"/>
  <c r="BY17" i="6" l="1"/>
  <c r="BX16" i="6"/>
  <c r="BT103" i="4"/>
  <c r="BT107" i="4" s="1"/>
  <c r="BU103" i="4" s="1"/>
  <c r="BU107" i="4" s="1"/>
  <c r="BT118" i="4"/>
  <c r="BT119" i="4" s="1"/>
  <c r="BT95" i="4"/>
  <c r="BT81" i="4" s="1"/>
  <c r="BU92" i="4"/>
  <c r="BU96" i="4" s="1"/>
  <c r="BU15" i="4"/>
  <c r="BU16" i="4" s="1"/>
  <c r="BU7" i="4"/>
  <c r="BU9" i="4"/>
  <c r="BV5" i="4"/>
  <c r="BU8" i="4"/>
  <c r="BS66" i="4"/>
  <c r="BS65" i="4"/>
  <c r="BS61" i="4"/>
  <c r="BS60" i="4"/>
  <c r="BS63" i="4"/>
  <c r="BS71" i="4"/>
  <c r="BS64" i="4"/>
  <c r="BS62" i="4"/>
  <c r="BT6" i="4"/>
  <c r="BU114" i="4"/>
  <c r="BR67" i="4"/>
  <c r="BV115" i="4"/>
  <c r="BZ21" i="6" s="1"/>
  <c r="BV112" i="4"/>
  <c r="BZ18" i="6" s="1"/>
  <c r="BV104" i="4"/>
  <c r="BV84" i="4"/>
  <c r="BV117" i="4" s="1"/>
  <c r="BZ23" i="6" s="1"/>
  <c r="BV108" i="4"/>
  <c r="BV116" i="4" s="1"/>
  <c r="BZ22" i="6" s="1"/>
  <c r="BV102" i="4"/>
  <c r="BV97" i="4"/>
  <c r="BV113" i="4" s="1"/>
  <c r="BZ19" i="6" s="1"/>
  <c r="BV91" i="4"/>
  <c r="BV12" i="4"/>
  <c r="BV13" i="4" s="1"/>
  <c r="BW17" i="4"/>
  <c r="BT128" i="4"/>
  <c r="BT127" i="4"/>
  <c r="BT131" i="4"/>
  <c r="BT125" i="4"/>
  <c r="BT27" i="4" s="1"/>
  <c r="BT129" i="4"/>
  <c r="BT126" i="4"/>
  <c r="BT130" i="4"/>
  <c r="BS70" i="4"/>
  <c r="BS69" i="4"/>
  <c r="BS55" i="4"/>
  <c r="BS50" i="4"/>
  <c r="BS34" i="4"/>
  <c r="BS57" i="4"/>
  <c r="BS28" i="4"/>
  <c r="BS39" i="4"/>
  <c r="BY16" i="6" l="1"/>
  <c r="BZ17" i="6"/>
  <c r="BU118" i="4"/>
  <c r="BU119" i="4" s="1"/>
  <c r="BY20" i="6"/>
  <c r="BY26" i="6" s="1"/>
  <c r="BY27" i="6" s="1"/>
  <c r="BU95" i="4"/>
  <c r="BU81" i="4" s="1"/>
  <c r="BV92" i="4"/>
  <c r="BV96" i="4" s="1"/>
  <c r="BT106" i="4"/>
  <c r="BT82" i="4" s="1"/>
  <c r="BW115" i="4"/>
  <c r="CA21" i="6" s="1"/>
  <c r="BW112" i="4"/>
  <c r="CA18" i="6" s="1"/>
  <c r="BW104" i="4"/>
  <c r="BW84" i="4"/>
  <c r="BW117" i="4" s="1"/>
  <c r="CA23" i="6" s="1"/>
  <c r="BW108" i="4"/>
  <c r="BW116" i="4" s="1"/>
  <c r="CA22" i="6" s="1"/>
  <c r="BW97" i="4"/>
  <c r="BW113" i="4" s="1"/>
  <c r="CA19" i="6" s="1"/>
  <c r="BW91" i="4"/>
  <c r="BW102" i="4"/>
  <c r="BW12" i="4"/>
  <c r="BW13" i="4" s="1"/>
  <c r="BX17" i="4"/>
  <c r="BS67" i="4"/>
  <c r="BV114" i="4"/>
  <c r="BZ20" i="6" s="1"/>
  <c r="BZ26" i="6" s="1"/>
  <c r="BZ27" i="6" s="1"/>
  <c r="BV103" i="4"/>
  <c r="BV107" i="4" s="1"/>
  <c r="BU6" i="4"/>
  <c r="BU127" i="4"/>
  <c r="BU131" i="4"/>
  <c r="BU128" i="4"/>
  <c r="BU125" i="4"/>
  <c r="BU27" i="4" s="1"/>
  <c r="BU129" i="4"/>
  <c r="BU126" i="4"/>
  <c r="BU130" i="4"/>
  <c r="BT55" i="4"/>
  <c r="BT50" i="4"/>
  <c r="BU106" i="4"/>
  <c r="BU82" i="4" s="1"/>
  <c r="BT57" i="4"/>
  <c r="BT34" i="4"/>
  <c r="BT28" i="4"/>
  <c r="BT39" i="4"/>
  <c r="BT61" i="4"/>
  <c r="BT60" i="4"/>
  <c r="BT65" i="4"/>
  <c r="BT66" i="4"/>
  <c r="BT64" i="4"/>
  <c r="BT63" i="4"/>
  <c r="BT62" i="4"/>
  <c r="BT71" i="4"/>
  <c r="BV15" i="4"/>
  <c r="BV16" i="4" s="1"/>
  <c r="BV7" i="4"/>
  <c r="BV9" i="4"/>
  <c r="BV8" i="4"/>
  <c r="BW5" i="4"/>
  <c r="BT70" i="4"/>
  <c r="BT69" i="4"/>
  <c r="BZ16" i="6" l="1"/>
  <c r="CA17" i="6"/>
  <c r="BV95" i="4"/>
  <c r="BV81" i="4" s="1"/>
  <c r="BW92" i="4"/>
  <c r="BW96" i="4" s="1"/>
  <c r="BV106" i="4"/>
  <c r="BV82" i="4" s="1"/>
  <c r="BV118" i="4"/>
  <c r="BV119" i="4" s="1"/>
  <c r="BW114" i="4"/>
  <c r="CA20" i="6" s="1"/>
  <c r="CA26" i="6" s="1"/>
  <c r="CA27" i="6" s="1"/>
  <c r="BW103" i="4"/>
  <c r="BW107" i="4" s="1"/>
  <c r="BW9" i="4"/>
  <c r="BX5" i="4"/>
  <c r="BW8" i="4"/>
  <c r="BW15" i="4"/>
  <c r="BW16" i="4" s="1"/>
  <c r="BW7" i="4"/>
  <c r="BW6" i="4" s="1"/>
  <c r="BU70" i="4"/>
  <c r="BU69" i="4"/>
  <c r="BV6" i="4"/>
  <c r="BU55" i="4"/>
  <c r="BU50" i="4"/>
  <c r="BU34" i="4"/>
  <c r="BU57" i="4"/>
  <c r="BU28" i="4"/>
  <c r="BU39" i="4"/>
  <c r="BU65" i="4"/>
  <c r="BU60" i="4"/>
  <c r="BU61" i="4"/>
  <c r="BU66" i="4"/>
  <c r="BU71" i="4"/>
  <c r="BU63" i="4"/>
  <c r="BU64" i="4"/>
  <c r="BU62" i="4"/>
  <c r="BT67" i="4"/>
  <c r="BV127" i="4"/>
  <c r="BV131" i="4"/>
  <c r="BV128" i="4"/>
  <c r="BV129" i="4"/>
  <c r="BV126" i="4"/>
  <c r="BV125" i="4"/>
  <c r="BV27" i="4" s="1"/>
  <c r="BV130" i="4"/>
  <c r="BX112" i="4"/>
  <c r="CB18" i="6" s="1"/>
  <c r="BX115" i="4"/>
  <c r="CB21" i="6" s="1"/>
  <c r="BX104" i="4"/>
  <c r="BX84" i="4"/>
  <c r="BX117" i="4" s="1"/>
  <c r="CB23" i="6" s="1"/>
  <c r="BX108" i="4"/>
  <c r="BX116" i="4" s="1"/>
  <c r="CB22" i="6" s="1"/>
  <c r="BX97" i="4"/>
  <c r="BX113" i="4" s="1"/>
  <c r="CB19" i="6" s="1"/>
  <c r="BX91" i="4"/>
  <c r="BX102" i="4"/>
  <c r="BX12" i="4"/>
  <c r="BX13" i="4" s="1"/>
  <c r="BY17" i="4"/>
  <c r="CB17" i="6" l="1"/>
  <c r="CA16" i="6"/>
  <c r="BW95" i="4"/>
  <c r="BW81" i="4" s="1"/>
  <c r="BX92" i="4"/>
  <c r="BX96" i="4" s="1"/>
  <c r="BW118" i="4"/>
  <c r="BW119" i="4" s="1"/>
  <c r="BW106" i="4"/>
  <c r="BW82" i="4" s="1"/>
  <c r="BW127" i="4"/>
  <c r="BW131" i="4"/>
  <c r="BW126" i="4"/>
  <c r="BW128" i="4"/>
  <c r="BW125" i="4"/>
  <c r="BW27" i="4" s="1"/>
  <c r="BW129" i="4"/>
  <c r="BW130" i="4"/>
  <c r="BV57" i="4"/>
  <c r="BV34" i="4"/>
  <c r="BV28" i="4"/>
  <c r="BV39" i="4"/>
  <c r="BV55" i="4"/>
  <c r="BV50" i="4"/>
  <c r="BU67" i="4"/>
  <c r="BX15" i="4"/>
  <c r="BX16" i="4" s="1"/>
  <c r="BX8" i="4"/>
  <c r="BX7" i="4"/>
  <c r="BX6" i="4" s="1"/>
  <c r="BY5" i="4"/>
  <c r="BX9" i="4"/>
  <c r="BY112" i="4"/>
  <c r="CC18" i="6" s="1"/>
  <c r="BY104" i="4"/>
  <c r="BY108" i="4"/>
  <c r="BY116" i="4" s="1"/>
  <c r="CC22" i="6" s="1"/>
  <c r="BY84" i="4"/>
  <c r="BY117" i="4" s="1"/>
  <c r="CC23" i="6" s="1"/>
  <c r="BY115" i="4"/>
  <c r="CC21" i="6" s="1"/>
  <c r="BY97" i="4"/>
  <c r="BY113" i="4" s="1"/>
  <c r="CC19" i="6" s="1"/>
  <c r="BY91" i="4"/>
  <c r="BY102" i="4"/>
  <c r="BY12" i="4"/>
  <c r="BY13" i="4" s="1"/>
  <c r="BZ17" i="4"/>
  <c r="BV65" i="4"/>
  <c r="BV61" i="4"/>
  <c r="BV66" i="4"/>
  <c r="BV60" i="4"/>
  <c r="BV63" i="4"/>
  <c r="BV64" i="4"/>
  <c r="BV71" i="4"/>
  <c r="BV62" i="4"/>
  <c r="BV70" i="4"/>
  <c r="BV69" i="4"/>
  <c r="BX114" i="4"/>
  <c r="BX103" i="4"/>
  <c r="BX107" i="4" s="1"/>
  <c r="CB16" i="6" l="1"/>
  <c r="CC17" i="6"/>
  <c r="BX118" i="4"/>
  <c r="BX119" i="4" s="1"/>
  <c r="CB20" i="6"/>
  <c r="CB26" i="6" s="1"/>
  <c r="CB27" i="6" s="1"/>
  <c r="BX95" i="4"/>
  <c r="BX81" i="4" s="1"/>
  <c r="BY92" i="4"/>
  <c r="BY96" i="4" s="1"/>
  <c r="BW70" i="4"/>
  <c r="BW69" i="4"/>
  <c r="BZ115" i="4"/>
  <c r="CD21" i="6" s="1"/>
  <c r="BZ108" i="4"/>
  <c r="BZ116" i="4" s="1"/>
  <c r="CD22" i="6" s="1"/>
  <c r="BZ104" i="4"/>
  <c r="BZ102" i="4"/>
  <c r="BZ97" i="4"/>
  <c r="BZ113" i="4" s="1"/>
  <c r="CD19" i="6" s="1"/>
  <c r="BZ91" i="4"/>
  <c r="BZ112" i="4"/>
  <c r="CD18" i="6" s="1"/>
  <c r="BZ84" i="4"/>
  <c r="BZ117" i="4" s="1"/>
  <c r="CD23" i="6" s="1"/>
  <c r="CA17" i="4"/>
  <c r="BZ12" i="4"/>
  <c r="BZ13" i="4" s="1"/>
  <c r="BX106" i="4"/>
  <c r="BX82" i="4" s="1"/>
  <c r="BW57" i="4"/>
  <c r="BW34" i="4"/>
  <c r="BW28" i="4"/>
  <c r="BW39" i="4"/>
  <c r="BW55" i="4"/>
  <c r="BW50" i="4"/>
  <c r="BZ5" i="4"/>
  <c r="BY7" i="4"/>
  <c r="BY8" i="4"/>
  <c r="BY15" i="4"/>
  <c r="BY16" i="4" s="1"/>
  <c r="BY9" i="4"/>
  <c r="BV67" i="4"/>
  <c r="BY114" i="4"/>
  <c r="BY103" i="4"/>
  <c r="BY107" i="4" s="1"/>
  <c r="BX131" i="4"/>
  <c r="BX126" i="4"/>
  <c r="BX128" i="4"/>
  <c r="BX125" i="4"/>
  <c r="BX27" i="4" s="1"/>
  <c r="BX129" i="4"/>
  <c r="BX127" i="4"/>
  <c r="BX130" i="4"/>
  <c r="BW61" i="4"/>
  <c r="BW65" i="4"/>
  <c r="BW60" i="4"/>
  <c r="BW66" i="4"/>
  <c r="BW71" i="4"/>
  <c r="BW62" i="4"/>
  <c r="BW63" i="4"/>
  <c r="BW64" i="4"/>
  <c r="CC16" i="6" l="1"/>
  <c r="CD17" i="6"/>
  <c r="BY118" i="4"/>
  <c r="BY119" i="4" s="1"/>
  <c r="CC20" i="6"/>
  <c r="CC26" i="6" s="1"/>
  <c r="CC27" i="6" s="1"/>
  <c r="BZ92" i="4"/>
  <c r="BZ96" i="4" s="1"/>
  <c r="BY95" i="4"/>
  <c r="BY81" i="4" s="1"/>
  <c r="BY106" i="4"/>
  <c r="BY82" i="4" s="1"/>
  <c r="BX70" i="4"/>
  <c r="BX69" i="4"/>
  <c r="BZ95" i="4"/>
  <c r="BZ81" i="4" s="1"/>
  <c r="BZ15" i="4"/>
  <c r="BZ16" i="4" s="1"/>
  <c r="CA5" i="4"/>
  <c r="BZ8" i="4"/>
  <c r="BZ9" i="4"/>
  <c r="BZ7" i="4"/>
  <c r="BZ6" i="4" s="1"/>
  <c r="BX55" i="4"/>
  <c r="BX50" i="4"/>
  <c r="CA115" i="4"/>
  <c r="CE21" i="6" s="1"/>
  <c r="CA108" i="4"/>
  <c r="CA116" i="4" s="1"/>
  <c r="CE22" i="6" s="1"/>
  <c r="CA102" i="4"/>
  <c r="CA97" i="4"/>
  <c r="CA113" i="4" s="1"/>
  <c r="CE19" i="6" s="1"/>
  <c r="CA104" i="4"/>
  <c r="CA91" i="4"/>
  <c r="CA112" i="4"/>
  <c r="CE18" i="6" s="1"/>
  <c r="CA84" i="4"/>
  <c r="CA117" i="4" s="1"/>
  <c r="CE23" i="6" s="1"/>
  <c r="CB17" i="4"/>
  <c r="CA12" i="4"/>
  <c r="CA13" i="4" s="1"/>
  <c r="BY131" i="4"/>
  <c r="BY126" i="4"/>
  <c r="BY130" i="4"/>
  <c r="BY128" i="4"/>
  <c r="BY125" i="4"/>
  <c r="BY27" i="4" s="1"/>
  <c r="BY129" i="4"/>
  <c r="BY127" i="4"/>
  <c r="BY6" i="4"/>
  <c r="BZ114" i="4"/>
  <c r="CD20" i="6" s="1"/>
  <c r="CD26" i="6" s="1"/>
  <c r="CD27" i="6" s="1"/>
  <c r="BZ103" i="4"/>
  <c r="BZ107" i="4" s="1"/>
  <c r="BX57" i="4"/>
  <c r="BX34" i="4"/>
  <c r="BX28" i="4"/>
  <c r="BX39" i="4"/>
  <c r="BX65" i="4"/>
  <c r="BX60" i="4"/>
  <c r="BX61" i="4"/>
  <c r="BX66" i="4"/>
  <c r="BX62" i="4"/>
  <c r="BX64" i="4"/>
  <c r="BX63" i="4"/>
  <c r="BX71" i="4"/>
  <c r="BW67" i="4"/>
  <c r="CD16" i="6" l="1"/>
  <c r="CE17" i="6"/>
  <c r="CA92" i="4"/>
  <c r="CA96" i="4" s="1"/>
  <c r="BZ118" i="4"/>
  <c r="BZ119" i="4" s="1"/>
  <c r="BY61" i="4"/>
  <c r="BY65" i="4"/>
  <c r="BY66" i="4"/>
  <c r="BY60" i="4"/>
  <c r="BY62" i="4"/>
  <c r="BY64" i="4"/>
  <c r="BY63" i="4"/>
  <c r="BY71" i="4"/>
  <c r="BY70" i="4"/>
  <c r="BY69" i="4"/>
  <c r="BZ126" i="4"/>
  <c r="BZ130" i="4"/>
  <c r="BZ125" i="4"/>
  <c r="BZ27" i="4" s="1"/>
  <c r="BZ128" i="4"/>
  <c r="BZ129" i="4"/>
  <c r="BZ127" i="4"/>
  <c r="BZ131" i="4"/>
  <c r="BZ106" i="4"/>
  <c r="BZ82" i="4" s="1"/>
  <c r="CA114" i="4"/>
  <c r="CE20" i="6" s="1"/>
  <c r="CE26" i="6" s="1"/>
  <c r="CE27" i="6" s="1"/>
  <c r="CA103" i="4"/>
  <c r="CA107" i="4" s="1"/>
  <c r="BX67" i="4"/>
  <c r="BY57" i="4"/>
  <c r="BY34" i="4"/>
  <c r="BY28" i="4"/>
  <c r="BY39" i="4"/>
  <c r="BY55" i="4"/>
  <c r="BY50" i="4"/>
  <c r="CB115" i="4"/>
  <c r="CF21" i="6" s="1"/>
  <c r="CB108" i="4"/>
  <c r="CB116" i="4" s="1"/>
  <c r="CF22" i="6" s="1"/>
  <c r="CB102" i="4"/>
  <c r="CB97" i="4"/>
  <c r="CB113" i="4" s="1"/>
  <c r="CF19" i="6" s="1"/>
  <c r="CB104" i="4"/>
  <c r="CB112" i="4"/>
  <c r="CF18" i="6" s="1"/>
  <c r="CB91" i="4"/>
  <c r="CB92" i="4" s="1"/>
  <c r="CB96" i="4" s="1"/>
  <c r="CB84" i="4"/>
  <c r="CB117" i="4" s="1"/>
  <c r="CF23" i="6" s="1"/>
  <c r="CB12" i="4"/>
  <c r="CB13" i="4" s="1"/>
  <c r="CC17" i="4"/>
  <c r="CA95" i="4"/>
  <c r="CA81" i="4" s="1"/>
  <c r="CA15" i="4"/>
  <c r="CA16" i="4" s="1"/>
  <c r="CB5" i="4"/>
  <c r="CA8" i="4"/>
  <c r="CA7" i="4"/>
  <c r="CA6" i="4" s="1"/>
  <c r="CA9" i="4"/>
  <c r="CE16" i="6" l="1"/>
  <c r="CF17" i="6"/>
  <c r="CA118" i="4"/>
  <c r="CA119" i="4" s="1"/>
  <c r="BY67" i="4"/>
  <c r="BZ65" i="4"/>
  <c r="BZ66" i="4"/>
  <c r="BZ60" i="4"/>
  <c r="BZ61" i="4"/>
  <c r="BZ71" i="4"/>
  <c r="BZ62" i="4"/>
  <c r="BZ63" i="4"/>
  <c r="BZ64" i="4"/>
  <c r="BZ57" i="4"/>
  <c r="BZ34" i="4"/>
  <c r="BZ28" i="4"/>
  <c r="BZ39" i="4"/>
  <c r="BZ70" i="4"/>
  <c r="BZ69" i="4"/>
  <c r="CB95" i="4"/>
  <c r="CB81" i="4" s="1"/>
  <c r="CB15" i="4"/>
  <c r="CB16" i="4" s="1"/>
  <c r="CC5" i="4"/>
  <c r="CB8" i="4"/>
  <c r="CB9" i="4"/>
  <c r="CB7" i="4"/>
  <c r="BZ55" i="4"/>
  <c r="BZ50" i="4"/>
  <c r="CA130" i="4"/>
  <c r="CA125" i="4"/>
  <c r="CA27" i="4" s="1"/>
  <c r="CA129" i="4"/>
  <c r="CA127" i="4"/>
  <c r="CA131" i="4"/>
  <c r="CA128" i="4"/>
  <c r="CA126" i="4"/>
  <c r="CA106" i="4"/>
  <c r="CA82" i="4" s="1"/>
  <c r="CC115" i="4"/>
  <c r="CG21" i="6" s="1"/>
  <c r="CC108" i="4"/>
  <c r="CC116" i="4" s="1"/>
  <c r="CG22" i="6" s="1"/>
  <c r="CC104" i="4"/>
  <c r="CC112" i="4"/>
  <c r="CG18" i="6" s="1"/>
  <c r="CC102" i="4"/>
  <c r="CC97" i="4"/>
  <c r="CC113" i="4" s="1"/>
  <c r="CG19" i="6" s="1"/>
  <c r="CC84" i="4"/>
  <c r="CC117" i="4" s="1"/>
  <c r="CG23" i="6" s="1"/>
  <c r="CC91" i="4"/>
  <c r="CC92" i="4" s="1"/>
  <c r="CC96" i="4" s="1"/>
  <c r="CD17" i="4"/>
  <c r="CC12" i="4"/>
  <c r="CC13" i="4" s="1"/>
  <c r="CB114" i="4"/>
  <c r="CF20" i="6" s="1"/>
  <c r="CF26" i="6" s="1"/>
  <c r="CF27" i="6" s="1"/>
  <c r="CB103" i="4"/>
  <c r="CB107" i="4" s="1"/>
  <c r="CG17" i="6" l="1"/>
  <c r="CF16" i="6"/>
  <c r="CB118" i="4"/>
  <c r="CB119" i="4" s="1"/>
  <c r="CB130" i="4"/>
  <c r="CB125" i="4"/>
  <c r="CB27" i="4" s="1"/>
  <c r="CB129" i="4"/>
  <c r="CB126" i="4"/>
  <c r="CB131" i="4"/>
  <c r="CB128" i="4"/>
  <c r="CB127" i="4"/>
  <c r="BZ67" i="4"/>
  <c r="CA55" i="4"/>
  <c r="CA50" i="4"/>
  <c r="CC95" i="4"/>
  <c r="CC81" i="4" s="1"/>
  <c r="CC15" i="4"/>
  <c r="CC16" i="4" s="1"/>
  <c r="CD5" i="4"/>
  <c r="CC8" i="4"/>
  <c r="CC7" i="4"/>
  <c r="CC6" i="4" s="1"/>
  <c r="CC9" i="4"/>
  <c r="CD115" i="4"/>
  <c r="CH21" i="6" s="1"/>
  <c r="CD108" i="4"/>
  <c r="CD116" i="4" s="1"/>
  <c r="CH22" i="6" s="1"/>
  <c r="CD102" i="4"/>
  <c r="CD97" i="4"/>
  <c r="CD113" i="4" s="1"/>
  <c r="CH19" i="6" s="1"/>
  <c r="CD112" i="4"/>
  <c r="CH18" i="6" s="1"/>
  <c r="CD91" i="4"/>
  <c r="CD92" i="4" s="1"/>
  <c r="CD96" i="4" s="1"/>
  <c r="CD104" i="4"/>
  <c r="CD84" i="4"/>
  <c r="CD117" i="4" s="1"/>
  <c r="CH23" i="6" s="1"/>
  <c r="CD12" i="4"/>
  <c r="CD13" i="4" s="1"/>
  <c r="CE17" i="4"/>
  <c r="CA57" i="4"/>
  <c r="CA34" i="4"/>
  <c r="CA28" i="4"/>
  <c r="CA39" i="4"/>
  <c r="CC114" i="4"/>
  <c r="CC103" i="4"/>
  <c r="CC107" i="4" s="1"/>
  <c r="CA70" i="4"/>
  <c r="CA69" i="4"/>
  <c r="CB106" i="4"/>
  <c r="CB82" i="4" s="1"/>
  <c r="CA61" i="4"/>
  <c r="CA65" i="4"/>
  <c r="CA66" i="4"/>
  <c r="CA60" i="4"/>
  <c r="CA64" i="4"/>
  <c r="CA62" i="4"/>
  <c r="CA71" i="4"/>
  <c r="CA63" i="4"/>
  <c r="CB6" i="4"/>
  <c r="CG16" i="6" l="1"/>
  <c r="CH17" i="6"/>
  <c r="CC118" i="4"/>
  <c r="CC119" i="4" s="1"/>
  <c r="CG20" i="6"/>
  <c r="CG26" i="6" s="1"/>
  <c r="CG27" i="6" s="1"/>
  <c r="CC106" i="4"/>
  <c r="CC82" i="4" s="1"/>
  <c r="CB55" i="4"/>
  <c r="CB50" i="4"/>
  <c r="CE115" i="4"/>
  <c r="CI21" i="6" s="1"/>
  <c r="CE112" i="4"/>
  <c r="CI18" i="6" s="1"/>
  <c r="CE108" i="4"/>
  <c r="CE116" i="4" s="1"/>
  <c r="CI22" i="6" s="1"/>
  <c r="CE97" i="4"/>
  <c r="CE113" i="4" s="1"/>
  <c r="CI19" i="6" s="1"/>
  <c r="CE102" i="4"/>
  <c r="CE91" i="4"/>
  <c r="CE92" i="4" s="1"/>
  <c r="CE96" i="4" s="1"/>
  <c r="CE104" i="4"/>
  <c r="CE84" i="4"/>
  <c r="CE117" i="4" s="1"/>
  <c r="CI23" i="6" s="1"/>
  <c r="CF17" i="4"/>
  <c r="CE12" i="4"/>
  <c r="CE13" i="4" s="1"/>
  <c r="CB70" i="4"/>
  <c r="CB69" i="4"/>
  <c r="CD114" i="4"/>
  <c r="CD103" i="4"/>
  <c r="CD107" i="4" s="1"/>
  <c r="CB57" i="4"/>
  <c r="CB34" i="4"/>
  <c r="CB28" i="4"/>
  <c r="CB39" i="4"/>
  <c r="CD95" i="4"/>
  <c r="CD81" i="4" s="1"/>
  <c r="CD15" i="4"/>
  <c r="CD16" i="4" s="1"/>
  <c r="CE5" i="4"/>
  <c r="CD8" i="4"/>
  <c r="CD7" i="4"/>
  <c r="CD6" i="4" s="1"/>
  <c r="CD9" i="4"/>
  <c r="CC125" i="4"/>
  <c r="CC27" i="4" s="1"/>
  <c r="CC129" i="4"/>
  <c r="CC131" i="4"/>
  <c r="CC128" i="4"/>
  <c r="CC130" i="4"/>
  <c r="CC126" i="4"/>
  <c r="CC127" i="4"/>
  <c r="CA67" i="4"/>
  <c r="CB65" i="4"/>
  <c r="CB66" i="4"/>
  <c r="CB61" i="4"/>
  <c r="CB60" i="4"/>
  <c r="CB63" i="4"/>
  <c r="CB64" i="4"/>
  <c r="CB71" i="4"/>
  <c r="CB62" i="4"/>
  <c r="CI17" i="6" l="1"/>
  <c r="CH16" i="6"/>
  <c r="CD118" i="4"/>
  <c r="CD119" i="4" s="1"/>
  <c r="CH20" i="6"/>
  <c r="CH26" i="6" s="1"/>
  <c r="CH27" i="6" s="1"/>
  <c r="CC57" i="4"/>
  <c r="CC28" i="4"/>
  <c r="CC34" i="4"/>
  <c r="CC39" i="4"/>
  <c r="CE95" i="4"/>
  <c r="CE81" i="4" s="1"/>
  <c r="CE15" i="4"/>
  <c r="CE16" i="4" s="1"/>
  <c r="CE9" i="4"/>
  <c r="CF5" i="4"/>
  <c r="CE8" i="4"/>
  <c r="CE7" i="4"/>
  <c r="CE6" i="4" s="1"/>
  <c r="CE114" i="4"/>
  <c r="CI20" i="6" s="1"/>
  <c r="CI26" i="6" s="1"/>
  <c r="CI27" i="6" s="1"/>
  <c r="CE103" i="4"/>
  <c r="CE107" i="4" s="1"/>
  <c r="CD129" i="4"/>
  <c r="CD125" i="4"/>
  <c r="CD27" i="4" s="1"/>
  <c r="CD126" i="4"/>
  <c r="CD130" i="4"/>
  <c r="CD131" i="4"/>
  <c r="CD128" i="4"/>
  <c r="CD127" i="4"/>
  <c r="CD106" i="4"/>
  <c r="CD82" i="4" s="1"/>
  <c r="CF115" i="4"/>
  <c r="CJ21" i="6" s="1"/>
  <c r="CF112" i="4"/>
  <c r="CJ18" i="6" s="1"/>
  <c r="CF108" i="4"/>
  <c r="CF116" i="4" s="1"/>
  <c r="CJ22" i="6" s="1"/>
  <c r="CF97" i="4"/>
  <c r="CF113" i="4" s="1"/>
  <c r="CJ19" i="6" s="1"/>
  <c r="CF91" i="4"/>
  <c r="CF92" i="4" s="1"/>
  <c r="CF96" i="4" s="1"/>
  <c r="CF102" i="4"/>
  <c r="CF104" i="4"/>
  <c r="CF84" i="4"/>
  <c r="CF117" i="4" s="1"/>
  <c r="CJ23" i="6" s="1"/>
  <c r="CF12" i="4"/>
  <c r="CF13" i="4" s="1"/>
  <c r="CG17" i="4"/>
  <c r="CC61" i="4"/>
  <c r="CC65" i="4"/>
  <c r="CC66" i="4"/>
  <c r="CC60" i="4"/>
  <c r="CC64" i="4"/>
  <c r="CC63" i="4"/>
  <c r="CC62" i="4"/>
  <c r="CC71" i="4"/>
  <c r="CC55" i="4"/>
  <c r="CC50" i="4"/>
  <c r="CC70" i="4"/>
  <c r="CC69" i="4"/>
  <c r="CB67" i="4"/>
  <c r="CJ17" i="6" l="1"/>
  <c r="CI16" i="6"/>
  <c r="CE106" i="4"/>
  <c r="CE82" i="4" s="1"/>
  <c r="CE118" i="4"/>
  <c r="CE119" i="4" s="1"/>
  <c r="CD60" i="4"/>
  <c r="CD61" i="4"/>
  <c r="CD65" i="4"/>
  <c r="CD66" i="4"/>
  <c r="CD62" i="4"/>
  <c r="CD63" i="4"/>
  <c r="CD71" i="4"/>
  <c r="CD64" i="4"/>
  <c r="CG112" i="4"/>
  <c r="CK18" i="6" s="1"/>
  <c r="CG108" i="4"/>
  <c r="CG116" i="4" s="1"/>
  <c r="CK22" i="6" s="1"/>
  <c r="CG115" i="4"/>
  <c r="CK21" i="6" s="1"/>
  <c r="CG102" i="4"/>
  <c r="CG91" i="4"/>
  <c r="CG92" i="4" s="1"/>
  <c r="CG96" i="4" s="1"/>
  <c r="CG84" i="4"/>
  <c r="CG117" i="4" s="1"/>
  <c r="CK23" i="6" s="1"/>
  <c r="CG97" i="4"/>
  <c r="CG113" i="4" s="1"/>
  <c r="CK19" i="6" s="1"/>
  <c r="CG104" i="4"/>
  <c r="CG12" i="4"/>
  <c r="CG13" i="4" s="1"/>
  <c r="CH17" i="4"/>
  <c r="CE129" i="4"/>
  <c r="CE128" i="4"/>
  <c r="CE125" i="4"/>
  <c r="CE27" i="4" s="1"/>
  <c r="CE126" i="4"/>
  <c r="CE130" i="4"/>
  <c r="CE127" i="4"/>
  <c r="CE131" i="4"/>
  <c r="CD57" i="4"/>
  <c r="CD34" i="4"/>
  <c r="CD28" i="4"/>
  <c r="CD39" i="4"/>
  <c r="CC67" i="4"/>
  <c r="CF114" i="4"/>
  <c r="CJ20" i="6" s="1"/>
  <c r="CJ26" i="6" s="1"/>
  <c r="CJ27" i="6" s="1"/>
  <c r="CF103" i="4"/>
  <c r="CF107" i="4" s="1"/>
  <c r="CD70" i="4"/>
  <c r="CD69" i="4"/>
  <c r="CD55" i="4"/>
  <c r="CD50" i="4"/>
  <c r="CF95" i="4"/>
  <c r="CF81" i="4" s="1"/>
  <c r="CF15" i="4"/>
  <c r="CF16" i="4" s="1"/>
  <c r="CG5" i="4"/>
  <c r="CF8" i="4"/>
  <c r="CF7" i="4"/>
  <c r="CF6" i="4" s="1"/>
  <c r="CF9" i="4"/>
  <c r="CK17" i="6" l="1"/>
  <c r="CJ16" i="6"/>
  <c r="CF106" i="4"/>
  <c r="CF82" i="4" s="1"/>
  <c r="CF118" i="4"/>
  <c r="CF119" i="4" s="1"/>
  <c r="CE60" i="4"/>
  <c r="CE66" i="4"/>
  <c r="CE61" i="4"/>
  <c r="CE65" i="4"/>
  <c r="CE62" i="4"/>
  <c r="CE71" i="4"/>
  <c r="CE64" i="4"/>
  <c r="CE63" i="4"/>
  <c r="CG114" i="4"/>
  <c r="CK20" i="6" s="1"/>
  <c r="CK26" i="6" s="1"/>
  <c r="CK27" i="6" s="1"/>
  <c r="CG103" i="4"/>
  <c r="CG107" i="4" s="1"/>
  <c r="CE57" i="4"/>
  <c r="CE34" i="4"/>
  <c r="CE28" i="4"/>
  <c r="CE39" i="4"/>
  <c r="CD67" i="4"/>
  <c r="CE55" i="4"/>
  <c r="CE50" i="4"/>
  <c r="CG95" i="4"/>
  <c r="CG81" i="4" s="1"/>
  <c r="CG15" i="4"/>
  <c r="CG16" i="4" s="1"/>
  <c r="CG8" i="4"/>
  <c r="CG7" i="4"/>
  <c r="CG6" i="4" s="1"/>
  <c r="CG9" i="4"/>
  <c r="CH5" i="4"/>
  <c r="CH97" i="4"/>
  <c r="CH113" i="4" s="1"/>
  <c r="CL19" i="6" s="1"/>
  <c r="CH115" i="4"/>
  <c r="CL21" i="6" s="1"/>
  <c r="CH102" i="4"/>
  <c r="CH112" i="4"/>
  <c r="CL18" i="6" s="1"/>
  <c r="CH108" i="4"/>
  <c r="CH116" i="4" s="1"/>
  <c r="CL22" i="6" s="1"/>
  <c r="CH91" i="4"/>
  <c r="CH92" i="4" s="1"/>
  <c r="CH96" i="4" s="1"/>
  <c r="CH84" i="4"/>
  <c r="CH117" i="4" s="1"/>
  <c r="CL23" i="6" s="1"/>
  <c r="CH104" i="4"/>
  <c r="CH12" i="4"/>
  <c r="CH13" i="4" s="1"/>
  <c r="CI17" i="4"/>
  <c r="CE70" i="4"/>
  <c r="CE69" i="4"/>
  <c r="CF128" i="4"/>
  <c r="CF129" i="4"/>
  <c r="CF126" i="4"/>
  <c r="CF130" i="4"/>
  <c r="CF131" i="4"/>
  <c r="CF125" i="4"/>
  <c r="CF27" i="4" s="1"/>
  <c r="CF127" i="4"/>
  <c r="CL17" i="6" l="1"/>
  <c r="CK16" i="6"/>
  <c r="CG118" i="4"/>
  <c r="CG119" i="4" s="1"/>
  <c r="CH95" i="4"/>
  <c r="CH81" i="4" s="1"/>
  <c r="CH7" i="4"/>
  <c r="CH9" i="4"/>
  <c r="CH15" i="4"/>
  <c r="CH16" i="4" s="1"/>
  <c r="CI5" i="4"/>
  <c r="CH8" i="4"/>
  <c r="CH114" i="4"/>
  <c r="CL20" i="6" s="1"/>
  <c r="CL26" i="6" s="1"/>
  <c r="CL27" i="6" s="1"/>
  <c r="CH103" i="4"/>
  <c r="CH107" i="4" s="1"/>
  <c r="CF55" i="4"/>
  <c r="CF50" i="4"/>
  <c r="CE67" i="4"/>
  <c r="CF57" i="4"/>
  <c r="CF34" i="4"/>
  <c r="CF28" i="4"/>
  <c r="CF39" i="4"/>
  <c r="CI112" i="4"/>
  <c r="CM18" i="6" s="1"/>
  <c r="CI104" i="4"/>
  <c r="CI108" i="4"/>
  <c r="CI116" i="4" s="1"/>
  <c r="CM22" i="6" s="1"/>
  <c r="CI91" i="4"/>
  <c r="CI92" i="4" s="1"/>
  <c r="CI96" i="4" s="1"/>
  <c r="CI84" i="4"/>
  <c r="CI117" i="4" s="1"/>
  <c r="CM23" i="6" s="1"/>
  <c r="CI97" i="4"/>
  <c r="CI113" i="4" s="1"/>
  <c r="CM19" i="6" s="1"/>
  <c r="CI115" i="4"/>
  <c r="CM21" i="6" s="1"/>
  <c r="CI102" i="4"/>
  <c r="CI12" i="4"/>
  <c r="CI13" i="4" s="1"/>
  <c r="CJ17" i="4"/>
  <c r="CF70" i="4"/>
  <c r="CF69" i="4"/>
  <c r="CF65" i="4"/>
  <c r="CF60" i="4"/>
  <c r="CF61" i="4"/>
  <c r="CF66" i="4"/>
  <c r="CF64" i="4"/>
  <c r="CF62" i="4"/>
  <c r="CF63" i="4"/>
  <c r="CF71" i="4"/>
  <c r="CG128" i="4"/>
  <c r="CG129" i="4"/>
  <c r="CG126" i="4"/>
  <c r="CG130" i="4"/>
  <c r="CG127" i="4"/>
  <c r="CG131" i="4"/>
  <c r="CG125" i="4"/>
  <c r="CG27" i="4" s="1"/>
  <c r="CG106" i="4"/>
  <c r="CG82" i="4" s="1"/>
  <c r="E5" i="6" l="1"/>
  <c r="D14" i="1"/>
  <c r="C13" i="1"/>
  <c r="D13" i="1" s="1"/>
  <c r="CL16" i="6"/>
  <c r="CM17" i="6"/>
  <c r="CH118" i="4"/>
  <c r="CH119" i="4" s="1"/>
  <c r="CH106" i="4"/>
  <c r="CH82" i="4" s="1"/>
  <c r="CI95" i="4"/>
  <c r="CI81" i="4" s="1"/>
  <c r="CI7" i="4"/>
  <c r="CI9" i="4"/>
  <c r="CJ5" i="4"/>
  <c r="CI15" i="4"/>
  <c r="CI16" i="4" s="1"/>
  <c r="CI8" i="4"/>
  <c r="CH6" i="4"/>
  <c r="CG70" i="4"/>
  <c r="CG69" i="4"/>
  <c r="CI114" i="4"/>
  <c r="CM20" i="6" s="1"/>
  <c r="CM26" i="6" s="1"/>
  <c r="CM27" i="6" s="1"/>
  <c r="CI103" i="4"/>
  <c r="CI107" i="4" s="1"/>
  <c r="CF67" i="4"/>
  <c r="CG57" i="4"/>
  <c r="CG34" i="4"/>
  <c r="CG28" i="4"/>
  <c r="CG39" i="4"/>
  <c r="CJ115" i="4"/>
  <c r="CN21" i="6" s="1"/>
  <c r="CJ104" i="4"/>
  <c r="CJ112" i="4"/>
  <c r="CN18" i="6" s="1"/>
  <c r="CJ84" i="4"/>
  <c r="CJ117" i="4" s="1"/>
  <c r="CN23" i="6" s="1"/>
  <c r="CJ108" i="4"/>
  <c r="CJ116" i="4" s="1"/>
  <c r="CN22" i="6" s="1"/>
  <c r="CJ102" i="4"/>
  <c r="CJ97" i="4"/>
  <c r="CJ113" i="4" s="1"/>
  <c r="CN19" i="6" s="1"/>
  <c r="CJ91" i="4"/>
  <c r="CJ92" i="4" s="1"/>
  <c r="CJ96" i="4" s="1"/>
  <c r="CJ12" i="4"/>
  <c r="CJ13" i="4" s="1"/>
  <c r="CK17" i="4"/>
  <c r="CH128" i="4"/>
  <c r="CH127" i="4"/>
  <c r="CH126" i="4"/>
  <c r="CH130" i="4"/>
  <c r="CH131" i="4"/>
  <c r="CH125" i="4"/>
  <c r="CH27" i="4" s="1"/>
  <c r="CH129" i="4"/>
  <c r="CG55" i="4"/>
  <c r="CG50" i="4"/>
  <c r="CG66" i="4"/>
  <c r="CG65" i="4"/>
  <c r="CG61" i="4"/>
  <c r="CG60" i="4"/>
  <c r="CG71" i="4"/>
  <c r="CG62" i="4"/>
  <c r="CG63" i="4"/>
  <c r="CG64" i="4"/>
  <c r="E6" i="6" l="1"/>
  <c r="C5" i="6"/>
  <c r="CN17" i="6"/>
  <c r="CM16" i="6"/>
  <c r="CI118" i="4"/>
  <c r="CI119" i="4" s="1"/>
  <c r="CH55" i="4"/>
  <c r="CH50" i="4"/>
  <c r="CI127" i="4"/>
  <c r="CI130" i="4"/>
  <c r="CI131" i="4"/>
  <c r="CI128" i="4"/>
  <c r="CI126" i="4"/>
  <c r="CI129" i="4"/>
  <c r="CI125" i="4"/>
  <c r="CI27" i="4" s="1"/>
  <c r="CJ95" i="4"/>
  <c r="CJ81" i="4" s="1"/>
  <c r="CJ15" i="4"/>
  <c r="CJ16" i="4" s="1"/>
  <c r="CJ7" i="4"/>
  <c r="CJ9" i="4"/>
  <c r="CJ8" i="4"/>
  <c r="CK5" i="4"/>
  <c r="CH61" i="4"/>
  <c r="CH65" i="4"/>
  <c r="CH60" i="4"/>
  <c r="CH66" i="4"/>
  <c r="CH64" i="4"/>
  <c r="CH63" i="4"/>
  <c r="CH62" i="4"/>
  <c r="CH71" i="4"/>
  <c r="CJ114" i="4"/>
  <c r="CN20" i="6" s="1"/>
  <c r="CN26" i="6" s="1"/>
  <c r="CN27" i="6" s="1"/>
  <c r="CJ103" i="4"/>
  <c r="CJ107" i="4" s="1"/>
  <c r="CH70" i="4"/>
  <c r="CH69" i="4"/>
  <c r="CI6" i="4"/>
  <c r="CG67" i="4"/>
  <c r="CH57" i="4"/>
  <c r="CH34" i="4"/>
  <c r="CH28" i="4"/>
  <c r="CH39" i="4"/>
  <c r="CK115" i="4"/>
  <c r="CO21" i="6" s="1"/>
  <c r="CK104" i="4"/>
  <c r="CK84" i="4"/>
  <c r="CK117" i="4" s="1"/>
  <c r="CO23" i="6" s="1"/>
  <c r="CK102" i="4"/>
  <c r="CK108" i="4"/>
  <c r="CK116" i="4" s="1"/>
  <c r="CO22" i="6" s="1"/>
  <c r="CK112" i="4"/>
  <c r="CO18" i="6" s="1"/>
  <c r="CK97" i="4"/>
  <c r="CK113" i="4" s="1"/>
  <c r="CO19" i="6" s="1"/>
  <c r="CK91" i="4"/>
  <c r="CK92" i="4" s="1"/>
  <c r="CK96" i="4" s="1"/>
  <c r="CK12" i="4"/>
  <c r="CK13" i="4" s="1"/>
  <c r="CL17" i="4"/>
  <c r="CI106" i="4"/>
  <c r="CI82" i="4" s="1"/>
  <c r="C6" i="6" l="1"/>
  <c r="C5" i="7"/>
  <c r="CJ6" i="4"/>
  <c r="CO17" i="6"/>
  <c r="CN16" i="6"/>
  <c r="CH67" i="4"/>
  <c r="CJ118" i="4"/>
  <c r="CJ119" i="4" s="1"/>
  <c r="CJ127" i="4"/>
  <c r="CJ131" i="4"/>
  <c r="CJ130" i="4"/>
  <c r="CJ128" i="4"/>
  <c r="CJ126" i="4"/>
  <c r="CJ129" i="4"/>
  <c r="CJ125" i="4"/>
  <c r="CJ27" i="4" s="1"/>
  <c r="CI55" i="4"/>
  <c r="CI50" i="4"/>
  <c r="CK103" i="4"/>
  <c r="CK107" i="4" s="1"/>
  <c r="CK114" i="4"/>
  <c r="CJ106" i="4"/>
  <c r="CJ82" i="4" s="1"/>
  <c r="CL112" i="4"/>
  <c r="CP18" i="6" s="1"/>
  <c r="CL115" i="4"/>
  <c r="CP21" i="6" s="1"/>
  <c r="CL104" i="4"/>
  <c r="CL84" i="4"/>
  <c r="CL117" i="4" s="1"/>
  <c r="CP23" i="6" s="1"/>
  <c r="CL108" i="4"/>
  <c r="CL116" i="4" s="1"/>
  <c r="CP22" i="6" s="1"/>
  <c r="CL102" i="4"/>
  <c r="CL97" i="4"/>
  <c r="CL113" i="4" s="1"/>
  <c r="CP19" i="6" s="1"/>
  <c r="CL91" i="4"/>
  <c r="CL92" i="4" s="1"/>
  <c r="CL96" i="4" s="1"/>
  <c r="CL12" i="4"/>
  <c r="CL13" i="4" s="1"/>
  <c r="CM17" i="4"/>
  <c r="CK95" i="4"/>
  <c r="CK81" i="4" s="1"/>
  <c r="CK9" i="4"/>
  <c r="CK15" i="4"/>
  <c r="CK16" i="4" s="1"/>
  <c r="CL5" i="4"/>
  <c r="CK7" i="4"/>
  <c r="CK8" i="4"/>
  <c r="CI57" i="4"/>
  <c r="CI34" i="4"/>
  <c r="CI28" i="4"/>
  <c r="CI39" i="4"/>
  <c r="CI70" i="4"/>
  <c r="CI69" i="4"/>
  <c r="CI65" i="4"/>
  <c r="CI60" i="4"/>
  <c r="CI61" i="4"/>
  <c r="CI66" i="4"/>
  <c r="CI63" i="4"/>
  <c r="CI62" i="4"/>
  <c r="CI71" i="4"/>
  <c r="CI64" i="4"/>
  <c r="E5" i="7" l="1"/>
  <c r="C7" i="6"/>
  <c r="E45" i="6"/>
  <c r="E44" i="6" s="1"/>
  <c r="C6" i="7"/>
  <c r="E35" i="6"/>
  <c r="E34" i="6" s="1"/>
  <c r="E56" i="6"/>
  <c r="E55" i="6" s="1"/>
  <c r="E63" i="6"/>
  <c r="E62" i="6" s="1"/>
  <c r="CP17" i="6"/>
  <c r="CO16" i="6"/>
  <c r="CK118" i="4"/>
  <c r="CK119" i="4" s="1"/>
  <c r="CO20" i="6"/>
  <c r="CO26" i="6" s="1"/>
  <c r="CO27" i="6" s="1"/>
  <c r="CJ55" i="4"/>
  <c r="CJ50" i="4"/>
  <c r="CI67" i="4"/>
  <c r="CJ61" i="4"/>
  <c r="CJ66" i="4"/>
  <c r="CJ65" i="4"/>
  <c r="CJ60" i="4"/>
  <c r="CJ71" i="4"/>
  <c r="CJ64" i="4"/>
  <c r="CJ62" i="4"/>
  <c r="CJ63" i="4"/>
  <c r="CK127" i="4"/>
  <c r="CK131" i="4"/>
  <c r="CK126" i="4"/>
  <c r="CK128" i="4"/>
  <c r="CK130" i="4"/>
  <c r="CK129" i="4"/>
  <c r="CK125" i="4"/>
  <c r="CK27" i="4" s="1"/>
  <c r="CL114" i="4"/>
  <c r="CP20" i="6" s="1"/>
  <c r="CP26" i="6" s="1"/>
  <c r="CP27" i="6" s="1"/>
  <c r="CL103" i="4"/>
  <c r="CL107" i="4" s="1"/>
  <c r="CL95" i="4"/>
  <c r="CL81" i="4" s="1"/>
  <c r="CL15" i="4"/>
  <c r="CL16" i="4" s="1"/>
  <c r="CL9" i="4"/>
  <c r="CL8" i="4"/>
  <c r="CL7" i="4"/>
  <c r="CL6" i="4" s="1"/>
  <c r="CM5" i="4"/>
  <c r="CK6" i="4"/>
  <c r="CK106" i="4"/>
  <c r="CK82" i="4" s="1"/>
  <c r="CJ57" i="4"/>
  <c r="CJ34" i="4"/>
  <c r="CJ28" i="4"/>
  <c r="CJ39" i="4"/>
  <c r="CJ70" i="4"/>
  <c r="CJ69" i="4"/>
  <c r="CM104" i="4"/>
  <c r="CM112" i="4"/>
  <c r="CQ18" i="6" s="1"/>
  <c r="CM84" i="4"/>
  <c r="CM117" i="4" s="1"/>
  <c r="CQ23" i="6" s="1"/>
  <c r="CM115" i="4"/>
  <c r="CQ21" i="6" s="1"/>
  <c r="CM102" i="4"/>
  <c r="CM97" i="4"/>
  <c r="CM113" i="4" s="1"/>
  <c r="CQ19" i="6" s="1"/>
  <c r="CM91" i="4"/>
  <c r="CM92" i="4" s="1"/>
  <c r="CM96" i="4" s="1"/>
  <c r="CM108" i="4"/>
  <c r="CM116" i="4" s="1"/>
  <c r="CQ22" i="6" s="1"/>
  <c r="CM12" i="4"/>
  <c r="CM13" i="4" s="1"/>
  <c r="CN17" i="4"/>
  <c r="E45" i="7" l="1"/>
  <c r="E44" i="7" s="1"/>
  <c r="E6" i="7"/>
  <c r="E24" i="7"/>
  <c r="E23" i="7" s="1"/>
  <c r="E31" i="7"/>
  <c r="E30" i="7" s="1"/>
  <c r="E38" i="7"/>
  <c r="E37" i="7" s="1"/>
  <c r="C7" i="7"/>
  <c r="CP16" i="6"/>
  <c r="CQ17" i="6"/>
  <c r="CL118" i="4"/>
  <c r="CL119" i="4" s="1"/>
  <c r="CM95" i="4"/>
  <c r="CM81" i="4" s="1"/>
  <c r="CN5" i="4"/>
  <c r="CM7" i="4"/>
  <c r="CM15" i="4"/>
  <c r="CM16" i="4" s="1"/>
  <c r="CM9" i="4"/>
  <c r="CM8" i="4"/>
  <c r="CK57" i="4"/>
  <c r="CK34" i="4"/>
  <c r="CK28" i="4"/>
  <c r="CK39" i="4"/>
  <c r="CK70" i="4"/>
  <c r="CK69" i="4"/>
  <c r="CL131" i="4"/>
  <c r="CL126" i="4"/>
  <c r="CL127" i="4"/>
  <c r="CL128" i="4"/>
  <c r="CL130" i="4"/>
  <c r="CL129" i="4"/>
  <c r="CL125" i="4"/>
  <c r="CL27" i="4" s="1"/>
  <c r="CK55" i="4"/>
  <c r="CK50" i="4"/>
  <c r="CL106" i="4"/>
  <c r="CL82" i="4" s="1"/>
  <c r="CM114" i="4"/>
  <c r="CQ20" i="6" s="1"/>
  <c r="CQ26" i="6" s="1"/>
  <c r="CQ27" i="6" s="1"/>
  <c r="CM103" i="4"/>
  <c r="CM107" i="4" s="1"/>
  <c r="CN115" i="4"/>
  <c r="CR21" i="6" s="1"/>
  <c r="CN108" i="4"/>
  <c r="CN116" i="4" s="1"/>
  <c r="CR22" i="6" s="1"/>
  <c r="CN104" i="4"/>
  <c r="CN112" i="4"/>
  <c r="CR18" i="6" s="1"/>
  <c r="CN102" i="4"/>
  <c r="CN84" i="4"/>
  <c r="CN117" i="4" s="1"/>
  <c r="CR23" i="6" s="1"/>
  <c r="CN97" i="4"/>
  <c r="CN113" i="4" s="1"/>
  <c r="CR19" i="6" s="1"/>
  <c r="CN91" i="4"/>
  <c r="CN92" i="4" s="1"/>
  <c r="CN96" i="4" s="1"/>
  <c r="CO17" i="4"/>
  <c r="CN12" i="4"/>
  <c r="CN13" i="4" s="1"/>
  <c r="CK61" i="4"/>
  <c r="CK60" i="4"/>
  <c r="CK65" i="4"/>
  <c r="CK66" i="4"/>
  <c r="CK63" i="4"/>
  <c r="CK64" i="4"/>
  <c r="CK71" i="4"/>
  <c r="CK62" i="4"/>
  <c r="CJ67" i="4"/>
  <c r="CQ16" i="6" l="1"/>
  <c r="CR17" i="6"/>
  <c r="CK67" i="4"/>
  <c r="CM118" i="4"/>
  <c r="CM119" i="4" s="1"/>
  <c r="CM131" i="4"/>
  <c r="CM126" i="4"/>
  <c r="CM130" i="4"/>
  <c r="CM127" i="4"/>
  <c r="CM128" i="4"/>
  <c r="CM125" i="4"/>
  <c r="CM27" i="4" s="1"/>
  <c r="CM129" i="4"/>
  <c r="CL70" i="4"/>
  <c r="CL69" i="4"/>
  <c r="CL55" i="4"/>
  <c r="CL50" i="4"/>
  <c r="CM106" i="4"/>
  <c r="CM82" i="4" s="1"/>
  <c r="CN95" i="4"/>
  <c r="CN81" i="4" s="1"/>
  <c r="CN15" i="4"/>
  <c r="CN16" i="4" s="1"/>
  <c r="CO5" i="4"/>
  <c r="CN8" i="4"/>
  <c r="CN7" i="4"/>
  <c r="CN6" i="4" s="1"/>
  <c r="CN9" i="4"/>
  <c r="CL57" i="4"/>
  <c r="CL34" i="4"/>
  <c r="CL28" i="4"/>
  <c r="CL39" i="4"/>
  <c r="CO115" i="4"/>
  <c r="CS21" i="6" s="1"/>
  <c r="CO112" i="4"/>
  <c r="CS18" i="6" s="1"/>
  <c r="CO102" i="4"/>
  <c r="CO84" i="4"/>
  <c r="CO117" i="4" s="1"/>
  <c r="CS23" i="6" s="1"/>
  <c r="CO104" i="4"/>
  <c r="CO97" i="4"/>
  <c r="CO113" i="4" s="1"/>
  <c r="CS19" i="6" s="1"/>
  <c r="CO91" i="4"/>
  <c r="CO92" i="4" s="1"/>
  <c r="CO96" i="4" s="1"/>
  <c r="CO108" i="4"/>
  <c r="CO116" i="4" s="1"/>
  <c r="CS22" i="6" s="1"/>
  <c r="CP17" i="4"/>
  <c r="CO12" i="4"/>
  <c r="CO13" i="4" s="1"/>
  <c r="CM6" i="4"/>
  <c r="CL66" i="4"/>
  <c r="CL61" i="4"/>
  <c r="CL65" i="4"/>
  <c r="CL60" i="4"/>
  <c r="CL64" i="4"/>
  <c r="CL63" i="4"/>
  <c r="CL71" i="4"/>
  <c r="CL62" i="4"/>
  <c r="CN114" i="4"/>
  <c r="CN103" i="4"/>
  <c r="CN107" i="4" s="1"/>
  <c r="CR16" i="6" l="1"/>
  <c r="CS17" i="6"/>
  <c r="CN118" i="4"/>
  <c r="CN119" i="4" s="1"/>
  <c r="CR20" i="6"/>
  <c r="CR26" i="6" s="1"/>
  <c r="CR27" i="6" s="1"/>
  <c r="CL67" i="4"/>
  <c r="CP115" i="4"/>
  <c r="CT21" i="6" s="1"/>
  <c r="CP108" i="4"/>
  <c r="CP116" i="4" s="1"/>
  <c r="CT22" i="6" s="1"/>
  <c r="CP112" i="4"/>
  <c r="CT18" i="6" s="1"/>
  <c r="CP102" i="4"/>
  <c r="CP97" i="4"/>
  <c r="CP113" i="4" s="1"/>
  <c r="CT19" i="6" s="1"/>
  <c r="CP84" i="4"/>
  <c r="CP117" i="4" s="1"/>
  <c r="CT23" i="6" s="1"/>
  <c r="CP104" i="4"/>
  <c r="CP91" i="4"/>
  <c r="CP92" i="4" s="1"/>
  <c r="CP96" i="4" s="1"/>
  <c r="CP12" i="4"/>
  <c r="CP13" i="4" s="1"/>
  <c r="CQ17" i="4"/>
  <c r="CM61" i="4"/>
  <c r="CM60" i="4"/>
  <c r="CM66" i="4"/>
  <c r="CM65" i="4"/>
  <c r="CM64" i="4"/>
  <c r="CM62" i="4"/>
  <c r="CM63" i="4"/>
  <c r="CM71" i="4"/>
  <c r="CM55" i="4"/>
  <c r="CM50" i="4"/>
  <c r="CO95" i="4"/>
  <c r="CO81" i="4" s="1"/>
  <c r="CO15" i="4"/>
  <c r="CO16" i="4" s="1"/>
  <c r="CP5" i="4"/>
  <c r="CO8" i="4"/>
  <c r="CO7" i="4"/>
  <c r="CO6" i="4" s="1"/>
  <c r="CO9" i="4"/>
  <c r="CN126" i="4"/>
  <c r="CN130" i="4"/>
  <c r="CN125" i="4"/>
  <c r="CN27" i="4" s="1"/>
  <c r="CN127" i="4"/>
  <c r="CN131" i="4"/>
  <c r="CN128" i="4"/>
  <c r="CN129" i="4"/>
  <c r="CM57" i="4"/>
  <c r="CM34" i="4"/>
  <c r="CM28" i="4"/>
  <c r="CM39" i="4"/>
  <c r="CO103" i="4"/>
  <c r="CO107" i="4" s="1"/>
  <c r="CO114" i="4"/>
  <c r="CM70" i="4"/>
  <c r="CM69" i="4"/>
  <c r="CN106" i="4"/>
  <c r="CN82" i="4" s="1"/>
  <c r="CS16" i="6" l="1"/>
  <c r="CT17" i="6"/>
  <c r="CO118" i="4"/>
  <c r="CO119" i="4" s="1"/>
  <c r="CS20" i="6"/>
  <c r="CS26" i="6" s="1"/>
  <c r="CS27" i="6" s="1"/>
  <c r="CN70" i="4"/>
  <c r="CN69" i="4"/>
  <c r="CP95" i="4"/>
  <c r="CP81" i="4" s="1"/>
  <c r="CP15" i="4"/>
  <c r="CP16" i="4" s="1"/>
  <c r="CQ5" i="4"/>
  <c r="CP8" i="4"/>
  <c r="CP7" i="4"/>
  <c r="CP6" i="4" s="1"/>
  <c r="CP9" i="4"/>
  <c r="CN55" i="4"/>
  <c r="CN50" i="4"/>
  <c r="CO130" i="4"/>
  <c r="CO125" i="4"/>
  <c r="CO27" i="4" s="1"/>
  <c r="CO127" i="4"/>
  <c r="CO131" i="4"/>
  <c r="CO128" i="4"/>
  <c r="CO129" i="4"/>
  <c r="CO126" i="4"/>
  <c r="CP114" i="4"/>
  <c r="CP103" i="4"/>
  <c r="CP107" i="4" s="1"/>
  <c r="CN60" i="4"/>
  <c r="CN65" i="4"/>
  <c r="CN66" i="4"/>
  <c r="CN61" i="4"/>
  <c r="CN71" i="4"/>
  <c r="CN64" i="4"/>
  <c r="CN62" i="4"/>
  <c r="CN63" i="4"/>
  <c r="CO106" i="4"/>
  <c r="CO82" i="4" s="1"/>
  <c r="CQ115" i="4"/>
  <c r="CU21" i="6" s="1"/>
  <c r="CQ112" i="4"/>
  <c r="CU18" i="6" s="1"/>
  <c r="CQ97" i="4"/>
  <c r="CQ113" i="4" s="1"/>
  <c r="CU19" i="6" s="1"/>
  <c r="CQ84" i="4"/>
  <c r="CQ117" i="4" s="1"/>
  <c r="CU23" i="6" s="1"/>
  <c r="CQ104" i="4"/>
  <c r="CQ91" i="4"/>
  <c r="CQ92" i="4" s="1"/>
  <c r="CQ96" i="4" s="1"/>
  <c r="CQ102" i="4"/>
  <c r="CQ108" i="4"/>
  <c r="CQ116" i="4" s="1"/>
  <c r="CU22" i="6" s="1"/>
  <c r="CR17" i="4"/>
  <c r="CQ12" i="4"/>
  <c r="CQ13" i="4" s="1"/>
  <c r="CM67" i="4"/>
  <c r="CN57" i="4"/>
  <c r="CN34" i="4"/>
  <c r="CN28" i="4"/>
  <c r="CN39" i="4"/>
  <c r="CT16" i="6" l="1"/>
  <c r="CU17" i="6"/>
  <c r="CP118" i="4"/>
  <c r="CP119" i="4" s="1"/>
  <c r="CT20" i="6"/>
  <c r="CT26" i="6" s="1"/>
  <c r="CT27" i="6" s="1"/>
  <c r="CP106" i="4"/>
  <c r="CP82" i="4" s="1"/>
  <c r="CP130" i="4"/>
  <c r="CP125" i="4"/>
  <c r="CP27" i="4" s="1"/>
  <c r="CP129" i="4"/>
  <c r="CP131" i="4"/>
  <c r="CP128" i="4"/>
  <c r="CP126" i="4"/>
  <c r="CP127" i="4"/>
  <c r="CO57" i="4"/>
  <c r="CO34" i="4"/>
  <c r="CO28" i="4"/>
  <c r="CO39" i="4"/>
  <c r="CR115" i="4"/>
  <c r="CV21" i="6" s="1"/>
  <c r="CR108" i="4"/>
  <c r="CR116" i="4" s="1"/>
  <c r="CV22" i="6" s="1"/>
  <c r="CR112" i="4"/>
  <c r="CV18" i="6" s="1"/>
  <c r="CR102" i="4"/>
  <c r="CR97" i="4"/>
  <c r="CR113" i="4" s="1"/>
  <c r="CV19" i="6" s="1"/>
  <c r="CR104" i="4"/>
  <c r="CR91" i="4"/>
  <c r="CR92" i="4" s="1"/>
  <c r="CR96" i="4" s="1"/>
  <c r="CR84" i="4"/>
  <c r="CR117" i="4" s="1"/>
  <c r="CV23" i="6" s="1"/>
  <c r="CR12" i="4"/>
  <c r="CR13" i="4" s="1"/>
  <c r="CS17" i="4"/>
  <c r="CO55" i="4"/>
  <c r="CO50" i="4"/>
  <c r="CO65" i="4"/>
  <c r="CO66" i="4"/>
  <c r="CO60" i="4"/>
  <c r="CO61" i="4"/>
  <c r="CO63" i="4"/>
  <c r="CO62" i="4"/>
  <c r="CO64" i="4"/>
  <c r="CO71" i="4"/>
  <c r="CO70" i="4"/>
  <c r="CO69" i="4"/>
  <c r="CQ114" i="4"/>
  <c r="CQ103" i="4"/>
  <c r="CQ107" i="4" s="1"/>
  <c r="CN67" i="4"/>
  <c r="CQ95" i="4"/>
  <c r="CQ81" i="4" s="1"/>
  <c r="CQ15" i="4"/>
  <c r="CQ16" i="4" s="1"/>
  <c r="CR5" i="4"/>
  <c r="CQ8" i="4"/>
  <c r="CQ7" i="4"/>
  <c r="CQ9" i="4"/>
  <c r="CU16" i="6" l="1"/>
  <c r="CV17" i="6"/>
  <c r="CQ118" i="4"/>
  <c r="CQ119" i="4" s="1"/>
  <c r="CU20" i="6"/>
  <c r="CU26" i="6" s="1"/>
  <c r="CU27" i="6" s="1"/>
  <c r="CQ6" i="4"/>
  <c r="CP55" i="4"/>
  <c r="CP50" i="4"/>
  <c r="CR95" i="4"/>
  <c r="CR81" i="4" s="1"/>
  <c r="CR15" i="4"/>
  <c r="CR16" i="4" s="1"/>
  <c r="CS5" i="4"/>
  <c r="CR8" i="4"/>
  <c r="CR7" i="4"/>
  <c r="CR9" i="4"/>
  <c r="CQ125" i="4"/>
  <c r="CQ27" i="4" s="1"/>
  <c r="CQ129" i="4"/>
  <c r="CQ131" i="4"/>
  <c r="CQ128" i="4"/>
  <c r="CQ130" i="4"/>
  <c r="CQ126" i="4"/>
  <c r="CQ127" i="4"/>
  <c r="CQ106" i="4"/>
  <c r="CQ82" i="4" s="1"/>
  <c r="CO67" i="4"/>
  <c r="CP57" i="4"/>
  <c r="CP34" i="4"/>
  <c r="CP28" i="4"/>
  <c r="CP39" i="4"/>
  <c r="CP70" i="4"/>
  <c r="CP69" i="4"/>
  <c r="CS115" i="4"/>
  <c r="CW21" i="6" s="1"/>
  <c r="CS97" i="4"/>
  <c r="CS113" i="4" s="1"/>
  <c r="CW19" i="6" s="1"/>
  <c r="CS108" i="4"/>
  <c r="CS116" i="4" s="1"/>
  <c r="CW22" i="6" s="1"/>
  <c r="CS104" i="4"/>
  <c r="CS91" i="4"/>
  <c r="CS92" i="4" s="1"/>
  <c r="CS96" i="4" s="1"/>
  <c r="CS112" i="4"/>
  <c r="CW18" i="6" s="1"/>
  <c r="CS102" i="4"/>
  <c r="CS84" i="4"/>
  <c r="CS117" i="4" s="1"/>
  <c r="CW23" i="6" s="1"/>
  <c r="CT17" i="4"/>
  <c r="CS12" i="4"/>
  <c r="CS13" i="4" s="1"/>
  <c r="CP65" i="4"/>
  <c r="CP66" i="4"/>
  <c r="CP61" i="4"/>
  <c r="CP60" i="4"/>
  <c r="CP63" i="4"/>
  <c r="CP71" i="4"/>
  <c r="CP62" i="4"/>
  <c r="CP64" i="4"/>
  <c r="CR114" i="4"/>
  <c r="CV20" i="6" s="1"/>
  <c r="CV26" i="6" s="1"/>
  <c r="CV27" i="6" s="1"/>
  <c r="CR103" i="4"/>
  <c r="CR107" i="4" s="1"/>
  <c r="CR6" i="4" l="1"/>
  <c r="CV16" i="6"/>
  <c r="CW17" i="6"/>
  <c r="CR106" i="4"/>
  <c r="CR82" i="4" s="1"/>
  <c r="CR118" i="4"/>
  <c r="CR119" i="4" s="1"/>
  <c r="CQ66" i="4"/>
  <c r="CQ65" i="4"/>
  <c r="CQ61" i="4"/>
  <c r="CQ60" i="4"/>
  <c r="CQ64" i="4"/>
  <c r="CQ63" i="4"/>
  <c r="CQ71" i="4"/>
  <c r="CQ62" i="4"/>
  <c r="CQ55" i="4"/>
  <c r="CQ50" i="4"/>
  <c r="CQ57" i="4"/>
  <c r="CQ34" i="4"/>
  <c r="CQ28" i="4"/>
  <c r="CQ39" i="4"/>
  <c r="CP67" i="4"/>
  <c r="CS103" i="4"/>
  <c r="CS107" i="4" s="1"/>
  <c r="CS114" i="4"/>
  <c r="CW20" i="6" s="1"/>
  <c r="CW26" i="6" s="1"/>
  <c r="CW27" i="6" s="1"/>
  <c r="CR129" i="4"/>
  <c r="CR128" i="4"/>
  <c r="CR130" i="4"/>
  <c r="CR126" i="4"/>
  <c r="CR125" i="4"/>
  <c r="CR27" i="4" s="1"/>
  <c r="CR127" i="4"/>
  <c r="CR131" i="4"/>
  <c r="CQ70" i="4"/>
  <c r="CQ69" i="4"/>
  <c r="CT115" i="4"/>
  <c r="CX21" i="6" s="1"/>
  <c r="CT112" i="4"/>
  <c r="CX18" i="6" s="1"/>
  <c r="CT97" i="4"/>
  <c r="CT113" i="4" s="1"/>
  <c r="CX19" i="6" s="1"/>
  <c r="CT108" i="4"/>
  <c r="CT116" i="4" s="1"/>
  <c r="CX22" i="6" s="1"/>
  <c r="CT91" i="4"/>
  <c r="CT92" i="4" s="1"/>
  <c r="CT96" i="4" s="1"/>
  <c r="CT104" i="4"/>
  <c r="CT102" i="4"/>
  <c r="CT84" i="4"/>
  <c r="CT117" i="4" s="1"/>
  <c r="CX23" i="6" s="1"/>
  <c r="CT12" i="4"/>
  <c r="CT13" i="4" s="1"/>
  <c r="CU17" i="4"/>
  <c r="CS95" i="4"/>
  <c r="CS81" i="4" s="1"/>
  <c r="CS15" i="4"/>
  <c r="CS16" i="4" s="1"/>
  <c r="CS9" i="4"/>
  <c r="CT5" i="4"/>
  <c r="CS8" i="4"/>
  <c r="CS7" i="4"/>
  <c r="CW16" i="6" l="1"/>
  <c r="CX17" i="6"/>
  <c r="CS106" i="4"/>
  <c r="CS82" i="4" s="1"/>
  <c r="CS118" i="4"/>
  <c r="CS119" i="4" s="1"/>
  <c r="CR57" i="4"/>
  <c r="CR34" i="4"/>
  <c r="CR28" i="4"/>
  <c r="CR39" i="4"/>
  <c r="CQ67" i="4"/>
  <c r="CS6" i="4"/>
  <c r="CR61" i="4"/>
  <c r="CR65" i="4"/>
  <c r="CR66" i="4"/>
  <c r="CR60" i="4"/>
  <c r="CR71" i="4"/>
  <c r="CR63" i="4"/>
  <c r="CR62" i="4"/>
  <c r="CR64" i="4"/>
  <c r="CR70" i="4"/>
  <c r="CR69" i="4"/>
  <c r="CR55" i="4"/>
  <c r="CR50" i="4"/>
  <c r="CT103" i="4"/>
  <c r="CT107" i="4" s="1"/>
  <c r="CT114" i="4"/>
  <c r="CT95" i="4"/>
  <c r="CT81" i="4" s="1"/>
  <c r="CT15" i="4"/>
  <c r="CT16" i="4" s="1"/>
  <c r="CU5" i="4"/>
  <c r="CT8" i="4"/>
  <c r="CT7" i="4"/>
  <c r="CT6" i="4" s="1"/>
  <c r="CT9" i="4"/>
  <c r="CS129" i="4"/>
  <c r="CS128" i="4"/>
  <c r="CS125" i="4"/>
  <c r="CS27" i="4" s="1"/>
  <c r="CS130" i="4"/>
  <c r="CS126" i="4"/>
  <c r="CS127" i="4"/>
  <c r="CS131" i="4"/>
  <c r="CU115" i="4"/>
  <c r="CY21" i="6" s="1"/>
  <c r="CU112" i="4"/>
  <c r="CY18" i="6" s="1"/>
  <c r="CU108" i="4"/>
  <c r="CU116" i="4" s="1"/>
  <c r="CY22" i="6" s="1"/>
  <c r="CU104" i="4"/>
  <c r="CU97" i="4"/>
  <c r="CU113" i="4" s="1"/>
  <c r="CY19" i="6" s="1"/>
  <c r="CU91" i="4"/>
  <c r="CU92" i="4" s="1"/>
  <c r="CU96" i="4" s="1"/>
  <c r="CU102" i="4"/>
  <c r="CU84" i="4"/>
  <c r="CU117" i="4" s="1"/>
  <c r="CY23" i="6" s="1"/>
  <c r="CU12" i="4"/>
  <c r="CU13" i="4" s="1"/>
  <c r="CV17" i="4"/>
  <c r="CY17" i="6" l="1"/>
  <c r="CX16" i="6"/>
  <c r="CT118" i="4"/>
  <c r="CT119" i="4" s="1"/>
  <c r="CX20" i="6"/>
  <c r="CX26" i="6" s="1"/>
  <c r="CX27" i="6" s="1"/>
  <c r="CR67" i="4"/>
  <c r="CS70" i="4"/>
  <c r="CS69" i="4"/>
  <c r="CT128" i="4"/>
  <c r="CT125" i="4"/>
  <c r="CT27" i="4" s="1"/>
  <c r="CT129" i="4"/>
  <c r="CT126" i="4"/>
  <c r="CT130" i="4"/>
  <c r="CT127" i="4"/>
  <c r="CT131" i="4"/>
  <c r="CU114" i="4"/>
  <c r="CY20" i="6" s="1"/>
  <c r="CY26" i="6" s="1"/>
  <c r="CY27" i="6" s="1"/>
  <c r="CU103" i="4"/>
  <c r="CU107" i="4" s="1"/>
  <c r="CS57" i="4"/>
  <c r="CS34" i="4"/>
  <c r="CS28" i="4"/>
  <c r="CS39" i="4"/>
  <c r="CU95" i="4"/>
  <c r="CU81" i="4" s="1"/>
  <c r="CU15" i="4"/>
  <c r="CU16" i="4" s="1"/>
  <c r="CU8" i="4"/>
  <c r="CU7" i="4"/>
  <c r="CU6" i="4" s="1"/>
  <c r="CU9" i="4"/>
  <c r="CV5" i="4"/>
  <c r="CT106" i="4"/>
  <c r="CT82" i="4" s="1"/>
  <c r="CS55" i="4"/>
  <c r="CS50" i="4"/>
  <c r="CV112" i="4"/>
  <c r="CZ18" i="6" s="1"/>
  <c r="CV97" i="4"/>
  <c r="CV113" i="4" s="1"/>
  <c r="CZ19" i="6" s="1"/>
  <c r="CV108" i="4"/>
  <c r="CV116" i="4" s="1"/>
  <c r="CZ22" i="6" s="1"/>
  <c r="CV104" i="4"/>
  <c r="CV91" i="4"/>
  <c r="CV92" i="4" s="1"/>
  <c r="CV96" i="4" s="1"/>
  <c r="CV102" i="4"/>
  <c r="CV115" i="4"/>
  <c r="CZ21" i="6" s="1"/>
  <c r="CV84" i="4"/>
  <c r="CV117" i="4" s="1"/>
  <c r="CZ23" i="6" s="1"/>
  <c r="CV12" i="4"/>
  <c r="CV13" i="4" s="1"/>
  <c r="CW17" i="4"/>
  <c r="CS60" i="4"/>
  <c r="CS61" i="4"/>
  <c r="CS65" i="4"/>
  <c r="CS66" i="4"/>
  <c r="CS62" i="4"/>
  <c r="CS64" i="4"/>
  <c r="CS71" i="4"/>
  <c r="CS63" i="4"/>
  <c r="CZ17" i="6" l="1"/>
  <c r="CY16" i="6"/>
  <c r="CU118" i="4"/>
  <c r="CU119" i="4" s="1"/>
  <c r="CT55" i="4"/>
  <c r="CT50" i="4"/>
  <c r="CV114" i="4"/>
  <c r="CV103" i="4"/>
  <c r="CV107" i="4" s="1"/>
  <c r="CU128" i="4"/>
  <c r="CU125" i="4"/>
  <c r="CU27" i="4" s="1"/>
  <c r="CU129" i="4"/>
  <c r="CU130" i="4"/>
  <c r="CU127" i="4"/>
  <c r="CU126" i="4"/>
  <c r="CU131" i="4"/>
  <c r="CV95" i="4"/>
  <c r="CV81" i="4" s="1"/>
  <c r="CV7" i="4"/>
  <c r="CV9" i="4"/>
  <c r="CV15" i="4"/>
  <c r="CV16" i="4" s="1"/>
  <c r="CW5" i="4"/>
  <c r="CV8" i="4"/>
  <c r="CT66" i="4"/>
  <c r="CT60" i="4"/>
  <c r="CT61" i="4"/>
  <c r="CT65" i="4"/>
  <c r="CT62" i="4"/>
  <c r="CT71" i="4"/>
  <c r="CT63" i="4"/>
  <c r="CT64" i="4"/>
  <c r="CT57" i="4"/>
  <c r="CT34" i="4"/>
  <c r="CT28" i="4"/>
  <c r="CT39" i="4"/>
  <c r="CS67" i="4"/>
  <c r="CW108" i="4"/>
  <c r="CW116" i="4" s="1"/>
  <c r="DA22" i="6" s="1"/>
  <c r="CW104" i="4"/>
  <c r="CW97" i="4"/>
  <c r="CW113" i="4" s="1"/>
  <c r="DA19" i="6" s="1"/>
  <c r="CW91" i="4"/>
  <c r="CW92" i="4" s="1"/>
  <c r="CW96" i="4" s="1"/>
  <c r="CW102" i="4"/>
  <c r="CW84" i="4"/>
  <c r="CW117" i="4" s="1"/>
  <c r="DA23" i="6" s="1"/>
  <c r="CW112" i="4"/>
  <c r="DA18" i="6" s="1"/>
  <c r="CW115" i="4"/>
  <c r="DA21" i="6" s="1"/>
  <c r="CW12" i="4"/>
  <c r="CW13" i="4" s="1"/>
  <c r="CX17" i="4"/>
  <c r="CU106" i="4"/>
  <c r="CU82" i="4" s="1"/>
  <c r="CT70" i="4"/>
  <c r="CT69" i="4"/>
  <c r="CZ16" i="6" l="1"/>
  <c r="DA17" i="6"/>
  <c r="CV118" i="4"/>
  <c r="CV119" i="4" s="1"/>
  <c r="CZ20" i="6"/>
  <c r="CZ26" i="6" s="1"/>
  <c r="CZ27" i="6" s="1"/>
  <c r="CT67" i="4"/>
  <c r="CV106" i="4"/>
  <c r="CV82" i="4" s="1"/>
  <c r="CV128" i="4"/>
  <c r="CV127" i="4"/>
  <c r="CV125" i="4"/>
  <c r="CV27" i="4" s="1"/>
  <c r="CV129" i="4"/>
  <c r="CV126" i="4"/>
  <c r="CV130" i="4"/>
  <c r="CV131" i="4"/>
  <c r="CW95" i="4"/>
  <c r="CW81" i="4" s="1"/>
  <c r="CW7" i="4"/>
  <c r="CW9" i="4"/>
  <c r="CW15" i="4"/>
  <c r="CW16" i="4" s="1"/>
  <c r="CX5" i="4"/>
  <c r="CW8" i="4"/>
  <c r="CV6" i="4"/>
  <c r="CW114" i="4"/>
  <c r="DA20" i="6" s="1"/>
  <c r="DA26" i="6" s="1"/>
  <c r="DA27" i="6" s="1"/>
  <c r="CW103" i="4"/>
  <c r="CW107" i="4" s="1"/>
  <c r="CX112" i="4"/>
  <c r="DB18" i="6" s="1"/>
  <c r="CX108" i="4"/>
  <c r="CX116" i="4" s="1"/>
  <c r="DB22" i="6" s="1"/>
  <c r="CX104" i="4"/>
  <c r="CX97" i="4"/>
  <c r="CX113" i="4" s="1"/>
  <c r="DB19" i="6" s="1"/>
  <c r="CX91" i="4"/>
  <c r="CX92" i="4" s="1"/>
  <c r="CX96" i="4" s="1"/>
  <c r="CX102" i="4"/>
  <c r="CX84" i="4"/>
  <c r="CX117" i="4" s="1"/>
  <c r="DB23" i="6" s="1"/>
  <c r="CX115" i="4"/>
  <c r="DB21" i="6" s="1"/>
  <c r="CX12" i="4"/>
  <c r="CX13" i="4" s="1"/>
  <c r="CY17" i="4"/>
  <c r="CU55" i="4"/>
  <c r="CU50" i="4"/>
  <c r="CU57" i="4"/>
  <c r="CU34" i="4"/>
  <c r="CU28" i="4"/>
  <c r="CU39" i="4"/>
  <c r="CU66" i="4"/>
  <c r="CU61" i="4"/>
  <c r="CU65" i="4"/>
  <c r="CU60" i="4"/>
  <c r="CU71" i="4"/>
  <c r="CU62" i="4"/>
  <c r="CU64" i="4"/>
  <c r="CU63" i="4"/>
  <c r="CU70" i="4"/>
  <c r="CU69" i="4"/>
  <c r="DB17" i="6" l="1"/>
  <c r="DA16" i="6"/>
  <c r="CW106" i="4"/>
  <c r="CW82" i="4" s="1"/>
  <c r="CW118" i="4"/>
  <c r="CW119" i="4" s="1"/>
  <c r="CX114" i="4"/>
  <c r="DB20" i="6" s="1"/>
  <c r="DB26" i="6" s="1"/>
  <c r="DB27" i="6" s="1"/>
  <c r="CX103" i="4"/>
  <c r="CX107" i="4" s="1"/>
  <c r="CV55" i="4"/>
  <c r="CV50" i="4"/>
  <c r="CV70" i="4"/>
  <c r="CV69" i="4"/>
  <c r="CV65" i="4"/>
  <c r="CV60" i="4"/>
  <c r="CV66" i="4"/>
  <c r="CV61" i="4"/>
  <c r="CV62" i="4"/>
  <c r="CV63" i="4"/>
  <c r="CV64" i="4"/>
  <c r="CV71" i="4"/>
  <c r="CY104" i="4"/>
  <c r="CY115" i="4"/>
  <c r="DC21" i="6" s="1"/>
  <c r="CY102" i="4"/>
  <c r="CY84" i="4"/>
  <c r="CY117" i="4" s="1"/>
  <c r="DC23" i="6" s="1"/>
  <c r="CY112" i="4"/>
  <c r="DC18" i="6" s="1"/>
  <c r="CY91" i="4"/>
  <c r="CY92" i="4" s="1"/>
  <c r="CY96" i="4" s="1"/>
  <c r="CY97" i="4"/>
  <c r="CY113" i="4" s="1"/>
  <c r="DC19" i="6" s="1"/>
  <c r="CY108" i="4"/>
  <c r="CY116" i="4" s="1"/>
  <c r="DC22" i="6" s="1"/>
  <c r="CY12" i="4"/>
  <c r="CY13" i="4" s="1"/>
  <c r="CZ17" i="4"/>
  <c r="CW127" i="4"/>
  <c r="CW125" i="4"/>
  <c r="CW27" i="4" s="1"/>
  <c r="CW129" i="4"/>
  <c r="CW126" i="4"/>
  <c r="CW130" i="4"/>
  <c r="CW128" i="4"/>
  <c r="CW131" i="4"/>
  <c r="CV57" i="4"/>
  <c r="CV34" i="4"/>
  <c r="CV28" i="4"/>
  <c r="CV39" i="4"/>
  <c r="CX95" i="4"/>
  <c r="CX81" i="4" s="1"/>
  <c r="CX15" i="4"/>
  <c r="CX16" i="4" s="1"/>
  <c r="CX7" i="4"/>
  <c r="CX9" i="4"/>
  <c r="CX8" i="4"/>
  <c r="CY5" i="4"/>
  <c r="CU67" i="4"/>
  <c r="CW6" i="4"/>
  <c r="DC17" i="6" l="1"/>
  <c r="DB16" i="6"/>
  <c r="CX106" i="4"/>
  <c r="CX82" i="4" s="1"/>
  <c r="CX118" i="4"/>
  <c r="CX119" i="4" s="1"/>
  <c r="CY103" i="4"/>
  <c r="CY107" i="4" s="1"/>
  <c r="CY114" i="4"/>
  <c r="CX6" i="4"/>
  <c r="CY95" i="4"/>
  <c r="CY81" i="4" s="1"/>
  <c r="CY9" i="4"/>
  <c r="CY15" i="4"/>
  <c r="CY16" i="4" s="1"/>
  <c r="CZ5" i="4"/>
  <c r="CY7" i="4"/>
  <c r="CY8" i="4"/>
  <c r="CW57" i="4"/>
  <c r="CW34" i="4"/>
  <c r="CW28" i="4"/>
  <c r="CW39" i="4"/>
  <c r="CZ112" i="4"/>
  <c r="DD18" i="6" s="1"/>
  <c r="CZ104" i="4"/>
  <c r="CZ115" i="4"/>
  <c r="DD21" i="6" s="1"/>
  <c r="CZ102" i="4"/>
  <c r="CZ84" i="4"/>
  <c r="CZ117" i="4" s="1"/>
  <c r="DD23" i="6" s="1"/>
  <c r="CZ91" i="4"/>
  <c r="CZ92" i="4" s="1"/>
  <c r="CZ96" i="4" s="1"/>
  <c r="CZ97" i="4"/>
  <c r="CZ113" i="4" s="1"/>
  <c r="DD19" i="6" s="1"/>
  <c r="CZ108" i="4"/>
  <c r="CZ116" i="4" s="1"/>
  <c r="DD22" i="6" s="1"/>
  <c r="CZ12" i="4"/>
  <c r="CZ13" i="4" s="1"/>
  <c r="DA17" i="4"/>
  <c r="CW55" i="4"/>
  <c r="CW50" i="4"/>
  <c r="CX127" i="4"/>
  <c r="CX131" i="4"/>
  <c r="CX129" i="4"/>
  <c r="CX126" i="4"/>
  <c r="CX130" i="4"/>
  <c r="CX125" i="4"/>
  <c r="CX27" i="4" s="1"/>
  <c r="CX128" i="4"/>
  <c r="CV67" i="4"/>
  <c r="CW70" i="4"/>
  <c r="CW69" i="4"/>
  <c r="CW61" i="4"/>
  <c r="CW65" i="4"/>
  <c r="CW66" i="4"/>
  <c r="CW60" i="4"/>
  <c r="CW63" i="4"/>
  <c r="CW64" i="4"/>
  <c r="CW71" i="4"/>
  <c r="CW62" i="4"/>
  <c r="DC16" i="6" l="1"/>
  <c r="DD17" i="6"/>
  <c r="CY118" i="4"/>
  <c r="CY119" i="4" s="1"/>
  <c r="DC20" i="6"/>
  <c r="DC26" i="6" s="1"/>
  <c r="DC27" i="6" s="1"/>
  <c r="CY106" i="4"/>
  <c r="CY82" i="4" s="1"/>
  <c r="CX55" i="4"/>
  <c r="CX50" i="4"/>
  <c r="DA104" i="4"/>
  <c r="DA115" i="4"/>
  <c r="DE21" i="6" s="1"/>
  <c r="DA84" i="4"/>
  <c r="DA117" i="4" s="1"/>
  <c r="DE23" i="6" s="1"/>
  <c r="DA97" i="4"/>
  <c r="DA113" i="4" s="1"/>
  <c r="DE19" i="6" s="1"/>
  <c r="DA91" i="4"/>
  <c r="DA92" i="4" s="1"/>
  <c r="DA96" i="4" s="1"/>
  <c r="DA102" i="4"/>
  <c r="DA108" i="4"/>
  <c r="DA116" i="4" s="1"/>
  <c r="DE22" i="6" s="1"/>
  <c r="DA112" i="4"/>
  <c r="DE18" i="6" s="1"/>
  <c r="DA12" i="4"/>
  <c r="DA13" i="4" s="1"/>
  <c r="DB17" i="4"/>
  <c r="CW67" i="4"/>
  <c r="CY6" i="4"/>
  <c r="CX57" i="4"/>
  <c r="CX34" i="4"/>
  <c r="CX28" i="4"/>
  <c r="CX39" i="4"/>
  <c r="CX65" i="4"/>
  <c r="CX60" i="4"/>
  <c r="CX61" i="4"/>
  <c r="CX66" i="4"/>
  <c r="CX62" i="4"/>
  <c r="CX63" i="4"/>
  <c r="CX71" i="4"/>
  <c r="CX64" i="4"/>
  <c r="CZ95" i="4"/>
  <c r="CZ81" i="4" s="1"/>
  <c r="CZ15" i="4"/>
  <c r="CZ16" i="4" s="1"/>
  <c r="CZ9" i="4"/>
  <c r="CZ8" i="4"/>
  <c r="CZ7" i="4"/>
  <c r="DA5" i="4"/>
  <c r="CZ114" i="4"/>
  <c r="CZ103" i="4"/>
  <c r="CZ107" i="4" s="1"/>
  <c r="CX70" i="4"/>
  <c r="CX69" i="4"/>
  <c r="CY127" i="4"/>
  <c r="CY131" i="4"/>
  <c r="CY126" i="4"/>
  <c r="CY129" i="4"/>
  <c r="CY130" i="4"/>
  <c r="CY125" i="4"/>
  <c r="CY27" i="4" s="1"/>
  <c r="CY128" i="4"/>
  <c r="CZ6" i="4" l="1"/>
  <c r="DE17" i="6"/>
  <c r="DD16" i="6"/>
  <c r="CZ118" i="4"/>
  <c r="CZ119" i="4" s="1"/>
  <c r="DD20" i="6"/>
  <c r="DD26" i="6" s="1"/>
  <c r="DD27" i="6" s="1"/>
  <c r="CZ106" i="4"/>
  <c r="CZ82" i="4" s="1"/>
  <c r="CY57" i="4"/>
  <c r="CY34" i="4"/>
  <c r="CY28" i="4"/>
  <c r="CY39" i="4"/>
  <c r="CZ131" i="4"/>
  <c r="CZ126" i="4"/>
  <c r="CZ130" i="4"/>
  <c r="CZ127" i="4"/>
  <c r="CZ125" i="4"/>
  <c r="CZ27" i="4" s="1"/>
  <c r="CZ129" i="4"/>
  <c r="CZ128" i="4"/>
  <c r="CY70" i="4"/>
  <c r="CY69" i="4"/>
  <c r="CX67" i="4"/>
  <c r="DA95" i="4"/>
  <c r="DA81" i="4" s="1"/>
  <c r="DA9" i="4"/>
  <c r="DA15" i="4"/>
  <c r="DA16" i="4" s="1"/>
  <c r="DB5" i="4"/>
  <c r="DA7" i="4"/>
  <c r="DA8" i="4"/>
  <c r="DA114" i="4"/>
  <c r="DE20" i="6" s="1"/>
  <c r="DE26" i="6" s="1"/>
  <c r="DE27" i="6" s="1"/>
  <c r="DA103" i="4"/>
  <c r="DA107" i="4" s="1"/>
  <c r="CY55" i="4"/>
  <c r="CY50" i="4"/>
  <c r="DB115" i="4"/>
  <c r="DF21" i="6" s="1"/>
  <c r="DB108" i="4"/>
  <c r="DB116" i="4" s="1"/>
  <c r="DF22" i="6" s="1"/>
  <c r="DB104" i="4"/>
  <c r="DB102" i="4"/>
  <c r="DB97" i="4"/>
  <c r="DB113" i="4" s="1"/>
  <c r="DF19" i="6" s="1"/>
  <c r="DB84" i="4"/>
  <c r="DB117" i="4" s="1"/>
  <c r="DF23" i="6" s="1"/>
  <c r="DB91" i="4"/>
  <c r="DB92" i="4" s="1"/>
  <c r="DB96" i="4" s="1"/>
  <c r="DB112" i="4"/>
  <c r="DF18" i="6" s="1"/>
  <c r="DC17" i="4"/>
  <c r="DB12" i="4"/>
  <c r="DB13" i="4" s="1"/>
  <c r="CY65" i="4"/>
  <c r="CY61" i="4"/>
  <c r="CY60" i="4"/>
  <c r="CY66" i="4"/>
  <c r="CY64" i="4"/>
  <c r="CY62" i="4"/>
  <c r="CY71" i="4"/>
  <c r="CY63" i="4"/>
  <c r="DE16" i="6" l="1"/>
  <c r="DF17" i="6"/>
  <c r="DA6" i="4"/>
  <c r="DA118" i="4"/>
  <c r="DA119" i="4" s="1"/>
  <c r="CZ65" i="4"/>
  <c r="CZ66" i="4"/>
  <c r="CZ61" i="4"/>
  <c r="CZ60" i="4"/>
  <c r="CZ62" i="4"/>
  <c r="CZ71" i="4"/>
  <c r="CZ64" i="4"/>
  <c r="CZ63" i="4"/>
  <c r="DC115" i="4"/>
  <c r="DG21" i="6" s="1"/>
  <c r="DC108" i="4"/>
  <c r="DC116" i="4" s="1"/>
  <c r="DG22" i="6" s="1"/>
  <c r="DC102" i="4"/>
  <c r="DC104" i="4"/>
  <c r="DC97" i="4"/>
  <c r="DC113" i="4" s="1"/>
  <c r="DG19" i="6" s="1"/>
  <c r="DC84" i="4"/>
  <c r="DC117" i="4" s="1"/>
  <c r="DG23" i="6" s="1"/>
  <c r="DC91" i="4"/>
  <c r="DC92" i="4" s="1"/>
  <c r="DC96" i="4" s="1"/>
  <c r="DC112" i="4"/>
  <c r="DG18" i="6" s="1"/>
  <c r="DD17" i="4"/>
  <c r="DC12" i="4"/>
  <c r="DC13" i="4" s="1"/>
  <c r="CZ55" i="4"/>
  <c r="CZ50" i="4"/>
  <c r="CZ70" i="4"/>
  <c r="CZ69" i="4"/>
  <c r="DB114" i="4"/>
  <c r="DF20" i="6" s="1"/>
  <c r="DF26" i="6" s="1"/>
  <c r="DF27" i="6" s="1"/>
  <c r="DB103" i="4"/>
  <c r="DB107" i="4" s="1"/>
  <c r="DB95" i="4"/>
  <c r="DB81" i="4" s="1"/>
  <c r="DB15" i="4"/>
  <c r="DB16" i="4" s="1"/>
  <c r="DC5" i="4"/>
  <c r="DB8" i="4"/>
  <c r="DB9" i="4"/>
  <c r="DB7" i="4"/>
  <c r="DA131" i="4"/>
  <c r="DA126" i="4"/>
  <c r="DA130" i="4"/>
  <c r="DA127" i="4"/>
  <c r="DA125" i="4"/>
  <c r="DA27" i="4" s="1"/>
  <c r="DA129" i="4"/>
  <c r="DA128" i="4"/>
  <c r="CY67" i="4"/>
  <c r="DA106" i="4"/>
  <c r="DA82" i="4" s="1"/>
  <c r="CZ57" i="4"/>
  <c r="CZ34" i="4"/>
  <c r="CZ28" i="4"/>
  <c r="CZ39" i="4"/>
  <c r="DB106" i="4" l="1"/>
  <c r="DB82" i="4" s="1"/>
  <c r="DF16" i="6"/>
  <c r="DG17" i="6"/>
  <c r="DB6" i="4"/>
  <c r="DB118" i="4"/>
  <c r="DB119" i="4" s="1"/>
  <c r="DB126" i="4"/>
  <c r="DB130" i="4"/>
  <c r="DB125" i="4"/>
  <c r="DB27" i="4" s="1"/>
  <c r="DB127" i="4"/>
  <c r="DB129" i="4"/>
  <c r="DB128" i="4"/>
  <c r="DB131" i="4"/>
  <c r="DA60" i="4"/>
  <c r="DA61" i="4"/>
  <c r="DA65" i="4"/>
  <c r="DA66" i="4"/>
  <c r="DA64" i="4"/>
  <c r="DA62" i="4"/>
  <c r="DA63" i="4"/>
  <c r="DA71" i="4"/>
  <c r="DD115" i="4"/>
  <c r="DH21" i="6" s="1"/>
  <c r="DD108" i="4"/>
  <c r="DD116" i="4" s="1"/>
  <c r="DH22" i="6" s="1"/>
  <c r="DD102" i="4"/>
  <c r="DD104" i="4"/>
  <c r="DD97" i="4"/>
  <c r="DD113" i="4" s="1"/>
  <c r="DH19" i="6" s="1"/>
  <c r="DD84" i="4"/>
  <c r="DD117" i="4" s="1"/>
  <c r="DH23" i="6" s="1"/>
  <c r="DD91" i="4"/>
  <c r="DD92" i="4" s="1"/>
  <c r="DD96" i="4" s="1"/>
  <c r="DD112" i="4"/>
  <c r="DH18" i="6" s="1"/>
  <c r="DD12" i="4"/>
  <c r="DD13" i="4" s="1"/>
  <c r="DE17" i="4"/>
  <c r="DA57" i="4"/>
  <c r="DA34" i="4"/>
  <c r="DA28" i="4"/>
  <c r="DA39" i="4"/>
  <c r="DA55" i="4"/>
  <c r="DA50" i="4"/>
  <c r="DC95" i="4"/>
  <c r="DC81" i="4" s="1"/>
  <c r="DC15" i="4"/>
  <c r="DC16" i="4" s="1"/>
  <c r="DD5" i="4"/>
  <c r="DC8" i="4"/>
  <c r="DC7" i="4"/>
  <c r="DC9" i="4"/>
  <c r="DA70" i="4"/>
  <c r="DA69" i="4"/>
  <c r="DC114" i="4"/>
  <c r="DG20" i="6" s="1"/>
  <c r="DG26" i="6" s="1"/>
  <c r="DG27" i="6" s="1"/>
  <c r="DC103" i="4"/>
  <c r="DC107" i="4" s="1"/>
  <c r="CZ67" i="4"/>
  <c r="DG16" i="6" l="1"/>
  <c r="DH17" i="6"/>
  <c r="DC6" i="4"/>
  <c r="DC106" i="4"/>
  <c r="DC82" i="4" s="1"/>
  <c r="DC118" i="4"/>
  <c r="DC119" i="4" s="1"/>
  <c r="DC130" i="4"/>
  <c r="DC125" i="4"/>
  <c r="DC27" i="4" s="1"/>
  <c r="DC126" i="4"/>
  <c r="DC127" i="4"/>
  <c r="DC131" i="4"/>
  <c r="DC129" i="4"/>
  <c r="DC128" i="4"/>
  <c r="DE115" i="4"/>
  <c r="DI21" i="6" s="1"/>
  <c r="DE108" i="4"/>
  <c r="DE116" i="4" s="1"/>
  <c r="DI22" i="6" s="1"/>
  <c r="DE97" i="4"/>
  <c r="DE113" i="4" s="1"/>
  <c r="DI19" i="6" s="1"/>
  <c r="DE102" i="4"/>
  <c r="DE84" i="4"/>
  <c r="DE117" i="4" s="1"/>
  <c r="DI23" i="6" s="1"/>
  <c r="DE91" i="4"/>
  <c r="DE92" i="4" s="1"/>
  <c r="DE96" i="4" s="1"/>
  <c r="DE112" i="4"/>
  <c r="DI18" i="6" s="1"/>
  <c r="DE104" i="4"/>
  <c r="DF17" i="4"/>
  <c r="DE12" i="4"/>
  <c r="DE13" i="4" s="1"/>
  <c r="DA67" i="4"/>
  <c r="DD95" i="4"/>
  <c r="DD81" i="4" s="1"/>
  <c r="DD15" i="4"/>
  <c r="DD16" i="4" s="1"/>
  <c r="DE5" i="4"/>
  <c r="DD8" i="4"/>
  <c r="DD9" i="4"/>
  <c r="DD7" i="4"/>
  <c r="DD6" i="4" s="1"/>
  <c r="DD114" i="4"/>
  <c r="DH20" i="6" s="1"/>
  <c r="DH26" i="6" s="1"/>
  <c r="DH27" i="6" s="1"/>
  <c r="DD103" i="4"/>
  <c r="DD107" i="4" s="1"/>
  <c r="DB66" i="4"/>
  <c r="DB60" i="4"/>
  <c r="DB61" i="4"/>
  <c r="DB65" i="4"/>
  <c r="DB64" i="4"/>
  <c r="DB62" i="4"/>
  <c r="DB63" i="4"/>
  <c r="DB71" i="4"/>
  <c r="DB57" i="4"/>
  <c r="DB34" i="4"/>
  <c r="DB28" i="4"/>
  <c r="DB39" i="4"/>
  <c r="DB70" i="4"/>
  <c r="DB69" i="4"/>
  <c r="DB55" i="4"/>
  <c r="DB50" i="4"/>
  <c r="DI17" i="6" l="1"/>
  <c r="DH16" i="6"/>
  <c r="DD118" i="4"/>
  <c r="DD119" i="4" s="1"/>
  <c r="DD106" i="4"/>
  <c r="DD82" i="4" s="1"/>
  <c r="DE114" i="4"/>
  <c r="DI20" i="6" s="1"/>
  <c r="DI26" i="6" s="1"/>
  <c r="DI27" i="6" s="1"/>
  <c r="DE103" i="4"/>
  <c r="DE107" i="4" s="1"/>
  <c r="DB67" i="4"/>
  <c r="DC61" i="4"/>
  <c r="DC60" i="4"/>
  <c r="DC66" i="4"/>
  <c r="DC65" i="4"/>
  <c r="DC71" i="4"/>
  <c r="DC64" i="4"/>
  <c r="DC62" i="4"/>
  <c r="DC63" i="4"/>
  <c r="DF115" i="4"/>
  <c r="DJ21" i="6" s="1"/>
  <c r="DF108" i="4"/>
  <c r="DF116" i="4" s="1"/>
  <c r="DJ22" i="6" s="1"/>
  <c r="DF102" i="4"/>
  <c r="DF112" i="4"/>
  <c r="DJ18" i="6" s="1"/>
  <c r="DF97" i="4"/>
  <c r="DF113" i="4" s="1"/>
  <c r="DJ19" i="6" s="1"/>
  <c r="DF104" i="4"/>
  <c r="DF84" i="4"/>
  <c r="DF117" i="4" s="1"/>
  <c r="DJ23" i="6" s="1"/>
  <c r="DF91" i="4"/>
  <c r="DF92" i="4" s="1"/>
  <c r="DF96" i="4" s="1"/>
  <c r="DF12" i="4"/>
  <c r="DF13" i="4" s="1"/>
  <c r="DG17" i="4"/>
  <c r="DC55" i="4"/>
  <c r="DC50" i="4"/>
  <c r="DD130" i="4"/>
  <c r="DD125" i="4"/>
  <c r="DD27" i="4" s="1"/>
  <c r="DD129" i="4"/>
  <c r="DD126" i="4"/>
  <c r="DD127" i="4"/>
  <c r="DD131" i="4"/>
  <c r="DD128" i="4"/>
  <c r="DC57" i="4"/>
  <c r="DC34" i="4"/>
  <c r="DC28" i="4"/>
  <c r="DC39" i="4"/>
  <c r="DE95" i="4"/>
  <c r="DE81" i="4" s="1"/>
  <c r="DE15" i="4"/>
  <c r="DE16" i="4" s="1"/>
  <c r="DF5" i="4"/>
  <c r="DE8" i="4"/>
  <c r="DE7" i="4"/>
  <c r="DE9" i="4"/>
  <c r="DC70" i="4"/>
  <c r="DC69" i="4"/>
  <c r="DJ17" i="6" l="1"/>
  <c r="DI16" i="6"/>
  <c r="DC67" i="4"/>
  <c r="DE118" i="4"/>
  <c r="DE119" i="4" s="1"/>
  <c r="DE106" i="4"/>
  <c r="DE82" i="4" s="1"/>
  <c r="DE125" i="4"/>
  <c r="DE27" i="4" s="1"/>
  <c r="DE129" i="4"/>
  <c r="DE130" i="4"/>
  <c r="DE127" i="4"/>
  <c r="DE131" i="4"/>
  <c r="DE128" i="4"/>
  <c r="DE126" i="4"/>
  <c r="DF114" i="4"/>
  <c r="DJ20" i="6" s="1"/>
  <c r="DJ26" i="6" s="1"/>
  <c r="DJ27" i="6" s="1"/>
  <c r="DF103" i="4"/>
  <c r="DF107" i="4" s="1"/>
  <c r="DD70" i="4"/>
  <c r="DD69" i="4"/>
  <c r="DG115" i="4"/>
  <c r="DK21" i="6" s="1"/>
  <c r="DG112" i="4"/>
  <c r="DK18" i="6" s="1"/>
  <c r="DG97" i="4"/>
  <c r="DG113" i="4" s="1"/>
  <c r="DK19" i="6" s="1"/>
  <c r="DG108" i="4"/>
  <c r="DG116" i="4" s="1"/>
  <c r="DK22" i="6" s="1"/>
  <c r="DG102" i="4"/>
  <c r="DG84" i="4"/>
  <c r="DG117" i="4" s="1"/>
  <c r="DK23" i="6" s="1"/>
  <c r="DG91" i="4"/>
  <c r="DG92" i="4" s="1"/>
  <c r="DG96" i="4" s="1"/>
  <c r="DG104" i="4"/>
  <c r="DH17" i="4"/>
  <c r="DG12" i="4"/>
  <c r="DG13" i="4" s="1"/>
  <c r="DD66" i="4"/>
  <c r="DD61" i="4"/>
  <c r="DD65" i="4"/>
  <c r="DD60" i="4"/>
  <c r="DD62" i="4"/>
  <c r="DD63" i="4"/>
  <c r="DD71" i="4"/>
  <c r="DD64" i="4"/>
  <c r="DE6" i="4"/>
  <c r="DD55" i="4"/>
  <c r="DD50" i="4"/>
  <c r="DF95" i="4"/>
  <c r="DF81" i="4" s="1"/>
  <c r="DF15" i="4"/>
  <c r="DF16" i="4" s="1"/>
  <c r="DG5" i="4"/>
  <c r="DF8" i="4"/>
  <c r="DF7" i="4"/>
  <c r="DF6" i="4" s="1"/>
  <c r="DF9" i="4"/>
  <c r="DD57" i="4"/>
  <c r="DD34" i="4"/>
  <c r="DD28" i="4"/>
  <c r="DD39" i="4"/>
  <c r="DJ16" i="6" l="1"/>
  <c r="DK17" i="6"/>
  <c r="DF106" i="4"/>
  <c r="DF82" i="4" s="1"/>
  <c r="DF118" i="4"/>
  <c r="DF119" i="4" s="1"/>
  <c r="DG95" i="4"/>
  <c r="DG81" i="4" s="1"/>
  <c r="DG15" i="4"/>
  <c r="DG16" i="4" s="1"/>
  <c r="DG9" i="4"/>
  <c r="DH5" i="4"/>
  <c r="DG8" i="4"/>
  <c r="DG7" i="4"/>
  <c r="DG6" i="4" s="1"/>
  <c r="DF129" i="4"/>
  <c r="DF130" i="4"/>
  <c r="DF127" i="4"/>
  <c r="DF131" i="4"/>
  <c r="DF128" i="4"/>
  <c r="DF125" i="4"/>
  <c r="DF27" i="4" s="1"/>
  <c r="DF126" i="4"/>
  <c r="DH115" i="4"/>
  <c r="DL21" i="6" s="1"/>
  <c r="DH112" i="4"/>
  <c r="DL18" i="6" s="1"/>
  <c r="DH97" i="4"/>
  <c r="DH113" i="4" s="1"/>
  <c r="DL19" i="6" s="1"/>
  <c r="DH91" i="4"/>
  <c r="DH92" i="4" s="1"/>
  <c r="DH96" i="4" s="1"/>
  <c r="DH108" i="4"/>
  <c r="DH116" i="4" s="1"/>
  <c r="DL22" i="6" s="1"/>
  <c r="DH102" i="4"/>
  <c r="DH84" i="4"/>
  <c r="DH117" i="4" s="1"/>
  <c r="DL23" i="6" s="1"/>
  <c r="DH104" i="4"/>
  <c r="DH12" i="4"/>
  <c r="DH13" i="4" s="1"/>
  <c r="DI17" i="4"/>
  <c r="DE61" i="4"/>
  <c r="DE65" i="4"/>
  <c r="DE60" i="4"/>
  <c r="DE66" i="4"/>
  <c r="DE71" i="4"/>
  <c r="DE64" i="4"/>
  <c r="DE62" i="4"/>
  <c r="DE63" i="4"/>
  <c r="DE70" i="4"/>
  <c r="DE69" i="4"/>
  <c r="DE57" i="4"/>
  <c r="DE34" i="4"/>
  <c r="DE28" i="4"/>
  <c r="DE39" i="4"/>
  <c r="DD67" i="4"/>
  <c r="DE55" i="4"/>
  <c r="DE50" i="4"/>
  <c r="DG114" i="4"/>
  <c r="DK20" i="6" s="1"/>
  <c r="DK26" i="6" s="1"/>
  <c r="DK27" i="6" s="1"/>
  <c r="DG103" i="4"/>
  <c r="DG107" i="4" s="1"/>
  <c r="DK16" i="6" l="1"/>
  <c r="DL17" i="6"/>
  <c r="DG118" i="4"/>
  <c r="DG119" i="4" s="1"/>
  <c r="DH95" i="4"/>
  <c r="DH81" i="4" s="1"/>
  <c r="DH15" i="4"/>
  <c r="DH16" i="4" s="1"/>
  <c r="DI5" i="4"/>
  <c r="DH8" i="4"/>
  <c r="DH7" i="4"/>
  <c r="DH9" i="4"/>
  <c r="DF61" i="4"/>
  <c r="DF65" i="4"/>
  <c r="DF66" i="4"/>
  <c r="DF60" i="4"/>
  <c r="DF64" i="4"/>
  <c r="DF63" i="4"/>
  <c r="DF62" i="4"/>
  <c r="DF71" i="4"/>
  <c r="DG129" i="4"/>
  <c r="DG128" i="4"/>
  <c r="DG127" i="4"/>
  <c r="DG131" i="4"/>
  <c r="DG125" i="4"/>
  <c r="DG27" i="4" s="1"/>
  <c r="DG126" i="4"/>
  <c r="DG130" i="4"/>
  <c r="DE67" i="4"/>
  <c r="DF57" i="4"/>
  <c r="DF34" i="4"/>
  <c r="DF28" i="4"/>
  <c r="DF39" i="4"/>
  <c r="DF55" i="4"/>
  <c r="DF50" i="4"/>
  <c r="DF70" i="4"/>
  <c r="DF69" i="4"/>
  <c r="DH114" i="4"/>
  <c r="DH103" i="4"/>
  <c r="DH107" i="4" s="1"/>
  <c r="DG106" i="4"/>
  <c r="DG82" i="4" s="1"/>
  <c r="DI112" i="4"/>
  <c r="DM18" i="6" s="1"/>
  <c r="DI115" i="4"/>
  <c r="DM21" i="6" s="1"/>
  <c r="DI108" i="4"/>
  <c r="DI116" i="4" s="1"/>
  <c r="DM22" i="6" s="1"/>
  <c r="DI91" i="4"/>
  <c r="DI92" i="4" s="1"/>
  <c r="DI96" i="4" s="1"/>
  <c r="DI84" i="4"/>
  <c r="DI117" i="4" s="1"/>
  <c r="DM23" i="6" s="1"/>
  <c r="DI102" i="4"/>
  <c r="DI97" i="4"/>
  <c r="DI113" i="4" s="1"/>
  <c r="DM19" i="6" s="1"/>
  <c r="DI104" i="4"/>
  <c r="DI12" i="4"/>
  <c r="DI13" i="4" s="1"/>
  <c r="DJ17" i="4"/>
  <c r="DL16" i="6" l="1"/>
  <c r="DM17" i="6"/>
  <c r="DH118" i="4"/>
  <c r="DH119" i="4" s="1"/>
  <c r="DL20" i="6"/>
  <c r="DL26" i="6" s="1"/>
  <c r="DL27" i="6" s="1"/>
  <c r="DH106" i="4"/>
  <c r="DH82" i="4" s="1"/>
  <c r="DI95" i="4"/>
  <c r="DI81" i="4" s="1"/>
  <c r="DI15" i="4"/>
  <c r="DI16" i="4" s="1"/>
  <c r="DI8" i="4"/>
  <c r="DI7" i="4"/>
  <c r="DI6" i="4" s="1"/>
  <c r="DI9" i="4"/>
  <c r="DJ5" i="4"/>
  <c r="DF67" i="4"/>
  <c r="DG70" i="4"/>
  <c r="DG69" i="4"/>
  <c r="DJ112" i="4"/>
  <c r="DN18" i="6" s="1"/>
  <c r="DJ115" i="4"/>
  <c r="DN21" i="6" s="1"/>
  <c r="DJ97" i="4"/>
  <c r="DJ113" i="4" s="1"/>
  <c r="DN19" i="6" s="1"/>
  <c r="DJ108" i="4"/>
  <c r="DJ116" i="4" s="1"/>
  <c r="DN22" i="6" s="1"/>
  <c r="DJ91" i="4"/>
  <c r="DJ92" i="4" s="1"/>
  <c r="DJ96" i="4" s="1"/>
  <c r="DJ84" i="4"/>
  <c r="DJ117" i="4" s="1"/>
  <c r="DN23" i="6" s="1"/>
  <c r="DJ104" i="4"/>
  <c r="DJ102" i="4"/>
  <c r="DJ12" i="4"/>
  <c r="DJ13" i="4" s="1"/>
  <c r="DK17" i="4"/>
  <c r="DG55" i="4"/>
  <c r="DG50" i="4"/>
  <c r="DG57" i="4"/>
  <c r="DG34" i="4"/>
  <c r="DG28" i="4"/>
  <c r="DG39" i="4"/>
  <c r="DH128" i="4"/>
  <c r="DH131" i="4"/>
  <c r="DH126" i="4"/>
  <c r="DH127" i="4"/>
  <c r="DH129" i="4"/>
  <c r="DH125" i="4"/>
  <c r="DH27" i="4" s="1"/>
  <c r="DH130" i="4"/>
  <c r="DI114" i="4"/>
  <c r="DI103" i="4"/>
  <c r="DI107" i="4" s="1"/>
  <c r="DG61" i="4"/>
  <c r="DG60" i="4"/>
  <c r="DG65" i="4"/>
  <c r="DG66" i="4"/>
  <c r="DG62" i="4"/>
  <c r="DG71" i="4"/>
  <c r="DG64" i="4"/>
  <c r="DG63" i="4"/>
  <c r="DH6" i="4"/>
  <c r="DM16" i="6" l="1"/>
  <c r="DN17" i="6"/>
  <c r="DI118" i="4"/>
  <c r="DI119" i="4" s="1"/>
  <c r="DM20" i="6"/>
  <c r="DM26" i="6" s="1"/>
  <c r="DM27" i="6" s="1"/>
  <c r="DI106" i="4"/>
  <c r="DI82" i="4" s="1"/>
  <c r="DI128" i="4"/>
  <c r="DI131" i="4"/>
  <c r="DI125" i="4"/>
  <c r="DI27" i="4" s="1"/>
  <c r="DI127" i="4"/>
  <c r="DI129" i="4"/>
  <c r="DI126" i="4"/>
  <c r="DI130" i="4"/>
  <c r="DK112" i="4"/>
  <c r="DO18" i="6" s="1"/>
  <c r="DK115" i="4"/>
  <c r="DO21" i="6" s="1"/>
  <c r="DK108" i="4"/>
  <c r="DK116" i="4" s="1"/>
  <c r="DO22" i="6" s="1"/>
  <c r="DK104" i="4"/>
  <c r="DK91" i="4"/>
  <c r="DK92" i="4" s="1"/>
  <c r="DK96" i="4" s="1"/>
  <c r="DK84" i="4"/>
  <c r="DK117" i="4" s="1"/>
  <c r="DO23" i="6" s="1"/>
  <c r="DK102" i="4"/>
  <c r="DK97" i="4"/>
  <c r="DK113" i="4" s="1"/>
  <c r="DO19" i="6" s="1"/>
  <c r="DK12" i="4"/>
  <c r="DK13" i="4" s="1"/>
  <c r="DL17" i="4"/>
  <c r="DH57" i="4"/>
  <c r="DH34" i="4"/>
  <c r="DH28" i="4"/>
  <c r="DH39" i="4"/>
  <c r="DJ114" i="4"/>
  <c r="DN20" i="6" s="1"/>
  <c r="DN26" i="6" s="1"/>
  <c r="DN27" i="6" s="1"/>
  <c r="DJ103" i="4"/>
  <c r="DJ107" i="4" s="1"/>
  <c r="DG67" i="4"/>
  <c r="DH61" i="4"/>
  <c r="DH66" i="4"/>
  <c r="DH65" i="4"/>
  <c r="DH60" i="4"/>
  <c r="DH71" i="4"/>
  <c r="DH64" i="4"/>
  <c r="DH63" i="4"/>
  <c r="DH62" i="4"/>
  <c r="DH70" i="4"/>
  <c r="DH69" i="4"/>
  <c r="DH55" i="4"/>
  <c r="DH50" i="4"/>
  <c r="DJ95" i="4"/>
  <c r="DJ81" i="4" s="1"/>
  <c r="DJ7" i="4"/>
  <c r="DJ15" i="4"/>
  <c r="DJ16" i="4" s="1"/>
  <c r="DJ9" i="4"/>
  <c r="DJ8" i="4"/>
  <c r="DK5" i="4"/>
  <c r="DN16" i="6" l="1"/>
  <c r="DO17" i="6"/>
  <c r="DJ106" i="4"/>
  <c r="DJ82" i="4" s="1"/>
  <c r="DJ118" i="4"/>
  <c r="DJ119" i="4" s="1"/>
  <c r="DH67" i="4"/>
  <c r="DI60" i="4"/>
  <c r="DI61" i="4"/>
  <c r="DI65" i="4"/>
  <c r="DI66" i="4"/>
  <c r="DI63" i="4"/>
  <c r="DI62" i="4"/>
  <c r="DI64" i="4"/>
  <c r="DI71" i="4"/>
  <c r="DI70" i="4"/>
  <c r="DI69" i="4"/>
  <c r="DK95" i="4"/>
  <c r="DK81" i="4" s="1"/>
  <c r="DK7" i="4"/>
  <c r="DK15" i="4"/>
  <c r="DK16" i="4" s="1"/>
  <c r="DK9" i="4"/>
  <c r="DL5" i="4"/>
  <c r="DK8" i="4"/>
  <c r="DJ128" i="4"/>
  <c r="DJ127" i="4"/>
  <c r="DJ129" i="4"/>
  <c r="DJ131" i="4"/>
  <c r="DJ125" i="4"/>
  <c r="DJ27" i="4" s="1"/>
  <c r="DJ126" i="4"/>
  <c r="DJ130" i="4"/>
  <c r="DI55" i="4"/>
  <c r="DI50" i="4"/>
  <c r="DL115" i="4"/>
  <c r="DP21" i="6" s="1"/>
  <c r="DL112" i="4"/>
  <c r="DP18" i="6" s="1"/>
  <c r="DL108" i="4"/>
  <c r="DL116" i="4" s="1"/>
  <c r="DP22" i="6" s="1"/>
  <c r="DL104" i="4"/>
  <c r="DL91" i="4"/>
  <c r="DL92" i="4" s="1"/>
  <c r="DL96" i="4" s="1"/>
  <c r="DL84" i="4"/>
  <c r="DL117" i="4" s="1"/>
  <c r="DP23" i="6" s="1"/>
  <c r="DL97" i="4"/>
  <c r="DL113" i="4" s="1"/>
  <c r="DP19" i="6" s="1"/>
  <c r="DL102" i="4"/>
  <c r="DL12" i="4"/>
  <c r="DL13" i="4" s="1"/>
  <c r="DM17" i="4"/>
  <c r="DI57" i="4"/>
  <c r="DI34" i="4"/>
  <c r="DI28" i="4"/>
  <c r="DI39" i="4"/>
  <c r="DK114" i="4"/>
  <c r="DO20" i="6" s="1"/>
  <c r="DO26" i="6" s="1"/>
  <c r="DO27" i="6" s="1"/>
  <c r="DK103" i="4"/>
  <c r="DK107" i="4" s="1"/>
  <c r="DJ6" i="4"/>
  <c r="DP17" i="6" l="1"/>
  <c r="DO16" i="6"/>
  <c r="DK118" i="4"/>
  <c r="DK119" i="4" s="1"/>
  <c r="DJ57" i="4"/>
  <c r="DJ28" i="4"/>
  <c r="DJ34" i="4"/>
  <c r="DJ39" i="4"/>
  <c r="DK6" i="4"/>
  <c r="DL95" i="4"/>
  <c r="DL81" i="4" s="1"/>
  <c r="DL15" i="4"/>
  <c r="DL16" i="4" s="1"/>
  <c r="DL7" i="4"/>
  <c r="DL9" i="4"/>
  <c r="DL8" i="4"/>
  <c r="DM5" i="4"/>
  <c r="DM112" i="4"/>
  <c r="DQ18" i="6" s="1"/>
  <c r="DM115" i="4"/>
  <c r="DQ21" i="6" s="1"/>
  <c r="DM108" i="4"/>
  <c r="DM116" i="4" s="1"/>
  <c r="DQ22" i="6" s="1"/>
  <c r="DM104" i="4"/>
  <c r="DM91" i="4"/>
  <c r="DM92" i="4" s="1"/>
  <c r="DM96" i="4" s="1"/>
  <c r="DM84" i="4"/>
  <c r="DM117" i="4" s="1"/>
  <c r="DQ23" i="6" s="1"/>
  <c r="DM97" i="4"/>
  <c r="DM113" i="4" s="1"/>
  <c r="DQ19" i="6" s="1"/>
  <c r="DM102" i="4"/>
  <c r="DM12" i="4"/>
  <c r="DM13" i="4" s="1"/>
  <c r="DN17" i="4"/>
  <c r="DJ55" i="4"/>
  <c r="DJ50" i="4"/>
  <c r="DI67" i="4"/>
  <c r="DJ70" i="4"/>
  <c r="DJ69" i="4"/>
  <c r="DK127" i="4"/>
  <c r="DK128" i="4"/>
  <c r="DK125" i="4"/>
  <c r="DK27" i="4" s="1"/>
  <c r="DK129" i="4"/>
  <c r="DK131" i="4"/>
  <c r="DK130" i="4"/>
  <c r="DK126" i="4"/>
  <c r="DJ65" i="4"/>
  <c r="DJ61" i="4"/>
  <c r="DJ66" i="4"/>
  <c r="DJ60" i="4"/>
  <c r="DJ62" i="4"/>
  <c r="DJ71" i="4"/>
  <c r="DJ63" i="4"/>
  <c r="DJ64" i="4"/>
  <c r="DL114" i="4"/>
  <c r="DP20" i="6" s="1"/>
  <c r="DP26" i="6" s="1"/>
  <c r="DP27" i="6" s="1"/>
  <c r="DL103" i="4"/>
  <c r="DL107" i="4" s="1"/>
  <c r="DK106" i="4"/>
  <c r="DK82" i="4" s="1"/>
  <c r="DQ17" i="6" l="1"/>
  <c r="DP16" i="6"/>
  <c r="DL106" i="4"/>
  <c r="DL82" i="4" s="1"/>
  <c r="DL118" i="4"/>
  <c r="DL119" i="4" s="1"/>
  <c r="DK61" i="4"/>
  <c r="DK60" i="4"/>
  <c r="DK65" i="4"/>
  <c r="DK66" i="4"/>
  <c r="DK64" i="4"/>
  <c r="DK62" i="4"/>
  <c r="DK71" i="4"/>
  <c r="DK63" i="4"/>
  <c r="DM95" i="4"/>
  <c r="DM81" i="4" s="1"/>
  <c r="DM15" i="4"/>
  <c r="DM16" i="4" s="1"/>
  <c r="DM9" i="4"/>
  <c r="DN5" i="4"/>
  <c r="DM8" i="4"/>
  <c r="DM7" i="4"/>
  <c r="DJ67" i="4"/>
  <c r="DN112" i="4"/>
  <c r="DR18" i="6" s="1"/>
  <c r="DN115" i="4"/>
  <c r="DR21" i="6" s="1"/>
  <c r="DN108" i="4"/>
  <c r="DN116" i="4" s="1"/>
  <c r="DR22" i="6" s="1"/>
  <c r="DN104" i="4"/>
  <c r="DN84" i="4"/>
  <c r="DN117" i="4" s="1"/>
  <c r="DR23" i="6" s="1"/>
  <c r="DN97" i="4"/>
  <c r="DN113" i="4" s="1"/>
  <c r="DR19" i="6" s="1"/>
  <c r="DN102" i="4"/>
  <c r="DN91" i="4"/>
  <c r="DN92" i="4" s="1"/>
  <c r="DN96" i="4" s="1"/>
  <c r="DN12" i="4"/>
  <c r="DN13" i="4" s="1"/>
  <c r="DO17" i="4"/>
  <c r="DL6" i="4"/>
  <c r="DK55" i="4"/>
  <c r="DK50" i="4"/>
  <c r="DK70" i="4"/>
  <c r="DK69" i="4"/>
  <c r="DK57" i="4"/>
  <c r="DK34" i="4"/>
  <c r="DK28" i="4"/>
  <c r="DK39" i="4"/>
  <c r="DM114" i="4"/>
  <c r="DQ20" i="6" s="1"/>
  <c r="DQ26" i="6" s="1"/>
  <c r="DQ27" i="6" s="1"/>
  <c r="DM103" i="4"/>
  <c r="DM107" i="4" s="1"/>
  <c r="DL127" i="4"/>
  <c r="DL131" i="4"/>
  <c r="DL128" i="4"/>
  <c r="DL125" i="4"/>
  <c r="DL27" i="4" s="1"/>
  <c r="DL129" i="4"/>
  <c r="DL126" i="4"/>
  <c r="DL130" i="4"/>
  <c r="DR17" i="6" l="1"/>
  <c r="DQ16" i="6"/>
  <c r="DM6" i="4"/>
  <c r="DM106" i="4"/>
  <c r="DM82" i="4" s="1"/>
  <c r="DM118" i="4"/>
  <c r="DM119" i="4" s="1"/>
  <c r="DM127" i="4"/>
  <c r="DM131" i="4"/>
  <c r="DM126" i="4"/>
  <c r="DM128" i="4"/>
  <c r="DM125" i="4"/>
  <c r="DM27" i="4" s="1"/>
  <c r="DM129" i="4"/>
  <c r="DM130" i="4"/>
  <c r="DL61" i="4"/>
  <c r="DL66" i="4"/>
  <c r="DL65" i="4"/>
  <c r="DL60" i="4"/>
  <c r="DL71" i="4"/>
  <c r="DL63" i="4"/>
  <c r="DL62" i="4"/>
  <c r="DL64" i="4"/>
  <c r="DL70" i="4"/>
  <c r="DL69" i="4"/>
  <c r="DK67" i="4"/>
  <c r="DL55" i="4"/>
  <c r="DL50" i="4"/>
  <c r="DL57" i="4"/>
  <c r="DL34" i="4"/>
  <c r="DL28" i="4"/>
  <c r="DL39" i="4"/>
  <c r="DN95" i="4"/>
  <c r="DN81" i="4" s="1"/>
  <c r="DN15" i="4"/>
  <c r="DN16" i="4" s="1"/>
  <c r="DN9" i="4"/>
  <c r="DN8" i="4"/>
  <c r="DN7" i="4"/>
  <c r="DO5" i="4"/>
  <c r="DN114" i="4"/>
  <c r="DR20" i="6" s="1"/>
  <c r="DR26" i="6" s="1"/>
  <c r="DR27" i="6" s="1"/>
  <c r="DN103" i="4"/>
  <c r="DN107" i="4" s="1"/>
  <c r="DO112" i="4"/>
  <c r="DS18" i="6" s="1"/>
  <c r="DO108" i="4"/>
  <c r="DO116" i="4" s="1"/>
  <c r="DS22" i="6" s="1"/>
  <c r="DO104" i="4"/>
  <c r="DO84" i="4"/>
  <c r="DO117" i="4" s="1"/>
  <c r="DS23" i="6" s="1"/>
  <c r="DO97" i="4"/>
  <c r="DO113" i="4" s="1"/>
  <c r="DS19" i="6" s="1"/>
  <c r="DO102" i="4"/>
  <c r="DO115" i="4"/>
  <c r="DS21" i="6" s="1"/>
  <c r="DO91" i="4"/>
  <c r="DO92" i="4" s="1"/>
  <c r="DO96" i="4" s="1"/>
  <c r="DO12" i="4"/>
  <c r="DO13" i="4" s="1"/>
  <c r="DP17" i="4"/>
  <c r="DS17" i="6" l="1"/>
  <c r="DR16" i="6"/>
  <c r="DN106" i="4"/>
  <c r="DN82" i="4" s="1"/>
  <c r="DN118" i="4"/>
  <c r="DN119" i="4" s="1"/>
  <c r="DM70" i="4"/>
  <c r="DM69" i="4"/>
  <c r="DM57" i="4"/>
  <c r="DM34" i="4"/>
  <c r="DM28" i="4"/>
  <c r="DM39" i="4"/>
  <c r="DM65" i="4"/>
  <c r="DM61" i="4"/>
  <c r="DM60" i="4"/>
  <c r="DM66" i="4"/>
  <c r="DM64" i="4"/>
  <c r="DM63" i="4"/>
  <c r="DM71" i="4"/>
  <c r="DM62" i="4"/>
  <c r="DO95" i="4"/>
  <c r="DO81" i="4" s="1"/>
  <c r="DO15" i="4"/>
  <c r="DO16" i="4" s="1"/>
  <c r="DO9" i="4"/>
  <c r="DP5" i="4"/>
  <c r="DO7" i="4"/>
  <c r="DO8" i="4"/>
  <c r="DP115" i="4"/>
  <c r="DT21" i="6" s="1"/>
  <c r="DP108" i="4"/>
  <c r="DP116" i="4" s="1"/>
  <c r="DT22" i="6" s="1"/>
  <c r="DP112" i="4"/>
  <c r="DT18" i="6" s="1"/>
  <c r="DP104" i="4"/>
  <c r="DP102" i="4"/>
  <c r="DP97" i="4"/>
  <c r="DP113" i="4" s="1"/>
  <c r="DT19" i="6" s="1"/>
  <c r="DP91" i="4"/>
  <c r="DP92" i="4" s="1"/>
  <c r="DP96" i="4" s="1"/>
  <c r="DP84" i="4"/>
  <c r="DP117" i="4" s="1"/>
  <c r="DT23" i="6" s="1"/>
  <c r="DQ17" i="4"/>
  <c r="DP12" i="4"/>
  <c r="DP13" i="4" s="1"/>
  <c r="DM55" i="4"/>
  <c r="DM50" i="4"/>
  <c r="DO103" i="4"/>
  <c r="DO107" i="4" s="1"/>
  <c r="DO114" i="4"/>
  <c r="DS20" i="6" s="1"/>
  <c r="DS26" i="6" s="1"/>
  <c r="DS27" i="6" s="1"/>
  <c r="DN6" i="4"/>
  <c r="DN131" i="4"/>
  <c r="DN126" i="4"/>
  <c r="DN128" i="4"/>
  <c r="DN125" i="4"/>
  <c r="DN27" i="4" s="1"/>
  <c r="DN129" i="4"/>
  <c r="DN130" i="4"/>
  <c r="DN127" i="4"/>
  <c r="DL67" i="4"/>
  <c r="DS16" i="6" l="1"/>
  <c r="DT17" i="6"/>
  <c r="DO6" i="4"/>
  <c r="DO106" i="4"/>
  <c r="DO82" i="4" s="1"/>
  <c r="DO118" i="4"/>
  <c r="DO119" i="4" s="1"/>
  <c r="DN65" i="4"/>
  <c r="DN66" i="4"/>
  <c r="DN61" i="4"/>
  <c r="DN60" i="4"/>
  <c r="DN64" i="4"/>
  <c r="DN71" i="4"/>
  <c r="DN63" i="4"/>
  <c r="DN62" i="4"/>
  <c r="DM67" i="4"/>
  <c r="DP103" i="4"/>
  <c r="DP107" i="4" s="1"/>
  <c r="DP114" i="4"/>
  <c r="DT20" i="6" s="1"/>
  <c r="DT26" i="6" s="1"/>
  <c r="DT27" i="6" s="1"/>
  <c r="DN70" i="4"/>
  <c r="DN69" i="4"/>
  <c r="DN57" i="4"/>
  <c r="DN34" i="4"/>
  <c r="DN28" i="4"/>
  <c r="DN39" i="4"/>
  <c r="DP95" i="4"/>
  <c r="DP81" i="4" s="1"/>
  <c r="DP15" i="4"/>
  <c r="DP16" i="4" s="1"/>
  <c r="DP9" i="4"/>
  <c r="DQ5" i="4"/>
  <c r="DP8" i="4"/>
  <c r="DP7" i="4"/>
  <c r="DP6" i="4" s="1"/>
  <c r="DQ115" i="4"/>
  <c r="DU21" i="6" s="1"/>
  <c r="DQ108" i="4"/>
  <c r="DQ116" i="4" s="1"/>
  <c r="DU22" i="6" s="1"/>
  <c r="DQ102" i="4"/>
  <c r="DQ112" i="4"/>
  <c r="DU18" i="6" s="1"/>
  <c r="DQ91" i="4"/>
  <c r="DQ92" i="4" s="1"/>
  <c r="DQ96" i="4" s="1"/>
  <c r="DQ104" i="4"/>
  <c r="DQ97" i="4"/>
  <c r="DQ113" i="4" s="1"/>
  <c r="DU19" i="6" s="1"/>
  <c r="DQ84" i="4"/>
  <c r="DQ117" i="4" s="1"/>
  <c r="DU23" i="6" s="1"/>
  <c r="DR17" i="4"/>
  <c r="DQ12" i="4"/>
  <c r="DQ13" i="4" s="1"/>
  <c r="DN55" i="4"/>
  <c r="DN50" i="4"/>
  <c r="DO131" i="4"/>
  <c r="DO126" i="4"/>
  <c r="DO130" i="4"/>
  <c r="DO125" i="4"/>
  <c r="DO27" i="4" s="1"/>
  <c r="DO129" i="4"/>
  <c r="DO128" i="4"/>
  <c r="DO127" i="4"/>
  <c r="DT16" i="6" l="1"/>
  <c r="DU17" i="6"/>
  <c r="DP118" i="4"/>
  <c r="DP119" i="4" s="1"/>
  <c r="DP106" i="4"/>
  <c r="DP82" i="4" s="1"/>
  <c r="DP126" i="4"/>
  <c r="DP130" i="4"/>
  <c r="DP125" i="4"/>
  <c r="DP27" i="4" s="1"/>
  <c r="DP129" i="4"/>
  <c r="DP131" i="4"/>
  <c r="DP128" i="4"/>
  <c r="DP127" i="4"/>
  <c r="DO66" i="4"/>
  <c r="DO60" i="4"/>
  <c r="DO61" i="4"/>
  <c r="DO65" i="4"/>
  <c r="DO62" i="4"/>
  <c r="DO64" i="4"/>
  <c r="DO71" i="4"/>
  <c r="DO63" i="4"/>
  <c r="DQ95" i="4"/>
  <c r="DQ81" i="4" s="1"/>
  <c r="DQ15" i="4"/>
  <c r="DQ16" i="4" s="1"/>
  <c r="DR5" i="4"/>
  <c r="DQ8" i="4"/>
  <c r="DQ7" i="4"/>
  <c r="DQ9" i="4"/>
  <c r="DQ103" i="4"/>
  <c r="DQ107" i="4" s="1"/>
  <c r="DQ114" i="4"/>
  <c r="DU20" i="6" s="1"/>
  <c r="DU26" i="6" s="1"/>
  <c r="DU27" i="6" s="1"/>
  <c r="DO57" i="4"/>
  <c r="DO34" i="4"/>
  <c r="DO28" i="4"/>
  <c r="DO39" i="4"/>
  <c r="DR115" i="4"/>
  <c r="DV21" i="6" s="1"/>
  <c r="DR108" i="4"/>
  <c r="DR116" i="4" s="1"/>
  <c r="DV22" i="6" s="1"/>
  <c r="DR102" i="4"/>
  <c r="DR112" i="4"/>
  <c r="DV18" i="6" s="1"/>
  <c r="DR91" i="4"/>
  <c r="DR92" i="4" s="1"/>
  <c r="DR96" i="4" s="1"/>
  <c r="DR84" i="4"/>
  <c r="DR117" i="4" s="1"/>
  <c r="DV23" i="6" s="1"/>
  <c r="DR97" i="4"/>
  <c r="DR113" i="4" s="1"/>
  <c r="DV19" i="6" s="1"/>
  <c r="DR104" i="4"/>
  <c r="DR12" i="4"/>
  <c r="DR13" i="4" s="1"/>
  <c r="DS17" i="4"/>
  <c r="DN67" i="4"/>
  <c r="DO70" i="4"/>
  <c r="DO69" i="4"/>
  <c r="DO55" i="4"/>
  <c r="DO50" i="4"/>
  <c r="DU16" i="6" l="1"/>
  <c r="DV17" i="6"/>
  <c r="DQ118" i="4"/>
  <c r="DQ119" i="4" s="1"/>
  <c r="DQ6" i="4"/>
  <c r="DO67" i="4"/>
  <c r="DP65" i="4"/>
  <c r="DP61" i="4"/>
  <c r="DP66" i="4"/>
  <c r="DP60" i="4"/>
  <c r="DP64" i="4"/>
  <c r="DP62" i="4"/>
  <c r="DP71" i="4"/>
  <c r="DP63" i="4"/>
  <c r="DP57" i="4"/>
  <c r="DP34" i="4"/>
  <c r="DP28" i="4"/>
  <c r="DP39" i="4"/>
  <c r="DR95" i="4"/>
  <c r="DR81" i="4" s="1"/>
  <c r="DR15" i="4"/>
  <c r="DR16" i="4" s="1"/>
  <c r="DS5" i="4"/>
  <c r="DR8" i="4"/>
  <c r="DR7" i="4"/>
  <c r="DR9" i="4"/>
  <c r="DQ106" i="4"/>
  <c r="DQ82" i="4" s="1"/>
  <c r="DP70" i="4"/>
  <c r="DP69" i="4"/>
  <c r="DR103" i="4"/>
  <c r="DR107" i="4" s="1"/>
  <c r="DR114" i="4"/>
  <c r="DQ130" i="4"/>
  <c r="DQ125" i="4"/>
  <c r="DQ27" i="4" s="1"/>
  <c r="DQ129" i="4"/>
  <c r="DQ131" i="4"/>
  <c r="DQ128" i="4"/>
  <c r="DQ127" i="4"/>
  <c r="DQ126" i="4"/>
  <c r="DS115" i="4"/>
  <c r="DW21" i="6" s="1"/>
  <c r="DS108" i="4"/>
  <c r="DS116" i="4" s="1"/>
  <c r="DW22" i="6" s="1"/>
  <c r="DS112" i="4"/>
  <c r="DW18" i="6" s="1"/>
  <c r="DS102" i="4"/>
  <c r="DS104" i="4"/>
  <c r="DS97" i="4"/>
  <c r="DS113" i="4" s="1"/>
  <c r="DW19" i="6" s="1"/>
  <c r="DS91" i="4"/>
  <c r="DS92" i="4" s="1"/>
  <c r="DS96" i="4" s="1"/>
  <c r="DS84" i="4"/>
  <c r="DS117" i="4" s="1"/>
  <c r="DW23" i="6" s="1"/>
  <c r="DT17" i="4"/>
  <c r="DS12" i="4"/>
  <c r="DS13" i="4" s="1"/>
  <c r="DP55" i="4"/>
  <c r="DP50" i="4"/>
  <c r="DR6" i="4" l="1"/>
  <c r="DW17" i="6"/>
  <c r="DV16" i="6"/>
  <c r="DR118" i="4"/>
  <c r="DR119" i="4" s="1"/>
  <c r="DV20" i="6"/>
  <c r="DV26" i="6" s="1"/>
  <c r="DV27" i="6" s="1"/>
  <c r="DR106" i="4"/>
  <c r="DR82" i="4" s="1"/>
  <c r="DS114" i="4"/>
  <c r="DW20" i="6" s="1"/>
  <c r="DW26" i="6" s="1"/>
  <c r="DW27" i="6" s="1"/>
  <c r="DS103" i="4"/>
  <c r="DS107" i="4" s="1"/>
  <c r="DQ61" i="4"/>
  <c r="DQ65" i="4"/>
  <c r="DQ60" i="4"/>
  <c r="DQ66" i="4"/>
  <c r="DQ71" i="4"/>
  <c r="DQ62" i="4"/>
  <c r="DQ63" i="4"/>
  <c r="DQ64" i="4"/>
  <c r="DQ55" i="4"/>
  <c r="DQ50" i="4"/>
  <c r="DS95" i="4"/>
  <c r="DS81" i="4" s="1"/>
  <c r="DS15" i="4"/>
  <c r="DS16" i="4" s="1"/>
  <c r="DT5" i="4"/>
  <c r="DS8" i="4"/>
  <c r="DS7" i="4"/>
  <c r="DS6" i="4" s="1"/>
  <c r="DS9" i="4"/>
  <c r="DQ57" i="4"/>
  <c r="DQ34" i="4"/>
  <c r="DQ28" i="4"/>
  <c r="DQ39" i="4"/>
  <c r="DR130" i="4"/>
  <c r="DR125" i="4"/>
  <c r="DR27" i="4" s="1"/>
  <c r="DR129" i="4"/>
  <c r="DR126" i="4"/>
  <c r="DR131" i="4"/>
  <c r="DR128" i="4"/>
  <c r="DR127" i="4"/>
  <c r="DP67" i="4"/>
  <c r="DQ70" i="4"/>
  <c r="DQ69" i="4"/>
  <c r="DT115" i="4"/>
  <c r="DX21" i="6" s="1"/>
  <c r="DT108" i="4"/>
  <c r="DT116" i="4" s="1"/>
  <c r="DX22" i="6" s="1"/>
  <c r="DT102" i="4"/>
  <c r="DT97" i="4"/>
  <c r="DT113" i="4" s="1"/>
  <c r="DX19" i="6" s="1"/>
  <c r="DT112" i="4"/>
  <c r="DX18" i="6" s="1"/>
  <c r="DT104" i="4"/>
  <c r="DT91" i="4"/>
  <c r="DT92" i="4" s="1"/>
  <c r="DT96" i="4" s="1"/>
  <c r="DT84" i="4"/>
  <c r="DT117" i="4" s="1"/>
  <c r="DX23" i="6" s="1"/>
  <c r="DT12" i="4"/>
  <c r="DT13" i="4" s="1"/>
  <c r="DU17" i="4"/>
  <c r="DX17" i="6" l="1"/>
  <c r="DW16" i="6"/>
  <c r="DS106" i="4"/>
  <c r="DS82" i="4" s="1"/>
  <c r="DS118" i="4"/>
  <c r="DS119" i="4" s="1"/>
  <c r="DR55" i="4"/>
  <c r="DR50" i="4"/>
  <c r="DS125" i="4"/>
  <c r="DS27" i="4" s="1"/>
  <c r="DS129" i="4"/>
  <c r="DS126" i="4"/>
  <c r="DS130" i="4"/>
  <c r="DS127" i="4"/>
  <c r="DS131" i="4"/>
  <c r="DS128" i="4"/>
  <c r="DR66" i="4"/>
  <c r="DR60" i="4"/>
  <c r="DR61" i="4"/>
  <c r="DR65" i="4"/>
  <c r="DR63" i="4"/>
  <c r="DR71" i="4"/>
  <c r="DR62" i="4"/>
  <c r="DR64" i="4"/>
  <c r="DU115" i="4"/>
  <c r="DY21" i="6" s="1"/>
  <c r="DU97" i="4"/>
  <c r="DU113" i="4" s="1"/>
  <c r="DY19" i="6" s="1"/>
  <c r="DU112" i="4"/>
  <c r="DY18" i="6" s="1"/>
  <c r="DU102" i="4"/>
  <c r="DU104" i="4"/>
  <c r="DU91" i="4"/>
  <c r="DU92" i="4" s="1"/>
  <c r="DU96" i="4" s="1"/>
  <c r="DU108" i="4"/>
  <c r="DU116" i="4" s="1"/>
  <c r="DY22" i="6" s="1"/>
  <c r="DU84" i="4"/>
  <c r="DU117" i="4" s="1"/>
  <c r="DY23" i="6" s="1"/>
  <c r="DV17" i="4"/>
  <c r="DU12" i="4"/>
  <c r="DU13" i="4" s="1"/>
  <c r="DT95" i="4"/>
  <c r="DT81" i="4" s="1"/>
  <c r="DT15" i="4"/>
  <c r="DT16" i="4" s="1"/>
  <c r="DU5" i="4"/>
  <c r="DT8" i="4"/>
  <c r="DT7" i="4"/>
  <c r="DT6" i="4" s="1"/>
  <c r="DT9" i="4"/>
  <c r="DT114" i="4"/>
  <c r="DX20" i="6" s="1"/>
  <c r="DX26" i="6" s="1"/>
  <c r="DX27" i="6" s="1"/>
  <c r="DT103" i="4"/>
  <c r="DT107" i="4" s="1"/>
  <c r="DR70" i="4"/>
  <c r="DR69" i="4"/>
  <c r="DR57" i="4"/>
  <c r="DR34" i="4"/>
  <c r="DR28" i="4"/>
  <c r="DR39" i="4"/>
  <c r="DQ67" i="4"/>
  <c r="DY17" i="6" l="1"/>
  <c r="DX16" i="6"/>
  <c r="DT118" i="4"/>
  <c r="DT119" i="4" s="1"/>
  <c r="DS57" i="4"/>
  <c r="DS34" i="4"/>
  <c r="DS28" i="4"/>
  <c r="DS39" i="4"/>
  <c r="DU95" i="4"/>
  <c r="DU81" i="4" s="1"/>
  <c r="DU15" i="4"/>
  <c r="DU16" i="4" s="1"/>
  <c r="DU9" i="4"/>
  <c r="DV5" i="4"/>
  <c r="DU8" i="4"/>
  <c r="DU7" i="4"/>
  <c r="DS55" i="4"/>
  <c r="DS50" i="4"/>
  <c r="DV115" i="4"/>
  <c r="DZ21" i="6" s="1"/>
  <c r="DV97" i="4"/>
  <c r="DV113" i="4" s="1"/>
  <c r="DZ19" i="6" s="1"/>
  <c r="DV91" i="4"/>
  <c r="DV92" i="4" s="1"/>
  <c r="DV96" i="4" s="1"/>
  <c r="DV102" i="4"/>
  <c r="DV104" i="4"/>
  <c r="DV108" i="4"/>
  <c r="DV116" i="4" s="1"/>
  <c r="DZ22" i="6" s="1"/>
  <c r="DV112" i="4"/>
  <c r="DZ18" i="6" s="1"/>
  <c r="DV84" i="4"/>
  <c r="DV117" i="4" s="1"/>
  <c r="DZ23" i="6" s="1"/>
  <c r="DV12" i="4"/>
  <c r="DV13" i="4" s="1"/>
  <c r="DW17" i="4"/>
  <c r="DS70" i="4"/>
  <c r="DS69" i="4"/>
  <c r="DT129" i="4"/>
  <c r="DT126" i="4"/>
  <c r="DT130" i="4"/>
  <c r="DT131" i="4"/>
  <c r="DT128" i="4"/>
  <c r="DT127" i="4"/>
  <c r="DT125" i="4"/>
  <c r="DT27" i="4" s="1"/>
  <c r="DT106" i="4"/>
  <c r="DT82" i="4" s="1"/>
  <c r="DU114" i="4"/>
  <c r="DY20" i="6" s="1"/>
  <c r="DY26" i="6" s="1"/>
  <c r="DY27" i="6" s="1"/>
  <c r="DU103" i="4"/>
  <c r="DU107" i="4" s="1"/>
  <c r="DR67" i="4"/>
  <c r="DS61" i="4"/>
  <c r="DS66" i="4"/>
  <c r="DS65" i="4"/>
  <c r="DS60" i="4"/>
  <c r="DS71" i="4"/>
  <c r="DS63" i="4"/>
  <c r="DS64" i="4"/>
  <c r="DS62" i="4"/>
  <c r="DU6" i="4" l="1"/>
  <c r="DZ17" i="6"/>
  <c r="DY16" i="6"/>
  <c r="DU118" i="4"/>
  <c r="DU119" i="4" s="1"/>
  <c r="DU129" i="4"/>
  <c r="DU128" i="4"/>
  <c r="DU126" i="4"/>
  <c r="DU130" i="4"/>
  <c r="DU127" i="4"/>
  <c r="DU131" i="4"/>
  <c r="DU125" i="4"/>
  <c r="DU27" i="4" s="1"/>
  <c r="DU106" i="4"/>
  <c r="DU82" i="4" s="1"/>
  <c r="DT55" i="4"/>
  <c r="DT50" i="4"/>
  <c r="DS67" i="4"/>
  <c r="DV114" i="4"/>
  <c r="DZ20" i="6" s="1"/>
  <c r="DZ26" i="6" s="1"/>
  <c r="DZ27" i="6" s="1"/>
  <c r="DV103" i="4"/>
  <c r="DV107" i="4" s="1"/>
  <c r="DT61" i="4"/>
  <c r="DT66" i="4"/>
  <c r="DT65" i="4"/>
  <c r="DT60" i="4"/>
  <c r="DT62" i="4"/>
  <c r="DT63" i="4"/>
  <c r="DT64" i="4"/>
  <c r="DT71" i="4"/>
  <c r="DW115" i="4"/>
  <c r="EA21" i="6" s="1"/>
  <c r="DW104" i="4"/>
  <c r="DW108" i="4"/>
  <c r="DW116" i="4" s="1"/>
  <c r="EA22" i="6" s="1"/>
  <c r="DW112" i="4"/>
  <c r="EA18" i="6" s="1"/>
  <c r="DW102" i="4"/>
  <c r="DW97" i="4"/>
  <c r="DW113" i="4" s="1"/>
  <c r="EA19" i="6" s="1"/>
  <c r="DW84" i="4"/>
  <c r="DW117" i="4" s="1"/>
  <c r="EA23" i="6" s="1"/>
  <c r="DW91" i="4"/>
  <c r="DW92" i="4" s="1"/>
  <c r="DW96" i="4" s="1"/>
  <c r="DW12" i="4"/>
  <c r="DW13" i="4" s="1"/>
  <c r="DX17" i="4"/>
  <c r="DV95" i="4"/>
  <c r="DV81" i="4" s="1"/>
  <c r="DV15" i="4"/>
  <c r="DV16" i="4" s="1"/>
  <c r="DW5" i="4"/>
  <c r="DV8" i="4"/>
  <c r="DV7" i="4"/>
  <c r="DV9" i="4"/>
  <c r="DT70" i="4"/>
  <c r="DT69" i="4"/>
  <c r="DT57" i="4"/>
  <c r="DT34" i="4"/>
  <c r="DT28" i="4"/>
  <c r="DT39" i="4"/>
  <c r="EA17" i="6" l="1"/>
  <c r="DZ16" i="6"/>
  <c r="DT67" i="4"/>
  <c r="DV118" i="4"/>
  <c r="DV119" i="4" s="1"/>
  <c r="DV128" i="4"/>
  <c r="DV126" i="4"/>
  <c r="DV130" i="4"/>
  <c r="DV127" i="4"/>
  <c r="DV131" i="4"/>
  <c r="DV125" i="4"/>
  <c r="DV27" i="4" s="1"/>
  <c r="DV129" i="4"/>
  <c r="DU57" i="4"/>
  <c r="DU34" i="4"/>
  <c r="DU28" i="4"/>
  <c r="DU39" i="4"/>
  <c r="DU60" i="4"/>
  <c r="DU66" i="4"/>
  <c r="DU65" i="4"/>
  <c r="DU61" i="4"/>
  <c r="DU64" i="4"/>
  <c r="DU71" i="4"/>
  <c r="DU63" i="4"/>
  <c r="DU62" i="4"/>
  <c r="DU55" i="4"/>
  <c r="DU50" i="4"/>
  <c r="DV106" i="4"/>
  <c r="DV82" i="4" s="1"/>
  <c r="DU70" i="4"/>
  <c r="DU69" i="4"/>
  <c r="DW114" i="4"/>
  <c r="DW103" i="4"/>
  <c r="DW107" i="4" s="1"/>
  <c r="DX112" i="4"/>
  <c r="EB18" i="6" s="1"/>
  <c r="DX97" i="4"/>
  <c r="DX113" i="4" s="1"/>
  <c r="EB19" i="6" s="1"/>
  <c r="DX91" i="4"/>
  <c r="DX92" i="4" s="1"/>
  <c r="DX96" i="4" s="1"/>
  <c r="DX115" i="4"/>
  <c r="EB21" i="6" s="1"/>
  <c r="DX108" i="4"/>
  <c r="DX116" i="4" s="1"/>
  <c r="EB22" i="6" s="1"/>
  <c r="DX84" i="4"/>
  <c r="DX117" i="4" s="1"/>
  <c r="EB23" i="6" s="1"/>
  <c r="DX104" i="4"/>
  <c r="DX102" i="4"/>
  <c r="DX12" i="4"/>
  <c r="DX13" i="4" s="1"/>
  <c r="DY17" i="4"/>
  <c r="DW95" i="4"/>
  <c r="DW81" i="4" s="1"/>
  <c r="DW15" i="4"/>
  <c r="DW16" i="4" s="1"/>
  <c r="DW8" i="4"/>
  <c r="DW7" i="4"/>
  <c r="DW9" i="4"/>
  <c r="DX5" i="4"/>
  <c r="DV6" i="4"/>
  <c r="DW6" i="4" l="1"/>
  <c r="EA16" i="6"/>
  <c r="EB17" i="6"/>
  <c r="DW118" i="4"/>
  <c r="DW119" i="4" s="1"/>
  <c r="EA20" i="6"/>
  <c r="EA26" i="6" s="1"/>
  <c r="EA27" i="6" s="1"/>
  <c r="DW106" i="4"/>
  <c r="DW82" i="4" s="1"/>
  <c r="DX95" i="4"/>
  <c r="DX81" i="4" s="1"/>
  <c r="DX7" i="4"/>
  <c r="DX9" i="4"/>
  <c r="DX8" i="4"/>
  <c r="DX15" i="4"/>
  <c r="DX16" i="4" s="1"/>
  <c r="DY5" i="4"/>
  <c r="DV70" i="4"/>
  <c r="DV69" i="4"/>
  <c r="DV65" i="4"/>
  <c r="DV60" i="4"/>
  <c r="DV66" i="4"/>
  <c r="DV61" i="4"/>
  <c r="DV71" i="4"/>
  <c r="DV64" i="4"/>
  <c r="DV62" i="4"/>
  <c r="DV63" i="4"/>
  <c r="DV55" i="4"/>
  <c r="DV50" i="4"/>
  <c r="DW128" i="4"/>
  <c r="DW130" i="4"/>
  <c r="DW127" i="4"/>
  <c r="DW131" i="4"/>
  <c r="DW125" i="4"/>
  <c r="DW27" i="4" s="1"/>
  <c r="DW126" i="4"/>
  <c r="DW129" i="4"/>
  <c r="DV57" i="4"/>
  <c r="DV34" i="4"/>
  <c r="DV28" i="4"/>
  <c r="DV39" i="4"/>
  <c r="DY112" i="4"/>
  <c r="EC18" i="6" s="1"/>
  <c r="DY104" i="4"/>
  <c r="DY91" i="4"/>
  <c r="DY92" i="4" s="1"/>
  <c r="DY96" i="4" s="1"/>
  <c r="DY84" i="4"/>
  <c r="DY117" i="4" s="1"/>
  <c r="EC23" i="6" s="1"/>
  <c r="DY102" i="4"/>
  <c r="DY108" i="4"/>
  <c r="DY116" i="4" s="1"/>
  <c r="EC22" i="6" s="1"/>
  <c r="DY115" i="4"/>
  <c r="EC21" i="6" s="1"/>
  <c r="DY97" i="4"/>
  <c r="DY113" i="4" s="1"/>
  <c r="EC19" i="6" s="1"/>
  <c r="DY12" i="4"/>
  <c r="DY13" i="4" s="1"/>
  <c r="DZ17" i="4"/>
  <c r="DX114" i="4"/>
  <c r="EB20" i="6" s="1"/>
  <c r="EB26" i="6" s="1"/>
  <c r="EB27" i="6" s="1"/>
  <c r="DX103" i="4"/>
  <c r="DX107" i="4" s="1"/>
  <c r="DU67" i="4"/>
  <c r="EB16" i="6" l="1"/>
  <c r="EC17" i="6"/>
  <c r="DX118" i="4"/>
  <c r="DX119" i="4" s="1"/>
  <c r="DW55" i="4"/>
  <c r="DW50" i="4"/>
  <c r="DW57" i="4"/>
  <c r="DW34" i="4"/>
  <c r="DW28" i="4"/>
  <c r="DW39" i="4"/>
  <c r="DW70" i="4"/>
  <c r="DW69" i="4"/>
  <c r="DV67" i="4"/>
  <c r="DX128" i="4"/>
  <c r="DX127" i="4"/>
  <c r="DX130" i="4"/>
  <c r="DX131" i="4"/>
  <c r="DX125" i="4"/>
  <c r="DX27" i="4" s="1"/>
  <c r="DX129" i="4"/>
  <c r="DX126" i="4"/>
  <c r="DZ112" i="4"/>
  <c r="ED18" i="6" s="1"/>
  <c r="DZ104" i="4"/>
  <c r="DZ91" i="4"/>
  <c r="DZ92" i="4" s="1"/>
  <c r="DZ96" i="4" s="1"/>
  <c r="DZ84" i="4"/>
  <c r="DZ117" i="4" s="1"/>
  <c r="ED23" i="6" s="1"/>
  <c r="DZ108" i="4"/>
  <c r="DZ116" i="4" s="1"/>
  <c r="ED22" i="6" s="1"/>
  <c r="DZ115" i="4"/>
  <c r="ED21" i="6" s="1"/>
  <c r="DZ102" i="4"/>
  <c r="DZ97" i="4"/>
  <c r="DZ113" i="4" s="1"/>
  <c r="ED19" i="6" s="1"/>
  <c r="DZ12" i="4"/>
  <c r="DZ13" i="4" s="1"/>
  <c r="EA17" i="4"/>
  <c r="DX6" i="4"/>
  <c r="DY114" i="4"/>
  <c r="EC20" i="6" s="1"/>
  <c r="EC26" i="6" s="1"/>
  <c r="EC27" i="6" s="1"/>
  <c r="DY103" i="4"/>
  <c r="DY107" i="4" s="1"/>
  <c r="DY95" i="4"/>
  <c r="DY81" i="4" s="1"/>
  <c r="DY7" i="4"/>
  <c r="DY9" i="4"/>
  <c r="DZ5" i="4"/>
  <c r="DY8" i="4"/>
  <c r="DY15" i="4"/>
  <c r="DY16" i="4" s="1"/>
  <c r="DW65" i="4"/>
  <c r="DW61" i="4"/>
  <c r="DW60" i="4"/>
  <c r="DW66" i="4"/>
  <c r="DW64" i="4"/>
  <c r="DW71" i="4"/>
  <c r="DW62" i="4"/>
  <c r="DW63" i="4"/>
  <c r="DX106" i="4"/>
  <c r="DX82" i="4" s="1"/>
  <c r="EC16" i="6" l="1"/>
  <c r="ED17" i="6"/>
  <c r="DY106" i="4"/>
  <c r="DY82" i="4" s="1"/>
  <c r="DY118" i="4"/>
  <c r="DY119" i="4" s="1"/>
  <c r="DX57" i="4"/>
  <c r="DX34" i="4"/>
  <c r="DX28" i="4"/>
  <c r="DX39" i="4"/>
  <c r="DX55" i="4"/>
  <c r="DX50" i="4"/>
  <c r="DX70" i="4"/>
  <c r="DX69" i="4"/>
  <c r="DY127" i="4"/>
  <c r="DY131" i="4"/>
  <c r="DY128" i="4"/>
  <c r="DY130" i="4"/>
  <c r="DY125" i="4"/>
  <c r="DY27" i="4" s="1"/>
  <c r="DY126" i="4"/>
  <c r="DY129" i="4"/>
  <c r="EA104" i="4"/>
  <c r="EA91" i="4"/>
  <c r="EA92" i="4" s="1"/>
  <c r="EA96" i="4" s="1"/>
  <c r="EA84" i="4"/>
  <c r="EA117" i="4" s="1"/>
  <c r="EE23" i="6" s="1"/>
  <c r="EA115" i="4"/>
  <c r="EE21" i="6" s="1"/>
  <c r="EA112" i="4"/>
  <c r="EE18" i="6" s="1"/>
  <c r="EA108" i="4"/>
  <c r="EA116" i="4" s="1"/>
  <c r="EE22" i="6" s="1"/>
  <c r="EA102" i="4"/>
  <c r="EA97" i="4"/>
  <c r="EA113" i="4" s="1"/>
  <c r="EE19" i="6" s="1"/>
  <c r="EA12" i="4"/>
  <c r="EA13" i="4" s="1"/>
  <c r="EB17" i="4"/>
  <c r="DZ95" i="4"/>
  <c r="DZ81" i="4" s="1"/>
  <c r="DZ15" i="4"/>
  <c r="DZ16" i="4" s="1"/>
  <c r="DZ7" i="4"/>
  <c r="DZ9" i="4"/>
  <c r="DZ8" i="4"/>
  <c r="EA5" i="4"/>
  <c r="DY6" i="4"/>
  <c r="DX61" i="4"/>
  <c r="DX65" i="4"/>
  <c r="DX66" i="4"/>
  <c r="DX60" i="4"/>
  <c r="DX63" i="4"/>
  <c r="DX62" i="4"/>
  <c r="DX71" i="4"/>
  <c r="DX64" i="4"/>
  <c r="DZ114" i="4"/>
  <c r="DZ103" i="4"/>
  <c r="DZ107" i="4" s="1"/>
  <c r="DW67" i="4"/>
  <c r="EE17" i="6" l="1"/>
  <c r="ED16" i="6"/>
  <c r="DZ118" i="4"/>
  <c r="DZ119" i="4" s="1"/>
  <c r="ED20" i="6"/>
  <c r="ED26" i="6" s="1"/>
  <c r="ED27" i="6" s="1"/>
  <c r="DY70" i="4"/>
  <c r="DY69" i="4"/>
  <c r="DY60" i="4"/>
  <c r="DY61" i="4"/>
  <c r="DY66" i="4"/>
  <c r="DY65" i="4"/>
  <c r="DY62" i="4"/>
  <c r="DY71" i="4"/>
  <c r="DY64" i="4"/>
  <c r="DY63" i="4"/>
  <c r="EA95" i="4"/>
  <c r="EA81" i="4" s="1"/>
  <c r="EA9" i="4"/>
  <c r="EB5" i="4"/>
  <c r="EA15" i="4"/>
  <c r="EA16" i="4" s="1"/>
  <c r="EA7" i="4"/>
  <c r="EA8" i="4"/>
  <c r="DX67" i="4"/>
  <c r="DZ127" i="4"/>
  <c r="DZ131" i="4"/>
  <c r="DZ128" i="4"/>
  <c r="DZ130" i="4"/>
  <c r="DZ125" i="4"/>
  <c r="DZ27" i="4" s="1"/>
  <c r="DZ126" i="4"/>
  <c r="DZ129" i="4"/>
  <c r="EA103" i="4"/>
  <c r="EA107" i="4" s="1"/>
  <c r="EA114" i="4"/>
  <c r="EE20" i="6" s="1"/>
  <c r="EE26" i="6" s="1"/>
  <c r="EE27" i="6" s="1"/>
  <c r="DY57" i="4"/>
  <c r="DY28" i="4"/>
  <c r="DY34" i="4"/>
  <c r="DY39" i="4"/>
  <c r="EB112" i="4"/>
  <c r="EF18" i="6" s="1"/>
  <c r="EB104" i="4"/>
  <c r="EB91" i="4"/>
  <c r="EB92" i="4" s="1"/>
  <c r="EB96" i="4" s="1"/>
  <c r="EB84" i="4"/>
  <c r="EB117" i="4" s="1"/>
  <c r="EF23" i="6" s="1"/>
  <c r="EB115" i="4"/>
  <c r="EF21" i="6" s="1"/>
  <c r="EB108" i="4"/>
  <c r="EB116" i="4" s="1"/>
  <c r="EF22" i="6" s="1"/>
  <c r="EB102" i="4"/>
  <c r="EB97" i="4"/>
  <c r="EB113" i="4" s="1"/>
  <c r="EF19" i="6" s="1"/>
  <c r="EB12" i="4"/>
  <c r="EB13" i="4" s="1"/>
  <c r="EC17" i="4"/>
  <c r="DZ6" i="4"/>
  <c r="DZ106" i="4"/>
  <c r="DZ82" i="4" s="1"/>
  <c r="DY55" i="4"/>
  <c r="DY50" i="4"/>
  <c r="EF17" i="6" l="1"/>
  <c r="EE16" i="6"/>
  <c r="EA118" i="4"/>
  <c r="EA119" i="4" s="1"/>
  <c r="EA127" i="4"/>
  <c r="EA131" i="4"/>
  <c r="EA126" i="4"/>
  <c r="EA128" i="4"/>
  <c r="EA125" i="4"/>
  <c r="EA27" i="4" s="1"/>
  <c r="EA130" i="4"/>
  <c r="EA129" i="4"/>
  <c r="DZ57" i="4"/>
  <c r="DZ28" i="4"/>
  <c r="DZ34" i="4"/>
  <c r="DZ39" i="4"/>
  <c r="EB95" i="4"/>
  <c r="EB81" i="4" s="1"/>
  <c r="EB15" i="4"/>
  <c r="EB16" i="4" s="1"/>
  <c r="EB9" i="4"/>
  <c r="EB8" i="4"/>
  <c r="EB7" i="4"/>
  <c r="EC5" i="4"/>
  <c r="DZ55" i="4"/>
  <c r="DZ50" i="4"/>
  <c r="DZ70" i="4"/>
  <c r="DZ69" i="4"/>
  <c r="EC112" i="4"/>
  <c r="EG18" i="6" s="1"/>
  <c r="EC104" i="4"/>
  <c r="EC108" i="4"/>
  <c r="EC116" i="4" s="1"/>
  <c r="EG22" i="6" s="1"/>
  <c r="EC84" i="4"/>
  <c r="EC117" i="4" s="1"/>
  <c r="EG23" i="6" s="1"/>
  <c r="EC115" i="4"/>
  <c r="EG21" i="6" s="1"/>
  <c r="EC102" i="4"/>
  <c r="EC97" i="4"/>
  <c r="EC113" i="4" s="1"/>
  <c r="EG19" i="6" s="1"/>
  <c r="EC91" i="4"/>
  <c r="EC92" i="4" s="1"/>
  <c r="EC96" i="4" s="1"/>
  <c r="EC12" i="4"/>
  <c r="EC13" i="4" s="1"/>
  <c r="ED17" i="4"/>
  <c r="EA6" i="4"/>
  <c r="EA106" i="4"/>
  <c r="EA82" i="4" s="1"/>
  <c r="EB114" i="4"/>
  <c r="EF20" i="6" s="1"/>
  <c r="EF26" i="6" s="1"/>
  <c r="EF27" i="6" s="1"/>
  <c r="EB103" i="4"/>
  <c r="EB107" i="4" s="1"/>
  <c r="DY67" i="4"/>
  <c r="DZ65" i="4"/>
  <c r="DZ66" i="4"/>
  <c r="DZ61" i="4"/>
  <c r="DZ60" i="4"/>
  <c r="DZ64" i="4"/>
  <c r="DZ62" i="4"/>
  <c r="DZ63" i="4"/>
  <c r="DZ71" i="4"/>
  <c r="EF16" i="6" l="1"/>
  <c r="EG17" i="6"/>
  <c r="EB6" i="4"/>
  <c r="EB118" i="4"/>
  <c r="EB119" i="4" s="1"/>
  <c r="EA70" i="4"/>
  <c r="EA69" i="4"/>
  <c r="EA57" i="4"/>
  <c r="EA34" i="4"/>
  <c r="EA28" i="4"/>
  <c r="EA39" i="4"/>
  <c r="EC95" i="4"/>
  <c r="EC81" i="4" s="1"/>
  <c r="EC9" i="4"/>
  <c r="ED5" i="4"/>
  <c r="EC7" i="4"/>
  <c r="EC15" i="4"/>
  <c r="EC16" i="4" s="1"/>
  <c r="EC8" i="4"/>
  <c r="EC114" i="4"/>
  <c r="EC103" i="4"/>
  <c r="EC107" i="4" s="1"/>
  <c r="EA55" i="4"/>
  <c r="EA50" i="4"/>
  <c r="EA65" i="4"/>
  <c r="EA61" i="4"/>
  <c r="EA66" i="4"/>
  <c r="EA60" i="4"/>
  <c r="EA64" i="4"/>
  <c r="EA63" i="4"/>
  <c r="EA71" i="4"/>
  <c r="EA62" i="4"/>
  <c r="DZ67" i="4"/>
  <c r="ED115" i="4"/>
  <c r="EH21" i="6" s="1"/>
  <c r="ED108" i="4"/>
  <c r="ED116" i="4" s="1"/>
  <c r="EH22" i="6" s="1"/>
  <c r="ED104" i="4"/>
  <c r="ED112" i="4"/>
  <c r="EH18" i="6" s="1"/>
  <c r="ED102" i="4"/>
  <c r="ED97" i="4"/>
  <c r="ED113" i="4" s="1"/>
  <c r="EH19" i="6" s="1"/>
  <c r="ED84" i="4"/>
  <c r="ED117" i="4" s="1"/>
  <c r="EH23" i="6" s="1"/>
  <c r="ED91" i="4"/>
  <c r="ED92" i="4" s="1"/>
  <c r="ED96" i="4" s="1"/>
  <c r="EE17" i="4"/>
  <c r="ED12" i="4"/>
  <c r="ED13" i="4" s="1"/>
  <c r="EB131" i="4"/>
  <c r="EB126" i="4"/>
  <c r="EB127" i="4"/>
  <c r="EB128" i="4"/>
  <c r="EB130" i="4"/>
  <c r="EB125" i="4"/>
  <c r="EB27" i="4" s="1"/>
  <c r="EB129" i="4"/>
  <c r="EB106" i="4"/>
  <c r="EB82" i="4" s="1"/>
  <c r="EG16" i="6" l="1"/>
  <c r="EH17" i="6"/>
  <c r="EC118" i="4"/>
  <c r="EC119" i="4" s="1"/>
  <c r="EG20" i="6"/>
  <c r="EG26" i="6" s="1"/>
  <c r="EG27" i="6" s="1"/>
  <c r="EC6" i="4"/>
  <c r="EC106" i="4"/>
  <c r="EC82" i="4" s="1"/>
  <c r="EB55" i="4"/>
  <c r="EB50" i="4"/>
  <c r="EC131" i="4"/>
  <c r="EC126" i="4"/>
  <c r="EC130" i="4"/>
  <c r="EC127" i="4"/>
  <c r="EC128" i="4"/>
  <c r="EC125" i="4"/>
  <c r="EC27" i="4" s="1"/>
  <c r="EC129" i="4"/>
  <c r="ED114" i="4"/>
  <c r="EH20" i="6" s="1"/>
  <c r="EH26" i="6" s="1"/>
  <c r="EH27" i="6" s="1"/>
  <c r="ED103" i="4"/>
  <c r="ED107" i="4" s="1"/>
  <c r="ED95" i="4"/>
  <c r="ED81" i="4" s="1"/>
  <c r="ED15" i="4"/>
  <c r="ED16" i="4" s="1"/>
  <c r="ED9" i="4"/>
  <c r="EE5" i="4"/>
  <c r="ED8" i="4"/>
  <c r="ED7" i="4"/>
  <c r="ED6" i="4" s="1"/>
  <c r="EB57" i="4"/>
  <c r="EB28" i="4"/>
  <c r="EB34" i="4"/>
  <c r="EB39" i="4"/>
  <c r="EA67" i="4"/>
  <c r="EE115" i="4"/>
  <c r="EI21" i="6" s="1"/>
  <c r="EE108" i="4"/>
  <c r="EE116" i="4" s="1"/>
  <c r="EI22" i="6" s="1"/>
  <c r="EE112" i="4"/>
  <c r="EI18" i="6" s="1"/>
  <c r="EE102" i="4"/>
  <c r="EE97" i="4"/>
  <c r="EE113" i="4" s="1"/>
  <c r="EI19" i="6" s="1"/>
  <c r="EE84" i="4"/>
  <c r="EE117" i="4" s="1"/>
  <c r="EI23" i="6" s="1"/>
  <c r="EE104" i="4"/>
  <c r="EE91" i="4"/>
  <c r="EE92" i="4" s="1"/>
  <c r="EE96" i="4" s="1"/>
  <c r="EF17" i="4"/>
  <c r="EE12" i="4"/>
  <c r="EE13" i="4" s="1"/>
  <c r="EB70" i="4"/>
  <c r="EB69" i="4"/>
  <c r="EB66" i="4"/>
  <c r="EB61" i="4"/>
  <c r="EB65" i="4"/>
  <c r="EB60" i="4"/>
  <c r="EB63" i="4"/>
  <c r="EB64" i="4"/>
  <c r="EB71" i="4"/>
  <c r="EB62" i="4"/>
  <c r="EH16" i="6" l="1"/>
  <c r="EI17" i="6"/>
  <c r="ED106" i="4"/>
  <c r="ED82" i="4" s="1"/>
  <c r="ED118" i="4"/>
  <c r="ED119" i="4" s="1"/>
  <c r="EC70" i="4"/>
  <c r="EC69" i="4"/>
  <c r="EF115" i="4"/>
  <c r="EJ21" i="6" s="1"/>
  <c r="EF108" i="4"/>
  <c r="EF116" i="4" s="1"/>
  <c r="EJ22" i="6" s="1"/>
  <c r="EF112" i="4"/>
  <c r="EJ18" i="6" s="1"/>
  <c r="EF102" i="4"/>
  <c r="EF97" i="4"/>
  <c r="EF113" i="4" s="1"/>
  <c r="EJ19" i="6" s="1"/>
  <c r="EF104" i="4"/>
  <c r="EF84" i="4"/>
  <c r="EF117" i="4" s="1"/>
  <c r="EJ23" i="6" s="1"/>
  <c r="EF91" i="4"/>
  <c r="EF92" i="4" s="1"/>
  <c r="EF96" i="4" s="1"/>
  <c r="EF12" i="4"/>
  <c r="EF13" i="4" s="1"/>
  <c r="EG17" i="4"/>
  <c r="EE114" i="4"/>
  <c r="EI20" i="6" s="1"/>
  <c r="EI26" i="6" s="1"/>
  <c r="EI27" i="6" s="1"/>
  <c r="EE103" i="4"/>
  <c r="EE107" i="4" s="1"/>
  <c r="EC55" i="4"/>
  <c r="EC50" i="4"/>
  <c r="EC57" i="4"/>
  <c r="EC34" i="4"/>
  <c r="EC28" i="4"/>
  <c r="EC39" i="4"/>
  <c r="EC66" i="4"/>
  <c r="EC61" i="4"/>
  <c r="EC65" i="4"/>
  <c r="EC60" i="4"/>
  <c r="EC62" i="4"/>
  <c r="EC64" i="4"/>
  <c r="EC63" i="4"/>
  <c r="EC71" i="4"/>
  <c r="EE95" i="4"/>
  <c r="EE81" i="4" s="1"/>
  <c r="EE15" i="4"/>
  <c r="EE16" i="4" s="1"/>
  <c r="EE9" i="4"/>
  <c r="EF5" i="4"/>
  <c r="EE8" i="4"/>
  <c r="EE7" i="4"/>
  <c r="EE6" i="4" s="1"/>
  <c r="ED126" i="4"/>
  <c r="ED130" i="4"/>
  <c r="ED125" i="4"/>
  <c r="ED27" i="4" s="1"/>
  <c r="ED131" i="4"/>
  <c r="ED128" i="4"/>
  <c r="ED129" i="4"/>
  <c r="ED127" i="4"/>
  <c r="EB67" i="4"/>
  <c r="EJ17" i="6" l="1"/>
  <c r="EI16" i="6"/>
  <c r="EE118" i="4"/>
  <c r="EE119" i="4" s="1"/>
  <c r="EC67" i="4"/>
  <c r="ED57" i="4"/>
  <c r="ED34" i="4"/>
  <c r="ED28" i="4"/>
  <c r="ED39" i="4"/>
  <c r="EG115" i="4"/>
  <c r="EK21" i="6" s="1"/>
  <c r="EG108" i="4"/>
  <c r="EG116" i="4" s="1"/>
  <c r="EK22" i="6" s="1"/>
  <c r="EG112" i="4"/>
  <c r="EK18" i="6" s="1"/>
  <c r="EG97" i="4"/>
  <c r="EG113" i="4" s="1"/>
  <c r="EK19" i="6" s="1"/>
  <c r="EG84" i="4"/>
  <c r="EG117" i="4" s="1"/>
  <c r="EK23" i="6" s="1"/>
  <c r="EG102" i="4"/>
  <c r="EG104" i="4"/>
  <c r="EG91" i="4"/>
  <c r="EG92" i="4" s="1"/>
  <c r="EG96" i="4" s="1"/>
  <c r="EH17" i="4"/>
  <c r="EG12" i="4"/>
  <c r="EG13" i="4" s="1"/>
  <c r="ED55" i="4"/>
  <c r="ED50" i="4"/>
  <c r="EF95" i="4"/>
  <c r="EF81" i="4" s="1"/>
  <c r="EF15" i="4"/>
  <c r="EF16" i="4" s="1"/>
  <c r="EG5" i="4"/>
  <c r="EF8" i="4"/>
  <c r="EF7" i="4"/>
  <c r="EF9" i="4"/>
  <c r="ED70" i="4"/>
  <c r="ED69" i="4"/>
  <c r="EE130" i="4"/>
  <c r="EE125" i="4"/>
  <c r="EE27" i="4" s="1"/>
  <c r="EE131" i="4"/>
  <c r="EE128" i="4"/>
  <c r="EE129" i="4"/>
  <c r="EE126" i="4"/>
  <c r="EE127" i="4"/>
  <c r="ED65" i="4"/>
  <c r="ED66" i="4"/>
  <c r="ED61" i="4"/>
  <c r="ED60" i="4"/>
  <c r="ED64" i="4"/>
  <c r="ED71" i="4"/>
  <c r="ED63" i="4"/>
  <c r="ED62" i="4"/>
  <c r="EF103" i="4"/>
  <c r="EF107" i="4" s="1"/>
  <c r="EF114" i="4"/>
  <c r="EE106" i="4"/>
  <c r="EE82" i="4" s="1"/>
  <c r="EF6" i="4" l="1"/>
  <c r="EK17" i="6"/>
  <c r="EJ16" i="6"/>
  <c r="EF118" i="4"/>
  <c r="EF119" i="4" s="1"/>
  <c r="EJ20" i="6"/>
  <c r="EJ26" i="6" s="1"/>
  <c r="EJ27" i="6" s="1"/>
  <c r="EF106" i="4"/>
  <c r="EF82" i="4" s="1"/>
  <c r="ED67" i="4"/>
  <c r="EE55" i="4"/>
  <c r="EE50" i="4"/>
  <c r="EE57" i="4"/>
  <c r="EE34" i="4"/>
  <c r="EE28" i="4"/>
  <c r="EE39" i="4"/>
  <c r="EH115" i="4"/>
  <c r="EL21" i="6" s="1"/>
  <c r="EH112" i="4"/>
  <c r="EL18" i="6" s="1"/>
  <c r="EH102" i="4"/>
  <c r="EH108" i="4"/>
  <c r="EH116" i="4" s="1"/>
  <c r="EL22" i="6" s="1"/>
  <c r="EH97" i="4"/>
  <c r="EH113" i="4" s="1"/>
  <c r="EL19" i="6" s="1"/>
  <c r="EH84" i="4"/>
  <c r="EH117" i="4" s="1"/>
  <c r="EL23" i="6" s="1"/>
  <c r="EH104" i="4"/>
  <c r="EH91" i="4"/>
  <c r="EH92" i="4" s="1"/>
  <c r="EH96" i="4" s="1"/>
  <c r="EH12" i="4"/>
  <c r="EH13" i="4" s="1"/>
  <c r="EI17" i="4"/>
  <c r="EG95" i="4"/>
  <c r="EG81" i="4" s="1"/>
  <c r="EG15" i="4"/>
  <c r="EG16" i="4" s="1"/>
  <c r="EH5" i="4"/>
  <c r="EG8" i="4"/>
  <c r="EG7" i="4"/>
  <c r="EG9" i="4"/>
  <c r="EG114" i="4"/>
  <c r="EK20" i="6" s="1"/>
  <c r="EK26" i="6" s="1"/>
  <c r="EK27" i="6" s="1"/>
  <c r="EG103" i="4"/>
  <c r="EG107" i="4" s="1"/>
  <c r="EE61" i="4"/>
  <c r="EE66" i="4"/>
  <c r="EE60" i="4"/>
  <c r="EE65" i="4"/>
  <c r="EE64" i="4"/>
  <c r="EE71" i="4"/>
  <c r="EE63" i="4"/>
  <c r="EE62" i="4"/>
  <c r="EF130" i="4"/>
  <c r="EF125" i="4"/>
  <c r="EF27" i="4" s="1"/>
  <c r="EF129" i="4"/>
  <c r="EF128" i="4"/>
  <c r="EF126" i="4"/>
  <c r="EF127" i="4"/>
  <c r="EF131" i="4"/>
  <c r="EE70" i="4"/>
  <c r="EE69" i="4"/>
  <c r="EG6" i="4" l="1"/>
  <c r="EK16" i="6"/>
  <c r="EL17" i="6"/>
  <c r="EG118" i="4"/>
  <c r="EG119" i="4" s="1"/>
  <c r="EF57" i="4"/>
  <c r="EF34" i="4"/>
  <c r="EF28" i="4"/>
  <c r="EF39" i="4"/>
  <c r="EH95" i="4"/>
  <c r="EH81" i="4" s="1"/>
  <c r="EH15" i="4"/>
  <c r="EH16" i="4" s="1"/>
  <c r="EI5" i="4"/>
  <c r="EH8" i="4"/>
  <c r="EH7" i="4"/>
  <c r="EH9" i="4"/>
  <c r="EG125" i="4"/>
  <c r="EG27" i="4" s="1"/>
  <c r="EG129" i="4"/>
  <c r="EG130" i="4"/>
  <c r="EG126" i="4"/>
  <c r="EG127" i="4"/>
  <c r="EG131" i="4"/>
  <c r="EG128" i="4"/>
  <c r="EI115" i="4"/>
  <c r="EM21" i="6" s="1"/>
  <c r="EI108" i="4"/>
  <c r="EI116" i="4" s="1"/>
  <c r="EM22" i="6" s="1"/>
  <c r="EI112" i="4"/>
  <c r="EM18" i="6" s="1"/>
  <c r="EI97" i="4"/>
  <c r="EI113" i="4" s="1"/>
  <c r="EM19" i="6" s="1"/>
  <c r="EI102" i="4"/>
  <c r="EI104" i="4"/>
  <c r="EI91" i="4"/>
  <c r="EI92" i="4" s="1"/>
  <c r="EI96" i="4" s="1"/>
  <c r="EI84" i="4"/>
  <c r="EI117" i="4" s="1"/>
  <c r="EM23" i="6" s="1"/>
  <c r="EI12" i="4"/>
  <c r="EI13" i="4" s="1"/>
  <c r="EJ17" i="4"/>
  <c r="EH114" i="4"/>
  <c r="EL20" i="6" s="1"/>
  <c r="EL26" i="6" s="1"/>
  <c r="EL27" i="6" s="1"/>
  <c r="EH103" i="4"/>
  <c r="EH107" i="4" s="1"/>
  <c r="EF61" i="4"/>
  <c r="EF65" i="4"/>
  <c r="EF66" i="4"/>
  <c r="EF60" i="4"/>
  <c r="EF71" i="4"/>
  <c r="EF63" i="4"/>
  <c r="EF64" i="4"/>
  <c r="EF62" i="4"/>
  <c r="EF70" i="4"/>
  <c r="EF69" i="4"/>
  <c r="EE67" i="4"/>
  <c r="EG106" i="4"/>
  <c r="EG82" i="4" s="1"/>
  <c r="EF55" i="4"/>
  <c r="EF50" i="4"/>
  <c r="EM17" i="6" l="1"/>
  <c r="EL16" i="6"/>
  <c r="EH6" i="4"/>
  <c r="EH106" i="4"/>
  <c r="EH82" i="4" s="1"/>
  <c r="EH118" i="4"/>
  <c r="EH119" i="4" s="1"/>
  <c r="EI95" i="4"/>
  <c r="EI81" i="4" s="1"/>
  <c r="EI15" i="4"/>
  <c r="EI16" i="4" s="1"/>
  <c r="EI9" i="4"/>
  <c r="EJ5" i="4"/>
  <c r="EI8" i="4"/>
  <c r="EI7" i="4"/>
  <c r="EI6" i="4" s="1"/>
  <c r="EG70" i="4"/>
  <c r="EG69" i="4"/>
  <c r="EI114" i="4"/>
  <c r="EM20" i="6" s="1"/>
  <c r="EM26" i="6" s="1"/>
  <c r="EM27" i="6" s="1"/>
  <c r="EI103" i="4"/>
  <c r="EI107" i="4" s="1"/>
  <c r="EG57" i="4"/>
  <c r="EG34" i="4"/>
  <c r="EG28" i="4"/>
  <c r="EG39" i="4"/>
  <c r="EJ115" i="4"/>
  <c r="EN21" i="6" s="1"/>
  <c r="EJ108" i="4"/>
  <c r="EJ116" i="4" s="1"/>
  <c r="EN22" i="6" s="1"/>
  <c r="EJ97" i="4"/>
  <c r="EJ113" i="4" s="1"/>
  <c r="EN19" i="6" s="1"/>
  <c r="EJ91" i="4"/>
  <c r="EJ92" i="4" s="1"/>
  <c r="EJ96" i="4" s="1"/>
  <c r="EJ102" i="4"/>
  <c r="EJ104" i="4"/>
  <c r="EJ112" i="4"/>
  <c r="EN18" i="6" s="1"/>
  <c r="EJ84" i="4"/>
  <c r="EJ117" i="4" s="1"/>
  <c r="EN23" i="6" s="1"/>
  <c r="EJ12" i="4"/>
  <c r="EJ13" i="4" s="1"/>
  <c r="EK17" i="4"/>
  <c r="EH129" i="4"/>
  <c r="EH125" i="4"/>
  <c r="EH27" i="4" s="1"/>
  <c r="EH126" i="4"/>
  <c r="EH130" i="4"/>
  <c r="EH127" i="4"/>
  <c r="EH131" i="4"/>
  <c r="EH128" i="4"/>
  <c r="EG61" i="4"/>
  <c r="EG60" i="4"/>
  <c r="EG65" i="4"/>
  <c r="EG66" i="4"/>
  <c r="EG71" i="4"/>
  <c r="EG64" i="4"/>
  <c r="EG62" i="4"/>
  <c r="EG63" i="4"/>
  <c r="EF67" i="4"/>
  <c r="EG55" i="4"/>
  <c r="EG50" i="4"/>
  <c r="EM16" i="6" l="1"/>
  <c r="EN17" i="6"/>
  <c r="EI106" i="4"/>
  <c r="EI82" i="4" s="1"/>
  <c r="EI118" i="4"/>
  <c r="EI119" i="4" s="1"/>
  <c r="EH57" i="4"/>
  <c r="EH34" i="4"/>
  <c r="EH28" i="4"/>
  <c r="EH39" i="4"/>
  <c r="EK108" i="4"/>
  <c r="EK116" i="4" s="1"/>
  <c r="EO22" i="6" s="1"/>
  <c r="EK97" i="4"/>
  <c r="EK113" i="4" s="1"/>
  <c r="EO19" i="6" s="1"/>
  <c r="EK115" i="4"/>
  <c r="EO21" i="6" s="1"/>
  <c r="EK102" i="4"/>
  <c r="EK104" i="4"/>
  <c r="EK112" i="4"/>
  <c r="EO18" i="6" s="1"/>
  <c r="EK91" i="4"/>
  <c r="EK92" i="4" s="1"/>
  <c r="EK96" i="4" s="1"/>
  <c r="EK84" i="4"/>
  <c r="EK117" i="4" s="1"/>
  <c r="EO23" i="6" s="1"/>
  <c r="EK12" i="4"/>
  <c r="EK13" i="4" s="1"/>
  <c r="EL17" i="4"/>
  <c r="EH55" i="4"/>
  <c r="EH50" i="4"/>
  <c r="EJ95" i="4"/>
  <c r="EJ81" i="4" s="1"/>
  <c r="EJ15" i="4"/>
  <c r="EJ16" i="4" s="1"/>
  <c r="EK5" i="4"/>
  <c r="EJ8" i="4"/>
  <c r="EJ7" i="4"/>
  <c r="EJ9" i="4"/>
  <c r="EJ114" i="4"/>
  <c r="EN20" i="6" s="1"/>
  <c r="EN26" i="6" s="1"/>
  <c r="EN27" i="6" s="1"/>
  <c r="EJ103" i="4"/>
  <c r="EJ107" i="4" s="1"/>
  <c r="EG67" i="4"/>
  <c r="EI129" i="4"/>
  <c r="EI128" i="4"/>
  <c r="EI125" i="4"/>
  <c r="EI27" i="4" s="1"/>
  <c r="EI130" i="4"/>
  <c r="EI127" i="4"/>
  <c r="EI126" i="4"/>
  <c r="EI131" i="4"/>
  <c r="EH61" i="4"/>
  <c r="EH66" i="4"/>
  <c r="EH65" i="4"/>
  <c r="EH60" i="4"/>
  <c r="EH63" i="4"/>
  <c r="EH62" i="4"/>
  <c r="EH71" i="4"/>
  <c r="EH64" i="4"/>
  <c r="EH70" i="4"/>
  <c r="EH69" i="4"/>
  <c r="EJ6" i="4" l="1"/>
  <c r="EN16" i="6"/>
  <c r="EO17" i="6"/>
  <c r="EJ118" i="4"/>
  <c r="EJ119" i="4" s="1"/>
  <c r="EI55" i="4"/>
  <c r="EI50" i="4"/>
  <c r="EJ106" i="4"/>
  <c r="EJ82" i="4" s="1"/>
  <c r="EI65" i="4"/>
  <c r="EI66" i="4"/>
  <c r="EI61" i="4"/>
  <c r="EI60" i="4"/>
  <c r="EI71" i="4"/>
  <c r="EI63" i="4"/>
  <c r="EI64" i="4"/>
  <c r="EI62" i="4"/>
  <c r="EH67" i="4"/>
  <c r="EL108" i="4"/>
  <c r="EL116" i="4" s="1"/>
  <c r="EP22" i="6" s="1"/>
  <c r="EL97" i="4"/>
  <c r="EL113" i="4" s="1"/>
  <c r="EP19" i="6" s="1"/>
  <c r="EL115" i="4"/>
  <c r="EP21" i="6" s="1"/>
  <c r="EL102" i="4"/>
  <c r="EL112" i="4"/>
  <c r="EP18" i="6" s="1"/>
  <c r="EL91" i="4"/>
  <c r="EL92" i="4" s="1"/>
  <c r="EL96" i="4" s="1"/>
  <c r="EL84" i="4"/>
  <c r="EL117" i="4" s="1"/>
  <c r="EP23" i="6" s="1"/>
  <c r="EL104" i="4"/>
  <c r="EL12" i="4"/>
  <c r="EL13" i="4" s="1"/>
  <c r="EM17" i="4"/>
  <c r="EJ128" i="4"/>
  <c r="EJ125" i="4"/>
  <c r="EJ27" i="4" s="1"/>
  <c r="EJ129" i="4"/>
  <c r="EJ126" i="4"/>
  <c r="EJ130" i="4"/>
  <c r="EJ127" i="4"/>
  <c r="EJ131" i="4"/>
  <c r="EI70" i="4"/>
  <c r="EI69" i="4"/>
  <c r="EK114" i="4"/>
  <c r="EK103" i="4"/>
  <c r="EK107" i="4" s="1"/>
  <c r="EK95" i="4"/>
  <c r="EK81" i="4" s="1"/>
  <c r="EK15" i="4"/>
  <c r="EK16" i="4" s="1"/>
  <c r="EK8" i="4"/>
  <c r="EK7" i="4"/>
  <c r="EK9" i="4"/>
  <c r="EL5" i="4"/>
  <c r="EI57" i="4"/>
  <c r="EI34" i="4"/>
  <c r="EI28" i="4"/>
  <c r="EI39" i="4"/>
  <c r="EP17" i="6" l="1"/>
  <c r="EO16" i="6"/>
  <c r="EK118" i="4"/>
  <c r="EK119" i="4" s="1"/>
  <c r="EO20" i="6"/>
  <c r="EO26" i="6" s="1"/>
  <c r="EO27" i="6" s="1"/>
  <c r="EK106" i="4"/>
  <c r="EK82" i="4" s="1"/>
  <c r="EL95" i="4"/>
  <c r="EL81" i="4" s="1"/>
  <c r="EL7" i="4"/>
  <c r="EL15" i="4"/>
  <c r="EL16" i="4" s="1"/>
  <c r="EM5" i="4"/>
  <c r="EL9" i="4"/>
  <c r="EL8" i="4"/>
  <c r="EK6" i="4"/>
  <c r="EM112" i="4"/>
  <c r="EQ18" i="6" s="1"/>
  <c r="EM108" i="4"/>
  <c r="EM116" i="4" s="1"/>
  <c r="EQ22" i="6" s="1"/>
  <c r="EM115" i="4"/>
  <c r="EQ21" i="6" s="1"/>
  <c r="EM104" i="4"/>
  <c r="EM102" i="4"/>
  <c r="EM91" i="4"/>
  <c r="EM92" i="4" s="1"/>
  <c r="EM96" i="4" s="1"/>
  <c r="EM84" i="4"/>
  <c r="EM117" i="4" s="1"/>
  <c r="EQ23" i="6" s="1"/>
  <c r="EM97" i="4"/>
  <c r="EM113" i="4" s="1"/>
  <c r="EQ19" i="6" s="1"/>
  <c r="EM12" i="4"/>
  <c r="EM13" i="4" s="1"/>
  <c r="EN17" i="4"/>
  <c r="EI67" i="4"/>
  <c r="EJ55" i="4"/>
  <c r="EJ50" i="4"/>
  <c r="EK128" i="4"/>
  <c r="EK125" i="4"/>
  <c r="EK27" i="4" s="1"/>
  <c r="EK129" i="4"/>
  <c r="EK126" i="4"/>
  <c r="EK130" i="4"/>
  <c r="EK127" i="4"/>
  <c r="EK131" i="4"/>
  <c r="EJ66" i="4"/>
  <c r="EJ60" i="4"/>
  <c r="EJ61" i="4"/>
  <c r="EJ65" i="4"/>
  <c r="EJ62" i="4"/>
  <c r="EJ63" i="4"/>
  <c r="EJ71" i="4"/>
  <c r="EJ64" i="4"/>
  <c r="EL114" i="4"/>
  <c r="EP20" i="6" s="1"/>
  <c r="EP26" i="6" s="1"/>
  <c r="EP27" i="6" s="1"/>
  <c r="EL103" i="4"/>
  <c r="EL107" i="4" s="1"/>
  <c r="EJ57" i="4"/>
  <c r="EJ34" i="4"/>
  <c r="EJ28" i="4"/>
  <c r="EJ39" i="4"/>
  <c r="EJ70" i="4"/>
  <c r="EJ69" i="4"/>
  <c r="EQ17" i="6" l="1"/>
  <c r="EP16" i="6"/>
  <c r="EJ67" i="4"/>
  <c r="EL118" i="4"/>
  <c r="EL119" i="4" s="1"/>
  <c r="EL6" i="4"/>
  <c r="EM95" i="4"/>
  <c r="EM81" i="4" s="1"/>
  <c r="EM7" i="4"/>
  <c r="EM9" i="4"/>
  <c r="EN5" i="4"/>
  <c r="EM15" i="4"/>
  <c r="EM16" i="4" s="1"/>
  <c r="EM8" i="4"/>
  <c r="EK61" i="4"/>
  <c r="EK66" i="4"/>
  <c r="EK60" i="4"/>
  <c r="EK65" i="4"/>
  <c r="EK62" i="4"/>
  <c r="EK64" i="4"/>
  <c r="EK71" i="4"/>
  <c r="EK63" i="4"/>
  <c r="EL106" i="4"/>
  <c r="EL82" i="4" s="1"/>
  <c r="EK55" i="4"/>
  <c r="EK50" i="4"/>
  <c r="EM114" i="4"/>
  <c r="EM103" i="4"/>
  <c r="EM107" i="4" s="1"/>
  <c r="EL128" i="4"/>
  <c r="EL127" i="4"/>
  <c r="EL129" i="4"/>
  <c r="EL126" i="4"/>
  <c r="EL130" i="4"/>
  <c r="EL125" i="4"/>
  <c r="EL27" i="4" s="1"/>
  <c r="EL131" i="4"/>
  <c r="EK70" i="4"/>
  <c r="EK69" i="4"/>
  <c r="EK57" i="4"/>
  <c r="EK34" i="4"/>
  <c r="EK28" i="4"/>
  <c r="EK39" i="4"/>
  <c r="EN112" i="4"/>
  <c r="ER18" i="6" s="1"/>
  <c r="EN115" i="4"/>
  <c r="ER21" i="6" s="1"/>
  <c r="EN104" i="4"/>
  <c r="EN102" i="4"/>
  <c r="EN91" i="4"/>
  <c r="EN92" i="4" s="1"/>
  <c r="EN96" i="4" s="1"/>
  <c r="EN84" i="4"/>
  <c r="EN117" i="4" s="1"/>
  <c r="ER23" i="6" s="1"/>
  <c r="EN108" i="4"/>
  <c r="EN116" i="4" s="1"/>
  <c r="ER22" i="6" s="1"/>
  <c r="EN97" i="4"/>
  <c r="EN113" i="4" s="1"/>
  <c r="ER19" i="6" s="1"/>
  <c r="EN12" i="4"/>
  <c r="EN13" i="4" s="1"/>
  <c r="EO17" i="4"/>
  <c r="ER17" i="6" l="1"/>
  <c r="EQ16" i="6"/>
  <c r="EM118" i="4"/>
  <c r="EM119" i="4" s="1"/>
  <c r="EQ20" i="6"/>
  <c r="EQ26" i="6" s="1"/>
  <c r="EQ27" i="6" s="1"/>
  <c r="EM106" i="4"/>
  <c r="EM82" i="4" s="1"/>
  <c r="EN95" i="4"/>
  <c r="EN81" i="4" s="1"/>
  <c r="EN15" i="4"/>
  <c r="EN16" i="4" s="1"/>
  <c r="EN7" i="4"/>
  <c r="EN9" i="4"/>
  <c r="EN8" i="4"/>
  <c r="EO5" i="4"/>
  <c r="EL55" i="4"/>
  <c r="EL50" i="4"/>
  <c r="EM6" i="4"/>
  <c r="EK67" i="4"/>
  <c r="EL70" i="4"/>
  <c r="EL69" i="4"/>
  <c r="EN114" i="4"/>
  <c r="EN103" i="4"/>
  <c r="EN107" i="4" s="1"/>
  <c r="EM127" i="4"/>
  <c r="EM129" i="4"/>
  <c r="EM126" i="4"/>
  <c r="EM130" i="4"/>
  <c r="EM131" i="4"/>
  <c r="EM125" i="4"/>
  <c r="EM27" i="4" s="1"/>
  <c r="EM128" i="4"/>
  <c r="EL65" i="4"/>
  <c r="EL66" i="4"/>
  <c r="EL61" i="4"/>
  <c r="EL60" i="4"/>
  <c r="EL63" i="4"/>
  <c r="EL64" i="4"/>
  <c r="EL71" i="4"/>
  <c r="EL62" i="4"/>
  <c r="EO112" i="4"/>
  <c r="ES18" i="6" s="1"/>
  <c r="EO115" i="4"/>
  <c r="ES21" i="6" s="1"/>
  <c r="EO104" i="4"/>
  <c r="EO91" i="4"/>
  <c r="EO92" i="4" s="1"/>
  <c r="EO96" i="4" s="1"/>
  <c r="EO84" i="4"/>
  <c r="EO117" i="4" s="1"/>
  <c r="ES23" i="6" s="1"/>
  <c r="EO108" i="4"/>
  <c r="EO116" i="4" s="1"/>
  <c r="ES22" i="6" s="1"/>
  <c r="EO97" i="4"/>
  <c r="EO113" i="4" s="1"/>
  <c r="ES19" i="6" s="1"/>
  <c r="EO102" i="4"/>
  <c r="EO12" i="4"/>
  <c r="EO13" i="4" s="1"/>
  <c r="EP17" i="4"/>
  <c r="EL57" i="4"/>
  <c r="EL34" i="4"/>
  <c r="EL28" i="4"/>
  <c r="EL39" i="4"/>
  <c r="ES17" i="6" l="1"/>
  <c r="ER16" i="6"/>
  <c r="EN118" i="4"/>
  <c r="EN119" i="4" s="1"/>
  <c r="ER20" i="6"/>
  <c r="ER26" i="6" s="1"/>
  <c r="ER27" i="6" s="1"/>
  <c r="EM57" i="4"/>
  <c r="EM34" i="4"/>
  <c r="EM28" i="4"/>
  <c r="EM39" i="4"/>
  <c r="EN6" i="4"/>
  <c r="EO95" i="4"/>
  <c r="EO81" i="4" s="1"/>
  <c r="EO9" i="4"/>
  <c r="EO15" i="4"/>
  <c r="EO16" i="4" s="1"/>
  <c r="EP5" i="4"/>
  <c r="EO7" i="4"/>
  <c r="EO8" i="4"/>
  <c r="EM55" i="4"/>
  <c r="EM50" i="4"/>
  <c r="EN106" i="4"/>
  <c r="EN82" i="4" s="1"/>
  <c r="EP112" i="4"/>
  <c r="ET18" i="6" s="1"/>
  <c r="EP115" i="4"/>
  <c r="ET21" i="6" s="1"/>
  <c r="EP104" i="4"/>
  <c r="EP91" i="4"/>
  <c r="EP92" i="4" s="1"/>
  <c r="EP96" i="4" s="1"/>
  <c r="EP84" i="4"/>
  <c r="EP117" i="4" s="1"/>
  <c r="ET23" i="6" s="1"/>
  <c r="EP108" i="4"/>
  <c r="EP116" i="4" s="1"/>
  <c r="ET22" i="6" s="1"/>
  <c r="EP97" i="4"/>
  <c r="EP113" i="4" s="1"/>
  <c r="ET19" i="6" s="1"/>
  <c r="EP102" i="4"/>
  <c r="EP12" i="4"/>
  <c r="EP13" i="4" s="1"/>
  <c r="EQ17" i="4"/>
  <c r="EO114" i="4"/>
  <c r="ES20" i="6" s="1"/>
  <c r="ES26" i="6" s="1"/>
  <c r="ES27" i="6" s="1"/>
  <c r="EO103" i="4"/>
  <c r="EO107" i="4" s="1"/>
  <c r="EM70" i="4"/>
  <c r="EM69" i="4"/>
  <c r="EM61" i="4"/>
  <c r="EM60" i="4"/>
  <c r="EM66" i="4"/>
  <c r="EM65" i="4"/>
  <c r="EM64" i="4"/>
  <c r="EM63" i="4"/>
  <c r="EM71" i="4"/>
  <c r="EM62" i="4"/>
  <c r="EL67" i="4"/>
  <c r="EN127" i="4"/>
  <c r="EN131" i="4"/>
  <c r="EN126" i="4"/>
  <c r="EN130" i="4"/>
  <c r="EN125" i="4"/>
  <c r="EN27" i="4" s="1"/>
  <c r="EN129" i="4"/>
  <c r="EN128" i="4"/>
  <c r="EO6" i="4" l="1"/>
  <c r="ET17" i="6"/>
  <c r="ES16" i="6"/>
  <c r="EO106" i="4"/>
  <c r="EO82" i="4" s="1"/>
  <c r="EO118" i="4"/>
  <c r="EO119" i="4" s="1"/>
  <c r="EN66" i="4"/>
  <c r="EN65" i="4"/>
  <c r="EN61" i="4"/>
  <c r="EN60" i="4"/>
  <c r="EN62" i="4"/>
  <c r="EN63" i="4"/>
  <c r="EN71" i="4"/>
  <c r="EN64" i="4"/>
  <c r="EQ115" i="4"/>
  <c r="EU21" i="6" s="1"/>
  <c r="EQ104" i="4"/>
  <c r="EQ91" i="4"/>
  <c r="EQ92" i="4" s="1"/>
  <c r="EQ96" i="4" s="1"/>
  <c r="EQ84" i="4"/>
  <c r="EQ117" i="4" s="1"/>
  <c r="EU23" i="6" s="1"/>
  <c r="EQ108" i="4"/>
  <c r="EQ116" i="4" s="1"/>
  <c r="EU22" i="6" s="1"/>
  <c r="EQ102" i="4"/>
  <c r="EQ97" i="4"/>
  <c r="EQ113" i="4" s="1"/>
  <c r="EU19" i="6" s="1"/>
  <c r="EQ112" i="4"/>
  <c r="EU18" i="6" s="1"/>
  <c r="EQ12" i="4"/>
  <c r="EQ13" i="4" s="1"/>
  <c r="ER17" i="4"/>
  <c r="EP95" i="4"/>
  <c r="EP81" i="4" s="1"/>
  <c r="EP15" i="4"/>
  <c r="EP16" i="4" s="1"/>
  <c r="EP9" i="4"/>
  <c r="EP8" i="4"/>
  <c r="EP7" i="4"/>
  <c r="EP6" i="4" s="1"/>
  <c r="EQ5" i="4"/>
  <c r="EO127" i="4"/>
  <c r="EO131" i="4"/>
  <c r="EO126" i="4"/>
  <c r="EO130" i="4"/>
  <c r="EO125" i="4"/>
  <c r="EO27" i="4" s="1"/>
  <c r="EO129" i="4"/>
  <c r="EO128" i="4"/>
  <c r="EN57" i="4"/>
  <c r="EN34" i="4"/>
  <c r="EN28" i="4"/>
  <c r="EN39" i="4"/>
  <c r="EP114" i="4"/>
  <c r="ET20" i="6" s="1"/>
  <c r="ET26" i="6" s="1"/>
  <c r="ET27" i="6" s="1"/>
  <c r="EP103" i="4"/>
  <c r="EP107" i="4" s="1"/>
  <c r="EN55" i="4"/>
  <c r="EN50" i="4"/>
  <c r="EN70" i="4"/>
  <c r="EN69" i="4"/>
  <c r="EM67" i="4"/>
  <c r="ET16" i="6" l="1"/>
  <c r="EU17" i="6"/>
  <c r="EP118" i="4"/>
  <c r="EP119" i="4" s="1"/>
  <c r="EP131" i="4"/>
  <c r="EP126" i="4"/>
  <c r="EP130" i="4"/>
  <c r="EP127" i="4"/>
  <c r="EP129" i="4"/>
  <c r="EP128" i="4"/>
  <c r="EP125" i="4"/>
  <c r="EP27" i="4" s="1"/>
  <c r="EP106" i="4"/>
  <c r="EP82" i="4" s="1"/>
  <c r="EQ103" i="4"/>
  <c r="EQ107" i="4" s="1"/>
  <c r="EQ114" i="4"/>
  <c r="EN67" i="4"/>
  <c r="ER115" i="4"/>
  <c r="EV21" i="6" s="1"/>
  <c r="ER112" i="4"/>
  <c r="EV18" i="6" s="1"/>
  <c r="ER104" i="4"/>
  <c r="ER102" i="4"/>
  <c r="ER108" i="4"/>
  <c r="ER116" i="4" s="1"/>
  <c r="EV22" i="6" s="1"/>
  <c r="ER91" i="4"/>
  <c r="ER92" i="4" s="1"/>
  <c r="ER96" i="4" s="1"/>
  <c r="ER84" i="4"/>
  <c r="ER117" i="4" s="1"/>
  <c r="EV23" i="6" s="1"/>
  <c r="ER97" i="4"/>
  <c r="ER113" i="4" s="1"/>
  <c r="EV19" i="6" s="1"/>
  <c r="ES17" i="4"/>
  <c r="ER12" i="4"/>
  <c r="ER13" i="4" s="1"/>
  <c r="EO57" i="4"/>
  <c r="EO34" i="4"/>
  <c r="EO28" i="4"/>
  <c r="EO39" i="4"/>
  <c r="EO55" i="4"/>
  <c r="EO50" i="4"/>
  <c r="EQ95" i="4"/>
  <c r="EQ81" i="4" s="1"/>
  <c r="EQ9" i="4"/>
  <c r="EQ15" i="4"/>
  <c r="EQ16" i="4" s="1"/>
  <c r="ER5" i="4"/>
  <c r="EQ7" i="4"/>
  <c r="EQ8" i="4"/>
  <c r="EO70" i="4"/>
  <c r="EO69" i="4"/>
  <c r="EO60" i="4"/>
  <c r="EO65" i="4"/>
  <c r="EO61" i="4"/>
  <c r="EO66" i="4"/>
  <c r="EO64" i="4"/>
  <c r="EO62" i="4"/>
  <c r="EO71" i="4"/>
  <c r="EO63" i="4"/>
  <c r="EU16" i="6" l="1"/>
  <c r="EV17" i="6"/>
  <c r="EQ118" i="4"/>
  <c r="EQ119" i="4" s="1"/>
  <c r="EU20" i="6"/>
  <c r="EU26" i="6" s="1"/>
  <c r="EU27" i="6" s="1"/>
  <c r="EO67" i="4"/>
  <c r="EP57" i="4"/>
  <c r="EP34" i="4"/>
  <c r="EP28" i="4"/>
  <c r="EP39" i="4"/>
  <c r="EP70" i="4"/>
  <c r="EP69" i="4"/>
  <c r="ES115" i="4"/>
  <c r="EW21" i="6" s="1"/>
  <c r="ES108" i="4"/>
  <c r="ES116" i="4" s="1"/>
  <c r="EW22" i="6" s="1"/>
  <c r="ES102" i="4"/>
  <c r="ES104" i="4"/>
  <c r="ES112" i="4"/>
  <c r="EW18" i="6" s="1"/>
  <c r="ES91" i="4"/>
  <c r="ES92" i="4" s="1"/>
  <c r="ES96" i="4" s="1"/>
  <c r="ES84" i="4"/>
  <c r="ES117" i="4" s="1"/>
  <c r="EW23" i="6" s="1"/>
  <c r="ES97" i="4"/>
  <c r="ES113" i="4" s="1"/>
  <c r="EW19" i="6" s="1"/>
  <c r="ET17" i="4"/>
  <c r="ES12" i="4"/>
  <c r="ES13" i="4" s="1"/>
  <c r="ER95" i="4"/>
  <c r="ER81" i="4" s="1"/>
  <c r="ER15" i="4"/>
  <c r="ER16" i="4" s="1"/>
  <c r="ER9" i="4"/>
  <c r="ES5" i="4"/>
  <c r="ER8" i="4"/>
  <c r="ER7" i="4"/>
  <c r="EP55" i="4"/>
  <c r="EP50" i="4"/>
  <c r="EQ6" i="4"/>
  <c r="EQ131" i="4"/>
  <c r="EQ126" i="4"/>
  <c r="EQ130" i="4"/>
  <c r="EQ127" i="4"/>
  <c r="EQ129" i="4"/>
  <c r="EQ128" i="4"/>
  <c r="EQ125" i="4"/>
  <c r="EQ27" i="4" s="1"/>
  <c r="EP60" i="4"/>
  <c r="EP61" i="4"/>
  <c r="EP65" i="4"/>
  <c r="EP66" i="4"/>
  <c r="EP64" i="4"/>
  <c r="EP62" i="4"/>
  <c r="EP71" i="4"/>
  <c r="EP63" i="4"/>
  <c r="EQ106" i="4"/>
  <c r="EQ82" i="4" s="1"/>
  <c r="ER103" i="4"/>
  <c r="ER107" i="4" s="1"/>
  <c r="ER114" i="4"/>
  <c r="EV20" i="6" s="1"/>
  <c r="EV26" i="6" s="1"/>
  <c r="EV27" i="6" s="1"/>
  <c r="EW17" i="6" l="1"/>
  <c r="EV16" i="6"/>
  <c r="ER6" i="4"/>
  <c r="ER118" i="4"/>
  <c r="ER119" i="4" s="1"/>
  <c r="ER106" i="4"/>
  <c r="ER82" i="4" s="1"/>
  <c r="EQ57" i="4"/>
  <c r="EQ34" i="4"/>
  <c r="EQ28" i="4"/>
  <c r="EQ39" i="4"/>
  <c r="ET112" i="4"/>
  <c r="EX18" i="6" s="1"/>
  <c r="ET115" i="4"/>
  <c r="EX21" i="6" s="1"/>
  <c r="ET108" i="4"/>
  <c r="ET116" i="4" s="1"/>
  <c r="EX22" i="6" s="1"/>
  <c r="ET102" i="4"/>
  <c r="ET104" i="4"/>
  <c r="ET91" i="4"/>
  <c r="ET92" i="4" s="1"/>
  <c r="ET96" i="4" s="1"/>
  <c r="ET97" i="4"/>
  <c r="ET113" i="4" s="1"/>
  <c r="EX19" i="6" s="1"/>
  <c r="ET84" i="4"/>
  <c r="ET117" i="4" s="1"/>
  <c r="EX23" i="6" s="1"/>
  <c r="ET12" i="4"/>
  <c r="ET13" i="4" s="1"/>
  <c r="EU17" i="4"/>
  <c r="EP67" i="4"/>
  <c r="EQ61" i="4"/>
  <c r="EQ65" i="4"/>
  <c r="EQ66" i="4"/>
  <c r="EQ60" i="4"/>
  <c r="EQ62" i="4"/>
  <c r="EQ63" i="4"/>
  <c r="EQ71" i="4"/>
  <c r="EQ64" i="4"/>
  <c r="EQ70" i="4"/>
  <c r="EQ69" i="4"/>
  <c r="ES95" i="4"/>
  <c r="ES81" i="4" s="1"/>
  <c r="ES15" i="4"/>
  <c r="ES16" i="4" s="1"/>
  <c r="ES9" i="4"/>
  <c r="ET5" i="4"/>
  <c r="ES8" i="4"/>
  <c r="ES7" i="4"/>
  <c r="ES6" i="4" s="1"/>
  <c r="ES103" i="4"/>
  <c r="ES107" i="4" s="1"/>
  <c r="ES114" i="4"/>
  <c r="EQ55" i="4"/>
  <c r="EQ50" i="4"/>
  <c r="ER126" i="4"/>
  <c r="ER130" i="4"/>
  <c r="ER125" i="4"/>
  <c r="ER27" i="4" s="1"/>
  <c r="ER127" i="4"/>
  <c r="ER131" i="4"/>
  <c r="ER128" i="4"/>
  <c r="ER129" i="4"/>
  <c r="EX17" i="6" l="1"/>
  <c r="EW16" i="6"/>
  <c r="ES118" i="4"/>
  <c r="ES119" i="4" s="1"/>
  <c r="EW20" i="6"/>
  <c r="EW26" i="6" s="1"/>
  <c r="EW27" i="6" s="1"/>
  <c r="ES106" i="4"/>
  <c r="ES82" i="4" s="1"/>
  <c r="ES130" i="4"/>
  <c r="ES125" i="4"/>
  <c r="ES27" i="4" s="1"/>
  <c r="ES127" i="4"/>
  <c r="ES131" i="4"/>
  <c r="ES128" i="4"/>
  <c r="ES129" i="4"/>
  <c r="ES126" i="4"/>
  <c r="ER55" i="4"/>
  <c r="ER50" i="4"/>
  <c r="EQ67" i="4"/>
  <c r="ET103" i="4"/>
  <c r="ET107" i="4" s="1"/>
  <c r="ET114" i="4"/>
  <c r="EX20" i="6" s="1"/>
  <c r="EX26" i="6" s="1"/>
  <c r="EX27" i="6" s="1"/>
  <c r="EU115" i="4"/>
  <c r="EY21" i="6" s="1"/>
  <c r="EU108" i="4"/>
  <c r="EU116" i="4" s="1"/>
  <c r="EY22" i="6" s="1"/>
  <c r="EU104" i="4"/>
  <c r="EU91" i="4"/>
  <c r="EU92" i="4" s="1"/>
  <c r="EU96" i="4" s="1"/>
  <c r="EU112" i="4"/>
  <c r="EY18" i="6" s="1"/>
  <c r="EU97" i="4"/>
  <c r="EU113" i="4" s="1"/>
  <c r="EY19" i="6" s="1"/>
  <c r="EU102" i="4"/>
  <c r="EU84" i="4"/>
  <c r="EU117" i="4" s="1"/>
  <c r="EY23" i="6" s="1"/>
  <c r="EV17" i="4"/>
  <c r="EU12" i="4"/>
  <c r="EU13" i="4" s="1"/>
  <c r="ER57" i="4"/>
  <c r="ER34" i="4"/>
  <c r="ER28" i="4"/>
  <c r="ER39" i="4"/>
  <c r="ET95" i="4"/>
  <c r="ET81" i="4" s="1"/>
  <c r="ET15" i="4"/>
  <c r="ET16" i="4" s="1"/>
  <c r="ET9" i="4"/>
  <c r="EU5" i="4"/>
  <c r="ET8" i="4"/>
  <c r="ET7" i="4"/>
  <c r="ER65" i="4"/>
  <c r="ER60" i="4"/>
  <c r="ER61" i="4"/>
  <c r="ER66" i="4"/>
  <c r="ER64" i="4"/>
  <c r="ER63" i="4"/>
  <c r="ER71" i="4"/>
  <c r="ER62" i="4"/>
  <c r="ER70" i="4"/>
  <c r="ER69" i="4"/>
  <c r="ET6" i="4" l="1"/>
  <c r="EY17" i="6"/>
  <c r="EX16" i="6"/>
  <c r="ET106" i="4"/>
  <c r="ET82" i="4" s="1"/>
  <c r="ET118" i="4"/>
  <c r="ET119" i="4" s="1"/>
  <c r="ES55" i="4"/>
  <c r="ES50" i="4"/>
  <c r="ES57" i="4"/>
  <c r="ES34" i="4"/>
  <c r="ES28" i="4"/>
  <c r="ES39" i="4"/>
  <c r="ES70" i="4"/>
  <c r="ES69" i="4"/>
  <c r="ET130" i="4"/>
  <c r="ET125" i="4"/>
  <c r="ET27" i="4" s="1"/>
  <c r="ET129" i="4"/>
  <c r="ET127" i="4"/>
  <c r="ET131" i="4"/>
  <c r="ET128" i="4"/>
  <c r="ET126" i="4"/>
  <c r="ER67" i="4"/>
  <c r="EU103" i="4"/>
  <c r="EU107" i="4" s="1"/>
  <c r="EU114" i="4"/>
  <c r="ES61" i="4"/>
  <c r="ES66" i="4"/>
  <c r="ES65" i="4"/>
  <c r="ES60" i="4"/>
  <c r="ES71" i="4"/>
  <c r="ES64" i="4"/>
  <c r="ES63" i="4"/>
  <c r="ES62" i="4"/>
  <c r="EV115" i="4"/>
  <c r="EZ21" i="6" s="1"/>
  <c r="EV108" i="4"/>
  <c r="EV116" i="4" s="1"/>
  <c r="EZ22" i="6" s="1"/>
  <c r="EV102" i="4"/>
  <c r="EV97" i="4"/>
  <c r="EV113" i="4" s="1"/>
  <c r="EZ19" i="6" s="1"/>
  <c r="EV104" i="4"/>
  <c r="EV112" i="4"/>
  <c r="EZ18" i="6" s="1"/>
  <c r="EV84" i="4"/>
  <c r="EV117" i="4" s="1"/>
  <c r="EZ23" i="6" s="1"/>
  <c r="EV91" i="4"/>
  <c r="EV92" i="4" s="1"/>
  <c r="EV96" i="4" s="1"/>
  <c r="EV12" i="4"/>
  <c r="EV13" i="4" s="1"/>
  <c r="EW17" i="4"/>
  <c r="EU95" i="4"/>
  <c r="EU81" i="4" s="1"/>
  <c r="EU15" i="4"/>
  <c r="EU16" i="4" s="1"/>
  <c r="EV5" i="4"/>
  <c r="EU8" i="4"/>
  <c r="EU7" i="4"/>
  <c r="EU9" i="4"/>
  <c r="EY16" i="6" l="1"/>
  <c r="EZ17" i="6"/>
  <c r="EU118" i="4"/>
  <c r="EU119" i="4" s="1"/>
  <c r="EY20" i="6"/>
  <c r="EY26" i="6" s="1"/>
  <c r="EY27" i="6" s="1"/>
  <c r="EU6" i="4"/>
  <c r="ET70" i="4"/>
  <c r="ET69" i="4"/>
  <c r="EV114" i="4"/>
  <c r="EV103" i="4"/>
  <c r="EV107" i="4" s="1"/>
  <c r="ET65" i="4"/>
  <c r="ET60" i="4"/>
  <c r="ET61" i="4"/>
  <c r="ET66" i="4"/>
  <c r="ET63" i="4"/>
  <c r="ET62" i="4"/>
  <c r="ET71" i="4"/>
  <c r="ET64" i="4"/>
  <c r="ET57" i="4"/>
  <c r="ET34" i="4"/>
  <c r="ET28" i="4"/>
  <c r="ET39" i="4"/>
  <c r="EV95" i="4"/>
  <c r="EV81" i="4" s="1"/>
  <c r="EV15" i="4"/>
  <c r="EV16" i="4" s="1"/>
  <c r="EW5" i="4"/>
  <c r="EV8" i="4"/>
  <c r="EV7" i="4"/>
  <c r="EV6" i="4" s="1"/>
  <c r="EV9" i="4"/>
  <c r="EW115" i="4"/>
  <c r="FA21" i="6" s="1"/>
  <c r="EW97" i="4"/>
  <c r="EW113" i="4" s="1"/>
  <c r="FA19" i="6" s="1"/>
  <c r="EW108" i="4"/>
  <c r="EW116" i="4" s="1"/>
  <c r="FA22" i="6" s="1"/>
  <c r="EW104" i="4"/>
  <c r="EW112" i="4"/>
  <c r="FA18" i="6" s="1"/>
  <c r="EW84" i="4"/>
  <c r="EW117" i="4" s="1"/>
  <c r="FA23" i="6" s="1"/>
  <c r="EW91" i="4"/>
  <c r="EW92" i="4" s="1"/>
  <c r="EW96" i="4" s="1"/>
  <c r="EW102" i="4"/>
  <c r="EX17" i="4"/>
  <c r="EW12" i="4"/>
  <c r="EW13" i="4" s="1"/>
  <c r="ES67" i="4"/>
  <c r="ET55" i="4"/>
  <c r="ET50" i="4"/>
  <c r="EU125" i="4"/>
  <c r="EU27" i="4" s="1"/>
  <c r="EU129" i="4"/>
  <c r="EU127" i="4"/>
  <c r="EU131" i="4"/>
  <c r="EU128" i="4"/>
  <c r="EU130" i="4"/>
  <c r="EU126" i="4"/>
  <c r="EU106" i="4"/>
  <c r="EU82" i="4" s="1"/>
  <c r="EZ16" i="6" l="1"/>
  <c r="FA17" i="6"/>
  <c r="EV118" i="4"/>
  <c r="EV119" i="4" s="1"/>
  <c r="EZ20" i="6"/>
  <c r="EZ26" i="6" s="1"/>
  <c r="EZ27" i="6" s="1"/>
  <c r="EV106" i="4"/>
  <c r="EV82" i="4" s="1"/>
  <c r="EU60" i="4"/>
  <c r="EU66" i="4"/>
  <c r="EU61" i="4"/>
  <c r="EU65" i="4"/>
  <c r="EU71" i="4"/>
  <c r="EU64" i="4"/>
  <c r="EU63" i="4"/>
  <c r="EU62" i="4"/>
  <c r="ET67" i="4"/>
  <c r="EX115" i="4"/>
  <c r="FB21" i="6" s="1"/>
  <c r="EX108" i="4"/>
  <c r="EX116" i="4" s="1"/>
  <c r="FB22" i="6" s="1"/>
  <c r="FD22" i="6" s="1"/>
  <c r="EX97" i="4"/>
  <c r="EX113" i="4" s="1"/>
  <c r="FB19" i="6" s="1"/>
  <c r="EX112" i="4"/>
  <c r="FB18" i="6" s="1"/>
  <c r="FD18" i="6" s="1"/>
  <c r="EX91" i="4"/>
  <c r="EX92" i="4" s="1"/>
  <c r="EX96" i="4" s="1"/>
  <c r="EX84" i="4"/>
  <c r="EX117" i="4" s="1"/>
  <c r="FB23" i="6" s="1"/>
  <c r="EX104" i="4"/>
  <c r="EX102" i="4"/>
  <c r="EX12" i="4"/>
  <c r="EX13" i="4" s="1"/>
  <c r="EY17" i="4"/>
  <c r="EU57" i="4"/>
  <c r="EU34" i="4"/>
  <c r="EU28" i="4"/>
  <c r="EU39" i="4"/>
  <c r="EV129" i="4"/>
  <c r="EV131" i="4"/>
  <c r="EV128" i="4"/>
  <c r="EV130" i="4"/>
  <c r="EV126" i="4"/>
  <c r="EV127" i="4"/>
  <c r="EV125" i="4"/>
  <c r="EV27" i="4" s="1"/>
  <c r="EU55" i="4"/>
  <c r="EU50" i="4"/>
  <c r="EW95" i="4"/>
  <c r="EW81" i="4" s="1"/>
  <c r="EW15" i="4"/>
  <c r="EW16" i="4" s="1"/>
  <c r="EW9" i="4"/>
  <c r="EX5" i="4"/>
  <c r="EW8" i="4"/>
  <c r="EW7" i="4"/>
  <c r="EW6" i="4" s="1"/>
  <c r="EU70" i="4"/>
  <c r="EU69" i="4"/>
  <c r="EW114" i="4"/>
  <c r="EW103" i="4"/>
  <c r="EW107" i="4" s="1"/>
  <c r="I44" i="7" l="1"/>
  <c r="FA16" i="6"/>
  <c r="I36" i="7" s="1"/>
  <c r="FB17" i="6"/>
  <c r="FB16" i="6" s="1"/>
  <c r="I46" i="7"/>
  <c r="I18" i="7"/>
  <c r="I19" i="7" s="1"/>
  <c r="I22" i="7"/>
  <c r="I50" i="7"/>
  <c r="EW118" i="4"/>
  <c r="EW119" i="4" s="1"/>
  <c r="FA20" i="6"/>
  <c r="FA26" i="6" s="1"/>
  <c r="FA27" i="6" s="1"/>
  <c r="FD19" i="6"/>
  <c r="EX114" i="4"/>
  <c r="FB20" i="6" s="1"/>
  <c r="EX103" i="4"/>
  <c r="EX107" i="4" s="1"/>
  <c r="EW106" i="4"/>
  <c r="EW82" i="4" s="1"/>
  <c r="EV57" i="4"/>
  <c r="EV34" i="4"/>
  <c r="EV28" i="4"/>
  <c r="EV39" i="4"/>
  <c r="EU67" i="4"/>
  <c r="EV61" i="4"/>
  <c r="EV66" i="4"/>
  <c r="EV60" i="4"/>
  <c r="EV65" i="4"/>
  <c r="EV64" i="4"/>
  <c r="EV62" i="4"/>
  <c r="EV71" i="4"/>
  <c r="EV63" i="4"/>
  <c r="EX95" i="4"/>
  <c r="EX81" i="4" s="1"/>
  <c r="EX15" i="4"/>
  <c r="EX16" i="4" s="1"/>
  <c r="EY5" i="4"/>
  <c r="EX8" i="4"/>
  <c r="EX7" i="4"/>
  <c r="EX6" i="4" s="1"/>
  <c r="EX9" i="4"/>
  <c r="EV55" i="4"/>
  <c r="EV50" i="4"/>
  <c r="EW129" i="4"/>
  <c r="EW128" i="4"/>
  <c r="EW131" i="4"/>
  <c r="EW125" i="4"/>
  <c r="EW27" i="4" s="1"/>
  <c r="EW130" i="4"/>
  <c r="EW126" i="4"/>
  <c r="EW127" i="4"/>
  <c r="EY115" i="4"/>
  <c r="EY112" i="4"/>
  <c r="EY97" i="4"/>
  <c r="EY113" i="4" s="1"/>
  <c r="EY84" i="4"/>
  <c r="EY117" i="4" s="1"/>
  <c r="EY91" i="4"/>
  <c r="EY92" i="4" s="1"/>
  <c r="EY96" i="4" s="1"/>
  <c r="EY104" i="4"/>
  <c r="EY102" i="4"/>
  <c r="EY108" i="4"/>
  <c r="EY116" i="4" s="1"/>
  <c r="EY12" i="4"/>
  <c r="EY13" i="4" s="1"/>
  <c r="EZ17" i="4"/>
  <c r="EV70" i="4"/>
  <c r="EV69" i="4"/>
  <c r="FD20" i="6" l="1"/>
  <c r="I26" i="7"/>
  <c r="I39" i="7"/>
  <c r="I38" i="7"/>
  <c r="I25" i="7"/>
  <c r="I23" i="7"/>
  <c r="I31" i="7"/>
  <c r="I52" i="7"/>
  <c r="I30" i="7"/>
  <c r="I45" i="7"/>
  <c r="I43" i="7"/>
  <c r="I32" i="7"/>
  <c r="I51" i="7"/>
  <c r="I53" i="7"/>
  <c r="I57" i="7" s="1"/>
  <c r="P18" i="7"/>
  <c r="P19" i="7" s="1"/>
  <c r="I37" i="7"/>
  <c r="I24" i="7"/>
  <c r="I55" i="7"/>
  <c r="I29" i="7"/>
  <c r="FB26" i="6"/>
  <c r="FB27" i="6" s="1"/>
  <c r="EX106" i="4"/>
  <c r="EX82" i="4" s="1"/>
  <c r="EX118" i="4"/>
  <c r="EX119" i="4" s="1"/>
  <c r="EW57" i="4"/>
  <c r="EW34" i="4"/>
  <c r="EW28" i="4"/>
  <c r="EW39" i="4"/>
  <c r="EW70" i="4"/>
  <c r="EW69" i="4"/>
  <c r="EY95" i="4"/>
  <c r="EY81" i="4" s="1"/>
  <c r="EY15" i="4"/>
  <c r="EY16" i="4" s="1"/>
  <c r="EY8" i="4"/>
  <c r="EY7" i="4"/>
  <c r="EZ5" i="4"/>
  <c r="EY9" i="4"/>
  <c r="EX128" i="4"/>
  <c r="EX129" i="4"/>
  <c r="EX131" i="4"/>
  <c r="EX130" i="4"/>
  <c r="EX126" i="4"/>
  <c r="EX125" i="4"/>
  <c r="EX27" i="4" s="1"/>
  <c r="EX127" i="4"/>
  <c r="EW66" i="4"/>
  <c r="EW65" i="4"/>
  <c r="EW61" i="4"/>
  <c r="EW60" i="4"/>
  <c r="EW71" i="4"/>
  <c r="EW64" i="4"/>
  <c r="EW63" i="4"/>
  <c r="EW62" i="4"/>
  <c r="EW55" i="4"/>
  <c r="EW50" i="4"/>
  <c r="EZ97" i="4"/>
  <c r="EZ113" i="4" s="1"/>
  <c r="EZ115" i="4"/>
  <c r="EZ112" i="4"/>
  <c r="EZ104" i="4"/>
  <c r="EZ84" i="4"/>
  <c r="EZ117" i="4" s="1"/>
  <c r="EZ102" i="4"/>
  <c r="EZ108" i="4"/>
  <c r="EZ116" i="4" s="1"/>
  <c r="EZ91" i="4"/>
  <c r="EZ92" i="4" s="1"/>
  <c r="EZ96" i="4" s="1"/>
  <c r="EZ12" i="4"/>
  <c r="EZ13" i="4" s="1"/>
  <c r="FA17" i="4"/>
  <c r="EY114" i="4"/>
  <c r="EY103" i="4"/>
  <c r="EY107" i="4" s="1"/>
  <c r="EV67" i="4"/>
  <c r="I33" i="7" l="1"/>
  <c r="I40" i="7" s="1"/>
  <c r="I47" i="7" s="1"/>
  <c r="EY106" i="4"/>
  <c r="EY82" i="4" s="1"/>
  <c r="EY118" i="4"/>
  <c r="EY119" i="4" s="1"/>
  <c r="EX57" i="4"/>
  <c r="EX34" i="4"/>
  <c r="EX28" i="4"/>
  <c r="EX39" i="4"/>
  <c r="FA115" i="4"/>
  <c r="FA112" i="4"/>
  <c r="FA108" i="4"/>
  <c r="FA116" i="4" s="1"/>
  <c r="FA104" i="4"/>
  <c r="FA97" i="4"/>
  <c r="FA113" i="4" s="1"/>
  <c r="FA84" i="4"/>
  <c r="FA117" i="4" s="1"/>
  <c r="FA102" i="4"/>
  <c r="FA91" i="4"/>
  <c r="FA92" i="4" s="1"/>
  <c r="FA96" i="4" s="1"/>
  <c r="FA12" i="4"/>
  <c r="FA13" i="4" s="1"/>
  <c r="FB17" i="4"/>
  <c r="EX66" i="4"/>
  <c r="EX61" i="4"/>
  <c r="EX65" i="4"/>
  <c r="EX60" i="4"/>
  <c r="EX71" i="4"/>
  <c r="EX63" i="4"/>
  <c r="EX64" i="4"/>
  <c r="EX62" i="4"/>
  <c r="EX55" i="4"/>
  <c r="EX50" i="4"/>
  <c r="EY128" i="4"/>
  <c r="EY125" i="4"/>
  <c r="EY27" i="4" s="1"/>
  <c r="EY129" i="4"/>
  <c r="EY131" i="4"/>
  <c r="EY130" i="4"/>
  <c r="EY126" i="4"/>
  <c r="EY127" i="4"/>
  <c r="EX70" i="4"/>
  <c r="EX69" i="4"/>
  <c r="EZ95" i="4"/>
  <c r="EZ81" i="4" s="1"/>
  <c r="EZ8" i="4"/>
  <c r="EZ7" i="4"/>
  <c r="EZ6" i="4" s="1"/>
  <c r="EZ15" i="4"/>
  <c r="EZ16" i="4" s="1"/>
  <c r="EZ9" i="4"/>
  <c r="FA5" i="4"/>
  <c r="EZ114" i="4"/>
  <c r="EZ103" i="4"/>
  <c r="EZ107" i="4" s="1"/>
  <c r="EW67" i="4"/>
  <c r="EY6" i="4"/>
  <c r="EZ106" i="4" l="1"/>
  <c r="EZ82" i="4" s="1"/>
  <c r="EZ118" i="4"/>
  <c r="EZ119" i="4" s="1"/>
  <c r="EY60" i="4"/>
  <c r="EY61" i="4"/>
  <c r="EY65" i="4"/>
  <c r="EY66" i="4"/>
  <c r="EY71" i="4"/>
  <c r="EY62" i="4"/>
  <c r="EY64" i="4"/>
  <c r="EY63" i="4"/>
  <c r="EY70" i="4"/>
  <c r="EY69" i="4"/>
  <c r="EX67" i="4"/>
  <c r="EY55" i="4"/>
  <c r="EY50" i="4"/>
  <c r="EZ128" i="4"/>
  <c r="EZ127" i="4"/>
  <c r="EZ125" i="4"/>
  <c r="EZ27" i="4" s="1"/>
  <c r="EZ129" i="4"/>
  <c r="EZ126" i="4"/>
  <c r="EZ131" i="4"/>
  <c r="EZ130" i="4"/>
  <c r="FB115" i="4"/>
  <c r="FB112" i="4"/>
  <c r="FB108" i="4"/>
  <c r="FB116" i="4" s="1"/>
  <c r="FB104" i="4"/>
  <c r="FB97" i="4"/>
  <c r="FB113" i="4" s="1"/>
  <c r="FB84" i="4"/>
  <c r="FB117" i="4" s="1"/>
  <c r="FB102" i="4"/>
  <c r="FB91" i="4"/>
  <c r="FB92" i="4" s="1"/>
  <c r="FB96" i="4" s="1"/>
  <c r="FB12" i="4"/>
  <c r="FB13" i="4" s="1"/>
  <c r="FC17" i="4"/>
  <c r="FA114" i="4"/>
  <c r="FA103" i="4"/>
  <c r="FA107" i="4" s="1"/>
  <c r="FA95" i="4"/>
  <c r="FA81" i="4" s="1"/>
  <c r="FA7" i="4"/>
  <c r="FA15" i="4"/>
  <c r="FA16" i="4" s="1"/>
  <c r="FB5" i="4"/>
  <c r="FA9" i="4"/>
  <c r="FA8" i="4"/>
  <c r="EY57" i="4"/>
  <c r="EY28" i="4"/>
  <c r="EY34" i="4"/>
  <c r="EY39" i="4"/>
  <c r="FA106" i="4" l="1"/>
  <c r="FA82" i="4" s="1"/>
  <c r="FA118" i="4"/>
  <c r="FA119" i="4" s="1"/>
  <c r="FC112" i="4"/>
  <c r="FC115" i="4"/>
  <c r="FC108" i="4"/>
  <c r="FC116" i="4" s="1"/>
  <c r="FC104" i="4"/>
  <c r="FC97" i="4"/>
  <c r="FC113" i="4" s="1"/>
  <c r="FC84" i="4"/>
  <c r="FC117" i="4" s="1"/>
  <c r="FC102" i="4"/>
  <c r="FC91" i="4"/>
  <c r="FC92" i="4" s="1"/>
  <c r="FC96" i="4" s="1"/>
  <c r="FC12" i="4"/>
  <c r="FC13" i="4" s="1"/>
  <c r="FD17" i="4"/>
  <c r="EZ70" i="4"/>
  <c r="EZ69" i="4"/>
  <c r="FB114" i="4"/>
  <c r="FB118" i="4" s="1"/>
  <c r="FB119" i="4" s="1"/>
  <c r="FB103" i="4"/>
  <c r="FB107" i="4" s="1"/>
  <c r="FB95" i="4"/>
  <c r="FB81" i="4" s="1"/>
  <c r="FB15" i="4"/>
  <c r="FB16" i="4" s="1"/>
  <c r="FB7" i="4"/>
  <c r="FB9" i="4"/>
  <c r="FC5" i="4"/>
  <c r="FB8" i="4"/>
  <c r="EY67" i="4"/>
  <c r="EZ57" i="4"/>
  <c r="EZ34" i="4"/>
  <c r="EZ28" i="4"/>
  <c r="EZ39" i="4"/>
  <c r="EZ55" i="4"/>
  <c r="EZ50" i="4"/>
  <c r="EZ66" i="4"/>
  <c r="EZ65" i="4"/>
  <c r="EZ61" i="4"/>
  <c r="EZ60" i="4"/>
  <c r="EZ62" i="4"/>
  <c r="EZ63" i="4"/>
  <c r="EZ71" i="4"/>
  <c r="EZ64" i="4"/>
  <c r="FA127" i="4"/>
  <c r="FA128" i="4"/>
  <c r="FA125" i="4"/>
  <c r="FA27" i="4" s="1"/>
  <c r="FA129" i="4"/>
  <c r="FA131" i="4"/>
  <c r="FA130" i="4"/>
  <c r="FA126" i="4"/>
  <c r="FA6" i="4"/>
  <c r="FB106" i="4" l="1"/>
  <c r="FB82" i="4" s="1"/>
  <c r="FD112" i="4"/>
  <c r="FD108" i="4"/>
  <c r="FD116" i="4" s="1"/>
  <c r="FD104" i="4"/>
  <c r="FD115" i="4"/>
  <c r="FD97" i="4"/>
  <c r="FD113" i="4" s="1"/>
  <c r="FD84" i="4"/>
  <c r="FD117" i="4" s="1"/>
  <c r="FD102" i="4"/>
  <c r="FD91" i="4"/>
  <c r="FD92" i="4" s="1"/>
  <c r="FD96" i="4" s="1"/>
  <c r="FD12" i="4"/>
  <c r="FD13" i="4" s="1"/>
  <c r="FE17" i="4"/>
  <c r="FA60" i="4"/>
  <c r="FA66" i="4"/>
  <c r="FA65" i="4"/>
  <c r="FA61" i="4"/>
  <c r="FA71" i="4"/>
  <c r="FA63" i="4"/>
  <c r="FA64" i="4"/>
  <c r="FA62" i="4"/>
  <c r="FC114" i="4"/>
  <c r="FC103" i="4"/>
  <c r="FC107" i="4" s="1"/>
  <c r="FC95" i="4"/>
  <c r="FC81" i="4" s="1"/>
  <c r="FC15" i="4"/>
  <c r="FC16" i="4" s="1"/>
  <c r="FC9" i="4"/>
  <c r="FD5" i="4"/>
  <c r="FC8" i="4"/>
  <c r="FC7" i="4"/>
  <c r="FA55" i="4"/>
  <c r="FA50" i="4"/>
  <c r="EZ67" i="4"/>
  <c r="FB127" i="4"/>
  <c r="FB131" i="4"/>
  <c r="FB128" i="4"/>
  <c r="FB125" i="4"/>
  <c r="FB27" i="4" s="1"/>
  <c r="FB129" i="4"/>
  <c r="FB126" i="4"/>
  <c r="FB130" i="4"/>
  <c r="FB6" i="4"/>
  <c r="FA70" i="4"/>
  <c r="FA69" i="4"/>
  <c r="FA57" i="4"/>
  <c r="FA34" i="4"/>
  <c r="FA28" i="4"/>
  <c r="FA39" i="4"/>
  <c r="FC6" i="4" l="1"/>
  <c r="FC106" i="4"/>
  <c r="FC82" i="4" s="1"/>
  <c r="FC118" i="4"/>
  <c r="FC119" i="4" s="1"/>
  <c r="FD103" i="4"/>
  <c r="FD107" i="4" s="1"/>
  <c r="FD114" i="4"/>
  <c r="FD118" i="4" s="1"/>
  <c r="FD119" i="4" s="1"/>
  <c r="FE112" i="4"/>
  <c r="FE108" i="4"/>
  <c r="FE116" i="4" s="1"/>
  <c r="FE104" i="4"/>
  <c r="FE84" i="4"/>
  <c r="FE117" i="4" s="1"/>
  <c r="FE102" i="4"/>
  <c r="FE91" i="4"/>
  <c r="FE92" i="4" s="1"/>
  <c r="FE96" i="4" s="1"/>
  <c r="FE115" i="4"/>
  <c r="FE97" i="4"/>
  <c r="FE113" i="4" s="1"/>
  <c r="FE12" i="4"/>
  <c r="FE13" i="4" s="1"/>
  <c r="FF17" i="4"/>
  <c r="FC127" i="4"/>
  <c r="FC131" i="4"/>
  <c r="FC126" i="4"/>
  <c r="FC125" i="4"/>
  <c r="FC27" i="4" s="1"/>
  <c r="FC129" i="4"/>
  <c r="FC130" i="4"/>
  <c r="FC128" i="4"/>
  <c r="FB70" i="4"/>
  <c r="FB69" i="4"/>
  <c r="FB55" i="4"/>
  <c r="FB50" i="4"/>
  <c r="FB57" i="4"/>
  <c r="FB34" i="4"/>
  <c r="FB28" i="4"/>
  <c r="FB39" i="4"/>
  <c r="FB61" i="4"/>
  <c r="FB65" i="4"/>
  <c r="FB60" i="4"/>
  <c r="FB66" i="4"/>
  <c r="FB64" i="4"/>
  <c r="FB62" i="4"/>
  <c r="FB71" i="4"/>
  <c r="FB63" i="4"/>
  <c r="FD95" i="4"/>
  <c r="FD81" i="4" s="1"/>
  <c r="FD15" i="4"/>
  <c r="FD16" i="4" s="1"/>
  <c r="FD9" i="4"/>
  <c r="FD8" i="4"/>
  <c r="FD7" i="4"/>
  <c r="FE5" i="4"/>
  <c r="FA67" i="4"/>
  <c r="FD6" i="4" l="1"/>
  <c r="FD106" i="4"/>
  <c r="FD82" i="4" s="1"/>
  <c r="FB67" i="4"/>
  <c r="FC55" i="4"/>
  <c r="FC50" i="4"/>
  <c r="FE95" i="4"/>
  <c r="FE81" i="4" s="1"/>
  <c r="FE15" i="4"/>
  <c r="FE16" i="4" s="1"/>
  <c r="FE9" i="4"/>
  <c r="FF5" i="4"/>
  <c r="FE8" i="4"/>
  <c r="FE7" i="4"/>
  <c r="FC70" i="4"/>
  <c r="FC69" i="4"/>
  <c r="FC57" i="4"/>
  <c r="FC34" i="4"/>
  <c r="FC28" i="4"/>
  <c r="FC39" i="4"/>
  <c r="FD131" i="4"/>
  <c r="FD126" i="4"/>
  <c r="FD129" i="4"/>
  <c r="FD130" i="4"/>
  <c r="FD128" i="4"/>
  <c r="FD125" i="4"/>
  <c r="FD27" i="4" s="1"/>
  <c r="FD127" i="4"/>
  <c r="FE114" i="4"/>
  <c r="FE103" i="4"/>
  <c r="FE107" i="4" s="1"/>
  <c r="FF115" i="4"/>
  <c r="FF112" i="4"/>
  <c r="FF108" i="4"/>
  <c r="FF116" i="4" s="1"/>
  <c r="FF104" i="4"/>
  <c r="FF102" i="4"/>
  <c r="FF91" i="4"/>
  <c r="FF92" i="4" s="1"/>
  <c r="FF96" i="4" s="1"/>
  <c r="FF84" i="4"/>
  <c r="FF117" i="4" s="1"/>
  <c r="FF97" i="4"/>
  <c r="FF113" i="4" s="1"/>
  <c r="FG17" i="4"/>
  <c r="FF12" i="4"/>
  <c r="FF13" i="4" s="1"/>
  <c r="FC65" i="4"/>
  <c r="FC61" i="4"/>
  <c r="FC66" i="4"/>
  <c r="FC60" i="4"/>
  <c r="FC64" i="4"/>
  <c r="FC63" i="4"/>
  <c r="FC62" i="4"/>
  <c r="FC71" i="4"/>
  <c r="FE118" i="4" l="1"/>
  <c r="FE119" i="4" s="1"/>
  <c r="FG115" i="4"/>
  <c r="FG112" i="4"/>
  <c r="FG102" i="4"/>
  <c r="FG108" i="4"/>
  <c r="FG116" i="4" s="1"/>
  <c r="FG97" i="4"/>
  <c r="FG113" i="4" s="1"/>
  <c r="FG104" i="4"/>
  <c r="FG84" i="4"/>
  <c r="FG117" i="4" s="1"/>
  <c r="FG91" i="4"/>
  <c r="FG92" i="4" s="1"/>
  <c r="FG96" i="4" s="1"/>
  <c r="FH17" i="4"/>
  <c r="FG12" i="4"/>
  <c r="FG13" i="4" s="1"/>
  <c r="FD70" i="4"/>
  <c r="FD69" i="4"/>
  <c r="FE6" i="4"/>
  <c r="FE106" i="4"/>
  <c r="FE82" i="4" s="1"/>
  <c r="FF103" i="4"/>
  <c r="FF107" i="4" s="1"/>
  <c r="FF114" i="4"/>
  <c r="FF118" i="4" s="1"/>
  <c r="FF119" i="4" s="1"/>
  <c r="FD57" i="4"/>
  <c r="FD34" i="4"/>
  <c r="FD28" i="4"/>
  <c r="FD39" i="4"/>
  <c r="FD55" i="4"/>
  <c r="FD50" i="4"/>
  <c r="FC67" i="4"/>
  <c r="FD65" i="4"/>
  <c r="FD61" i="4"/>
  <c r="FD60" i="4"/>
  <c r="FD66" i="4"/>
  <c r="FD62" i="4"/>
  <c r="FD63" i="4"/>
  <c r="FD71" i="4"/>
  <c r="FD64" i="4"/>
  <c r="FF95" i="4"/>
  <c r="FF81" i="4" s="1"/>
  <c r="FF15" i="4"/>
  <c r="FF16" i="4" s="1"/>
  <c r="FF9" i="4"/>
  <c r="FG5" i="4"/>
  <c r="FF8" i="4"/>
  <c r="FF7" i="4"/>
  <c r="FF6" i="4" s="1"/>
  <c r="FE131" i="4"/>
  <c r="FE126" i="4"/>
  <c r="FE130" i="4"/>
  <c r="FE129" i="4"/>
  <c r="FE128" i="4"/>
  <c r="FE125" i="4"/>
  <c r="FE27" i="4" s="1"/>
  <c r="FE127" i="4"/>
  <c r="FG103" i="4" l="1"/>
  <c r="FG107" i="4" s="1"/>
  <c r="FG114" i="4"/>
  <c r="FG118" i="4" s="1"/>
  <c r="FG119" i="4" s="1"/>
  <c r="FE65" i="4"/>
  <c r="FE66" i="4"/>
  <c r="FE61" i="4"/>
  <c r="FE60" i="4"/>
  <c r="FE63" i="4"/>
  <c r="FE64" i="4"/>
  <c r="FE71" i="4"/>
  <c r="FE62" i="4"/>
  <c r="FF106" i="4"/>
  <c r="FF82" i="4" s="1"/>
  <c r="FE70" i="4"/>
  <c r="FE69" i="4"/>
  <c r="FG95" i="4"/>
  <c r="FG81" i="4" s="1"/>
  <c r="FG15" i="4"/>
  <c r="FG16" i="4" s="1"/>
  <c r="FG9" i="4"/>
  <c r="FH5" i="4"/>
  <c r="FG8" i="4"/>
  <c r="FG7" i="4"/>
  <c r="FG6" i="4" s="1"/>
  <c r="FE55" i="4"/>
  <c r="FE50" i="4"/>
  <c r="FD67" i="4"/>
  <c r="FH112" i="4"/>
  <c r="FH115" i="4"/>
  <c r="FH108" i="4"/>
  <c r="FH116" i="4" s="1"/>
  <c r="FH102" i="4"/>
  <c r="FH104" i="4"/>
  <c r="FH91" i="4"/>
  <c r="FH92" i="4" s="1"/>
  <c r="FH96" i="4" s="1"/>
  <c r="FH84" i="4"/>
  <c r="FH117" i="4" s="1"/>
  <c r="FH97" i="4"/>
  <c r="FH113" i="4" s="1"/>
  <c r="FH12" i="4"/>
  <c r="FH13" i="4" s="1"/>
  <c r="FI17" i="4"/>
  <c r="FF126" i="4"/>
  <c r="FF130" i="4"/>
  <c r="FF125" i="4"/>
  <c r="FF27" i="4" s="1"/>
  <c r="FF131" i="4"/>
  <c r="FF128" i="4"/>
  <c r="FF129" i="4"/>
  <c r="FF127" i="4"/>
  <c r="FE57" i="4"/>
  <c r="FE34" i="4"/>
  <c r="FE28" i="4"/>
  <c r="FE39" i="4"/>
  <c r="FG106" i="4" l="1"/>
  <c r="FG82" i="4" s="1"/>
  <c r="FE67" i="4"/>
  <c r="FF65" i="4"/>
  <c r="FF61" i="4"/>
  <c r="FF66" i="4"/>
  <c r="FF60" i="4"/>
  <c r="FF64" i="4"/>
  <c r="FF62" i="4"/>
  <c r="FF63" i="4"/>
  <c r="FF71" i="4"/>
  <c r="FF57" i="4"/>
  <c r="FF34" i="4"/>
  <c r="FF28" i="4"/>
  <c r="FF39" i="4"/>
  <c r="FH95" i="4"/>
  <c r="FH81" i="4" s="1"/>
  <c r="FH15" i="4"/>
  <c r="FH16" i="4" s="1"/>
  <c r="FH9" i="4"/>
  <c r="FI5" i="4"/>
  <c r="FH8" i="4"/>
  <c r="FH7" i="4"/>
  <c r="FH6" i="4" s="1"/>
  <c r="FH103" i="4"/>
  <c r="FH107" i="4" s="1"/>
  <c r="FH114" i="4"/>
  <c r="FH118" i="4" s="1"/>
  <c r="FH119" i="4" s="1"/>
  <c r="FF70" i="4"/>
  <c r="FF69" i="4"/>
  <c r="FG130" i="4"/>
  <c r="FG125" i="4"/>
  <c r="FG27" i="4" s="1"/>
  <c r="FG126" i="4"/>
  <c r="FG127" i="4"/>
  <c r="FG131" i="4"/>
  <c r="FG128" i="4"/>
  <c r="FG129" i="4"/>
  <c r="FF55" i="4"/>
  <c r="FF50" i="4"/>
  <c r="FI115" i="4"/>
  <c r="FI112" i="4"/>
  <c r="FI108" i="4"/>
  <c r="FI116" i="4" s="1"/>
  <c r="FI102" i="4"/>
  <c r="FI91" i="4"/>
  <c r="FI92" i="4" s="1"/>
  <c r="FI96" i="4" s="1"/>
  <c r="FI104" i="4"/>
  <c r="FI84" i="4"/>
  <c r="FI117" i="4" s="1"/>
  <c r="FI97" i="4"/>
  <c r="FI113" i="4" s="1"/>
  <c r="FJ17" i="4"/>
  <c r="FI12" i="4"/>
  <c r="FI13" i="4" s="1"/>
  <c r="FG55" i="4" l="1"/>
  <c r="FG50" i="4"/>
  <c r="FJ115" i="4"/>
  <c r="FJ108" i="4"/>
  <c r="FJ116" i="4" s="1"/>
  <c r="FJ102" i="4"/>
  <c r="FJ97" i="4"/>
  <c r="FJ113" i="4" s="1"/>
  <c r="FJ112" i="4"/>
  <c r="FJ91" i="4"/>
  <c r="FJ92" i="4" s="1"/>
  <c r="FJ96" i="4" s="1"/>
  <c r="FJ104" i="4"/>
  <c r="FJ84" i="4"/>
  <c r="FJ117" i="4" s="1"/>
  <c r="FJ12" i="4"/>
  <c r="FJ13" i="4" s="1"/>
  <c r="FK17" i="4"/>
  <c r="FG66" i="4"/>
  <c r="FG61" i="4"/>
  <c r="FG65" i="4"/>
  <c r="FG60" i="4"/>
  <c r="FG63" i="4"/>
  <c r="FG64" i="4"/>
  <c r="FG71" i="4"/>
  <c r="FG62" i="4"/>
  <c r="FI95" i="4"/>
  <c r="FI81" i="4" s="1"/>
  <c r="FI15" i="4"/>
  <c r="FI16" i="4" s="1"/>
  <c r="FI9" i="4"/>
  <c r="FJ5" i="4"/>
  <c r="FI8" i="4"/>
  <c r="FI7" i="4"/>
  <c r="FI6" i="4" s="1"/>
  <c r="FG57" i="4"/>
  <c r="FG34" i="4"/>
  <c r="FG28" i="4"/>
  <c r="FG39" i="4"/>
  <c r="FF67" i="4"/>
  <c r="FG70" i="4"/>
  <c r="FG69" i="4"/>
  <c r="FI114" i="4"/>
  <c r="FI118" i="4" s="1"/>
  <c r="FI119" i="4" s="1"/>
  <c r="FI103" i="4"/>
  <c r="FI107" i="4" s="1"/>
  <c r="FH130" i="4"/>
  <c r="FH125" i="4"/>
  <c r="FH27" i="4" s="1"/>
  <c r="FH129" i="4"/>
  <c r="FH126" i="4"/>
  <c r="FH127" i="4"/>
  <c r="FH131" i="4"/>
  <c r="FH128" i="4"/>
  <c r="FH106" i="4"/>
  <c r="FH82" i="4" s="1"/>
  <c r="FI106" i="4" l="1"/>
  <c r="FI82" i="4" s="1"/>
  <c r="FG67" i="4"/>
  <c r="FH57" i="4"/>
  <c r="FH34" i="4"/>
  <c r="FH28" i="4"/>
  <c r="FH39" i="4"/>
  <c r="FH70" i="4"/>
  <c r="FH69" i="4"/>
  <c r="FJ114" i="4"/>
  <c r="FJ118" i="4" s="1"/>
  <c r="FJ119" i="4" s="1"/>
  <c r="FJ103" i="4"/>
  <c r="FJ107" i="4" s="1"/>
  <c r="FJ95" i="4"/>
  <c r="FJ81" i="4" s="1"/>
  <c r="FJ15" i="4"/>
  <c r="FJ16" i="4" s="1"/>
  <c r="FK5" i="4"/>
  <c r="FJ8" i="4"/>
  <c r="FJ7" i="4"/>
  <c r="FJ9" i="4"/>
  <c r="FK115" i="4"/>
  <c r="FK108" i="4"/>
  <c r="FK116" i="4" s="1"/>
  <c r="FK97" i="4"/>
  <c r="FK113" i="4" s="1"/>
  <c r="FK112" i="4"/>
  <c r="FK91" i="4"/>
  <c r="FK92" i="4" s="1"/>
  <c r="FK96" i="4" s="1"/>
  <c r="FK104" i="4"/>
  <c r="FK102" i="4"/>
  <c r="FK84" i="4"/>
  <c r="FK117" i="4" s="1"/>
  <c r="FL17" i="4"/>
  <c r="FK12" i="4"/>
  <c r="FK13" i="4" s="1"/>
  <c r="FH55" i="4"/>
  <c r="FH50" i="4"/>
  <c r="FI125" i="4"/>
  <c r="FI27" i="4" s="1"/>
  <c r="FI129" i="4"/>
  <c r="FI126" i="4"/>
  <c r="FI130" i="4"/>
  <c r="FI127" i="4"/>
  <c r="FI131" i="4"/>
  <c r="FI128" i="4"/>
  <c r="FH65" i="4"/>
  <c r="FH66" i="4"/>
  <c r="FH60" i="4"/>
  <c r="FH61" i="4"/>
  <c r="FH64" i="4"/>
  <c r="FH62" i="4"/>
  <c r="FH71" i="4"/>
  <c r="FH63" i="4"/>
  <c r="FJ106" i="4" l="1"/>
  <c r="FJ82" i="4" s="1"/>
  <c r="FJ6" i="4"/>
  <c r="FI70" i="4"/>
  <c r="FI69" i="4"/>
  <c r="FK95" i="4"/>
  <c r="FK81" i="4" s="1"/>
  <c r="FK15" i="4"/>
  <c r="FK16" i="4" s="1"/>
  <c r="FK9" i="4"/>
  <c r="FL5" i="4"/>
  <c r="FK8" i="4"/>
  <c r="FK7" i="4"/>
  <c r="FK6" i="4" s="1"/>
  <c r="FI55" i="4"/>
  <c r="FI50" i="4"/>
  <c r="FJ129" i="4"/>
  <c r="FJ126" i="4"/>
  <c r="FJ130" i="4"/>
  <c r="FJ127" i="4"/>
  <c r="FJ131" i="4"/>
  <c r="FJ128" i="4"/>
  <c r="FJ125" i="4"/>
  <c r="FJ27" i="4" s="1"/>
  <c r="FK114" i="4"/>
  <c r="FK118" i="4" s="1"/>
  <c r="FK119" i="4" s="1"/>
  <c r="FK103" i="4"/>
  <c r="FK107" i="4" s="1"/>
  <c r="FH67" i="4"/>
  <c r="FL115" i="4"/>
  <c r="FL97" i="4"/>
  <c r="FL113" i="4" s="1"/>
  <c r="FL91" i="4"/>
  <c r="FL92" i="4" s="1"/>
  <c r="FL96" i="4" s="1"/>
  <c r="FL112" i="4"/>
  <c r="FL104" i="4"/>
  <c r="FL102" i="4"/>
  <c r="FL108" i="4"/>
  <c r="FL116" i="4" s="1"/>
  <c r="FL84" i="4"/>
  <c r="FL117" i="4" s="1"/>
  <c r="FL12" i="4"/>
  <c r="FL13" i="4" s="1"/>
  <c r="FM17" i="4"/>
  <c r="FI57" i="4"/>
  <c r="FI34" i="4"/>
  <c r="FI28" i="4"/>
  <c r="FI39" i="4"/>
  <c r="FI60" i="4"/>
  <c r="FI61" i="4"/>
  <c r="FI66" i="4"/>
  <c r="FI65" i="4"/>
  <c r="FI71" i="4"/>
  <c r="FI64" i="4"/>
  <c r="FI63" i="4"/>
  <c r="FI62" i="4"/>
  <c r="FK106" i="4" l="1"/>
  <c r="FK82" i="4" s="1"/>
  <c r="FJ57" i="4"/>
  <c r="FJ34" i="4"/>
  <c r="FJ28" i="4"/>
  <c r="FJ39" i="4"/>
  <c r="FL114" i="4"/>
  <c r="FL118" i="4" s="1"/>
  <c r="FL119" i="4" s="1"/>
  <c r="FL103" i="4"/>
  <c r="FL107" i="4" s="1"/>
  <c r="FJ61" i="4"/>
  <c r="FJ65" i="4"/>
  <c r="FJ66" i="4"/>
  <c r="FJ60" i="4"/>
  <c r="FJ63" i="4"/>
  <c r="FJ71" i="4"/>
  <c r="FJ62" i="4"/>
  <c r="FJ64" i="4"/>
  <c r="FL95" i="4"/>
  <c r="FL81" i="4" s="1"/>
  <c r="FL15" i="4"/>
  <c r="FL16" i="4" s="1"/>
  <c r="FM5" i="4"/>
  <c r="FL8" i="4"/>
  <c r="FL7" i="4"/>
  <c r="FL9" i="4"/>
  <c r="FI67" i="4"/>
  <c r="FJ70" i="4"/>
  <c r="FJ69" i="4"/>
  <c r="FM108" i="4"/>
  <c r="FM116" i="4" s="1"/>
  <c r="FM104" i="4"/>
  <c r="FM102" i="4"/>
  <c r="FM112" i="4"/>
  <c r="FM91" i="4"/>
  <c r="FM92" i="4" s="1"/>
  <c r="FM96" i="4" s="1"/>
  <c r="FM97" i="4"/>
  <c r="FM113" i="4" s="1"/>
  <c r="FM115" i="4"/>
  <c r="FM84" i="4"/>
  <c r="FM117" i="4" s="1"/>
  <c r="FM12" i="4"/>
  <c r="FM13" i="4" s="1"/>
  <c r="FN17" i="4"/>
  <c r="FJ55" i="4"/>
  <c r="FJ50" i="4"/>
  <c r="FK129" i="4"/>
  <c r="FK128" i="4"/>
  <c r="FK130" i="4"/>
  <c r="FK127" i="4"/>
  <c r="FK131" i="4"/>
  <c r="FK125" i="4"/>
  <c r="FK27" i="4" s="1"/>
  <c r="FK126" i="4"/>
  <c r="FL128" i="4" l="1"/>
  <c r="FL130" i="4"/>
  <c r="FL127" i="4"/>
  <c r="FL131" i="4"/>
  <c r="FL125" i="4"/>
  <c r="FL27" i="4" s="1"/>
  <c r="FL126" i="4"/>
  <c r="FL129" i="4"/>
  <c r="FM114" i="4"/>
  <c r="FM118" i="4" s="1"/>
  <c r="FM119" i="4" s="1"/>
  <c r="FM103" i="4"/>
  <c r="FM107" i="4" s="1"/>
  <c r="FL106" i="4"/>
  <c r="FL82" i="4" s="1"/>
  <c r="FK55" i="4"/>
  <c r="FK50" i="4"/>
  <c r="FK57" i="4"/>
  <c r="FK34" i="4"/>
  <c r="FK28" i="4"/>
  <c r="FK39" i="4"/>
  <c r="FN97" i="4"/>
  <c r="FN113" i="4" s="1"/>
  <c r="FN104" i="4"/>
  <c r="FN115" i="4"/>
  <c r="FN91" i="4"/>
  <c r="FN92" i="4" s="1"/>
  <c r="FN96" i="4" s="1"/>
  <c r="FN102" i="4"/>
  <c r="FN112" i="4"/>
  <c r="FN84" i="4"/>
  <c r="FN117" i="4" s="1"/>
  <c r="FN108" i="4"/>
  <c r="FN116" i="4" s="1"/>
  <c r="FN12" i="4"/>
  <c r="FN13" i="4" s="1"/>
  <c r="FO17" i="4"/>
  <c r="FJ67" i="4"/>
  <c r="FM95" i="4"/>
  <c r="FM81" i="4" s="1"/>
  <c r="FM15" i="4"/>
  <c r="FM16" i="4" s="1"/>
  <c r="FM8" i="4"/>
  <c r="FM7" i="4"/>
  <c r="FM9" i="4"/>
  <c r="FN5" i="4"/>
  <c r="FK65" i="4"/>
  <c r="FK66" i="4"/>
  <c r="FK60" i="4"/>
  <c r="FK61" i="4"/>
  <c r="FK64" i="4"/>
  <c r="FK62" i="4"/>
  <c r="FK71" i="4"/>
  <c r="FK63" i="4"/>
  <c r="FK70" i="4"/>
  <c r="FK69" i="4"/>
  <c r="FL6" i="4"/>
  <c r="FM6" i="4" l="1"/>
  <c r="FM106" i="4"/>
  <c r="FM82" i="4" s="1"/>
  <c r="FL57" i="4"/>
  <c r="FL28" i="4"/>
  <c r="FL34" i="4"/>
  <c r="FL39" i="4"/>
  <c r="FN95" i="4"/>
  <c r="FN81" i="4" s="1"/>
  <c r="FN8" i="4"/>
  <c r="FN15" i="4"/>
  <c r="FN16" i="4" s="1"/>
  <c r="FN7" i="4"/>
  <c r="FO5" i="4"/>
  <c r="FN9" i="4"/>
  <c r="FL61" i="4"/>
  <c r="FL65" i="4"/>
  <c r="FL60" i="4"/>
  <c r="FL66" i="4"/>
  <c r="FL62" i="4"/>
  <c r="FL71" i="4"/>
  <c r="FL63" i="4"/>
  <c r="FL64" i="4"/>
  <c r="FN114" i="4"/>
  <c r="FN118" i="4" s="1"/>
  <c r="FN119" i="4" s="1"/>
  <c r="FN103" i="4"/>
  <c r="FN107" i="4" s="1"/>
  <c r="FL70" i="4"/>
  <c r="FL69" i="4"/>
  <c r="FO104" i="4"/>
  <c r="FO84" i="4"/>
  <c r="FO117" i="4" s="1"/>
  <c r="FO112" i="4"/>
  <c r="FO91" i="4"/>
  <c r="FO92" i="4" s="1"/>
  <c r="FO96" i="4" s="1"/>
  <c r="FO102" i="4"/>
  <c r="FO97" i="4"/>
  <c r="FO113" i="4" s="1"/>
  <c r="FO108" i="4"/>
  <c r="FO116" i="4" s="1"/>
  <c r="FO115" i="4"/>
  <c r="FO12" i="4"/>
  <c r="FO13" i="4" s="1"/>
  <c r="FP17" i="4"/>
  <c r="FK67" i="4"/>
  <c r="FM128" i="4"/>
  <c r="FM127" i="4"/>
  <c r="FM131" i="4"/>
  <c r="FM125" i="4"/>
  <c r="FM27" i="4" s="1"/>
  <c r="FM126" i="4"/>
  <c r="FM130" i="4"/>
  <c r="FM129" i="4"/>
  <c r="FL55" i="4"/>
  <c r="FL50" i="4"/>
  <c r="FN106" i="4" l="1"/>
  <c r="FN82" i="4" s="1"/>
  <c r="FM57" i="4"/>
  <c r="FM28" i="4"/>
  <c r="FM34" i="4"/>
  <c r="FM39" i="4"/>
  <c r="FO114" i="4"/>
  <c r="FO118" i="4" s="1"/>
  <c r="FO119" i="4" s="1"/>
  <c r="FO103" i="4"/>
  <c r="FO107" i="4" s="1"/>
  <c r="FP115" i="4"/>
  <c r="FP104" i="4"/>
  <c r="FP84" i="4"/>
  <c r="FP117" i="4" s="1"/>
  <c r="FP91" i="4"/>
  <c r="FP92" i="4" s="1"/>
  <c r="FP96" i="4" s="1"/>
  <c r="FP102" i="4"/>
  <c r="FP97" i="4"/>
  <c r="FP113" i="4" s="1"/>
  <c r="FP112" i="4"/>
  <c r="FP108" i="4"/>
  <c r="FP116" i="4" s="1"/>
  <c r="FP12" i="4"/>
  <c r="FP13" i="4" s="1"/>
  <c r="FQ17" i="4"/>
  <c r="FM55" i="4"/>
  <c r="FM50" i="4"/>
  <c r="FL67" i="4"/>
  <c r="FM70" i="4"/>
  <c r="FM69" i="4"/>
  <c r="FM65" i="4"/>
  <c r="FM61" i="4"/>
  <c r="FM60" i="4"/>
  <c r="FM66" i="4"/>
  <c r="FM71" i="4"/>
  <c r="FM64" i="4"/>
  <c r="FM62" i="4"/>
  <c r="FM63" i="4"/>
  <c r="FO95" i="4"/>
  <c r="FO81" i="4" s="1"/>
  <c r="FO15" i="4"/>
  <c r="FO16" i="4" s="1"/>
  <c r="FO8" i="4"/>
  <c r="FO7" i="4"/>
  <c r="FO6" i="4" s="1"/>
  <c r="FO9" i="4"/>
  <c r="FP5" i="4"/>
  <c r="FN128" i="4"/>
  <c r="FN127" i="4"/>
  <c r="FN131" i="4"/>
  <c r="FN125" i="4"/>
  <c r="FN27" i="4" s="1"/>
  <c r="FN126" i="4"/>
  <c r="FN130" i="4"/>
  <c r="FN129" i="4"/>
  <c r="FN6" i="4"/>
  <c r="FO106" i="4" l="1"/>
  <c r="FO82" i="4" s="1"/>
  <c r="FN57" i="4"/>
  <c r="FN34" i="4"/>
  <c r="FN28" i="4"/>
  <c r="FN39" i="4"/>
  <c r="FQ115" i="4"/>
  <c r="FQ104" i="4"/>
  <c r="FQ84" i="4"/>
  <c r="FQ117" i="4" s="1"/>
  <c r="FQ91" i="4"/>
  <c r="FQ92" i="4" s="1"/>
  <c r="FQ96" i="4" s="1"/>
  <c r="FQ102" i="4"/>
  <c r="FQ97" i="4"/>
  <c r="FQ113" i="4" s="1"/>
  <c r="FQ112" i="4"/>
  <c r="FQ108" i="4"/>
  <c r="FQ116" i="4" s="1"/>
  <c r="FQ12" i="4"/>
  <c r="FQ13" i="4" s="1"/>
  <c r="FR17" i="4"/>
  <c r="FO127" i="4"/>
  <c r="FO131" i="4"/>
  <c r="FO128" i="4"/>
  <c r="FO125" i="4"/>
  <c r="FO27" i="4" s="1"/>
  <c r="FO126" i="4"/>
  <c r="FO130" i="4"/>
  <c r="FO129" i="4"/>
  <c r="FP114" i="4"/>
  <c r="FP118" i="4" s="1"/>
  <c r="FP119" i="4" s="1"/>
  <c r="FP103" i="4"/>
  <c r="FP107" i="4" s="1"/>
  <c r="FN70" i="4"/>
  <c r="FN69" i="4"/>
  <c r="FN55" i="4"/>
  <c r="FN50" i="4"/>
  <c r="FN60" i="4"/>
  <c r="FN66" i="4"/>
  <c r="FN65" i="4"/>
  <c r="FN61" i="4"/>
  <c r="FN62" i="4"/>
  <c r="FN64" i="4"/>
  <c r="FN63" i="4"/>
  <c r="FN71" i="4"/>
  <c r="FM67" i="4"/>
  <c r="FP95" i="4"/>
  <c r="FP81" i="4" s="1"/>
  <c r="FP15" i="4"/>
  <c r="FP16" i="4" s="1"/>
  <c r="FP7" i="4"/>
  <c r="FP8" i="4"/>
  <c r="FQ5" i="4"/>
  <c r="FP9" i="4"/>
  <c r="FR112" i="4" l="1"/>
  <c r="FR115" i="4"/>
  <c r="FR104" i="4"/>
  <c r="FR84" i="4"/>
  <c r="FR117" i="4" s="1"/>
  <c r="FR91" i="4"/>
  <c r="FR92" i="4" s="1"/>
  <c r="FR96" i="4" s="1"/>
  <c r="FR97" i="4"/>
  <c r="FR113" i="4" s="1"/>
  <c r="FR102" i="4"/>
  <c r="FR108" i="4"/>
  <c r="FR116" i="4" s="1"/>
  <c r="FR12" i="4"/>
  <c r="FR13" i="4" s="1"/>
  <c r="FS17" i="4"/>
  <c r="FQ95" i="4"/>
  <c r="FQ81" i="4" s="1"/>
  <c r="FQ9" i="4"/>
  <c r="FR5" i="4"/>
  <c r="FQ8" i="4"/>
  <c r="FQ15" i="4"/>
  <c r="FQ16" i="4" s="1"/>
  <c r="FQ7" i="4"/>
  <c r="FP6" i="4"/>
  <c r="FO55" i="4"/>
  <c r="FO50" i="4"/>
  <c r="FQ114" i="4"/>
  <c r="FQ118" i="4" s="1"/>
  <c r="FQ119" i="4" s="1"/>
  <c r="FQ103" i="4"/>
  <c r="FQ107" i="4" s="1"/>
  <c r="FO57" i="4"/>
  <c r="FO34" i="4"/>
  <c r="FO28" i="4"/>
  <c r="FO39" i="4"/>
  <c r="FN67" i="4"/>
  <c r="FO70" i="4"/>
  <c r="FO69" i="4"/>
  <c r="FO60" i="4"/>
  <c r="FO66" i="4"/>
  <c r="FO61" i="4"/>
  <c r="FO65" i="4"/>
  <c r="FO63" i="4"/>
  <c r="FO71" i="4"/>
  <c r="FO64" i="4"/>
  <c r="FO62" i="4"/>
  <c r="FP127" i="4"/>
  <c r="FP131" i="4"/>
  <c r="FP128" i="4"/>
  <c r="FP126" i="4"/>
  <c r="FP125" i="4"/>
  <c r="FP27" i="4" s="1"/>
  <c r="FP130" i="4"/>
  <c r="FP129" i="4"/>
  <c r="FP106" i="4"/>
  <c r="FP82" i="4" s="1"/>
  <c r="FQ6" i="4" l="1"/>
  <c r="FR114" i="4"/>
  <c r="FR118" i="4" s="1"/>
  <c r="FR119" i="4" s="1"/>
  <c r="FR103" i="4"/>
  <c r="FR107" i="4" s="1"/>
  <c r="FQ127" i="4"/>
  <c r="FQ131" i="4"/>
  <c r="FQ126" i="4"/>
  <c r="FQ128" i="4"/>
  <c r="FQ125" i="4"/>
  <c r="FQ27" i="4" s="1"/>
  <c r="FQ129" i="4"/>
  <c r="FQ130" i="4"/>
  <c r="FO67" i="4"/>
  <c r="FP57" i="4"/>
  <c r="FP34" i="4"/>
  <c r="FP28" i="4"/>
  <c r="FP39" i="4"/>
  <c r="FQ106" i="4"/>
  <c r="FQ82" i="4" s="1"/>
  <c r="FR95" i="4"/>
  <c r="FR81" i="4" s="1"/>
  <c r="FR15" i="4"/>
  <c r="FR16" i="4" s="1"/>
  <c r="FR9" i="4"/>
  <c r="FR8" i="4"/>
  <c r="FR7" i="4"/>
  <c r="FR6" i="4" s="1"/>
  <c r="FS5" i="4"/>
  <c r="FP70" i="4"/>
  <c r="FP69" i="4"/>
  <c r="FP60" i="4"/>
  <c r="FP66" i="4"/>
  <c r="FP61" i="4"/>
  <c r="FP65" i="4"/>
  <c r="FP71" i="4"/>
  <c r="FP64" i="4"/>
  <c r="FP63" i="4"/>
  <c r="FP62" i="4"/>
  <c r="FS115" i="4"/>
  <c r="FS104" i="4"/>
  <c r="C104" i="4" s="1"/>
  <c r="FS112" i="4"/>
  <c r="FS84" i="4"/>
  <c r="FS117" i="4" s="1"/>
  <c r="FS91" i="4"/>
  <c r="FS97" i="4"/>
  <c r="FS108" i="4"/>
  <c r="FS102" i="4"/>
  <c r="FS12" i="4"/>
  <c r="FS13" i="4" s="1"/>
  <c r="FP55" i="4"/>
  <c r="FP50" i="4"/>
  <c r="FR106" i="4" l="1"/>
  <c r="FR82" i="4" s="1"/>
  <c r="K24" i="1"/>
  <c r="J51" i="1"/>
  <c r="K54" i="1"/>
  <c r="J34" i="1"/>
  <c r="K28" i="1"/>
  <c r="K25" i="1"/>
  <c r="K53" i="1"/>
  <c r="L32" i="1"/>
  <c r="K26" i="1"/>
  <c r="J52" i="1"/>
  <c r="K55" i="1"/>
  <c r="J54" i="1"/>
  <c r="J26" i="1"/>
  <c r="L55" i="1"/>
  <c r="L52" i="1"/>
  <c r="K33" i="1"/>
  <c r="K35" i="1"/>
  <c r="K51" i="1"/>
  <c r="L40" i="1"/>
  <c r="J40" i="1"/>
  <c r="M33" i="1"/>
  <c r="J27" i="1"/>
  <c r="L11" i="1"/>
  <c r="M52" i="1"/>
  <c r="K15" i="1"/>
  <c r="K40" i="1"/>
  <c r="K34" i="1"/>
  <c r="L23" i="1"/>
  <c r="K29" i="1"/>
  <c r="M34" i="1"/>
  <c r="M53" i="1"/>
  <c r="J28" i="1"/>
  <c r="J23" i="1"/>
  <c r="L24" i="1"/>
  <c r="O51" i="1"/>
  <c r="J33" i="1"/>
  <c r="N32" i="1"/>
  <c r="J25" i="1"/>
  <c r="N26" i="1"/>
  <c r="L28" i="1"/>
  <c r="L54" i="1"/>
  <c r="N35" i="1"/>
  <c r="K27" i="1"/>
  <c r="K11" i="1"/>
  <c r="K52" i="1"/>
  <c r="K23" i="1"/>
  <c r="L34" i="1"/>
  <c r="J32" i="1"/>
  <c r="J35" i="1"/>
  <c r="L15" i="1"/>
  <c r="J24" i="1"/>
  <c r="J55" i="1"/>
  <c r="L51" i="1"/>
  <c r="K32" i="1"/>
  <c r="M15" i="1"/>
  <c r="N11" i="1"/>
  <c r="M51" i="1"/>
  <c r="L53" i="1"/>
  <c r="N15" i="1"/>
  <c r="L33" i="1"/>
  <c r="O33" i="1"/>
  <c r="M23" i="1"/>
  <c r="M24" i="1"/>
  <c r="M25" i="1"/>
  <c r="J29" i="1"/>
  <c r="O27" i="1"/>
  <c r="L27" i="1"/>
  <c r="M11" i="1"/>
  <c r="L35" i="1"/>
  <c r="N29" i="1"/>
  <c r="M55" i="1"/>
  <c r="M28" i="1"/>
  <c r="M29" i="1"/>
  <c r="O34" i="1"/>
  <c r="N23" i="1"/>
  <c r="L29" i="1"/>
  <c r="N27" i="1"/>
  <c r="N40" i="1"/>
  <c r="L26" i="1"/>
  <c r="N34" i="1"/>
  <c r="M32" i="1"/>
  <c r="M35" i="1"/>
  <c r="M27" i="1"/>
  <c r="L25" i="1"/>
  <c r="M26" i="1"/>
  <c r="M40" i="1"/>
  <c r="N53" i="1"/>
  <c r="N55" i="1"/>
  <c r="N33" i="1"/>
  <c r="O28" i="1"/>
  <c r="O11" i="1"/>
  <c r="N28" i="1"/>
  <c r="N25" i="1"/>
  <c r="N24" i="1"/>
  <c r="N51" i="1"/>
  <c r="P56" i="1"/>
  <c r="O15" i="1"/>
  <c r="O24" i="1"/>
  <c r="P29" i="1"/>
  <c r="Q56" i="1"/>
  <c r="P32" i="1"/>
  <c r="O40" i="1"/>
  <c r="O52" i="1"/>
  <c r="O29" i="1"/>
  <c r="P11" i="1"/>
  <c r="P25" i="1"/>
  <c r="P28" i="1"/>
  <c r="O25" i="1"/>
  <c r="O53" i="1"/>
  <c r="P35" i="1"/>
  <c r="O23" i="1"/>
  <c r="P24" i="1"/>
  <c r="O26" i="1"/>
  <c r="P55" i="1"/>
  <c r="O55" i="1"/>
  <c r="N52" i="1"/>
  <c r="P53" i="1"/>
  <c r="O35" i="1"/>
  <c r="O32" i="1"/>
  <c r="P34" i="1"/>
  <c r="P27" i="1"/>
  <c r="Q32" i="1"/>
  <c r="P52" i="1"/>
  <c r="Q28" i="1"/>
  <c r="P51" i="1"/>
  <c r="R43" i="1"/>
  <c r="R46" i="1" s="1"/>
  <c r="Q51" i="1"/>
  <c r="Q29" i="1"/>
  <c r="P23" i="1"/>
  <c r="P26" i="1"/>
  <c r="R34" i="1"/>
  <c r="P54" i="1"/>
  <c r="Q23" i="1"/>
  <c r="Q52" i="1"/>
  <c r="Q26" i="1"/>
  <c r="R11" i="1"/>
  <c r="Q15" i="1"/>
  <c r="R29" i="1"/>
  <c r="P40" i="1"/>
  <c r="Q33" i="1"/>
  <c r="R51" i="1"/>
  <c r="P43" i="1"/>
  <c r="P46" i="1" s="1"/>
  <c r="P33" i="1"/>
  <c r="R52" i="1"/>
  <c r="P15" i="1"/>
  <c r="Q40" i="1"/>
  <c r="Q53" i="1"/>
  <c r="Q35" i="1"/>
  <c r="R23" i="1"/>
  <c r="Q11" i="1"/>
  <c r="R55" i="1"/>
  <c r="R53" i="1"/>
  <c r="Q34" i="1"/>
  <c r="R40" i="1"/>
  <c r="R35" i="1"/>
  <c r="Q43" i="1"/>
  <c r="Q46" i="1" s="1"/>
  <c r="R26" i="1"/>
  <c r="R54" i="1"/>
  <c r="Q27" i="1"/>
  <c r="R28" i="1"/>
  <c r="R56" i="1"/>
  <c r="R27" i="1"/>
  <c r="Q24" i="1"/>
  <c r="R15" i="1"/>
  <c r="R25" i="1"/>
  <c r="S35" i="1"/>
  <c r="S28" i="1"/>
  <c r="R24" i="1"/>
  <c r="R33" i="1"/>
  <c r="Q25" i="1"/>
  <c r="S56" i="1"/>
  <c r="Q54" i="1"/>
  <c r="S55" i="1"/>
  <c r="R32" i="1"/>
  <c r="Q55" i="1"/>
  <c r="S33" i="1"/>
  <c r="S40" i="1"/>
  <c r="S52" i="1"/>
  <c r="S51" i="1"/>
  <c r="S53" i="1"/>
  <c r="S32" i="1"/>
  <c r="S26" i="1"/>
  <c r="S29" i="1"/>
  <c r="S43" i="1"/>
  <c r="S46" i="1" s="1"/>
  <c r="S27" i="1"/>
  <c r="S34" i="1"/>
  <c r="S54" i="1"/>
  <c r="S11" i="1"/>
  <c r="S24" i="1"/>
  <c r="S23" i="1"/>
  <c r="S25" i="1"/>
  <c r="S15" i="1"/>
  <c r="FQ57" i="4"/>
  <c r="FQ34" i="4"/>
  <c r="FQ28" i="4"/>
  <c r="FQ39" i="4"/>
  <c r="FS9" i="4"/>
  <c r="FS7" i="4"/>
  <c r="FS8" i="4"/>
  <c r="FS15" i="4"/>
  <c r="FS16" i="4" s="1"/>
  <c r="FR131" i="4"/>
  <c r="FR126" i="4"/>
  <c r="FR128" i="4"/>
  <c r="FR125" i="4"/>
  <c r="FR27" i="4" s="1"/>
  <c r="FR129" i="4"/>
  <c r="FR130" i="4"/>
  <c r="FR127" i="4"/>
  <c r="FQ55" i="4"/>
  <c r="FQ50" i="4"/>
  <c r="FS113" i="4"/>
  <c r="C113" i="4" s="1"/>
  <c r="C97" i="4"/>
  <c r="C112" i="4"/>
  <c r="FQ70" i="4"/>
  <c r="FQ69" i="4"/>
  <c r="FP67" i="4"/>
  <c r="FS92" i="4"/>
  <c r="FS96" i="4" s="1"/>
  <c r="C91" i="4"/>
  <c r="FQ66" i="4"/>
  <c r="FQ60" i="4"/>
  <c r="FQ65" i="4"/>
  <c r="FQ61" i="4"/>
  <c r="FQ71" i="4"/>
  <c r="FQ62" i="4"/>
  <c r="FQ63" i="4"/>
  <c r="FQ64" i="4"/>
  <c r="FS103" i="4"/>
  <c r="FS107" i="4" s="1"/>
  <c r="FS114" i="4"/>
  <c r="C102" i="4"/>
  <c r="FS116" i="4"/>
  <c r="C116" i="4" s="1"/>
  <c r="C108" i="4"/>
  <c r="FS118" i="4" l="1"/>
  <c r="FS119" i="4" s="1"/>
  <c r="FS95" i="4"/>
  <c r="FS81" i="4" s="1"/>
  <c r="FS106" i="4"/>
  <c r="FS82" i="4" s="1"/>
  <c r="FR61" i="4"/>
  <c r="FR65" i="4"/>
  <c r="FR66" i="4"/>
  <c r="FR60" i="4"/>
  <c r="FR71" i="4"/>
  <c r="FR64" i="4"/>
  <c r="FR63" i="4"/>
  <c r="FR62" i="4"/>
  <c r="Q8" i="1"/>
  <c r="Q9" i="1" s="1"/>
  <c r="R57" i="1"/>
  <c r="FR70" i="4"/>
  <c r="FR69" i="4"/>
  <c r="P8" i="1"/>
  <c r="P9" i="1" s="1"/>
  <c r="O8" i="1"/>
  <c r="O9" i="1" s="1"/>
  <c r="FR57" i="4"/>
  <c r="FR34" i="4"/>
  <c r="FR28" i="4"/>
  <c r="FR39" i="4"/>
  <c r="Q57" i="1"/>
  <c r="FR55" i="4"/>
  <c r="FR50" i="4"/>
  <c r="P57" i="1"/>
  <c r="M8" i="1"/>
  <c r="M9" i="1" s="1"/>
  <c r="H51" i="1"/>
  <c r="H55" i="1"/>
  <c r="H52" i="1"/>
  <c r="C95" i="4"/>
  <c r="S57" i="1"/>
  <c r="FS131" i="4"/>
  <c r="FS126" i="4"/>
  <c r="FS130" i="4"/>
  <c r="FS128" i="4"/>
  <c r="FS125" i="4"/>
  <c r="FS27" i="4" s="1"/>
  <c r="FS129" i="4"/>
  <c r="FS127" i="4"/>
  <c r="R8" i="1"/>
  <c r="R9" i="1" s="1"/>
  <c r="N8" i="1"/>
  <c r="N9" i="1" s="1"/>
  <c r="L8" i="1"/>
  <c r="L9" i="1" s="1"/>
  <c r="FS6" i="4"/>
  <c r="S8" i="1"/>
  <c r="S9" i="1" s="1"/>
  <c r="FQ67" i="4"/>
  <c r="FT55" i="4"/>
  <c r="FU61" i="4"/>
  <c r="FU60" i="4"/>
  <c r="FU63" i="4"/>
  <c r="FT66" i="4"/>
  <c r="FT47" i="4"/>
  <c r="FT71" i="4"/>
  <c r="FU67" i="4"/>
  <c r="FU55" i="4"/>
  <c r="FT62" i="4"/>
  <c r="FU47" i="4"/>
  <c r="FT69" i="4"/>
  <c r="FT48" i="4"/>
  <c r="FT64" i="4"/>
  <c r="FT72" i="4"/>
  <c r="FU57" i="4"/>
  <c r="FU50" i="4"/>
  <c r="FT63" i="4"/>
  <c r="FT65" i="4"/>
  <c r="FT46" i="4"/>
  <c r="FT67" i="4"/>
  <c r="FU65" i="4"/>
  <c r="FU71" i="4"/>
  <c r="FU69" i="4"/>
  <c r="FT60" i="4"/>
  <c r="FU46" i="4"/>
  <c r="FV62" i="4"/>
  <c r="FT61" i="4"/>
  <c r="FV50" i="4"/>
  <c r="FV69" i="4"/>
  <c r="FU72" i="4"/>
  <c r="FX48" i="4"/>
  <c r="FV64" i="4"/>
  <c r="FV72" i="4"/>
  <c r="FV55" i="4"/>
  <c r="FU48" i="4"/>
  <c r="FV60" i="4"/>
  <c r="FU62" i="4"/>
  <c r="FV63" i="4"/>
  <c r="FV65" i="4"/>
  <c r="FT50" i="4"/>
  <c r="FU64" i="4"/>
  <c r="FV67" i="4"/>
  <c r="FV46" i="4"/>
  <c r="FX62" i="4"/>
  <c r="FX67" i="4"/>
  <c r="FW67" i="4"/>
  <c r="FW63" i="4"/>
  <c r="FX71" i="4"/>
  <c r="FU39" i="4"/>
  <c r="FW48" i="4"/>
  <c r="FX72" i="4"/>
  <c r="FW66" i="4"/>
  <c r="FV39" i="4"/>
  <c r="FW64" i="4"/>
  <c r="FX63" i="4"/>
  <c r="FV66" i="4"/>
  <c r="FX66" i="4"/>
  <c r="FU66" i="4"/>
  <c r="FV48" i="4"/>
  <c r="FW72" i="4"/>
  <c r="FW69" i="4"/>
  <c r="FX55" i="4"/>
  <c r="FX50" i="4"/>
  <c r="FV57" i="4"/>
  <c r="FX64" i="4"/>
  <c r="FX69" i="4"/>
  <c r="FW39" i="4"/>
  <c r="FX65" i="4"/>
  <c r="FX57" i="4"/>
  <c r="FW55" i="4"/>
  <c r="FW65" i="4"/>
  <c r="FW62" i="4"/>
  <c r="FW47" i="4"/>
  <c r="FV71" i="4"/>
  <c r="FW60" i="4"/>
  <c r="FV61" i="4"/>
  <c r="FV47" i="4"/>
  <c r="FW61" i="4"/>
  <c r="FW57" i="4"/>
  <c r="FX61" i="4"/>
  <c r="FW71" i="4"/>
  <c r="FX60" i="4"/>
  <c r="FW46" i="4"/>
  <c r="FX46" i="4"/>
  <c r="FW50" i="4"/>
  <c r="FX47" i="4"/>
  <c r="FX39" i="4"/>
  <c r="C114" i="4"/>
  <c r="J53" i="1"/>
  <c r="H53" i="1" s="1"/>
  <c r="K8" i="1"/>
  <c r="K9" i="1" s="1"/>
  <c r="C106" i="4" l="1"/>
  <c r="FR67" i="4"/>
  <c r="FS60" i="4"/>
  <c r="FS65" i="4"/>
  <c r="FS61" i="4"/>
  <c r="FS66" i="4"/>
  <c r="FS71" i="4"/>
  <c r="FS63" i="4"/>
  <c r="FS64" i="4"/>
  <c r="FS62" i="4"/>
  <c r="FS57" i="4"/>
  <c r="FS34" i="4"/>
  <c r="FS28" i="4"/>
  <c r="FS39" i="4"/>
  <c r="BS115" i="4"/>
  <c r="FS70" i="4"/>
  <c r="FS69" i="4"/>
  <c r="FS55" i="4"/>
  <c r="FS50" i="4"/>
  <c r="O54" i="1" l="1"/>
  <c r="BW21" i="6"/>
  <c r="FS67" i="4"/>
  <c r="BH84" i="4"/>
  <c r="BH117" i="4" s="1"/>
  <c r="BI84" i="4"/>
  <c r="BI117" i="4" s="1"/>
  <c r="BM23" i="6" s="1"/>
  <c r="BM26" i="6" s="1"/>
  <c r="BM27" i="6" s="1"/>
  <c r="BJ84" i="4"/>
  <c r="BJ117" i="4" s="1"/>
  <c r="BK84" i="4"/>
  <c r="BK117" i="4" s="1"/>
  <c r="BA84" i="4"/>
  <c r="BA117" i="4" s="1"/>
  <c r="BB84" i="4"/>
  <c r="BB117" i="4" s="1"/>
  <c r="BC84" i="4"/>
  <c r="BC117" i="4" s="1"/>
  <c r="BD84" i="4"/>
  <c r="BD117" i="4" s="1"/>
  <c r="BE84" i="4"/>
  <c r="BE117" i="4" s="1"/>
  <c r="BF84" i="4"/>
  <c r="BF117" i="4" s="1"/>
  <c r="BG84" i="4"/>
  <c r="BG117" i="4" s="1"/>
  <c r="BL84" i="4"/>
  <c r="BL117" i="4" s="1"/>
  <c r="BP23" i="6" s="1"/>
  <c r="BM84" i="4"/>
  <c r="BN84" i="4"/>
  <c r="BN117" i="4" s="1"/>
  <c r="BO84" i="4"/>
  <c r="BO117" i="4" s="1"/>
  <c r="BP84" i="4"/>
  <c r="BP117" i="4" s="1"/>
  <c r="BQ84" i="4"/>
  <c r="BQ117" i="4" s="1"/>
  <c r="BR84" i="4"/>
  <c r="BR117" i="4" s="1"/>
  <c r="BS84" i="4"/>
  <c r="BS117" i="4" s="1"/>
  <c r="Q23" i="4"/>
  <c r="FT52" i="4"/>
  <c r="FT53" i="4"/>
  <c r="BA118" i="4" l="1"/>
  <c r="BA119" i="4" s="1"/>
  <c r="BE23" i="6"/>
  <c r="BE26" i="6" s="1"/>
  <c r="BE118" i="4"/>
  <c r="BE119" i="4" s="1"/>
  <c r="BI23" i="6"/>
  <c r="BI26" i="6" s="1"/>
  <c r="BI27" i="6" s="1"/>
  <c r="BB118" i="4"/>
  <c r="BB119" i="4" s="1"/>
  <c r="BF23" i="6"/>
  <c r="BF26" i="6" s="1"/>
  <c r="BF27" i="6" s="1"/>
  <c r="BR118" i="4"/>
  <c r="BR119" i="4" s="1"/>
  <c r="BV23" i="6"/>
  <c r="BV26" i="6" s="1"/>
  <c r="BV27" i="6" s="1"/>
  <c r="BO118" i="4"/>
  <c r="BO119" i="4" s="1"/>
  <c r="BS23" i="6"/>
  <c r="BS26" i="6" s="1"/>
  <c r="BS27" i="6" s="1"/>
  <c r="BN118" i="4"/>
  <c r="BN119" i="4" s="1"/>
  <c r="BR23" i="6"/>
  <c r="BR26" i="6" s="1"/>
  <c r="BR27" i="6" s="1"/>
  <c r="BK118" i="4"/>
  <c r="BK119" i="4" s="1"/>
  <c r="BO23" i="6"/>
  <c r="BO26" i="6" s="1"/>
  <c r="BO27" i="6" s="1"/>
  <c r="BP118" i="4"/>
  <c r="BP119" i="4" s="1"/>
  <c r="BT23" i="6"/>
  <c r="BT26" i="6" s="1"/>
  <c r="BT27" i="6" s="1"/>
  <c r="BJ118" i="4"/>
  <c r="BJ119" i="4" s="1"/>
  <c r="BN23" i="6"/>
  <c r="BN26" i="6" s="1"/>
  <c r="BN27" i="6" s="1"/>
  <c r="BC118" i="4"/>
  <c r="BC119" i="4" s="1"/>
  <c r="BG23" i="6"/>
  <c r="BG26" i="6" s="1"/>
  <c r="BG27" i="6" s="1"/>
  <c r="BS118" i="4"/>
  <c r="BS119" i="4" s="1"/>
  <c r="BW23" i="6"/>
  <c r="BW26" i="6" s="1"/>
  <c r="BW27" i="6" s="1"/>
  <c r="BQ118" i="4"/>
  <c r="BQ119" i="4" s="1"/>
  <c r="BU23" i="6"/>
  <c r="BU26" i="6" s="1"/>
  <c r="BU27" i="6" s="1"/>
  <c r="BH118" i="4"/>
  <c r="BH119" i="4" s="1"/>
  <c r="BL23" i="6"/>
  <c r="BL26" i="6" s="1"/>
  <c r="BL27" i="6" s="1"/>
  <c r="BD118" i="4"/>
  <c r="BD119" i="4" s="1"/>
  <c r="BH23" i="6"/>
  <c r="BH26" i="6" s="1"/>
  <c r="BH27" i="6" s="1"/>
  <c r="BG118" i="4"/>
  <c r="BG119" i="4" s="1"/>
  <c r="BK23" i="6"/>
  <c r="BK26" i="6" s="1"/>
  <c r="BK27" i="6" s="1"/>
  <c r="BF118" i="4"/>
  <c r="BF119" i="4" s="1"/>
  <c r="BJ23" i="6"/>
  <c r="BJ26" i="6" s="1"/>
  <c r="BJ27" i="6" s="1"/>
  <c r="BM117" i="4"/>
  <c r="BQ23" i="6" s="1"/>
  <c r="BQ26" i="6" s="1"/>
  <c r="O43" i="1"/>
  <c r="O46" i="1" s="1"/>
  <c r="N43" i="1"/>
  <c r="N46" i="1" s="1"/>
  <c r="R23" i="4"/>
  <c r="BI118" i="4"/>
  <c r="BI119" i="4" s="1"/>
  <c r="N56" i="1"/>
  <c r="BQ27" i="6" l="1"/>
  <c r="BE27" i="6"/>
  <c r="BM118" i="4"/>
  <c r="BM119" i="4" s="1"/>
  <c r="O56" i="1"/>
  <c r="O57" i="1" s="1"/>
  <c r="R41" i="4"/>
  <c r="S23" i="4"/>
  <c r="R52" i="4"/>
  <c r="R53" i="4"/>
  <c r="R31" i="4"/>
  <c r="Q10" i="4"/>
  <c r="Q11" i="4"/>
  <c r="R10" i="4" l="1"/>
  <c r="R11" i="4"/>
  <c r="R51" i="4"/>
  <c r="R54" i="4"/>
  <c r="R49" i="4"/>
  <c r="S31" i="4"/>
  <c r="S41" i="4"/>
  <c r="T23" i="4"/>
  <c r="S52" i="4"/>
  <c r="S53" i="4"/>
  <c r="R56" i="4" l="1"/>
  <c r="T41" i="4"/>
  <c r="T52" i="4"/>
  <c r="T53" i="4"/>
  <c r="U23" i="4"/>
  <c r="T31" i="4"/>
  <c r="S10" i="4"/>
  <c r="S49" i="4"/>
  <c r="S11" i="4"/>
  <c r="S54" i="4"/>
  <c r="S51" i="4"/>
  <c r="S56" i="4" l="1"/>
  <c r="T10" i="4"/>
  <c r="T11" i="4"/>
  <c r="T51" i="4"/>
  <c r="T54" i="4"/>
  <c r="T49" i="4"/>
  <c r="V23" i="4"/>
  <c r="U53" i="4"/>
  <c r="U41" i="4"/>
  <c r="U52" i="4"/>
  <c r="U31" i="4"/>
  <c r="T56" i="4" l="1"/>
  <c r="U10" i="4"/>
  <c r="U49" i="4"/>
  <c r="U11" i="4"/>
  <c r="U51" i="4"/>
  <c r="U54" i="4"/>
  <c r="V53" i="4"/>
  <c r="W23" i="4"/>
  <c r="V31" i="4"/>
  <c r="V41" i="4"/>
  <c r="V52" i="4"/>
  <c r="V10" i="4" l="1"/>
  <c r="V49" i="4"/>
  <c r="V54" i="4"/>
  <c r="V51" i="4"/>
  <c r="V11" i="4"/>
  <c r="W52" i="4"/>
  <c r="W53" i="4"/>
  <c r="X23" i="4"/>
  <c r="W31" i="4"/>
  <c r="W41" i="4"/>
  <c r="U56" i="4"/>
  <c r="Y23" i="4" l="1"/>
  <c r="X31" i="4"/>
  <c r="X53" i="4"/>
  <c r="X52" i="4"/>
  <c r="X41" i="4"/>
  <c r="V56" i="4"/>
  <c r="W10" i="4"/>
  <c r="W49" i="4"/>
  <c r="W54" i="4"/>
  <c r="W51" i="4"/>
  <c r="W11" i="4"/>
  <c r="X11" i="4" l="1"/>
  <c r="X49" i="4"/>
  <c r="X10" i="4"/>
  <c r="X51" i="4"/>
  <c r="X54" i="4"/>
  <c r="Y41" i="4"/>
  <c r="Z23" i="4"/>
  <c r="Y52" i="4"/>
  <c r="Y53" i="4"/>
  <c r="Y31" i="4"/>
  <c r="W56" i="4"/>
  <c r="Y11" i="4" l="1"/>
  <c r="Y10" i="4"/>
  <c r="Y49" i="4"/>
  <c r="Y51" i="4"/>
  <c r="Y54" i="4"/>
  <c r="Y44" i="4"/>
  <c r="X56" i="4"/>
  <c r="AA23" i="4"/>
  <c r="Z31" i="4"/>
  <c r="Z41" i="4"/>
  <c r="Z52" i="4"/>
  <c r="Z53" i="4"/>
  <c r="Z11" i="4" l="1"/>
  <c r="Z10" i="4"/>
  <c r="Z51" i="4"/>
  <c r="Z49" i="4"/>
  <c r="Z54" i="4"/>
  <c r="Z44" i="4"/>
  <c r="AB23" i="4"/>
  <c r="AA31" i="4"/>
  <c r="AA53" i="4"/>
  <c r="AA41" i="4"/>
  <c r="AA52" i="4"/>
  <c r="Y56" i="4"/>
  <c r="AA11" i="4" l="1"/>
  <c r="AA49" i="4"/>
  <c r="AA51" i="4"/>
  <c r="AA54" i="4"/>
  <c r="AA44" i="4"/>
  <c r="AA10" i="4"/>
  <c r="AB41" i="4"/>
  <c r="AB31" i="4"/>
  <c r="AC23" i="4"/>
  <c r="AB52" i="4"/>
  <c r="AB53" i="4"/>
  <c r="Z56" i="4"/>
  <c r="AD23" i="4" l="1"/>
  <c r="AC31" i="4"/>
  <c r="AC41" i="4"/>
  <c r="AC52" i="4"/>
  <c r="AC53" i="4"/>
  <c r="AB11" i="4"/>
  <c r="AB54" i="4"/>
  <c r="AB49" i="4"/>
  <c r="AB51" i="4"/>
  <c r="AB44" i="4"/>
  <c r="AB10" i="4"/>
  <c r="AA56" i="4"/>
  <c r="AC11" i="4" l="1"/>
  <c r="AC44" i="4"/>
  <c r="AC51" i="4"/>
  <c r="AC49" i="4"/>
  <c r="AC54" i="4"/>
  <c r="AC10" i="4"/>
  <c r="AB56" i="4"/>
  <c r="AE23" i="4"/>
  <c r="AD31" i="4"/>
  <c r="AD41" i="4"/>
  <c r="AD52" i="4"/>
  <c r="AD53" i="4"/>
  <c r="AC56" i="4" l="1"/>
  <c r="AD11" i="4"/>
  <c r="AD10" i="4"/>
  <c r="AD44" i="4"/>
  <c r="AD54" i="4"/>
  <c r="AD49" i="4"/>
  <c r="AD51" i="4"/>
  <c r="AF23" i="4"/>
  <c r="AE31" i="4"/>
  <c r="AE53" i="4"/>
  <c r="AE52" i="4"/>
  <c r="AE41" i="4"/>
  <c r="AD56" i="4" l="1"/>
  <c r="AG23" i="4"/>
  <c r="AF31" i="4"/>
  <c r="AF41" i="4"/>
  <c r="AF52" i="4"/>
  <c r="AF53" i="4"/>
  <c r="AE10" i="4"/>
  <c r="AE54" i="4"/>
  <c r="AE49" i="4"/>
  <c r="AE11" i="4"/>
  <c r="AE44" i="4"/>
  <c r="AE51" i="4"/>
  <c r="AF10" i="4" l="1"/>
  <c r="AF44" i="4"/>
  <c r="AF11" i="4"/>
  <c r="AF49" i="4"/>
  <c r="AF51" i="4"/>
  <c r="AF54" i="4"/>
  <c r="AE56" i="4"/>
  <c r="AG31" i="4"/>
  <c r="AG41" i="4"/>
  <c r="AH23" i="4"/>
  <c r="AG52" i="4"/>
  <c r="AG53" i="4"/>
  <c r="AG10" i="4" l="1"/>
  <c r="AG51" i="4"/>
  <c r="AG44" i="4"/>
  <c r="AG11" i="4"/>
  <c r="AG49" i="4"/>
  <c r="AG54" i="4"/>
  <c r="AF56" i="4"/>
  <c r="AH31" i="4"/>
  <c r="AH41" i="4"/>
  <c r="AI23" i="4"/>
  <c r="AH52" i="4"/>
  <c r="AH53" i="4"/>
  <c r="AH10" i="4" l="1"/>
  <c r="AH11" i="4"/>
  <c r="AH49" i="4"/>
  <c r="AH54" i="4"/>
  <c r="AH44" i="4"/>
  <c r="AH51" i="4"/>
  <c r="AI41" i="4"/>
  <c r="AJ23" i="4"/>
  <c r="AI31" i="4"/>
  <c r="AI52" i="4"/>
  <c r="AI53" i="4"/>
  <c r="AG56" i="4"/>
  <c r="AI11" i="4" l="1"/>
  <c r="AI44" i="4"/>
  <c r="AI49" i="4"/>
  <c r="AI10" i="4"/>
  <c r="AI51" i="4"/>
  <c r="AI54" i="4"/>
  <c r="AJ31" i="4"/>
  <c r="AJ41" i="4"/>
  <c r="AK23" i="4"/>
  <c r="AJ53" i="4"/>
  <c r="AJ52" i="4"/>
  <c r="AH56" i="4"/>
  <c r="AK41" i="4" l="1"/>
  <c r="AK31" i="4"/>
  <c r="AL23" i="4"/>
  <c r="AK52" i="4"/>
  <c r="AK53" i="4"/>
  <c r="AJ11" i="4"/>
  <c r="AJ10" i="4"/>
  <c r="AJ51" i="4"/>
  <c r="AJ49" i="4"/>
  <c r="AJ44" i="4"/>
  <c r="AJ54" i="4"/>
  <c r="AI56" i="4"/>
  <c r="AJ56" i="4" l="1"/>
  <c r="AM23" i="4"/>
  <c r="AL31" i="4"/>
  <c r="AL53" i="4"/>
  <c r="AL41" i="4"/>
  <c r="AL52" i="4"/>
  <c r="AK11" i="4"/>
  <c r="AK49" i="4"/>
  <c r="AK10" i="4"/>
  <c r="AK44" i="4"/>
  <c r="AK54" i="4"/>
  <c r="AK51" i="4"/>
  <c r="AL49" i="4" l="1"/>
  <c r="AL11" i="4"/>
  <c r="AL44" i="4"/>
  <c r="AL54" i="4"/>
  <c r="AL10" i="4"/>
  <c r="AL51" i="4"/>
  <c r="AK56" i="4"/>
  <c r="AM41" i="4"/>
  <c r="AM31" i="4"/>
  <c r="AM53" i="4"/>
  <c r="AN23" i="4"/>
  <c r="AM52" i="4"/>
  <c r="AO23" i="4" l="1"/>
  <c r="AN41" i="4"/>
  <c r="AN52" i="4"/>
  <c r="AN53" i="4"/>
  <c r="AN31" i="4"/>
  <c r="AL56" i="4"/>
  <c r="AM49" i="4"/>
  <c r="AM11" i="4"/>
  <c r="AM44" i="4"/>
  <c r="AM54" i="4"/>
  <c r="AM10" i="4"/>
  <c r="AM51" i="4"/>
  <c r="AM56" i="4" l="1"/>
  <c r="AP23" i="4"/>
  <c r="AO31" i="4"/>
  <c r="AO53" i="4"/>
  <c r="AO52" i="4"/>
  <c r="AO41" i="4"/>
  <c r="AN10" i="4"/>
  <c r="AN49" i="4"/>
  <c r="AN51" i="4"/>
  <c r="AN11" i="4"/>
  <c r="AN44" i="4"/>
  <c r="AN54" i="4"/>
  <c r="AO11" i="4" l="1"/>
  <c r="AO10" i="4"/>
  <c r="AO44" i="4"/>
  <c r="AO54" i="4"/>
  <c r="AO51" i="4"/>
  <c r="AO49" i="4"/>
  <c r="AP41" i="4"/>
  <c r="AP31" i="4"/>
  <c r="AP52" i="4"/>
  <c r="AP53" i="4"/>
  <c r="AQ23" i="4"/>
  <c r="AN56" i="4"/>
  <c r="AQ31" i="4" l="1"/>
  <c r="AQ52" i="4"/>
  <c r="AQ53" i="4"/>
  <c r="AR23" i="4"/>
  <c r="AQ41" i="4"/>
  <c r="AP11" i="4"/>
  <c r="AP10" i="4"/>
  <c r="AP54" i="4"/>
  <c r="AP51" i="4"/>
  <c r="AP44" i="4"/>
  <c r="AP49" i="4"/>
  <c r="AO56" i="4"/>
  <c r="AP56" i="4" l="1"/>
  <c r="AR31" i="4"/>
  <c r="AR41" i="4"/>
  <c r="AR52" i="4"/>
  <c r="AS23" i="4"/>
  <c r="AR53" i="4"/>
  <c r="AQ11" i="4"/>
  <c r="AQ44" i="4"/>
  <c r="AQ10" i="4"/>
  <c r="AQ51" i="4"/>
  <c r="AQ54" i="4"/>
  <c r="AQ49" i="4"/>
  <c r="AR11" i="4" l="1"/>
  <c r="AR10" i="4"/>
  <c r="AR49" i="4"/>
  <c r="AR51" i="4"/>
  <c r="AR54" i="4"/>
  <c r="AR44" i="4"/>
  <c r="AQ56" i="4"/>
  <c r="AS31" i="4"/>
  <c r="AS41" i="4"/>
  <c r="AT23" i="4"/>
  <c r="AS52" i="4"/>
  <c r="AS53" i="4"/>
  <c r="AR56" i="4" l="1"/>
  <c r="AU23" i="4"/>
  <c r="AT53" i="4"/>
  <c r="AT31" i="4"/>
  <c r="AT41" i="4"/>
  <c r="AT52" i="4"/>
  <c r="AS10" i="4"/>
  <c r="AS11" i="4"/>
  <c r="AS54" i="4"/>
  <c r="AS49" i="4"/>
  <c r="AS51" i="4"/>
  <c r="AS44" i="4"/>
  <c r="AS56" i="4" l="1"/>
  <c r="AT11" i="4"/>
  <c r="AT10" i="4"/>
  <c r="AT49" i="4"/>
  <c r="AT51" i="4"/>
  <c r="AT44" i="4"/>
  <c r="AT54" i="4"/>
  <c r="AV23" i="4"/>
  <c r="AU31" i="4"/>
  <c r="AU53" i="4"/>
  <c r="AU41" i="4"/>
  <c r="AU52" i="4"/>
  <c r="AU10" i="4" l="1"/>
  <c r="AU11" i="4"/>
  <c r="AU44" i="4"/>
  <c r="AU49" i="4"/>
  <c r="AU54" i="4"/>
  <c r="AU51" i="4"/>
  <c r="AV31" i="4"/>
  <c r="AV52" i="4"/>
  <c r="AV53" i="4"/>
  <c r="AW23" i="4"/>
  <c r="AV41" i="4"/>
  <c r="AT56" i="4"/>
  <c r="AV10" i="4" l="1"/>
  <c r="AV51" i="4"/>
  <c r="AV11" i="4"/>
  <c r="AV44" i="4"/>
  <c r="AV54" i="4"/>
  <c r="AV49" i="4"/>
  <c r="AU56" i="4"/>
  <c r="AW31" i="4"/>
  <c r="AX23" i="4"/>
  <c r="AW41" i="4"/>
  <c r="AW52" i="4"/>
  <c r="AW53" i="4"/>
  <c r="AV56" i="4" l="1"/>
  <c r="AW10" i="4"/>
  <c r="AW44" i="4"/>
  <c r="AW54" i="4"/>
  <c r="AW11" i="4"/>
  <c r="AW51" i="4"/>
  <c r="AW49" i="4"/>
  <c r="AX31" i="4"/>
  <c r="AY23" i="4"/>
  <c r="AX41" i="4"/>
  <c r="AX52" i="4"/>
  <c r="AX53" i="4"/>
  <c r="AZ23" i="4" l="1"/>
  <c r="AY31" i="4"/>
  <c r="AY41" i="4"/>
  <c r="AY52" i="4"/>
  <c r="AY53" i="4"/>
  <c r="AX44" i="4"/>
  <c r="AX10" i="4"/>
  <c r="AX11" i="4"/>
  <c r="AX51" i="4"/>
  <c r="AX49" i="4"/>
  <c r="AX54" i="4"/>
  <c r="AW56" i="4"/>
  <c r="AY49" i="4" l="1"/>
  <c r="AY11" i="4"/>
  <c r="AY44" i="4"/>
  <c r="AY51" i="4"/>
  <c r="AY10" i="4"/>
  <c r="AY54" i="4"/>
  <c r="BA23" i="4"/>
  <c r="AZ31" i="4"/>
  <c r="AZ41" i="4"/>
  <c r="AZ53" i="4"/>
  <c r="AZ52" i="4"/>
  <c r="AX56" i="4"/>
  <c r="AZ49" i="4" l="1"/>
  <c r="AZ11" i="4"/>
  <c r="AZ10" i="4"/>
  <c r="AZ44" i="4"/>
  <c r="AZ54" i="4"/>
  <c r="AZ51" i="4"/>
  <c r="BA41" i="4"/>
  <c r="BA31" i="4"/>
  <c r="BB23" i="4"/>
  <c r="BA52" i="4"/>
  <c r="BA53" i="4"/>
  <c r="AY56" i="4"/>
  <c r="AZ56" i="4" l="1"/>
  <c r="BC23" i="4"/>
  <c r="BB31" i="4"/>
  <c r="BB52" i="4"/>
  <c r="BB41" i="4"/>
  <c r="BB53" i="4"/>
  <c r="BA44" i="4"/>
  <c r="BA11" i="4"/>
  <c r="BA10" i="4"/>
  <c r="BA54" i="4"/>
  <c r="BA49" i="4"/>
  <c r="BA51" i="4"/>
  <c r="BB51" i="4" l="1"/>
  <c r="BB49" i="4"/>
  <c r="BB54" i="4"/>
  <c r="BB10" i="4"/>
  <c r="BB11" i="4"/>
  <c r="BB44" i="4"/>
  <c r="BD23" i="4"/>
  <c r="BC31" i="4"/>
  <c r="BC53" i="4"/>
  <c r="BC52" i="4"/>
  <c r="BC41" i="4"/>
  <c r="BA56" i="4"/>
  <c r="BB56" i="4" l="1"/>
  <c r="BD41" i="4"/>
  <c r="BE23" i="4"/>
  <c r="BD52" i="4"/>
  <c r="BD53" i="4"/>
  <c r="BD31" i="4"/>
  <c r="BC11" i="4"/>
  <c r="BC49" i="4"/>
  <c r="BC54" i="4"/>
  <c r="BC44" i="4"/>
  <c r="BC10" i="4"/>
  <c r="BC51" i="4"/>
  <c r="BD54" i="4" l="1"/>
  <c r="BD49" i="4"/>
  <c r="BD10" i="4"/>
  <c r="BD11" i="4"/>
  <c r="BD51" i="4"/>
  <c r="BD44" i="4"/>
  <c r="BC56" i="4"/>
  <c r="BE41" i="4"/>
  <c r="BE52" i="4"/>
  <c r="BE53" i="4"/>
  <c r="BE31" i="4"/>
  <c r="BF23" i="4"/>
  <c r="BF41" i="4" l="1"/>
  <c r="BF52" i="4"/>
  <c r="BF53" i="4"/>
  <c r="BF31" i="4"/>
  <c r="BG23" i="4"/>
  <c r="BE11" i="4"/>
  <c r="BE10" i="4"/>
  <c r="BE44" i="4"/>
  <c r="BE54" i="4"/>
  <c r="BE51" i="4"/>
  <c r="BE49" i="4"/>
  <c r="BD56" i="4"/>
  <c r="BE56" i="4" l="1"/>
  <c r="BG41" i="4"/>
  <c r="BG52" i="4"/>
  <c r="BG53" i="4"/>
  <c r="BH23" i="4"/>
  <c r="BG31" i="4"/>
  <c r="BF11" i="4"/>
  <c r="BF10" i="4"/>
  <c r="BF54" i="4"/>
  <c r="BF44" i="4"/>
  <c r="BF51" i="4"/>
  <c r="BF49" i="4"/>
  <c r="BF56" i="4" s="1"/>
  <c r="BG10" i="4" l="1"/>
  <c r="BG11" i="4"/>
  <c r="BG54" i="4"/>
  <c r="BG44" i="4"/>
  <c r="BG49" i="4"/>
  <c r="BG51" i="4"/>
  <c r="BH31" i="4"/>
  <c r="BH41" i="4"/>
  <c r="BH53" i="4"/>
  <c r="BI23" i="4"/>
  <c r="BH52" i="4"/>
  <c r="BH10" i="4" l="1"/>
  <c r="BH11" i="4"/>
  <c r="BH44" i="4"/>
  <c r="BH49" i="4"/>
  <c r="BH54" i="4"/>
  <c r="BH51" i="4"/>
  <c r="BJ23" i="4"/>
  <c r="BI31" i="4"/>
  <c r="BI41" i="4"/>
  <c r="BI53" i="4"/>
  <c r="BI52" i="4"/>
  <c r="BG56" i="4"/>
  <c r="BJ52" i="4" l="1"/>
  <c r="BK23" i="4"/>
  <c r="BJ31" i="4"/>
  <c r="BJ41" i="4"/>
  <c r="BJ53" i="4"/>
  <c r="BH56" i="4"/>
  <c r="BI10" i="4"/>
  <c r="BI11" i="4"/>
  <c r="BI51" i="4"/>
  <c r="BI44" i="4"/>
  <c r="BI49" i="4"/>
  <c r="BI54" i="4"/>
  <c r="BJ10" i="4" l="1"/>
  <c r="BJ11" i="4"/>
  <c r="BJ51" i="4"/>
  <c r="BJ44" i="4"/>
  <c r="BJ49" i="4"/>
  <c r="BJ54" i="4"/>
  <c r="BL23" i="4"/>
  <c r="BK31" i="4"/>
  <c r="BK41" i="4"/>
  <c r="BK52" i="4"/>
  <c r="BK53" i="4"/>
  <c r="BI56" i="4"/>
  <c r="BJ56" i="4" l="1"/>
  <c r="BK11" i="4"/>
  <c r="BK10" i="4"/>
  <c r="BK51" i="4"/>
  <c r="BK49" i="4"/>
  <c r="BK54" i="4"/>
  <c r="BK44" i="4"/>
  <c r="BM23" i="4"/>
  <c r="BL41" i="4"/>
  <c r="BL52" i="4"/>
  <c r="BL53" i="4"/>
  <c r="BL31" i="4"/>
  <c r="BK56" i="4" l="1"/>
  <c r="BL11" i="4"/>
  <c r="BL44" i="4"/>
  <c r="BL49" i="4"/>
  <c r="BL51" i="4"/>
  <c r="BL54" i="4"/>
  <c r="BL10" i="4"/>
  <c r="BM31" i="4"/>
  <c r="BM41" i="4"/>
  <c r="BN23" i="4"/>
  <c r="BM52" i="4"/>
  <c r="BM53" i="4"/>
  <c r="BO23" i="4" l="1"/>
  <c r="BN31" i="4"/>
  <c r="BN41" i="4"/>
  <c r="BN53" i="4"/>
  <c r="BN52" i="4"/>
  <c r="BM44" i="4"/>
  <c r="BM11" i="4"/>
  <c r="BM10" i="4"/>
  <c r="BM51" i="4"/>
  <c r="BM49" i="4"/>
  <c r="BM54" i="4"/>
  <c r="BL56" i="4"/>
  <c r="BO41" i="4" l="1"/>
  <c r="BO31" i="4"/>
  <c r="BP23" i="4"/>
  <c r="BO53" i="4"/>
  <c r="BO52" i="4"/>
  <c r="BN49" i="4"/>
  <c r="BN11" i="4"/>
  <c r="BN10" i="4"/>
  <c r="BN51" i="4"/>
  <c r="BN54" i="4"/>
  <c r="BN44" i="4"/>
  <c r="BM56" i="4"/>
  <c r="BQ23" i="4" l="1"/>
  <c r="BP41" i="4"/>
  <c r="BP53" i="4"/>
  <c r="BP52" i="4"/>
  <c r="BP31" i="4"/>
  <c r="BO10" i="4"/>
  <c r="BO44" i="4"/>
  <c r="BO49" i="4"/>
  <c r="BO51" i="4"/>
  <c r="BO11" i="4"/>
  <c r="BO54" i="4"/>
  <c r="BN56" i="4"/>
  <c r="BO56" i="4" l="1"/>
  <c r="BR23" i="4"/>
  <c r="BQ31" i="4"/>
  <c r="BQ41" i="4"/>
  <c r="BQ53" i="4"/>
  <c r="BQ52" i="4"/>
  <c r="BP10" i="4"/>
  <c r="BP51" i="4"/>
  <c r="BP44" i="4"/>
  <c r="BP49" i="4"/>
  <c r="BP54" i="4"/>
  <c r="BP11" i="4"/>
  <c r="BP56" i="4" l="1"/>
  <c r="BQ11" i="4"/>
  <c r="BQ10" i="4"/>
  <c r="BQ44" i="4"/>
  <c r="BQ51" i="4"/>
  <c r="BQ49" i="4"/>
  <c r="BQ54" i="4"/>
  <c r="BR31" i="4"/>
  <c r="BR41" i="4"/>
  <c r="BS23" i="4"/>
  <c r="BR52" i="4"/>
  <c r="BR53" i="4"/>
  <c r="BQ56" i="4" l="1"/>
  <c r="BS31" i="4"/>
  <c r="BS52" i="4"/>
  <c r="BS53" i="4"/>
  <c r="BT23" i="4"/>
  <c r="BS41" i="4"/>
  <c r="BR49" i="4"/>
  <c r="BR10" i="4"/>
  <c r="BR54" i="4"/>
  <c r="BR51" i="4"/>
  <c r="BR11" i="4"/>
  <c r="BR44" i="4"/>
  <c r="BR56" i="4" l="1"/>
  <c r="BS11" i="4"/>
  <c r="BS44" i="4"/>
  <c r="BS10" i="4"/>
  <c r="BS49" i="4"/>
  <c r="BS54" i="4"/>
  <c r="BS51" i="4"/>
  <c r="BT31" i="4"/>
  <c r="BU23" i="4"/>
  <c r="BT52" i="4"/>
  <c r="BT53" i="4"/>
  <c r="BT41" i="4"/>
  <c r="BV23" i="4" l="1"/>
  <c r="BU31" i="4"/>
  <c r="BU52" i="4"/>
  <c r="BU53" i="4"/>
  <c r="BU41" i="4"/>
  <c r="BT11" i="4"/>
  <c r="BT10" i="4"/>
  <c r="BT49" i="4"/>
  <c r="BT54" i="4"/>
  <c r="BT51" i="4"/>
  <c r="BT44" i="4"/>
  <c r="BS56" i="4"/>
  <c r="BW23" i="4" l="1"/>
  <c r="BV31" i="4"/>
  <c r="BV52" i="4"/>
  <c r="BV53" i="4"/>
  <c r="BV41" i="4"/>
  <c r="BT56" i="4"/>
  <c r="BU10" i="4"/>
  <c r="BU54" i="4"/>
  <c r="BU51" i="4"/>
  <c r="BU49" i="4"/>
  <c r="BU11" i="4"/>
  <c r="BU44" i="4"/>
  <c r="BU56" i="4" l="1"/>
  <c r="BV54" i="4"/>
  <c r="BV51" i="4"/>
  <c r="BV44" i="4"/>
  <c r="BV11" i="4"/>
  <c r="BV49" i="4"/>
  <c r="BV10" i="4"/>
  <c r="BX23" i="4"/>
  <c r="BW52" i="4"/>
  <c r="BW53" i="4"/>
  <c r="BW41" i="4"/>
  <c r="BW31" i="4"/>
  <c r="BV56" i="4" l="1"/>
  <c r="BW10" i="4"/>
  <c r="BW54" i="4"/>
  <c r="BW44" i="4"/>
  <c r="BW11" i="4"/>
  <c r="BW51" i="4"/>
  <c r="BW49" i="4"/>
  <c r="BY23" i="4"/>
  <c r="BX52" i="4"/>
  <c r="BX41" i="4"/>
  <c r="BX53" i="4"/>
  <c r="BX31" i="4"/>
  <c r="BW56" i="4" l="1"/>
  <c r="BX10" i="4"/>
  <c r="BX44" i="4"/>
  <c r="BX49" i="4"/>
  <c r="BX54" i="4"/>
  <c r="BX51" i="4"/>
  <c r="BX11" i="4"/>
  <c r="BZ23" i="4"/>
  <c r="BY41" i="4"/>
  <c r="BY52" i="4"/>
  <c r="BY53" i="4"/>
  <c r="BY31" i="4"/>
  <c r="BZ41" i="4" l="1"/>
  <c r="BZ31" i="4"/>
  <c r="CA23" i="4"/>
  <c r="BZ52" i="4"/>
  <c r="BZ53" i="4"/>
  <c r="BX56" i="4"/>
  <c r="BY10" i="4"/>
  <c r="BY11" i="4"/>
  <c r="BY44" i="4"/>
  <c r="BY54" i="4"/>
  <c r="BY49" i="4"/>
  <c r="BY51" i="4"/>
  <c r="BY56" i="4" l="1"/>
  <c r="CA41" i="4"/>
  <c r="CA52" i="4"/>
  <c r="CA31" i="4"/>
  <c r="CB23" i="4"/>
  <c r="CA53" i="4"/>
  <c r="BZ11" i="4"/>
  <c r="BZ10" i="4"/>
  <c r="BZ51" i="4"/>
  <c r="BZ44" i="4"/>
  <c r="BZ49" i="4"/>
  <c r="BZ54" i="4"/>
  <c r="CC23" i="4" l="1"/>
  <c r="CB31" i="4"/>
  <c r="CB53" i="4"/>
  <c r="CB41" i="4"/>
  <c r="CB52" i="4"/>
  <c r="CA11" i="4"/>
  <c r="CA10" i="4"/>
  <c r="CA44" i="4"/>
  <c r="CA49" i="4"/>
  <c r="CA51" i="4"/>
  <c r="CA54" i="4"/>
  <c r="BZ56" i="4"/>
  <c r="CB49" i="4" l="1"/>
  <c r="CB11" i="4"/>
  <c r="CB10" i="4"/>
  <c r="CB44" i="4"/>
  <c r="CB51" i="4"/>
  <c r="CB54" i="4"/>
  <c r="CD23" i="4"/>
  <c r="CC41" i="4"/>
  <c r="CC31" i="4"/>
  <c r="CC52" i="4"/>
  <c r="CC53" i="4"/>
  <c r="CA56" i="4"/>
  <c r="CB56" i="4" l="1"/>
  <c r="CE23" i="4"/>
  <c r="CD31" i="4"/>
  <c r="CD41" i="4"/>
  <c r="CD52" i="4"/>
  <c r="CD53" i="4"/>
  <c r="CC11" i="4"/>
  <c r="CC51" i="4"/>
  <c r="CC44" i="4"/>
  <c r="CC10" i="4"/>
  <c r="CC49" i="4"/>
  <c r="CC54" i="4"/>
  <c r="CD51" i="4" l="1"/>
  <c r="CD11" i="4"/>
  <c r="CD44" i="4"/>
  <c r="CD49" i="4"/>
  <c r="CD10" i="4"/>
  <c r="CD54" i="4"/>
  <c r="CF23" i="4"/>
  <c r="CE31" i="4"/>
  <c r="CE41" i="4"/>
  <c r="CE53" i="4"/>
  <c r="CE52" i="4"/>
  <c r="CC56" i="4"/>
  <c r="CD56" i="4" l="1"/>
  <c r="CE11" i="4"/>
  <c r="CE44" i="4"/>
  <c r="CE49" i="4"/>
  <c r="CE51" i="4"/>
  <c r="CE10" i="4"/>
  <c r="CE54" i="4"/>
  <c r="CG23" i="4"/>
  <c r="CF31" i="4"/>
  <c r="CF41" i="4"/>
  <c r="CF52" i="4"/>
  <c r="CF53" i="4"/>
  <c r="CE56" i="4" l="1"/>
  <c r="CF49" i="4"/>
  <c r="CF54" i="4"/>
  <c r="CF11" i="4"/>
  <c r="CF10" i="4"/>
  <c r="CF51" i="4"/>
  <c r="CF44" i="4"/>
  <c r="CG41" i="4"/>
  <c r="CG31" i="4"/>
  <c r="CH23" i="4"/>
  <c r="CG52" i="4"/>
  <c r="CG53" i="4"/>
  <c r="CF56" i="4" l="1"/>
  <c r="CI23" i="4"/>
  <c r="CH31" i="4"/>
  <c r="CH41" i="4"/>
  <c r="CH52" i="4"/>
  <c r="CH53" i="4"/>
  <c r="CG11" i="4"/>
  <c r="CG44" i="4"/>
  <c r="CG49" i="4"/>
  <c r="CG10" i="4"/>
  <c r="CG51" i="4"/>
  <c r="CG54" i="4"/>
  <c r="CH11" i="4" l="1"/>
  <c r="CH44" i="4"/>
  <c r="CH49" i="4"/>
  <c r="CH10" i="4"/>
  <c r="CH51" i="4"/>
  <c r="CH54" i="4"/>
  <c r="CI41" i="4"/>
  <c r="CJ23" i="4"/>
  <c r="CI31" i="4"/>
  <c r="CI52" i="4"/>
  <c r="CI53" i="4"/>
  <c r="CG56" i="4"/>
  <c r="CH56" i="4" l="1"/>
  <c r="CI10" i="4"/>
  <c r="CI11" i="4"/>
  <c r="CI49" i="4"/>
  <c r="CI44" i="4"/>
  <c r="CI54" i="4"/>
  <c r="CI51" i="4"/>
  <c r="CJ31" i="4"/>
  <c r="CJ52" i="4"/>
  <c r="CJ53" i="4"/>
  <c r="CK23" i="4"/>
  <c r="CJ41" i="4"/>
  <c r="CK31" i="4" l="1"/>
  <c r="CK52" i="4"/>
  <c r="CK53" i="4"/>
  <c r="CL23" i="4"/>
  <c r="CK41" i="4"/>
  <c r="CJ11" i="4"/>
  <c r="CJ49" i="4"/>
  <c r="CJ54" i="4"/>
  <c r="CJ10" i="4"/>
  <c r="CJ44" i="4"/>
  <c r="CJ51" i="4"/>
  <c r="CI56" i="4"/>
  <c r="CK10" i="4" l="1"/>
  <c r="CK11" i="4"/>
  <c r="CK54" i="4"/>
  <c r="CK49" i="4"/>
  <c r="CK44" i="4"/>
  <c r="CK51" i="4"/>
  <c r="CJ56" i="4"/>
  <c r="CL31" i="4"/>
  <c r="CL52" i="4"/>
  <c r="CL53" i="4"/>
  <c r="CM23" i="4"/>
  <c r="CL41" i="4"/>
  <c r="CK56" i="4" l="1"/>
  <c r="CM31" i="4"/>
  <c r="CN23" i="4"/>
  <c r="CM41" i="4"/>
  <c r="CM52" i="4"/>
  <c r="CM53" i="4"/>
  <c r="CL10" i="4"/>
  <c r="CL11" i="4"/>
  <c r="CL54" i="4"/>
  <c r="CL49" i="4"/>
  <c r="CL44" i="4"/>
  <c r="CL51" i="4"/>
  <c r="CL56" i="4" l="1"/>
  <c r="CN31" i="4"/>
  <c r="CO23" i="4"/>
  <c r="CN41" i="4"/>
  <c r="CN52" i="4"/>
  <c r="CN53" i="4"/>
  <c r="CM11" i="4"/>
  <c r="CM54" i="4"/>
  <c r="CM49" i="4"/>
  <c r="CM51" i="4"/>
  <c r="CM44" i="4"/>
  <c r="CM10" i="4"/>
  <c r="CN10" i="4" l="1"/>
  <c r="CN11" i="4"/>
  <c r="CN49" i="4"/>
  <c r="CN51" i="4"/>
  <c r="CN54" i="4"/>
  <c r="CN44" i="4"/>
  <c r="CM56" i="4"/>
  <c r="CP23" i="4"/>
  <c r="CO31" i="4"/>
  <c r="CO52" i="4"/>
  <c r="CO41" i="4"/>
  <c r="CO53" i="4"/>
  <c r="CN56" i="4" l="1"/>
  <c r="CO10" i="4"/>
  <c r="CO51" i="4"/>
  <c r="CO11" i="4"/>
  <c r="CO49" i="4"/>
  <c r="CO54" i="4"/>
  <c r="CO44" i="4"/>
  <c r="CQ23" i="4"/>
  <c r="CP31" i="4"/>
  <c r="CP53" i="4"/>
  <c r="CP41" i="4"/>
  <c r="CP52" i="4"/>
  <c r="CO56" i="4" l="1"/>
  <c r="CP10" i="4"/>
  <c r="CP49" i="4"/>
  <c r="CP11" i="4"/>
  <c r="CP51" i="4"/>
  <c r="CP54" i="4"/>
  <c r="CP44" i="4"/>
  <c r="CQ41" i="4"/>
  <c r="CR23" i="4"/>
  <c r="CQ31" i="4"/>
  <c r="CQ53" i="4"/>
  <c r="CQ52" i="4"/>
  <c r="CP56" i="4" l="1"/>
  <c r="CQ11" i="4"/>
  <c r="CQ10" i="4"/>
  <c r="CQ44" i="4"/>
  <c r="CQ54" i="4"/>
  <c r="CQ49" i="4"/>
  <c r="CQ51" i="4"/>
  <c r="CS23" i="4"/>
  <c r="CR31" i="4"/>
  <c r="CR52" i="4"/>
  <c r="CR41" i="4"/>
  <c r="CR53" i="4"/>
  <c r="CT23" i="4" l="1"/>
  <c r="CS31" i="4"/>
  <c r="CS53" i="4"/>
  <c r="CS52" i="4"/>
  <c r="CS41" i="4"/>
  <c r="CR11" i="4"/>
  <c r="CR10" i="4"/>
  <c r="CR51" i="4"/>
  <c r="CR49" i="4"/>
  <c r="CR54" i="4"/>
  <c r="CR44" i="4"/>
  <c r="CQ56" i="4"/>
  <c r="CR56" i="4" l="1"/>
  <c r="CS11" i="4"/>
  <c r="CS10" i="4"/>
  <c r="CS51" i="4"/>
  <c r="CS49" i="4"/>
  <c r="CS54" i="4"/>
  <c r="CS44" i="4"/>
  <c r="CT41" i="4"/>
  <c r="CU23" i="4"/>
  <c r="CT52" i="4"/>
  <c r="CT53" i="4"/>
  <c r="CT31" i="4"/>
  <c r="CS56" i="4" l="1"/>
  <c r="CT11" i="4"/>
  <c r="CT10" i="4"/>
  <c r="CT44" i="4"/>
  <c r="CT54" i="4"/>
  <c r="CT51" i="4"/>
  <c r="CT49" i="4"/>
  <c r="CU31" i="4"/>
  <c r="CU41" i="4"/>
  <c r="CV23" i="4"/>
  <c r="CU53" i="4"/>
  <c r="CU52" i="4"/>
  <c r="CT56" i="4" l="1"/>
  <c r="CW23" i="4"/>
  <c r="CV31" i="4"/>
  <c r="CV41" i="4"/>
  <c r="CV52" i="4"/>
  <c r="CV53" i="4"/>
  <c r="CU11" i="4"/>
  <c r="CU44" i="4"/>
  <c r="CU10" i="4"/>
  <c r="CU51" i="4"/>
  <c r="CU54" i="4"/>
  <c r="CU49" i="4"/>
  <c r="CU56" i="4" s="1"/>
  <c r="CX23" i="4" l="1"/>
  <c r="CW41" i="4"/>
  <c r="CW31" i="4"/>
  <c r="CW52" i="4"/>
  <c r="CW53" i="4"/>
  <c r="CV11" i="4"/>
  <c r="CV49" i="4"/>
  <c r="CV51" i="4"/>
  <c r="CV54" i="4"/>
  <c r="CV10" i="4"/>
  <c r="CV44" i="4"/>
  <c r="CV56" i="4" l="1"/>
  <c r="CW10" i="4"/>
  <c r="CW11" i="4"/>
  <c r="CW44" i="4"/>
  <c r="CW49" i="4"/>
  <c r="CW54" i="4"/>
  <c r="CW51" i="4"/>
  <c r="CX31" i="4"/>
  <c r="CX41" i="4"/>
  <c r="CY23" i="4"/>
  <c r="CX52" i="4"/>
  <c r="CX53" i="4"/>
  <c r="CW56" i="4" l="1"/>
  <c r="CZ23" i="4"/>
  <c r="CY31" i="4"/>
  <c r="CY41" i="4"/>
  <c r="CY52" i="4"/>
  <c r="CY53" i="4"/>
  <c r="CX10" i="4"/>
  <c r="CX51" i="4"/>
  <c r="CX11" i="4"/>
  <c r="CX49" i="4"/>
  <c r="CX44" i="4"/>
  <c r="CX54" i="4"/>
  <c r="CX56" i="4" l="1"/>
  <c r="CY10" i="4"/>
  <c r="CY44" i="4"/>
  <c r="CY49" i="4"/>
  <c r="CY51" i="4"/>
  <c r="CY54" i="4"/>
  <c r="CY11" i="4"/>
  <c r="CZ41" i="4"/>
  <c r="CZ52" i="4"/>
  <c r="DA23" i="4"/>
  <c r="CZ53" i="4"/>
  <c r="CZ31" i="4"/>
  <c r="DA41" i="4" l="1"/>
  <c r="DA52" i="4"/>
  <c r="DA53" i="4"/>
  <c r="DA31" i="4"/>
  <c r="DB23" i="4"/>
  <c r="CY56" i="4"/>
  <c r="CZ10" i="4"/>
  <c r="CZ44" i="4"/>
  <c r="CZ49" i="4"/>
  <c r="CZ54" i="4"/>
  <c r="CZ11" i="4"/>
  <c r="CZ51" i="4"/>
  <c r="DA10" i="4" l="1"/>
  <c r="DA44" i="4"/>
  <c r="DA54" i="4"/>
  <c r="DA11" i="4"/>
  <c r="DA51" i="4"/>
  <c r="DA49" i="4"/>
  <c r="DA56" i="4" s="1"/>
  <c r="CZ56" i="4"/>
  <c r="DB41" i="4"/>
  <c r="DB52" i="4"/>
  <c r="DB53" i="4"/>
  <c r="DB31" i="4"/>
  <c r="DC23" i="4"/>
  <c r="DC41" i="4" l="1"/>
  <c r="DC52" i="4"/>
  <c r="DC53" i="4"/>
  <c r="DC31" i="4"/>
  <c r="DD23" i="4"/>
  <c r="DB10" i="4"/>
  <c r="DB49" i="4"/>
  <c r="DB44" i="4"/>
  <c r="DB54" i="4"/>
  <c r="DB11" i="4"/>
  <c r="DB51" i="4"/>
  <c r="DB56" i="4" l="1"/>
  <c r="DE23" i="4"/>
  <c r="DD31" i="4"/>
  <c r="DD53" i="4"/>
  <c r="DD52" i="4"/>
  <c r="DD41" i="4"/>
  <c r="DC10" i="4"/>
  <c r="DC49" i="4"/>
  <c r="DC44" i="4"/>
  <c r="DC54" i="4"/>
  <c r="DC11" i="4"/>
  <c r="DC51" i="4"/>
  <c r="DC56" i="4" l="1"/>
  <c r="DD49" i="4"/>
  <c r="DD11" i="4"/>
  <c r="DD51" i="4"/>
  <c r="DD44" i="4"/>
  <c r="DD10" i="4"/>
  <c r="DD54" i="4"/>
  <c r="DE41" i="4"/>
  <c r="DE52" i="4"/>
  <c r="DE31" i="4"/>
  <c r="DE53" i="4"/>
  <c r="DF23" i="4"/>
  <c r="DD56" i="4" l="1"/>
  <c r="DG23" i="4"/>
  <c r="DF31" i="4"/>
  <c r="DF53" i="4"/>
  <c r="DF52" i="4"/>
  <c r="DF41" i="4"/>
  <c r="DE11" i="4"/>
  <c r="DE49" i="4"/>
  <c r="DE44" i="4"/>
  <c r="DE51" i="4"/>
  <c r="DE10" i="4"/>
  <c r="DE54" i="4"/>
  <c r="DF44" i="4" l="1"/>
  <c r="DF51" i="4"/>
  <c r="DF11" i="4"/>
  <c r="DF49" i="4"/>
  <c r="DF10" i="4"/>
  <c r="DF54" i="4"/>
  <c r="DH23" i="4"/>
  <c r="DG31" i="4"/>
  <c r="DG53" i="4"/>
  <c r="DG52" i="4"/>
  <c r="DG41" i="4"/>
  <c r="DE56" i="4"/>
  <c r="DG11" i="4" l="1"/>
  <c r="DG10" i="4"/>
  <c r="DG44" i="4"/>
  <c r="DG54" i="4"/>
  <c r="DG51" i="4"/>
  <c r="DG49" i="4"/>
  <c r="DH41" i="4"/>
  <c r="DH31" i="4"/>
  <c r="DH52" i="4"/>
  <c r="DH53" i="4"/>
  <c r="DI23" i="4"/>
  <c r="DF56" i="4"/>
  <c r="DG56" i="4" l="1"/>
  <c r="DI31" i="4"/>
  <c r="DJ23" i="4"/>
  <c r="DI52" i="4"/>
  <c r="DI53" i="4"/>
  <c r="DI41" i="4"/>
  <c r="DH10" i="4"/>
  <c r="DH11" i="4"/>
  <c r="DH54" i="4"/>
  <c r="DH51" i="4"/>
  <c r="DH44" i="4"/>
  <c r="DH49" i="4"/>
  <c r="DH56" i="4" l="1"/>
  <c r="DJ31" i="4"/>
  <c r="DK23" i="4"/>
  <c r="DJ53" i="4"/>
  <c r="DJ52" i="4"/>
  <c r="DJ41" i="4"/>
  <c r="DI11" i="4"/>
  <c r="DI44" i="4"/>
  <c r="DI10" i="4"/>
  <c r="DI54" i="4"/>
  <c r="DI51" i="4"/>
  <c r="DI49" i="4"/>
  <c r="DI56" i="4" l="1"/>
  <c r="DJ11" i="4"/>
  <c r="DJ10" i="4"/>
  <c r="DJ44" i="4"/>
  <c r="DJ54" i="4"/>
  <c r="DJ51" i="4"/>
  <c r="DJ49" i="4"/>
  <c r="DJ56" i="4" s="1"/>
  <c r="DK31" i="4"/>
  <c r="DK41" i="4"/>
  <c r="DL23" i="4"/>
  <c r="DK53" i="4"/>
  <c r="DK52" i="4"/>
  <c r="DL31" i="4" l="1"/>
  <c r="DM23" i="4"/>
  <c r="DL41" i="4"/>
  <c r="DL52" i="4"/>
  <c r="DL53" i="4"/>
  <c r="DK10" i="4"/>
  <c r="DK11" i="4"/>
  <c r="DK49" i="4"/>
  <c r="DK54" i="4"/>
  <c r="DK51" i="4"/>
  <c r="DK44" i="4"/>
  <c r="DK56" i="4" l="1"/>
  <c r="DN23" i="4"/>
  <c r="DM41" i="4"/>
  <c r="DM52" i="4"/>
  <c r="DM53" i="4"/>
  <c r="DM31" i="4"/>
  <c r="DL11" i="4"/>
  <c r="DL49" i="4"/>
  <c r="DL10" i="4"/>
  <c r="DL51" i="4"/>
  <c r="DL44" i="4"/>
  <c r="DL54" i="4"/>
  <c r="DL56" i="4" l="1"/>
  <c r="DM10" i="4"/>
  <c r="DM11" i="4"/>
  <c r="DM49" i="4"/>
  <c r="DM51" i="4"/>
  <c r="DM44" i="4"/>
  <c r="DM54" i="4"/>
  <c r="DO23" i="4"/>
  <c r="DN31" i="4"/>
  <c r="DN41" i="4"/>
  <c r="DN52" i="4"/>
  <c r="DN53" i="4"/>
  <c r="DP23" i="4" l="1"/>
  <c r="DO31" i="4"/>
  <c r="DO53" i="4"/>
  <c r="DO52" i="4"/>
  <c r="DO41" i="4"/>
  <c r="DM56" i="4"/>
  <c r="DN10" i="4"/>
  <c r="DN11" i="4"/>
  <c r="DN44" i="4"/>
  <c r="DN51" i="4"/>
  <c r="DN49" i="4"/>
  <c r="DN54" i="4"/>
  <c r="DN56" i="4" l="1"/>
  <c r="DO49" i="4"/>
  <c r="DO51" i="4"/>
  <c r="DO10" i="4"/>
  <c r="DO11" i="4"/>
  <c r="DO44" i="4"/>
  <c r="DO54" i="4"/>
  <c r="DQ23" i="4"/>
  <c r="DP31" i="4"/>
  <c r="DP53" i="4"/>
  <c r="DP41" i="4"/>
  <c r="DP52" i="4"/>
  <c r="DO56" i="4" l="1"/>
  <c r="DP10" i="4"/>
  <c r="DP44" i="4"/>
  <c r="DP49" i="4"/>
  <c r="DP54" i="4"/>
  <c r="DP51" i="4"/>
  <c r="DP11" i="4"/>
  <c r="DR23" i="4"/>
  <c r="DQ31" i="4"/>
  <c r="DQ52" i="4"/>
  <c r="DQ41" i="4"/>
  <c r="DQ53" i="4"/>
  <c r="DP56" i="4" l="1"/>
  <c r="DQ10" i="4"/>
  <c r="DQ11" i="4"/>
  <c r="DQ44" i="4"/>
  <c r="DQ54" i="4"/>
  <c r="DQ49" i="4"/>
  <c r="DQ51" i="4"/>
  <c r="DS23" i="4"/>
  <c r="DR31" i="4"/>
  <c r="DR53" i="4"/>
  <c r="DR52" i="4"/>
  <c r="DR41" i="4"/>
  <c r="DQ56" i="4" l="1"/>
  <c r="DR49" i="4"/>
  <c r="DR10" i="4"/>
  <c r="DR11" i="4"/>
  <c r="DR54" i="4"/>
  <c r="DR51" i="4"/>
  <c r="DR44" i="4"/>
  <c r="DS41" i="4"/>
  <c r="DT23" i="4"/>
  <c r="DS31" i="4"/>
  <c r="DS52" i="4"/>
  <c r="DS53" i="4"/>
  <c r="DS10" i="4" l="1"/>
  <c r="DS51" i="4"/>
  <c r="DS11" i="4"/>
  <c r="DS54" i="4"/>
  <c r="DS49" i="4"/>
  <c r="DS44" i="4"/>
  <c r="DU23" i="4"/>
  <c r="DT31" i="4"/>
  <c r="DT41" i="4"/>
  <c r="DT52" i="4"/>
  <c r="DT53" i="4"/>
  <c r="DR56" i="4"/>
  <c r="DS56" i="4" l="1"/>
  <c r="DT51" i="4"/>
  <c r="DT11" i="4"/>
  <c r="DT10" i="4"/>
  <c r="DT49" i="4"/>
  <c r="DT44" i="4"/>
  <c r="DT54" i="4"/>
  <c r="DV23" i="4"/>
  <c r="DU31" i="4"/>
  <c r="DU41" i="4"/>
  <c r="DU53" i="4"/>
  <c r="DU52" i="4"/>
  <c r="DU11" i="4" l="1"/>
  <c r="DU44" i="4"/>
  <c r="DU10" i="4"/>
  <c r="DU51" i="4"/>
  <c r="DU49" i="4"/>
  <c r="DU54" i="4"/>
  <c r="DT56" i="4"/>
  <c r="DV41" i="4"/>
  <c r="DV31" i="4"/>
  <c r="DW23" i="4"/>
  <c r="DV52" i="4"/>
  <c r="DV53" i="4"/>
  <c r="DW41" i="4" l="1"/>
  <c r="DW31" i="4"/>
  <c r="DW52" i="4"/>
  <c r="DW53" i="4"/>
  <c r="DX23" i="4"/>
  <c r="DV54" i="4"/>
  <c r="DV44" i="4"/>
  <c r="DV49" i="4"/>
  <c r="DV10" i="4"/>
  <c r="DV11" i="4"/>
  <c r="DV51" i="4"/>
  <c r="DU56" i="4"/>
  <c r="DY23" i="4" l="1"/>
  <c r="DX41" i="4"/>
  <c r="DX31" i="4"/>
  <c r="DX52" i="4"/>
  <c r="DX53" i="4"/>
  <c r="DW11" i="4"/>
  <c r="DW44" i="4"/>
  <c r="DW51" i="4"/>
  <c r="DW10" i="4"/>
  <c r="DW49" i="4"/>
  <c r="DW54" i="4"/>
  <c r="DV56" i="4"/>
  <c r="DX11" i="4" l="1"/>
  <c r="DX10" i="4"/>
  <c r="DX44" i="4"/>
  <c r="DX49" i="4"/>
  <c r="DX51" i="4"/>
  <c r="DX54" i="4"/>
  <c r="DZ23" i="4"/>
  <c r="DY41" i="4"/>
  <c r="DY31" i="4"/>
  <c r="DY52" i="4"/>
  <c r="DY53" i="4"/>
  <c r="DW56" i="4"/>
  <c r="DX56" i="4" l="1"/>
  <c r="DY10" i="4"/>
  <c r="DY44" i="4"/>
  <c r="DY54" i="4"/>
  <c r="DY49" i="4"/>
  <c r="DY51" i="4"/>
  <c r="DY11" i="4"/>
  <c r="DZ31" i="4"/>
  <c r="EA23" i="4"/>
  <c r="DZ41" i="4"/>
  <c r="DZ53" i="4"/>
  <c r="DZ52" i="4"/>
  <c r="DY56" i="4" l="1"/>
  <c r="EA31" i="4"/>
  <c r="EA41" i="4"/>
  <c r="EB23" i="4"/>
  <c r="EA53" i="4"/>
  <c r="EA52" i="4"/>
  <c r="DZ10" i="4"/>
  <c r="DZ49" i="4"/>
  <c r="DZ44" i="4"/>
  <c r="DZ54" i="4"/>
  <c r="DZ51" i="4"/>
  <c r="DZ11" i="4"/>
  <c r="EB31" i="4" l="1"/>
  <c r="EB41" i="4"/>
  <c r="EB52" i="4"/>
  <c r="EC23" i="4"/>
  <c r="EB53" i="4"/>
  <c r="EA10" i="4"/>
  <c r="EA11" i="4"/>
  <c r="EA44" i="4"/>
  <c r="EA49" i="4"/>
  <c r="EA54" i="4"/>
  <c r="EA51" i="4"/>
  <c r="DZ56" i="4"/>
  <c r="EC31" i="4" l="1"/>
  <c r="EC41" i="4"/>
  <c r="ED23" i="4"/>
  <c r="EC53" i="4"/>
  <c r="EC52" i="4"/>
  <c r="EA56" i="4"/>
  <c r="EB10" i="4"/>
  <c r="EB11" i="4"/>
  <c r="EB54" i="4"/>
  <c r="EB49" i="4"/>
  <c r="EB44" i="4"/>
  <c r="EB51" i="4"/>
  <c r="EE23" i="4" l="1"/>
  <c r="ED31" i="4"/>
  <c r="ED41" i="4"/>
  <c r="ED53" i="4"/>
  <c r="ED52" i="4"/>
  <c r="EC11" i="4"/>
  <c r="EC10" i="4"/>
  <c r="EC49" i="4"/>
  <c r="EC54" i="4"/>
  <c r="EC44" i="4"/>
  <c r="EC51" i="4"/>
  <c r="EB56" i="4"/>
  <c r="ED11" i="4" l="1"/>
  <c r="ED10" i="4"/>
  <c r="ED51" i="4"/>
  <c r="ED54" i="4"/>
  <c r="ED44" i="4"/>
  <c r="ED49" i="4"/>
  <c r="ED56" i="4" s="1"/>
  <c r="EF23" i="4"/>
  <c r="EE31" i="4"/>
  <c r="EE52" i="4"/>
  <c r="EE41" i="4"/>
  <c r="EE53" i="4"/>
  <c r="EC56" i="4"/>
  <c r="EE11" i="4" l="1"/>
  <c r="EE44" i="4"/>
  <c r="EE49" i="4"/>
  <c r="EE10" i="4"/>
  <c r="EE51" i="4"/>
  <c r="EE54" i="4"/>
  <c r="EG23" i="4"/>
  <c r="EF31" i="4"/>
  <c r="EF53" i="4"/>
  <c r="EF41" i="4"/>
  <c r="EF52" i="4"/>
  <c r="EF49" i="4" l="1"/>
  <c r="EF11" i="4"/>
  <c r="EF10" i="4"/>
  <c r="EF54" i="4"/>
  <c r="EF51" i="4"/>
  <c r="EF44" i="4"/>
  <c r="EG41" i="4"/>
  <c r="EG31" i="4"/>
  <c r="EG53" i="4"/>
  <c r="EG52" i="4"/>
  <c r="EH23" i="4"/>
  <c r="EE56" i="4"/>
  <c r="EF56" i="4" l="1"/>
  <c r="EG11" i="4"/>
  <c r="EG10" i="4"/>
  <c r="EG44" i="4"/>
  <c r="EG49" i="4"/>
  <c r="EG54" i="4"/>
  <c r="EG51" i="4"/>
  <c r="EI23" i="4"/>
  <c r="EH52" i="4"/>
  <c r="EH53" i="4"/>
  <c r="EH41" i="4"/>
  <c r="EH31" i="4"/>
  <c r="EG56" i="4" l="1"/>
  <c r="EH51" i="4"/>
  <c r="EH11" i="4"/>
  <c r="EH10" i="4"/>
  <c r="EH44" i="4"/>
  <c r="EH54" i="4"/>
  <c r="EH49" i="4"/>
  <c r="EJ23" i="4"/>
  <c r="EI31" i="4"/>
  <c r="EI53" i="4"/>
  <c r="EI52" i="4"/>
  <c r="EI41" i="4"/>
  <c r="EI11" i="4" l="1"/>
  <c r="EI51" i="4"/>
  <c r="EI10" i="4"/>
  <c r="EI54" i="4"/>
  <c r="EI44" i="4"/>
  <c r="EI49" i="4"/>
  <c r="EK23" i="4"/>
  <c r="EJ41" i="4"/>
  <c r="EJ52" i="4"/>
  <c r="EJ53" i="4"/>
  <c r="EJ31" i="4"/>
  <c r="EH56" i="4"/>
  <c r="EI56" i="4" l="1"/>
  <c r="EJ44" i="4"/>
  <c r="EJ11" i="4"/>
  <c r="EJ54" i="4"/>
  <c r="EJ10" i="4"/>
  <c r="EJ49" i="4"/>
  <c r="EJ51" i="4"/>
  <c r="EK52" i="4"/>
  <c r="EK53" i="4"/>
  <c r="EL23" i="4"/>
  <c r="EK41" i="4"/>
  <c r="EK31" i="4"/>
  <c r="EK11" i="4" l="1"/>
  <c r="EK44" i="4"/>
  <c r="EK10" i="4"/>
  <c r="EK54" i="4"/>
  <c r="EK51" i="4"/>
  <c r="EK49" i="4"/>
  <c r="EK56" i="4" s="1"/>
  <c r="EM23" i="4"/>
  <c r="EL52" i="4"/>
  <c r="EL53" i="4"/>
  <c r="EL31" i="4"/>
  <c r="EL41" i="4"/>
  <c r="EJ56" i="4"/>
  <c r="EL11" i="4" l="1"/>
  <c r="EL10" i="4"/>
  <c r="EL51" i="4"/>
  <c r="EL54" i="4"/>
  <c r="EL44" i="4"/>
  <c r="EL49" i="4"/>
  <c r="EL56" i="4" s="1"/>
  <c r="EN23" i="4"/>
  <c r="EM52" i="4"/>
  <c r="EM53" i="4"/>
  <c r="EM41" i="4"/>
  <c r="EM31" i="4"/>
  <c r="EM10" i="4" l="1"/>
  <c r="EM54" i="4"/>
  <c r="EM11" i="4"/>
  <c r="EM49" i="4"/>
  <c r="EM51" i="4"/>
  <c r="EM44" i="4"/>
  <c r="EO23" i="4"/>
  <c r="EN31" i="4"/>
  <c r="EN52" i="4"/>
  <c r="EN53" i="4"/>
  <c r="EN41" i="4"/>
  <c r="EN10" i="4" l="1"/>
  <c r="EN44" i="4"/>
  <c r="EN11" i="4"/>
  <c r="EN49" i="4"/>
  <c r="EN51" i="4"/>
  <c r="EN54" i="4"/>
  <c r="EM56" i="4"/>
  <c r="EP23" i="4"/>
  <c r="EO31" i="4"/>
  <c r="EO53" i="4"/>
  <c r="EO52" i="4"/>
  <c r="EO41" i="4"/>
  <c r="EP41" i="4" l="1"/>
  <c r="EP52" i="4"/>
  <c r="EP31" i="4"/>
  <c r="EQ23" i="4"/>
  <c r="EP53" i="4"/>
  <c r="EO10" i="4"/>
  <c r="EO49" i="4"/>
  <c r="EO11" i="4"/>
  <c r="EO51" i="4"/>
  <c r="EO44" i="4"/>
  <c r="EO54" i="4"/>
  <c r="EN56" i="4"/>
  <c r="EO56" i="4" l="1"/>
  <c r="EQ31" i="4"/>
  <c r="EQ41" i="4"/>
  <c r="ER23" i="4"/>
  <c r="EQ52" i="4"/>
  <c r="EQ53" i="4"/>
  <c r="EP10" i="4"/>
  <c r="EP49" i="4"/>
  <c r="EP51" i="4"/>
  <c r="EP44" i="4"/>
  <c r="EP54" i="4"/>
  <c r="EP11" i="4"/>
  <c r="ER31" i="4" l="1"/>
  <c r="ER41" i="4"/>
  <c r="ER52" i="4"/>
  <c r="ES23" i="4"/>
  <c r="ER53" i="4"/>
  <c r="EP56" i="4"/>
  <c r="EQ10" i="4"/>
  <c r="EQ49" i="4"/>
  <c r="EQ44" i="4"/>
  <c r="EQ51" i="4"/>
  <c r="EQ54" i="4"/>
  <c r="EQ11" i="4"/>
  <c r="EQ56" i="4" l="1"/>
  <c r="ES41" i="4"/>
  <c r="ES31" i="4"/>
  <c r="ES52" i="4"/>
  <c r="ET23" i="4"/>
  <c r="ES53" i="4"/>
  <c r="ER10" i="4"/>
  <c r="ER44" i="4"/>
  <c r="ER49" i="4"/>
  <c r="ER51" i="4"/>
  <c r="ER54" i="4"/>
  <c r="ER11" i="4"/>
  <c r="EU23" i="4" l="1"/>
  <c r="ET31" i="4"/>
  <c r="ET41" i="4"/>
  <c r="ET53" i="4"/>
  <c r="ET52" i="4"/>
  <c r="ER56" i="4"/>
  <c r="ES11" i="4"/>
  <c r="ES10" i="4"/>
  <c r="ES49" i="4"/>
  <c r="ES44" i="4"/>
  <c r="ES51" i="4"/>
  <c r="ES54" i="4"/>
  <c r="ET49" i="4" l="1"/>
  <c r="ET11" i="4"/>
  <c r="ET10" i="4"/>
  <c r="ET44" i="4"/>
  <c r="ET54" i="4"/>
  <c r="ET51" i="4"/>
  <c r="EU41" i="4"/>
  <c r="EU31" i="4"/>
  <c r="EV23" i="4"/>
  <c r="EU53" i="4"/>
  <c r="EU52" i="4"/>
  <c r="ES56" i="4"/>
  <c r="EW23" i="4" l="1"/>
  <c r="EV41" i="4"/>
  <c r="EV31" i="4"/>
  <c r="EV53" i="4"/>
  <c r="EV52" i="4"/>
  <c r="EU11" i="4"/>
  <c r="EU10" i="4"/>
  <c r="EU51" i="4"/>
  <c r="EU44" i="4"/>
  <c r="EU49" i="4"/>
  <c r="EU54" i="4"/>
  <c r="ET56" i="4"/>
  <c r="EX23" i="4" l="1"/>
  <c r="EW31" i="4"/>
  <c r="EW41" i="4"/>
  <c r="EW53" i="4"/>
  <c r="EW52" i="4"/>
  <c r="EV11" i="4"/>
  <c r="EV51" i="4"/>
  <c r="EV44" i="4"/>
  <c r="EV49" i="4"/>
  <c r="EV54" i="4"/>
  <c r="EV10" i="4"/>
  <c r="EU56" i="4"/>
  <c r="EV56" i="4" l="1"/>
  <c r="EW11" i="4"/>
  <c r="EW49" i="4"/>
  <c r="EW51" i="4"/>
  <c r="EW54" i="4"/>
  <c r="EW44" i="4"/>
  <c r="EW10" i="4"/>
  <c r="EY23" i="4"/>
  <c r="EX41" i="4"/>
  <c r="EX31" i="4"/>
  <c r="EX52" i="4"/>
  <c r="EX53" i="4"/>
  <c r="EW56" i="4" l="1"/>
  <c r="EX11" i="4"/>
  <c r="EX51" i="4"/>
  <c r="EX54" i="4"/>
  <c r="EX44" i="4"/>
  <c r="EX49" i="4"/>
  <c r="EX10" i="4"/>
  <c r="EZ23" i="4"/>
  <c r="EY31" i="4"/>
  <c r="EY52" i="4"/>
  <c r="EY53" i="4"/>
  <c r="EY41" i="4"/>
  <c r="EY11" i="4" l="1"/>
  <c r="EY44" i="4"/>
  <c r="EY51" i="4"/>
  <c r="EY54" i="4"/>
  <c r="EY49" i="4"/>
  <c r="EY10" i="4"/>
  <c r="EZ31" i="4"/>
  <c r="FA23" i="4"/>
  <c r="EZ41" i="4"/>
  <c r="EZ52" i="4"/>
  <c r="EZ53" i="4"/>
  <c r="EX56" i="4"/>
  <c r="EY56" i="4" l="1"/>
  <c r="EZ11" i="4"/>
  <c r="EZ44" i="4"/>
  <c r="EZ51" i="4"/>
  <c r="EZ54" i="4"/>
  <c r="EZ49" i="4"/>
  <c r="EZ10" i="4"/>
  <c r="FB23" i="4"/>
  <c r="FA31" i="4"/>
  <c r="FA41" i="4"/>
  <c r="FA52" i="4"/>
  <c r="FA53" i="4"/>
  <c r="EZ56" i="4" l="1"/>
  <c r="FA10" i="4"/>
  <c r="FA11" i="4"/>
  <c r="FA44" i="4"/>
  <c r="FA51" i="4"/>
  <c r="FA54" i="4"/>
  <c r="FA49" i="4"/>
  <c r="FC23" i="4"/>
  <c r="FB41" i="4"/>
  <c r="FB31" i="4"/>
  <c r="FB52" i="4"/>
  <c r="FB53" i="4"/>
  <c r="FA56" i="4" l="1"/>
  <c r="FD23" i="4"/>
  <c r="FC41" i="4"/>
  <c r="FC31" i="4"/>
  <c r="FC52" i="4"/>
  <c r="FC53" i="4"/>
  <c r="FB11" i="4"/>
  <c r="FB54" i="4"/>
  <c r="FB49" i="4"/>
  <c r="FB51" i="4"/>
  <c r="FB44" i="4"/>
  <c r="FB10" i="4"/>
  <c r="FB56" i="4" l="1"/>
  <c r="FC10" i="4"/>
  <c r="FC44" i="4"/>
  <c r="FC11" i="4"/>
  <c r="FC54" i="4"/>
  <c r="FC49" i="4"/>
  <c r="FC51" i="4"/>
  <c r="FD52" i="4"/>
  <c r="FE23" i="4"/>
  <c r="FD53" i="4"/>
  <c r="FD31" i="4"/>
  <c r="FD41" i="4"/>
  <c r="FC56" i="4" l="1"/>
  <c r="FF23" i="4"/>
  <c r="FE31" i="4"/>
  <c r="FE53" i="4"/>
  <c r="FE41" i="4"/>
  <c r="FE52" i="4"/>
  <c r="FD10" i="4"/>
  <c r="FD11" i="4"/>
  <c r="FD49" i="4"/>
  <c r="FD54" i="4"/>
  <c r="FD44" i="4"/>
  <c r="FD51" i="4"/>
  <c r="FE11" i="4" l="1"/>
  <c r="FE54" i="4"/>
  <c r="FE44" i="4"/>
  <c r="FE51" i="4"/>
  <c r="FE10" i="4"/>
  <c r="FE49" i="4"/>
  <c r="FG23" i="4"/>
  <c r="FF31" i="4"/>
  <c r="FF53" i="4"/>
  <c r="FF52" i="4"/>
  <c r="FF41" i="4"/>
  <c r="FD56" i="4"/>
  <c r="FG31" i="4" l="1"/>
  <c r="FG41" i="4"/>
  <c r="FH23" i="4"/>
  <c r="FG52" i="4"/>
  <c r="FG53" i="4"/>
  <c r="FF11" i="4"/>
  <c r="FF54" i="4"/>
  <c r="FF44" i="4"/>
  <c r="FF51" i="4"/>
  <c r="FF10" i="4"/>
  <c r="FF49" i="4"/>
  <c r="FF56" i="4" s="1"/>
  <c r="FE56" i="4"/>
  <c r="FI23" i="4" l="1"/>
  <c r="FH31" i="4"/>
  <c r="FH41" i="4"/>
  <c r="FH53" i="4"/>
  <c r="FH52" i="4"/>
  <c r="FG11" i="4"/>
  <c r="FG10" i="4"/>
  <c r="FG44" i="4"/>
  <c r="FG51" i="4"/>
  <c r="FG49" i="4"/>
  <c r="FG54" i="4"/>
  <c r="FH49" i="4" l="1"/>
  <c r="FH10" i="4"/>
  <c r="FH51" i="4"/>
  <c r="FH11" i="4"/>
  <c r="FH44" i="4"/>
  <c r="FH54" i="4"/>
  <c r="FG56" i="4"/>
  <c r="FI41" i="4"/>
  <c r="FI31" i="4"/>
  <c r="FJ23" i="4"/>
  <c r="FI52" i="4"/>
  <c r="FI53" i="4"/>
  <c r="FK23" i="4" l="1"/>
  <c r="FJ31" i="4"/>
  <c r="FJ41" i="4"/>
  <c r="FJ53" i="4"/>
  <c r="FJ52" i="4"/>
  <c r="FI10" i="4"/>
  <c r="FI51" i="4"/>
  <c r="FI11" i="4"/>
  <c r="FI49" i="4"/>
  <c r="FI44" i="4"/>
  <c r="FI54" i="4"/>
  <c r="FH56" i="4"/>
  <c r="FI56" i="4" l="1"/>
  <c r="FJ11" i="4"/>
  <c r="FJ10" i="4"/>
  <c r="FJ51" i="4"/>
  <c r="FJ49" i="4"/>
  <c r="FJ44" i="4"/>
  <c r="FJ54" i="4"/>
  <c r="FL23" i="4"/>
  <c r="FK31" i="4"/>
  <c r="FK41" i="4"/>
  <c r="FK53" i="4"/>
  <c r="FK52" i="4"/>
  <c r="FJ56" i="4" l="1"/>
  <c r="FK11" i="4"/>
  <c r="FK10" i="4"/>
  <c r="FK49" i="4"/>
  <c r="FK44" i="4"/>
  <c r="FK51" i="4"/>
  <c r="FK54" i="4"/>
  <c r="FL31" i="4"/>
  <c r="FL41" i="4"/>
  <c r="FM23" i="4"/>
  <c r="FL52" i="4"/>
  <c r="FL53" i="4"/>
  <c r="FL11" i="4" l="1"/>
  <c r="FL10" i="4"/>
  <c r="FL54" i="4"/>
  <c r="FL49" i="4"/>
  <c r="FL44" i="4"/>
  <c r="FL51" i="4"/>
  <c r="FK56" i="4"/>
  <c r="FN23" i="4"/>
  <c r="FM31" i="4"/>
  <c r="FM41" i="4"/>
  <c r="FM52" i="4"/>
  <c r="FM53" i="4"/>
  <c r="FL56" i="4" l="1"/>
  <c r="FM11" i="4"/>
  <c r="FM44" i="4"/>
  <c r="FM10" i="4"/>
  <c r="FM51" i="4"/>
  <c r="FM49" i="4"/>
  <c r="FM54" i="4"/>
  <c r="FN41" i="4"/>
  <c r="FN52" i="4"/>
  <c r="FN53" i="4"/>
  <c r="FO23" i="4"/>
  <c r="FN31" i="4"/>
  <c r="FM56" i="4" l="1"/>
  <c r="FN11" i="4"/>
  <c r="FN10" i="4"/>
  <c r="FN44" i="4"/>
  <c r="FN51" i="4"/>
  <c r="FN49" i="4"/>
  <c r="FN54" i="4"/>
  <c r="FP23" i="4"/>
  <c r="FO41" i="4"/>
  <c r="FO52" i="4"/>
  <c r="FO53" i="4"/>
  <c r="FO31" i="4"/>
  <c r="FQ23" i="4" l="1"/>
  <c r="FP41" i="4"/>
  <c r="FP52" i="4"/>
  <c r="FP53" i="4"/>
  <c r="FP31" i="4"/>
  <c r="FN56" i="4"/>
  <c r="FO10" i="4"/>
  <c r="FO11" i="4"/>
  <c r="FO44" i="4"/>
  <c r="FO54" i="4"/>
  <c r="FO51" i="4"/>
  <c r="FO49" i="4"/>
  <c r="FO56" i="4" s="1"/>
  <c r="FP11" i="4" l="1"/>
  <c r="FP10" i="4"/>
  <c r="FP51" i="4"/>
  <c r="FP44" i="4"/>
  <c r="FP54" i="4"/>
  <c r="FP49" i="4"/>
  <c r="FP56" i="4" s="1"/>
  <c r="FQ31" i="4"/>
  <c r="FQ41" i="4"/>
  <c r="FR23" i="4"/>
  <c r="FQ52" i="4"/>
  <c r="FQ53" i="4"/>
  <c r="FS23" i="4" l="1"/>
  <c r="FR31" i="4"/>
  <c r="FR52" i="4"/>
  <c r="FR41" i="4"/>
  <c r="FR53" i="4"/>
  <c r="FQ10" i="4"/>
  <c r="FQ44" i="4"/>
  <c r="FQ51" i="4"/>
  <c r="FQ54" i="4"/>
  <c r="FQ49" i="4"/>
  <c r="FQ56" i="4" s="1"/>
  <c r="FQ11" i="4"/>
  <c r="FR10" i="4" l="1"/>
  <c r="FR44" i="4"/>
  <c r="FR51" i="4"/>
  <c r="FR11" i="4"/>
  <c r="FR49" i="4"/>
  <c r="FR54" i="4"/>
  <c r="FS31" i="4"/>
  <c r="FS41" i="4"/>
  <c r="FS52" i="4"/>
  <c r="FS53" i="4"/>
  <c r="FU52" i="4" l="1"/>
  <c r="FV52" i="4"/>
  <c r="FW52" i="4"/>
  <c r="FX52" i="4"/>
  <c r="FS49" i="4"/>
  <c r="FS10" i="4"/>
  <c r="FS44" i="4"/>
  <c r="FS11" i="4"/>
  <c r="FS51" i="4"/>
  <c r="FS54" i="4"/>
  <c r="FU41" i="4"/>
  <c r="K13" i="1"/>
  <c r="FV41" i="4"/>
  <c r="L13" i="1"/>
  <c r="FW41" i="4"/>
  <c r="M13" i="1"/>
  <c r="FX41" i="4"/>
  <c r="N13" i="1"/>
  <c r="O13" i="1"/>
  <c r="P13" i="1"/>
  <c r="Q13" i="1"/>
  <c r="R13" i="1"/>
  <c r="S13" i="1"/>
  <c r="FR56" i="4"/>
  <c r="FU53" i="4"/>
  <c r="FV53" i="4"/>
  <c r="FW53" i="4"/>
  <c r="FX53" i="4"/>
  <c r="FV54" i="4" l="1"/>
  <c r="FW54" i="4"/>
  <c r="FX54" i="4"/>
  <c r="FS56" i="4"/>
  <c r="FV49" i="4"/>
  <c r="FW49" i="4"/>
  <c r="FX49" i="4"/>
  <c r="FU44" i="4"/>
  <c r="K17" i="1"/>
  <c r="FV44" i="4"/>
  <c r="L17" i="1"/>
  <c r="FW44" i="4"/>
  <c r="M17" i="1"/>
  <c r="FX44" i="4"/>
  <c r="N17" i="1"/>
  <c r="O17" i="1"/>
  <c r="P17" i="1"/>
  <c r="Q17" i="1"/>
  <c r="R17" i="1"/>
  <c r="S17" i="1"/>
  <c r="FV51" i="4"/>
  <c r="FW51" i="4"/>
  <c r="FX51" i="4"/>
  <c r="K18" i="1" l="1"/>
  <c r="FV56" i="4"/>
  <c r="L18" i="1"/>
  <c r="FW56" i="4"/>
  <c r="M18" i="1"/>
  <c r="FX56" i="4"/>
  <c r="N18" i="1"/>
  <c r="O18" i="1"/>
  <c r="P18" i="1"/>
  <c r="Q18" i="1"/>
  <c r="R18" i="1"/>
  <c r="S18" i="1"/>
  <c r="E28" i="4"/>
  <c r="E39" i="4"/>
  <c r="J11" i="1" s="1"/>
  <c r="J8" i="1" s="1"/>
  <c r="J9" i="1" s="1"/>
  <c r="E41" i="4"/>
  <c r="J13" i="1" s="1"/>
  <c r="E57" i="4"/>
  <c r="FT39" i="4" l="1"/>
  <c r="FT41" i="4"/>
  <c r="FT57" i="4"/>
  <c r="J15" i="1"/>
  <c r="FT44" i="4"/>
  <c r="J17" i="1"/>
  <c r="E29" i="4"/>
  <c r="E42" i="4"/>
  <c r="E31" i="4"/>
  <c r="F33" i="4"/>
  <c r="E10" i="4" l="1"/>
  <c r="C10" i="4" s="1" a="1"/>
  <c r="C10" i="4" s="1"/>
  <c r="E11" i="4"/>
  <c r="C11" i="4" s="1" a="1"/>
  <c r="C11" i="4" s="1"/>
  <c r="C5" i="4" s="1"/>
  <c r="E51" i="4"/>
  <c r="E54" i="4"/>
  <c r="E49" i="4"/>
  <c r="E43" i="4"/>
  <c r="E45" i="4" s="1"/>
  <c r="E30" i="4"/>
  <c r="F35" i="4"/>
  <c r="F36" i="4" s="1"/>
  <c r="F40" i="4" s="1"/>
  <c r="F29" i="4" l="1"/>
  <c r="F31" i="4"/>
  <c r="G33" i="4"/>
  <c r="F42" i="4"/>
  <c r="E56" i="4"/>
  <c r="E58" i="4" l="1"/>
  <c r="F43" i="4"/>
  <c r="F10" i="4"/>
  <c r="F11" i="4"/>
  <c r="F49" i="4"/>
  <c r="F51" i="4"/>
  <c r="F54" i="4"/>
  <c r="G35" i="4"/>
  <c r="G36" i="4" s="1"/>
  <c r="G40" i="4" s="1"/>
  <c r="F30" i="4"/>
  <c r="G29" i="4" l="1"/>
  <c r="G31" i="4"/>
  <c r="G42" i="4"/>
  <c r="H33" i="4"/>
  <c r="F56" i="4"/>
  <c r="F45" i="4"/>
  <c r="E68" i="4"/>
  <c r="E73" i="4" l="1"/>
  <c r="F58" i="4"/>
  <c r="G43" i="4"/>
  <c r="G45" i="4"/>
  <c r="G10" i="4"/>
  <c r="G11" i="4"/>
  <c r="G54" i="4"/>
  <c r="G49" i="4"/>
  <c r="G51" i="4"/>
  <c r="G30" i="4"/>
  <c r="H35" i="4"/>
  <c r="H36" i="4" s="1"/>
  <c r="H40" i="4" s="1"/>
  <c r="G56" i="4" l="1"/>
  <c r="I33" i="4"/>
  <c r="H29" i="4"/>
  <c r="H31" i="4"/>
  <c r="H42" i="4"/>
  <c r="F68" i="4"/>
  <c r="E74" i="4"/>
  <c r="G58" i="4" l="1"/>
  <c r="E76" i="4"/>
  <c r="E84" i="4" s="1"/>
  <c r="E117" i="4" s="1"/>
  <c r="F73" i="4"/>
  <c r="H43" i="4"/>
  <c r="H45" i="4" s="1"/>
  <c r="H10" i="4"/>
  <c r="H11" i="4"/>
  <c r="H49" i="4"/>
  <c r="H51" i="4"/>
  <c r="H54" i="4"/>
  <c r="Q35" i="4"/>
  <c r="I35" i="4"/>
  <c r="I36" i="4" s="1"/>
  <c r="I40" i="4" s="1"/>
  <c r="H30" i="4"/>
  <c r="E118" i="4" l="1"/>
  <c r="E119" i="4" s="1"/>
  <c r="I23" i="6"/>
  <c r="H56" i="4"/>
  <c r="F74" i="4"/>
  <c r="I42" i="4"/>
  <c r="J33" i="4"/>
  <c r="I31" i="4"/>
  <c r="I29" i="4"/>
  <c r="G68" i="4"/>
  <c r="G73" i="4" l="1"/>
  <c r="I30" i="4"/>
  <c r="R35" i="4"/>
  <c r="J35" i="4"/>
  <c r="I10" i="4"/>
  <c r="I49" i="4"/>
  <c r="I11" i="4"/>
  <c r="I54" i="4"/>
  <c r="I51" i="4"/>
  <c r="J36" i="4"/>
  <c r="J40" i="4" s="1"/>
  <c r="I43" i="4"/>
  <c r="I45" i="4" s="1"/>
  <c r="F76" i="4"/>
  <c r="F84" i="4" s="1"/>
  <c r="F117" i="4" s="1"/>
  <c r="H58" i="4"/>
  <c r="F118" i="4" l="1"/>
  <c r="F119" i="4" s="1"/>
  <c r="J23" i="6"/>
  <c r="J42" i="4"/>
  <c r="K33" i="4"/>
  <c r="J31" i="4"/>
  <c r="J29" i="4"/>
  <c r="I56" i="4"/>
  <c r="H68" i="4"/>
  <c r="G74" i="4"/>
  <c r="G76" i="4" l="1"/>
  <c r="G84" i="4" s="1"/>
  <c r="G117" i="4" s="1"/>
  <c r="H73" i="4"/>
  <c r="I58" i="4"/>
  <c r="S35" i="4"/>
  <c r="J30" i="4"/>
  <c r="K35" i="4"/>
  <c r="K36" i="4" s="1"/>
  <c r="K40" i="4" s="1"/>
  <c r="J10" i="4"/>
  <c r="J49" i="4"/>
  <c r="J11" i="4"/>
  <c r="J54" i="4"/>
  <c r="J51" i="4"/>
  <c r="J43" i="4"/>
  <c r="J45" i="4"/>
  <c r="G118" i="4" l="1"/>
  <c r="G119" i="4" s="1"/>
  <c r="K23" i="6"/>
  <c r="J56" i="4"/>
  <c r="J58" i="4" s="1"/>
  <c r="L33" i="4"/>
  <c r="K29" i="4"/>
  <c r="K42" i="4"/>
  <c r="K31" i="4"/>
  <c r="J68" i="4"/>
  <c r="J73" i="4" s="1"/>
  <c r="J74" i="4" s="1"/>
  <c r="J76" i="4" s="1"/>
  <c r="J84" i="4" s="1"/>
  <c r="J117" i="4" s="1"/>
  <c r="I68" i="4"/>
  <c r="H74" i="4"/>
  <c r="N23" i="6" l="1"/>
  <c r="J118" i="4"/>
  <c r="J119" i="4" s="1"/>
  <c r="H76" i="4"/>
  <c r="H84" i="4" s="1"/>
  <c r="H117" i="4" s="1"/>
  <c r="I73" i="4"/>
  <c r="K10" i="4"/>
  <c r="K11" i="4"/>
  <c r="K51" i="4"/>
  <c r="K49" i="4"/>
  <c r="K54" i="4"/>
  <c r="K43" i="4"/>
  <c r="K45" i="4" s="1"/>
  <c r="T35" i="4"/>
  <c r="K30" i="4"/>
  <c r="L35" i="4"/>
  <c r="L36" i="4" s="1"/>
  <c r="L40" i="4" s="1"/>
  <c r="H118" i="4" l="1"/>
  <c r="H119" i="4" s="1"/>
  <c r="L23" i="6"/>
  <c r="L29" i="4"/>
  <c r="L31" i="4"/>
  <c r="L42" i="4"/>
  <c r="M33" i="4"/>
  <c r="K56" i="4"/>
  <c r="K58" i="4" s="1"/>
  <c r="I74" i="4"/>
  <c r="I76" i="4" l="1"/>
  <c r="I84" i="4" s="1"/>
  <c r="I117" i="4" s="1"/>
  <c r="K68" i="4"/>
  <c r="K73" i="4" s="1"/>
  <c r="K74" i="4" s="1"/>
  <c r="K76" i="4" s="1"/>
  <c r="K84" i="4" s="1"/>
  <c r="K117" i="4" s="1"/>
  <c r="L43" i="4"/>
  <c r="L45" i="4" s="1"/>
  <c r="L10" i="4"/>
  <c r="L51" i="4"/>
  <c r="L11" i="4"/>
  <c r="L49" i="4"/>
  <c r="L54" i="4"/>
  <c r="U35" i="4"/>
  <c r="M35" i="4"/>
  <c r="M36" i="4" s="1"/>
  <c r="M40" i="4" s="1"/>
  <c r="L30" i="4"/>
  <c r="O23" i="6" l="1"/>
  <c r="K118" i="4"/>
  <c r="K119" i="4" s="1"/>
  <c r="M23" i="6"/>
  <c r="I118" i="4"/>
  <c r="I119" i="4" s="1"/>
  <c r="M31" i="4"/>
  <c r="M42" i="4"/>
  <c r="M29" i="4"/>
  <c r="N33" i="4"/>
  <c r="L56" i="4"/>
  <c r="M11" i="4" l="1"/>
  <c r="M10" i="4"/>
  <c r="M54" i="4"/>
  <c r="M51" i="4"/>
  <c r="M49" i="4"/>
  <c r="L58" i="4"/>
  <c r="N35" i="4"/>
  <c r="N36" i="4" s="1"/>
  <c r="N40" i="4" s="1"/>
  <c r="V35" i="4"/>
  <c r="M30" i="4"/>
  <c r="M43" i="4"/>
  <c r="M45" i="4" s="1"/>
  <c r="M56" i="4" l="1"/>
  <c r="M58" i="4" s="1"/>
  <c r="L68" i="4"/>
  <c r="N31" i="4"/>
  <c r="N29" i="4"/>
  <c r="N42" i="4"/>
  <c r="O33" i="4"/>
  <c r="M68" i="4" l="1"/>
  <c r="M73" i="4" s="1"/>
  <c r="M74" i="4" s="1"/>
  <c r="M76" i="4" s="1"/>
  <c r="M84" i="4" s="1"/>
  <c r="M117" i="4" s="1"/>
  <c r="N43" i="4"/>
  <c r="N45" i="4" s="1"/>
  <c r="O35" i="4"/>
  <c r="O36" i="4" s="1"/>
  <c r="O40" i="4" s="1"/>
  <c r="N30" i="4"/>
  <c r="W35" i="4"/>
  <c r="N11" i="4"/>
  <c r="N10" i="4"/>
  <c r="N49" i="4"/>
  <c r="N54" i="4"/>
  <c r="N51" i="4"/>
  <c r="L73" i="4"/>
  <c r="L74" i="4" s="1"/>
  <c r="L76" i="4" s="1"/>
  <c r="L84" i="4" s="1"/>
  <c r="L117" i="4" s="1"/>
  <c r="P23" i="6" l="1"/>
  <c r="L118" i="4"/>
  <c r="L119" i="4" s="1"/>
  <c r="Q23" i="6"/>
  <c r="M118" i="4"/>
  <c r="M119" i="4" s="1"/>
  <c r="P33" i="4"/>
  <c r="O31" i="4"/>
  <c r="O29" i="4"/>
  <c r="O42" i="4"/>
  <c r="N56" i="4"/>
  <c r="O43" i="4" l="1"/>
  <c r="O45" i="4" s="1"/>
  <c r="O11" i="4"/>
  <c r="O51" i="4"/>
  <c r="O10" i="4"/>
  <c r="O54" i="4"/>
  <c r="O49" i="4"/>
  <c r="N58" i="4"/>
  <c r="O30" i="4"/>
  <c r="P35" i="4"/>
  <c r="P36" i="4" s="1"/>
  <c r="P40" i="4" s="1"/>
  <c r="X35" i="4"/>
  <c r="O56" i="4" l="1"/>
  <c r="Q33" i="4"/>
  <c r="Q36" i="4" s="1"/>
  <c r="Q40" i="4" s="1"/>
  <c r="P31" i="4"/>
  <c r="P29" i="4"/>
  <c r="P42" i="4"/>
  <c r="N68" i="4"/>
  <c r="O58" i="4"/>
  <c r="R33" i="4" l="1"/>
  <c r="R36" i="4" s="1"/>
  <c r="R40" i="4" s="1"/>
  <c r="Q29" i="4"/>
  <c r="Q42" i="4"/>
  <c r="O68" i="4"/>
  <c r="O73" i="4" s="1"/>
  <c r="O74" i="4" s="1"/>
  <c r="O76" i="4" s="1"/>
  <c r="N73" i="4"/>
  <c r="N74" i="4" s="1"/>
  <c r="N76" i="4" s="1"/>
  <c r="N84" i="4" s="1"/>
  <c r="N117" i="4" s="1"/>
  <c r="P43" i="4"/>
  <c r="P45" i="4" s="1"/>
  <c r="P30" i="4"/>
  <c r="Y35" i="4"/>
  <c r="P10" i="4"/>
  <c r="P54" i="4"/>
  <c r="P11" i="4"/>
  <c r="P49" i="4"/>
  <c r="FU49" i="4" s="1"/>
  <c r="P51" i="4"/>
  <c r="R23" i="6" l="1"/>
  <c r="N118" i="4"/>
  <c r="N119" i="4" s="1"/>
  <c r="FT51" i="4"/>
  <c r="FU51" i="4"/>
  <c r="FT54" i="4"/>
  <c r="FU54" i="4"/>
  <c r="O84" i="4"/>
  <c r="Q43" i="4"/>
  <c r="Q45" i="4" s="1"/>
  <c r="Q30" i="4"/>
  <c r="Z35" i="4"/>
  <c r="P56" i="4"/>
  <c r="FU56" i="4" s="1"/>
  <c r="FT49" i="4"/>
  <c r="R29" i="4"/>
  <c r="R42" i="4"/>
  <c r="S33" i="4"/>
  <c r="S36" i="4" s="1"/>
  <c r="S40" i="4" s="1"/>
  <c r="S29" i="4" l="1"/>
  <c r="S42" i="4"/>
  <c r="T33" i="4"/>
  <c r="T36" i="4" s="1"/>
  <c r="T40" i="4" s="1"/>
  <c r="P58" i="4"/>
  <c r="FT56" i="4"/>
  <c r="J18" i="1"/>
  <c r="Q58" i="4"/>
  <c r="R43" i="4"/>
  <c r="R45" i="4" s="1"/>
  <c r="R58" i="4" s="1"/>
  <c r="R30" i="4"/>
  <c r="AA35" i="4"/>
  <c r="O117" i="4"/>
  <c r="S23" i="6" s="1"/>
  <c r="Q68" i="4" l="1"/>
  <c r="P68" i="4"/>
  <c r="T29" i="4"/>
  <c r="T42" i="4"/>
  <c r="U33" i="4"/>
  <c r="U36" i="4" s="1"/>
  <c r="U40" i="4" s="1"/>
  <c r="S43" i="4"/>
  <c r="R68" i="4"/>
  <c r="R73" i="4" s="1"/>
  <c r="R74" i="4" s="1"/>
  <c r="R76" i="4" s="1"/>
  <c r="R84" i="4" s="1"/>
  <c r="R117" i="4" s="1"/>
  <c r="AB35" i="4"/>
  <c r="S30" i="4"/>
  <c r="O118" i="4"/>
  <c r="R118" i="4" l="1"/>
  <c r="R119" i="4" s="1"/>
  <c r="V23" i="6"/>
  <c r="U29" i="4"/>
  <c r="U42" i="4"/>
  <c r="V33" i="4"/>
  <c r="V36" i="4" s="1"/>
  <c r="V40" i="4" s="1"/>
  <c r="AC35" i="4"/>
  <c r="T30" i="4"/>
  <c r="P73" i="4"/>
  <c r="P74" i="4" s="1"/>
  <c r="P76" i="4" s="1"/>
  <c r="O119" i="4"/>
  <c r="Q73" i="4"/>
  <c r="S45" i="4"/>
  <c r="T43" i="4"/>
  <c r="T45" i="4" s="1"/>
  <c r="T58" i="4" s="1"/>
  <c r="T68" i="4" l="1"/>
  <c r="T73" i="4" s="1"/>
  <c r="T74" i="4" s="1"/>
  <c r="T76" i="4" s="1"/>
  <c r="T84" i="4" s="1"/>
  <c r="T117" i="4" s="1"/>
  <c r="Q74" i="4"/>
  <c r="P84" i="4"/>
  <c r="W33" i="4"/>
  <c r="W36" i="4" s="1"/>
  <c r="W40" i="4" s="1"/>
  <c r="V29" i="4"/>
  <c r="V42" i="4"/>
  <c r="U43" i="4"/>
  <c r="U45" i="4" s="1"/>
  <c r="S58" i="4"/>
  <c r="AD35" i="4"/>
  <c r="U30" i="4"/>
  <c r="T118" i="4" l="1"/>
  <c r="T119" i="4" s="1"/>
  <c r="X23" i="6"/>
  <c r="U58" i="4"/>
  <c r="V43" i="4"/>
  <c r="V45" i="4" s="1"/>
  <c r="V58" i="4" s="1"/>
  <c r="S68" i="4"/>
  <c r="V30" i="4"/>
  <c r="AE35" i="4"/>
  <c r="W29" i="4"/>
  <c r="X33" i="4"/>
  <c r="X36" i="4" s="1"/>
  <c r="X40" i="4" s="1"/>
  <c r="W42" i="4"/>
  <c r="P117" i="4"/>
  <c r="T23" i="6" s="1"/>
  <c r="Q76" i="4"/>
  <c r="X42" i="4" l="1"/>
  <c r="X29" i="4"/>
  <c r="Y33" i="4"/>
  <c r="Y36" i="4" s="1"/>
  <c r="Y40" i="4" s="1"/>
  <c r="W30" i="4"/>
  <c r="AF35" i="4"/>
  <c r="S73" i="4"/>
  <c r="W43" i="4"/>
  <c r="W45" i="4" s="1"/>
  <c r="W58" i="4" s="1"/>
  <c r="Q84" i="4"/>
  <c r="V68" i="4"/>
  <c r="V73" i="4" s="1"/>
  <c r="V74" i="4" s="1"/>
  <c r="V76" i="4" s="1"/>
  <c r="V84" i="4" s="1"/>
  <c r="V117" i="4" s="1"/>
  <c r="P118" i="4"/>
  <c r="U68" i="4"/>
  <c r="U73" i="4" s="1"/>
  <c r="U74" i="4" s="1"/>
  <c r="U76" i="4" s="1"/>
  <c r="U84" i="4" s="1"/>
  <c r="U117" i="4" s="1"/>
  <c r="U118" i="4" l="1"/>
  <c r="U119" i="4" s="1"/>
  <c r="Y23" i="6"/>
  <c r="V118" i="4"/>
  <c r="V119" i="4" s="1"/>
  <c r="Z23" i="6"/>
  <c r="W68" i="4"/>
  <c r="S74" i="4"/>
  <c r="Q117" i="4"/>
  <c r="U23" i="6" s="1"/>
  <c r="Z33" i="4"/>
  <c r="Z36" i="4" s="1"/>
  <c r="Z40" i="4" s="1"/>
  <c r="Y29" i="4"/>
  <c r="Y42" i="4"/>
  <c r="P119" i="4"/>
  <c r="X30" i="4"/>
  <c r="AG35" i="4"/>
  <c r="X43" i="4"/>
  <c r="X45" i="4" s="1"/>
  <c r="X58" i="4" s="1"/>
  <c r="Y43" i="4" l="1"/>
  <c r="Y45" i="4"/>
  <c r="Y58" i="4" s="1"/>
  <c r="Y30" i="4"/>
  <c r="AH35" i="4"/>
  <c r="Z29" i="4"/>
  <c r="Z42" i="4"/>
  <c r="AA33" i="4"/>
  <c r="AA36" i="4" s="1"/>
  <c r="AA40" i="4" s="1"/>
  <c r="S76" i="4"/>
  <c r="X68" i="4"/>
  <c r="Q118" i="4"/>
  <c r="W73" i="4"/>
  <c r="J31" i="1"/>
  <c r="J36" i="1" s="1"/>
  <c r="X73" i="4" l="1"/>
  <c r="X74" i="4" s="1"/>
  <c r="X76" i="4" s="1"/>
  <c r="X84" i="4" s="1"/>
  <c r="S84" i="4"/>
  <c r="Z43" i="4"/>
  <c r="Z45" i="4" s="1"/>
  <c r="Z58" i="4" s="1"/>
  <c r="AI35" i="4"/>
  <c r="Z30" i="4"/>
  <c r="Y68" i="4"/>
  <c r="Y73" i="4" s="1"/>
  <c r="Y74" i="4" s="1"/>
  <c r="Y76" i="4" s="1"/>
  <c r="Y84" i="4" s="1"/>
  <c r="Y117" i="4" s="1"/>
  <c r="Q119" i="4"/>
  <c r="AB33" i="4"/>
  <c r="AB36" i="4" s="1"/>
  <c r="AB40" i="4" s="1"/>
  <c r="AA29" i="4"/>
  <c r="AA42" i="4"/>
  <c r="W74" i="4"/>
  <c r="Y118" i="4" l="1"/>
  <c r="Y119" i="4" s="1"/>
  <c r="AC23" i="6"/>
  <c r="W76" i="4"/>
  <c r="Z68" i="4"/>
  <c r="AA43" i="4"/>
  <c r="AA45" i="4" s="1"/>
  <c r="AA58" i="4" s="1"/>
  <c r="AA30" i="4"/>
  <c r="AJ35" i="4"/>
  <c r="S117" i="4"/>
  <c r="W23" i="6" s="1"/>
  <c r="AC33" i="4"/>
  <c r="AC36" i="4" s="1"/>
  <c r="AC40" i="4" s="1"/>
  <c r="AB29" i="4"/>
  <c r="AB42" i="4"/>
  <c r="X117" i="4"/>
  <c r="AB23" i="6" s="1"/>
  <c r="AK35" i="4" l="1"/>
  <c r="AB30" i="4"/>
  <c r="AD33" i="4"/>
  <c r="AD36" i="4" s="1"/>
  <c r="AD40" i="4" s="1"/>
  <c r="AC42" i="4"/>
  <c r="AC29" i="4"/>
  <c r="S118" i="4"/>
  <c r="AA68" i="4"/>
  <c r="AA73" i="4" s="1"/>
  <c r="AA74" i="4" s="1"/>
  <c r="AA76" i="4" s="1"/>
  <c r="AA84" i="4" s="1"/>
  <c r="AA117" i="4" s="1"/>
  <c r="AB43" i="4"/>
  <c r="AB45" i="4"/>
  <c r="AB58" i="4" s="1"/>
  <c r="X118" i="4"/>
  <c r="X119" i="4" s="1"/>
  <c r="Z73" i="4"/>
  <c r="W84" i="4"/>
  <c r="AA118" i="4" l="1"/>
  <c r="AA119" i="4" s="1"/>
  <c r="AE23" i="6"/>
  <c r="S119" i="4"/>
  <c r="AC43" i="4"/>
  <c r="AC45" i="4" s="1"/>
  <c r="AB68" i="4"/>
  <c r="AB73" i="4" s="1"/>
  <c r="AB74" i="4" s="1"/>
  <c r="AB76" i="4" s="1"/>
  <c r="AB84" i="4" s="1"/>
  <c r="AB117" i="4" s="1"/>
  <c r="W117" i="4"/>
  <c r="AA23" i="6" s="1"/>
  <c r="J43" i="1"/>
  <c r="J46" i="1" s="1"/>
  <c r="AC30" i="4"/>
  <c r="AL35" i="4"/>
  <c r="AE33" i="4"/>
  <c r="AE36" i="4" s="1"/>
  <c r="AE40" i="4" s="1"/>
  <c r="AD42" i="4"/>
  <c r="AD29" i="4"/>
  <c r="Z74" i="4"/>
  <c r="AB118" i="4" l="1"/>
  <c r="AB119" i="4" s="1"/>
  <c r="AF23" i="6"/>
  <c r="FU74" i="4"/>
  <c r="Z76" i="4"/>
  <c r="W118" i="4"/>
  <c r="J56" i="1"/>
  <c r="FU73" i="4"/>
  <c r="AD30" i="4"/>
  <c r="AM35" i="4"/>
  <c r="AF33" i="4"/>
  <c r="AF36" i="4" s="1"/>
  <c r="AF40" i="4" s="1"/>
  <c r="AE29" i="4"/>
  <c r="AE42" i="4"/>
  <c r="AC58" i="4"/>
  <c r="AD43" i="4"/>
  <c r="AE43" i="4" l="1"/>
  <c r="AF29" i="4"/>
  <c r="AG33" i="4"/>
  <c r="AG36" i="4" s="1"/>
  <c r="AG40" i="4" s="1"/>
  <c r="AF42" i="4"/>
  <c r="AE30" i="4"/>
  <c r="AN35" i="4"/>
  <c r="J57" i="1"/>
  <c r="W119" i="4"/>
  <c r="Z84" i="4"/>
  <c r="FU76" i="4"/>
  <c r="AD45" i="4"/>
  <c r="AC68" i="4"/>
  <c r="AC73" i="4" l="1"/>
  <c r="AF43" i="4"/>
  <c r="AF45" i="4" s="1"/>
  <c r="AF58" i="4" s="1"/>
  <c r="AG29" i="4"/>
  <c r="AG42" i="4"/>
  <c r="AH33" i="4"/>
  <c r="AH36" i="4" s="1"/>
  <c r="AH40" i="4" s="1"/>
  <c r="AD58" i="4"/>
  <c r="AF30" i="4"/>
  <c r="AO35" i="4"/>
  <c r="Z117" i="4"/>
  <c r="AD23" i="6" s="1"/>
  <c r="AE45" i="4"/>
  <c r="AE58" i="4" s="1"/>
  <c r="AH29" i="4" l="1"/>
  <c r="AI33" i="4"/>
  <c r="AI36" i="4" s="1"/>
  <c r="AI40" i="4" s="1"/>
  <c r="AH42" i="4"/>
  <c r="AD68" i="4"/>
  <c r="AG43" i="4"/>
  <c r="AG45" i="4" s="1"/>
  <c r="AP35" i="4"/>
  <c r="AG30" i="4"/>
  <c r="AF68" i="4"/>
  <c r="AF73" i="4" s="1"/>
  <c r="AF74" i="4" s="1"/>
  <c r="AF76" i="4" s="1"/>
  <c r="AF84" i="4" s="1"/>
  <c r="AF117" i="4" s="1"/>
  <c r="AC74" i="4"/>
  <c r="AE68" i="4"/>
  <c r="AE73" i="4" s="1"/>
  <c r="AE74" i="4" s="1"/>
  <c r="AE76" i="4" s="1"/>
  <c r="AE84" i="4" s="1"/>
  <c r="AE117" i="4" s="1"/>
  <c r="Z118" i="4"/>
  <c r="Z119" i="4" s="1"/>
  <c r="AE118" i="4" l="1"/>
  <c r="AE119" i="4" s="1"/>
  <c r="AI23" i="6"/>
  <c r="AF118" i="4"/>
  <c r="AF119" i="4" s="1"/>
  <c r="AJ23" i="6"/>
  <c r="AG58" i="4"/>
  <c r="AD73" i="4"/>
  <c r="AH43" i="4"/>
  <c r="AH45" i="4" s="1"/>
  <c r="AH58" i="4" s="1"/>
  <c r="AI29" i="4"/>
  <c r="AI42" i="4"/>
  <c r="AJ33" i="4"/>
  <c r="AJ36" i="4" s="1"/>
  <c r="AJ40" i="4" s="1"/>
  <c r="AC76" i="4"/>
  <c r="AQ35" i="4"/>
  <c r="AH30" i="4"/>
  <c r="AG68" i="4" l="1"/>
  <c r="AC84" i="4"/>
  <c r="AR35" i="4"/>
  <c r="AI30" i="4"/>
  <c r="AK33" i="4"/>
  <c r="AK36" i="4" s="1"/>
  <c r="AK40" i="4" s="1"/>
  <c r="AJ42" i="4"/>
  <c r="AJ29" i="4"/>
  <c r="AI43" i="4"/>
  <c r="AI45" i="4" s="1"/>
  <c r="AI58" i="4" s="1"/>
  <c r="AH68" i="4"/>
  <c r="AH73" i="4" s="1"/>
  <c r="AH74" i="4" s="1"/>
  <c r="AH76" i="4" s="1"/>
  <c r="AH84" i="4" s="1"/>
  <c r="AH117" i="4" s="1"/>
  <c r="AD74" i="4"/>
  <c r="AH118" i="4" l="1"/>
  <c r="AH119" i="4" s="1"/>
  <c r="AL23" i="6"/>
  <c r="AI68" i="4"/>
  <c r="AI73" i="4" s="1"/>
  <c r="AI74" i="4" s="1"/>
  <c r="AI76" i="4" s="1"/>
  <c r="AI84" i="4" s="1"/>
  <c r="AI117" i="4" s="1"/>
  <c r="AJ43" i="4"/>
  <c r="AJ45" i="4" s="1"/>
  <c r="AS35" i="4"/>
  <c r="AJ30" i="4"/>
  <c r="AL33" i="4"/>
  <c r="AL36" i="4" s="1"/>
  <c r="AL40" i="4" s="1"/>
  <c r="AK42" i="4"/>
  <c r="AK29" i="4"/>
  <c r="AD76" i="4"/>
  <c r="AG73" i="4"/>
  <c r="AC117" i="4"/>
  <c r="AG23" i="6" s="1"/>
  <c r="AI118" i="4" l="1"/>
  <c r="AI119" i="4" s="1"/>
  <c r="AM23" i="6"/>
  <c r="AL29" i="4"/>
  <c r="AM33" i="4"/>
  <c r="AM36" i="4" s="1"/>
  <c r="AM40" i="4" s="1"/>
  <c r="AL42" i="4"/>
  <c r="AG74" i="4"/>
  <c r="AK30" i="4"/>
  <c r="AT35" i="4"/>
  <c r="AD84" i="4"/>
  <c r="AK43" i="4"/>
  <c r="AK45" i="4" s="1"/>
  <c r="AK58" i="4" s="1"/>
  <c r="AJ58" i="4"/>
  <c r="AC118" i="4"/>
  <c r="AC119" i="4" s="1"/>
  <c r="AK68" i="4" l="1"/>
  <c r="AK73" i="4" s="1"/>
  <c r="AK74" i="4" s="1"/>
  <c r="AK76" i="4" s="1"/>
  <c r="AK84" i="4" s="1"/>
  <c r="AK117" i="4" s="1"/>
  <c r="AD117" i="4"/>
  <c r="AH23" i="6" s="1"/>
  <c r="AG76" i="4"/>
  <c r="AU35" i="4"/>
  <c r="AL30" i="4"/>
  <c r="AJ68" i="4"/>
  <c r="AL43" i="4"/>
  <c r="AM29" i="4"/>
  <c r="AN33" i="4"/>
  <c r="AN36" i="4" s="1"/>
  <c r="AN40" i="4" s="1"/>
  <c r="AM42" i="4"/>
  <c r="AK118" i="4" l="1"/>
  <c r="AK119" i="4" s="1"/>
  <c r="AO23" i="6"/>
  <c r="AJ73" i="4"/>
  <c r="AV35" i="4"/>
  <c r="AM30" i="4"/>
  <c r="AL45" i="4"/>
  <c r="AL58" i="4" s="1"/>
  <c r="AD118" i="4"/>
  <c r="AD119" i="4" s="1"/>
  <c r="AM43" i="4"/>
  <c r="AG84" i="4"/>
  <c r="AN29" i="4"/>
  <c r="AN42" i="4"/>
  <c r="AO33" i="4"/>
  <c r="AO36" i="4" s="1"/>
  <c r="AO40" i="4" s="1"/>
  <c r="AL68" i="4" l="1"/>
  <c r="AW35" i="4"/>
  <c r="AN30" i="4"/>
  <c r="AO42" i="4"/>
  <c r="AO29" i="4"/>
  <c r="AP33" i="4"/>
  <c r="AP36" i="4" s="1"/>
  <c r="AP40" i="4" s="1"/>
  <c r="AJ74" i="4"/>
  <c r="AG117" i="4"/>
  <c r="AK23" i="6" s="1"/>
  <c r="K43" i="1"/>
  <c r="K46" i="1" s="1"/>
  <c r="AM45" i="4"/>
  <c r="AM58" i="4" s="1"/>
  <c r="AN43" i="4"/>
  <c r="AN45" i="4" s="1"/>
  <c r="AN58" i="4" s="1"/>
  <c r="AN68" i="4" l="1"/>
  <c r="AN73" i="4" s="1"/>
  <c r="AN74" i="4" s="1"/>
  <c r="AN76" i="4" s="1"/>
  <c r="AN84" i="4" s="1"/>
  <c r="AN117" i="4" s="1"/>
  <c r="AM68" i="4"/>
  <c r="AM73" i="4" s="1"/>
  <c r="AM74" i="4" s="1"/>
  <c r="AM76" i="4" s="1"/>
  <c r="AM84" i="4" s="1"/>
  <c r="AM117" i="4" s="1"/>
  <c r="AO43" i="4"/>
  <c r="AO45" i="4" s="1"/>
  <c r="AG118" i="4"/>
  <c r="AG119" i="4" s="1"/>
  <c r="K56" i="1"/>
  <c r="AJ76" i="4"/>
  <c r="AP29" i="4"/>
  <c r="AQ33" i="4"/>
  <c r="AQ36" i="4" s="1"/>
  <c r="AQ40" i="4" s="1"/>
  <c r="AP42" i="4"/>
  <c r="AX35" i="4"/>
  <c r="AO30" i="4"/>
  <c r="AL73" i="4"/>
  <c r="FV68" i="4"/>
  <c r="AM118" i="4" l="1"/>
  <c r="AM119" i="4" s="1"/>
  <c r="AQ23" i="6"/>
  <c r="AN118" i="4"/>
  <c r="AN119" i="4" s="1"/>
  <c r="AR23" i="6"/>
  <c r="K57" i="1"/>
  <c r="AP43" i="4"/>
  <c r="AP45" i="4" s="1"/>
  <c r="AP58" i="4" s="1"/>
  <c r="AP30" i="4"/>
  <c r="AY35" i="4"/>
  <c r="AO58" i="4"/>
  <c r="AL74" i="4"/>
  <c r="FV73" i="4"/>
  <c r="AR33" i="4"/>
  <c r="AR36" i="4" s="1"/>
  <c r="AR40" i="4" s="1"/>
  <c r="AQ29" i="4"/>
  <c r="AQ42" i="4"/>
  <c r="AJ84" i="4"/>
  <c r="AQ30" i="4" l="1"/>
  <c r="AZ35" i="4"/>
  <c r="AL76" i="4"/>
  <c r="FV74" i="4"/>
  <c r="AO68" i="4"/>
  <c r="AP68" i="4"/>
  <c r="AP73" i="4" s="1"/>
  <c r="AP74" i="4" s="1"/>
  <c r="AP76" i="4" s="1"/>
  <c r="AP84" i="4" s="1"/>
  <c r="AP117" i="4" s="1"/>
  <c r="AS33" i="4"/>
  <c r="AS36" i="4" s="1"/>
  <c r="AS40" i="4" s="1"/>
  <c r="AR29" i="4"/>
  <c r="AR42" i="4"/>
  <c r="AJ117" i="4"/>
  <c r="AN23" i="6" s="1"/>
  <c r="AQ43" i="4"/>
  <c r="AQ45" i="4" s="1"/>
  <c r="AP118" i="4" l="1"/>
  <c r="AP119" i="4" s="1"/>
  <c r="AT23" i="6"/>
  <c r="AJ118" i="4"/>
  <c r="AJ119" i="4" s="1"/>
  <c r="AR43" i="4"/>
  <c r="AR45" i="4" s="1"/>
  <c r="AR58" i="4" s="1"/>
  <c r="AR30" i="4"/>
  <c r="BA35" i="4"/>
  <c r="AT33" i="4"/>
  <c r="AT36" i="4" s="1"/>
  <c r="AT40" i="4" s="1"/>
  <c r="AS42" i="4"/>
  <c r="AS29" i="4"/>
  <c r="AO73" i="4"/>
  <c r="AL84" i="4"/>
  <c r="FV76" i="4"/>
  <c r="AQ58" i="4"/>
  <c r="AO74" i="4" l="1"/>
  <c r="AS30" i="4"/>
  <c r="BB35" i="4"/>
  <c r="AS43" i="4"/>
  <c r="AT29" i="4"/>
  <c r="AT42" i="4"/>
  <c r="AU33" i="4"/>
  <c r="AU36" i="4" s="1"/>
  <c r="AU40" i="4" s="1"/>
  <c r="AQ68" i="4"/>
  <c r="AR68" i="4"/>
  <c r="AR73" i="4" s="1"/>
  <c r="AR74" i="4" s="1"/>
  <c r="AR76" i="4" s="1"/>
  <c r="AR84" i="4" s="1"/>
  <c r="AR117" i="4" s="1"/>
  <c r="AL117" i="4"/>
  <c r="AP23" i="6" s="1"/>
  <c r="AR118" i="4" l="1"/>
  <c r="AR119" i="4" s="1"/>
  <c r="AV23" i="6"/>
  <c r="AU29" i="4"/>
  <c r="AU42" i="4"/>
  <c r="AV33" i="4"/>
  <c r="AV36" i="4" s="1"/>
  <c r="AV40" i="4" s="1"/>
  <c r="AQ73" i="4"/>
  <c r="AT30" i="4"/>
  <c r="BC35" i="4"/>
  <c r="AS45" i="4"/>
  <c r="AO76" i="4"/>
  <c r="AT43" i="4"/>
  <c r="AT45" i="4" s="1"/>
  <c r="AT58" i="4" s="1"/>
  <c r="AL118" i="4"/>
  <c r="AL119" i="4" s="1"/>
  <c r="AS58" i="4" l="1"/>
  <c r="AQ74" i="4"/>
  <c r="AT68" i="4"/>
  <c r="AT73" i="4" s="1"/>
  <c r="AT74" i="4" s="1"/>
  <c r="AT76" i="4" s="1"/>
  <c r="AT84" i="4" s="1"/>
  <c r="AT117" i="4" s="1"/>
  <c r="AO84" i="4"/>
  <c r="AV29" i="4"/>
  <c r="AW33" i="4"/>
  <c r="AW36" i="4" s="1"/>
  <c r="AW40" i="4" s="1"/>
  <c r="AV42" i="4"/>
  <c r="AU43" i="4"/>
  <c r="AU45" i="4" s="1"/>
  <c r="BD35" i="4"/>
  <c r="AU30" i="4"/>
  <c r="AT118" i="4" l="1"/>
  <c r="AT119" i="4" s="1"/>
  <c r="AX23" i="6"/>
  <c r="AU58" i="4"/>
  <c r="AV43" i="4"/>
  <c r="AW29" i="4"/>
  <c r="AX33" i="4"/>
  <c r="AX36" i="4" s="1"/>
  <c r="AX40" i="4" s="1"/>
  <c r="AW42" i="4"/>
  <c r="BE35" i="4"/>
  <c r="AV30" i="4"/>
  <c r="AO117" i="4"/>
  <c r="AS23" i="6" s="1"/>
  <c r="AQ76" i="4"/>
  <c r="AS68" i="4"/>
  <c r="AY33" i="4" l="1"/>
  <c r="AY36" i="4" s="1"/>
  <c r="AY40" i="4" s="1"/>
  <c r="AX29" i="4"/>
  <c r="AX42" i="4"/>
  <c r="BF35" i="4"/>
  <c r="AW30" i="4"/>
  <c r="AQ84" i="4"/>
  <c r="AW43" i="4"/>
  <c r="AW45" i="4" s="1"/>
  <c r="AW58" i="4" s="1"/>
  <c r="AV45" i="4"/>
  <c r="AS73" i="4"/>
  <c r="AU68" i="4"/>
  <c r="AU73" i="4" s="1"/>
  <c r="AU74" i="4" s="1"/>
  <c r="AU76" i="4" s="1"/>
  <c r="AU84" i="4" s="1"/>
  <c r="AU117" i="4" s="1"/>
  <c r="AU118" i="4" l="1"/>
  <c r="AU119" i="4" s="1"/>
  <c r="AY23" i="6"/>
  <c r="AW68" i="4"/>
  <c r="AW73" i="4" s="1"/>
  <c r="AW74" i="4" s="1"/>
  <c r="AW76" i="4" s="1"/>
  <c r="AW84" i="4" s="1"/>
  <c r="AW117" i="4" s="1"/>
  <c r="AS74" i="4"/>
  <c r="AV58" i="4"/>
  <c r="BG35" i="4"/>
  <c r="AX30" i="4"/>
  <c r="AQ117" i="4"/>
  <c r="AU23" i="6" s="1"/>
  <c r="AX43" i="4"/>
  <c r="AZ33" i="4"/>
  <c r="AZ36" i="4" s="1"/>
  <c r="AZ40" i="4" s="1"/>
  <c r="AY29" i="4"/>
  <c r="AY42" i="4"/>
  <c r="AW118" i="4" l="1"/>
  <c r="AW119" i="4" s="1"/>
  <c r="BA23" i="6"/>
  <c r="AX45" i="4"/>
  <c r="AX58" i="4" s="1"/>
  <c r="AQ118" i="4"/>
  <c r="AQ119" i="4" s="1"/>
  <c r="AV68" i="4"/>
  <c r="AZ29" i="4"/>
  <c r="BA33" i="4"/>
  <c r="BA36" i="4" s="1"/>
  <c r="BA40" i="4" s="1"/>
  <c r="AZ42" i="4"/>
  <c r="AS76" i="4"/>
  <c r="AY43" i="4"/>
  <c r="AY30" i="4"/>
  <c r="BH35" i="4"/>
  <c r="BA29" i="4" l="1"/>
  <c r="BB33" i="4"/>
  <c r="BB36" i="4" s="1"/>
  <c r="BB40" i="4" s="1"/>
  <c r="BA42" i="4"/>
  <c r="AV73" i="4"/>
  <c r="AX68" i="4"/>
  <c r="AX73" i="4" s="1"/>
  <c r="AX74" i="4" s="1"/>
  <c r="AX76" i="4" s="1"/>
  <c r="AX84" i="4" s="1"/>
  <c r="AX117" i="4" s="1"/>
  <c r="AY45" i="4"/>
  <c r="AY58" i="4" s="1"/>
  <c r="AS84" i="4"/>
  <c r="AZ43" i="4"/>
  <c r="AZ45" i="4" s="1"/>
  <c r="AZ58" i="4" s="1"/>
  <c r="AZ30" i="4"/>
  <c r="BI35" i="4"/>
  <c r="BB23" i="6" l="1"/>
  <c r="AX118" i="4"/>
  <c r="AX119" i="4" s="1"/>
  <c r="AZ68" i="4"/>
  <c r="AZ73" i="4" s="1"/>
  <c r="AZ74" i="4" s="1"/>
  <c r="AZ76" i="4" s="1"/>
  <c r="AZ84" i="4" s="1"/>
  <c r="AZ117" i="4" s="1"/>
  <c r="BD23" i="6" s="1"/>
  <c r="AY68" i="4"/>
  <c r="FW58" i="4"/>
  <c r="AS117" i="4"/>
  <c r="AW23" i="6" s="1"/>
  <c r="L43" i="1"/>
  <c r="L46" i="1" s="1"/>
  <c r="AV74" i="4"/>
  <c r="BA43" i="4"/>
  <c r="BA45" i="4" s="1"/>
  <c r="BB29" i="4"/>
  <c r="BC33" i="4"/>
  <c r="BC36" i="4" s="1"/>
  <c r="BC40" i="4" s="1"/>
  <c r="BB42" i="4"/>
  <c r="BJ35" i="4"/>
  <c r="BA30" i="4"/>
  <c r="BC29" i="4" l="1"/>
  <c r="BD33" i="4"/>
  <c r="BD36" i="4" s="1"/>
  <c r="BD40" i="4" s="1"/>
  <c r="BC42" i="4"/>
  <c r="BK35" i="4"/>
  <c r="BB30" i="4"/>
  <c r="BA58" i="4"/>
  <c r="AS118" i="4"/>
  <c r="AS119" i="4" s="1"/>
  <c r="L56" i="1"/>
  <c r="AV76" i="4"/>
  <c r="AY73" i="4"/>
  <c r="BB43" i="4"/>
  <c r="BB45" i="4" s="1"/>
  <c r="BB58" i="4" l="1"/>
  <c r="L57" i="1"/>
  <c r="AY74" i="4"/>
  <c r="FW73" i="4"/>
  <c r="L22" i="3"/>
  <c r="AV84" i="4"/>
  <c r="BA68" i="4"/>
  <c r="BC43" i="4"/>
  <c r="BC45" i="4" s="1"/>
  <c r="BD42" i="4"/>
  <c r="BD29" i="4"/>
  <c r="BE33" i="4"/>
  <c r="BE36" i="4" s="1"/>
  <c r="BE40" i="4" s="1"/>
  <c r="BL35" i="4"/>
  <c r="BC30" i="4"/>
  <c r="BC58" i="4" l="1"/>
  <c r="AV117" i="4"/>
  <c r="AZ23" i="6" s="1"/>
  <c r="BM35" i="4"/>
  <c r="BD30" i="4"/>
  <c r="L24" i="3"/>
  <c r="C22" i="1"/>
  <c r="M22" i="3"/>
  <c r="BF33" i="4"/>
  <c r="BF36" i="4" s="1"/>
  <c r="BF40" i="4" s="1"/>
  <c r="BE42" i="4"/>
  <c r="BE29" i="4"/>
  <c r="BA73" i="4"/>
  <c r="AY76" i="4"/>
  <c r="FW74" i="4"/>
  <c r="BD43" i="4"/>
  <c r="BD45" i="4" s="1"/>
  <c r="BD58" i="4" s="1"/>
  <c r="BB68" i="4"/>
  <c r="BB73" i="4" s="1"/>
  <c r="BB74" i="4" s="1"/>
  <c r="BB76" i="4" s="1"/>
  <c r="FW76" i="4" l="1"/>
  <c r="AY84" i="4"/>
  <c r="BE43" i="4"/>
  <c r="BE45" i="4" s="1"/>
  <c r="BE30" i="4"/>
  <c r="BN35" i="4"/>
  <c r="L26" i="3"/>
  <c r="L27" i="3" s="1"/>
  <c r="BL115" i="4" s="1"/>
  <c r="BP21" i="6" s="1"/>
  <c r="BP26" i="6" s="1"/>
  <c r="O18" i="7" s="1"/>
  <c r="O19" i="7" s="1"/>
  <c r="M24" i="3"/>
  <c r="C23" i="1"/>
  <c r="D23" i="1" s="1"/>
  <c r="BD68" i="4"/>
  <c r="BD73" i="4" s="1"/>
  <c r="BD74" i="4" s="1"/>
  <c r="BD76" i="4" s="1"/>
  <c r="BG33" i="4"/>
  <c r="BG36" i="4" s="1"/>
  <c r="BG40" i="4" s="1"/>
  <c r="BF29" i="4"/>
  <c r="BF42" i="4"/>
  <c r="BA74" i="4"/>
  <c r="BC68" i="4"/>
  <c r="AY117" i="4" l="1"/>
  <c r="M43" i="1"/>
  <c r="M46" i="1" s="1"/>
  <c r="BP27" i="6"/>
  <c r="N54" i="1"/>
  <c r="N57" i="1" s="1"/>
  <c r="BL118" i="4"/>
  <c r="BL119" i="4" s="1"/>
  <c r="AO115" i="4"/>
  <c r="AZ115" i="4"/>
  <c r="BE58" i="4"/>
  <c r="BH33" i="4"/>
  <c r="BH36" i="4" s="1"/>
  <c r="BH40" i="4" s="1"/>
  <c r="BG42" i="4"/>
  <c r="BG29" i="4"/>
  <c r="BC73" i="4"/>
  <c r="BA76" i="4"/>
  <c r="M27" i="3"/>
  <c r="AV115" i="4"/>
  <c r="AZ21" i="6" s="1"/>
  <c r="C25" i="1"/>
  <c r="C24" i="1"/>
  <c r="M26" i="3"/>
  <c r="BF43" i="4"/>
  <c r="BF45" i="4" s="1"/>
  <c r="BF58" i="4" s="1"/>
  <c r="BF30" i="4"/>
  <c r="BO35" i="4"/>
  <c r="BC23" i="6" l="1"/>
  <c r="AY118" i="4"/>
  <c r="AY119" i="4" s="1"/>
  <c r="C117" i="4"/>
  <c r="M56" i="1"/>
  <c r="H56" i="1" s="1"/>
  <c r="AZ118" i="4"/>
  <c r="AZ119" i="4" s="1"/>
  <c r="BD21" i="6"/>
  <c r="AO118" i="4"/>
  <c r="AO119" i="4" s="1"/>
  <c r="AS21" i="6"/>
  <c r="C115" i="4"/>
  <c r="M54" i="1"/>
  <c r="AV118" i="4"/>
  <c r="BC74" i="4"/>
  <c r="BF68" i="4"/>
  <c r="BF73" i="4" s="1"/>
  <c r="BF74" i="4" s="1"/>
  <c r="BF76" i="4" s="1"/>
  <c r="BH29" i="4"/>
  <c r="BI33" i="4"/>
  <c r="BI36" i="4" s="1"/>
  <c r="BI40" i="4" s="1"/>
  <c r="BH42" i="4"/>
  <c r="BG30" i="4"/>
  <c r="BP35" i="4"/>
  <c r="BG43" i="4"/>
  <c r="BG45" i="4" s="1"/>
  <c r="BG58" i="4" s="1"/>
  <c r="BE68" i="4"/>
  <c r="BG68" i="4" l="1"/>
  <c r="BG73" i="4" s="1"/>
  <c r="BG74" i="4" s="1"/>
  <c r="BG76" i="4" s="1"/>
  <c r="BH43" i="4"/>
  <c r="BC76" i="4"/>
  <c r="BI29" i="4"/>
  <c r="BI42" i="4"/>
  <c r="BJ33" i="4"/>
  <c r="BJ36" i="4" s="1"/>
  <c r="BJ40" i="4" s="1"/>
  <c r="BH30" i="4"/>
  <c r="BQ35" i="4"/>
  <c r="BE73" i="4"/>
  <c r="AV119" i="4"/>
  <c r="C120" i="4"/>
  <c r="C5" i="8" s="1"/>
  <c r="C118" i="4"/>
  <c r="C122" i="4"/>
  <c r="C121" i="4"/>
  <c r="H54" i="1"/>
  <c r="M57" i="1"/>
  <c r="H57" i="1" s="1"/>
  <c r="H61" i="1" l="1"/>
  <c r="M7" i="3"/>
  <c r="BJ29" i="4"/>
  <c r="BJ42" i="4"/>
  <c r="BK33" i="4"/>
  <c r="BK36" i="4" s="1"/>
  <c r="BK40" i="4" s="1"/>
  <c r="H62" i="1"/>
  <c r="H64" i="1"/>
  <c r="BI43" i="4"/>
  <c r="BI45" i="4" s="1"/>
  <c r="BI58" i="4" s="1"/>
  <c r="BR35" i="4"/>
  <c r="BI30" i="4"/>
  <c r="H63" i="1"/>
  <c r="H65" i="1" s="1"/>
  <c r="M8" i="3"/>
  <c r="BH45" i="4"/>
  <c r="BH58" i="4" s="1"/>
  <c r="H60" i="1"/>
  <c r="M6" i="3"/>
  <c r="BE74" i="4"/>
  <c r="BI68" i="4" l="1"/>
  <c r="BI73" i="4" s="1"/>
  <c r="BI74" i="4" s="1"/>
  <c r="BI76" i="4" s="1"/>
  <c r="BE76" i="4"/>
  <c r="BK29" i="4"/>
  <c r="BK42" i="4"/>
  <c r="BL33" i="4"/>
  <c r="BL36" i="4" s="1"/>
  <c r="BL40" i="4" s="1"/>
  <c r="BJ43" i="4"/>
  <c r="BS35" i="4"/>
  <c r="BJ30" i="4"/>
  <c r="BH68" i="4"/>
  <c r="BM33" i="4" l="1"/>
  <c r="BM36" i="4" s="1"/>
  <c r="BM40" i="4" s="1"/>
  <c r="BL42" i="4"/>
  <c r="BL29" i="4"/>
  <c r="BK43" i="4"/>
  <c r="BK45" i="4" s="1"/>
  <c r="BK58" i="4" s="1"/>
  <c r="BH73" i="4"/>
  <c r="BJ45" i="4"/>
  <c r="BJ58" i="4" s="1"/>
  <c r="BT35" i="4"/>
  <c r="BK30" i="4"/>
  <c r="BK68" i="4" l="1"/>
  <c r="BK73" i="4" s="1"/>
  <c r="BK74" i="4" s="1"/>
  <c r="BK76" i="4" s="1"/>
  <c r="BH74" i="4"/>
  <c r="BJ68" i="4"/>
  <c r="BU35" i="4"/>
  <c r="BL30" i="4"/>
  <c r="BL43" i="4"/>
  <c r="BM29" i="4"/>
  <c r="BM42" i="4"/>
  <c r="BN33" i="4"/>
  <c r="BN36" i="4" s="1"/>
  <c r="BN40" i="4" s="1"/>
  <c r="BN29" i="4" l="1"/>
  <c r="BO33" i="4"/>
  <c r="BO36" i="4" s="1"/>
  <c r="BO40" i="4" s="1"/>
  <c r="BN42" i="4"/>
  <c r="BM30" i="4"/>
  <c r="BV35" i="4"/>
  <c r="BJ73" i="4"/>
  <c r="BH76" i="4"/>
  <c r="BM43" i="4"/>
  <c r="BM45" i="4" s="1"/>
  <c r="BM58" i="4" s="1"/>
  <c r="BL45" i="4"/>
  <c r="BL58" i="4" s="1"/>
  <c r="BM68" i="4" l="1"/>
  <c r="BM73" i="4" s="1"/>
  <c r="BM74" i="4" s="1"/>
  <c r="BM76" i="4" s="1"/>
  <c r="BN43" i="4"/>
  <c r="BN45" i="4" s="1"/>
  <c r="BN58" i="4" s="1"/>
  <c r="BL68" i="4"/>
  <c r="BJ74" i="4"/>
  <c r="BO29" i="4"/>
  <c r="BP33" i="4"/>
  <c r="BP36" i="4" s="1"/>
  <c r="BP40" i="4" s="1"/>
  <c r="BO42" i="4"/>
  <c r="BW35" i="4"/>
  <c r="BN30" i="4"/>
  <c r="BP29" i="4" l="1"/>
  <c r="BQ33" i="4"/>
  <c r="BQ36" i="4" s="1"/>
  <c r="BQ40" i="4" s="1"/>
  <c r="BP42" i="4"/>
  <c r="BO43" i="4"/>
  <c r="BO45" i="4"/>
  <c r="BO58" i="4" s="1"/>
  <c r="BO30" i="4"/>
  <c r="BX35" i="4"/>
  <c r="BJ76" i="4"/>
  <c r="BL73" i="4"/>
  <c r="BL74" i="4" s="1"/>
  <c r="BL76" i="4" s="1"/>
  <c r="BN68" i="4"/>
  <c r="BN73" i="4" s="1"/>
  <c r="BN74" i="4" s="1"/>
  <c r="BN76" i="4" s="1"/>
  <c r="FX74" i="4" l="1"/>
  <c r="BR33" i="4"/>
  <c r="BR36" i="4" s="1"/>
  <c r="BR40" i="4" s="1"/>
  <c r="BQ42" i="4"/>
  <c r="BQ29" i="4"/>
  <c r="BO68" i="4"/>
  <c r="BP43" i="4"/>
  <c r="BP45" i="4" s="1"/>
  <c r="BP58" i="4" s="1"/>
  <c r="BY35" i="4"/>
  <c r="BP30" i="4"/>
  <c r="BP68" i="4" l="1"/>
  <c r="BP73" i="4" s="1"/>
  <c r="BP74" i="4" s="1"/>
  <c r="BP76" i="4" s="1"/>
  <c r="BO73" i="4"/>
  <c r="BO74" i="4" s="1"/>
  <c r="BO76" i="4" s="1"/>
  <c r="BZ35" i="4"/>
  <c r="BQ30" i="4"/>
  <c r="BQ43" i="4"/>
  <c r="BQ45" i="4" s="1"/>
  <c r="BQ58" i="4" s="1"/>
  <c r="BS33" i="4"/>
  <c r="BS36" i="4" s="1"/>
  <c r="BS40" i="4" s="1"/>
  <c r="BR29" i="4"/>
  <c r="BR42" i="4"/>
  <c r="BQ68" i="4" l="1"/>
  <c r="CA35" i="4"/>
  <c r="BR30" i="4"/>
  <c r="BR43" i="4"/>
  <c r="BR45" i="4" s="1"/>
  <c r="BR58" i="4" s="1"/>
  <c r="BT33" i="4"/>
  <c r="BT36" i="4" s="1"/>
  <c r="BT40" i="4" s="1"/>
  <c r="BS42" i="4"/>
  <c r="BS29" i="4"/>
  <c r="BU33" i="4" l="1"/>
  <c r="BU36" i="4" s="1"/>
  <c r="BU40" i="4" s="1"/>
  <c r="BT29" i="4"/>
  <c r="BT42" i="4"/>
  <c r="BS30" i="4"/>
  <c r="CB35" i="4"/>
  <c r="BS43" i="4"/>
  <c r="BS45" i="4" s="1"/>
  <c r="BS58" i="4" s="1"/>
  <c r="BR68" i="4"/>
  <c r="BR73" i="4" s="1"/>
  <c r="BR74" i="4" s="1"/>
  <c r="BR76" i="4" s="1"/>
  <c r="BQ73" i="4"/>
  <c r="BQ74" i="4" s="1"/>
  <c r="BQ76" i="4" s="1"/>
  <c r="BS68" i="4" l="1"/>
  <c r="BS73" i="4" s="1"/>
  <c r="BS74" i="4" s="1"/>
  <c r="BS76" i="4" s="1"/>
  <c r="BT30" i="4"/>
  <c r="CC35" i="4"/>
  <c r="BT43" i="4"/>
  <c r="BT45" i="4"/>
  <c r="BT58" i="4" s="1"/>
  <c r="BV33" i="4"/>
  <c r="BV36" i="4" s="1"/>
  <c r="BV40" i="4" s="1"/>
  <c r="BU29" i="4"/>
  <c r="BU42" i="4"/>
  <c r="BU43" i="4" l="1"/>
  <c r="BU45" i="4"/>
  <c r="BU58" i="4" s="1"/>
  <c r="BU30" i="4"/>
  <c r="CD35" i="4"/>
  <c r="BV29" i="4"/>
  <c r="BW33" i="4"/>
  <c r="BW36" i="4" s="1"/>
  <c r="BW40" i="4" s="1"/>
  <c r="BV42" i="4"/>
  <c r="BT68" i="4"/>
  <c r="BT73" i="4" l="1"/>
  <c r="BT74" i="4" s="1"/>
  <c r="BT76" i="4" s="1"/>
  <c r="BV43" i="4"/>
  <c r="BV45" i="4" s="1"/>
  <c r="BV58" i="4" s="1"/>
  <c r="BW29" i="4"/>
  <c r="BW42" i="4"/>
  <c r="BX33" i="4"/>
  <c r="BX36" i="4" s="1"/>
  <c r="BX40" i="4" s="1"/>
  <c r="BV30" i="4"/>
  <c r="CE35" i="4"/>
  <c r="BU68" i="4"/>
  <c r="BU73" i="4" s="1"/>
  <c r="BU74" i="4" s="1"/>
  <c r="BU76" i="4" s="1"/>
  <c r="BX29" i="4" l="1"/>
  <c r="BY33" i="4"/>
  <c r="BY36" i="4" s="1"/>
  <c r="BY40" i="4" s="1"/>
  <c r="BX42" i="4"/>
  <c r="BW43" i="4"/>
  <c r="BW45" i="4" s="1"/>
  <c r="BW58" i="4" s="1"/>
  <c r="CF35" i="4"/>
  <c r="BW30" i="4"/>
  <c r="BV68" i="4"/>
  <c r="BV73" i="4" s="1"/>
  <c r="BV74" i="4" s="1"/>
  <c r="BV76" i="4" s="1"/>
  <c r="BW68" i="4" l="1"/>
  <c r="BX43" i="4"/>
  <c r="BY29" i="4"/>
  <c r="BY42" i="4"/>
  <c r="BZ33" i="4"/>
  <c r="BZ36" i="4" s="1"/>
  <c r="BZ40" i="4" s="1"/>
  <c r="CG35" i="4"/>
  <c r="BX30" i="4"/>
  <c r="CA33" i="4" l="1"/>
  <c r="CA36" i="4" s="1"/>
  <c r="CA40" i="4" s="1"/>
  <c r="BZ29" i="4"/>
  <c r="BZ42" i="4"/>
  <c r="BY43" i="4"/>
  <c r="BY45" i="4" s="1"/>
  <c r="BY58" i="4" s="1"/>
  <c r="CH35" i="4"/>
  <c r="BY30" i="4"/>
  <c r="BX45" i="4"/>
  <c r="BX58" i="4" s="1"/>
  <c r="BW73" i="4"/>
  <c r="BW74" i="4" s="1"/>
  <c r="BW76" i="4" s="1"/>
  <c r="BX68" i="4" l="1"/>
  <c r="BY68" i="4"/>
  <c r="BY73" i="4" s="1"/>
  <c r="BY74" i="4" s="1"/>
  <c r="BY76" i="4" s="1"/>
  <c r="BZ43" i="4"/>
  <c r="BZ45" i="4" s="1"/>
  <c r="BZ58" i="4" s="1"/>
  <c r="BZ30" i="4"/>
  <c r="CI35" i="4"/>
  <c r="CA42" i="4"/>
  <c r="CB33" i="4"/>
  <c r="CB36" i="4" s="1"/>
  <c r="CB40" i="4" s="1"/>
  <c r="CA29" i="4"/>
  <c r="BZ68" i="4" l="1"/>
  <c r="BZ73" i="4" s="1"/>
  <c r="BZ74" i="4" s="1"/>
  <c r="BZ76" i="4" s="1"/>
  <c r="CA43" i="4"/>
  <c r="CA45" i="4" s="1"/>
  <c r="CA58" i="4" s="1"/>
  <c r="CA30" i="4"/>
  <c r="CJ35" i="4"/>
  <c r="CB29" i="4"/>
  <c r="CB42" i="4"/>
  <c r="CC33" i="4"/>
  <c r="CC36" i="4" s="1"/>
  <c r="CC40" i="4" s="1"/>
  <c r="BX73" i="4"/>
  <c r="BX74" i="4" s="1"/>
  <c r="BX76" i="4" s="1"/>
  <c r="CA68" i="4" l="1"/>
  <c r="CC29" i="4"/>
  <c r="CC42" i="4"/>
  <c r="CD33" i="4"/>
  <c r="CD36" i="4" s="1"/>
  <c r="CD40" i="4" s="1"/>
  <c r="CB43" i="4"/>
  <c r="CB45" i="4" s="1"/>
  <c r="CB58" i="4" s="1"/>
  <c r="CB30" i="4"/>
  <c r="CK35" i="4"/>
  <c r="CB68" i="4" l="1"/>
  <c r="CB73" i="4" s="1"/>
  <c r="CB74" i="4" s="1"/>
  <c r="CB76" i="4" s="1"/>
  <c r="CD29" i="4"/>
  <c r="CD42" i="4"/>
  <c r="CE33" i="4"/>
  <c r="CE36" i="4" s="1"/>
  <c r="CE40" i="4" s="1"/>
  <c r="CC43" i="4"/>
  <c r="CC45" i="4" s="1"/>
  <c r="CC58" i="4" s="1"/>
  <c r="CC30" i="4"/>
  <c r="CL35" i="4"/>
  <c r="CA73" i="4"/>
  <c r="CA74" i="4" s="1"/>
  <c r="CA76" i="4" s="1"/>
  <c r="CC68" i="4" l="1"/>
  <c r="CC73" i="4" s="1"/>
  <c r="CC74" i="4" s="1"/>
  <c r="CC76" i="4" s="1"/>
  <c r="CE29" i="4"/>
  <c r="CE42" i="4"/>
  <c r="CF33" i="4"/>
  <c r="CF36" i="4" s="1"/>
  <c r="CF40" i="4" s="1"/>
  <c r="CD43" i="4"/>
  <c r="CD45" i="4" s="1"/>
  <c r="CD58" i="4" s="1"/>
  <c r="CM35" i="4"/>
  <c r="CD30" i="4"/>
  <c r="CD68" i="4" l="1"/>
  <c r="CD73" i="4" s="1"/>
  <c r="CD74" i="4" s="1"/>
  <c r="CD76" i="4" s="1"/>
  <c r="CF29" i="4"/>
  <c r="CF42" i="4"/>
  <c r="CG33" i="4"/>
  <c r="CG36" i="4" s="1"/>
  <c r="CG40" i="4" s="1"/>
  <c r="CE43" i="4"/>
  <c r="CE45" i="4" s="1"/>
  <c r="CE58" i="4" s="1"/>
  <c r="CN35" i="4"/>
  <c r="CE30" i="4"/>
  <c r="CE68" i="4" l="1"/>
  <c r="CE73" i="4" s="1"/>
  <c r="CE74" i="4" s="1"/>
  <c r="CE76" i="4" s="1"/>
  <c r="CH33" i="4"/>
  <c r="CH36" i="4" s="1"/>
  <c r="CH40" i="4" s="1"/>
  <c r="CG29" i="4"/>
  <c r="CG42" i="4"/>
  <c r="CF43" i="4"/>
  <c r="CF45" i="4" s="1"/>
  <c r="CF58" i="4" s="1"/>
  <c r="CF30" i="4"/>
  <c r="CO35" i="4"/>
  <c r="CF68" i="4" l="1"/>
  <c r="CG43" i="4"/>
  <c r="CG30" i="4"/>
  <c r="CP35" i="4"/>
  <c r="CI33" i="4"/>
  <c r="CI36" i="4" s="1"/>
  <c r="CI40" i="4" s="1"/>
  <c r="CH42" i="4"/>
  <c r="CH29" i="4"/>
  <c r="CH30" i="4" l="1"/>
  <c r="CQ35" i="4"/>
  <c r="CG45" i="4"/>
  <c r="CG58" i="4" s="1"/>
  <c r="CH43" i="4"/>
  <c r="CJ33" i="4"/>
  <c r="CJ36" i="4" s="1"/>
  <c r="CJ40" i="4" s="1"/>
  <c r="CI29" i="4"/>
  <c r="CI42" i="4"/>
  <c r="CF73" i="4"/>
  <c r="CF74" i="4" s="1"/>
  <c r="CF76" i="4" s="1"/>
  <c r="CJ29" i="4" l="1"/>
  <c r="CJ42" i="4"/>
  <c r="CK33" i="4"/>
  <c r="CK36" i="4" s="1"/>
  <c r="CK40" i="4" s="1"/>
  <c r="CI43" i="4"/>
  <c r="CI45" i="4" s="1"/>
  <c r="CI58" i="4" s="1"/>
  <c r="CI30" i="4"/>
  <c r="CR35" i="4"/>
  <c r="CH45" i="4"/>
  <c r="CH58" i="4" s="1"/>
  <c r="CG68" i="4"/>
  <c r="CI68" i="4" l="1"/>
  <c r="CI73" i="4" s="1"/>
  <c r="CI74" i="4" s="1"/>
  <c r="CI76" i="4" s="1"/>
  <c r="CJ43" i="4"/>
  <c r="CJ45" i="4" s="1"/>
  <c r="CJ58" i="4" s="1"/>
  <c r="CG73" i="4"/>
  <c r="CG74" i="4" s="1"/>
  <c r="CG76" i="4" s="1"/>
  <c r="CH68" i="4"/>
  <c r="CH73" i="4" s="1"/>
  <c r="CH74" i="4" s="1"/>
  <c r="CH76" i="4" s="1"/>
  <c r="CK29" i="4"/>
  <c r="CK42" i="4"/>
  <c r="CL33" i="4"/>
  <c r="CL36" i="4" s="1"/>
  <c r="CL40" i="4" s="1"/>
  <c r="CJ30" i="4"/>
  <c r="CS35" i="4"/>
  <c r="CL29" i="4" l="1"/>
  <c r="CM33" i="4"/>
  <c r="CM36" i="4" s="1"/>
  <c r="CM40" i="4" s="1"/>
  <c r="CL42" i="4"/>
  <c r="CK43" i="4"/>
  <c r="CK45" i="4"/>
  <c r="CK58" i="4" s="1"/>
  <c r="CT35" i="4"/>
  <c r="CK30" i="4"/>
  <c r="CJ68" i="4"/>
  <c r="CJ73" i="4" l="1"/>
  <c r="CJ74" i="4" s="1"/>
  <c r="CJ76" i="4" s="1"/>
  <c r="CK68" i="4"/>
  <c r="CK73" i="4" s="1"/>
  <c r="CK74" i="4" s="1"/>
  <c r="CK76" i="4" s="1"/>
  <c r="CL43" i="4"/>
  <c r="CL45" i="4" s="1"/>
  <c r="CL58" i="4" s="1"/>
  <c r="CM29" i="4"/>
  <c r="CM42" i="4"/>
  <c r="CN33" i="4"/>
  <c r="CN36" i="4" s="1"/>
  <c r="CN40" i="4" s="1"/>
  <c r="CU35" i="4"/>
  <c r="CL30" i="4"/>
  <c r="CL68" i="4" l="1"/>
  <c r="CL73" i="4" s="1"/>
  <c r="CL74" i="4" s="1"/>
  <c r="CL76" i="4" s="1"/>
  <c r="CM43" i="4"/>
  <c r="CM45" i="4" s="1"/>
  <c r="CM58" i="4" s="1"/>
  <c r="CO33" i="4"/>
  <c r="CO36" i="4" s="1"/>
  <c r="CO40" i="4" s="1"/>
  <c r="CN29" i="4"/>
  <c r="CN42" i="4"/>
  <c r="CV35" i="4"/>
  <c r="CM30" i="4"/>
  <c r="CM68" i="4" l="1"/>
  <c r="CN43" i="4"/>
  <c r="CN45" i="4" s="1"/>
  <c r="CN58" i="4" s="1"/>
  <c r="CN30" i="4"/>
  <c r="CW35" i="4"/>
  <c r="CO29" i="4"/>
  <c r="CP33" i="4"/>
  <c r="CP36" i="4" s="1"/>
  <c r="CP40" i="4" s="1"/>
  <c r="CO42" i="4"/>
  <c r="CN68" i="4" l="1"/>
  <c r="CN73" i="4" s="1"/>
  <c r="CN74" i="4" s="1"/>
  <c r="CN76" i="4" s="1"/>
  <c r="CO43" i="4"/>
  <c r="CO45" i="4" s="1"/>
  <c r="CO58" i="4" s="1"/>
  <c r="CQ33" i="4"/>
  <c r="CQ36" i="4" s="1"/>
  <c r="CQ40" i="4" s="1"/>
  <c r="CP42" i="4"/>
  <c r="CP29" i="4"/>
  <c r="CO30" i="4"/>
  <c r="CX35" i="4"/>
  <c r="CM73" i="4"/>
  <c r="CM74" i="4" s="1"/>
  <c r="CM76" i="4" s="1"/>
  <c r="CO68" i="4" l="1"/>
  <c r="CO73" i="4" s="1"/>
  <c r="CO74" i="4" s="1"/>
  <c r="CO76" i="4" s="1"/>
  <c r="CY35" i="4"/>
  <c r="CP30" i="4"/>
  <c r="CP43" i="4"/>
  <c r="CP45" i="4" s="1"/>
  <c r="CP58" i="4" s="1"/>
  <c r="CR33" i="4"/>
  <c r="CR36" i="4" s="1"/>
  <c r="CR40" i="4" s="1"/>
  <c r="CQ42" i="4"/>
  <c r="CQ29" i="4"/>
  <c r="CP68" i="4" l="1"/>
  <c r="CP73" i="4" s="1"/>
  <c r="CP74" i="4" s="1"/>
  <c r="CP76" i="4" s="1"/>
  <c r="CQ30" i="4"/>
  <c r="CZ35" i="4"/>
  <c r="CQ43" i="4"/>
  <c r="CQ45" i="4" s="1"/>
  <c r="CQ58" i="4" s="1"/>
  <c r="CR29" i="4"/>
  <c r="CS33" i="4"/>
  <c r="CS36" i="4" s="1"/>
  <c r="CS40" i="4" s="1"/>
  <c r="CR42" i="4"/>
  <c r="CR43" i="4" l="1"/>
  <c r="CR45" i="4" s="1"/>
  <c r="CR58" i="4" s="1"/>
  <c r="CT33" i="4"/>
  <c r="CT36" i="4" s="1"/>
  <c r="CT40" i="4" s="1"/>
  <c r="CS42" i="4"/>
  <c r="CS29" i="4"/>
  <c r="DA35" i="4"/>
  <c r="CR30" i="4"/>
  <c r="CQ68" i="4"/>
  <c r="CQ73" i="4" s="1"/>
  <c r="CQ74" i="4" s="1"/>
  <c r="CQ76" i="4" s="1"/>
  <c r="CT29" i="4" l="1"/>
  <c r="CU33" i="4"/>
  <c r="CU36" i="4" s="1"/>
  <c r="CU40" i="4" s="1"/>
  <c r="CT42" i="4"/>
  <c r="DB35" i="4"/>
  <c r="CS30" i="4"/>
  <c r="CR68" i="4"/>
  <c r="CS43" i="4"/>
  <c r="CS45" i="4" s="1"/>
  <c r="CS58" i="4" s="1"/>
  <c r="CS68" i="4" l="1"/>
  <c r="CS73" i="4" s="1"/>
  <c r="CS74" i="4" s="1"/>
  <c r="CS76" i="4" s="1"/>
  <c r="CR73" i="4"/>
  <c r="CR74" i="4" s="1"/>
  <c r="CR76" i="4" s="1"/>
  <c r="CT43" i="4"/>
  <c r="CT45" i="4" s="1"/>
  <c r="CT58" i="4" s="1"/>
  <c r="CV33" i="4"/>
  <c r="CV36" i="4" s="1"/>
  <c r="CV40" i="4" s="1"/>
  <c r="CU29" i="4"/>
  <c r="CU42" i="4"/>
  <c r="DC35" i="4"/>
  <c r="CT30" i="4"/>
  <c r="CU43" i="4" l="1"/>
  <c r="CU45" i="4" s="1"/>
  <c r="CU58" i="4" s="1"/>
  <c r="CT68" i="4"/>
  <c r="CU30" i="4"/>
  <c r="DD35" i="4"/>
  <c r="CW33" i="4"/>
  <c r="CW36" i="4" s="1"/>
  <c r="CW40" i="4" s="1"/>
  <c r="CV42" i="4"/>
  <c r="CV29" i="4"/>
  <c r="CU68" i="4" l="1"/>
  <c r="CU73" i="4" s="1"/>
  <c r="CU74" i="4" s="1"/>
  <c r="CU76" i="4" s="1"/>
  <c r="CV43" i="4"/>
  <c r="CV30" i="4"/>
  <c r="DE35" i="4"/>
  <c r="CX33" i="4"/>
  <c r="CX36" i="4" s="1"/>
  <c r="CX40" i="4" s="1"/>
  <c r="CW42" i="4"/>
  <c r="CW29" i="4"/>
  <c r="CT73" i="4"/>
  <c r="CT74" i="4" s="1"/>
  <c r="CT76" i="4" s="1"/>
  <c r="CW43" i="4" l="1"/>
  <c r="CW45" i="4" s="1"/>
  <c r="CW58" i="4" s="1"/>
  <c r="CW30" i="4"/>
  <c r="DF35" i="4"/>
  <c r="CX29" i="4"/>
  <c r="CY33" i="4"/>
  <c r="CY36" i="4" s="1"/>
  <c r="CY40" i="4" s="1"/>
  <c r="CX42" i="4"/>
  <c r="CV45" i="4"/>
  <c r="CV58" i="4" s="1"/>
  <c r="CV68" i="4" l="1"/>
  <c r="CX43" i="4"/>
  <c r="CX45" i="4" s="1"/>
  <c r="CX58" i="4" s="1"/>
  <c r="CY29" i="4"/>
  <c r="CY42" i="4"/>
  <c r="CZ33" i="4"/>
  <c r="CZ36" i="4" s="1"/>
  <c r="CZ40" i="4" s="1"/>
  <c r="CX30" i="4"/>
  <c r="DG35" i="4"/>
  <c r="CW68" i="4"/>
  <c r="CW73" i="4" s="1"/>
  <c r="CW74" i="4" s="1"/>
  <c r="CW76" i="4" s="1"/>
  <c r="CZ29" i="4" l="1"/>
  <c r="DA33" i="4"/>
  <c r="DA36" i="4" s="1"/>
  <c r="DA40" i="4" s="1"/>
  <c r="CZ42" i="4"/>
  <c r="CY43" i="4"/>
  <c r="CY45" i="4" s="1"/>
  <c r="CY58" i="4" s="1"/>
  <c r="DH35" i="4"/>
  <c r="CY30" i="4"/>
  <c r="CX68" i="4"/>
  <c r="CX73" i="4" s="1"/>
  <c r="CX74" i="4" s="1"/>
  <c r="CX76" i="4" s="1"/>
  <c r="CV73" i="4"/>
  <c r="CV74" i="4" s="1"/>
  <c r="CV76" i="4" s="1"/>
  <c r="CY68" i="4" l="1"/>
  <c r="CZ43" i="4"/>
  <c r="CZ45" i="4" s="1"/>
  <c r="CZ58" i="4" s="1"/>
  <c r="DA29" i="4"/>
  <c r="DB33" i="4"/>
  <c r="DB36" i="4" s="1"/>
  <c r="DB40" i="4" s="1"/>
  <c r="DA42" i="4"/>
  <c r="DI35" i="4"/>
  <c r="CZ30" i="4"/>
  <c r="DA43" i="4" l="1"/>
  <c r="DA45" i="4" s="1"/>
  <c r="DA58" i="4" s="1"/>
  <c r="DC33" i="4"/>
  <c r="DC36" i="4" s="1"/>
  <c r="DC40" i="4" s="1"/>
  <c r="DB42" i="4"/>
  <c r="DB29" i="4"/>
  <c r="DJ35" i="4"/>
  <c r="DA30" i="4"/>
  <c r="CZ68" i="4"/>
  <c r="CZ73" i="4" s="1"/>
  <c r="CZ74" i="4" s="1"/>
  <c r="CZ76" i="4" s="1"/>
  <c r="CY73" i="4"/>
  <c r="CY74" i="4" s="1"/>
  <c r="CY76" i="4" s="1"/>
  <c r="DB30" i="4" l="1"/>
  <c r="DK35" i="4"/>
  <c r="DB43" i="4"/>
  <c r="DB45" i="4" s="1"/>
  <c r="DB58" i="4" s="1"/>
  <c r="DD33" i="4"/>
  <c r="DD36" i="4" s="1"/>
  <c r="DD40" i="4" s="1"/>
  <c r="DC42" i="4"/>
  <c r="DC29" i="4"/>
  <c r="DA68" i="4"/>
  <c r="DB68" i="4" l="1"/>
  <c r="DB73" i="4" s="1"/>
  <c r="DB74" i="4" s="1"/>
  <c r="DB76" i="4" s="1"/>
  <c r="DA73" i="4"/>
  <c r="DA74" i="4" s="1"/>
  <c r="DA76" i="4" s="1"/>
  <c r="DC30" i="4"/>
  <c r="DL35" i="4"/>
  <c r="DC43" i="4"/>
  <c r="DC45" i="4" s="1"/>
  <c r="DC58" i="4" s="1"/>
  <c r="DD29" i="4"/>
  <c r="DE33" i="4"/>
  <c r="DE36" i="4" s="1"/>
  <c r="DE40" i="4" s="1"/>
  <c r="DD42" i="4"/>
  <c r="DC68" i="4" l="1"/>
  <c r="DC73" i="4" s="1"/>
  <c r="DC74" i="4" s="1"/>
  <c r="DC76" i="4" s="1"/>
  <c r="DD43" i="4"/>
  <c r="DD45" i="4" s="1"/>
  <c r="DD58" i="4" s="1"/>
  <c r="DM35" i="4"/>
  <c r="DD30" i="4"/>
  <c r="DE29" i="4"/>
  <c r="DF33" i="4"/>
  <c r="DF36" i="4" s="1"/>
  <c r="DF40" i="4" s="1"/>
  <c r="DE42" i="4"/>
  <c r="DE43" i="4" l="1"/>
  <c r="DE45" i="4" s="1"/>
  <c r="DE58" i="4" s="1"/>
  <c r="DF29" i="4"/>
  <c r="DF42" i="4"/>
  <c r="DG33" i="4"/>
  <c r="DG36" i="4" s="1"/>
  <c r="DG40" i="4" s="1"/>
  <c r="DE30" i="4"/>
  <c r="DN35" i="4"/>
  <c r="DD68" i="4"/>
  <c r="DO35" i="4" l="1"/>
  <c r="DF30" i="4"/>
  <c r="DD73" i="4"/>
  <c r="DD74" i="4" s="1"/>
  <c r="DD76" i="4" s="1"/>
  <c r="DG29" i="4"/>
  <c r="DG42" i="4"/>
  <c r="DH33" i="4"/>
  <c r="DH36" i="4" s="1"/>
  <c r="DH40" i="4" s="1"/>
  <c r="DF43" i="4"/>
  <c r="DF45" i="4" s="1"/>
  <c r="DF58" i="4" s="1"/>
  <c r="DE68" i="4"/>
  <c r="DE73" i="4" s="1"/>
  <c r="DE74" i="4" s="1"/>
  <c r="DE76" i="4" s="1"/>
  <c r="DF68" i="4" l="1"/>
  <c r="DF73" i="4" s="1"/>
  <c r="DF74" i="4" s="1"/>
  <c r="DF76" i="4" s="1"/>
  <c r="DG30" i="4"/>
  <c r="DP35" i="4"/>
  <c r="DH29" i="4"/>
  <c r="DH42" i="4"/>
  <c r="DI33" i="4"/>
  <c r="DI36" i="4" s="1"/>
  <c r="DI40" i="4" s="1"/>
  <c r="DG43" i="4"/>
  <c r="DH43" i="4" l="1"/>
  <c r="DH45" i="4" s="1"/>
  <c r="DH58" i="4" s="1"/>
  <c r="DJ33" i="4"/>
  <c r="DJ36" i="4" s="1"/>
  <c r="DJ40" i="4" s="1"/>
  <c r="DI29" i="4"/>
  <c r="DI42" i="4"/>
  <c r="DH30" i="4"/>
  <c r="DQ35" i="4"/>
  <c r="DG45" i="4"/>
  <c r="DG58" i="4" s="1"/>
  <c r="DH68" i="4" l="1"/>
  <c r="DH73" i="4" s="1"/>
  <c r="DH74" i="4" s="1"/>
  <c r="DH76" i="4" s="1"/>
  <c r="DG68" i="4"/>
  <c r="DI43" i="4"/>
  <c r="DI45" i="4" s="1"/>
  <c r="DI58" i="4" s="1"/>
  <c r="DI30" i="4"/>
  <c r="DR35" i="4"/>
  <c r="DK33" i="4"/>
  <c r="DK36" i="4" s="1"/>
  <c r="DK40" i="4" s="1"/>
  <c r="DJ29" i="4"/>
  <c r="DJ42" i="4"/>
  <c r="DI68" i="4" l="1"/>
  <c r="DI73" i="4" s="1"/>
  <c r="DI74" i="4" s="1"/>
  <c r="DI76" i="4" s="1"/>
  <c r="DJ43" i="4"/>
  <c r="DJ45" i="4" s="1"/>
  <c r="DJ58" i="4" s="1"/>
  <c r="DJ30" i="4"/>
  <c r="DS35" i="4"/>
  <c r="DL33" i="4"/>
  <c r="DL36" i="4" s="1"/>
  <c r="DL40" i="4" s="1"/>
  <c r="DK29" i="4"/>
  <c r="DK42" i="4"/>
  <c r="DG73" i="4"/>
  <c r="DG74" i="4" s="1"/>
  <c r="DG76" i="4" s="1"/>
  <c r="DJ68" i="4" l="1"/>
  <c r="DK30" i="4"/>
  <c r="DT35" i="4"/>
  <c r="DK43" i="4"/>
  <c r="DK45" i="4" s="1"/>
  <c r="DK58" i="4" s="1"/>
  <c r="DL29" i="4"/>
  <c r="DL42" i="4"/>
  <c r="DM33" i="4"/>
  <c r="DM36" i="4" s="1"/>
  <c r="DM40" i="4" s="1"/>
  <c r="DM29" i="4" l="1"/>
  <c r="DM42" i="4"/>
  <c r="DN33" i="4"/>
  <c r="DN36" i="4" s="1"/>
  <c r="DN40" i="4" s="1"/>
  <c r="DL43" i="4"/>
  <c r="DL45" i="4" s="1"/>
  <c r="DL58" i="4" s="1"/>
  <c r="DL30" i="4"/>
  <c r="DU35" i="4"/>
  <c r="DK68" i="4"/>
  <c r="DK73" i="4" s="1"/>
  <c r="DK74" i="4" s="1"/>
  <c r="DK76" i="4" s="1"/>
  <c r="DJ73" i="4"/>
  <c r="DJ74" i="4" s="1"/>
  <c r="DJ76" i="4" s="1"/>
  <c r="DL68" i="4" l="1"/>
  <c r="DN29" i="4"/>
  <c r="DO33" i="4"/>
  <c r="DO36" i="4" s="1"/>
  <c r="DO40" i="4" s="1"/>
  <c r="DN42" i="4"/>
  <c r="DM43" i="4"/>
  <c r="DM45" i="4"/>
  <c r="DM58" i="4" s="1"/>
  <c r="DV35" i="4"/>
  <c r="DM30" i="4"/>
  <c r="DM68" i="4" l="1"/>
  <c r="DM73" i="4" s="1"/>
  <c r="DM74" i="4" s="1"/>
  <c r="DM76" i="4" s="1"/>
  <c r="DN43" i="4"/>
  <c r="DN45" i="4" s="1"/>
  <c r="DN58" i="4" s="1"/>
  <c r="DO29" i="4"/>
  <c r="DP33" i="4"/>
  <c r="DP36" i="4" s="1"/>
  <c r="DP40" i="4" s="1"/>
  <c r="DO42" i="4"/>
  <c r="DW35" i="4"/>
  <c r="DN30" i="4"/>
  <c r="DL73" i="4"/>
  <c r="DL74" i="4" s="1"/>
  <c r="DL76" i="4" s="1"/>
  <c r="DQ33" i="4" l="1"/>
  <c r="DQ36" i="4" s="1"/>
  <c r="DQ40" i="4" s="1"/>
  <c r="DP29" i="4"/>
  <c r="DP42" i="4"/>
  <c r="DO43" i="4"/>
  <c r="DO45" i="4"/>
  <c r="DO58" i="4" s="1"/>
  <c r="DX35" i="4"/>
  <c r="DO30" i="4"/>
  <c r="DN68" i="4"/>
  <c r="DN73" i="4" s="1"/>
  <c r="DN74" i="4" s="1"/>
  <c r="DN76" i="4" s="1"/>
  <c r="DO68" i="4" l="1"/>
  <c r="DO73" i="4" s="1"/>
  <c r="DO74" i="4" s="1"/>
  <c r="DO76" i="4" s="1"/>
  <c r="DP43" i="4"/>
  <c r="DP30" i="4"/>
  <c r="DY35" i="4"/>
  <c r="DR33" i="4"/>
  <c r="DR36" i="4" s="1"/>
  <c r="DR40" i="4" s="1"/>
  <c r="DQ29" i="4"/>
  <c r="DQ42" i="4"/>
  <c r="DQ30" i="4" l="1"/>
  <c r="DZ35" i="4"/>
  <c r="DQ43" i="4"/>
  <c r="DQ45" i="4" s="1"/>
  <c r="DQ58" i="4" s="1"/>
  <c r="DS33" i="4"/>
  <c r="DS36" i="4" s="1"/>
  <c r="DS40" i="4" s="1"/>
  <c r="DR42" i="4"/>
  <c r="DR29" i="4"/>
  <c r="DP45" i="4"/>
  <c r="DP58" i="4" s="1"/>
  <c r="DP68" i="4" l="1"/>
  <c r="EA35" i="4"/>
  <c r="DR30" i="4"/>
  <c r="DR43" i="4"/>
  <c r="DR45" i="4" s="1"/>
  <c r="DR58" i="4" s="1"/>
  <c r="DT33" i="4"/>
  <c r="DT36" i="4" s="1"/>
  <c r="DT40" i="4" s="1"/>
  <c r="DS42" i="4"/>
  <c r="DS29" i="4"/>
  <c r="DQ68" i="4"/>
  <c r="DQ73" i="4" s="1"/>
  <c r="DQ74" i="4" s="1"/>
  <c r="DQ76" i="4" s="1"/>
  <c r="DR68" i="4" l="1"/>
  <c r="DR73" i="4" s="1"/>
  <c r="DR74" i="4" s="1"/>
  <c r="DR76" i="4" s="1"/>
  <c r="EB35" i="4"/>
  <c r="DS30" i="4"/>
  <c r="DS43" i="4"/>
  <c r="DS45" i="4" s="1"/>
  <c r="DS58" i="4" s="1"/>
  <c r="DT29" i="4"/>
  <c r="DT42" i="4"/>
  <c r="DU33" i="4"/>
  <c r="DU36" i="4" s="1"/>
  <c r="DU40" i="4" s="1"/>
  <c r="DP73" i="4"/>
  <c r="DP74" i="4" s="1"/>
  <c r="DP76" i="4" s="1"/>
  <c r="DU42" i="4" l="1"/>
  <c r="DU29" i="4"/>
  <c r="DV33" i="4"/>
  <c r="DV36" i="4" s="1"/>
  <c r="DV40" i="4" s="1"/>
  <c r="DT43" i="4"/>
  <c r="EC35" i="4"/>
  <c r="DT30" i="4"/>
  <c r="DS68" i="4"/>
  <c r="DS73" i="4" l="1"/>
  <c r="DS74" i="4" s="1"/>
  <c r="DS76" i="4" s="1"/>
  <c r="DT45" i="4"/>
  <c r="DT58" i="4" s="1"/>
  <c r="DW33" i="4"/>
  <c r="DW36" i="4" s="1"/>
  <c r="DW40" i="4" s="1"/>
  <c r="DV42" i="4"/>
  <c r="DV29" i="4"/>
  <c r="ED35" i="4"/>
  <c r="DU30" i="4"/>
  <c r="DU43" i="4"/>
  <c r="DU45" i="4" s="1"/>
  <c r="DU58" i="4" s="1"/>
  <c r="DU68" i="4" l="1"/>
  <c r="DU73" i="4" s="1"/>
  <c r="DU74" i="4" s="1"/>
  <c r="DU76" i="4" s="1"/>
  <c r="EE35" i="4"/>
  <c r="DV30" i="4"/>
  <c r="DV43" i="4"/>
  <c r="DV45" i="4" s="1"/>
  <c r="DV58" i="4" s="1"/>
  <c r="DX33" i="4"/>
  <c r="DX36" i="4" s="1"/>
  <c r="DX40" i="4" s="1"/>
  <c r="DW42" i="4"/>
  <c r="DW29" i="4"/>
  <c r="DT68" i="4"/>
  <c r="DV68" i="4" l="1"/>
  <c r="DV73" i="4" s="1"/>
  <c r="DV74" i="4" s="1"/>
  <c r="DV76" i="4" s="1"/>
  <c r="DT73" i="4"/>
  <c r="DT74" i="4" s="1"/>
  <c r="DT76" i="4" s="1"/>
  <c r="DW30" i="4"/>
  <c r="EF35" i="4"/>
  <c r="DW43" i="4"/>
  <c r="DW45" i="4" s="1"/>
  <c r="DW58" i="4" s="1"/>
  <c r="DY33" i="4"/>
  <c r="DY36" i="4" s="1"/>
  <c r="DY40" i="4" s="1"/>
  <c r="DX29" i="4"/>
  <c r="DX42" i="4"/>
  <c r="DW68" i="4" l="1"/>
  <c r="DX43" i="4"/>
  <c r="DX45" i="4" s="1"/>
  <c r="DX58" i="4" s="1"/>
  <c r="DX30" i="4"/>
  <c r="EG35" i="4"/>
  <c r="DZ33" i="4"/>
  <c r="DZ36" i="4" s="1"/>
  <c r="DZ40" i="4" s="1"/>
  <c r="DY29" i="4"/>
  <c r="DY42" i="4"/>
  <c r="DX68" i="4" l="1"/>
  <c r="DX73" i="4" s="1"/>
  <c r="DX74" i="4" s="1"/>
  <c r="DX76" i="4" s="1"/>
  <c r="DY43" i="4"/>
  <c r="DY45" i="4" s="1"/>
  <c r="DY58" i="4" s="1"/>
  <c r="DY30" i="4"/>
  <c r="EH35" i="4"/>
  <c r="DZ29" i="4"/>
  <c r="EA33" i="4"/>
  <c r="EA36" i="4" s="1"/>
  <c r="EA40" i="4" s="1"/>
  <c r="DZ42" i="4"/>
  <c r="DW73" i="4"/>
  <c r="DW74" i="4" s="1"/>
  <c r="DW76" i="4" s="1"/>
  <c r="DZ43" i="4" l="1"/>
  <c r="DZ45" i="4"/>
  <c r="DZ58" i="4" s="1"/>
  <c r="EA29" i="4"/>
  <c r="EA42" i="4"/>
  <c r="EB33" i="4"/>
  <c r="EB36" i="4" s="1"/>
  <c r="EB40" i="4" s="1"/>
  <c r="DZ30" i="4"/>
  <c r="EI35" i="4"/>
  <c r="DY68" i="4"/>
  <c r="DZ68" i="4" l="1"/>
  <c r="DZ73" i="4" s="1"/>
  <c r="DZ74" i="4" s="1"/>
  <c r="DZ76" i="4" s="1"/>
  <c r="DY73" i="4"/>
  <c r="DY74" i="4" s="1"/>
  <c r="DY76" i="4" s="1"/>
  <c r="EB29" i="4"/>
  <c r="EB42" i="4"/>
  <c r="EC33" i="4"/>
  <c r="EC36" i="4" s="1"/>
  <c r="EC40" i="4" s="1"/>
  <c r="EA43" i="4"/>
  <c r="EA45" i="4" s="1"/>
  <c r="EA58" i="4" s="1"/>
  <c r="EJ35" i="4"/>
  <c r="EA30" i="4"/>
  <c r="EA68" i="4" l="1"/>
  <c r="EA73" i="4" s="1"/>
  <c r="EA74" i="4" s="1"/>
  <c r="EA76" i="4" s="1"/>
  <c r="EB43" i="4"/>
  <c r="EB45" i="4" s="1"/>
  <c r="EB58" i="4" s="1"/>
  <c r="EC29" i="4"/>
  <c r="EC42" i="4"/>
  <c r="ED33" i="4"/>
  <c r="ED36" i="4" s="1"/>
  <c r="ED40" i="4" s="1"/>
  <c r="EK35" i="4"/>
  <c r="EB30" i="4"/>
  <c r="EE33" i="4" l="1"/>
  <c r="EE36" i="4" s="1"/>
  <c r="EE40" i="4" s="1"/>
  <c r="ED29" i="4"/>
  <c r="ED42" i="4"/>
  <c r="EC43" i="4"/>
  <c r="EC45" i="4" s="1"/>
  <c r="EC58" i="4" s="1"/>
  <c r="EL35" i="4"/>
  <c r="EC30" i="4"/>
  <c r="EB68" i="4"/>
  <c r="EB73" i="4" s="1"/>
  <c r="EB74" i="4" s="1"/>
  <c r="EB76" i="4" s="1"/>
  <c r="EC68" i="4" l="1"/>
  <c r="EC73" i="4" s="1"/>
  <c r="EC74" i="4" s="1"/>
  <c r="EC76" i="4" s="1"/>
  <c r="ED43" i="4"/>
  <c r="ED45" i="4" s="1"/>
  <c r="ED58" i="4" s="1"/>
  <c r="ED30" i="4"/>
  <c r="EM35" i="4"/>
  <c r="EE29" i="4"/>
  <c r="EF33" i="4"/>
  <c r="EF36" i="4" s="1"/>
  <c r="EF40" i="4" s="1"/>
  <c r="EE42" i="4"/>
  <c r="ED68" i="4" l="1"/>
  <c r="ED73" i="4" s="1"/>
  <c r="ED74" i="4" s="1"/>
  <c r="ED76" i="4" s="1"/>
  <c r="EE43" i="4"/>
  <c r="EE45" i="4" s="1"/>
  <c r="EE58" i="4" s="1"/>
  <c r="EF29" i="4"/>
  <c r="EG33" i="4"/>
  <c r="EG36" i="4" s="1"/>
  <c r="EG40" i="4" s="1"/>
  <c r="EF42" i="4"/>
  <c r="EE30" i="4"/>
  <c r="EN35" i="4"/>
  <c r="EF43" i="4" l="1"/>
  <c r="EF45" i="4"/>
  <c r="EF58" i="4" s="1"/>
  <c r="EG29" i="4"/>
  <c r="EH33" i="4"/>
  <c r="EH36" i="4" s="1"/>
  <c r="EH40" i="4" s="1"/>
  <c r="EG42" i="4"/>
  <c r="EF30" i="4"/>
  <c r="EO35" i="4"/>
  <c r="EE68" i="4"/>
  <c r="EE73" i="4" s="1"/>
  <c r="EE74" i="4" s="1"/>
  <c r="EE76" i="4" s="1"/>
  <c r="EG43" i="4" l="1"/>
  <c r="EG45" i="4" s="1"/>
  <c r="EG58" i="4" s="1"/>
  <c r="EH29" i="4"/>
  <c r="EI33" i="4"/>
  <c r="EI36" i="4" s="1"/>
  <c r="EI40" i="4" s="1"/>
  <c r="EH42" i="4"/>
  <c r="EG30" i="4"/>
  <c r="EP35" i="4"/>
  <c r="EF68" i="4"/>
  <c r="EF73" i="4" s="1"/>
  <c r="EF74" i="4" s="1"/>
  <c r="EF76" i="4" s="1"/>
  <c r="EH43" i="4" l="1"/>
  <c r="EH45" i="4"/>
  <c r="EH58" i="4" s="1"/>
  <c r="EI29" i="4"/>
  <c r="EJ33" i="4"/>
  <c r="EJ36" i="4" s="1"/>
  <c r="EJ40" i="4" s="1"/>
  <c r="EI42" i="4"/>
  <c r="EQ35" i="4"/>
  <c r="EH30" i="4"/>
  <c r="EG68" i="4"/>
  <c r="EG73" i="4" s="1"/>
  <c r="EG74" i="4" s="1"/>
  <c r="EG76" i="4" s="1"/>
  <c r="EI43" i="4" l="1"/>
  <c r="EI45" i="4"/>
  <c r="EI58" i="4" s="1"/>
  <c r="EJ29" i="4"/>
  <c r="EK33" i="4"/>
  <c r="EK36" i="4" s="1"/>
  <c r="EK40" i="4" s="1"/>
  <c r="EJ42" i="4"/>
  <c r="EI30" i="4"/>
  <c r="ER35" i="4"/>
  <c r="EH68" i="4"/>
  <c r="EH73" i="4" s="1"/>
  <c r="EH74" i="4" s="1"/>
  <c r="EH76" i="4" s="1"/>
  <c r="EJ43" i="4" l="1"/>
  <c r="EJ45" i="4" s="1"/>
  <c r="EJ58" i="4" s="1"/>
  <c r="EL33" i="4"/>
  <c r="EL36" i="4" s="1"/>
  <c r="EL40" i="4" s="1"/>
  <c r="EK42" i="4"/>
  <c r="EK29" i="4"/>
  <c r="EJ30" i="4"/>
  <c r="ES35" i="4"/>
  <c r="EI68" i="4"/>
  <c r="EI73" i="4" s="1"/>
  <c r="EI74" i="4" s="1"/>
  <c r="EI76" i="4" s="1"/>
  <c r="EJ68" i="4" l="1"/>
  <c r="EJ73" i="4" s="1"/>
  <c r="EJ74" i="4" s="1"/>
  <c r="EJ76" i="4" s="1"/>
  <c r="EK30" i="4"/>
  <c r="ET35" i="4"/>
  <c r="EK43" i="4"/>
  <c r="EK45" i="4" s="1"/>
  <c r="EK58" i="4" s="1"/>
  <c r="EM33" i="4"/>
  <c r="EM36" i="4" s="1"/>
  <c r="EM40" i="4" s="1"/>
  <c r="EL42" i="4"/>
  <c r="EL29" i="4"/>
  <c r="EK68" i="4" l="1"/>
  <c r="EK73" i="4" s="1"/>
  <c r="EK74" i="4" s="1"/>
  <c r="EK76" i="4" s="1"/>
  <c r="EL30" i="4"/>
  <c r="EU35" i="4"/>
  <c r="EL43" i="4"/>
  <c r="EL45" i="4" s="1"/>
  <c r="EL58" i="4" s="1"/>
  <c r="EN33" i="4"/>
  <c r="EN36" i="4" s="1"/>
  <c r="EN40" i="4" s="1"/>
  <c r="EM42" i="4"/>
  <c r="EM29" i="4"/>
  <c r="EL68" i="4" l="1"/>
  <c r="EL73" i="4" s="1"/>
  <c r="EL74" i="4" s="1"/>
  <c r="EL76" i="4" s="1"/>
  <c r="EM30" i="4"/>
  <c r="EV35" i="4"/>
  <c r="EM43" i="4"/>
  <c r="EM45" i="4" s="1"/>
  <c r="EM58" i="4" s="1"/>
  <c r="EN29" i="4"/>
  <c r="EO33" i="4"/>
  <c r="EO36" i="4" s="1"/>
  <c r="EO40" i="4" s="1"/>
  <c r="EN42" i="4"/>
  <c r="EM68" i="4" l="1"/>
  <c r="EM73" i="4" s="1"/>
  <c r="EM74" i="4" s="1"/>
  <c r="EM76" i="4" s="1"/>
  <c r="EO29" i="4"/>
  <c r="EO42" i="4"/>
  <c r="EP33" i="4"/>
  <c r="EP36" i="4" s="1"/>
  <c r="EP40" i="4" s="1"/>
  <c r="EN43" i="4"/>
  <c r="EN45" i="4"/>
  <c r="EN58" i="4" s="1"/>
  <c r="EN30" i="4"/>
  <c r="EW35" i="4"/>
  <c r="EN68" i="4" l="1"/>
  <c r="EN73" i="4" s="1"/>
  <c r="EN74" i="4" s="1"/>
  <c r="EN76" i="4" s="1"/>
  <c r="EP29" i="4"/>
  <c r="EQ33" i="4"/>
  <c r="EQ36" i="4" s="1"/>
  <c r="EQ40" i="4" s="1"/>
  <c r="EP42" i="4"/>
  <c r="EO43" i="4"/>
  <c r="EO45" i="4" s="1"/>
  <c r="EO58" i="4" s="1"/>
  <c r="EX35" i="4"/>
  <c r="EO30" i="4"/>
  <c r="EO68" i="4" l="1"/>
  <c r="EO73" i="4" s="1"/>
  <c r="EO74" i="4" s="1"/>
  <c r="EO76" i="4" s="1"/>
  <c r="EP43" i="4"/>
  <c r="EP45" i="4"/>
  <c r="EP58" i="4" s="1"/>
  <c r="EQ29" i="4"/>
  <c r="ER33" i="4"/>
  <c r="ER36" i="4" s="1"/>
  <c r="ER40" i="4" s="1"/>
  <c r="EQ42" i="4"/>
  <c r="EY35" i="4"/>
  <c r="EP30" i="4"/>
  <c r="EQ43" i="4" l="1"/>
  <c r="EQ45" i="4" s="1"/>
  <c r="EQ58" i="4" s="1"/>
  <c r="ES33" i="4"/>
  <c r="ES36" i="4" s="1"/>
  <c r="ES40" i="4" s="1"/>
  <c r="ER29" i="4"/>
  <c r="ER42" i="4"/>
  <c r="EZ35" i="4"/>
  <c r="EQ30" i="4"/>
  <c r="EP68" i="4"/>
  <c r="EP73" i="4" s="1"/>
  <c r="EP74" i="4" s="1"/>
  <c r="EP76" i="4" s="1"/>
  <c r="ER43" i="4" l="1"/>
  <c r="ER45" i="4"/>
  <c r="ER58" i="4" s="1"/>
  <c r="FA35" i="4"/>
  <c r="ER30" i="4"/>
  <c r="ET33" i="4"/>
  <c r="ET36" i="4" s="1"/>
  <c r="ET40" i="4" s="1"/>
  <c r="ES42" i="4"/>
  <c r="ES29" i="4"/>
  <c r="EQ68" i="4"/>
  <c r="EQ73" i="4" s="1"/>
  <c r="EQ74" i="4" s="1"/>
  <c r="EQ76" i="4" s="1"/>
  <c r="ES30" i="4" l="1"/>
  <c r="FB35" i="4"/>
  <c r="ES43" i="4"/>
  <c r="ES45" i="4"/>
  <c r="ES58" i="4" s="1"/>
  <c r="ET42" i="4"/>
  <c r="ET29" i="4"/>
  <c r="EU33" i="4"/>
  <c r="EU36" i="4" s="1"/>
  <c r="EU40" i="4" s="1"/>
  <c r="ER68" i="4"/>
  <c r="ER73" i="4" s="1"/>
  <c r="ER74" i="4" s="1"/>
  <c r="ER76" i="4" s="1"/>
  <c r="EU29" i="4" l="1"/>
  <c r="EV33" i="4"/>
  <c r="EV36" i="4" s="1"/>
  <c r="EV40" i="4" s="1"/>
  <c r="EU42" i="4"/>
  <c r="FC35" i="4"/>
  <c r="ET30" i="4"/>
  <c r="ET43" i="4"/>
  <c r="ET45" i="4" s="1"/>
  <c r="ET58" i="4" s="1"/>
  <c r="ES68" i="4"/>
  <c r="ES73" i="4" s="1"/>
  <c r="ES74" i="4" s="1"/>
  <c r="ES76" i="4" s="1"/>
  <c r="ET68" i="4" l="1"/>
  <c r="ET73" i="4" s="1"/>
  <c r="ET74" i="4" s="1"/>
  <c r="ET76" i="4" s="1"/>
  <c r="EU43" i="4"/>
  <c r="EU45" i="4" s="1"/>
  <c r="EU58" i="4" s="1"/>
  <c r="EV29" i="4"/>
  <c r="EW33" i="4"/>
  <c r="EW36" i="4" s="1"/>
  <c r="EW40" i="4" s="1"/>
  <c r="EV42" i="4"/>
  <c r="FD35" i="4"/>
  <c r="EU30" i="4"/>
  <c r="EV43" i="4" l="1"/>
  <c r="EV45" i="4" s="1"/>
  <c r="EV58" i="4" s="1"/>
  <c r="EW29" i="4"/>
  <c r="EW42" i="4"/>
  <c r="EX33" i="4"/>
  <c r="EX36" i="4" s="1"/>
  <c r="EX40" i="4" s="1"/>
  <c r="FE35" i="4"/>
  <c r="EV30" i="4"/>
  <c r="EU68" i="4"/>
  <c r="EU73" i="4" s="1"/>
  <c r="EU74" i="4" s="1"/>
  <c r="EU76" i="4" s="1"/>
  <c r="EV68" i="4" l="1"/>
  <c r="EV73" i="4" s="1"/>
  <c r="EV74" i="4" s="1"/>
  <c r="EV76" i="4" s="1"/>
  <c r="EX29" i="4"/>
  <c r="EY33" i="4"/>
  <c r="EY36" i="4" s="1"/>
  <c r="EY40" i="4" s="1"/>
  <c r="EX42" i="4"/>
  <c r="EW43" i="4"/>
  <c r="EW45" i="4" s="1"/>
  <c r="EW58" i="4" s="1"/>
  <c r="EW30" i="4"/>
  <c r="FF35" i="4"/>
  <c r="EW68" i="4" l="1"/>
  <c r="EW73" i="4" s="1"/>
  <c r="EW74" i="4" s="1"/>
  <c r="EW76" i="4" s="1"/>
  <c r="EX43" i="4"/>
  <c r="EX45" i="4" s="1"/>
  <c r="EX58" i="4" s="1"/>
  <c r="EZ33" i="4"/>
  <c r="EZ36" i="4" s="1"/>
  <c r="EZ40" i="4" s="1"/>
  <c r="EY42" i="4"/>
  <c r="EY29" i="4"/>
  <c r="EX30" i="4"/>
  <c r="FG35" i="4"/>
  <c r="EX68" i="4" l="1"/>
  <c r="EX73" i="4" s="1"/>
  <c r="EX74" i="4" s="1"/>
  <c r="EX76" i="4" s="1"/>
  <c r="EY30" i="4"/>
  <c r="FH35" i="4"/>
  <c r="EY43" i="4"/>
  <c r="EY45" i="4" s="1"/>
  <c r="EY58" i="4" s="1"/>
  <c r="FA33" i="4"/>
  <c r="FA36" i="4" s="1"/>
  <c r="FA40" i="4" s="1"/>
  <c r="EZ42" i="4"/>
  <c r="EZ29" i="4"/>
  <c r="EY68" i="4" l="1"/>
  <c r="EY73" i="4" s="1"/>
  <c r="EY74" i="4" s="1"/>
  <c r="EY76" i="4" s="1"/>
  <c r="EZ30" i="4"/>
  <c r="FI35" i="4"/>
  <c r="EZ43" i="4"/>
  <c r="EZ45" i="4" s="1"/>
  <c r="EZ58" i="4" s="1"/>
  <c r="FB33" i="4"/>
  <c r="FB36" i="4" s="1"/>
  <c r="FB40" i="4" s="1"/>
  <c r="FA42" i="4"/>
  <c r="FA29" i="4"/>
  <c r="FA30" i="4" l="1"/>
  <c r="FJ35" i="4"/>
  <c r="FA43" i="4"/>
  <c r="FA45" i="4" s="1"/>
  <c r="FA58" i="4" s="1"/>
  <c r="FB29" i="4"/>
  <c r="FB42" i="4"/>
  <c r="FC33" i="4"/>
  <c r="FC36" i="4" s="1"/>
  <c r="FC40" i="4" s="1"/>
  <c r="EZ68" i="4"/>
  <c r="EZ73" i="4" s="1"/>
  <c r="EZ74" i="4" s="1"/>
  <c r="EZ76" i="4" s="1"/>
  <c r="FC29" i="4" l="1"/>
  <c r="FC42" i="4"/>
  <c r="FD33" i="4"/>
  <c r="FD36" i="4" s="1"/>
  <c r="FD40" i="4" s="1"/>
  <c r="FB43" i="4"/>
  <c r="FB45" i="4" s="1"/>
  <c r="FB58" i="4" s="1"/>
  <c r="FB30" i="4"/>
  <c r="FK35" i="4"/>
  <c r="FA68" i="4"/>
  <c r="FA73" i="4" s="1"/>
  <c r="FA74" i="4" s="1"/>
  <c r="FA76" i="4" s="1"/>
  <c r="FB68" i="4" l="1"/>
  <c r="FB73" i="4" s="1"/>
  <c r="FB74" i="4" s="1"/>
  <c r="FB76" i="4" s="1"/>
  <c r="FD29" i="4"/>
  <c r="FD42" i="4"/>
  <c r="FE33" i="4"/>
  <c r="FE36" i="4" s="1"/>
  <c r="FE40" i="4" s="1"/>
  <c r="FC43" i="4"/>
  <c r="FC45" i="4"/>
  <c r="FC58" i="4" s="1"/>
  <c r="FL35" i="4"/>
  <c r="FC30" i="4"/>
  <c r="FC68" i="4" l="1"/>
  <c r="FC73" i="4" s="1"/>
  <c r="FC74" i="4" s="1"/>
  <c r="FC76" i="4" s="1"/>
  <c r="FE29" i="4"/>
  <c r="FF33" i="4"/>
  <c r="FF36" i="4" s="1"/>
  <c r="FF40" i="4" s="1"/>
  <c r="FE42" i="4"/>
  <c r="FD43" i="4"/>
  <c r="FD45" i="4" s="1"/>
  <c r="FD58" i="4" s="1"/>
  <c r="FM35" i="4"/>
  <c r="FD30" i="4"/>
  <c r="FD68" i="4" l="1"/>
  <c r="FD73" i="4" s="1"/>
  <c r="FD74" i="4" s="1"/>
  <c r="FD76" i="4" s="1"/>
  <c r="FE43" i="4"/>
  <c r="FE45" i="4"/>
  <c r="FE58" i="4" s="1"/>
  <c r="FG33" i="4"/>
  <c r="FG36" i="4" s="1"/>
  <c r="FG40" i="4" s="1"/>
  <c r="FF29" i="4"/>
  <c r="FF42" i="4"/>
  <c r="FN35" i="4"/>
  <c r="FE30" i="4"/>
  <c r="FF43" i="4" l="1"/>
  <c r="FF45" i="4" s="1"/>
  <c r="FF58" i="4" s="1"/>
  <c r="FF30" i="4"/>
  <c r="FO35" i="4"/>
  <c r="FH33" i="4"/>
  <c r="FH36" i="4" s="1"/>
  <c r="FH40" i="4" s="1"/>
  <c r="FG29" i="4"/>
  <c r="FG42" i="4"/>
  <c r="FE68" i="4"/>
  <c r="FE73" i="4" s="1"/>
  <c r="FE74" i="4" s="1"/>
  <c r="FE76" i="4" s="1"/>
  <c r="FF68" i="4" l="1"/>
  <c r="FF73" i="4" s="1"/>
  <c r="FF74" i="4" s="1"/>
  <c r="FF76" i="4" s="1"/>
  <c r="FG43" i="4"/>
  <c r="FG45" i="4" s="1"/>
  <c r="FG58" i="4" s="1"/>
  <c r="FG30" i="4"/>
  <c r="FP35" i="4"/>
  <c r="FI33" i="4"/>
  <c r="FI36" i="4" s="1"/>
  <c r="FI40" i="4" s="1"/>
  <c r="FH42" i="4"/>
  <c r="FH29" i="4"/>
  <c r="FH30" i="4" l="1"/>
  <c r="FQ35" i="4"/>
  <c r="FH43" i="4"/>
  <c r="FH45" i="4" s="1"/>
  <c r="FH58" i="4" s="1"/>
  <c r="FI29" i="4"/>
  <c r="FJ33" i="4"/>
  <c r="FJ36" i="4" s="1"/>
  <c r="FJ40" i="4" s="1"/>
  <c r="FI42" i="4"/>
  <c r="FG68" i="4"/>
  <c r="FG73" i="4" s="1"/>
  <c r="FG74" i="4" s="1"/>
  <c r="FG76" i="4" s="1"/>
  <c r="FI43" i="4" l="1"/>
  <c r="FI45" i="4" s="1"/>
  <c r="FI58" i="4" s="1"/>
  <c r="FJ29" i="4"/>
  <c r="FK33" i="4"/>
  <c r="FK36" i="4" s="1"/>
  <c r="FK40" i="4" s="1"/>
  <c r="FJ42" i="4"/>
  <c r="FR35" i="4"/>
  <c r="FI30" i="4"/>
  <c r="FH68" i="4"/>
  <c r="FH73" i="4" s="1"/>
  <c r="FH74" i="4" s="1"/>
  <c r="FH76" i="4" s="1"/>
  <c r="FJ43" i="4" l="1"/>
  <c r="FJ45" i="4" s="1"/>
  <c r="FJ58" i="4" s="1"/>
  <c r="FL33" i="4"/>
  <c r="FL36" i="4" s="1"/>
  <c r="FL40" i="4" s="1"/>
  <c r="FK29" i="4"/>
  <c r="FK30" i="4" s="1"/>
  <c r="FK42" i="4"/>
  <c r="FS35" i="4"/>
  <c r="FJ30" i="4"/>
  <c r="FI68" i="4"/>
  <c r="FI73" i="4" s="1"/>
  <c r="FI74" i="4" s="1"/>
  <c r="FI76" i="4" s="1"/>
  <c r="FJ68" i="4" l="1"/>
  <c r="FJ73" i="4" s="1"/>
  <c r="FJ74" i="4" s="1"/>
  <c r="FJ76" i="4" s="1"/>
  <c r="FK43" i="4"/>
  <c r="FK45" i="4" s="1"/>
  <c r="FK58" i="4" s="1"/>
  <c r="FL29" i="4"/>
  <c r="FL30" i="4" s="1"/>
  <c r="FL42" i="4"/>
  <c r="FM33" i="4"/>
  <c r="FM36" i="4" s="1"/>
  <c r="FM40" i="4" s="1"/>
  <c r="FN33" i="4" l="1"/>
  <c r="FN36" i="4" s="1"/>
  <c r="FN40" i="4" s="1"/>
  <c r="FM29" i="4"/>
  <c r="FM30" i="4" s="1"/>
  <c r="FM42" i="4"/>
  <c r="FL43" i="4"/>
  <c r="FL45" i="4" s="1"/>
  <c r="FL58" i="4" s="1"/>
  <c r="FK68" i="4"/>
  <c r="FK73" i="4" s="1"/>
  <c r="FK74" i="4" s="1"/>
  <c r="FK76" i="4" s="1"/>
  <c r="FL68" i="4" l="1"/>
  <c r="FL73" i="4" s="1"/>
  <c r="FL74" i="4" s="1"/>
  <c r="FL76" i="4" s="1"/>
  <c r="FM43" i="4"/>
  <c r="FM45" i="4" s="1"/>
  <c r="FM58" i="4" s="1"/>
  <c r="FO33" i="4"/>
  <c r="FO36" i="4" s="1"/>
  <c r="FO40" i="4" s="1"/>
  <c r="FN42" i="4"/>
  <c r="FN29" i="4"/>
  <c r="FN30" i="4" s="1"/>
  <c r="FP33" i="4" l="1"/>
  <c r="FP36" i="4" s="1"/>
  <c r="FP40" i="4" s="1"/>
  <c r="FO29" i="4"/>
  <c r="FO30" i="4" s="1"/>
  <c r="FO42" i="4"/>
  <c r="FN43" i="4"/>
  <c r="FN45" i="4" s="1"/>
  <c r="FN58" i="4" s="1"/>
  <c r="FM68" i="4"/>
  <c r="FM73" i="4" s="1"/>
  <c r="FM74" i="4" s="1"/>
  <c r="FM76" i="4" s="1"/>
  <c r="FN68" i="4" l="1"/>
  <c r="FN73" i="4" s="1"/>
  <c r="FN74" i="4" s="1"/>
  <c r="FN76" i="4" s="1"/>
  <c r="FO43" i="4"/>
  <c r="FO45" i="4" s="1"/>
  <c r="FO58" i="4" s="1"/>
  <c r="FP29" i="4"/>
  <c r="FP30" i="4" s="1"/>
  <c r="FP42" i="4"/>
  <c r="FQ33" i="4"/>
  <c r="FQ36" i="4" s="1"/>
  <c r="FQ40" i="4" s="1"/>
  <c r="FO68" i="4" l="1"/>
  <c r="FO73" i="4" s="1"/>
  <c r="FO74" i="4" s="1"/>
  <c r="FO76" i="4" s="1"/>
  <c r="FQ29" i="4"/>
  <c r="FQ30" i="4" s="1"/>
  <c r="FQ42" i="4"/>
  <c r="FR33" i="4"/>
  <c r="FR36" i="4" s="1"/>
  <c r="FR40" i="4" s="1"/>
  <c r="FP43" i="4"/>
  <c r="FP45" i="4" s="1"/>
  <c r="FP58" i="4" s="1"/>
  <c r="FP68" i="4" l="1"/>
  <c r="FP73" i="4" s="1"/>
  <c r="FP74" i="4" s="1"/>
  <c r="FP76" i="4" s="1"/>
  <c r="FR29" i="4"/>
  <c r="FR30" i="4" s="1"/>
  <c r="FR42" i="4"/>
  <c r="FS33" i="4"/>
  <c r="FS36" i="4" s="1"/>
  <c r="FS40" i="4" s="1"/>
  <c r="FQ43" i="4"/>
  <c r="FQ45" i="4" s="1"/>
  <c r="FQ58" i="4" s="1"/>
  <c r="FQ68" i="4" l="1"/>
  <c r="FQ73" i="4" s="1"/>
  <c r="FQ74" i="4" s="1"/>
  <c r="FQ76" i="4" s="1"/>
  <c r="FS29" i="4"/>
  <c r="FS30" i="4" s="1"/>
  <c r="FS42" i="4"/>
  <c r="J12" i="1"/>
  <c r="K12" i="1"/>
  <c r="K14" i="1" s="1"/>
  <c r="L12" i="1"/>
  <c r="L14" i="1" s="1"/>
  <c r="M12" i="1"/>
  <c r="M14" i="1" s="1"/>
  <c r="N12" i="1"/>
  <c r="N14" i="1" s="1"/>
  <c r="O12" i="1"/>
  <c r="O14" i="1" s="1"/>
  <c r="P12" i="1"/>
  <c r="P14" i="1" s="1"/>
  <c r="Q12" i="1"/>
  <c r="Q14" i="1" s="1"/>
  <c r="R12" i="1"/>
  <c r="R14" i="1" s="1"/>
  <c r="S12" i="1"/>
  <c r="S14" i="1" s="1"/>
  <c r="FR43" i="4"/>
  <c r="FR45" i="4" s="1"/>
  <c r="FR58" i="4" s="1"/>
  <c r="G12" i="1" l="1"/>
  <c r="J14" i="1"/>
  <c r="FS43" i="4"/>
  <c r="FS45" i="4"/>
  <c r="FT42" i="4"/>
  <c r="FU42" i="4"/>
  <c r="FV42" i="4"/>
  <c r="FW42" i="4"/>
  <c r="FX42" i="4"/>
  <c r="FR68" i="4"/>
  <c r="FR73" i="4" s="1"/>
  <c r="FR74" i="4" s="1"/>
  <c r="FR76" i="4" s="1"/>
  <c r="FS58" i="4" l="1"/>
  <c r="FT45" i="4"/>
  <c r="FU45" i="4"/>
  <c r="FV45" i="4"/>
  <c r="FW45" i="4"/>
  <c r="FX45" i="4"/>
  <c r="G14" i="1"/>
  <c r="E11" i="2"/>
  <c r="FT43" i="4"/>
  <c r="J16" i="1"/>
  <c r="J20" i="1" s="1"/>
  <c r="J38" i="1" s="1"/>
  <c r="J41" i="1" s="1"/>
  <c r="FU43" i="4"/>
  <c r="K16" i="1"/>
  <c r="K20" i="1" s="1"/>
  <c r="FV43" i="4"/>
  <c r="L16" i="1"/>
  <c r="L20" i="1" s="1"/>
  <c r="FW43" i="4"/>
  <c r="M16" i="1"/>
  <c r="M20" i="1" s="1"/>
  <c r="FX43" i="4"/>
  <c r="N16" i="1"/>
  <c r="N20" i="1" s="1"/>
  <c r="O16" i="1"/>
  <c r="O20" i="1" s="1"/>
  <c r="P16" i="1"/>
  <c r="P20" i="1" s="1"/>
  <c r="Q16" i="1"/>
  <c r="Q20" i="1" s="1"/>
  <c r="R16" i="1"/>
  <c r="R20" i="1" s="1"/>
  <c r="S16" i="1"/>
  <c r="S20" i="1" s="1"/>
  <c r="E13" i="2" l="1"/>
  <c r="D11" i="2"/>
  <c r="F11" i="2"/>
  <c r="F13" i="2" s="1"/>
  <c r="G11" i="2"/>
  <c r="G13" i="2" s="1"/>
  <c r="I11" i="2"/>
  <c r="H14" i="1"/>
  <c r="G16" i="1"/>
  <c r="H16" i="1" s="1"/>
  <c r="FS68" i="4"/>
  <c r="FT58" i="4"/>
  <c r="FU58" i="4"/>
  <c r="FV58" i="4"/>
  <c r="FX58" i="4"/>
  <c r="G20" i="1" l="1"/>
  <c r="K11" i="2"/>
  <c r="K13" i="2" s="1"/>
  <c r="J11" i="2"/>
  <c r="J13" i="2" s="1"/>
  <c r="D13" i="2"/>
  <c r="I13" i="2"/>
  <c r="E15" i="2"/>
  <c r="FS73" i="4"/>
  <c r="FT68" i="4"/>
  <c r="FU68" i="4"/>
  <c r="K31" i="1"/>
  <c r="K36" i="1" s="1"/>
  <c r="K38" i="1" s="1"/>
  <c r="L31" i="1"/>
  <c r="L36" i="1" s="1"/>
  <c r="L38" i="1" s="1"/>
  <c r="FW68" i="4"/>
  <c r="M31" i="1"/>
  <c r="M36" i="1" s="1"/>
  <c r="M38" i="1" s="1"/>
  <c r="FX68" i="4"/>
  <c r="N31" i="1"/>
  <c r="N36" i="1" s="1"/>
  <c r="N38" i="1" s="1"/>
  <c r="O31" i="1"/>
  <c r="O36" i="1" s="1"/>
  <c r="O38" i="1" s="1"/>
  <c r="P31" i="1"/>
  <c r="P36" i="1" s="1"/>
  <c r="P38" i="1" s="1"/>
  <c r="Q31" i="1"/>
  <c r="Q36" i="1" s="1"/>
  <c r="Q38" i="1" s="1"/>
  <c r="R31" i="1"/>
  <c r="R36" i="1" s="1"/>
  <c r="R38" i="1" s="1"/>
  <c r="S31" i="1"/>
  <c r="S36" i="1" s="1"/>
  <c r="S38" i="1" s="1"/>
  <c r="K41" i="1" l="1"/>
  <c r="K39" i="1"/>
  <c r="FS74" i="4"/>
  <c r="FT73" i="4"/>
  <c r="FX73" i="4"/>
  <c r="P39" i="1"/>
  <c r="P41" i="1"/>
  <c r="L41" i="1"/>
  <c r="L39" i="1"/>
  <c r="S41" i="1"/>
  <c r="S39" i="1"/>
  <c r="O41" i="1"/>
  <c r="O39" i="1"/>
  <c r="N41" i="1"/>
  <c r="N39" i="1"/>
  <c r="Q39" i="1"/>
  <c r="Q41" i="1"/>
  <c r="F15" i="2"/>
  <c r="F20" i="2" s="1"/>
  <c r="I15" i="2"/>
  <c r="I20" i="2" s="1"/>
  <c r="D15" i="2"/>
  <c r="G15" i="2"/>
  <c r="G20" i="2" s="1"/>
  <c r="R41" i="1"/>
  <c r="R39" i="1"/>
  <c r="E20" i="2"/>
  <c r="M41" i="1"/>
  <c r="M39" i="1"/>
  <c r="H24" i="1"/>
  <c r="H27" i="1"/>
  <c r="H26" i="1"/>
  <c r="H25" i="1"/>
  <c r="H34" i="1"/>
  <c r="H28" i="1"/>
  <c r="H23" i="1"/>
  <c r="H29" i="1"/>
  <c r="H20" i="1"/>
  <c r="H33" i="1"/>
  <c r="H32" i="1"/>
  <c r="H35" i="1"/>
  <c r="D29" i="2" l="1"/>
  <c r="D20" i="2"/>
  <c r="D32" i="2"/>
  <c r="D23" i="2"/>
  <c r="D34" i="2"/>
  <c r="D24" i="2"/>
  <c r="D33" i="2"/>
  <c r="D35" i="2"/>
  <c r="D27" i="2"/>
  <c r="D26" i="2"/>
  <c r="D25" i="2"/>
  <c r="D28" i="2"/>
  <c r="M128" i="3"/>
  <c r="M107" i="3" s="1"/>
  <c r="K15" i="2"/>
  <c r="K20" i="2" s="1"/>
  <c r="J15" i="2"/>
  <c r="J20" i="2" s="1"/>
  <c r="FT74" i="4"/>
  <c r="FS76" i="4"/>
  <c r="M111" i="3" l="1"/>
  <c r="M113" i="3" s="1"/>
  <c r="J107" i="3"/>
  <c r="L107" i="3"/>
  <c r="L111" i="3" s="1"/>
  <c r="L113" i="3" s="1"/>
  <c r="E31" i="2"/>
  <c r="FT76" i="4"/>
  <c r="FX76" i="4"/>
  <c r="D31" i="2" l="1"/>
  <c r="G31" i="1"/>
  <c r="F31" i="2"/>
  <c r="F36" i="2" s="1"/>
  <c r="F38" i="2" s="1"/>
  <c r="G31" i="2"/>
  <c r="G36" i="2" s="1"/>
  <c r="G38" i="2" s="1"/>
  <c r="I31" i="2"/>
  <c r="E36" i="2"/>
  <c r="H107" i="3"/>
  <c r="K107" i="3"/>
  <c r="K111" i="3" s="1"/>
  <c r="K113" i="3" s="1"/>
  <c r="J111" i="3"/>
  <c r="J113" i="3" s="1"/>
  <c r="I107" i="3" l="1"/>
  <c r="I111" i="3" s="1"/>
  <c r="I113" i="3" s="1"/>
  <c r="H111" i="3"/>
  <c r="H113" i="3" s="1"/>
  <c r="D36" i="2"/>
  <c r="E38" i="2"/>
  <c r="J31" i="2"/>
  <c r="J36" i="2" s="1"/>
  <c r="J38" i="2" s="1"/>
  <c r="K31" i="2"/>
  <c r="K36" i="2" s="1"/>
  <c r="K38" i="2" s="1"/>
  <c r="I36" i="2"/>
  <c r="I38" i="2" s="1"/>
  <c r="G36" i="1"/>
  <c r="H31" i="1"/>
  <c r="H36" i="1" l="1"/>
  <c r="G38" i="1"/>
  <c r="D38" i="2"/>
  <c r="H22" i="3"/>
  <c r="E40" i="2" l="1"/>
  <c r="H24" i="3"/>
  <c r="M37" i="3" s="1"/>
  <c r="C8" i="1" s="1"/>
  <c r="I22" i="3"/>
  <c r="FD21" i="6" l="1"/>
  <c r="FD23" i="6"/>
  <c r="I26" i="6"/>
  <c r="I27" i="6" s="1"/>
  <c r="J26" i="6"/>
  <c r="K26" i="6"/>
  <c r="K27" i="6" s="1"/>
  <c r="L26" i="6"/>
  <c r="L27" i="6" s="1"/>
  <c r="M26" i="6"/>
  <c r="M27" i="6" s="1"/>
  <c r="N26" i="6"/>
  <c r="N27" i="6" s="1"/>
  <c r="O26" i="6"/>
  <c r="O27" i="6" s="1"/>
  <c r="P26" i="6"/>
  <c r="P27" i="6" s="1"/>
  <c r="Q26" i="6"/>
  <c r="Q27" i="6" s="1"/>
  <c r="R26" i="6"/>
  <c r="R27" i="6" s="1"/>
  <c r="S26" i="6"/>
  <c r="S27" i="6" s="1"/>
  <c r="T26" i="6"/>
  <c r="T27" i="6" s="1"/>
  <c r="U26" i="6"/>
  <c r="U27" i="6" s="1"/>
  <c r="V26" i="6"/>
  <c r="V27" i="6" s="1"/>
  <c r="W26" i="6"/>
  <c r="W27" i="6" s="1"/>
  <c r="X26" i="6"/>
  <c r="Y26" i="6"/>
  <c r="Y27" i="6" s="1"/>
  <c r="Z26" i="6"/>
  <c r="Z27" i="6" s="1"/>
  <c r="AA26" i="6"/>
  <c r="AA27" i="6" s="1"/>
  <c r="AB26" i="6"/>
  <c r="AB27" i="6" s="1"/>
  <c r="AC26" i="6"/>
  <c r="AC27" i="6" s="1"/>
  <c r="AD26" i="6"/>
  <c r="AD27" i="6" s="1"/>
  <c r="AE26" i="6"/>
  <c r="AE27" i="6" s="1"/>
  <c r="AF26" i="6"/>
  <c r="AF27" i="6" s="1"/>
  <c r="AG26" i="6"/>
  <c r="AG27" i="6" s="1"/>
  <c r="AH26" i="6"/>
  <c r="AH27" i="6" s="1"/>
  <c r="AI26" i="6"/>
  <c r="AI27" i="6" s="1"/>
  <c r="AJ26" i="6"/>
  <c r="AJ27" i="6" s="1"/>
  <c r="AK26" i="6"/>
  <c r="AK27" i="6" s="1"/>
  <c r="AL26" i="6"/>
  <c r="AL27" i="6" s="1"/>
  <c r="AM26" i="6"/>
  <c r="AM27" i="6" s="1"/>
  <c r="AN26" i="6"/>
  <c r="AN27" i="6" s="1"/>
  <c r="AO26" i="6"/>
  <c r="AO27" i="6" s="1"/>
  <c r="AP26" i="6"/>
  <c r="AP27" i="6" s="1"/>
  <c r="AQ26" i="6"/>
  <c r="AQ27" i="6" s="1"/>
  <c r="AR26" i="6"/>
  <c r="AR27" i="6" s="1"/>
  <c r="AS26" i="6"/>
  <c r="AS27" i="6" s="1"/>
  <c r="AT26" i="6"/>
  <c r="AT27" i="6" s="1"/>
  <c r="AU26" i="6"/>
  <c r="AU27" i="6" s="1"/>
  <c r="AV26" i="6"/>
  <c r="AV27" i="6" s="1"/>
  <c r="AW26" i="6"/>
  <c r="AX26" i="6"/>
  <c r="AX27" i="6" s="1"/>
  <c r="AY26" i="6"/>
  <c r="AY27" i="6" s="1"/>
  <c r="AZ26" i="6"/>
  <c r="BA26" i="6"/>
  <c r="BA27" i="6" s="1"/>
  <c r="BB26" i="6"/>
  <c r="BB27" i="6" s="1"/>
  <c r="BC26" i="6"/>
  <c r="BC27" i="6" s="1"/>
  <c r="BD26" i="6"/>
  <c r="BD27" i="6" s="1"/>
  <c r="M18" i="7" l="1"/>
  <c r="M19" i="7" s="1"/>
  <c r="AZ27" i="6"/>
  <c r="N18" i="7"/>
  <c r="N19" i="7" s="1"/>
  <c r="AW27" i="6"/>
  <c r="FD26" i="6"/>
  <c r="I33" i="6"/>
  <c r="X27" i="6"/>
  <c r="K18" i="7"/>
  <c r="K19" i="7" s="1"/>
  <c r="J27" i="6"/>
  <c r="E26" i="6"/>
  <c r="E18" i="7" s="1"/>
  <c r="L18" i="7"/>
  <c r="L19" i="7" s="1"/>
  <c r="G26" i="6"/>
  <c r="J18" i="7"/>
  <c r="I36" i="6" l="1"/>
  <c r="I35" i="6"/>
  <c r="I34" i="6"/>
  <c r="E27" i="6"/>
  <c r="E19" i="7" s="1"/>
  <c r="FD27" i="6"/>
  <c r="G27" i="6"/>
  <c r="R18" i="7"/>
  <c r="J19" i="7"/>
  <c r="G18" i="7"/>
  <c r="I37" i="6"/>
  <c r="I41" i="6" l="1"/>
  <c r="I42" i="6" s="1"/>
  <c r="I43" i="6" s="1"/>
  <c r="G19" i="7"/>
  <c r="R19" i="7"/>
  <c r="I46" i="6" l="1"/>
  <c r="I44" i="6"/>
  <c r="I45" i="6"/>
  <c r="I47" i="6"/>
  <c r="I52" i="6" l="1"/>
  <c r="I53" i="6" s="1"/>
  <c r="I54" i="6" s="1"/>
  <c r="I57" i="6" l="1"/>
  <c r="I56" i="6"/>
  <c r="I55" i="6"/>
  <c r="I58" i="6"/>
  <c r="I61" i="6" l="1"/>
  <c r="I62" i="6" l="1"/>
  <c r="I63" i="6"/>
  <c r="I64" i="6"/>
  <c r="I65" i="6"/>
  <c r="I70" i="6" l="1"/>
  <c r="I69" i="6"/>
  <c r="I68" i="6"/>
  <c r="J30" i="6" l="1"/>
  <c r="J32" i="6" s="1"/>
  <c r="J33" i="6" s="1"/>
  <c r="J50" i="6"/>
  <c r="J51" i="6" s="1"/>
  <c r="J40" i="6"/>
  <c r="I71" i="6"/>
  <c r="I73" i="6"/>
  <c r="J36" i="6" l="1"/>
  <c r="J34" i="6"/>
  <c r="J35" i="6"/>
  <c r="J37" i="6"/>
  <c r="I75" i="6"/>
  <c r="J41" i="6" l="1"/>
  <c r="J42" i="6" s="1"/>
  <c r="J43" i="6" s="1"/>
  <c r="J45" i="6" l="1"/>
  <c r="J46" i="6"/>
  <c r="J44" i="6"/>
  <c r="J47" i="6"/>
  <c r="J52" i="6" l="1"/>
  <c r="J53" i="6" s="1"/>
  <c r="J54" i="6" s="1"/>
  <c r="J57" i="6" l="1"/>
  <c r="J55" i="6"/>
  <c r="J56" i="6"/>
  <c r="J58" i="6"/>
  <c r="J61" i="6" l="1"/>
  <c r="J65" i="6" s="1"/>
  <c r="J62" i="6" l="1"/>
  <c r="J64" i="6"/>
  <c r="J63" i="6"/>
  <c r="J69" i="6" l="1"/>
  <c r="J70" i="6"/>
  <c r="J68" i="6"/>
  <c r="J71" i="6" l="1"/>
  <c r="K30" i="6"/>
  <c r="K32" i="6" s="1"/>
  <c r="K33" i="6" s="1"/>
  <c r="K40" i="6"/>
  <c r="K50" i="6"/>
  <c r="K51" i="6" s="1"/>
  <c r="J73" i="6"/>
  <c r="K35" i="6" l="1"/>
  <c r="K34" i="6"/>
  <c r="K36" i="6"/>
  <c r="K37" i="6"/>
  <c r="J75" i="6"/>
  <c r="K41" i="6" l="1"/>
  <c r="K42" i="6" s="1"/>
  <c r="K43" i="6" s="1"/>
  <c r="K45" i="6" l="1"/>
  <c r="K44" i="6"/>
  <c r="K46" i="6"/>
  <c r="K47" i="6"/>
  <c r="K52" i="6" l="1"/>
  <c r="K53" i="6" s="1"/>
  <c r="K54" i="6" s="1"/>
  <c r="K57" i="6" l="1"/>
  <c r="K56" i="6"/>
  <c r="K55" i="6"/>
  <c r="K58" i="6"/>
  <c r="K61" i="6" l="1"/>
  <c r="K65" i="6" s="1"/>
  <c r="K62" i="6" l="1"/>
  <c r="K64" i="6"/>
  <c r="K63" i="6"/>
  <c r="K69" i="6" l="1"/>
  <c r="K70" i="6"/>
  <c r="K68" i="6"/>
  <c r="K71" i="6" l="1"/>
  <c r="L50" i="6"/>
  <c r="L51" i="6" s="1"/>
  <c r="L40" i="6"/>
  <c r="L30" i="6"/>
  <c r="L32" i="6" s="1"/>
  <c r="L33" i="6" s="1"/>
  <c r="K73" i="6"/>
  <c r="L34" i="6" l="1"/>
  <c r="L35" i="6"/>
  <c r="L36" i="6"/>
  <c r="L37" i="6"/>
  <c r="K75" i="6"/>
  <c r="L41" i="6" l="1"/>
  <c r="L42" i="6" s="1"/>
  <c r="L43" i="6" s="1"/>
  <c r="L44" i="6" l="1"/>
  <c r="L45" i="6"/>
  <c r="L46" i="6"/>
  <c r="L47" i="6"/>
  <c r="L52" i="6" l="1"/>
  <c r="L53" i="6" s="1"/>
  <c r="L54" i="6" s="1"/>
  <c r="L57" i="6" l="1"/>
  <c r="L55" i="6"/>
  <c r="L56" i="6"/>
  <c r="L58" i="6"/>
  <c r="L61" i="6" l="1"/>
  <c r="L65" i="6" s="1"/>
  <c r="L62" i="6" l="1"/>
  <c r="L63" i="6"/>
  <c r="L64" i="6"/>
  <c r="L70" i="6" l="1"/>
  <c r="L69" i="6"/>
  <c r="L68" i="6"/>
  <c r="L71" i="6" l="1"/>
  <c r="M30" i="6"/>
  <c r="M32" i="6" s="1"/>
  <c r="M33" i="6" s="1"/>
  <c r="M50" i="6"/>
  <c r="M51" i="6" s="1"/>
  <c r="M40" i="6"/>
  <c r="L73" i="6"/>
  <c r="M35" i="6" l="1"/>
  <c r="M36" i="6"/>
  <c r="M34" i="6"/>
  <c r="M37" i="6"/>
  <c r="L75" i="6"/>
  <c r="M41" i="6" l="1"/>
  <c r="M42" i="6" s="1"/>
  <c r="M43" i="6" s="1"/>
  <c r="M44" i="6" l="1"/>
  <c r="M46" i="6"/>
  <c r="M45" i="6"/>
  <c r="M47" i="6"/>
  <c r="M52" i="6" l="1"/>
  <c r="M53" i="6" s="1"/>
  <c r="M54" i="6" s="1"/>
  <c r="M57" i="6" l="1"/>
  <c r="M55" i="6"/>
  <c r="M56" i="6"/>
  <c r="M58" i="6"/>
  <c r="M61" i="6" l="1"/>
  <c r="M65" i="6" s="1"/>
  <c r="M63" i="6" l="1"/>
  <c r="M64" i="6"/>
  <c r="M62" i="6"/>
  <c r="M68" i="6" l="1"/>
  <c r="M70" i="6"/>
  <c r="M69" i="6"/>
  <c r="M73" i="6" l="1"/>
  <c r="M71" i="6"/>
  <c r="N40" i="6"/>
  <c r="N50" i="6"/>
  <c r="N51" i="6" s="1"/>
  <c r="N30" i="6"/>
  <c r="N32" i="6" s="1"/>
  <c r="N33" i="6" s="1"/>
  <c r="N35" i="6" l="1"/>
  <c r="N34" i="6"/>
  <c r="N36" i="6"/>
  <c r="N37" i="6"/>
  <c r="M75" i="6"/>
  <c r="N41" i="6" l="1"/>
  <c r="N42" i="6" s="1"/>
  <c r="N43" i="6" s="1"/>
  <c r="N44" i="6" l="1"/>
  <c r="N46" i="6"/>
  <c r="N45" i="6"/>
  <c r="N47" i="6"/>
  <c r="N52" i="6" l="1"/>
  <c r="N53" i="6" s="1"/>
  <c r="N54" i="6" s="1"/>
  <c r="N56" i="6" l="1"/>
  <c r="N55" i="6"/>
  <c r="N57" i="6"/>
  <c r="N58" i="6"/>
  <c r="N61" i="6" l="1"/>
  <c r="N65" i="6" s="1"/>
  <c r="N64" i="6" l="1"/>
  <c r="N70" i="6" s="1"/>
  <c r="N63" i="6"/>
  <c r="N69" i="6" s="1"/>
  <c r="N62" i="6"/>
  <c r="N68" i="6" s="1"/>
  <c r="N73" i="6" l="1"/>
  <c r="N71" i="6"/>
  <c r="N75" i="6" s="1"/>
  <c r="O50" i="6"/>
  <c r="O51" i="6" s="1"/>
  <c r="O30" i="6"/>
  <c r="O32" i="6" s="1"/>
  <c r="O33" i="6" s="1"/>
  <c r="O40" i="6"/>
  <c r="O35" i="6" l="1"/>
  <c r="O34" i="6"/>
  <c r="O36" i="6"/>
  <c r="O37" i="6"/>
  <c r="O41" i="6" l="1"/>
  <c r="O42" i="6" s="1"/>
  <c r="O43" i="6" s="1"/>
  <c r="O46" i="6" l="1"/>
  <c r="O44" i="6"/>
  <c r="O45" i="6"/>
  <c r="O47" i="6"/>
  <c r="O52" i="6" l="1"/>
  <c r="O53" i="6" s="1"/>
  <c r="O54" i="6" s="1"/>
  <c r="O56" i="6" l="1"/>
  <c r="O55" i="6"/>
  <c r="O57" i="6"/>
  <c r="O58" i="6"/>
  <c r="O61" i="6" l="1"/>
  <c r="O65" i="6" s="1"/>
  <c r="O64" i="6" l="1"/>
  <c r="O70" i="6" s="1"/>
  <c r="O63" i="6"/>
  <c r="O69" i="6" s="1"/>
  <c r="O62" i="6"/>
  <c r="O68" i="6" s="1"/>
  <c r="O73" i="6" l="1"/>
  <c r="O71" i="6"/>
  <c r="O75" i="6" s="1"/>
  <c r="P50" i="6"/>
  <c r="P51" i="6" s="1"/>
  <c r="P30" i="6"/>
  <c r="P32" i="6" s="1"/>
  <c r="P33" i="6" s="1"/>
  <c r="P40" i="6"/>
  <c r="P36" i="6" l="1"/>
  <c r="P35" i="6"/>
  <c r="P34" i="6"/>
  <c r="P37" i="6"/>
  <c r="P41" i="6" l="1"/>
  <c r="P42" i="6" s="1"/>
  <c r="P43" i="6" s="1"/>
  <c r="P45" i="6" l="1"/>
  <c r="P44" i="6"/>
  <c r="P46" i="6"/>
  <c r="P47" i="6"/>
  <c r="P52" i="6" l="1"/>
  <c r="P53" i="6" s="1"/>
  <c r="P54" i="6" s="1"/>
  <c r="P56" i="6" l="1"/>
  <c r="P55" i="6"/>
  <c r="P57" i="6"/>
  <c r="P58" i="6"/>
  <c r="P61" i="6" l="1"/>
  <c r="P65" i="6" s="1"/>
  <c r="P64" i="6" l="1"/>
  <c r="P70" i="6" s="1"/>
  <c r="P62" i="6"/>
  <c r="P68" i="6" s="1"/>
  <c r="P63" i="6"/>
  <c r="P69" i="6" s="1"/>
  <c r="P73" i="6" l="1"/>
  <c r="P71" i="6"/>
  <c r="P75" i="6" s="1"/>
  <c r="Q30" i="6"/>
  <c r="Q32" i="6" s="1"/>
  <c r="Q33" i="6" s="1"/>
  <c r="Q40" i="6"/>
  <c r="Q50" i="6"/>
  <c r="Q51" i="6" s="1"/>
  <c r="Q37" i="6" l="1"/>
  <c r="Q36" i="6"/>
  <c r="Q34" i="6"/>
  <c r="Q35" i="6"/>
  <c r="Q41" i="6" l="1"/>
  <c r="Q42" i="6" s="1"/>
  <c r="Q43" i="6" s="1"/>
  <c r="Q47" i="6" s="1"/>
  <c r="Q45" i="6" l="1"/>
  <c r="Q46" i="6"/>
  <c r="Q44" i="6"/>
  <c r="Q52" i="6" l="1"/>
  <c r="Q53" i="6" s="1"/>
  <c r="Q54" i="6" s="1"/>
  <c r="Q55" i="6" l="1"/>
  <c r="Q56" i="6"/>
  <c r="Q57" i="6"/>
  <c r="Q58" i="6"/>
  <c r="Q61" i="6" l="1"/>
  <c r="Q62" i="6" l="1"/>
  <c r="Q68" i="6" s="1"/>
  <c r="Q63" i="6"/>
  <c r="Q69" i="6" s="1"/>
  <c r="Q64" i="6"/>
  <c r="Q70" i="6" s="1"/>
  <c r="Q65" i="6"/>
  <c r="Q73" i="6" l="1"/>
  <c r="Q71" i="6"/>
  <c r="Q75" i="6" s="1"/>
  <c r="R40" i="6"/>
  <c r="R50" i="6"/>
  <c r="R51" i="6" s="1"/>
  <c r="R30" i="6"/>
  <c r="R32" i="6" s="1"/>
  <c r="R33" i="6" s="1"/>
  <c r="R36" i="6" l="1"/>
  <c r="R35" i="6"/>
  <c r="R34" i="6"/>
  <c r="R37" i="6"/>
  <c r="R41" i="6" l="1"/>
  <c r="R42" i="6" s="1"/>
  <c r="R43" i="6" s="1"/>
  <c r="R46" i="6" l="1"/>
  <c r="R45" i="6"/>
  <c r="R44" i="6"/>
  <c r="R47" i="6"/>
  <c r="R52" i="6" l="1"/>
  <c r="R53" i="6" s="1"/>
  <c r="R54" i="6" s="1"/>
  <c r="R56" i="6" l="1"/>
  <c r="R57" i="6"/>
  <c r="R55" i="6"/>
  <c r="R58" i="6"/>
  <c r="R61" i="6" l="1"/>
  <c r="R65" i="6"/>
  <c r="R63" i="6" l="1"/>
  <c r="R69" i="6" s="1"/>
  <c r="R64" i="6"/>
  <c r="R70" i="6" s="1"/>
  <c r="R62" i="6"/>
  <c r="R68" i="6" s="1"/>
  <c r="R71" i="6" l="1"/>
  <c r="R75" i="6" s="1"/>
  <c r="S50" i="6"/>
  <c r="S51" i="6" s="1"/>
  <c r="S40" i="6"/>
  <c r="S30" i="6"/>
  <c r="S32" i="6" s="1"/>
  <c r="S33" i="6" s="1"/>
  <c r="R73" i="6"/>
  <c r="S34" i="6" l="1"/>
  <c r="S36" i="6"/>
  <c r="S35" i="6"/>
  <c r="S37" i="6"/>
  <c r="S41" i="6" l="1"/>
  <c r="S42" i="6" s="1"/>
  <c r="S43" i="6" s="1"/>
  <c r="S46" i="6" l="1"/>
  <c r="S44" i="6"/>
  <c r="S45" i="6"/>
  <c r="S47" i="6"/>
  <c r="S52" i="6" l="1"/>
  <c r="S53" i="6" s="1"/>
  <c r="S54" i="6" s="1"/>
  <c r="S56" i="6" l="1"/>
  <c r="S55" i="6"/>
  <c r="S57" i="6"/>
  <c r="S58" i="6"/>
  <c r="S61" i="6" l="1"/>
  <c r="S65" i="6" s="1"/>
  <c r="S64" i="6" l="1"/>
  <c r="S70" i="6" s="1"/>
  <c r="S63" i="6"/>
  <c r="S69" i="6" s="1"/>
  <c r="S73" i="6" s="1"/>
  <c r="S62" i="6"/>
  <c r="S68" i="6" s="1"/>
  <c r="S71" i="6" l="1"/>
  <c r="S75" i="6" s="1"/>
  <c r="T30" i="6"/>
  <c r="T32" i="6" s="1"/>
  <c r="T33" i="6" s="1"/>
  <c r="T50" i="6"/>
  <c r="T51" i="6" s="1"/>
  <c r="T40" i="6"/>
  <c r="T35" i="6" l="1"/>
  <c r="T34" i="6"/>
  <c r="T36" i="6"/>
  <c r="T37" i="6"/>
  <c r="T41" i="6" l="1"/>
  <c r="T42" i="6" s="1"/>
  <c r="T43" i="6" s="1"/>
  <c r="T46" i="6" l="1"/>
  <c r="T45" i="6"/>
  <c r="T44" i="6"/>
  <c r="T47" i="6"/>
  <c r="T52" i="6" l="1"/>
  <c r="T53" i="6" s="1"/>
  <c r="T54" i="6" s="1"/>
  <c r="T55" i="6" l="1"/>
  <c r="T56" i="6"/>
  <c r="T57" i="6"/>
  <c r="T58" i="6"/>
  <c r="T61" i="6" l="1"/>
  <c r="T65" i="6" s="1"/>
  <c r="T64" i="6" l="1"/>
  <c r="T70" i="6" s="1"/>
  <c r="T63" i="6"/>
  <c r="T69" i="6" s="1"/>
  <c r="T62" i="6"/>
  <c r="T68" i="6" s="1"/>
  <c r="T73" i="6" l="1"/>
  <c r="T71" i="6"/>
  <c r="T75" i="6" s="1"/>
  <c r="U40" i="6"/>
  <c r="U30" i="6"/>
  <c r="U32" i="6" s="1"/>
  <c r="U33" i="6" s="1"/>
  <c r="U50" i="6"/>
  <c r="U51" i="6" s="1"/>
  <c r="U36" i="6" l="1"/>
  <c r="U34" i="6"/>
  <c r="U35" i="6"/>
  <c r="U37" i="6"/>
  <c r="U41" i="6" l="1"/>
  <c r="U42" i="6" s="1"/>
  <c r="U43" i="6" s="1"/>
  <c r="U44" i="6" l="1"/>
  <c r="U45" i="6"/>
  <c r="U46" i="6"/>
  <c r="U47" i="6"/>
  <c r="U52" i="6" l="1"/>
  <c r="U53" i="6" s="1"/>
  <c r="U54" i="6" s="1"/>
  <c r="U57" i="6" l="1"/>
  <c r="U56" i="6"/>
  <c r="U55" i="6"/>
  <c r="U58" i="6"/>
  <c r="U61" i="6" l="1"/>
  <c r="U64" i="6" l="1"/>
  <c r="U62" i="6"/>
  <c r="U63" i="6"/>
  <c r="U65" i="6"/>
  <c r="U69" i="6" l="1"/>
  <c r="U68" i="6"/>
  <c r="U70" i="6"/>
  <c r="U71" i="6" l="1"/>
  <c r="V50" i="6"/>
  <c r="V51" i="6" s="1"/>
  <c r="V30" i="6"/>
  <c r="V32" i="6" s="1"/>
  <c r="V33" i="6" s="1"/>
  <c r="V40" i="6"/>
  <c r="U73" i="6"/>
  <c r="V36" i="6" l="1"/>
  <c r="V34" i="6"/>
  <c r="V37" i="6"/>
  <c r="V35" i="6"/>
  <c r="U75" i="6"/>
  <c r="V41" i="6" l="1"/>
  <c r="V42" i="6" s="1"/>
  <c r="V43" i="6" s="1"/>
  <c r="V44" i="6" l="1"/>
  <c r="V46" i="6"/>
  <c r="V45" i="6"/>
  <c r="V47" i="6"/>
  <c r="V52" i="6" l="1"/>
  <c r="V53" i="6" s="1"/>
  <c r="V54" i="6" s="1"/>
  <c r="V55" i="6" l="1"/>
  <c r="V56" i="6"/>
  <c r="V57" i="6"/>
  <c r="V58" i="6"/>
  <c r="V61" i="6" l="1"/>
  <c r="V64" i="6" l="1"/>
  <c r="V62" i="6"/>
  <c r="V63" i="6"/>
  <c r="V65" i="6"/>
  <c r="V69" i="6" l="1"/>
  <c r="V68" i="6"/>
  <c r="V70" i="6"/>
  <c r="V71" i="6" l="1"/>
  <c r="W50" i="6"/>
  <c r="W51" i="6" s="1"/>
  <c r="W40" i="6"/>
  <c r="W30" i="6"/>
  <c r="W32" i="6" s="1"/>
  <c r="W33" i="6" s="1"/>
  <c r="V73" i="6"/>
  <c r="W34" i="6" l="1"/>
  <c r="W36" i="6"/>
  <c r="W35" i="6"/>
  <c r="W37" i="6"/>
  <c r="V75" i="6"/>
  <c r="W41" i="6" l="1"/>
  <c r="W42" i="6" s="1"/>
  <c r="W43" i="6" s="1"/>
  <c r="W45" i="6" l="1"/>
  <c r="W44" i="6"/>
  <c r="W46" i="6"/>
  <c r="W47" i="6"/>
  <c r="W52" i="6" l="1"/>
  <c r="W53" i="6" s="1"/>
  <c r="W54" i="6" s="1"/>
  <c r="W57" i="6" l="1"/>
  <c r="W55" i="6"/>
  <c r="W56" i="6"/>
  <c r="W58" i="6"/>
  <c r="W61" i="6" l="1"/>
  <c r="W62" i="6" l="1"/>
  <c r="W64" i="6"/>
  <c r="W63" i="6"/>
  <c r="W65" i="6"/>
  <c r="W69" i="6" l="1"/>
  <c r="W70" i="6"/>
  <c r="W68" i="6"/>
  <c r="W71" i="6" l="1"/>
  <c r="X50" i="6"/>
  <c r="X51" i="6" s="1"/>
  <c r="X40" i="6"/>
  <c r="X30" i="6"/>
  <c r="X32" i="6" s="1"/>
  <c r="X33" i="6" s="1"/>
  <c r="W73" i="6"/>
  <c r="X34" i="6" l="1"/>
  <c r="X35" i="6"/>
  <c r="X36" i="6"/>
  <c r="X37" i="6"/>
  <c r="W75" i="6"/>
  <c r="X41" i="6" l="1"/>
  <c r="X42" i="6" s="1"/>
  <c r="X43" i="6" s="1"/>
  <c r="X44" i="6" l="1"/>
  <c r="X45" i="6"/>
  <c r="X46" i="6"/>
  <c r="X47" i="6"/>
  <c r="X52" i="6" l="1"/>
  <c r="X53" i="6" s="1"/>
  <c r="X54" i="6" s="1"/>
  <c r="X57" i="6" l="1"/>
  <c r="X55" i="6"/>
  <c r="X56" i="6"/>
  <c r="X58" i="6"/>
  <c r="X61" i="6" l="1"/>
  <c r="X62" i="6" l="1"/>
  <c r="X63" i="6"/>
  <c r="X64" i="6"/>
  <c r="X65" i="6"/>
  <c r="X70" i="6" l="1"/>
  <c r="X69" i="6"/>
  <c r="X68" i="6"/>
  <c r="X71" i="6" l="1"/>
  <c r="Y30" i="6"/>
  <c r="Y32" i="6" s="1"/>
  <c r="Y33" i="6" s="1"/>
  <c r="Y50" i="6"/>
  <c r="Y51" i="6" s="1"/>
  <c r="Y40" i="6"/>
  <c r="X73" i="6"/>
  <c r="Y36" i="6" l="1"/>
  <c r="Y34" i="6"/>
  <c r="Y35" i="6"/>
  <c r="Y37" i="6"/>
  <c r="X75" i="6"/>
  <c r="Y41" i="6" l="1"/>
  <c r="Y42" i="6" s="1"/>
  <c r="Y43" i="6" s="1"/>
  <c r="Y44" i="6" l="1"/>
  <c r="Y45" i="6"/>
  <c r="Y46" i="6"/>
  <c r="Y47" i="6"/>
  <c r="Y52" i="6" l="1"/>
  <c r="Y53" i="6" s="1"/>
  <c r="Y54" i="6" s="1"/>
  <c r="Y56" i="6" l="1"/>
  <c r="Y57" i="6"/>
  <c r="Y55" i="6"/>
  <c r="Y58" i="6"/>
  <c r="Y61" i="6" l="1"/>
  <c r="Y65" i="6" s="1"/>
  <c r="Y62" i="6" l="1"/>
  <c r="Y64" i="6"/>
  <c r="Y63" i="6"/>
  <c r="Y69" i="6" l="1"/>
  <c r="Y70" i="6"/>
  <c r="Y68" i="6"/>
  <c r="Y71" i="6" l="1"/>
  <c r="Z50" i="6"/>
  <c r="Z51" i="6" s="1"/>
  <c r="Z40" i="6"/>
  <c r="Z30" i="6"/>
  <c r="Z32" i="6" s="1"/>
  <c r="Z33" i="6" s="1"/>
  <c r="Y73" i="6"/>
  <c r="Z34" i="6" l="1"/>
  <c r="Z35" i="6"/>
  <c r="Z36" i="6"/>
  <c r="Z37" i="6"/>
  <c r="Y75" i="6"/>
  <c r="Z41" i="6" l="1"/>
  <c r="Z42" i="6" s="1"/>
  <c r="Z43" i="6" s="1"/>
  <c r="Z44" i="6" l="1"/>
  <c r="Z45" i="6"/>
  <c r="Z46" i="6"/>
  <c r="Z47" i="6"/>
  <c r="Z52" i="6" l="1"/>
  <c r="Z53" i="6" s="1"/>
  <c r="Z54" i="6" s="1"/>
  <c r="Z57" i="6" l="1"/>
  <c r="Z55" i="6"/>
  <c r="Z56" i="6"/>
  <c r="Z58" i="6"/>
  <c r="Z61" i="6" l="1"/>
  <c r="Z65" i="6" s="1"/>
  <c r="Z62" i="6" l="1"/>
  <c r="Z68" i="6" s="1"/>
  <c r="Z63" i="6"/>
  <c r="Z69" i="6" s="1"/>
  <c r="Z64" i="6"/>
  <c r="Z70" i="6" s="1"/>
  <c r="Z73" i="6" l="1"/>
  <c r="Z71" i="6"/>
  <c r="Z75" i="6" s="1"/>
  <c r="AA50" i="6"/>
  <c r="AA51" i="6" s="1"/>
  <c r="AA40" i="6"/>
  <c r="AA30" i="6"/>
  <c r="AA32" i="6" s="1"/>
  <c r="AA33" i="6" s="1"/>
  <c r="AA34" i="6" l="1"/>
  <c r="AA35" i="6"/>
  <c r="AA36" i="6"/>
  <c r="AA37" i="6"/>
  <c r="AA41" i="6" l="1"/>
  <c r="AA42" i="6" s="1"/>
  <c r="AA43" i="6" s="1"/>
  <c r="AA46" i="6" l="1"/>
  <c r="AA44" i="6"/>
  <c r="AA45" i="6"/>
  <c r="AA47" i="6"/>
  <c r="AA52" i="6" l="1"/>
  <c r="AA53" i="6" s="1"/>
  <c r="AA54" i="6" s="1"/>
  <c r="AA58" i="6" s="1"/>
  <c r="AA61" i="6" l="1"/>
  <c r="AA65" i="6" s="1"/>
  <c r="AA57" i="6"/>
  <c r="AA56" i="6"/>
  <c r="AA55" i="6"/>
  <c r="AA62" i="6" l="1"/>
  <c r="AA68" i="6" s="1"/>
  <c r="AA63" i="6"/>
  <c r="AA69" i="6" s="1"/>
  <c r="AA64" i="6"/>
  <c r="AA70" i="6" s="1"/>
  <c r="AA73" i="6" l="1"/>
  <c r="AA71" i="6"/>
  <c r="AA75" i="6" s="1"/>
  <c r="AB30" i="6"/>
  <c r="AB32" i="6" s="1"/>
  <c r="AB33" i="6" s="1"/>
  <c r="AB40" i="6"/>
  <c r="AB50" i="6"/>
  <c r="AB51" i="6" s="1"/>
  <c r="AB35" i="6" l="1"/>
  <c r="AB34" i="6"/>
  <c r="AB36" i="6"/>
  <c r="AB37" i="6"/>
  <c r="AB41" i="6" l="1"/>
  <c r="AB42" i="6" s="1"/>
  <c r="AB43" i="6" s="1"/>
  <c r="AB44" i="6" l="1"/>
  <c r="AB46" i="6"/>
  <c r="AB45" i="6"/>
  <c r="AB47" i="6"/>
  <c r="AB52" i="6" l="1"/>
  <c r="AB53" i="6" s="1"/>
  <c r="AB54" i="6" s="1"/>
  <c r="AB57" i="6" l="1"/>
  <c r="AB56" i="6"/>
  <c r="AB55" i="6"/>
  <c r="AB58" i="6"/>
  <c r="AB61" i="6" l="1"/>
  <c r="AB65" i="6" s="1"/>
  <c r="AB64" i="6" l="1"/>
  <c r="AB70" i="6" s="1"/>
  <c r="AB62" i="6"/>
  <c r="AB68" i="6" s="1"/>
  <c r="AB63" i="6"/>
  <c r="AB69" i="6" s="1"/>
  <c r="AB73" i="6" l="1"/>
  <c r="AB71" i="6"/>
  <c r="AB75" i="6" s="1"/>
  <c r="AC30" i="6"/>
  <c r="AC32" i="6" s="1"/>
  <c r="AC33" i="6" s="1"/>
  <c r="AC50" i="6"/>
  <c r="AC51" i="6" s="1"/>
  <c r="AC40" i="6"/>
  <c r="AC35" i="6" l="1"/>
  <c r="AC34" i="6"/>
  <c r="AC36" i="6"/>
  <c r="AC37" i="6"/>
  <c r="AC41" i="6" l="1"/>
  <c r="AC42" i="6" s="1"/>
  <c r="AC43" i="6" s="1"/>
  <c r="AC46" i="6" l="1"/>
  <c r="AC44" i="6"/>
  <c r="AC45" i="6"/>
  <c r="AC47" i="6"/>
  <c r="AC52" i="6" l="1"/>
  <c r="AC53" i="6" s="1"/>
  <c r="AC54" i="6" s="1"/>
  <c r="AC57" i="6" l="1"/>
  <c r="AC55" i="6"/>
  <c r="AC56" i="6"/>
  <c r="AC58" i="6"/>
  <c r="AC61" i="6" l="1"/>
  <c r="AC65" i="6"/>
  <c r="AC63" i="6" l="1"/>
  <c r="AC69" i="6" s="1"/>
  <c r="AC64" i="6"/>
  <c r="AC70" i="6" s="1"/>
  <c r="AC62" i="6"/>
  <c r="AC68" i="6" s="1"/>
  <c r="AC71" i="6" l="1"/>
  <c r="AC75" i="6" s="1"/>
  <c r="AD40" i="6"/>
  <c r="AD30" i="6"/>
  <c r="AD32" i="6" s="1"/>
  <c r="AD33" i="6" s="1"/>
  <c r="AD50" i="6"/>
  <c r="AD51" i="6" s="1"/>
  <c r="AC73" i="6"/>
  <c r="AD36" i="6" l="1"/>
  <c r="AD35" i="6"/>
  <c r="AD34" i="6"/>
  <c r="AD37" i="6"/>
  <c r="AD41" i="6" l="1"/>
  <c r="AD42" i="6" s="1"/>
  <c r="AD43" i="6" s="1"/>
  <c r="AD45" i="6" l="1"/>
  <c r="AD44" i="6"/>
  <c r="AD46" i="6"/>
  <c r="AD47" i="6"/>
  <c r="AD52" i="6" l="1"/>
  <c r="AD53" i="6" s="1"/>
  <c r="AD54" i="6" s="1"/>
  <c r="AD56" i="6" l="1"/>
  <c r="AD55" i="6"/>
  <c r="AD57" i="6"/>
  <c r="AD58" i="6"/>
  <c r="AD61" i="6" l="1"/>
  <c r="AD64" i="6" l="1"/>
  <c r="AD70" i="6" s="1"/>
  <c r="AD63" i="6"/>
  <c r="AD69" i="6" s="1"/>
  <c r="AD62" i="6"/>
  <c r="AD68" i="6" s="1"/>
  <c r="AD65" i="6"/>
  <c r="AD73" i="6" l="1"/>
  <c r="AD71" i="6"/>
  <c r="AD75" i="6" s="1"/>
  <c r="AE30" i="6"/>
  <c r="AE32" i="6" s="1"/>
  <c r="AE33" i="6" s="1"/>
  <c r="AE40" i="6"/>
  <c r="AE50" i="6"/>
  <c r="AE51" i="6" s="1"/>
  <c r="AE35" i="6" l="1"/>
  <c r="AE37" i="6"/>
  <c r="AE34" i="6"/>
  <c r="AE36" i="6"/>
  <c r="AE41" i="6" l="1"/>
  <c r="AE42" i="6" s="1"/>
  <c r="AE43" i="6" s="1"/>
  <c r="AE47" i="6" s="1"/>
  <c r="AE46" i="6" l="1"/>
  <c r="AE44" i="6"/>
  <c r="AE45" i="6"/>
  <c r="AE52" i="6" l="1"/>
  <c r="AE53" i="6" s="1"/>
  <c r="AE54" i="6" s="1"/>
  <c r="AE55" i="6" l="1"/>
  <c r="AE56" i="6"/>
  <c r="AE57" i="6"/>
  <c r="AE58" i="6"/>
  <c r="AE61" i="6" l="1"/>
  <c r="AE62" i="6" l="1"/>
  <c r="AE68" i="6" s="1"/>
  <c r="AE63" i="6"/>
  <c r="AE69" i="6" s="1"/>
  <c r="AE64" i="6"/>
  <c r="AE70" i="6" s="1"/>
  <c r="AE65" i="6"/>
  <c r="AE73" i="6" l="1"/>
  <c r="AE71" i="6"/>
  <c r="AE75" i="6" s="1"/>
  <c r="AF30" i="6"/>
  <c r="AF32" i="6" s="1"/>
  <c r="AF33" i="6" s="1"/>
  <c r="AF50" i="6"/>
  <c r="AF51" i="6" s="1"/>
  <c r="AF40" i="6"/>
  <c r="AF36" i="6" l="1"/>
  <c r="AF35" i="6"/>
  <c r="AF34" i="6"/>
  <c r="AF37" i="6"/>
  <c r="AF41" i="6" l="1"/>
  <c r="AF42" i="6" s="1"/>
  <c r="AF43" i="6" s="1"/>
  <c r="AF46" i="6" l="1"/>
  <c r="AF45" i="6"/>
  <c r="AF44" i="6"/>
  <c r="AF47" i="6"/>
  <c r="AF52" i="6" l="1"/>
  <c r="AF53" i="6" s="1"/>
  <c r="AF54" i="6" s="1"/>
  <c r="AF56" i="6" l="1"/>
  <c r="AF57" i="6"/>
  <c r="AF55" i="6"/>
  <c r="AF58" i="6"/>
  <c r="AF61" i="6" l="1"/>
  <c r="AF63" i="6" l="1"/>
  <c r="AF69" i="6" s="1"/>
  <c r="AF64" i="6"/>
  <c r="AF70" i="6" s="1"/>
  <c r="AF62" i="6"/>
  <c r="AF68" i="6" s="1"/>
  <c r="AF65" i="6"/>
  <c r="AF71" i="6" l="1"/>
  <c r="AF75" i="6" s="1"/>
  <c r="AG40" i="6"/>
  <c r="AG50" i="6"/>
  <c r="AG51" i="6" s="1"/>
  <c r="AG30" i="6"/>
  <c r="AG32" i="6" s="1"/>
  <c r="AG33" i="6" s="1"/>
  <c r="AF73" i="6"/>
  <c r="AG35" i="6" l="1"/>
  <c r="AG34" i="6"/>
  <c r="AG36" i="6"/>
  <c r="AG37" i="6"/>
  <c r="AG41" i="6" l="1"/>
  <c r="AG42" i="6" s="1"/>
  <c r="AG43" i="6" s="1"/>
  <c r="AG46" i="6" l="1"/>
  <c r="AG44" i="6"/>
  <c r="AG45" i="6"/>
  <c r="AG47" i="6"/>
  <c r="AG52" i="6" l="1"/>
  <c r="AG53" i="6" s="1"/>
  <c r="AG54" i="6" s="1"/>
  <c r="AG56" i="6" l="1"/>
  <c r="AG55" i="6"/>
  <c r="AG57" i="6"/>
  <c r="AG58" i="6"/>
  <c r="AG61" i="6" l="1"/>
  <c r="AG64" i="6" l="1"/>
  <c r="AG63" i="6"/>
  <c r="AG62" i="6"/>
  <c r="AG65" i="6"/>
  <c r="AG68" i="6" l="1"/>
  <c r="AG69" i="6"/>
  <c r="AG70" i="6"/>
  <c r="AG73" i="6" l="1"/>
  <c r="AG71" i="6"/>
  <c r="AH50" i="6"/>
  <c r="AH51" i="6" s="1"/>
  <c r="AH30" i="6"/>
  <c r="AH32" i="6" s="1"/>
  <c r="AH33" i="6" s="1"/>
  <c r="AH40" i="6"/>
  <c r="AH36" i="6" l="1"/>
  <c r="AH34" i="6"/>
  <c r="AH35" i="6"/>
  <c r="AH37" i="6"/>
  <c r="AG75" i="6"/>
  <c r="AH41" i="6" l="1"/>
  <c r="AH42" i="6" s="1"/>
  <c r="AH43" i="6" s="1"/>
  <c r="AH45" i="6" l="1"/>
  <c r="AH46" i="6"/>
  <c r="AH44" i="6"/>
  <c r="AH47" i="6"/>
  <c r="AH52" i="6" l="1"/>
  <c r="AH53" i="6" s="1"/>
  <c r="AH54" i="6" s="1"/>
  <c r="AH56" i="6" l="1"/>
  <c r="AH55" i="6"/>
  <c r="AH57" i="6"/>
  <c r="AH58" i="6"/>
  <c r="AH61" i="6" l="1"/>
  <c r="AH64" i="6" l="1"/>
  <c r="AH63" i="6"/>
  <c r="AH62" i="6"/>
  <c r="AH65" i="6"/>
  <c r="AH68" i="6" l="1"/>
  <c r="AH69" i="6"/>
  <c r="AH70" i="6"/>
  <c r="AH73" i="6" l="1"/>
  <c r="AH71" i="6"/>
  <c r="AI30" i="6"/>
  <c r="AI32" i="6" s="1"/>
  <c r="AI33" i="6" s="1"/>
  <c r="AI50" i="6"/>
  <c r="AI51" i="6" s="1"/>
  <c r="AI40" i="6"/>
  <c r="AI34" i="6" l="1"/>
  <c r="AI36" i="6"/>
  <c r="AI35" i="6"/>
  <c r="AI37" i="6"/>
  <c r="AH75" i="6"/>
  <c r="AI41" i="6" l="1"/>
  <c r="AI42" i="6" s="1"/>
  <c r="AI43" i="6" s="1"/>
  <c r="AI46" i="6" l="1"/>
  <c r="AI45" i="6"/>
  <c r="AI44" i="6"/>
  <c r="AI47" i="6"/>
  <c r="AI52" i="6" l="1"/>
  <c r="AI53" i="6" s="1"/>
  <c r="AI54" i="6" s="1"/>
  <c r="AI57" i="6" l="1"/>
  <c r="AI56" i="6"/>
  <c r="AI55" i="6"/>
  <c r="AI58" i="6"/>
  <c r="AI61" i="6" l="1"/>
  <c r="AI65" i="6" s="1"/>
  <c r="AI64" i="6" l="1"/>
  <c r="AI63" i="6"/>
  <c r="AI62" i="6"/>
  <c r="AI68" i="6" l="1"/>
  <c r="AI69" i="6"/>
  <c r="AI70" i="6"/>
  <c r="AI73" i="6" l="1"/>
  <c r="AI71" i="6"/>
  <c r="AJ40" i="6"/>
  <c r="AJ50" i="6"/>
  <c r="AJ51" i="6" s="1"/>
  <c r="AJ30" i="6"/>
  <c r="AJ32" i="6" s="1"/>
  <c r="AJ33" i="6" s="1"/>
  <c r="AJ36" i="6" l="1"/>
  <c r="AJ34" i="6"/>
  <c r="AJ37" i="6"/>
  <c r="AJ35" i="6"/>
  <c r="AI75" i="6"/>
  <c r="AJ41" i="6" l="1"/>
  <c r="AJ42" i="6" s="1"/>
  <c r="AJ43" i="6" s="1"/>
  <c r="AJ45" i="6" l="1"/>
  <c r="AJ46" i="6"/>
  <c r="AJ44" i="6"/>
  <c r="AJ47" i="6"/>
  <c r="AJ52" i="6" l="1"/>
  <c r="AJ53" i="6" s="1"/>
  <c r="AJ54" i="6" s="1"/>
  <c r="AJ58" i="6" s="1"/>
  <c r="AJ61" i="6" l="1"/>
  <c r="AJ55" i="6"/>
  <c r="AJ57" i="6"/>
  <c r="AJ56" i="6"/>
  <c r="AJ64" i="6" l="1"/>
  <c r="AJ63" i="6"/>
  <c r="AJ62" i="6"/>
  <c r="AJ65" i="6"/>
  <c r="AJ68" i="6" l="1"/>
  <c r="AJ70" i="6"/>
  <c r="AJ69" i="6"/>
  <c r="AJ73" i="6" l="1"/>
  <c r="AJ71" i="6"/>
  <c r="AK40" i="6"/>
  <c r="AK50" i="6"/>
  <c r="AK51" i="6" s="1"/>
  <c r="AK30" i="6"/>
  <c r="AK32" i="6" s="1"/>
  <c r="AK33" i="6" s="1"/>
  <c r="AK36" i="6" l="1"/>
  <c r="AK34" i="6"/>
  <c r="AK35" i="6"/>
  <c r="AK37" i="6"/>
  <c r="AJ75" i="6"/>
  <c r="AK41" i="6" l="1"/>
  <c r="AK42" i="6" s="1"/>
  <c r="AK43" i="6" s="1"/>
  <c r="AK46" i="6" l="1"/>
  <c r="AK45" i="6"/>
  <c r="AK44" i="6"/>
  <c r="AK47" i="6"/>
  <c r="AK52" i="6" l="1"/>
  <c r="AK53" i="6" s="1"/>
  <c r="AK54" i="6" s="1"/>
  <c r="AK57" i="6" l="1"/>
  <c r="AK55" i="6"/>
  <c r="AK56" i="6"/>
  <c r="AK58" i="6"/>
  <c r="AK61" i="6" l="1"/>
  <c r="AK64" i="6" l="1"/>
  <c r="AK70" i="6" s="1"/>
  <c r="AK63" i="6"/>
  <c r="AK69" i="6" s="1"/>
  <c r="AK62" i="6"/>
  <c r="AK68" i="6" s="1"/>
  <c r="AK65" i="6"/>
  <c r="AK71" i="6" l="1"/>
  <c r="AL40" i="6"/>
  <c r="AL50" i="6"/>
  <c r="AL51" i="6" s="1"/>
  <c r="AL30" i="6"/>
  <c r="AL32" i="6" s="1"/>
  <c r="AL33" i="6" s="1"/>
  <c r="AK73" i="6"/>
  <c r="AL36" i="6" l="1"/>
  <c r="AL35" i="6"/>
  <c r="AL34" i="6"/>
  <c r="AL37" i="6"/>
  <c r="AK75" i="6"/>
  <c r="AL41" i="6" l="1"/>
  <c r="AL42" i="6" s="1"/>
  <c r="AL43" i="6" s="1"/>
  <c r="AL44" i="6" l="1"/>
  <c r="AL45" i="6"/>
  <c r="AL46" i="6"/>
  <c r="AL47" i="6"/>
  <c r="AL52" i="6" l="1"/>
  <c r="AL53" i="6" s="1"/>
  <c r="AL54" i="6" s="1"/>
  <c r="AL55" i="6" l="1"/>
  <c r="AL57" i="6"/>
  <c r="AL56" i="6"/>
  <c r="AL58" i="6"/>
  <c r="AL61" i="6" l="1"/>
  <c r="AL64" i="6" l="1"/>
  <c r="AL70" i="6" s="1"/>
  <c r="AL62" i="6"/>
  <c r="AL68" i="6" s="1"/>
  <c r="AL63" i="6"/>
  <c r="AL69" i="6" s="1"/>
  <c r="AL73" i="6" s="1"/>
  <c r="AL65" i="6"/>
  <c r="AL71" i="6" l="1"/>
  <c r="AL75" i="6" s="1"/>
  <c r="AM40" i="6"/>
  <c r="AM50" i="6"/>
  <c r="AM51" i="6" s="1"/>
  <c r="AM30" i="6"/>
  <c r="AM32" i="6" s="1"/>
  <c r="AM33" i="6" s="1"/>
  <c r="AM35" i="6" l="1"/>
  <c r="AM36" i="6"/>
  <c r="AM34" i="6"/>
  <c r="AM37" i="6"/>
  <c r="AM41" i="6" l="1"/>
  <c r="AM42" i="6" s="1"/>
  <c r="AM43" i="6" s="1"/>
  <c r="AM44" i="6" l="1"/>
  <c r="AM45" i="6"/>
  <c r="AM46" i="6"/>
  <c r="AM47" i="6"/>
  <c r="AM52" i="6" l="1"/>
  <c r="AM53" i="6" s="1"/>
  <c r="AM54" i="6" s="1"/>
  <c r="AM55" i="6" l="1"/>
  <c r="AM56" i="6"/>
  <c r="AM57" i="6"/>
  <c r="AM58" i="6"/>
  <c r="AM61" i="6" l="1"/>
  <c r="AM62" i="6" l="1"/>
  <c r="AM68" i="6" s="1"/>
  <c r="AM63" i="6"/>
  <c r="AM69" i="6" s="1"/>
  <c r="AM64" i="6"/>
  <c r="AM70" i="6" s="1"/>
  <c r="AM65" i="6"/>
  <c r="AM73" i="6" l="1"/>
  <c r="AM71" i="6"/>
  <c r="AM75" i="6" s="1"/>
  <c r="AN40" i="6"/>
  <c r="AN50" i="6"/>
  <c r="AN51" i="6" s="1"/>
  <c r="AN30" i="6"/>
  <c r="AN32" i="6" s="1"/>
  <c r="AN33" i="6" s="1"/>
  <c r="AN34" i="6" l="1"/>
  <c r="AN35" i="6"/>
  <c r="AN36" i="6"/>
  <c r="AN37" i="6"/>
  <c r="AN41" i="6" l="1"/>
  <c r="AN42" i="6" s="1"/>
  <c r="AN43" i="6" s="1"/>
  <c r="AN44" i="6" l="1"/>
  <c r="AN45" i="6"/>
  <c r="AN46" i="6"/>
  <c r="AN47" i="6"/>
  <c r="AN52" i="6" l="1"/>
  <c r="AN53" i="6" s="1"/>
  <c r="AN54" i="6" s="1"/>
  <c r="AN55" i="6" l="1"/>
  <c r="AN56" i="6"/>
  <c r="AN57" i="6"/>
  <c r="AN58" i="6"/>
  <c r="AN61" i="6" l="1"/>
  <c r="AN65" i="6" s="1"/>
  <c r="AN62" i="6" l="1"/>
  <c r="AN68" i="6" s="1"/>
  <c r="AN63" i="6"/>
  <c r="AN69" i="6" s="1"/>
  <c r="AN64" i="6"/>
  <c r="AN70" i="6" s="1"/>
  <c r="AN73" i="6" l="1"/>
  <c r="AN71" i="6"/>
  <c r="AN75" i="6" s="1"/>
  <c r="AO50" i="6"/>
  <c r="AO51" i="6" s="1"/>
  <c r="AO30" i="6"/>
  <c r="AO32" i="6" s="1"/>
  <c r="AO33" i="6" s="1"/>
  <c r="AO40" i="6"/>
  <c r="AO36" i="6" l="1"/>
  <c r="AO34" i="6"/>
  <c r="AO35" i="6"/>
  <c r="AO37" i="6"/>
  <c r="AO41" i="6" l="1"/>
  <c r="AO42" i="6" s="1"/>
  <c r="AO43" i="6" s="1"/>
  <c r="AO44" i="6" l="1"/>
  <c r="AO45" i="6"/>
  <c r="AO46" i="6"/>
  <c r="AO47" i="6"/>
  <c r="AO52" i="6" l="1"/>
  <c r="AO53" i="6" s="1"/>
  <c r="AO54" i="6" s="1"/>
  <c r="AO56" i="6" l="1"/>
  <c r="AO57" i="6"/>
  <c r="AO55" i="6"/>
  <c r="AO58" i="6"/>
  <c r="AO61" i="6" l="1"/>
  <c r="AO65" i="6" s="1"/>
  <c r="AO62" i="6" l="1"/>
  <c r="AO68" i="6" s="1"/>
  <c r="AO63" i="6"/>
  <c r="AO69" i="6" s="1"/>
  <c r="AO64" i="6"/>
  <c r="AO70" i="6" s="1"/>
  <c r="AO73" i="6" l="1"/>
  <c r="AO71" i="6"/>
  <c r="AO75" i="6" s="1"/>
  <c r="AP30" i="6"/>
  <c r="AP32" i="6" s="1"/>
  <c r="AP33" i="6" s="1"/>
  <c r="AP40" i="6"/>
  <c r="AP50" i="6"/>
  <c r="AP51" i="6" s="1"/>
  <c r="AP35" i="6" l="1"/>
  <c r="AP34" i="6"/>
  <c r="AP36" i="6"/>
  <c r="AP37" i="6"/>
  <c r="AP41" i="6" l="1"/>
  <c r="AP42" i="6" s="1"/>
  <c r="AP43" i="6" s="1"/>
  <c r="AP44" i="6" l="1"/>
  <c r="AP45" i="6"/>
  <c r="AP46" i="6"/>
  <c r="AP47" i="6"/>
  <c r="AP52" i="6" l="1"/>
  <c r="AP53" i="6" s="1"/>
  <c r="AP54" i="6" s="1"/>
  <c r="AP57" i="6" l="1"/>
  <c r="AP55" i="6"/>
  <c r="AP56" i="6"/>
  <c r="AP58" i="6"/>
  <c r="AP61" i="6" l="1"/>
  <c r="AP65" i="6" s="1"/>
  <c r="AP62" i="6" l="1"/>
  <c r="AP68" i="6" s="1"/>
  <c r="AP64" i="6"/>
  <c r="AP70" i="6" s="1"/>
  <c r="AP63" i="6"/>
  <c r="AP69" i="6" s="1"/>
  <c r="AP73" i="6" s="1"/>
  <c r="AP71" i="6" l="1"/>
  <c r="AP75" i="6" s="1"/>
  <c r="AQ30" i="6"/>
  <c r="AQ32" i="6" s="1"/>
  <c r="AQ33" i="6" s="1"/>
  <c r="AQ50" i="6"/>
  <c r="AQ51" i="6" s="1"/>
  <c r="AQ40" i="6"/>
  <c r="AQ34" i="6" l="1"/>
  <c r="AQ36" i="6"/>
  <c r="AQ35" i="6"/>
  <c r="AQ37" i="6"/>
  <c r="AQ41" i="6" l="1"/>
  <c r="AQ42" i="6" s="1"/>
  <c r="AQ43" i="6" s="1"/>
  <c r="AQ44" i="6" l="1"/>
  <c r="AQ45" i="6"/>
  <c r="AQ46" i="6"/>
  <c r="AQ47" i="6"/>
  <c r="AQ52" i="6" l="1"/>
  <c r="AQ53" i="6" s="1"/>
  <c r="AQ54" i="6" s="1"/>
  <c r="AQ57" i="6" l="1"/>
  <c r="AQ55" i="6"/>
  <c r="AQ56" i="6"/>
  <c r="AQ58" i="6"/>
  <c r="AQ61" i="6" l="1"/>
  <c r="AQ65" i="6" s="1"/>
  <c r="AQ63" i="6" l="1"/>
  <c r="AQ69" i="6" s="1"/>
  <c r="AQ62" i="6"/>
  <c r="AQ68" i="6" s="1"/>
  <c r="AQ64" i="6"/>
  <c r="AQ70" i="6" s="1"/>
  <c r="AQ71" i="6" l="1"/>
  <c r="AQ75" i="6" s="1"/>
  <c r="AR50" i="6"/>
  <c r="AR51" i="6" s="1"/>
  <c r="AR30" i="6"/>
  <c r="AR32" i="6" s="1"/>
  <c r="AR33" i="6" s="1"/>
  <c r="AR40" i="6"/>
  <c r="AQ73" i="6"/>
  <c r="AR36" i="6" l="1"/>
  <c r="AR35" i="6"/>
  <c r="AR34" i="6"/>
  <c r="AR37" i="6"/>
  <c r="AR41" i="6" l="1"/>
  <c r="AR42" i="6" s="1"/>
  <c r="AR43" i="6" s="1"/>
  <c r="AR45" i="6" l="1"/>
  <c r="AR44" i="6"/>
  <c r="AR46" i="6"/>
  <c r="AR47" i="6"/>
  <c r="AR52" i="6" l="1"/>
  <c r="AR53" i="6" s="1"/>
  <c r="AR54" i="6" s="1"/>
  <c r="AR57" i="6" l="1"/>
  <c r="AR55" i="6"/>
  <c r="AR56" i="6"/>
  <c r="AR58" i="6"/>
  <c r="AR61" i="6" l="1"/>
  <c r="AR65" i="6"/>
  <c r="AR64" i="6" l="1"/>
  <c r="AR70" i="6" s="1"/>
  <c r="AR63" i="6"/>
  <c r="AR69" i="6" s="1"/>
  <c r="AR62" i="6"/>
  <c r="AR68" i="6" s="1"/>
  <c r="AR73" i="6" l="1"/>
  <c r="AR71" i="6"/>
  <c r="AR75" i="6" s="1"/>
  <c r="AS40" i="6"/>
  <c r="AS30" i="6"/>
  <c r="AS32" i="6" s="1"/>
  <c r="AS33" i="6" s="1"/>
  <c r="AS50" i="6"/>
  <c r="AS51" i="6" s="1"/>
  <c r="AS37" i="6" l="1"/>
  <c r="AS34" i="6"/>
  <c r="AS35" i="6"/>
  <c r="AS36" i="6"/>
  <c r="AS41" i="6" l="1"/>
  <c r="AS42" i="6" s="1"/>
  <c r="AS43" i="6" s="1"/>
  <c r="AS45" i="6" l="1"/>
  <c r="AS44" i="6"/>
  <c r="AS46" i="6"/>
  <c r="AS47" i="6"/>
  <c r="AS52" i="6" l="1"/>
  <c r="AS53" i="6" s="1"/>
  <c r="AS54" i="6" s="1"/>
  <c r="AS55" i="6" l="1"/>
  <c r="AS57" i="6"/>
  <c r="AS56" i="6"/>
  <c r="AS58" i="6"/>
  <c r="AS61" i="6" l="1"/>
  <c r="AS62" i="6" l="1"/>
  <c r="AS63" i="6"/>
  <c r="AS64" i="6"/>
  <c r="AS65" i="6"/>
  <c r="AS70" i="6" l="1"/>
  <c r="AS69" i="6"/>
  <c r="AS68" i="6"/>
  <c r="AS71" i="6" l="1"/>
  <c r="AT40" i="6"/>
  <c r="AT30" i="6"/>
  <c r="AT32" i="6" s="1"/>
  <c r="AT33" i="6" s="1"/>
  <c r="AT50" i="6"/>
  <c r="AT51" i="6" s="1"/>
  <c r="AS73" i="6"/>
  <c r="AT36" i="6" l="1"/>
  <c r="AT35" i="6"/>
  <c r="AT37" i="6"/>
  <c r="AT34" i="6"/>
  <c r="AS75" i="6"/>
  <c r="AT41" i="6" l="1"/>
  <c r="AT42" i="6" s="1"/>
  <c r="AT43" i="6" s="1"/>
  <c r="AT47" i="6" s="1"/>
  <c r="AT46" i="6" l="1"/>
  <c r="AT45" i="6"/>
  <c r="AT44" i="6"/>
  <c r="AT52" i="6" l="1"/>
  <c r="AT53" i="6" s="1"/>
  <c r="AT54" i="6" s="1"/>
  <c r="AT56" i="6" l="1"/>
  <c r="AT55" i="6"/>
  <c r="AT57" i="6"/>
  <c r="AT58" i="6"/>
  <c r="AT61" i="6" l="1"/>
  <c r="AT65" i="6" s="1"/>
  <c r="AT63" i="6" l="1"/>
  <c r="AT62" i="6"/>
  <c r="AT64" i="6"/>
  <c r="AT70" i="6" l="1"/>
  <c r="AT68" i="6"/>
  <c r="AT69" i="6"/>
  <c r="AT73" i="6" l="1"/>
  <c r="AT71" i="6"/>
  <c r="AU30" i="6"/>
  <c r="AU32" i="6" s="1"/>
  <c r="AU33" i="6" s="1"/>
  <c r="AU40" i="6"/>
  <c r="AU50" i="6"/>
  <c r="AU51" i="6" s="1"/>
  <c r="AU35" i="6" l="1"/>
  <c r="AU36" i="6"/>
  <c r="AU34" i="6"/>
  <c r="AU37" i="6"/>
  <c r="AT75" i="6"/>
  <c r="AU41" i="6" l="1"/>
  <c r="AU42" i="6" s="1"/>
  <c r="AU43" i="6" s="1"/>
  <c r="AU44" i="6" l="1"/>
  <c r="AU45" i="6"/>
  <c r="AU46" i="6"/>
  <c r="AU47" i="6"/>
  <c r="AU52" i="6" l="1"/>
  <c r="AU53" i="6" s="1"/>
  <c r="AU54" i="6" s="1"/>
  <c r="AU56" i="6" l="1"/>
  <c r="AU55" i="6"/>
  <c r="AU57" i="6"/>
  <c r="AU58" i="6"/>
  <c r="AU61" i="6" l="1"/>
  <c r="AU65" i="6" s="1"/>
  <c r="AU64" i="6" l="1"/>
  <c r="AU63" i="6"/>
  <c r="AU62" i="6"/>
  <c r="AU68" i="6" l="1"/>
  <c r="AU69" i="6"/>
  <c r="AU70" i="6"/>
  <c r="AU73" i="6" l="1"/>
  <c r="AU71" i="6"/>
  <c r="AV50" i="6"/>
  <c r="AV51" i="6" s="1"/>
  <c r="AV40" i="6"/>
  <c r="AV30" i="6"/>
  <c r="AV32" i="6" s="1"/>
  <c r="AV33" i="6" s="1"/>
  <c r="AV35" i="6" l="1"/>
  <c r="AV36" i="6"/>
  <c r="AV34" i="6"/>
  <c r="AV37" i="6"/>
  <c r="AU75" i="6"/>
  <c r="AV41" i="6" l="1"/>
  <c r="AV42" i="6" s="1"/>
  <c r="AV43" i="6" s="1"/>
  <c r="AV44" i="6" l="1"/>
  <c r="AV45" i="6"/>
  <c r="AV46" i="6"/>
  <c r="AV47" i="6"/>
  <c r="AV52" i="6" l="1"/>
  <c r="AV53" i="6" s="1"/>
  <c r="AV54" i="6" s="1"/>
  <c r="AV56" i="6" l="1"/>
  <c r="AV55" i="6"/>
  <c r="AV57" i="6"/>
  <c r="AV58" i="6"/>
  <c r="AV61" i="6" l="1"/>
  <c r="AV63" i="6" l="1"/>
  <c r="AV64" i="6"/>
  <c r="AV62" i="6"/>
  <c r="AV65" i="6"/>
  <c r="AV68" i="6" l="1"/>
  <c r="AV70" i="6"/>
  <c r="AV69" i="6"/>
  <c r="AV73" i="6" l="1"/>
  <c r="AV71" i="6"/>
  <c r="AW30" i="6"/>
  <c r="AW32" i="6" s="1"/>
  <c r="AW33" i="6" s="1"/>
  <c r="AW50" i="6"/>
  <c r="AW51" i="6" s="1"/>
  <c r="AW40" i="6"/>
  <c r="AW35" i="6" l="1"/>
  <c r="AW34" i="6"/>
  <c r="AW36" i="6"/>
  <c r="AW37" i="6"/>
  <c r="AV75" i="6"/>
  <c r="AW41" i="6" l="1"/>
  <c r="AW42" i="6" s="1"/>
  <c r="AW43" i="6" s="1"/>
  <c r="AW46" i="6" l="1"/>
  <c r="AW45" i="6"/>
  <c r="AW44" i="6"/>
  <c r="AW47" i="6"/>
  <c r="AW52" i="6" l="1"/>
  <c r="AW53" i="6" s="1"/>
  <c r="AW54" i="6" s="1"/>
  <c r="AW57" i="6" l="1"/>
  <c r="AW56" i="6"/>
  <c r="AW55" i="6"/>
  <c r="AW58" i="6"/>
  <c r="AW61" i="6" l="1"/>
  <c r="AW65" i="6" s="1"/>
  <c r="AW64" i="6" l="1"/>
  <c r="AW62" i="6"/>
  <c r="AW63" i="6"/>
  <c r="AW69" i="6" l="1"/>
  <c r="AW68" i="6"/>
  <c r="AW70" i="6"/>
  <c r="AW71" i="6" l="1"/>
  <c r="AX40" i="6"/>
  <c r="AX30" i="6"/>
  <c r="AX32" i="6" s="1"/>
  <c r="AX33" i="6" s="1"/>
  <c r="AX50" i="6"/>
  <c r="AX51" i="6" s="1"/>
  <c r="AW73" i="6"/>
  <c r="AX35" i="6" l="1"/>
  <c r="AX34" i="6"/>
  <c r="AX36" i="6"/>
  <c r="AX37" i="6"/>
  <c r="AW75" i="6"/>
  <c r="AX41" i="6" l="1"/>
  <c r="AX42" i="6" s="1"/>
  <c r="AX43" i="6" s="1"/>
  <c r="AX45" i="6" l="1"/>
  <c r="AX46" i="6"/>
  <c r="AX44" i="6"/>
  <c r="AX47" i="6"/>
  <c r="AX52" i="6" l="1"/>
  <c r="AX53" i="6" s="1"/>
  <c r="AX54" i="6" s="1"/>
  <c r="AX56" i="6" l="1"/>
  <c r="AX55" i="6"/>
  <c r="AX57" i="6"/>
  <c r="AX58" i="6"/>
  <c r="AX61" i="6" l="1"/>
  <c r="AX64" i="6" l="1"/>
  <c r="AX70" i="6" s="1"/>
  <c r="AX62" i="6"/>
  <c r="AX68" i="6" s="1"/>
  <c r="AX63" i="6"/>
  <c r="AX69" i="6" s="1"/>
  <c r="AX65" i="6"/>
  <c r="AX73" i="6" l="1"/>
  <c r="AX71" i="6"/>
  <c r="AX75" i="6" s="1"/>
  <c r="AY40" i="6"/>
  <c r="AY50" i="6"/>
  <c r="AY51" i="6" s="1"/>
  <c r="AY30" i="6"/>
  <c r="AY32" i="6" s="1"/>
  <c r="AY33" i="6" s="1"/>
  <c r="AY34" i="6" l="1"/>
  <c r="AY36" i="6"/>
  <c r="AY35" i="6"/>
  <c r="AY37" i="6"/>
  <c r="AY41" i="6" l="1"/>
  <c r="AY42" i="6" s="1"/>
  <c r="AY43" i="6" s="1"/>
  <c r="AY46" i="6" l="1"/>
  <c r="AY45" i="6"/>
  <c r="AY44" i="6"/>
  <c r="AY47" i="6"/>
  <c r="AY52" i="6" l="1"/>
  <c r="AY53" i="6" s="1"/>
  <c r="AY54" i="6" s="1"/>
  <c r="AY57" i="6" l="1"/>
  <c r="AY56" i="6"/>
  <c r="AY55" i="6"/>
  <c r="AY58" i="6"/>
  <c r="AY61" i="6" l="1"/>
  <c r="AY62" i="6" l="1"/>
  <c r="AY68" i="6" s="1"/>
  <c r="AY64" i="6"/>
  <c r="AY70" i="6" s="1"/>
  <c r="AY63" i="6"/>
  <c r="AY69" i="6" s="1"/>
  <c r="AY65" i="6"/>
  <c r="AY73" i="6" l="1"/>
  <c r="AY71" i="6"/>
  <c r="AY75" i="6" s="1"/>
  <c r="AZ50" i="6"/>
  <c r="AZ51" i="6" s="1"/>
  <c r="AZ40" i="6"/>
  <c r="AZ30" i="6"/>
  <c r="AZ32" i="6" s="1"/>
  <c r="AZ33" i="6" s="1"/>
  <c r="AZ34" i="6" l="1"/>
  <c r="AZ36" i="6"/>
  <c r="AZ35" i="6"/>
  <c r="AZ37" i="6"/>
  <c r="AZ41" i="6" l="1"/>
  <c r="AZ42" i="6" s="1"/>
  <c r="AZ43" i="6" s="1"/>
  <c r="AZ45" i="6" l="1"/>
  <c r="AZ46" i="6"/>
  <c r="AZ44" i="6"/>
  <c r="AZ47" i="6"/>
  <c r="AZ52" i="6" l="1"/>
  <c r="AZ53" i="6" s="1"/>
  <c r="AZ54" i="6" s="1"/>
  <c r="AZ55" i="6" l="1"/>
  <c r="AZ56" i="6"/>
  <c r="AZ57" i="6"/>
  <c r="AZ58" i="6"/>
  <c r="AZ61" i="6" l="1"/>
  <c r="AZ63" i="6" l="1"/>
  <c r="AZ69" i="6" s="1"/>
  <c r="AZ62" i="6"/>
  <c r="AZ68" i="6" s="1"/>
  <c r="AZ64" i="6"/>
  <c r="AZ70" i="6" s="1"/>
  <c r="AZ65" i="6"/>
  <c r="AZ71" i="6" l="1"/>
  <c r="AZ75" i="6" s="1"/>
  <c r="BA50" i="6"/>
  <c r="BA51" i="6" s="1"/>
  <c r="BA30" i="6"/>
  <c r="BA32" i="6" s="1"/>
  <c r="BA33" i="6" s="1"/>
  <c r="BA40" i="6"/>
  <c r="AZ73" i="6"/>
  <c r="BA36" i="6" l="1"/>
  <c r="BA34" i="6"/>
  <c r="BA35" i="6"/>
  <c r="BA37" i="6"/>
  <c r="BA41" i="6" l="1"/>
  <c r="BA42" i="6" s="1"/>
  <c r="BA43" i="6" s="1"/>
  <c r="BA46" i="6" l="1"/>
  <c r="BA44" i="6"/>
  <c r="BA45" i="6"/>
  <c r="BA47" i="6"/>
  <c r="BA52" i="6" l="1"/>
  <c r="BA53" i="6" s="1"/>
  <c r="BA54" i="6" s="1"/>
  <c r="BA55" i="6" l="1"/>
  <c r="BA57" i="6"/>
  <c r="BA56" i="6"/>
  <c r="BA58" i="6"/>
  <c r="BA61" i="6" l="1"/>
  <c r="BA64" i="6" l="1"/>
  <c r="BA70" i="6" s="1"/>
  <c r="BA63" i="6"/>
  <c r="BA69" i="6" s="1"/>
  <c r="BA62" i="6"/>
  <c r="BA68" i="6" s="1"/>
  <c r="BA65" i="6"/>
  <c r="BA73" i="6" l="1"/>
  <c r="BA71" i="6"/>
  <c r="BA75" i="6" s="1"/>
  <c r="BB40" i="6"/>
  <c r="BB50" i="6"/>
  <c r="BB51" i="6" s="1"/>
  <c r="BB30" i="6"/>
  <c r="BB32" i="6" s="1"/>
  <c r="BB33" i="6" s="1"/>
  <c r="BB34" i="6" l="1"/>
  <c r="BB36" i="6"/>
  <c r="BB35" i="6"/>
  <c r="BB37" i="6"/>
  <c r="BB41" i="6" l="1"/>
  <c r="BB42" i="6" s="1"/>
  <c r="BB43" i="6" s="1"/>
  <c r="BB44" i="6" l="1"/>
  <c r="BB46" i="6"/>
  <c r="BB45" i="6"/>
  <c r="BB47" i="6"/>
  <c r="BB52" i="6" l="1"/>
  <c r="BB53" i="6" s="1"/>
  <c r="BB54" i="6" s="1"/>
  <c r="BB55" i="6" l="1"/>
  <c r="BB57" i="6"/>
  <c r="BB56" i="6"/>
  <c r="BB58" i="6"/>
  <c r="BB61" i="6" l="1"/>
  <c r="BB65" i="6" s="1"/>
  <c r="BB62" i="6" l="1"/>
  <c r="BB68" i="6" s="1"/>
  <c r="BB63" i="6"/>
  <c r="BB69" i="6" s="1"/>
  <c r="BB64" i="6"/>
  <c r="BB70" i="6" s="1"/>
  <c r="BB73" i="6" l="1"/>
  <c r="BB71" i="6"/>
  <c r="BB75" i="6" s="1"/>
  <c r="BC50" i="6"/>
  <c r="BC51" i="6" s="1"/>
  <c r="BC30" i="6"/>
  <c r="BC32" i="6" s="1"/>
  <c r="BC33" i="6" s="1"/>
  <c r="BC40" i="6"/>
  <c r="BC36" i="6" l="1"/>
  <c r="BC34" i="6"/>
  <c r="BC35" i="6"/>
  <c r="BC37" i="6"/>
  <c r="BC41" i="6" l="1"/>
  <c r="BC42" i="6" s="1"/>
  <c r="BC43" i="6" s="1"/>
  <c r="BC46" i="6" l="1"/>
  <c r="BC44" i="6"/>
  <c r="BC45" i="6"/>
  <c r="BC47" i="6"/>
  <c r="BC52" i="6" l="1"/>
  <c r="BC53" i="6" s="1"/>
  <c r="BC54" i="6" s="1"/>
  <c r="BC55" i="6" l="1"/>
  <c r="BC57" i="6"/>
  <c r="BC56" i="6"/>
  <c r="BC58" i="6"/>
  <c r="BC61" i="6" l="1"/>
  <c r="BC65" i="6" s="1"/>
  <c r="BC62" i="6" l="1"/>
  <c r="BC68" i="6" s="1"/>
  <c r="BC63" i="6"/>
  <c r="BC69" i="6" s="1"/>
  <c r="BC64" i="6"/>
  <c r="BC70" i="6" s="1"/>
  <c r="BC73" i="6" l="1"/>
  <c r="BC71" i="6"/>
  <c r="BC75" i="6" s="1"/>
  <c r="BD40" i="6"/>
  <c r="BD50" i="6"/>
  <c r="BD51" i="6" s="1"/>
  <c r="BD30" i="6"/>
  <c r="BD32" i="6" s="1"/>
  <c r="BD33" i="6" s="1"/>
  <c r="BD35" i="6" l="1"/>
  <c r="BD34" i="6"/>
  <c r="BD36" i="6"/>
  <c r="BD37" i="6"/>
  <c r="BD41" i="6" l="1"/>
  <c r="BD42" i="6" s="1"/>
  <c r="BD43" i="6" s="1"/>
  <c r="BD44" i="6" l="1"/>
  <c r="BD46" i="6"/>
  <c r="BD45" i="6"/>
  <c r="BD47" i="6"/>
  <c r="BD52" i="6" l="1"/>
  <c r="BD53" i="6" s="1"/>
  <c r="BD54" i="6" s="1"/>
  <c r="BD56" i="6" l="1"/>
  <c r="BD57" i="6"/>
  <c r="BD55" i="6"/>
  <c r="BD58" i="6"/>
  <c r="BD61" i="6" l="1"/>
  <c r="BD65" i="6" s="1"/>
  <c r="BD62" i="6" l="1"/>
  <c r="BD68" i="6" s="1"/>
  <c r="BD64" i="6"/>
  <c r="BD70" i="6" s="1"/>
  <c r="BD63" i="6"/>
  <c r="BD69" i="6" s="1"/>
  <c r="BD73" i="6" l="1"/>
  <c r="BD71" i="6"/>
  <c r="BD75" i="6" s="1"/>
  <c r="BE50" i="6"/>
  <c r="BE51" i="6" s="1"/>
  <c r="BE30" i="6"/>
  <c r="BE32" i="6" s="1"/>
  <c r="BE33" i="6" s="1"/>
  <c r="BE40" i="6"/>
  <c r="BE36" i="6" l="1"/>
  <c r="BE37" i="6"/>
  <c r="BE34" i="6"/>
  <c r="BE35" i="6"/>
  <c r="BE41" i="6" l="1"/>
  <c r="BE42" i="6" s="1"/>
  <c r="BE43" i="6" s="1"/>
  <c r="BE44" i="6" l="1"/>
  <c r="BE46" i="6"/>
  <c r="BE45" i="6"/>
  <c r="BE47" i="6"/>
  <c r="BE52" i="6" l="1"/>
  <c r="BE53" i="6" s="1"/>
  <c r="BE54" i="6" s="1"/>
  <c r="BE56" i="6" l="1"/>
  <c r="BE57" i="6"/>
  <c r="BE55" i="6"/>
  <c r="BE58" i="6"/>
  <c r="BE61" i="6" l="1"/>
  <c r="BE65" i="6" s="1"/>
  <c r="BE62" i="6" l="1"/>
  <c r="BE64" i="6"/>
  <c r="BE63" i="6"/>
  <c r="BE69" i="6" l="1"/>
  <c r="BE70" i="6"/>
  <c r="BE68" i="6"/>
  <c r="BE73" i="6" l="1"/>
  <c r="BE71" i="6"/>
  <c r="BF30" i="6"/>
  <c r="BF32" i="6" s="1"/>
  <c r="BF33" i="6" s="1"/>
  <c r="BF50" i="6"/>
  <c r="BF51" i="6" s="1"/>
  <c r="BF40" i="6"/>
  <c r="BF36" i="6" l="1"/>
  <c r="BF35" i="6"/>
  <c r="BF34" i="6"/>
  <c r="BF37" i="6"/>
  <c r="BE75" i="6"/>
  <c r="BF41" i="6" l="1"/>
  <c r="BF42" i="6" s="1"/>
  <c r="BF43" i="6" s="1"/>
  <c r="BF45" i="6" l="1"/>
  <c r="BF44" i="6"/>
  <c r="BF46" i="6"/>
  <c r="BF47" i="6"/>
  <c r="BF52" i="6" l="1"/>
  <c r="BF53" i="6" s="1"/>
  <c r="BF54" i="6" s="1"/>
  <c r="BF57" i="6" l="1"/>
  <c r="BF56" i="6"/>
  <c r="BF55" i="6"/>
  <c r="BF58" i="6"/>
  <c r="BF61" i="6" l="1"/>
  <c r="BF65" i="6" s="1"/>
  <c r="BF64" i="6" l="1"/>
  <c r="BF62" i="6"/>
  <c r="BF63" i="6"/>
  <c r="BF69" i="6" l="1"/>
  <c r="BF68" i="6"/>
  <c r="BF70" i="6"/>
  <c r="BF71" i="6" l="1"/>
  <c r="BG50" i="6"/>
  <c r="BG51" i="6" s="1"/>
  <c r="BG30" i="6"/>
  <c r="BG32" i="6" s="1"/>
  <c r="BG33" i="6" s="1"/>
  <c r="BG40" i="6"/>
  <c r="BF73" i="6"/>
  <c r="BG34" i="6" l="1"/>
  <c r="BG36" i="6"/>
  <c r="BG37" i="6"/>
  <c r="BG35" i="6"/>
  <c r="BF75" i="6"/>
  <c r="BG41" i="6" l="1"/>
  <c r="BG42" i="6" s="1"/>
  <c r="BG43" i="6" s="1"/>
  <c r="BG46" i="6" l="1"/>
  <c r="BG44" i="6"/>
  <c r="BG45" i="6"/>
  <c r="BG47" i="6"/>
  <c r="BG52" i="6" l="1"/>
  <c r="BG53" i="6" s="1"/>
  <c r="BG54" i="6" s="1"/>
  <c r="BG55" i="6" l="1"/>
  <c r="BG57" i="6"/>
  <c r="BG56" i="6"/>
  <c r="BG58" i="6"/>
  <c r="BG61" i="6" l="1"/>
  <c r="BG65" i="6" s="1"/>
  <c r="BG62" i="6" l="1"/>
  <c r="BG63" i="6"/>
  <c r="BG64" i="6"/>
  <c r="BG70" i="6" l="1"/>
  <c r="BG69" i="6"/>
  <c r="BG68" i="6"/>
  <c r="BG71" i="6" l="1"/>
  <c r="BH50" i="6"/>
  <c r="BH51" i="6" s="1"/>
  <c r="BH40" i="6"/>
  <c r="BH30" i="6"/>
  <c r="BH32" i="6" s="1"/>
  <c r="BH33" i="6" s="1"/>
  <c r="BG73" i="6"/>
  <c r="BH36" i="6" l="1"/>
  <c r="BH34" i="6"/>
  <c r="BH35" i="6"/>
  <c r="BH37" i="6"/>
  <c r="BG75" i="6"/>
  <c r="BH41" i="6" l="1"/>
  <c r="BH42" i="6" s="1"/>
  <c r="BH43" i="6" s="1"/>
  <c r="BH47" i="6" s="1"/>
  <c r="BH46" i="6" l="1"/>
  <c r="BH45" i="6"/>
  <c r="BH44" i="6"/>
  <c r="BH52" i="6" l="1"/>
  <c r="BH53" i="6" s="1"/>
  <c r="BH54" i="6" s="1"/>
  <c r="BH57" i="6" l="1"/>
  <c r="BH55" i="6"/>
  <c r="BH56" i="6"/>
  <c r="BH58" i="6"/>
  <c r="BH61" i="6" l="1"/>
  <c r="BH63" i="6" l="1"/>
  <c r="BH62" i="6"/>
  <c r="BH64" i="6"/>
  <c r="BH65" i="6"/>
  <c r="BH70" i="6" l="1"/>
  <c r="BH68" i="6"/>
  <c r="BH69" i="6"/>
  <c r="BH71" i="6" l="1"/>
  <c r="BI50" i="6"/>
  <c r="BI51" i="6" s="1"/>
  <c r="BI40" i="6"/>
  <c r="BI30" i="6"/>
  <c r="BI32" i="6" s="1"/>
  <c r="BI33" i="6" s="1"/>
  <c r="BH73" i="6"/>
  <c r="BI37" i="6" l="1"/>
  <c r="BI34" i="6"/>
  <c r="BI35" i="6"/>
  <c r="BI36" i="6"/>
  <c r="BH75" i="6"/>
  <c r="BI41" i="6" l="1"/>
  <c r="BI42" i="6" s="1"/>
  <c r="BI43" i="6" s="1"/>
  <c r="BI47" i="6" s="1"/>
  <c r="BI44" i="6" l="1"/>
  <c r="BI45" i="6"/>
  <c r="BI46" i="6"/>
  <c r="BI52" i="6" l="1"/>
  <c r="BI53" i="6" s="1"/>
  <c r="BI54" i="6" s="1"/>
  <c r="BI56" i="6" l="1"/>
  <c r="BI55" i="6"/>
  <c r="BI57" i="6"/>
  <c r="BI58" i="6"/>
  <c r="BI61" i="6" l="1"/>
  <c r="BI65" i="6" s="1"/>
  <c r="BI64" i="6" l="1"/>
  <c r="BI63" i="6"/>
  <c r="BI62" i="6"/>
  <c r="BI68" i="6" l="1"/>
  <c r="BI69" i="6"/>
  <c r="BI70" i="6"/>
  <c r="BI73" i="6" l="1"/>
  <c r="BI71" i="6"/>
  <c r="BJ30" i="6"/>
  <c r="BJ32" i="6" s="1"/>
  <c r="BJ33" i="6" s="1"/>
  <c r="BJ50" i="6"/>
  <c r="BJ51" i="6" s="1"/>
  <c r="BJ40" i="6"/>
  <c r="BJ37" i="6" l="1"/>
  <c r="BJ35" i="6"/>
  <c r="BJ34" i="6"/>
  <c r="BJ36" i="6"/>
  <c r="BI75" i="6"/>
  <c r="BJ41" i="6" l="1"/>
  <c r="BJ42" i="6" s="1"/>
  <c r="BJ43" i="6" s="1"/>
  <c r="BJ47" i="6" s="1"/>
  <c r="BJ44" i="6" l="1"/>
  <c r="BJ45" i="6"/>
  <c r="BJ46" i="6"/>
  <c r="BJ52" i="6" l="1"/>
  <c r="BJ53" i="6" s="1"/>
  <c r="BJ54" i="6" s="1"/>
  <c r="BJ55" i="6" l="1"/>
  <c r="BJ56" i="6"/>
  <c r="BJ57" i="6"/>
  <c r="BJ58" i="6"/>
  <c r="BJ61" i="6" l="1"/>
  <c r="BJ65" i="6" s="1"/>
  <c r="BJ64" i="6" l="1"/>
  <c r="BJ70" i="6" s="1"/>
  <c r="BJ63" i="6"/>
  <c r="BJ69" i="6" s="1"/>
  <c r="BJ62" i="6"/>
  <c r="BJ68" i="6" s="1"/>
  <c r="BJ73" i="6" l="1"/>
  <c r="BJ71" i="6"/>
  <c r="BJ75" i="6" s="1"/>
  <c r="DB50" i="6"/>
  <c r="DB51" i="6" s="1"/>
  <c r="BK50" i="6"/>
  <c r="BK51" i="6" s="1"/>
  <c r="BK30" i="6"/>
  <c r="BK32" i="6" s="1"/>
  <c r="BK33" i="6" s="1"/>
  <c r="DB40" i="6"/>
  <c r="BK40" i="6"/>
  <c r="DB30" i="6"/>
  <c r="DB32" i="6" s="1"/>
  <c r="DB33" i="6" s="1"/>
  <c r="DB36" i="6" l="1"/>
  <c r="DB35" i="6"/>
  <c r="DB34" i="6"/>
  <c r="DB37" i="6"/>
  <c r="BK37" i="6"/>
  <c r="BK35" i="6"/>
  <c r="BK34" i="6"/>
  <c r="BK36" i="6"/>
  <c r="BK41" i="6" l="1"/>
  <c r="BK42" i="6" s="1"/>
  <c r="BK43" i="6" s="1"/>
  <c r="BK47" i="6" s="1"/>
  <c r="DB41" i="6"/>
  <c r="DB42" i="6" s="1"/>
  <c r="DB43" i="6" s="1"/>
  <c r="DB44" i="6" l="1"/>
  <c r="DB46" i="6"/>
  <c r="DB45" i="6"/>
  <c r="DB47" i="6"/>
  <c r="BK44" i="6"/>
  <c r="BK45" i="6"/>
  <c r="BK46" i="6"/>
  <c r="BK52" i="6" l="1"/>
  <c r="BK53" i="6" s="1"/>
  <c r="BK54" i="6" s="1"/>
  <c r="DB52" i="6"/>
  <c r="DB53" i="6" s="1"/>
  <c r="DB54" i="6" s="1"/>
  <c r="DB55" i="6" l="1"/>
  <c r="DB56" i="6"/>
  <c r="DB57" i="6"/>
  <c r="DB58" i="6"/>
  <c r="BK57" i="6"/>
  <c r="BK56" i="6"/>
  <c r="BK55" i="6"/>
  <c r="BK58" i="6"/>
  <c r="BK61" i="6" l="1"/>
  <c r="DB61" i="6"/>
  <c r="DB64" i="6" l="1"/>
  <c r="DB70" i="6" s="1"/>
  <c r="DB63" i="6"/>
  <c r="DB69" i="6" s="1"/>
  <c r="DB62" i="6"/>
  <c r="DB68" i="6" s="1"/>
  <c r="DB65" i="6"/>
  <c r="BK64" i="6"/>
  <c r="BK70" i="6" s="1"/>
  <c r="BK63" i="6"/>
  <c r="BK69" i="6" s="1"/>
  <c r="BK62" i="6"/>
  <c r="BK68" i="6" s="1"/>
  <c r="BK65" i="6"/>
  <c r="DB73" i="6" l="1"/>
  <c r="BK73" i="6"/>
  <c r="BK71" i="6"/>
  <c r="BK75" i="6" s="1"/>
  <c r="BL30" i="6"/>
  <c r="BL32" i="6" s="1"/>
  <c r="BL33" i="6" s="1"/>
  <c r="BL50" i="6"/>
  <c r="BL51" i="6" s="1"/>
  <c r="BL40" i="6"/>
  <c r="DB71" i="6"/>
  <c r="DB75" i="6" s="1"/>
  <c r="BL37" i="6" l="1"/>
  <c r="BL36" i="6"/>
  <c r="BL34" i="6"/>
  <c r="BL35" i="6"/>
  <c r="BL41" i="6" l="1"/>
  <c r="BL42" i="6" s="1"/>
  <c r="BL43" i="6" s="1"/>
  <c r="BL47" i="6" s="1"/>
  <c r="BL45" i="6" l="1"/>
  <c r="BL44" i="6"/>
  <c r="BL46" i="6"/>
  <c r="BL52" i="6" l="1"/>
  <c r="BL53" i="6" s="1"/>
  <c r="BL54" i="6" s="1"/>
  <c r="BL56" i="6" l="1"/>
  <c r="BL55" i="6"/>
  <c r="BL57" i="6"/>
  <c r="BL58" i="6"/>
  <c r="BL61" i="6" l="1"/>
  <c r="BL64" i="6" l="1"/>
  <c r="BL70" i="6" s="1"/>
  <c r="BL62" i="6"/>
  <c r="BL68" i="6" s="1"/>
  <c r="BL63" i="6"/>
  <c r="BL69" i="6" s="1"/>
  <c r="BL65" i="6"/>
  <c r="BL73" i="6" l="1"/>
  <c r="BL71" i="6"/>
  <c r="BL75" i="6" s="1"/>
  <c r="BM50" i="6"/>
  <c r="BM51" i="6" s="1"/>
  <c r="BM40" i="6"/>
  <c r="BM30" i="6"/>
  <c r="BM32" i="6" s="1"/>
  <c r="BM33" i="6" s="1"/>
  <c r="BM35" i="6" l="1"/>
  <c r="BM37" i="6"/>
  <c r="BM34" i="6"/>
  <c r="BM36" i="6"/>
  <c r="BM41" i="6" l="1"/>
  <c r="BM42" i="6" s="1"/>
  <c r="BM43" i="6" s="1"/>
  <c r="BM47" i="6" s="1"/>
  <c r="BM46" i="6" l="1"/>
  <c r="BM44" i="6"/>
  <c r="BM45" i="6"/>
  <c r="BM52" i="6" l="1"/>
  <c r="BM53" i="6" s="1"/>
  <c r="BM54" i="6" s="1"/>
  <c r="BM57" i="6" l="1"/>
  <c r="BM56" i="6"/>
  <c r="BM55" i="6"/>
  <c r="BM58" i="6"/>
  <c r="BM61" i="6" l="1"/>
  <c r="BM63" i="6" l="1"/>
  <c r="BM69" i="6" s="1"/>
  <c r="BM62" i="6"/>
  <c r="BM68" i="6" s="1"/>
  <c r="BM64" i="6"/>
  <c r="BM70" i="6" s="1"/>
  <c r="BM65" i="6"/>
  <c r="BM71" i="6" l="1"/>
  <c r="BM75" i="6" s="1"/>
  <c r="BN50" i="6"/>
  <c r="BN51" i="6" s="1"/>
  <c r="BN40" i="6"/>
  <c r="BN30" i="6"/>
  <c r="BN32" i="6" s="1"/>
  <c r="BN33" i="6" s="1"/>
  <c r="BM73" i="6"/>
  <c r="BN35" i="6" l="1"/>
  <c r="BN34" i="6"/>
  <c r="BN36" i="6"/>
  <c r="BN37" i="6"/>
  <c r="BN41" i="6" l="1"/>
  <c r="BN42" i="6" s="1"/>
  <c r="BN43" i="6" s="1"/>
  <c r="BN45" i="6" l="1"/>
  <c r="BN46" i="6"/>
  <c r="BN44" i="6"/>
  <c r="BN47" i="6"/>
  <c r="BN52" i="6" l="1"/>
  <c r="BN53" i="6" s="1"/>
  <c r="BN54" i="6" s="1"/>
  <c r="BN56" i="6" l="1"/>
  <c r="BN55" i="6"/>
  <c r="BN57" i="6"/>
  <c r="BN58" i="6"/>
  <c r="BN61" i="6" l="1"/>
  <c r="BN64" i="6" l="1"/>
  <c r="BN70" i="6" s="1"/>
  <c r="BN63" i="6"/>
  <c r="BN69" i="6" s="1"/>
  <c r="BN62" i="6"/>
  <c r="BN68" i="6" s="1"/>
  <c r="BN65" i="6"/>
  <c r="BN73" i="6" l="1"/>
  <c r="BN71" i="6"/>
  <c r="BN75" i="6" s="1"/>
  <c r="BO50" i="6"/>
  <c r="BO51" i="6" s="1"/>
  <c r="BO30" i="6"/>
  <c r="BO32" i="6" s="1"/>
  <c r="BO33" i="6" s="1"/>
  <c r="BO40" i="6"/>
  <c r="BO34" i="6" l="1"/>
  <c r="BO35" i="6"/>
  <c r="BO36" i="6"/>
  <c r="BO37" i="6"/>
  <c r="BO41" i="6" l="1"/>
  <c r="BO42" i="6" s="1"/>
  <c r="BO43" i="6" s="1"/>
  <c r="BO46" i="6" l="1"/>
  <c r="BO45" i="6"/>
  <c r="BO44" i="6"/>
  <c r="BO47" i="6"/>
  <c r="BO52" i="6" l="1"/>
  <c r="BO53" i="6" s="1"/>
  <c r="BO54" i="6" s="1"/>
  <c r="BO56" i="6" l="1"/>
  <c r="BO55" i="6"/>
  <c r="BO57" i="6"/>
  <c r="BO58" i="6"/>
  <c r="BO61" i="6" l="1"/>
  <c r="BO64" i="6" l="1"/>
  <c r="BO70" i="6" s="1"/>
  <c r="BO62" i="6"/>
  <c r="BO68" i="6" s="1"/>
  <c r="BO63" i="6"/>
  <c r="BO69" i="6" s="1"/>
  <c r="BO65" i="6"/>
  <c r="BO73" i="6" l="1"/>
  <c r="BO71" i="6"/>
  <c r="BO75" i="6" s="1"/>
  <c r="BP30" i="6"/>
  <c r="BP32" i="6" s="1"/>
  <c r="BP33" i="6" s="1"/>
  <c r="BP40" i="6"/>
  <c r="BP50" i="6"/>
  <c r="BP51" i="6" s="1"/>
  <c r="BP34" i="6" l="1"/>
  <c r="BP37" i="6"/>
  <c r="BP35" i="6"/>
  <c r="BP36" i="6"/>
  <c r="BP41" i="6" l="1"/>
  <c r="BP42" i="6" s="1"/>
  <c r="BP43" i="6" s="1"/>
  <c r="BP45" i="6" l="1"/>
  <c r="BP46" i="6"/>
  <c r="BP44" i="6"/>
  <c r="BP47" i="6"/>
  <c r="BP52" i="6" l="1"/>
  <c r="BP53" i="6" s="1"/>
  <c r="BP54" i="6" s="1"/>
  <c r="BP55" i="6" l="1"/>
  <c r="BP57" i="6"/>
  <c r="BP56" i="6"/>
  <c r="BP58" i="6"/>
  <c r="BP61" i="6" l="1"/>
  <c r="BP65" i="6" s="1"/>
  <c r="BP63" i="6" l="1"/>
  <c r="BP69" i="6" s="1"/>
  <c r="BP62" i="6"/>
  <c r="BP68" i="6" s="1"/>
  <c r="BP64" i="6"/>
  <c r="BP70" i="6" s="1"/>
  <c r="BP71" i="6" l="1"/>
  <c r="BP75" i="6" s="1"/>
  <c r="BQ30" i="6"/>
  <c r="BQ32" i="6" s="1"/>
  <c r="BQ33" i="6" s="1"/>
  <c r="BQ50" i="6"/>
  <c r="BQ51" i="6" s="1"/>
  <c r="BQ40" i="6"/>
  <c r="BP73" i="6"/>
  <c r="BQ34" i="6" l="1"/>
  <c r="BQ35" i="6"/>
  <c r="BQ37" i="6"/>
  <c r="BQ36" i="6"/>
  <c r="BQ41" i="6" l="1"/>
  <c r="BQ42" i="6" s="1"/>
  <c r="BQ43" i="6" s="1"/>
  <c r="BQ47" i="6" s="1"/>
  <c r="BQ46" i="6" l="1"/>
  <c r="BQ44" i="6"/>
  <c r="BQ45" i="6"/>
  <c r="BQ52" i="6" l="1"/>
  <c r="BQ53" i="6" s="1"/>
  <c r="BQ54" i="6" s="1"/>
  <c r="BQ55" i="6" l="1"/>
  <c r="BQ57" i="6"/>
  <c r="BQ56" i="6"/>
  <c r="BQ58" i="6"/>
  <c r="BQ61" i="6" l="1"/>
  <c r="BQ65" i="6" s="1"/>
  <c r="BQ62" i="6" l="1"/>
  <c r="BQ63" i="6"/>
  <c r="BQ64" i="6"/>
  <c r="BQ68" i="6" l="1"/>
  <c r="BQ70" i="6"/>
  <c r="BQ69" i="6"/>
  <c r="BQ73" i="6" l="1"/>
  <c r="BQ71" i="6"/>
  <c r="BR40" i="6"/>
  <c r="BR50" i="6"/>
  <c r="BR51" i="6" s="1"/>
  <c r="BR30" i="6"/>
  <c r="BR32" i="6" s="1"/>
  <c r="BR33" i="6" s="1"/>
  <c r="BR35" i="6" l="1"/>
  <c r="BR34" i="6"/>
  <c r="BR36" i="6"/>
  <c r="BR37" i="6"/>
  <c r="BQ75" i="6"/>
  <c r="BR41" i="6" l="1"/>
  <c r="BR42" i="6" s="1"/>
  <c r="BR43" i="6" s="1"/>
  <c r="BR44" i="6" l="1"/>
  <c r="BR46" i="6"/>
  <c r="BR45" i="6"/>
  <c r="BR47" i="6"/>
  <c r="BR52" i="6" l="1"/>
  <c r="BR53" i="6" s="1"/>
  <c r="BR54" i="6" s="1"/>
  <c r="BR55" i="6" l="1"/>
  <c r="BR56" i="6"/>
  <c r="BR57" i="6"/>
  <c r="BR58" i="6"/>
  <c r="BR61" i="6" l="1"/>
  <c r="BR65" i="6" s="1"/>
  <c r="BR62" i="6" l="1"/>
  <c r="BR64" i="6"/>
  <c r="BR63" i="6"/>
  <c r="BR69" i="6" l="1"/>
  <c r="BR70" i="6"/>
  <c r="BR68" i="6"/>
  <c r="BR71" i="6" l="1"/>
  <c r="DA40" i="6"/>
  <c r="BS50" i="6"/>
  <c r="BS51" i="6" s="1"/>
  <c r="BS30" i="6"/>
  <c r="BS32" i="6" s="1"/>
  <c r="BS33" i="6" s="1"/>
  <c r="DA30" i="6"/>
  <c r="DA32" i="6" s="1"/>
  <c r="DA33" i="6" s="1"/>
  <c r="BS40" i="6"/>
  <c r="DA50" i="6"/>
  <c r="DA51" i="6" s="1"/>
  <c r="BR73" i="6"/>
  <c r="BS37" i="6" l="1"/>
  <c r="BS35" i="6"/>
  <c r="BS34" i="6"/>
  <c r="BS36" i="6"/>
  <c r="DA37" i="6"/>
  <c r="DA35" i="6"/>
  <c r="DA34" i="6"/>
  <c r="DA36" i="6"/>
  <c r="BR75" i="6"/>
  <c r="DA41" i="6" l="1"/>
  <c r="DA42" i="6" s="1"/>
  <c r="DA43" i="6" s="1"/>
  <c r="BS41" i="6"/>
  <c r="BS42" i="6" s="1"/>
  <c r="BS43" i="6" s="1"/>
  <c r="BS44" i="6" l="1"/>
  <c r="BS46" i="6"/>
  <c r="BS45" i="6"/>
  <c r="DA46" i="6"/>
  <c r="DA44" i="6"/>
  <c r="DA45" i="6"/>
  <c r="BS47" i="6"/>
  <c r="DA47" i="6"/>
  <c r="DA52" i="6" l="1"/>
  <c r="DA53" i="6" s="1"/>
  <c r="DA54" i="6" s="1"/>
  <c r="BS52" i="6"/>
  <c r="BS53" i="6" s="1"/>
  <c r="BS54" i="6" s="1"/>
  <c r="BS55" i="6" l="1"/>
  <c r="BS56" i="6"/>
  <c r="BS57" i="6"/>
  <c r="DA57" i="6"/>
  <c r="DA56" i="6"/>
  <c r="DA55" i="6"/>
  <c r="BS58" i="6"/>
  <c r="DA58" i="6"/>
  <c r="DA61" i="6" l="1"/>
  <c r="BS61" i="6"/>
  <c r="BS65" i="6" s="1"/>
  <c r="BS62" i="6" l="1"/>
  <c r="BS64" i="6"/>
  <c r="BS63" i="6"/>
  <c r="DA64" i="6"/>
  <c r="DA70" i="6" s="1"/>
  <c r="DA62" i="6"/>
  <c r="DA68" i="6" s="1"/>
  <c r="DA63" i="6"/>
  <c r="DA69" i="6" s="1"/>
  <c r="DA73" i="6" s="1"/>
  <c r="DA65" i="6"/>
  <c r="DA71" i="6" l="1"/>
  <c r="DA75" i="6" s="1"/>
  <c r="BS69" i="6"/>
  <c r="BS70" i="6"/>
  <c r="BS68" i="6"/>
  <c r="BS71" i="6" l="1"/>
  <c r="BT50" i="6"/>
  <c r="BT51" i="6" s="1"/>
  <c r="BT30" i="6"/>
  <c r="BT32" i="6" s="1"/>
  <c r="BT33" i="6" s="1"/>
  <c r="BT40" i="6"/>
  <c r="BS73" i="6"/>
  <c r="BT36" i="6" l="1"/>
  <c r="BT35" i="6"/>
  <c r="BT37" i="6"/>
  <c r="BT34" i="6"/>
  <c r="BS75" i="6"/>
  <c r="BT41" i="6" l="1"/>
  <c r="BT42" i="6" s="1"/>
  <c r="BT43" i="6" s="1"/>
  <c r="BT45" i="6" l="1"/>
  <c r="BT44" i="6"/>
  <c r="BT46" i="6"/>
  <c r="BT47" i="6"/>
  <c r="BT52" i="6" l="1"/>
  <c r="BT53" i="6" s="1"/>
  <c r="BT54" i="6" s="1"/>
  <c r="BT55" i="6" l="1"/>
  <c r="BT56" i="6"/>
  <c r="BT57" i="6"/>
  <c r="BT58" i="6"/>
  <c r="BT61" i="6" l="1"/>
  <c r="BT65" i="6" s="1"/>
  <c r="BT62" i="6" l="1"/>
  <c r="BT63" i="6"/>
  <c r="BT64" i="6"/>
  <c r="BT70" i="6" l="1"/>
  <c r="BT69" i="6"/>
  <c r="BT68" i="6"/>
  <c r="BT73" i="6" l="1"/>
  <c r="BT71" i="6"/>
  <c r="BU40" i="6"/>
  <c r="BU30" i="6"/>
  <c r="BU32" i="6" s="1"/>
  <c r="BU33" i="6" s="1"/>
  <c r="BU50" i="6"/>
  <c r="BU51" i="6" s="1"/>
  <c r="BU36" i="6" l="1"/>
  <c r="BU37" i="6"/>
  <c r="BU34" i="6"/>
  <c r="BU35" i="6"/>
  <c r="BT75" i="6"/>
  <c r="BU41" i="6" l="1"/>
  <c r="BU42" i="6" s="1"/>
  <c r="BU43" i="6" s="1"/>
  <c r="BU47" i="6" s="1"/>
  <c r="BU44" i="6" l="1"/>
  <c r="BU45" i="6"/>
  <c r="BU46" i="6"/>
  <c r="BU52" i="6" l="1"/>
  <c r="BU53" i="6" s="1"/>
  <c r="BU54" i="6" s="1"/>
  <c r="BU55" i="6" l="1"/>
  <c r="BU56" i="6"/>
  <c r="BU57" i="6"/>
  <c r="BU58" i="6"/>
  <c r="BU61" i="6" l="1"/>
  <c r="BU65" i="6" s="1"/>
  <c r="BU62" i="6" l="1"/>
  <c r="BU63" i="6"/>
  <c r="BU64" i="6"/>
  <c r="BU70" i="6" l="1"/>
  <c r="BU69" i="6"/>
  <c r="BU68" i="6"/>
  <c r="BU71" i="6" l="1"/>
  <c r="BV40" i="6"/>
  <c r="BV50" i="6"/>
  <c r="BV51" i="6" s="1"/>
  <c r="BV30" i="6"/>
  <c r="BV32" i="6" s="1"/>
  <c r="BV33" i="6" s="1"/>
  <c r="BU73" i="6"/>
  <c r="BV36" i="6" l="1"/>
  <c r="BV37" i="6"/>
  <c r="BV34" i="6"/>
  <c r="BV35" i="6"/>
  <c r="BU75" i="6"/>
  <c r="BV41" i="6" l="1"/>
  <c r="BV42" i="6" s="1"/>
  <c r="BV43" i="6" s="1"/>
  <c r="BV47" i="6" s="1"/>
  <c r="BV46" i="6" l="1"/>
  <c r="BV44" i="6"/>
  <c r="BV45" i="6"/>
  <c r="BV52" i="6" l="1"/>
  <c r="BV53" i="6" s="1"/>
  <c r="BV54" i="6" s="1"/>
  <c r="BV57" i="6" l="1"/>
  <c r="BV55" i="6"/>
  <c r="BV56" i="6"/>
  <c r="BV58" i="6"/>
  <c r="BV61" i="6" l="1"/>
  <c r="BV65" i="6" s="1"/>
  <c r="BV63" i="6" l="1"/>
  <c r="BV69" i="6" s="1"/>
  <c r="BV62" i="6"/>
  <c r="BV68" i="6" s="1"/>
  <c r="BV64" i="6"/>
  <c r="BV70" i="6" s="1"/>
  <c r="BV71" i="6" l="1"/>
  <c r="BV75" i="6" s="1"/>
  <c r="BW40" i="6"/>
  <c r="BW30" i="6"/>
  <c r="BW32" i="6" s="1"/>
  <c r="BW33" i="6" s="1"/>
  <c r="BW50" i="6"/>
  <c r="BW51" i="6" s="1"/>
  <c r="BV73" i="6"/>
  <c r="BW37" i="6" l="1"/>
  <c r="BW36" i="6"/>
  <c r="BW35" i="6"/>
  <c r="BW34" i="6"/>
  <c r="BW41" i="6" l="1"/>
  <c r="BW42" i="6" s="1"/>
  <c r="BW43" i="6" s="1"/>
  <c r="BW47" i="6" s="1"/>
  <c r="BW44" i="6" l="1"/>
  <c r="BW46" i="6"/>
  <c r="BW45" i="6"/>
  <c r="BW52" i="6" l="1"/>
  <c r="BW53" i="6" s="1"/>
  <c r="BW54" i="6" s="1"/>
  <c r="BW56" i="6" l="1"/>
  <c r="BW55" i="6"/>
  <c r="BW57" i="6"/>
  <c r="BW58" i="6"/>
  <c r="BW61" i="6" l="1"/>
  <c r="BW64" i="6" l="1"/>
  <c r="BW70" i="6" s="1"/>
  <c r="BW63" i="6"/>
  <c r="BW69" i="6" s="1"/>
  <c r="BW73" i="6" s="1"/>
  <c r="BW62" i="6"/>
  <c r="BW68" i="6" s="1"/>
  <c r="BW65" i="6"/>
  <c r="BW71" i="6" l="1"/>
  <c r="BW75" i="6" s="1"/>
  <c r="BX30" i="6"/>
  <c r="BX32" i="6" s="1"/>
  <c r="BX33" i="6" s="1"/>
  <c r="BX50" i="6"/>
  <c r="BX51" i="6" s="1"/>
  <c r="BX40" i="6"/>
  <c r="BX34" i="6" l="1"/>
  <c r="BX36" i="6"/>
  <c r="BX35" i="6"/>
  <c r="BX37" i="6"/>
  <c r="BX41" i="6" l="1"/>
  <c r="BX42" i="6" s="1"/>
  <c r="BX43" i="6" s="1"/>
  <c r="BX44" i="6" l="1"/>
  <c r="BX46" i="6"/>
  <c r="BX45" i="6"/>
  <c r="BX47" i="6"/>
  <c r="BX52" i="6" l="1"/>
  <c r="BX53" i="6" s="1"/>
  <c r="BX54" i="6" s="1"/>
  <c r="BX57" i="6" l="1"/>
  <c r="BX55" i="6"/>
  <c r="BX56" i="6"/>
  <c r="BX58" i="6"/>
  <c r="BX61" i="6" l="1"/>
  <c r="BX64" i="6" l="1"/>
  <c r="BX70" i="6" s="1"/>
  <c r="BX63" i="6"/>
  <c r="BX69" i="6" s="1"/>
  <c r="BX73" i="6" s="1"/>
  <c r="BX62" i="6"/>
  <c r="BX68" i="6" s="1"/>
  <c r="BX65" i="6"/>
  <c r="BX71" i="6" l="1"/>
  <c r="BX75" i="6" s="1"/>
  <c r="BY30" i="6"/>
  <c r="BY32" i="6" s="1"/>
  <c r="BY33" i="6" s="1"/>
  <c r="BY40" i="6"/>
  <c r="BY50" i="6"/>
  <c r="BY51" i="6" s="1"/>
  <c r="BY37" i="6" l="1"/>
  <c r="BY34" i="6"/>
  <c r="BY36" i="6"/>
  <c r="BY35" i="6"/>
  <c r="BY41" i="6" l="1"/>
  <c r="BY42" i="6" s="1"/>
  <c r="BY43" i="6" s="1"/>
  <c r="BY47" i="6" s="1"/>
  <c r="BY45" i="6" l="1"/>
  <c r="BY44" i="6"/>
  <c r="BY46" i="6"/>
  <c r="BY52" i="6" l="1"/>
  <c r="BY53" i="6" s="1"/>
  <c r="BY54" i="6" s="1"/>
  <c r="BY57" i="6" l="1"/>
  <c r="BY56" i="6"/>
  <c r="BY55" i="6"/>
  <c r="BY58" i="6"/>
  <c r="BY61" i="6" l="1"/>
  <c r="BY65" i="6" s="1"/>
  <c r="BY64" i="6" l="1"/>
  <c r="BY70" i="6" s="1"/>
  <c r="BY63" i="6"/>
  <c r="BY69" i="6" s="1"/>
  <c r="BY62" i="6"/>
  <c r="BY68" i="6" s="1"/>
  <c r="BY73" i="6" l="1"/>
  <c r="BY71" i="6"/>
  <c r="BY75" i="6" s="1"/>
  <c r="BZ40" i="6"/>
  <c r="BZ30" i="6"/>
  <c r="BZ32" i="6" s="1"/>
  <c r="BZ33" i="6" s="1"/>
  <c r="BZ50" i="6"/>
  <c r="BZ51" i="6" s="1"/>
  <c r="BZ34" i="6" l="1"/>
  <c r="BZ36" i="6"/>
  <c r="BZ35" i="6"/>
  <c r="BZ37" i="6"/>
  <c r="BZ41" i="6" l="1"/>
  <c r="BZ42" i="6" s="1"/>
  <c r="BZ43" i="6" s="1"/>
  <c r="BZ45" i="6" l="1"/>
  <c r="BZ46" i="6"/>
  <c r="BZ44" i="6"/>
  <c r="BZ47" i="6"/>
  <c r="BZ52" i="6" l="1"/>
  <c r="BZ53" i="6" s="1"/>
  <c r="BZ54" i="6" s="1"/>
  <c r="BZ57" i="6" l="1"/>
  <c r="BZ56" i="6"/>
  <c r="BZ55" i="6"/>
  <c r="BZ58" i="6"/>
  <c r="BZ61" i="6" l="1"/>
  <c r="BZ64" i="6" l="1"/>
  <c r="BZ70" i="6" s="1"/>
  <c r="BZ62" i="6"/>
  <c r="BZ68" i="6" s="1"/>
  <c r="BZ63" i="6"/>
  <c r="BZ69" i="6" s="1"/>
  <c r="BZ65" i="6"/>
  <c r="BZ73" i="6" l="1"/>
  <c r="BZ71" i="6"/>
  <c r="BZ75" i="6" s="1"/>
  <c r="CA50" i="6"/>
  <c r="CA51" i="6" s="1"/>
  <c r="CA30" i="6"/>
  <c r="CA32" i="6" s="1"/>
  <c r="CA33" i="6" s="1"/>
  <c r="CA40" i="6"/>
  <c r="CA35" i="6" l="1"/>
  <c r="CA34" i="6"/>
  <c r="CA36" i="6"/>
  <c r="CA37" i="6"/>
  <c r="CA41" i="6" l="1"/>
  <c r="CA42" i="6" s="1"/>
  <c r="CA43" i="6" s="1"/>
  <c r="CA44" i="6" l="1"/>
  <c r="CA45" i="6"/>
  <c r="CA46" i="6"/>
  <c r="CA47" i="6"/>
  <c r="CA52" i="6" l="1"/>
  <c r="CA53" i="6" s="1"/>
  <c r="CA54" i="6" s="1"/>
  <c r="CA57" i="6" l="1"/>
  <c r="CA55" i="6"/>
  <c r="CA56" i="6"/>
  <c r="CA58" i="6"/>
  <c r="CA61" i="6" l="1"/>
  <c r="CA62" i="6" l="1"/>
  <c r="CA68" i="6" s="1"/>
  <c r="CA64" i="6"/>
  <c r="CA70" i="6" s="1"/>
  <c r="CA63" i="6"/>
  <c r="CA69" i="6" s="1"/>
  <c r="CA65" i="6"/>
  <c r="CA73" i="6" l="1"/>
  <c r="CA71" i="6"/>
  <c r="CA75" i="6" s="1"/>
  <c r="CB40" i="6"/>
  <c r="CB50" i="6"/>
  <c r="CB51" i="6" s="1"/>
  <c r="CB30" i="6"/>
  <c r="CB32" i="6" s="1"/>
  <c r="CB33" i="6" s="1"/>
  <c r="DS50" i="6"/>
  <c r="DS51" i="6" s="1"/>
  <c r="DS30" i="6"/>
  <c r="DS32" i="6" s="1"/>
  <c r="DS33" i="6" s="1"/>
  <c r="DS40" i="6"/>
  <c r="CB34" i="6" l="1"/>
  <c r="CB36" i="6"/>
  <c r="CB37" i="6"/>
  <c r="CB35" i="6"/>
  <c r="DS36" i="6"/>
  <c r="DS37" i="6"/>
  <c r="DS34" i="6"/>
  <c r="DS35" i="6"/>
  <c r="DS41" i="6" l="1"/>
  <c r="DS42" i="6" s="1"/>
  <c r="DS43" i="6" s="1"/>
  <c r="DS47" i="6" s="1"/>
  <c r="CB41" i="6"/>
  <c r="CB42" i="6" s="1"/>
  <c r="CB43" i="6" s="1"/>
  <c r="CB46" i="6" l="1"/>
  <c r="CB44" i="6"/>
  <c r="CB45" i="6"/>
  <c r="CB47" i="6"/>
  <c r="DS46" i="6"/>
  <c r="DS45" i="6"/>
  <c r="DS44" i="6"/>
  <c r="DS52" i="6" l="1"/>
  <c r="DS53" i="6" s="1"/>
  <c r="DS54" i="6" s="1"/>
  <c r="CB52" i="6"/>
  <c r="CB53" i="6" s="1"/>
  <c r="CB54" i="6" s="1"/>
  <c r="CB56" i="6" l="1"/>
  <c r="CB55" i="6"/>
  <c r="CB57" i="6"/>
  <c r="CB58" i="6"/>
  <c r="DS56" i="6"/>
  <c r="DS55" i="6"/>
  <c r="DS57" i="6"/>
  <c r="DS58" i="6"/>
  <c r="DS61" i="6" l="1"/>
  <c r="CB61" i="6"/>
  <c r="CB63" i="6" l="1"/>
  <c r="CB69" i="6" s="1"/>
  <c r="CB62" i="6"/>
  <c r="CB68" i="6" s="1"/>
  <c r="CB64" i="6"/>
  <c r="CB70" i="6" s="1"/>
  <c r="CB65" i="6"/>
  <c r="DS64" i="6"/>
  <c r="DS70" i="6" s="1"/>
  <c r="DS62" i="6"/>
  <c r="DS68" i="6" s="1"/>
  <c r="DS63" i="6"/>
  <c r="DS69" i="6" s="1"/>
  <c r="DS65" i="6"/>
  <c r="DS73" i="6" l="1"/>
  <c r="DS71" i="6"/>
  <c r="DS75" i="6" s="1"/>
  <c r="CB71" i="6"/>
  <c r="CB75" i="6" s="1"/>
  <c r="CC30" i="6"/>
  <c r="CC32" i="6" s="1"/>
  <c r="CC33" i="6" s="1"/>
  <c r="CC50" i="6"/>
  <c r="CC51" i="6" s="1"/>
  <c r="CC40" i="6"/>
  <c r="CB73" i="6"/>
  <c r="CC35" i="6" l="1"/>
  <c r="CC37" i="6"/>
  <c r="CC34" i="6"/>
  <c r="CC36" i="6"/>
  <c r="CC41" i="6" l="1"/>
  <c r="CC42" i="6" s="1"/>
  <c r="CC43" i="6" s="1"/>
  <c r="CC47" i="6" s="1"/>
  <c r="CC45" i="6" l="1"/>
  <c r="CC44" i="6"/>
  <c r="CC46" i="6"/>
  <c r="CC52" i="6" l="1"/>
  <c r="CC53" i="6" s="1"/>
  <c r="CC54" i="6" s="1"/>
  <c r="CC56" i="6" l="1"/>
  <c r="CC55" i="6"/>
  <c r="CC57" i="6"/>
  <c r="CC58" i="6"/>
  <c r="CC61" i="6" l="1"/>
  <c r="CC64" i="6" l="1"/>
  <c r="CC63" i="6"/>
  <c r="CC62" i="6"/>
  <c r="CC65" i="6"/>
  <c r="CC68" i="6" l="1"/>
  <c r="CC69" i="6"/>
  <c r="CC70" i="6"/>
  <c r="CC73" i="6" l="1"/>
  <c r="CC71" i="6"/>
  <c r="CD40" i="6"/>
  <c r="CD30" i="6"/>
  <c r="CD32" i="6" s="1"/>
  <c r="CD33" i="6" s="1"/>
  <c r="CD50" i="6"/>
  <c r="CD51" i="6" s="1"/>
  <c r="CC75" i="6" l="1"/>
  <c r="CD34" i="6"/>
  <c r="CD35" i="6"/>
  <c r="CD37" i="6"/>
  <c r="CD36" i="6"/>
  <c r="CD41" i="6" l="1"/>
  <c r="CD42" i="6" s="1"/>
  <c r="CD43" i="6" s="1"/>
  <c r="CD46" i="6" l="1"/>
  <c r="CD44" i="6"/>
  <c r="CD45" i="6"/>
  <c r="CD47" i="6"/>
  <c r="CD52" i="6" l="1"/>
  <c r="CD53" i="6" s="1"/>
  <c r="CD54" i="6" s="1"/>
  <c r="CD56" i="6" l="1"/>
  <c r="CD55" i="6"/>
  <c r="CD57" i="6"/>
  <c r="CD58" i="6"/>
  <c r="CD61" i="6" l="1"/>
  <c r="CD65" i="6" s="1"/>
  <c r="CD63" i="6" l="1"/>
  <c r="CD62" i="6"/>
  <c r="CD64" i="6"/>
  <c r="CD70" i="6" l="1"/>
  <c r="CD68" i="6"/>
  <c r="CD69" i="6"/>
  <c r="CD73" i="6" l="1"/>
  <c r="CD71" i="6"/>
  <c r="CE50" i="6"/>
  <c r="CE51" i="6" s="1"/>
  <c r="CE40" i="6"/>
  <c r="CE30" i="6"/>
  <c r="CE32" i="6" s="1"/>
  <c r="CE33" i="6" s="1"/>
  <c r="CD75" i="6" l="1"/>
  <c r="CE35" i="6"/>
  <c r="CE37" i="6"/>
  <c r="CE36" i="6"/>
  <c r="CE34" i="6"/>
  <c r="CE41" i="6" l="1"/>
  <c r="CE42" i="6" s="1"/>
  <c r="CE43" i="6" s="1"/>
  <c r="CE47" i="6" s="1"/>
  <c r="CE45" i="6" l="1"/>
  <c r="CE46" i="6"/>
  <c r="CE44" i="6"/>
  <c r="CE52" i="6" l="1"/>
  <c r="CE53" i="6" s="1"/>
  <c r="CE54" i="6" s="1"/>
  <c r="CE56" i="6" l="1"/>
  <c r="CE57" i="6"/>
  <c r="CE55" i="6"/>
  <c r="CE58" i="6"/>
  <c r="CE61" i="6" l="1"/>
  <c r="CE65" i="6" s="1"/>
  <c r="CE63" i="6" l="1"/>
  <c r="CE64" i="6"/>
  <c r="CE62" i="6"/>
  <c r="CE68" i="6" l="1"/>
  <c r="CE70" i="6"/>
  <c r="CE69" i="6"/>
  <c r="CE73" i="6" l="1"/>
  <c r="CE71" i="6"/>
  <c r="CF40" i="6"/>
  <c r="CF30" i="6"/>
  <c r="CF32" i="6" s="1"/>
  <c r="CF33" i="6" s="1"/>
  <c r="CF50" i="6"/>
  <c r="CF51" i="6" s="1"/>
  <c r="CF35" i="6" l="1"/>
  <c r="CF34" i="6"/>
  <c r="CF37" i="6"/>
  <c r="CF36" i="6"/>
  <c r="CE75" i="6"/>
  <c r="CF41" i="6" l="1"/>
  <c r="CF42" i="6" s="1"/>
  <c r="CF43" i="6" s="1"/>
  <c r="CF47" i="6" s="1"/>
  <c r="CF44" i="6" l="1"/>
  <c r="CF46" i="6"/>
  <c r="CF45" i="6"/>
  <c r="CF52" i="6" l="1"/>
  <c r="CF53" i="6" s="1"/>
  <c r="CF54" i="6" s="1"/>
  <c r="CF55" i="6" l="1"/>
  <c r="CF57" i="6"/>
  <c r="CF56" i="6"/>
  <c r="CF58" i="6"/>
  <c r="CF61" i="6" l="1"/>
  <c r="CF62" i="6" l="1"/>
  <c r="CF64" i="6"/>
  <c r="CF63" i="6"/>
  <c r="CF65" i="6"/>
  <c r="CF69" i="6" l="1"/>
  <c r="CF70" i="6"/>
  <c r="CF68" i="6"/>
  <c r="CF71" i="6" l="1"/>
  <c r="CG30" i="6"/>
  <c r="CG32" i="6" s="1"/>
  <c r="CG33" i="6" s="1"/>
  <c r="CG40" i="6"/>
  <c r="CG50" i="6"/>
  <c r="CG51" i="6" s="1"/>
  <c r="CF73" i="6"/>
  <c r="CG34" i="6" l="1"/>
  <c r="CG35" i="6"/>
  <c r="CG37" i="6"/>
  <c r="CG36" i="6"/>
  <c r="CF75" i="6"/>
  <c r="CG41" i="6" l="1"/>
  <c r="CG42" i="6" s="1"/>
  <c r="CG43" i="6" s="1"/>
  <c r="CG46" i="6" l="1"/>
  <c r="CG44" i="6"/>
  <c r="CG45" i="6"/>
  <c r="CG47" i="6"/>
  <c r="CG52" i="6" l="1"/>
  <c r="CG53" i="6" s="1"/>
  <c r="CG54" i="6" s="1"/>
  <c r="CG55" i="6" l="1"/>
  <c r="CG57" i="6"/>
  <c r="CG56" i="6"/>
  <c r="CG58" i="6"/>
  <c r="CG61" i="6" l="1"/>
  <c r="CG65" i="6" s="1"/>
  <c r="CG62" i="6" l="1"/>
  <c r="CG64" i="6"/>
  <c r="CG63" i="6"/>
  <c r="CG69" i="6" l="1"/>
  <c r="CG70" i="6"/>
  <c r="CG68" i="6"/>
  <c r="CG71" i="6" l="1"/>
  <c r="CH40" i="6"/>
  <c r="CH30" i="6"/>
  <c r="CH32" i="6" s="1"/>
  <c r="CH33" i="6" s="1"/>
  <c r="CH50" i="6"/>
  <c r="CH51" i="6" s="1"/>
  <c r="CG73" i="6"/>
  <c r="CH36" i="6" l="1"/>
  <c r="CH35" i="6"/>
  <c r="CH34" i="6"/>
  <c r="CH37" i="6"/>
  <c r="CG75" i="6"/>
  <c r="CH41" i="6" l="1"/>
  <c r="CH42" i="6" s="1"/>
  <c r="CH43" i="6" s="1"/>
  <c r="CH45" i="6" l="1"/>
  <c r="CH44" i="6"/>
  <c r="CH46" i="6"/>
  <c r="CH47" i="6"/>
  <c r="CH52" i="6" l="1"/>
  <c r="CH53" i="6" s="1"/>
  <c r="CH54" i="6" s="1"/>
  <c r="CH55" i="6" l="1"/>
  <c r="CH56" i="6"/>
  <c r="CH57" i="6"/>
  <c r="CH58" i="6"/>
  <c r="CH61" i="6" l="1"/>
  <c r="CH65" i="6" s="1"/>
  <c r="CH62" i="6" l="1"/>
  <c r="CH68" i="6" s="1"/>
  <c r="CH64" i="6"/>
  <c r="CH70" i="6" s="1"/>
  <c r="CH63" i="6"/>
  <c r="CH69" i="6" s="1"/>
  <c r="CH73" i="6" l="1"/>
  <c r="CH71" i="6"/>
  <c r="CH75" i="6" s="1"/>
  <c r="CI40" i="6"/>
  <c r="CI50" i="6"/>
  <c r="CI51" i="6" s="1"/>
  <c r="CI30" i="6"/>
  <c r="CI32" i="6" s="1"/>
  <c r="CI33" i="6" s="1"/>
  <c r="CI37" i="6" l="1"/>
  <c r="CI35" i="6"/>
  <c r="CI34" i="6"/>
  <c r="CI36" i="6"/>
  <c r="CI41" i="6" l="1"/>
  <c r="CI42" i="6" s="1"/>
  <c r="CI43" i="6" s="1"/>
  <c r="CI47" i="6" s="1"/>
  <c r="CI46" i="6" l="1"/>
  <c r="CI45" i="6"/>
  <c r="CI44" i="6"/>
  <c r="CI52" i="6" l="1"/>
  <c r="CI53" i="6" s="1"/>
  <c r="CI54" i="6" s="1"/>
  <c r="CI55" i="6" l="1"/>
  <c r="CI57" i="6"/>
  <c r="CI56" i="6"/>
  <c r="CI58" i="6"/>
  <c r="CI61" i="6" l="1"/>
  <c r="CI65" i="6" s="1"/>
  <c r="CI62" i="6" l="1"/>
  <c r="CI68" i="6" s="1"/>
  <c r="CI63" i="6"/>
  <c r="CI69" i="6" s="1"/>
  <c r="CI64" i="6"/>
  <c r="CI70" i="6" s="1"/>
  <c r="CI73" i="6" l="1"/>
  <c r="CI71" i="6"/>
  <c r="CI75" i="6" s="1"/>
  <c r="DR50" i="6"/>
  <c r="DR51" i="6" s="1"/>
  <c r="CJ50" i="6"/>
  <c r="CJ51" i="6" s="1"/>
  <c r="DR30" i="6"/>
  <c r="DR32" i="6" s="1"/>
  <c r="DR33" i="6" s="1"/>
  <c r="DR40" i="6"/>
  <c r="CJ30" i="6"/>
  <c r="CJ32" i="6" s="1"/>
  <c r="CJ33" i="6" s="1"/>
  <c r="CJ40" i="6"/>
  <c r="DR34" i="6" l="1"/>
  <c r="DR37" i="6"/>
  <c r="DR36" i="6"/>
  <c r="DR35" i="6"/>
  <c r="CJ36" i="6"/>
  <c r="CJ35" i="6"/>
  <c r="CJ34" i="6"/>
  <c r="CJ37" i="6"/>
  <c r="CJ41" i="6" l="1"/>
  <c r="CJ42" i="6" s="1"/>
  <c r="CJ43" i="6" s="1"/>
  <c r="DR41" i="6"/>
  <c r="DR42" i="6" s="1"/>
  <c r="DR43" i="6" s="1"/>
  <c r="DR44" i="6" l="1"/>
  <c r="DR46" i="6"/>
  <c r="DR45" i="6"/>
  <c r="DR47" i="6"/>
  <c r="CJ46" i="6"/>
  <c r="CJ44" i="6"/>
  <c r="CJ45" i="6"/>
  <c r="CJ47" i="6"/>
  <c r="CJ52" i="6" l="1"/>
  <c r="CJ53" i="6" s="1"/>
  <c r="CJ54" i="6" s="1"/>
  <c r="DR52" i="6"/>
  <c r="DR53" i="6" s="1"/>
  <c r="DR54" i="6" s="1"/>
  <c r="DR55" i="6" l="1"/>
  <c r="DR56" i="6"/>
  <c r="DR57" i="6"/>
  <c r="DR58" i="6"/>
  <c r="CJ55" i="6"/>
  <c r="CJ56" i="6"/>
  <c r="CJ57" i="6"/>
  <c r="CJ58" i="6"/>
  <c r="CJ61" i="6" l="1"/>
  <c r="CJ65" i="6" s="1"/>
  <c r="DR61" i="6"/>
  <c r="DR65" i="6" s="1"/>
  <c r="DR62" i="6" l="1"/>
  <c r="DR68" i="6" s="1"/>
  <c r="DR63" i="6"/>
  <c r="DR69" i="6" s="1"/>
  <c r="DR64" i="6"/>
  <c r="DR70" i="6" s="1"/>
  <c r="CJ63" i="6"/>
  <c r="CJ69" i="6" s="1"/>
  <c r="CJ62" i="6"/>
  <c r="CJ68" i="6" s="1"/>
  <c r="CJ64" i="6"/>
  <c r="CJ70" i="6" s="1"/>
  <c r="DR73" i="6" l="1"/>
  <c r="CJ71" i="6"/>
  <c r="CJ75" i="6" s="1"/>
  <c r="CK50" i="6"/>
  <c r="CK51" i="6" s="1"/>
  <c r="CK30" i="6"/>
  <c r="CK32" i="6" s="1"/>
  <c r="CK33" i="6" s="1"/>
  <c r="CK40" i="6"/>
  <c r="CJ73" i="6"/>
  <c r="DR71" i="6"/>
  <c r="DR75" i="6" s="1"/>
  <c r="CK37" i="6" l="1"/>
  <c r="CK36" i="6"/>
  <c r="CK35" i="6"/>
  <c r="CK34" i="6"/>
  <c r="CK41" i="6" l="1"/>
  <c r="CK42" i="6" s="1"/>
  <c r="CK43" i="6" s="1"/>
  <c r="CK47" i="6" s="1"/>
  <c r="CK46" i="6" l="1"/>
  <c r="CK45" i="6"/>
  <c r="CK44" i="6"/>
  <c r="CK52" i="6" l="1"/>
  <c r="CK53" i="6" s="1"/>
  <c r="CK54" i="6" s="1"/>
  <c r="CK56" i="6" l="1"/>
  <c r="CK55" i="6"/>
  <c r="CK57" i="6"/>
  <c r="CK58" i="6"/>
  <c r="CK61" i="6" l="1"/>
  <c r="CK65" i="6" s="1"/>
  <c r="CK64" i="6" l="1"/>
  <c r="CK70" i="6" s="1"/>
  <c r="CK63" i="6"/>
  <c r="CK69" i="6" s="1"/>
  <c r="CK73" i="6" s="1"/>
  <c r="CK62" i="6"/>
  <c r="CK68" i="6" s="1"/>
  <c r="CK71" i="6" l="1"/>
  <c r="CK75" i="6" s="1"/>
  <c r="CL30" i="6"/>
  <c r="CL32" i="6" s="1"/>
  <c r="CL33" i="6" s="1"/>
  <c r="CL40" i="6"/>
  <c r="CL50" i="6"/>
  <c r="CL51" i="6" s="1"/>
  <c r="CL37" i="6" l="1"/>
  <c r="CL35" i="6"/>
  <c r="CL34" i="6"/>
  <c r="CL36" i="6"/>
  <c r="CL41" i="6" l="1"/>
  <c r="CL42" i="6" s="1"/>
  <c r="CL43" i="6" s="1"/>
  <c r="CL47" i="6" s="1"/>
  <c r="CL44" i="6" l="1"/>
  <c r="CL45" i="6"/>
  <c r="CL46" i="6"/>
  <c r="CL52" i="6" l="1"/>
  <c r="CL53" i="6" s="1"/>
  <c r="CL54" i="6" s="1"/>
  <c r="CL57" i="6" l="1"/>
  <c r="CL56" i="6"/>
  <c r="CL55" i="6"/>
  <c r="CL58" i="6"/>
  <c r="CL61" i="6" l="1"/>
  <c r="CL64" i="6" l="1"/>
  <c r="CL70" i="6" s="1"/>
  <c r="CL63" i="6"/>
  <c r="CL69" i="6" s="1"/>
  <c r="CL62" i="6"/>
  <c r="CL68" i="6" s="1"/>
  <c r="CL65" i="6"/>
  <c r="CL73" i="6" l="1"/>
  <c r="CL71" i="6"/>
  <c r="CL75" i="6" s="1"/>
  <c r="CM30" i="6"/>
  <c r="CM32" i="6" s="1"/>
  <c r="CM33" i="6" s="1"/>
  <c r="CM50" i="6"/>
  <c r="CM51" i="6" s="1"/>
  <c r="CM40" i="6"/>
  <c r="CM37" i="6" l="1"/>
  <c r="CM36" i="6"/>
  <c r="CM35" i="6"/>
  <c r="CM34" i="6"/>
  <c r="CM41" i="6" l="1"/>
  <c r="CM42" i="6" s="1"/>
  <c r="CM43" i="6" s="1"/>
  <c r="CM47" i="6" s="1"/>
  <c r="CM44" i="6" l="1"/>
  <c r="CM45" i="6"/>
  <c r="CM46" i="6"/>
  <c r="CM52" i="6" l="1"/>
  <c r="CM53" i="6" s="1"/>
  <c r="CM54" i="6" s="1"/>
  <c r="CM57" i="6" l="1"/>
  <c r="CM56" i="6"/>
  <c r="CM55" i="6"/>
  <c r="CM58" i="6"/>
  <c r="CM61" i="6" l="1"/>
  <c r="CM64" i="6" l="1"/>
  <c r="CM70" i="6" s="1"/>
  <c r="CM63" i="6"/>
  <c r="CM69" i="6" s="1"/>
  <c r="CM73" i="6" s="1"/>
  <c r="CM62" i="6"/>
  <c r="CM68" i="6" s="1"/>
  <c r="CM65" i="6"/>
  <c r="CM71" i="6" l="1"/>
  <c r="CM75" i="6" s="1"/>
  <c r="CN30" i="6"/>
  <c r="CN32" i="6" s="1"/>
  <c r="CN33" i="6" s="1"/>
  <c r="CN40" i="6"/>
  <c r="CN50" i="6"/>
  <c r="CN51" i="6" s="1"/>
  <c r="CN36" i="6" l="1"/>
  <c r="CN35" i="6"/>
  <c r="CN37" i="6"/>
  <c r="CN34" i="6"/>
  <c r="CN41" i="6" l="1"/>
  <c r="CN42" i="6" s="1"/>
  <c r="CN43" i="6" s="1"/>
  <c r="CN47" i="6" s="1"/>
  <c r="CN44" i="6" l="1"/>
  <c r="CN46" i="6"/>
  <c r="CN45" i="6"/>
  <c r="CN52" i="6" l="1"/>
  <c r="CN53" i="6" s="1"/>
  <c r="CN54" i="6" s="1"/>
  <c r="CN57" i="6" l="1"/>
  <c r="CN55" i="6"/>
  <c r="CN56" i="6"/>
  <c r="CN58" i="6"/>
  <c r="CN61" i="6" l="1"/>
  <c r="CN64" i="6" l="1"/>
  <c r="CN70" i="6" s="1"/>
  <c r="CN63" i="6"/>
  <c r="CN69" i="6" s="1"/>
  <c r="CN73" i="6" s="1"/>
  <c r="CN62" i="6"/>
  <c r="CN68" i="6" s="1"/>
  <c r="CN65" i="6"/>
  <c r="CN71" i="6" l="1"/>
  <c r="CN75" i="6" s="1"/>
  <c r="CO30" i="6"/>
  <c r="CO32" i="6" s="1"/>
  <c r="CO33" i="6" s="1"/>
  <c r="CO50" i="6"/>
  <c r="CO51" i="6" s="1"/>
  <c r="CO40" i="6"/>
  <c r="CO34" i="6" l="1"/>
  <c r="CO35" i="6"/>
  <c r="CO37" i="6"/>
  <c r="CO36" i="6"/>
  <c r="CO41" i="6" l="1"/>
  <c r="CO42" i="6" s="1"/>
  <c r="CO43" i="6" s="1"/>
  <c r="CO45" i="6" l="1"/>
  <c r="CO46" i="6"/>
  <c r="CO44" i="6"/>
  <c r="CO47" i="6"/>
  <c r="CO52" i="6" l="1"/>
  <c r="CO53" i="6" s="1"/>
  <c r="CO54" i="6" s="1"/>
  <c r="CO57" i="6" l="1"/>
  <c r="CO55" i="6"/>
  <c r="CO56" i="6"/>
  <c r="CO58" i="6"/>
  <c r="CO61" i="6" l="1"/>
  <c r="CO64" i="6" l="1"/>
  <c r="CO70" i="6" s="1"/>
  <c r="CO62" i="6"/>
  <c r="CO68" i="6" s="1"/>
  <c r="CO63" i="6"/>
  <c r="CO69" i="6" s="1"/>
  <c r="CO65" i="6"/>
  <c r="CO73" i="6" l="1"/>
  <c r="CO71" i="6"/>
  <c r="CO75" i="6" s="1"/>
  <c r="CP50" i="6"/>
  <c r="CP51" i="6" s="1"/>
  <c r="CP40" i="6"/>
  <c r="CP30" i="6"/>
  <c r="CP32" i="6" s="1"/>
  <c r="CP33" i="6" s="1"/>
  <c r="CP34" i="6" l="1"/>
  <c r="CP37" i="6"/>
  <c r="CP35" i="6"/>
  <c r="CP36" i="6"/>
  <c r="CP41" i="6" l="1"/>
  <c r="CP42" i="6" s="1"/>
  <c r="CP43" i="6" s="1"/>
  <c r="CP45" i="6" l="1"/>
  <c r="CP46" i="6"/>
  <c r="CP44" i="6"/>
  <c r="CP47" i="6"/>
  <c r="CP52" i="6" l="1"/>
  <c r="CP53" i="6" s="1"/>
  <c r="CP54" i="6" s="1"/>
  <c r="CP57" i="6" l="1"/>
  <c r="CP55" i="6"/>
  <c r="CP56" i="6"/>
  <c r="CP58" i="6"/>
  <c r="CP61" i="6" l="1"/>
  <c r="CP62" i="6" l="1"/>
  <c r="CP68" i="6" s="1"/>
  <c r="CP63" i="6"/>
  <c r="CP69" i="6" s="1"/>
  <c r="CP64" i="6"/>
  <c r="CP70" i="6" s="1"/>
  <c r="CP65" i="6"/>
  <c r="CP73" i="6" l="1"/>
  <c r="CP71" i="6"/>
  <c r="CP75" i="6" s="1"/>
  <c r="CQ40" i="6"/>
  <c r="CQ50" i="6"/>
  <c r="CQ51" i="6" s="1"/>
  <c r="CQ30" i="6"/>
  <c r="CQ32" i="6" s="1"/>
  <c r="CQ33" i="6" s="1"/>
  <c r="CQ35" i="6" l="1"/>
  <c r="CQ34" i="6"/>
  <c r="CQ36" i="6"/>
  <c r="CQ37" i="6"/>
  <c r="CQ41" i="6" l="1"/>
  <c r="CQ42" i="6" s="1"/>
  <c r="CQ43" i="6" s="1"/>
  <c r="CQ46" i="6" l="1"/>
  <c r="CQ45" i="6"/>
  <c r="CQ44" i="6"/>
  <c r="CQ47" i="6"/>
  <c r="CQ52" i="6" l="1"/>
  <c r="CQ53" i="6" s="1"/>
  <c r="CQ54" i="6" s="1"/>
  <c r="CQ57" i="6" l="1"/>
  <c r="CQ55" i="6"/>
  <c r="CQ56" i="6"/>
  <c r="CQ58" i="6"/>
  <c r="CQ61" i="6" l="1"/>
  <c r="CQ62" i="6" l="1"/>
  <c r="CQ68" i="6" s="1"/>
  <c r="CQ63" i="6"/>
  <c r="CQ69" i="6" s="1"/>
  <c r="CQ64" i="6"/>
  <c r="CQ70" i="6" s="1"/>
  <c r="CQ65" i="6"/>
  <c r="CQ73" i="6" l="1"/>
  <c r="CQ71" i="6"/>
  <c r="CQ75" i="6" s="1"/>
  <c r="CR30" i="6"/>
  <c r="CR32" i="6" s="1"/>
  <c r="CR33" i="6" s="1"/>
  <c r="CR40" i="6"/>
  <c r="CR50" i="6"/>
  <c r="CR51" i="6" s="1"/>
  <c r="CR34" i="6" l="1"/>
  <c r="CR36" i="6"/>
  <c r="CR37" i="6"/>
  <c r="CR35" i="6"/>
  <c r="CR41" i="6" l="1"/>
  <c r="CR42" i="6" s="1"/>
  <c r="CR43" i="6" s="1"/>
  <c r="CR45" i="6" l="1"/>
  <c r="CR46" i="6"/>
  <c r="CR44" i="6"/>
  <c r="CR47" i="6"/>
  <c r="CR52" i="6" l="1"/>
  <c r="CR53" i="6" s="1"/>
  <c r="CR54" i="6" s="1"/>
  <c r="CR56" i="6" l="1"/>
  <c r="CR57" i="6"/>
  <c r="CR55" i="6"/>
  <c r="CR58" i="6"/>
  <c r="CR61" i="6" l="1"/>
  <c r="CR65" i="6" s="1"/>
  <c r="CR63" i="6" l="1"/>
  <c r="CR69" i="6" s="1"/>
  <c r="CR64" i="6"/>
  <c r="CR70" i="6" s="1"/>
  <c r="CR62" i="6"/>
  <c r="CR68" i="6" s="1"/>
  <c r="CR71" i="6" l="1"/>
  <c r="CR75" i="6" s="1"/>
  <c r="CS50" i="6"/>
  <c r="CS51" i="6" s="1"/>
  <c r="EJ30" i="6"/>
  <c r="EJ32" i="6" s="1"/>
  <c r="EJ33" i="6" s="1"/>
  <c r="EJ40" i="6"/>
  <c r="CS30" i="6"/>
  <c r="CS32" i="6" s="1"/>
  <c r="CS33" i="6" s="1"/>
  <c r="CS40" i="6"/>
  <c r="EJ50" i="6"/>
  <c r="EJ51" i="6" s="1"/>
  <c r="CR73" i="6"/>
  <c r="EJ35" i="6" l="1"/>
  <c r="EJ34" i="6"/>
  <c r="EJ36" i="6"/>
  <c r="EJ37" i="6"/>
  <c r="CS36" i="6"/>
  <c r="CS35" i="6"/>
  <c r="CS37" i="6"/>
  <c r="CS34" i="6"/>
  <c r="CS41" i="6" l="1"/>
  <c r="CS42" i="6" s="1"/>
  <c r="CS43" i="6" s="1"/>
  <c r="CS47" i="6" s="1"/>
  <c r="EJ41" i="6"/>
  <c r="EJ42" i="6" s="1"/>
  <c r="EJ43" i="6" s="1"/>
  <c r="EJ44" i="6" l="1"/>
  <c r="EJ46" i="6"/>
  <c r="EJ45" i="6"/>
  <c r="EJ47" i="6"/>
  <c r="CS46" i="6"/>
  <c r="CS44" i="6"/>
  <c r="CS45" i="6"/>
  <c r="CS52" i="6" l="1"/>
  <c r="CS53" i="6" s="1"/>
  <c r="CS54" i="6" s="1"/>
  <c r="EJ52" i="6"/>
  <c r="EJ53" i="6" s="1"/>
  <c r="EJ54" i="6" s="1"/>
  <c r="EJ57" i="6" l="1"/>
  <c r="EJ55" i="6"/>
  <c r="EJ56" i="6"/>
  <c r="EJ58" i="6"/>
  <c r="CS56" i="6"/>
  <c r="CS57" i="6"/>
  <c r="CS55" i="6"/>
  <c r="CS58" i="6"/>
  <c r="CS61" i="6" l="1"/>
  <c r="CS65" i="6" s="1"/>
  <c r="EJ61" i="6"/>
  <c r="EJ65" i="6" s="1"/>
  <c r="EJ64" i="6" l="1"/>
  <c r="EJ70" i="6" s="1"/>
  <c r="EJ63" i="6"/>
  <c r="EJ69" i="6" s="1"/>
  <c r="EJ62" i="6"/>
  <c r="EJ68" i="6" s="1"/>
  <c r="CS63" i="6"/>
  <c r="CS69" i="6" s="1"/>
  <c r="CS64" i="6"/>
  <c r="CS70" i="6" s="1"/>
  <c r="CS62" i="6"/>
  <c r="CS68" i="6" s="1"/>
  <c r="EJ73" i="6" l="1"/>
  <c r="CS71" i="6"/>
  <c r="CS75" i="6" s="1"/>
  <c r="CT50" i="6"/>
  <c r="CT51" i="6" s="1"/>
  <c r="CT30" i="6"/>
  <c r="CT32" i="6" s="1"/>
  <c r="CT33" i="6" s="1"/>
  <c r="CT40" i="6"/>
  <c r="CS73" i="6"/>
  <c r="EJ71" i="6"/>
  <c r="EJ75" i="6" s="1"/>
  <c r="CT35" i="6" l="1"/>
  <c r="CT34" i="6"/>
  <c r="CT36" i="6"/>
  <c r="CT37" i="6"/>
  <c r="CT41" i="6" l="1"/>
  <c r="CT42" i="6" s="1"/>
  <c r="CT43" i="6" s="1"/>
  <c r="CT44" i="6" l="1"/>
  <c r="CT45" i="6"/>
  <c r="CT46" i="6"/>
  <c r="CT47" i="6"/>
  <c r="CT52" i="6" l="1"/>
  <c r="CT53" i="6" s="1"/>
  <c r="CT54" i="6" s="1"/>
  <c r="CT56" i="6" l="1"/>
  <c r="CT55" i="6"/>
  <c r="CT57" i="6"/>
  <c r="CT58" i="6"/>
  <c r="CT61" i="6" l="1"/>
  <c r="CT64" i="6" l="1"/>
  <c r="CT70" i="6" s="1"/>
  <c r="CT63" i="6"/>
  <c r="CT69" i="6" s="1"/>
  <c r="CT62" i="6"/>
  <c r="CT68" i="6" s="1"/>
  <c r="CT65" i="6"/>
  <c r="CT73" i="6" l="1"/>
  <c r="CT71" i="6"/>
  <c r="CT75" i="6" s="1"/>
  <c r="CU40" i="6"/>
  <c r="CU30" i="6"/>
  <c r="CU32" i="6" s="1"/>
  <c r="CU33" i="6" s="1"/>
  <c r="CU50" i="6"/>
  <c r="CU51" i="6" s="1"/>
  <c r="CU37" i="6" l="1"/>
  <c r="CU35" i="6"/>
  <c r="CU36" i="6"/>
  <c r="CU34" i="6"/>
  <c r="CU41" i="6" l="1"/>
  <c r="CU42" i="6" s="1"/>
  <c r="CU43" i="6" s="1"/>
  <c r="CU47" i="6" s="1"/>
  <c r="CU44" i="6" l="1"/>
  <c r="CU45" i="6"/>
  <c r="CU46" i="6"/>
  <c r="CU52" i="6" l="1"/>
  <c r="CU53" i="6" s="1"/>
  <c r="CU54" i="6" s="1"/>
  <c r="CU56" i="6" l="1"/>
  <c r="CU57" i="6"/>
  <c r="CU55" i="6"/>
  <c r="CU58" i="6"/>
  <c r="CU61" i="6" l="1"/>
  <c r="CU65" i="6" s="1"/>
  <c r="CU62" i="6" l="1"/>
  <c r="CU68" i="6" s="1"/>
  <c r="CU64" i="6"/>
  <c r="CU70" i="6" s="1"/>
  <c r="CU63" i="6"/>
  <c r="CU69" i="6" s="1"/>
  <c r="CU73" i="6" l="1"/>
  <c r="CU71" i="6"/>
  <c r="CU75" i="6" s="1"/>
  <c r="CV50" i="6"/>
  <c r="CV51" i="6" s="1"/>
  <c r="CV40" i="6"/>
  <c r="CV30" i="6"/>
  <c r="CV32" i="6" s="1"/>
  <c r="CV33" i="6" s="1"/>
  <c r="CV36" i="6" l="1"/>
  <c r="CV35" i="6"/>
  <c r="CV37" i="6"/>
  <c r="CV34" i="6"/>
  <c r="CV41" i="6" l="1"/>
  <c r="CV42" i="6" s="1"/>
  <c r="CV43" i="6" s="1"/>
  <c r="CV47" i="6" s="1"/>
  <c r="CV45" i="6" l="1"/>
  <c r="CV44" i="6"/>
  <c r="CV46" i="6"/>
  <c r="CV52" i="6" l="1"/>
  <c r="CV53" i="6" s="1"/>
  <c r="CV54" i="6" s="1"/>
  <c r="CV55" i="6" l="1"/>
  <c r="CV57" i="6"/>
  <c r="CV56" i="6"/>
  <c r="CV58" i="6"/>
  <c r="CV61" i="6" l="1"/>
  <c r="CV62" i="6" l="1"/>
  <c r="CV68" i="6" s="1"/>
  <c r="CV64" i="6"/>
  <c r="CV70" i="6" s="1"/>
  <c r="CV63" i="6"/>
  <c r="CV69" i="6" s="1"/>
  <c r="CV65" i="6"/>
  <c r="CV73" i="6" l="1"/>
  <c r="CV71" i="6"/>
  <c r="CV75" i="6" s="1"/>
  <c r="CW50" i="6"/>
  <c r="CW51" i="6" s="1"/>
  <c r="CW30" i="6"/>
  <c r="CW32" i="6" s="1"/>
  <c r="CW33" i="6" s="1"/>
  <c r="CW40" i="6"/>
  <c r="CW34" i="6" l="1"/>
  <c r="CW35" i="6"/>
  <c r="CW37" i="6"/>
  <c r="CW36" i="6"/>
  <c r="CW41" i="6" l="1"/>
  <c r="CW42" i="6" s="1"/>
  <c r="CW43" i="6" s="1"/>
  <c r="CW45" i="6" l="1"/>
  <c r="CW44" i="6"/>
  <c r="CW46" i="6"/>
  <c r="CW47" i="6"/>
  <c r="CW52" i="6" l="1"/>
  <c r="CW53" i="6" s="1"/>
  <c r="CW54" i="6" s="1"/>
  <c r="CW55" i="6" l="1"/>
  <c r="CW57" i="6"/>
  <c r="CW56" i="6"/>
  <c r="CW58" i="6"/>
  <c r="CW61" i="6" l="1"/>
  <c r="CW65" i="6" s="1"/>
  <c r="CW63" i="6" l="1"/>
  <c r="CW69" i="6" s="1"/>
  <c r="CW62" i="6"/>
  <c r="CW68" i="6" s="1"/>
  <c r="CW64" i="6"/>
  <c r="CW70" i="6" s="1"/>
  <c r="CW71" i="6" l="1"/>
  <c r="CW75" i="6" s="1"/>
  <c r="CX50" i="6"/>
  <c r="CX51" i="6" s="1"/>
  <c r="CX30" i="6"/>
  <c r="CX32" i="6" s="1"/>
  <c r="CX33" i="6" s="1"/>
  <c r="CX40" i="6"/>
  <c r="CW73" i="6"/>
  <c r="CX36" i="6" l="1"/>
  <c r="CX34" i="6"/>
  <c r="CX35" i="6"/>
  <c r="CX37" i="6"/>
  <c r="CX41" i="6" l="1"/>
  <c r="CX42" i="6" s="1"/>
  <c r="CX43" i="6" s="1"/>
  <c r="CX46" i="6" l="1"/>
  <c r="CX44" i="6"/>
  <c r="CX45" i="6"/>
  <c r="CX47" i="6"/>
  <c r="CX52" i="6" l="1"/>
  <c r="CX53" i="6" s="1"/>
  <c r="CX54" i="6" s="1"/>
  <c r="CX55" i="6" l="1"/>
  <c r="CX56" i="6"/>
  <c r="CX57" i="6"/>
  <c r="CX58" i="6"/>
  <c r="CX61" i="6" l="1"/>
  <c r="CX65" i="6" s="1"/>
  <c r="CX63" i="6" l="1"/>
  <c r="CX69" i="6" s="1"/>
  <c r="CX62" i="6"/>
  <c r="CX68" i="6" s="1"/>
  <c r="CX64" i="6"/>
  <c r="CX70" i="6" s="1"/>
  <c r="CX71" i="6" l="1"/>
  <c r="CX75" i="6" s="1"/>
  <c r="CY40" i="6"/>
  <c r="CY30" i="6"/>
  <c r="CY32" i="6" s="1"/>
  <c r="CY33" i="6" s="1"/>
  <c r="CY50" i="6"/>
  <c r="CY51" i="6" s="1"/>
  <c r="CX73" i="6"/>
  <c r="CY37" i="6" l="1"/>
  <c r="CY35" i="6"/>
  <c r="CY34" i="6"/>
  <c r="CY36" i="6"/>
  <c r="CY41" i="6" l="1"/>
  <c r="CY42" i="6" s="1"/>
  <c r="CY43" i="6" s="1"/>
  <c r="CY47" i="6" s="1"/>
  <c r="CY46" i="6" l="1"/>
  <c r="CY44" i="6"/>
  <c r="CY45" i="6"/>
  <c r="CY52" i="6" l="1"/>
  <c r="CY53" i="6" s="1"/>
  <c r="CY54" i="6" s="1"/>
  <c r="CY56" i="6" l="1"/>
  <c r="CY55" i="6"/>
  <c r="CY57" i="6"/>
  <c r="CY58" i="6"/>
  <c r="CY61" i="6" l="1"/>
  <c r="CY65" i="6" s="1"/>
  <c r="CY64" i="6" l="1"/>
  <c r="CY70" i="6" s="1"/>
  <c r="CY63" i="6"/>
  <c r="CY69" i="6" s="1"/>
  <c r="CY62" i="6"/>
  <c r="CY68" i="6" s="1"/>
  <c r="CY73" i="6" l="1"/>
  <c r="CY71" i="6"/>
  <c r="CY75" i="6" s="1"/>
  <c r="CZ40" i="6"/>
  <c r="CZ30" i="6"/>
  <c r="CZ32" i="6" s="1"/>
  <c r="CZ33" i="6" s="1"/>
  <c r="CZ50" i="6"/>
  <c r="CZ51" i="6" s="1"/>
  <c r="CZ37" i="6" l="1"/>
  <c r="CZ34" i="6"/>
  <c r="CZ36" i="6"/>
  <c r="CZ35" i="6"/>
  <c r="CZ41" i="6" l="1"/>
  <c r="CZ42" i="6" s="1"/>
  <c r="CZ43" i="6" s="1"/>
  <c r="CZ47" i="6" s="1"/>
  <c r="CZ44" i="6" l="1"/>
  <c r="CZ46" i="6"/>
  <c r="CZ45" i="6"/>
  <c r="CZ52" i="6" l="1"/>
  <c r="CZ53" i="6" s="1"/>
  <c r="CZ54" i="6" s="1"/>
  <c r="CZ55" i="6" l="1"/>
  <c r="CZ57" i="6"/>
  <c r="CZ56" i="6"/>
  <c r="CZ58" i="6"/>
  <c r="CZ61" i="6" l="1"/>
  <c r="CZ65" i="6"/>
  <c r="CZ64" i="6" l="1"/>
  <c r="CZ70" i="6" s="1"/>
  <c r="CZ63" i="6"/>
  <c r="CZ69" i="6" s="1"/>
  <c r="CZ62" i="6"/>
  <c r="CZ68" i="6" s="1"/>
  <c r="CZ73" i="6" l="1"/>
  <c r="CZ71" i="6"/>
  <c r="CZ75" i="6" s="1"/>
  <c r="EI30" i="6"/>
  <c r="EI32" i="6" s="1"/>
  <c r="EI33" i="6" s="1"/>
  <c r="EI40" i="6"/>
  <c r="EI50" i="6"/>
  <c r="EI51" i="6" s="1"/>
  <c r="DK50" i="6"/>
  <c r="DK51" i="6" s="1"/>
  <c r="DC40" i="6"/>
  <c r="DK40" i="6"/>
  <c r="DC30" i="6"/>
  <c r="DC32" i="6" s="1"/>
  <c r="DC33" i="6" s="1"/>
  <c r="DK30" i="6"/>
  <c r="DK32" i="6" s="1"/>
  <c r="DK33" i="6" s="1"/>
  <c r="DC50" i="6"/>
  <c r="DC51" i="6" s="1"/>
  <c r="DK34" i="6" l="1"/>
  <c r="DK35" i="6"/>
  <c r="DK37" i="6"/>
  <c r="DK36" i="6"/>
  <c r="DC36" i="6"/>
  <c r="DC37" i="6"/>
  <c r="DC35" i="6"/>
  <c r="DC34" i="6"/>
  <c r="EI37" i="6"/>
  <c r="EI36" i="6"/>
  <c r="EI35" i="6"/>
  <c r="EI34" i="6"/>
  <c r="DC41" i="6" l="1"/>
  <c r="DC42" i="6" s="1"/>
  <c r="DC43" i="6" s="1"/>
  <c r="DC47" i="6" s="1"/>
  <c r="EI41" i="6"/>
  <c r="EI42" i="6" s="1"/>
  <c r="EI43" i="6" s="1"/>
  <c r="DK41" i="6"/>
  <c r="DK42" i="6" s="1"/>
  <c r="DK43" i="6" s="1"/>
  <c r="DK45" i="6" l="1"/>
  <c r="DK46" i="6"/>
  <c r="DK44" i="6"/>
  <c r="DK47" i="6"/>
  <c r="EI44" i="6"/>
  <c r="EI46" i="6"/>
  <c r="EI45" i="6"/>
  <c r="DC45" i="6"/>
  <c r="DC44" i="6"/>
  <c r="DC46" i="6"/>
  <c r="EI47" i="6"/>
  <c r="DC52" i="6" l="1"/>
  <c r="DC53" i="6" s="1"/>
  <c r="DC54" i="6" s="1"/>
  <c r="EI52" i="6"/>
  <c r="EI53" i="6" s="1"/>
  <c r="EI54" i="6" s="1"/>
  <c r="DK52" i="6"/>
  <c r="DK53" i="6" s="1"/>
  <c r="DK54" i="6" s="1"/>
  <c r="DK55" i="6" l="1"/>
  <c r="DK56" i="6"/>
  <c r="DK57" i="6"/>
  <c r="DK58" i="6"/>
  <c r="EI56" i="6"/>
  <c r="EI57" i="6"/>
  <c r="EI55" i="6"/>
  <c r="DC57" i="6"/>
  <c r="DC56" i="6"/>
  <c r="DC55" i="6"/>
  <c r="DC58" i="6"/>
  <c r="EI58" i="6"/>
  <c r="EI61" i="6" l="1"/>
  <c r="DC61" i="6"/>
  <c r="DK61" i="6"/>
  <c r="DK63" i="6" l="1"/>
  <c r="DK69" i="6" s="1"/>
  <c r="DK62" i="6"/>
  <c r="DK68" i="6" s="1"/>
  <c r="DK64" i="6"/>
  <c r="DK70" i="6" s="1"/>
  <c r="DK65" i="6"/>
  <c r="DC64" i="6"/>
  <c r="DC70" i="6" s="1"/>
  <c r="DC62" i="6"/>
  <c r="DC68" i="6" s="1"/>
  <c r="DC63" i="6"/>
  <c r="DC69" i="6" s="1"/>
  <c r="DC73" i="6" s="1"/>
  <c r="DC65" i="6"/>
  <c r="EI63" i="6"/>
  <c r="EI69" i="6" s="1"/>
  <c r="EI64" i="6"/>
  <c r="EI70" i="6" s="1"/>
  <c r="EI62" i="6"/>
  <c r="EI68" i="6" s="1"/>
  <c r="EI65" i="6"/>
  <c r="EI71" i="6" l="1"/>
  <c r="EI75" i="6" s="1"/>
  <c r="EI73" i="6"/>
  <c r="DC71" i="6"/>
  <c r="DC75" i="6" s="1"/>
  <c r="DD50" i="6"/>
  <c r="DD51" i="6" s="1"/>
  <c r="DD30" i="6"/>
  <c r="DD32" i="6" s="1"/>
  <c r="DD33" i="6" s="1"/>
  <c r="DD40" i="6"/>
  <c r="DK71" i="6"/>
  <c r="DK75" i="6" s="1"/>
  <c r="DK73" i="6"/>
  <c r="DD34" i="6" l="1"/>
  <c r="DD36" i="6"/>
  <c r="DD37" i="6"/>
  <c r="DD35" i="6"/>
  <c r="DD41" i="6" l="1"/>
  <c r="DD42" i="6" s="1"/>
  <c r="DD43" i="6" s="1"/>
  <c r="DD46" i="6" l="1"/>
  <c r="DD44" i="6"/>
  <c r="DD45" i="6"/>
  <c r="DD47" i="6"/>
  <c r="DD52" i="6" l="1"/>
  <c r="DD53" i="6" s="1"/>
  <c r="DD54" i="6" s="1"/>
  <c r="DD57" i="6" l="1"/>
  <c r="DD56" i="6"/>
  <c r="DD55" i="6"/>
  <c r="DD58" i="6"/>
  <c r="DD61" i="6" l="1"/>
  <c r="DD62" i="6" l="1"/>
  <c r="DD68" i="6" s="1"/>
  <c r="DD63" i="6"/>
  <c r="DD69" i="6" s="1"/>
  <c r="DD64" i="6"/>
  <c r="DD70" i="6" s="1"/>
  <c r="DD65" i="6"/>
  <c r="DD73" i="6" l="1"/>
  <c r="DD71" i="6"/>
  <c r="DD75" i="6" s="1"/>
  <c r="DE30" i="6"/>
  <c r="DE32" i="6" s="1"/>
  <c r="DE33" i="6" s="1"/>
  <c r="DE40" i="6"/>
  <c r="DE50" i="6"/>
  <c r="DE51" i="6" s="1"/>
  <c r="DE36" i="6" l="1"/>
  <c r="DE37" i="6"/>
  <c r="DE34" i="6"/>
  <c r="DE35" i="6"/>
  <c r="DE41" i="6" l="1"/>
  <c r="DE42" i="6" s="1"/>
  <c r="DE43" i="6" s="1"/>
  <c r="DE47" i="6" s="1"/>
  <c r="DE46" i="6" l="1"/>
  <c r="DE44" i="6"/>
  <c r="DE45" i="6"/>
  <c r="DE52" i="6" l="1"/>
  <c r="DE53" i="6" s="1"/>
  <c r="DE54" i="6" s="1"/>
  <c r="DE57" i="6" l="1"/>
  <c r="DE55" i="6"/>
  <c r="DE56" i="6"/>
  <c r="DE58" i="6"/>
  <c r="DE61" i="6" l="1"/>
  <c r="DE64" i="6" l="1"/>
  <c r="DE70" i="6" s="1"/>
  <c r="DE62" i="6"/>
  <c r="DE68" i="6" s="1"/>
  <c r="DE63" i="6"/>
  <c r="DE69" i="6" s="1"/>
  <c r="DE73" i="6" s="1"/>
  <c r="DE65" i="6"/>
  <c r="DE71" i="6" l="1"/>
  <c r="DE75" i="6" s="1"/>
  <c r="DF30" i="6"/>
  <c r="DF32" i="6" s="1"/>
  <c r="DF33" i="6" s="1"/>
  <c r="DF50" i="6"/>
  <c r="DF51" i="6" s="1"/>
  <c r="DF40" i="6"/>
  <c r="DF34" i="6" l="1"/>
  <c r="DF36" i="6"/>
  <c r="DF37" i="6"/>
  <c r="DF35" i="6"/>
  <c r="DF41" i="6" l="1"/>
  <c r="DF42" i="6" s="1"/>
  <c r="DF43" i="6" s="1"/>
  <c r="DF46" i="6" l="1"/>
  <c r="DF44" i="6"/>
  <c r="DF45" i="6"/>
  <c r="DF47" i="6"/>
  <c r="DF52" i="6" l="1"/>
  <c r="DF53" i="6" s="1"/>
  <c r="DF54" i="6" s="1"/>
  <c r="DF57" i="6" l="1"/>
  <c r="DF55" i="6"/>
  <c r="DF56" i="6"/>
  <c r="DF58" i="6"/>
  <c r="DF61" i="6" l="1"/>
  <c r="DF65" i="6" s="1"/>
  <c r="DF63" i="6" l="1"/>
  <c r="DF69" i="6" s="1"/>
  <c r="DF64" i="6"/>
  <c r="DF70" i="6" s="1"/>
  <c r="DF62" i="6"/>
  <c r="DF68" i="6" s="1"/>
  <c r="DF71" i="6" l="1"/>
  <c r="DF75" i="6" s="1"/>
  <c r="DG30" i="6"/>
  <c r="DG32" i="6" s="1"/>
  <c r="DG33" i="6" s="1"/>
  <c r="DG40" i="6"/>
  <c r="DG50" i="6"/>
  <c r="DG51" i="6" s="1"/>
  <c r="DF73" i="6"/>
  <c r="DG35" i="6" l="1"/>
  <c r="DG34" i="6"/>
  <c r="DG36" i="6"/>
  <c r="DG37" i="6"/>
  <c r="DG41" i="6" l="1"/>
  <c r="DG42" i="6" s="1"/>
  <c r="DG43" i="6" s="1"/>
  <c r="DG45" i="6" l="1"/>
  <c r="DG46" i="6"/>
  <c r="DG44" i="6"/>
  <c r="DG47" i="6"/>
  <c r="DG52" i="6" l="1"/>
  <c r="DG53" i="6" s="1"/>
  <c r="DG54" i="6" s="1"/>
  <c r="DG57" i="6" l="1"/>
  <c r="DG55" i="6"/>
  <c r="DG56" i="6"/>
  <c r="DG58" i="6"/>
  <c r="DG61" i="6" l="1"/>
  <c r="DG63" i="6" l="1"/>
  <c r="DG69" i="6" s="1"/>
  <c r="DG64" i="6"/>
  <c r="DG70" i="6" s="1"/>
  <c r="DG62" i="6"/>
  <c r="DG68" i="6" s="1"/>
  <c r="DG65" i="6"/>
  <c r="DG71" i="6" l="1"/>
  <c r="DG75" i="6" s="1"/>
  <c r="DH50" i="6"/>
  <c r="DH51" i="6" s="1"/>
  <c r="DH30" i="6"/>
  <c r="DH32" i="6" s="1"/>
  <c r="DH33" i="6" s="1"/>
  <c r="DH40" i="6"/>
  <c r="DG73" i="6"/>
  <c r="DH35" i="6" l="1"/>
  <c r="DH34" i="6"/>
  <c r="DH36" i="6"/>
  <c r="DH37" i="6"/>
  <c r="DH41" i="6" l="1"/>
  <c r="DH42" i="6" s="1"/>
  <c r="DH43" i="6" s="1"/>
  <c r="DH44" i="6" l="1"/>
  <c r="DH46" i="6"/>
  <c r="DH45" i="6"/>
  <c r="DH47" i="6"/>
  <c r="DH52" i="6" l="1"/>
  <c r="DH53" i="6" s="1"/>
  <c r="DH54" i="6" s="1"/>
  <c r="DH56" i="6" l="1"/>
  <c r="DH57" i="6"/>
  <c r="DH55" i="6"/>
  <c r="DH58" i="6"/>
  <c r="DH61" i="6" l="1"/>
  <c r="DH64" i="6" l="1"/>
  <c r="DH70" i="6" s="1"/>
  <c r="DH62" i="6"/>
  <c r="DH68" i="6" s="1"/>
  <c r="DH63" i="6"/>
  <c r="DH69" i="6" s="1"/>
  <c r="DH73" i="6" s="1"/>
  <c r="DH65" i="6"/>
  <c r="DH71" i="6" l="1"/>
  <c r="DH75" i="6" s="1"/>
  <c r="DI30" i="6"/>
  <c r="DI32" i="6" s="1"/>
  <c r="DI33" i="6" s="1"/>
  <c r="DI40" i="6"/>
  <c r="DI50" i="6"/>
  <c r="DI51" i="6" s="1"/>
  <c r="DI34" i="6" l="1"/>
  <c r="DI35" i="6"/>
  <c r="DI37" i="6"/>
  <c r="DI36" i="6"/>
  <c r="DI41" i="6" l="1"/>
  <c r="DI42" i="6" s="1"/>
  <c r="DI43" i="6" s="1"/>
  <c r="DI45" i="6" l="1"/>
  <c r="DI44" i="6"/>
  <c r="DI46" i="6"/>
  <c r="DI47" i="6"/>
  <c r="DI52" i="6" l="1"/>
  <c r="DI53" i="6" s="1"/>
  <c r="DI54" i="6" s="1"/>
  <c r="DI56" i="6" l="1"/>
  <c r="DI57" i="6"/>
  <c r="DI55" i="6"/>
  <c r="DI58" i="6"/>
  <c r="DI61" i="6" l="1"/>
  <c r="DI65" i="6" s="1"/>
  <c r="DI62" i="6" l="1"/>
  <c r="DI68" i="6" s="1"/>
  <c r="DI63" i="6"/>
  <c r="DI69" i="6" s="1"/>
  <c r="DI64" i="6"/>
  <c r="DI70" i="6" s="1"/>
  <c r="DI73" i="6" l="1"/>
  <c r="DI71" i="6"/>
  <c r="DI75" i="6" s="1"/>
  <c r="DJ30" i="6"/>
  <c r="DJ32" i="6" s="1"/>
  <c r="DJ33" i="6" s="1"/>
  <c r="DJ50" i="6"/>
  <c r="DJ51" i="6" s="1"/>
  <c r="DJ40" i="6"/>
  <c r="DJ36" i="6" l="1"/>
  <c r="DJ35" i="6"/>
  <c r="DJ34" i="6"/>
  <c r="DJ37" i="6"/>
  <c r="DJ41" i="6" l="1"/>
  <c r="DJ42" i="6" s="1"/>
  <c r="DJ43" i="6" s="1"/>
  <c r="DJ45" i="6" l="1"/>
  <c r="DJ44" i="6"/>
  <c r="DJ46" i="6"/>
  <c r="DJ47" i="6"/>
  <c r="DJ52" i="6" l="1"/>
  <c r="DJ53" i="6" s="1"/>
  <c r="DJ54" i="6" s="1"/>
  <c r="DJ56" i="6" l="1"/>
  <c r="DJ57" i="6"/>
  <c r="DJ55" i="6"/>
  <c r="DJ58" i="6"/>
  <c r="DJ61" i="6" l="1"/>
  <c r="DJ65" i="6" s="1"/>
  <c r="DJ62" i="6" l="1"/>
  <c r="DJ68" i="6" s="1"/>
  <c r="DJ64" i="6"/>
  <c r="DJ70" i="6" s="1"/>
  <c r="DJ63" i="6"/>
  <c r="DJ69" i="6" s="1"/>
  <c r="DJ73" i="6" l="1"/>
  <c r="DJ71" i="6"/>
  <c r="DJ75" i="6" s="1"/>
  <c r="DL30" i="6"/>
  <c r="DL32" i="6" s="1"/>
  <c r="DL33" i="6" s="1"/>
  <c r="DL50" i="6"/>
  <c r="DL51" i="6" s="1"/>
  <c r="DL40" i="6"/>
  <c r="DL36" i="6" l="1"/>
  <c r="DL35" i="6"/>
  <c r="DL34" i="6"/>
  <c r="DL37" i="6"/>
  <c r="DL41" i="6" l="1"/>
  <c r="DL42" i="6" s="1"/>
  <c r="DL43" i="6" s="1"/>
  <c r="DL46" i="6" l="1"/>
  <c r="DL45" i="6"/>
  <c r="DL44" i="6"/>
  <c r="DL47" i="6"/>
  <c r="DL52" i="6" l="1"/>
  <c r="DL53" i="6" s="1"/>
  <c r="DL54" i="6" s="1"/>
  <c r="DL55" i="6" l="1"/>
  <c r="DL56" i="6"/>
  <c r="DL57" i="6"/>
  <c r="DL58" i="6"/>
  <c r="DL61" i="6" l="1"/>
  <c r="DL65" i="6" s="1"/>
  <c r="DL63" i="6" l="1"/>
  <c r="DL69" i="6" s="1"/>
  <c r="DL62" i="6"/>
  <c r="DL68" i="6" s="1"/>
  <c r="DL64" i="6"/>
  <c r="DL70" i="6" s="1"/>
  <c r="DL71" i="6" l="1"/>
  <c r="DL75" i="6" s="1"/>
  <c r="DM50" i="6"/>
  <c r="DM51" i="6" s="1"/>
  <c r="DM30" i="6"/>
  <c r="DM32" i="6" s="1"/>
  <c r="DM33" i="6" s="1"/>
  <c r="DM40" i="6"/>
  <c r="DL73" i="6"/>
  <c r="DM37" i="6" l="1"/>
  <c r="DM34" i="6"/>
  <c r="DM36" i="6"/>
  <c r="DM35" i="6"/>
  <c r="DM41" i="6" l="1"/>
  <c r="DM42" i="6" s="1"/>
  <c r="DM43" i="6" s="1"/>
  <c r="DM47" i="6" s="1"/>
  <c r="DM44" i="6" l="1"/>
  <c r="DM45" i="6"/>
  <c r="DM46" i="6"/>
  <c r="DM52" i="6" l="1"/>
  <c r="DM53" i="6" s="1"/>
  <c r="DM54" i="6" s="1"/>
  <c r="DM56" i="6" l="1"/>
  <c r="DM55" i="6"/>
  <c r="DM57" i="6"/>
  <c r="DM58" i="6"/>
  <c r="DM61" i="6" l="1"/>
  <c r="DM65" i="6" s="1"/>
  <c r="DM64" i="6" l="1"/>
  <c r="DM70" i="6" s="1"/>
  <c r="DM63" i="6"/>
  <c r="DM69" i="6" s="1"/>
  <c r="DM62" i="6"/>
  <c r="DM68" i="6" s="1"/>
  <c r="DM73" i="6" l="1"/>
  <c r="DM71" i="6"/>
  <c r="DM75" i="6" s="1"/>
  <c r="DN30" i="6"/>
  <c r="DN32" i="6" s="1"/>
  <c r="DN33" i="6" s="1"/>
  <c r="DN40" i="6"/>
  <c r="DN50" i="6"/>
  <c r="DN51" i="6" s="1"/>
  <c r="DN35" i="6" l="1"/>
  <c r="DN37" i="6"/>
  <c r="DN36" i="6"/>
  <c r="DN34" i="6"/>
  <c r="DN41" i="6" l="1"/>
  <c r="DN42" i="6" s="1"/>
  <c r="DN43" i="6" s="1"/>
  <c r="DN47" i="6" s="1"/>
  <c r="DN45" i="6" l="1"/>
  <c r="DN44" i="6"/>
  <c r="DN46" i="6"/>
  <c r="DN52" i="6" l="1"/>
  <c r="DN53" i="6" s="1"/>
  <c r="DN54" i="6" s="1"/>
  <c r="DN55" i="6" l="1"/>
  <c r="DN57" i="6"/>
  <c r="DN56" i="6"/>
  <c r="DN58" i="6"/>
  <c r="DN61" i="6" l="1"/>
  <c r="DN65" i="6" s="1"/>
  <c r="DN64" i="6" l="1"/>
  <c r="DN70" i="6" s="1"/>
  <c r="DN63" i="6"/>
  <c r="DN69" i="6" s="1"/>
  <c r="DN62" i="6"/>
  <c r="DN68" i="6" s="1"/>
  <c r="DN73" i="6" l="1"/>
  <c r="DN71" i="6"/>
  <c r="DN75" i="6" s="1"/>
  <c r="DO40" i="6"/>
  <c r="DO30" i="6"/>
  <c r="DO32" i="6" s="1"/>
  <c r="DO33" i="6" s="1"/>
  <c r="DO50" i="6"/>
  <c r="DO51" i="6" s="1"/>
  <c r="DO37" i="6" l="1"/>
  <c r="DO36" i="6"/>
  <c r="DO35" i="6"/>
  <c r="DO34" i="6"/>
  <c r="DO41" i="6" l="1"/>
  <c r="DO42" i="6" s="1"/>
  <c r="DO43" i="6" s="1"/>
  <c r="DO47" i="6" s="1"/>
  <c r="DO44" i="6" l="1"/>
  <c r="DO46" i="6"/>
  <c r="DO45" i="6"/>
  <c r="DO52" i="6" l="1"/>
  <c r="DO53" i="6" s="1"/>
  <c r="DO54" i="6" s="1"/>
  <c r="DO57" i="6" l="1"/>
  <c r="DO56" i="6"/>
  <c r="DO55" i="6"/>
  <c r="DO58" i="6"/>
  <c r="DO61" i="6" l="1"/>
  <c r="DO65" i="6" s="1"/>
  <c r="DO64" i="6" l="1"/>
  <c r="DO70" i="6" s="1"/>
  <c r="DO63" i="6"/>
  <c r="DO69" i="6" s="1"/>
  <c r="DO62" i="6"/>
  <c r="DO68" i="6" s="1"/>
  <c r="DO73" i="6" l="1"/>
  <c r="DO71" i="6"/>
  <c r="DO75" i="6" s="1"/>
  <c r="DP50" i="6"/>
  <c r="DP51" i="6" s="1"/>
  <c r="DP30" i="6"/>
  <c r="DP32" i="6" s="1"/>
  <c r="DP33" i="6" s="1"/>
  <c r="DP40" i="6"/>
  <c r="DP35" i="6" l="1"/>
  <c r="DP37" i="6"/>
  <c r="DP36" i="6"/>
  <c r="DP34" i="6"/>
  <c r="DP41" i="6" l="1"/>
  <c r="DP42" i="6" s="1"/>
  <c r="DP43" i="6" s="1"/>
  <c r="DP47" i="6" s="1"/>
  <c r="DP44" i="6" l="1"/>
  <c r="DP46" i="6"/>
  <c r="DP45" i="6"/>
  <c r="DP52" i="6" l="1"/>
  <c r="DP53" i="6" s="1"/>
  <c r="DP54" i="6" s="1"/>
  <c r="DP55" i="6" l="1"/>
  <c r="DP56" i="6"/>
  <c r="DP57" i="6"/>
  <c r="DP58" i="6"/>
  <c r="DP61" i="6" l="1"/>
  <c r="DP64" i="6" l="1"/>
  <c r="DP70" i="6" s="1"/>
  <c r="DP63" i="6"/>
  <c r="DP69" i="6" s="1"/>
  <c r="DP62" i="6"/>
  <c r="DP68" i="6" s="1"/>
  <c r="DP65" i="6"/>
  <c r="DP73" i="6" l="1"/>
  <c r="DP71" i="6"/>
  <c r="DP75" i="6" s="1"/>
  <c r="DQ50" i="6"/>
  <c r="DQ51" i="6" s="1"/>
  <c r="DQ30" i="6"/>
  <c r="DQ32" i="6" s="1"/>
  <c r="DQ33" i="6" s="1"/>
  <c r="DQ40" i="6"/>
  <c r="DQ37" i="6" l="1"/>
  <c r="DQ35" i="6"/>
  <c r="DQ36" i="6"/>
  <c r="DQ34" i="6"/>
  <c r="DQ41" i="6" l="1"/>
  <c r="DQ42" i="6" s="1"/>
  <c r="DQ43" i="6" s="1"/>
  <c r="DQ47" i="6" s="1"/>
  <c r="DQ44" i="6" l="1"/>
  <c r="DQ46" i="6"/>
  <c r="DQ45" i="6"/>
  <c r="DQ52" i="6" l="1"/>
  <c r="DQ53" i="6" s="1"/>
  <c r="DQ54" i="6" s="1"/>
  <c r="DQ57" i="6" l="1"/>
  <c r="DQ55" i="6"/>
  <c r="DQ56" i="6"/>
  <c r="DQ58" i="6"/>
  <c r="DQ61" i="6" l="1"/>
  <c r="DQ64" i="6" l="1"/>
  <c r="DQ70" i="6" s="1"/>
  <c r="DQ62" i="6"/>
  <c r="DQ68" i="6" s="1"/>
  <c r="DQ63" i="6"/>
  <c r="DQ69" i="6" s="1"/>
  <c r="DQ65" i="6"/>
  <c r="DQ73" i="6" l="1"/>
  <c r="DQ71" i="6"/>
  <c r="DQ75" i="6" s="1"/>
  <c r="EB40" i="6"/>
  <c r="EB30" i="6"/>
  <c r="EB32" i="6" s="1"/>
  <c r="EB33" i="6" s="1"/>
  <c r="DT50" i="6"/>
  <c r="DT51" i="6" s="1"/>
  <c r="DT40" i="6"/>
  <c r="DT30" i="6"/>
  <c r="DT32" i="6" s="1"/>
  <c r="DT33" i="6" s="1"/>
  <c r="EB50" i="6"/>
  <c r="EB51" i="6" s="1"/>
  <c r="DT34" i="6" l="1"/>
  <c r="DT36" i="6"/>
  <c r="DT35" i="6"/>
  <c r="DT37" i="6"/>
  <c r="EB37" i="6"/>
  <c r="EB35" i="6"/>
  <c r="EB36" i="6"/>
  <c r="EB34" i="6"/>
  <c r="EB41" i="6" l="1"/>
  <c r="EB42" i="6" s="1"/>
  <c r="EB43" i="6" s="1"/>
  <c r="DT41" i="6"/>
  <c r="DT42" i="6" s="1"/>
  <c r="DT43" i="6" s="1"/>
  <c r="DT45" i="6" l="1"/>
  <c r="DT44" i="6"/>
  <c r="DT46" i="6"/>
  <c r="DT47" i="6"/>
  <c r="EB45" i="6"/>
  <c r="EB46" i="6"/>
  <c r="EB44" i="6"/>
  <c r="EB47" i="6"/>
  <c r="EB52" i="6" l="1"/>
  <c r="EB53" i="6" s="1"/>
  <c r="EB54" i="6" s="1"/>
  <c r="DT52" i="6"/>
  <c r="DT53" i="6" s="1"/>
  <c r="DT54" i="6" s="1"/>
  <c r="DT57" i="6" l="1"/>
  <c r="DT56" i="6"/>
  <c r="DT55" i="6"/>
  <c r="DT58" i="6"/>
  <c r="EB56" i="6"/>
  <c r="EB55" i="6"/>
  <c r="EB57" i="6"/>
  <c r="EB58" i="6"/>
  <c r="EB61" i="6" l="1"/>
  <c r="EB65" i="6" s="1"/>
  <c r="DT61" i="6"/>
  <c r="DT65" i="6"/>
  <c r="DT63" i="6" l="1"/>
  <c r="DT69" i="6" s="1"/>
  <c r="DT64" i="6"/>
  <c r="DT70" i="6" s="1"/>
  <c r="DT62" i="6"/>
  <c r="DT68" i="6" s="1"/>
  <c r="EB63" i="6"/>
  <c r="EB69" i="6" s="1"/>
  <c r="EB64" i="6"/>
  <c r="EB70" i="6" s="1"/>
  <c r="EB62" i="6"/>
  <c r="EB68" i="6" s="1"/>
  <c r="EB71" i="6" l="1"/>
  <c r="EB75" i="6" s="1"/>
  <c r="EB73" i="6"/>
  <c r="DT71" i="6"/>
  <c r="DT75" i="6" s="1"/>
  <c r="DU30" i="6"/>
  <c r="DU32" i="6" s="1"/>
  <c r="DU33" i="6" s="1"/>
  <c r="DU50" i="6"/>
  <c r="DU51" i="6" s="1"/>
  <c r="DU40" i="6"/>
  <c r="DT73" i="6"/>
  <c r="DU35" i="6" l="1"/>
  <c r="DU34" i="6"/>
  <c r="DU36" i="6"/>
  <c r="DU37" i="6"/>
  <c r="DU41" i="6" l="1"/>
  <c r="DU42" i="6" s="1"/>
  <c r="DU43" i="6" s="1"/>
  <c r="DU46" i="6" l="1"/>
  <c r="DU45" i="6"/>
  <c r="DU44" i="6"/>
  <c r="DU47" i="6"/>
  <c r="DU52" i="6" l="1"/>
  <c r="DU53" i="6" s="1"/>
  <c r="DU54" i="6" s="1"/>
  <c r="DU57" i="6" l="1"/>
  <c r="DU56" i="6"/>
  <c r="DU55" i="6"/>
  <c r="DU58" i="6"/>
  <c r="DU61" i="6" l="1"/>
  <c r="DU65" i="6" s="1"/>
  <c r="DU62" i="6" l="1"/>
  <c r="DU68" i="6" s="1"/>
  <c r="DU63" i="6"/>
  <c r="DU69" i="6" s="1"/>
  <c r="DU64" i="6"/>
  <c r="DU70" i="6" s="1"/>
  <c r="DU73" i="6" l="1"/>
  <c r="DU71" i="6"/>
  <c r="DU75" i="6" s="1"/>
  <c r="DV30" i="6"/>
  <c r="DV32" i="6" s="1"/>
  <c r="DV33" i="6" s="1"/>
  <c r="DV50" i="6"/>
  <c r="DV51" i="6" s="1"/>
  <c r="DV40" i="6"/>
  <c r="DV35" i="6" l="1"/>
  <c r="DV34" i="6"/>
  <c r="DV36" i="6"/>
  <c r="DV37" i="6"/>
  <c r="DV41" i="6" l="1"/>
  <c r="DV42" i="6" s="1"/>
  <c r="DV43" i="6" s="1"/>
  <c r="DV44" i="6" l="1"/>
  <c r="DV45" i="6"/>
  <c r="DV46" i="6"/>
  <c r="DV47" i="6"/>
  <c r="DV52" i="6" l="1"/>
  <c r="DV53" i="6" s="1"/>
  <c r="DV54" i="6" s="1"/>
  <c r="DV57" i="6" l="1"/>
  <c r="DV55" i="6"/>
  <c r="DV56" i="6"/>
  <c r="DV58" i="6"/>
  <c r="DV61" i="6" l="1"/>
  <c r="DV65" i="6" s="1"/>
  <c r="DV64" i="6" l="1"/>
  <c r="DV70" i="6" s="1"/>
  <c r="DV62" i="6"/>
  <c r="DV68" i="6" s="1"/>
  <c r="DV63" i="6"/>
  <c r="DV69" i="6" s="1"/>
  <c r="DV73" i="6" l="1"/>
  <c r="DV71" i="6"/>
  <c r="DV75" i="6" s="1"/>
  <c r="DW50" i="6"/>
  <c r="DW51" i="6" s="1"/>
  <c r="DW40" i="6"/>
  <c r="DW30" i="6"/>
  <c r="DW32" i="6" s="1"/>
  <c r="DW33" i="6" s="1"/>
  <c r="DW35" i="6" l="1"/>
  <c r="DW36" i="6"/>
  <c r="DW37" i="6"/>
  <c r="DW34" i="6"/>
  <c r="DW41" i="6" l="1"/>
  <c r="DW42" i="6" s="1"/>
  <c r="DW43" i="6" s="1"/>
  <c r="DW47" i="6" s="1"/>
  <c r="DW46" i="6" l="1"/>
  <c r="DW45" i="6"/>
  <c r="DW44" i="6"/>
  <c r="DW52" i="6" l="1"/>
  <c r="DW53" i="6" s="1"/>
  <c r="DW54" i="6" s="1"/>
  <c r="DW57" i="6" l="1"/>
  <c r="DW55" i="6"/>
  <c r="DW56" i="6"/>
  <c r="DW58" i="6"/>
  <c r="DW61" i="6" l="1"/>
  <c r="DW65" i="6" s="1"/>
  <c r="DW62" i="6" l="1"/>
  <c r="DW68" i="6" s="1"/>
  <c r="DW64" i="6"/>
  <c r="DW70" i="6" s="1"/>
  <c r="DW63" i="6"/>
  <c r="DW69" i="6" s="1"/>
  <c r="DW73" i="6" l="1"/>
  <c r="DW71" i="6"/>
  <c r="DW75" i="6" s="1"/>
  <c r="DX40" i="6"/>
  <c r="DX30" i="6"/>
  <c r="DX32" i="6" s="1"/>
  <c r="DX33" i="6" s="1"/>
  <c r="DX50" i="6"/>
  <c r="DX51" i="6" s="1"/>
  <c r="DX36" i="6" l="1"/>
  <c r="DX35" i="6"/>
  <c r="DX37" i="6"/>
  <c r="DX34" i="6"/>
  <c r="DX41" i="6" l="1"/>
  <c r="DX42" i="6" s="1"/>
  <c r="DX43" i="6" s="1"/>
  <c r="DX47" i="6" s="1"/>
  <c r="DX45" i="6" l="1"/>
  <c r="DX44" i="6"/>
  <c r="DX46" i="6"/>
  <c r="DX52" i="6" l="1"/>
  <c r="DX53" i="6" s="1"/>
  <c r="DX54" i="6" s="1"/>
  <c r="DX56" i="6" l="1"/>
  <c r="DX55" i="6"/>
  <c r="DX57" i="6"/>
  <c r="DX58" i="6"/>
  <c r="DX61" i="6" l="1"/>
  <c r="DX65" i="6" s="1"/>
  <c r="DX62" i="6" l="1"/>
  <c r="DX68" i="6" s="1"/>
  <c r="DX63" i="6"/>
  <c r="DX69" i="6" s="1"/>
  <c r="DX64" i="6"/>
  <c r="DX70" i="6" s="1"/>
  <c r="DX73" i="6" l="1"/>
  <c r="DX71" i="6"/>
  <c r="DX75" i="6" s="1"/>
  <c r="DY50" i="6"/>
  <c r="DY51" i="6" s="1"/>
  <c r="DY40" i="6"/>
  <c r="DY30" i="6"/>
  <c r="DY32" i="6" s="1"/>
  <c r="DY33" i="6" s="1"/>
  <c r="DY35" i="6" l="1"/>
  <c r="DY34" i="6"/>
  <c r="DY37" i="6"/>
  <c r="DY36" i="6"/>
  <c r="DY41" i="6" l="1"/>
  <c r="DY42" i="6" s="1"/>
  <c r="DY43" i="6" s="1"/>
  <c r="DY47" i="6" s="1"/>
  <c r="DY45" i="6" l="1"/>
  <c r="DY46" i="6"/>
  <c r="DY44" i="6"/>
  <c r="DY52" i="6" l="1"/>
  <c r="DY53" i="6" s="1"/>
  <c r="DY54" i="6" s="1"/>
  <c r="DY55" i="6" l="1"/>
  <c r="DY56" i="6"/>
  <c r="DY57" i="6"/>
  <c r="DY58" i="6"/>
  <c r="DY61" i="6" l="1"/>
  <c r="DY63" i="6" l="1"/>
  <c r="DY69" i="6" s="1"/>
  <c r="DY62" i="6"/>
  <c r="DY68" i="6" s="1"/>
  <c r="DY64" i="6"/>
  <c r="DY70" i="6" s="1"/>
  <c r="DY65" i="6"/>
  <c r="DY71" i="6" l="1"/>
  <c r="DY75" i="6" s="1"/>
  <c r="DZ50" i="6"/>
  <c r="DZ51" i="6" s="1"/>
  <c r="DZ30" i="6"/>
  <c r="DZ32" i="6" s="1"/>
  <c r="DZ33" i="6" s="1"/>
  <c r="DZ40" i="6"/>
  <c r="DY73" i="6"/>
  <c r="DZ36" i="6" l="1"/>
  <c r="DZ34" i="6"/>
  <c r="DZ37" i="6"/>
  <c r="DZ35" i="6"/>
  <c r="DZ41" i="6" l="1"/>
  <c r="DZ42" i="6" s="1"/>
  <c r="DZ43" i="6" s="1"/>
  <c r="DZ46" i="6" l="1"/>
  <c r="DZ44" i="6"/>
  <c r="DZ45" i="6"/>
  <c r="DZ47" i="6"/>
  <c r="DZ52" i="6" l="1"/>
  <c r="DZ53" i="6" s="1"/>
  <c r="DZ54" i="6" s="1"/>
  <c r="DZ56" i="6" l="1"/>
  <c r="DZ55" i="6"/>
  <c r="DZ57" i="6"/>
  <c r="DZ58" i="6"/>
  <c r="DZ61" i="6" l="1"/>
  <c r="DZ65" i="6" s="1"/>
  <c r="DZ63" i="6" l="1"/>
  <c r="DZ69" i="6" s="1"/>
  <c r="DZ62" i="6"/>
  <c r="DZ68" i="6" s="1"/>
  <c r="DZ64" i="6"/>
  <c r="DZ70" i="6" s="1"/>
  <c r="DZ71" i="6" l="1"/>
  <c r="DZ75" i="6" s="1"/>
  <c r="EA30" i="6"/>
  <c r="EA32" i="6" s="1"/>
  <c r="EA33" i="6" s="1"/>
  <c r="EA40" i="6"/>
  <c r="EA50" i="6"/>
  <c r="EA51" i="6" s="1"/>
  <c r="DZ73" i="6"/>
  <c r="EA37" i="6" l="1"/>
  <c r="EA34" i="6"/>
  <c r="EA36" i="6"/>
  <c r="EA35" i="6"/>
  <c r="EA41" i="6" l="1"/>
  <c r="EA42" i="6" s="1"/>
  <c r="EA43" i="6" s="1"/>
  <c r="EA47" i="6" s="1"/>
  <c r="EA44" i="6" l="1"/>
  <c r="EA45" i="6"/>
  <c r="EA46" i="6"/>
  <c r="EA52" i="6" l="1"/>
  <c r="EA53" i="6" s="1"/>
  <c r="EA54" i="6" s="1"/>
  <c r="EA56" i="6" l="1"/>
  <c r="EA55" i="6"/>
  <c r="EA57" i="6"/>
  <c r="EA58" i="6"/>
  <c r="EA61" i="6" l="1"/>
  <c r="EA65" i="6" s="1"/>
  <c r="EA64" i="6" l="1"/>
  <c r="EA70" i="6" s="1"/>
  <c r="EA63" i="6"/>
  <c r="EA69" i="6" s="1"/>
  <c r="EA62" i="6"/>
  <c r="EA68" i="6" s="1"/>
  <c r="EA73" i="6" l="1"/>
  <c r="EA71" i="6"/>
  <c r="EA75" i="6" s="1"/>
  <c r="EC30" i="6"/>
  <c r="EC32" i="6" s="1"/>
  <c r="EC33" i="6" s="1"/>
  <c r="EC40" i="6"/>
  <c r="EC50" i="6"/>
  <c r="EC51" i="6" s="1"/>
  <c r="EC34" i="6" l="1"/>
  <c r="EC35" i="6"/>
  <c r="EC37" i="6"/>
  <c r="EC36" i="6"/>
  <c r="EC41" i="6" l="1"/>
  <c r="EC42" i="6" s="1"/>
  <c r="EC43" i="6" s="1"/>
  <c r="EC45" i="6" l="1"/>
  <c r="EC44" i="6"/>
  <c r="EC46" i="6"/>
  <c r="EC47" i="6"/>
  <c r="EC52" i="6" l="1"/>
  <c r="EC53" i="6" s="1"/>
  <c r="EC54" i="6" s="1"/>
  <c r="EC57" i="6" l="1"/>
  <c r="EC56" i="6"/>
  <c r="EC55" i="6"/>
  <c r="EC58" i="6"/>
  <c r="EC61" i="6" l="1"/>
  <c r="EC65" i="6" s="1"/>
  <c r="EC64" i="6" l="1"/>
  <c r="EC70" i="6" s="1"/>
  <c r="EC63" i="6"/>
  <c r="EC69" i="6" s="1"/>
  <c r="EC62" i="6"/>
  <c r="EC68" i="6" s="1"/>
  <c r="EC73" i="6" l="1"/>
  <c r="EC71" i="6"/>
  <c r="EC75" i="6" s="1"/>
  <c r="ED30" i="6"/>
  <c r="ED32" i="6" s="1"/>
  <c r="ED33" i="6" s="1"/>
  <c r="ED40" i="6"/>
  <c r="ED50" i="6"/>
  <c r="ED51" i="6" s="1"/>
  <c r="ED34" i="6" l="1"/>
  <c r="ED36" i="6"/>
  <c r="ED35" i="6"/>
  <c r="ED37" i="6"/>
  <c r="ED41" i="6" l="1"/>
  <c r="ED42" i="6" s="1"/>
  <c r="ED43" i="6" s="1"/>
  <c r="ED45" i="6" l="1"/>
  <c r="ED46" i="6"/>
  <c r="ED44" i="6"/>
  <c r="ED47" i="6"/>
  <c r="ED52" i="6" l="1"/>
  <c r="ED53" i="6" s="1"/>
  <c r="ED54" i="6" s="1"/>
  <c r="ED55" i="6" l="1"/>
  <c r="ED57" i="6"/>
  <c r="ED56" i="6"/>
  <c r="ED58" i="6"/>
  <c r="ED61" i="6" l="1"/>
  <c r="ED64" i="6" l="1"/>
  <c r="ED70" i="6" s="1"/>
  <c r="ED62" i="6"/>
  <c r="ED68" i="6" s="1"/>
  <c r="ED63" i="6"/>
  <c r="ED69" i="6" s="1"/>
  <c r="ED65" i="6"/>
  <c r="ED73" i="6" l="1"/>
  <c r="ED71" i="6"/>
  <c r="ED75" i="6" s="1"/>
  <c r="EE30" i="6"/>
  <c r="EE32" i="6" s="1"/>
  <c r="EE33" i="6" s="1"/>
  <c r="EE40" i="6"/>
  <c r="EE50" i="6"/>
  <c r="EE51" i="6" s="1"/>
  <c r="EE35" i="6" l="1"/>
  <c r="EE36" i="6"/>
  <c r="EE34" i="6"/>
  <c r="EE37" i="6"/>
  <c r="EE41" i="6" l="1"/>
  <c r="EE42" i="6" s="1"/>
  <c r="EE43" i="6" s="1"/>
  <c r="EE44" i="6" l="1"/>
  <c r="EE45" i="6"/>
  <c r="EE46" i="6"/>
  <c r="EE47" i="6"/>
  <c r="EE52" i="6" l="1"/>
  <c r="EE53" i="6" s="1"/>
  <c r="EE54" i="6" s="1"/>
  <c r="EE57" i="6" l="1"/>
  <c r="EE55" i="6"/>
  <c r="EE56" i="6"/>
  <c r="EE58" i="6"/>
  <c r="EE61" i="6" l="1"/>
  <c r="EE62" i="6" l="1"/>
  <c r="EE68" i="6" s="1"/>
  <c r="EE64" i="6"/>
  <c r="EE70" i="6" s="1"/>
  <c r="EE63" i="6"/>
  <c r="EE69" i="6" s="1"/>
  <c r="EE65" i="6"/>
  <c r="EE73" i="6" l="1"/>
  <c r="EE71" i="6"/>
  <c r="EE75" i="6" s="1"/>
  <c r="EF30" i="6"/>
  <c r="EF32" i="6" s="1"/>
  <c r="EF33" i="6" s="1"/>
  <c r="EF50" i="6"/>
  <c r="EF51" i="6" s="1"/>
  <c r="EF40" i="6"/>
  <c r="EF37" i="6" l="1"/>
  <c r="EF36" i="6"/>
  <c r="EF34" i="6"/>
  <c r="EF35" i="6"/>
  <c r="EF41" i="6" l="1"/>
  <c r="EF42" i="6" s="1"/>
  <c r="EF43" i="6" s="1"/>
  <c r="EF47" i="6" s="1"/>
  <c r="EF44" i="6" l="1"/>
  <c r="EF46" i="6"/>
  <c r="EF45" i="6"/>
  <c r="EF52" i="6" l="1"/>
  <c r="EF53" i="6" s="1"/>
  <c r="EF54" i="6" s="1"/>
  <c r="EF55" i="6" l="1"/>
  <c r="EF56" i="6"/>
  <c r="EF57" i="6"/>
  <c r="EF58" i="6"/>
  <c r="EF61" i="6" l="1"/>
  <c r="EF62" i="6" l="1"/>
  <c r="EF68" i="6" s="1"/>
  <c r="EF64" i="6"/>
  <c r="EF70" i="6" s="1"/>
  <c r="EF63" i="6"/>
  <c r="EF69" i="6" s="1"/>
  <c r="EF65" i="6"/>
  <c r="EF73" i="6" l="1"/>
  <c r="EF71" i="6"/>
  <c r="EF75" i="6" s="1"/>
  <c r="EG50" i="6"/>
  <c r="EG51" i="6" s="1"/>
  <c r="EG30" i="6"/>
  <c r="EG32" i="6" s="1"/>
  <c r="EG33" i="6" s="1"/>
  <c r="EG40" i="6"/>
  <c r="EG35" i="6" l="1"/>
  <c r="EG37" i="6"/>
  <c r="EG36" i="6"/>
  <c r="EG34" i="6"/>
  <c r="EG41" i="6" l="1"/>
  <c r="EG42" i="6" s="1"/>
  <c r="EG43" i="6" s="1"/>
  <c r="EG47" i="6" s="1"/>
  <c r="EG46" i="6" l="1"/>
  <c r="EG44" i="6"/>
  <c r="EG45" i="6"/>
  <c r="EG52" i="6" l="1"/>
  <c r="EG53" i="6" s="1"/>
  <c r="EG54" i="6" s="1"/>
  <c r="EG55" i="6" l="1"/>
  <c r="EG56" i="6"/>
  <c r="EG57" i="6"/>
  <c r="EG58" i="6"/>
  <c r="EG61" i="6" l="1"/>
  <c r="EG64" i="6" l="1"/>
  <c r="EG70" i="6" s="1"/>
  <c r="EG63" i="6"/>
  <c r="EG69" i="6" s="1"/>
  <c r="EG62" i="6"/>
  <c r="EG68" i="6" s="1"/>
  <c r="EG65" i="6"/>
  <c r="EG73" i="6" l="1"/>
  <c r="EG71" i="6"/>
  <c r="EG75" i="6" s="1"/>
  <c r="EH50" i="6"/>
  <c r="EH51" i="6" s="1"/>
  <c r="EH30" i="6"/>
  <c r="EH32" i="6" s="1"/>
  <c r="EH33" i="6" s="1"/>
  <c r="EH40" i="6"/>
  <c r="EH34" i="6" l="1"/>
  <c r="EH37" i="6"/>
  <c r="EH36" i="6"/>
  <c r="EH35" i="6"/>
  <c r="EH41" i="6" l="1"/>
  <c r="EH42" i="6" s="1"/>
  <c r="EH43" i="6" s="1"/>
  <c r="EH44" i="6" l="1"/>
  <c r="EH46" i="6"/>
  <c r="EH45" i="6"/>
  <c r="EH47" i="6"/>
  <c r="EH52" i="6" l="1"/>
  <c r="EH53" i="6" s="1"/>
  <c r="EH54" i="6" s="1"/>
  <c r="EH56" i="6" l="1"/>
  <c r="EH55" i="6"/>
  <c r="EH57" i="6"/>
  <c r="EH58" i="6"/>
  <c r="EH61" i="6" l="1"/>
  <c r="EH63" i="6" l="1"/>
  <c r="EH69" i="6" s="1"/>
  <c r="EH62" i="6"/>
  <c r="EH68" i="6" s="1"/>
  <c r="EH64" i="6"/>
  <c r="EH70" i="6" s="1"/>
  <c r="EH65" i="6"/>
  <c r="EH71" i="6" l="1"/>
  <c r="EH75" i="6" s="1"/>
  <c r="EK50" i="6"/>
  <c r="EK51" i="6" s="1"/>
  <c r="ES40" i="6"/>
  <c r="ES50" i="6"/>
  <c r="ES51" i="6" s="1"/>
  <c r="ES30" i="6"/>
  <c r="ES32" i="6" s="1"/>
  <c r="ES33" i="6" s="1"/>
  <c r="EK40" i="6"/>
  <c r="EK30" i="6"/>
  <c r="EK32" i="6" s="1"/>
  <c r="EK33" i="6" s="1"/>
  <c r="EH73" i="6"/>
  <c r="EK36" i="6" l="1"/>
  <c r="EK35" i="6"/>
  <c r="EK34" i="6"/>
  <c r="EK37" i="6"/>
  <c r="ES34" i="6"/>
  <c r="ES37" i="6"/>
  <c r="ES35" i="6"/>
  <c r="ES36" i="6"/>
  <c r="ES41" i="6" l="1"/>
  <c r="ES42" i="6" s="1"/>
  <c r="ES43" i="6" s="1"/>
  <c r="EK41" i="6"/>
  <c r="EK42" i="6" s="1"/>
  <c r="EK43" i="6" s="1"/>
  <c r="EK45" i="6" l="1"/>
  <c r="EK44" i="6"/>
  <c r="EK46" i="6"/>
  <c r="EK47" i="6"/>
  <c r="ES45" i="6"/>
  <c r="ES46" i="6"/>
  <c r="ES44" i="6"/>
  <c r="ES47" i="6"/>
  <c r="ES52" i="6" l="1"/>
  <c r="ES53" i="6" s="1"/>
  <c r="ES54" i="6" s="1"/>
  <c r="EK52" i="6"/>
  <c r="EK53" i="6" s="1"/>
  <c r="EK54" i="6" s="1"/>
  <c r="EK57" i="6" l="1"/>
  <c r="EK55" i="6"/>
  <c r="EK56" i="6"/>
  <c r="EK58" i="6"/>
  <c r="ES57" i="6"/>
  <c r="ES56" i="6"/>
  <c r="ES55" i="6"/>
  <c r="ES58" i="6"/>
  <c r="ES61" i="6" l="1"/>
  <c r="EK61" i="6"/>
  <c r="EK65" i="6" s="1"/>
  <c r="EK62" i="6" l="1"/>
  <c r="EK68" i="6" s="1"/>
  <c r="EK64" i="6"/>
  <c r="EK70" i="6" s="1"/>
  <c r="EK63" i="6"/>
  <c r="EK69" i="6" s="1"/>
  <c r="ES64" i="6"/>
  <c r="ES70" i="6" s="1"/>
  <c r="ES63" i="6"/>
  <c r="ES69" i="6" s="1"/>
  <c r="ES73" i="6" s="1"/>
  <c r="ES62" i="6"/>
  <c r="ES68" i="6" s="1"/>
  <c r="ES65" i="6"/>
  <c r="ES71" i="6" l="1"/>
  <c r="ES75" i="6" s="1"/>
  <c r="EK73" i="6"/>
  <c r="EK71" i="6"/>
  <c r="EK75" i="6" s="1"/>
  <c r="EL30" i="6"/>
  <c r="EL32" i="6" s="1"/>
  <c r="EL33" i="6" s="1"/>
  <c r="EL50" i="6"/>
  <c r="EL51" i="6" s="1"/>
  <c r="EL40" i="6"/>
  <c r="EL36" i="6" l="1"/>
  <c r="EL35" i="6"/>
  <c r="EL34" i="6"/>
  <c r="EL37" i="6"/>
  <c r="EL41" i="6" l="1"/>
  <c r="EL42" i="6" s="1"/>
  <c r="EL43" i="6" s="1"/>
  <c r="EL45" i="6" l="1"/>
  <c r="EL44" i="6"/>
  <c r="EL46" i="6"/>
  <c r="EL47" i="6"/>
  <c r="EL52" i="6" l="1"/>
  <c r="EL53" i="6" s="1"/>
  <c r="EL54" i="6" s="1"/>
  <c r="EL57" i="6" l="1"/>
  <c r="EL55" i="6"/>
  <c r="EL56" i="6"/>
  <c r="EL58" i="6"/>
  <c r="EL61" i="6" l="1"/>
  <c r="EL62" i="6" l="1"/>
  <c r="EL68" i="6" s="1"/>
  <c r="EL64" i="6"/>
  <c r="EL70" i="6" s="1"/>
  <c r="EL63" i="6"/>
  <c r="EL69" i="6" s="1"/>
  <c r="EL65" i="6"/>
  <c r="EL73" i="6" l="1"/>
  <c r="EL71" i="6"/>
  <c r="EL75" i="6" s="1"/>
  <c r="EM40" i="6"/>
  <c r="EM30" i="6"/>
  <c r="EM32" i="6" s="1"/>
  <c r="EM33" i="6" s="1"/>
  <c r="EM50" i="6"/>
  <c r="EM51" i="6" s="1"/>
  <c r="EM36" i="6" l="1"/>
  <c r="EM35" i="6"/>
  <c r="EM34" i="6"/>
  <c r="EM37" i="6"/>
  <c r="EM41" i="6" l="1"/>
  <c r="EM42" i="6" s="1"/>
  <c r="EM43" i="6" s="1"/>
  <c r="EM45" i="6" l="1"/>
  <c r="EM44" i="6"/>
  <c r="EM46" i="6"/>
  <c r="EM47" i="6"/>
  <c r="EM52" i="6" l="1"/>
  <c r="EM53" i="6" s="1"/>
  <c r="EM54" i="6" s="1"/>
  <c r="EM55" i="6" l="1"/>
  <c r="EM57" i="6"/>
  <c r="EM56" i="6"/>
  <c r="EM58" i="6"/>
  <c r="EM61" i="6" l="1"/>
  <c r="EM65" i="6" s="1"/>
  <c r="EM63" i="6" l="1"/>
  <c r="EM69" i="6" s="1"/>
  <c r="EM62" i="6"/>
  <c r="EM68" i="6" s="1"/>
  <c r="EM64" i="6"/>
  <c r="EM70" i="6" s="1"/>
  <c r="EM73" i="6" l="1"/>
  <c r="EM71" i="6"/>
  <c r="EM75" i="6" s="1"/>
  <c r="EN50" i="6"/>
  <c r="EN51" i="6" s="1"/>
  <c r="EN40" i="6"/>
  <c r="EN30" i="6"/>
  <c r="EN32" i="6" s="1"/>
  <c r="EN33" i="6" s="1"/>
  <c r="EN36" i="6" l="1"/>
  <c r="EN34" i="6"/>
  <c r="EN35" i="6"/>
  <c r="EN37" i="6"/>
  <c r="EN41" i="6" l="1"/>
  <c r="EN42" i="6" s="1"/>
  <c r="EN43" i="6" s="1"/>
  <c r="EN46" i="6" l="1"/>
  <c r="EN45" i="6"/>
  <c r="EN44" i="6"/>
  <c r="EN47" i="6"/>
  <c r="EN52" i="6" l="1"/>
  <c r="EN53" i="6" s="1"/>
  <c r="EN54" i="6" s="1"/>
  <c r="EN56" i="6" l="1"/>
  <c r="EN55" i="6"/>
  <c r="EN57" i="6"/>
  <c r="EN58" i="6"/>
  <c r="EN61" i="6" l="1"/>
  <c r="EN65" i="6" s="1"/>
  <c r="EN63" i="6" l="1"/>
  <c r="EN69" i="6" s="1"/>
  <c r="EN62" i="6"/>
  <c r="EN68" i="6" s="1"/>
  <c r="EN64" i="6"/>
  <c r="EN70" i="6" s="1"/>
  <c r="EN71" i="6" l="1"/>
  <c r="EN75" i="6" s="1"/>
  <c r="EO50" i="6"/>
  <c r="EO51" i="6" s="1"/>
  <c r="EO30" i="6"/>
  <c r="EO32" i="6" s="1"/>
  <c r="EO33" i="6" s="1"/>
  <c r="EO40" i="6"/>
  <c r="EN73" i="6"/>
  <c r="EO35" i="6" l="1"/>
  <c r="EO34" i="6"/>
  <c r="EO37" i="6"/>
  <c r="EO36" i="6"/>
  <c r="EO41" i="6" l="1"/>
  <c r="EO42" i="6" s="1"/>
  <c r="EO43" i="6" s="1"/>
  <c r="EO44" i="6" l="1"/>
  <c r="EO45" i="6"/>
  <c r="EO46" i="6"/>
  <c r="EO47" i="6"/>
  <c r="EO52" i="6" l="1"/>
  <c r="EO53" i="6" s="1"/>
  <c r="EO54" i="6" s="1"/>
  <c r="EO56" i="6" l="1"/>
  <c r="EO55" i="6"/>
  <c r="EO57" i="6"/>
  <c r="EO58" i="6"/>
  <c r="EO61" i="6" l="1"/>
  <c r="EO65" i="6" s="1"/>
  <c r="EO64" i="6" l="1"/>
  <c r="EO70" i="6" s="1"/>
  <c r="EO63" i="6"/>
  <c r="EO69" i="6" s="1"/>
  <c r="EO62" i="6"/>
  <c r="EO68" i="6" s="1"/>
  <c r="EO73" i="6" l="1"/>
  <c r="EO71" i="6"/>
  <c r="EO75" i="6" s="1"/>
  <c r="EP50" i="6"/>
  <c r="EP51" i="6" s="1"/>
  <c r="EP30" i="6"/>
  <c r="EP32" i="6" s="1"/>
  <c r="EP33" i="6" s="1"/>
  <c r="EP40" i="6"/>
  <c r="EP34" i="6" l="1"/>
  <c r="EP35" i="6"/>
  <c r="EP36" i="6"/>
  <c r="EP37" i="6"/>
  <c r="EP41" i="6" l="1"/>
  <c r="EP42" i="6" s="1"/>
  <c r="EP43" i="6" s="1"/>
  <c r="EP44" i="6" l="1"/>
  <c r="EP46" i="6"/>
  <c r="EP45" i="6"/>
  <c r="EP47" i="6"/>
  <c r="EP52" i="6" l="1"/>
  <c r="EP53" i="6" s="1"/>
  <c r="EP54" i="6" s="1"/>
  <c r="EP56" i="6" l="1"/>
  <c r="EP55" i="6"/>
  <c r="EP57" i="6"/>
  <c r="EP58" i="6"/>
  <c r="EP61" i="6" l="1"/>
  <c r="EP65" i="6" s="1"/>
  <c r="EP64" i="6" l="1"/>
  <c r="EP70" i="6" s="1"/>
  <c r="EP63" i="6"/>
  <c r="EP69" i="6" s="1"/>
  <c r="EP62" i="6"/>
  <c r="EP68" i="6" s="1"/>
  <c r="EP73" i="6" l="1"/>
  <c r="EP71" i="6"/>
  <c r="EP75" i="6" s="1"/>
  <c r="EQ50" i="6"/>
  <c r="EQ51" i="6" s="1"/>
  <c r="EQ30" i="6"/>
  <c r="EQ32" i="6" s="1"/>
  <c r="EQ33" i="6" s="1"/>
  <c r="EQ40" i="6"/>
  <c r="EQ34" i="6" l="1"/>
  <c r="EQ35" i="6"/>
  <c r="EQ37" i="6"/>
  <c r="EQ36" i="6"/>
  <c r="EQ41" i="6" l="1"/>
  <c r="EQ42" i="6" s="1"/>
  <c r="EQ43" i="6" s="1"/>
  <c r="EQ46" i="6" l="1"/>
  <c r="EQ44" i="6"/>
  <c r="EQ45" i="6"/>
  <c r="EQ47" i="6"/>
  <c r="EQ52" i="6" l="1"/>
  <c r="EQ53" i="6" s="1"/>
  <c r="EQ54" i="6" s="1"/>
  <c r="EQ57" i="6" l="1"/>
  <c r="EQ56" i="6"/>
  <c r="EQ55" i="6"/>
  <c r="EQ58" i="6"/>
  <c r="EQ61" i="6" l="1"/>
  <c r="EQ65" i="6" s="1"/>
  <c r="EQ64" i="6" l="1"/>
  <c r="EQ70" i="6" s="1"/>
  <c r="EQ62" i="6"/>
  <c r="EQ68" i="6" s="1"/>
  <c r="EQ63" i="6"/>
  <c r="EQ69" i="6" s="1"/>
  <c r="EQ73" i="6" s="1"/>
  <c r="EQ71" i="6" l="1"/>
  <c r="EQ75" i="6" s="1"/>
  <c r="ER40" i="6"/>
  <c r="ER50" i="6"/>
  <c r="ER51" i="6" s="1"/>
  <c r="ER30" i="6"/>
  <c r="ER32" i="6" s="1"/>
  <c r="ER33" i="6" s="1"/>
  <c r="ER34" i="6" l="1"/>
  <c r="ER35" i="6"/>
  <c r="ER37" i="6"/>
  <c r="ER36" i="6"/>
  <c r="ER41" i="6" l="1"/>
  <c r="ER42" i="6" s="1"/>
  <c r="ER43" i="6" s="1"/>
  <c r="ER44" i="6" l="1"/>
  <c r="ER45" i="6"/>
  <c r="ER46" i="6"/>
  <c r="ER47" i="6"/>
  <c r="ER52" i="6" l="1"/>
  <c r="ER53" i="6" s="1"/>
  <c r="ER54" i="6" s="1"/>
  <c r="ER56" i="6" l="1"/>
  <c r="ER57" i="6"/>
  <c r="ER55" i="6"/>
  <c r="ER58" i="6"/>
  <c r="ER61" i="6" l="1"/>
  <c r="ER64" i="6" l="1"/>
  <c r="ER70" i="6" s="1"/>
  <c r="ER63" i="6"/>
  <c r="ER69" i="6" s="1"/>
  <c r="ER62" i="6"/>
  <c r="ER68" i="6" s="1"/>
  <c r="ER65" i="6"/>
  <c r="ER73" i="6" l="1"/>
  <c r="ER71" i="6"/>
  <c r="ER75" i="6" s="1"/>
  <c r="ET30" i="6"/>
  <c r="ET32" i="6" s="1"/>
  <c r="ET33" i="6" s="1"/>
  <c r="ET50" i="6"/>
  <c r="ET51" i="6" s="1"/>
  <c r="ET40" i="6"/>
  <c r="ET37" i="6" l="1"/>
  <c r="ET34" i="6"/>
  <c r="ET35" i="6"/>
  <c r="ET36" i="6"/>
  <c r="ET41" i="6" l="1"/>
  <c r="ET42" i="6" s="1"/>
  <c r="ET43" i="6" s="1"/>
  <c r="ET47" i="6" s="1"/>
  <c r="ET45" i="6" l="1"/>
  <c r="ET44" i="6"/>
  <c r="ET46" i="6"/>
  <c r="ET52" i="6" l="1"/>
  <c r="ET53" i="6" s="1"/>
  <c r="ET54" i="6" s="1"/>
  <c r="ET55" i="6" l="1"/>
  <c r="ET56" i="6"/>
  <c r="ET57" i="6"/>
  <c r="ET58" i="6"/>
  <c r="ET61" i="6" l="1"/>
  <c r="ET62" i="6" l="1"/>
  <c r="ET68" i="6" s="1"/>
  <c r="ET64" i="6"/>
  <c r="ET70" i="6" s="1"/>
  <c r="ET63" i="6"/>
  <c r="ET69" i="6" s="1"/>
  <c r="ET65" i="6"/>
  <c r="ET73" i="6" l="1"/>
  <c r="ET71" i="6"/>
  <c r="ET75" i="6" s="1"/>
  <c r="EU40" i="6"/>
  <c r="EU50" i="6"/>
  <c r="EU51" i="6" s="1"/>
  <c r="EU30" i="6"/>
  <c r="EU32" i="6" s="1"/>
  <c r="EU33" i="6" s="1"/>
  <c r="EU37" i="6" l="1"/>
  <c r="EU34" i="6"/>
  <c r="EU35" i="6"/>
  <c r="EU36" i="6"/>
  <c r="EU41" i="6" l="1"/>
  <c r="EU42" i="6" s="1"/>
  <c r="EU43" i="6" s="1"/>
  <c r="EU45" i="6" l="1"/>
  <c r="EU46" i="6"/>
  <c r="EU44" i="6"/>
  <c r="EU47" i="6"/>
  <c r="EU52" i="6" l="1"/>
  <c r="EU53" i="6" s="1"/>
  <c r="EU54" i="6" s="1"/>
  <c r="EU55" i="6" l="1"/>
  <c r="EU57" i="6"/>
  <c r="EU56" i="6"/>
  <c r="EU58" i="6"/>
  <c r="EU61" i="6" l="1"/>
  <c r="EU64" i="6" l="1"/>
  <c r="EU70" i="6" s="1"/>
  <c r="EU62" i="6"/>
  <c r="EU68" i="6" s="1"/>
  <c r="EU63" i="6"/>
  <c r="EU69" i="6" s="1"/>
  <c r="EU73" i="6" s="1"/>
  <c r="EU65" i="6"/>
  <c r="EU71" i="6" l="1"/>
  <c r="EU75" i="6" s="1"/>
  <c r="EV30" i="6"/>
  <c r="EV32" i="6" s="1"/>
  <c r="EV33" i="6" s="1"/>
  <c r="EV50" i="6"/>
  <c r="EV51" i="6" s="1"/>
  <c r="EV40" i="6"/>
  <c r="EV34" i="6" l="1"/>
  <c r="EV35" i="6"/>
  <c r="EV37" i="6"/>
  <c r="EV36" i="6"/>
  <c r="EV41" i="6" l="1"/>
  <c r="EV42" i="6" s="1"/>
  <c r="EV43" i="6" s="1"/>
  <c r="EV44" i="6" l="1"/>
  <c r="EV45" i="6"/>
  <c r="EV46" i="6"/>
  <c r="EV47" i="6"/>
  <c r="EV52" i="6" l="1"/>
  <c r="EV53" i="6" s="1"/>
  <c r="EV54" i="6" s="1"/>
  <c r="EV55" i="6" l="1"/>
  <c r="EV57" i="6"/>
  <c r="EV56" i="6"/>
  <c r="EV58" i="6"/>
  <c r="EV61" i="6" l="1"/>
  <c r="EV65" i="6"/>
  <c r="EV63" i="6" l="1"/>
  <c r="EV69" i="6" s="1"/>
  <c r="EV62" i="6"/>
  <c r="EV68" i="6" s="1"/>
  <c r="EV64" i="6"/>
  <c r="EV70" i="6" s="1"/>
  <c r="EV71" i="6" l="1"/>
  <c r="EV75" i="6" s="1"/>
  <c r="EW40" i="6"/>
  <c r="EW30" i="6"/>
  <c r="EW32" i="6" s="1"/>
  <c r="EW33" i="6" s="1"/>
  <c r="EW50" i="6"/>
  <c r="EW51" i="6" s="1"/>
  <c r="EV73" i="6"/>
  <c r="EW35" i="6" l="1"/>
  <c r="EW37" i="6"/>
  <c r="EW34" i="6"/>
  <c r="EW36" i="6"/>
  <c r="EW41" i="6" l="1"/>
  <c r="EW42" i="6" s="1"/>
  <c r="EW43" i="6" s="1"/>
  <c r="EW45" i="6" l="1"/>
  <c r="EW44" i="6"/>
  <c r="EW46" i="6"/>
  <c r="EW47" i="6"/>
  <c r="EW52" i="6" l="1"/>
  <c r="EW53" i="6" s="1"/>
  <c r="EW54" i="6" s="1"/>
  <c r="EW58" i="6" s="1"/>
  <c r="EW61" i="6" l="1"/>
  <c r="EW65" i="6" s="1"/>
  <c r="EW55" i="6"/>
  <c r="EW56" i="6"/>
  <c r="EW57" i="6"/>
  <c r="EW62" i="6" l="1"/>
  <c r="EW68" i="6" s="1"/>
  <c r="EW64" i="6"/>
  <c r="EW70" i="6" s="1"/>
  <c r="EW63" i="6"/>
  <c r="EW69" i="6" s="1"/>
  <c r="EW73" i="6" l="1"/>
  <c r="EW71" i="6"/>
  <c r="EW75" i="6" s="1"/>
  <c r="EX50" i="6"/>
  <c r="EX51" i="6" s="1"/>
  <c r="EX30" i="6"/>
  <c r="EX32" i="6" s="1"/>
  <c r="EX33" i="6" s="1"/>
  <c r="EX40" i="6"/>
  <c r="EX35" i="6" l="1"/>
  <c r="EX34" i="6"/>
  <c r="EX36" i="6"/>
  <c r="EX37" i="6"/>
  <c r="EX41" i="6" l="1"/>
  <c r="EX42" i="6" s="1"/>
  <c r="EX43" i="6" s="1"/>
  <c r="EX44" i="6" l="1"/>
  <c r="EX46" i="6"/>
  <c r="EX45" i="6"/>
  <c r="EX47" i="6"/>
  <c r="EX52" i="6" l="1"/>
  <c r="EX53" i="6" s="1"/>
  <c r="EX54" i="6" s="1"/>
  <c r="EX55" i="6" l="1"/>
  <c r="EX56" i="6"/>
  <c r="EX57" i="6"/>
  <c r="EX58" i="6"/>
  <c r="EX61" i="6" l="1"/>
  <c r="EX65" i="6" s="1"/>
  <c r="EX64" i="6" l="1"/>
  <c r="EX70" i="6" s="1"/>
  <c r="EX63" i="6"/>
  <c r="EX69" i="6" s="1"/>
  <c r="EX62" i="6"/>
  <c r="EX68" i="6" s="1"/>
  <c r="EX73" i="6" l="1"/>
  <c r="EX71" i="6"/>
  <c r="EX75" i="6" s="1"/>
  <c r="EY30" i="6"/>
  <c r="EY32" i="6" s="1"/>
  <c r="EY33" i="6" s="1"/>
  <c r="EY50" i="6"/>
  <c r="EY51" i="6" s="1"/>
  <c r="EY40" i="6"/>
  <c r="EY35" i="6" l="1"/>
  <c r="EY36" i="6"/>
  <c r="EY37" i="6"/>
  <c r="EY34" i="6"/>
  <c r="EY41" i="6" l="1"/>
  <c r="EY42" i="6" s="1"/>
  <c r="EY43" i="6" s="1"/>
  <c r="EY47" i="6" s="1"/>
  <c r="EY46" i="6" l="1"/>
  <c r="EY44" i="6"/>
  <c r="EY45" i="6"/>
  <c r="EY52" i="6" l="1"/>
  <c r="EY53" i="6" s="1"/>
  <c r="EY54" i="6" s="1"/>
  <c r="EY56" i="6" l="1"/>
  <c r="EY55" i="6"/>
  <c r="EY57" i="6"/>
  <c r="EY58" i="6"/>
  <c r="EY61" i="6" l="1"/>
  <c r="EY65" i="6" s="1"/>
  <c r="EY62" i="6" l="1"/>
  <c r="EY68" i="6" s="1"/>
  <c r="EY64" i="6"/>
  <c r="EY70" i="6" s="1"/>
  <c r="EY63" i="6"/>
  <c r="EY69" i="6" s="1"/>
  <c r="EY73" i="6" s="1"/>
  <c r="EY71" i="6" l="1"/>
  <c r="EY75" i="6" s="1"/>
  <c r="EZ40" i="6"/>
  <c r="EZ30" i="6"/>
  <c r="EZ32" i="6" s="1"/>
  <c r="EZ33" i="6" s="1"/>
  <c r="EZ50" i="6"/>
  <c r="EZ51" i="6" s="1"/>
  <c r="EZ36" i="6" l="1"/>
  <c r="EZ35" i="6"/>
  <c r="EZ37" i="6"/>
  <c r="EZ34" i="6"/>
  <c r="EZ41" i="6" l="1"/>
  <c r="EZ42" i="6" s="1"/>
  <c r="EZ43" i="6" s="1"/>
  <c r="EZ45" i="6" l="1"/>
  <c r="EZ44" i="6"/>
  <c r="EZ46" i="6"/>
  <c r="EZ47" i="6"/>
  <c r="EZ52" i="6" l="1"/>
  <c r="EZ53" i="6" s="1"/>
  <c r="EZ54" i="6" s="1"/>
  <c r="EZ57" i="6" l="1"/>
  <c r="EZ55" i="6"/>
  <c r="EZ56" i="6"/>
  <c r="EZ58" i="6"/>
  <c r="EZ61" i="6" l="1"/>
  <c r="EZ65" i="6" s="1"/>
  <c r="EZ62" i="6" l="1"/>
  <c r="EZ68" i="6" s="1"/>
  <c r="EZ63" i="6"/>
  <c r="EZ69" i="6" s="1"/>
  <c r="EZ64" i="6"/>
  <c r="EZ70" i="6" s="1"/>
  <c r="EZ73" i="6" l="1"/>
  <c r="EZ71" i="6"/>
  <c r="EZ75" i="6" s="1"/>
  <c r="FA30" i="6"/>
  <c r="FA32" i="6" s="1"/>
  <c r="FA33" i="6" s="1"/>
  <c r="FA40" i="6"/>
  <c r="FA50" i="6"/>
  <c r="FA51" i="6" s="1"/>
  <c r="FA36" i="6" l="1"/>
  <c r="FA37" i="6"/>
  <c r="FA34" i="6"/>
  <c r="FA35" i="6"/>
  <c r="FA41" i="6" l="1"/>
  <c r="FA42" i="6" s="1"/>
  <c r="FA43" i="6" s="1"/>
  <c r="FA47" i="6" s="1"/>
  <c r="FA45" i="6" l="1"/>
  <c r="FA46" i="6"/>
  <c r="FA44" i="6"/>
  <c r="FA52" i="6" l="1"/>
  <c r="FA53" i="6" s="1"/>
  <c r="FA54" i="6" s="1"/>
  <c r="FA55" i="6" l="1"/>
  <c r="FA57" i="6"/>
  <c r="FA56" i="6"/>
  <c r="FA58" i="6"/>
  <c r="FA61" i="6" l="1"/>
  <c r="FA63" i="6" l="1"/>
  <c r="FA69" i="6" s="1"/>
  <c r="FA62" i="6"/>
  <c r="FA68" i="6" s="1"/>
  <c r="FA64" i="6"/>
  <c r="FA70" i="6" s="1"/>
  <c r="FA65" i="6"/>
  <c r="FA73" i="6" l="1"/>
  <c r="FA71" i="6"/>
  <c r="FA75" i="6" s="1"/>
  <c r="FB30" i="6"/>
  <c r="FB32" i="6" s="1"/>
  <c r="FB33" i="6" s="1"/>
  <c r="FB40" i="6"/>
  <c r="FB50" i="6"/>
  <c r="FB51" i="6" s="1"/>
  <c r="FB36" i="6" l="1"/>
  <c r="FB34" i="6"/>
  <c r="FB37" i="6"/>
  <c r="FB35" i="6"/>
  <c r="FD33" i="6"/>
  <c r="G33" i="6"/>
  <c r="J22" i="7"/>
  <c r="K22" i="7"/>
  <c r="K26" i="7" s="1"/>
  <c r="L22" i="7"/>
  <c r="L26" i="7" s="1"/>
  <c r="M22" i="7"/>
  <c r="M26" i="7" s="1"/>
  <c r="N22" i="7"/>
  <c r="N26" i="7" s="1"/>
  <c r="O22" i="7"/>
  <c r="O26" i="7" s="1"/>
  <c r="P22" i="7"/>
  <c r="P26" i="7" s="1"/>
  <c r="R22" i="7" l="1"/>
  <c r="G22" i="7"/>
  <c r="J26" i="7"/>
  <c r="G35" i="6"/>
  <c r="FD35" i="6"/>
  <c r="J24" i="7"/>
  <c r="K24" i="7"/>
  <c r="L24" i="7"/>
  <c r="M24" i="7"/>
  <c r="N24" i="7"/>
  <c r="O24" i="7"/>
  <c r="P24" i="7"/>
  <c r="FB41" i="6"/>
  <c r="FB42" i="6" s="1"/>
  <c r="FB43" i="6" s="1"/>
  <c r="J23" i="7"/>
  <c r="G34" i="6"/>
  <c r="FD34" i="6"/>
  <c r="K23" i="7"/>
  <c r="L23" i="7"/>
  <c r="M23" i="7"/>
  <c r="N23" i="7"/>
  <c r="O23" i="7"/>
  <c r="P23" i="7"/>
  <c r="J25" i="7"/>
  <c r="FD36" i="6"/>
  <c r="G36" i="6"/>
  <c r="K25" i="7"/>
  <c r="L25" i="7"/>
  <c r="M25" i="7"/>
  <c r="N25" i="7"/>
  <c r="O25" i="7"/>
  <c r="P25" i="7"/>
  <c r="G24" i="7" l="1"/>
  <c r="R24" i="7"/>
  <c r="FB46" i="6"/>
  <c r="FB44" i="6"/>
  <c r="FB45" i="6"/>
  <c r="FD43" i="6"/>
  <c r="J29" i="7"/>
  <c r="G43" i="6"/>
  <c r="K29" i="7"/>
  <c r="K33" i="7" s="1"/>
  <c r="L29" i="7"/>
  <c r="L33" i="7" s="1"/>
  <c r="M29" i="7"/>
  <c r="M33" i="7" s="1"/>
  <c r="N29" i="7"/>
  <c r="N33" i="7" s="1"/>
  <c r="O29" i="7"/>
  <c r="O33" i="7" s="1"/>
  <c r="P29" i="7"/>
  <c r="P33" i="7" s="1"/>
  <c r="G25" i="7"/>
  <c r="R25" i="7"/>
  <c r="FB47" i="6"/>
  <c r="R23" i="7"/>
  <c r="G23" i="7"/>
  <c r="R29" i="7" l="1"/>
  <c r="G29" i="7"/>
  <c r="J33" i="7"/>
  <c r="J31" i="7"/>
  <c r="FD45" i="6"/>
  <c r="G45" i="6"/>
  <c r="K31" i="7"/>
  <c r="L31" i="7"/>
  <c r="M31" i="7"/>
  <c r="N31" i="7"/>
  <c r="O31" i="7"/>
  <c r="P31" i="7"/>
  <c r="G44" i="6"/>
  <c r="FD44" i="6"/>
  <c r="J30" i="7"/>
  <c r="K30" i="7"/>
  <c r="L30" i="7"/>
  <c r="M30" i="7"/>
  <c r="N30" i="7"/>
  <c r="O30" i="7"/>
  <c r="P30" i="7"/>
  <c r="FB52" i="6"/>
  <c r="FB53" i="6" s="1"/>
  <c r="FB54" i="6" s="1"/>
  <c r="FB58" i="6" s="1"/>
  <c r="FD46" i="6"/>
  <c r="J32" i="7"/>
  <c r="G46" i="6"/>
  <c r="K32" i="7"/>
  <c r="L32" i="7"/>
  <c r="M32" i="7"/>
  <c r="N32" i="7"/>
  <c r="O32" i="7"/>
  <c r="P32" i="7"/>
  <c r="G31" i="7" l="1"/>
  <c r="R31" i="7"/>
  <c r="G30" i="7"/>
  <c r="R30" i="7"/>
  <c r="R32" i="7"/>
  <c r="G32" i="7"/>
  <c r="FB61" i="6"/>
  <c r="FB57" i="6"/>
  <c r="FB55" i="6"/>
  <c r="FB56" i="6"/>
  <c r="G54" i="6"/>
  <c r="FD54" i="6"/>
  <c r="J36" i="7"/>
  <c r="J40" i="7" s="1"/>
  <c r="K36" i="7"/>
  <c r="K40" i="7" s="1"/>
  <c r="L36" i="7"/>
  <c r="L40" i="7" s="1"/>
  <c r="M36" i="7"/>
  <c r="M40" i="7" s="1"/>
  <c r="N36" i="7"/>
  <c r="N40" i="7" s="1"/>
  <c r="O36" i="7"/>
  <c r="O40" i="7" s="1"/>
  <c r="P36" i="7"/>
  <c r="P40" i="7" s="1"/>
  <c r="FD56" i="6" l="1"/>
  <c r="J38" i="7"/>
  <c r="G56" i="6"/>
  <c r="K38" i="7"/>
  <c r="L38" i="7"/>
  <c r="M38" i="7"/>
  <c r="N38" i="7"/>
  <c r="O38" i="7"/>
  <c r="P38" i="7"/>
  <c r="J37" i="7"/>
  <c r="FD55" i="6"/>
  <c r="G55" i="6"/>
  <c r="K37" i="7"/>
  <c r="L37" i="7"/>
  <c r="M37" i="7"/>
  <c r="N37" i="7"/>
  <c r="O37" i="7"/>
  <c r="P37" i="7"/>
  <c r="J39" i="7"/>
  <c r="FD57" i="6"/>
  <c r="G57" i="6"/>
  <c r="K39" i="7"/>
  <c r="L39" i="7"/>
  <c r="M39" i="7"/>
  <c r="N39" i="7"/>
  <c r="O39" i="7"/>
  <c r="P39" i="7"/>
  <c r="FB63" i="6"/>
  <c r="FB69" i="6" s="1"/>
  <c r="FB62" i="6"/>
  <c r="FB68" i="6" s="1"/>
  <c r="FB64" i="6"/>
  <c r="J43" i="7"/>
  <c r="G61" i="6"/>
  <c r="FD61" i="6"/>
  <c r="K43" i="7"/>
  <c r="K47" i="7" s="1"/>
  <c r="L43" i="7"/>
  <c r="L47" i="7" s="1"/>
  <c r="M43" i="7"/>
  <c r="M47" i="7" s="1"/>
  <c r="N43" i="7"/>
  <c r="N47" i="7" s="1"/>
  <c r="O43" i="7"/>
  <c r="O47" i="7" s="1"/>
  <c r="P43" i="7"/>
  <c r="P47" i="7" s="1"/>
  <c r="FB65" i="6"/>
  <c r="R36" i="7"/>
  <c r="G36" i="7"/>
  <c r="G69" i="6" l="1"/>
  <c r="FD69" i="6"/>
  <c r="E69" i="6"/>
  <c r="E51" i="7" s="1"/>
  <c r="J51" i="7"/>
  <c r="K51" i="7"/>
  <c r="L51" i="7"/>
  <c r="M51" i="7"/>
  <c r="N51" i="7"/>
  <c r="O51" i="7"/>
  <c r="P51" i="7"/>
  <c r="G37" i="7"/>
  <c r="R37" i="7"/>
  <c r="R39" i="7"/>
  <c r="G39" i="7"/>
  <c r="FD64" i="6"/>
  <c r="G64" i="6"/>
  <c r="J46" i="7"/>
  <c r="K46" i="7"/>
  <c r="L46" i="7"/>
  <c r="M46" i="7"/>
  <c r="N46" i="7"/>
  <c r="O46" i="7"/>
  <c r="P46" i="7"/>
  <c r="FD68" i="6"/>
  <c r="G68" i="6"/>
  <c r="E68" i="6"/>
  <c r="E50" i="7" s="1"/>
  <c r="J50" i="7"/>
  <c r="K50" i="7"/>
  <c r="L50" i="7"/>
  <c r="M50" i="7"/>
  <c r="N50" i="7"/>
  <c r="O50" i="7"/>
  <c r="P50" i="7"/>
  <c r="FD62" i="6"/>
  <c r="G62" i="6"/>
  <c r="J44" i="7"/>
  <c r="K44" i="7"/>
  <c r="L44" i="7"/>
  <c r="M44" i="7"/>
  <c r="N44" i="7"/>
  <c r="O44" i="7"/>
  <c r="P44" i="7"/>
  <c r="R43" i="7"/>
  <c r="G43" i="7"/>
  <c r="J47" i="7"/>
  <c r="FD63" i="6"/>
  <c r="G63" i="6"/>
  <c r="J45" i="7"/>
  <c r="K45" i="7"/>
  <c r="L45" i="7"/>
  <c r="M45" i="7"/>
  <c r="N45" i="7"/>
  <c r="O45" i="7"/>
  <c r="P45" i="7"/>
  <c r="FB70" i="6"/>
  <c r="FB71" i="6" s="1"/>
  <c r="G38" i="7"/>
  <c r="R38" i="7"/>
  <c r="FB75" i="6" l="1"/>
  <c r="J53" i="7"/>
  <c r="K53" i="7"/>
  <c r="K57" i="7" s="1"/>
  <c r="L53" i="7"/>
  <c r="L57" i="7" s="1"/>
  <c r="M53" i="7"/>
  <c r="M57" i="7" s="1"/>
  <c r="N53" i="7"/>
  <c r="N57" i="7" s="1"/>
  <c r="O53" i="7"/>
  <c r="O57" i="7" s="1"/>
  <c r="P53" i="7"/>
  <c r="P57" i="7" s="1"/>
  <c r="R44" i="7"/>
  <c r="G44" i="7"/>
  <c r="G45" i="7"/>
  <c r="R45" i="7"/>
  <c r="R51" i="7"/>
  <c r="G51" i="7"/>
  <c r="R46" i="7"/>
  <c r="G46" i="7"/>
  <c r="J52" i="7"/>
  <c r="G70" i="6"/>
  <c r="FD70" i="6"/>
  <c r="FD71" i="6" s="1"/>
  <c r="K52" i="7"/>
  <c r="L52" i="7"/>
  <c r="M52" i="7"/>
  <c r="N52" i="7"/>
  <c r="O52" i="7"/>
  <c r="P52" i="7"/>
  <c r="R50" i="7"/>
  <c r="G50" i="7"/>
  <c r="FB73" i="6"/>
  <c r="FD75" i="6" l="1"/>
  <c r="E71" i="6"/>
  <c r="E53" i="7" s="1"/>
  <c r="FD73" i="6"/>
  <c r="G71" i="6"/>
  <c r="R52" i="7"/>
  <c r="R53" i="7" s="1"/>
  <c r="R57" i="7" s="1"/>
  <c r="G52" i="7"/>
  <c r="G59" i="7"/>
  <c r="J55" i="7"/>
  <c r="G73" i="6"/>
  <c r="E73" i="6"/>
  <c r="E55" i="7" s="1"/>
  <c r="K55" i="7"/>
  <c r="L55" i="7"/>
  <c r="M55" i="7"/>
  <c r="N55" i="7"/>
  <c r="O55" i="7"/>
  <c r="P55" i="7"/>
  <c r="G53" i="7"/>
  <c r="G57" i="7" s="1"/>
  <c r="J57" i="7"/>
  <c r="C52" i="7" l="1"/>
  <c r="G55" i="7"/>
  <c r="C55" i="7" s="1"/>
  <c r="R55" i="7"/>
  <c r="C50" i="7"/>
  <c r="G75" i="6"/>
  <c r="C68" i="6"/>
  <c r="C69" i="6"/>
  <c r="C51" i="7"/>
  <c r="C70" i="6"/>
  <c r="C73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26" authorId="0" shapeId="0" xr:uid="{9BC27AA6-777F-4540-A51D-4E168C714C4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assumes 3.8% stablized 5 year T plus 190 agency spread (40 bids wider for 3 year lock out)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<sst xmlns="http://schemas.openxmlformats.org/spreadsheetml/2006/main" count="568" uniqueCount="395">
  <si>
    <t>Stabilized</t>
  </si>
  <si>
    <t>Capitalization</t>
  </si>
  <si>
    <t>Purchase Cap Rate</t>
  </si>
  <si>
    <t>Rent/Unit/Month</t>
  </si>
  <si>
    <t>Purchase Price</t>
  </si>
  <si>
    <t>Rent/SF/Mnth</t>
  </si>
  <si>
    <t>Closing Costs</t>
  </si>
  <si>
    <t>% of GPR</t>
  </si>
  <si>
    <t>Total Costs</t>
  </si>
  <si>
    <t>Gross Potential Rent</t>
  </si>
  <si>
    <t>Loss to Lease</t>
  </si>
  <si>
    <t>Vacancy</t>
  </si>
  <si>
    <t>Gross Rental Income</t>
  </si>
  <si>
    <t>Total Equity</t>
  </si>
  <si>
    <t>Non-Income Unit Loss</t>
  </si>
  <si>
    <t>Collection Loss</t>
  </si>
  <si>
    <t>Debt</t>
  </si>
  <si>
    <t>Concession Loss</t>
  </si>
  <si>
    <t>Total Capitalization</t>
  </si>
  <si>
    <t>Amenity Income</t>
  </si>
  <si>
    <t>Effective Gross Income</t>
  </si>
  <si>
    <t>Residual</t>
  </si>
  <si>
    <t>Exit Cap</t>
  </si>
  <si>
    <t>Variable Expenses</t>
  </si>
  <si>
    <t>% of EGI</t>
  </si>
  <si>
    <t xml:space="preserve"> NOI</t>
  </si>
  <si>
    <t>Payroll</t>
  </si>
  <si>
    <t>Sales Price</t>
  </si>
  <si>
    <t>Administrative</t>
  </si>
  <si>
    <t>Less Closing Costs</t>
  </si>
  <si>
    <t>Utilities</t>
  </si>
  <si>
    <t>Net Proceeds</t>
  </si>
  <si>
    <t>Turnover</t>
  </si>
  <si>
    <t>Repairs and Maintenance</t>
  </si>
  <si>
    <t>Marketing &amp; Advertising</t>
  </si>
  <si>
    <t>Contract Services</t>
  </si>
  <si>
    <t>Fixed Expenses</t>
  </si>
  <si>
    <t>Management Fees</t>
  </si>
  <si>
    <t xml:space="preserve">HOA </t>
  </si>
  <si>
    <t>RE Taxes</t>
  </si>
  <si>
    <t>Insurance - Property</t>
  </si>
  <si>
    <t>Capital Reserves</t>
  </si>
  <si>
    <t>Total Operating Expenses</t>
  </si>
  <si>
    <t>Net Operating Income</t>
  </si>
  <si>
    <t>NOI Growth</t>
  </si>
  <si>
    <t>Debt Service</t>
  </si>
  <si>
    <t xml:space="preserve">   DSCR</t>
  </si>
  <si>
    <t>Cash Flow After Debt Service</t>
  </si>
  <si>
    <t>Equity Invested</t>
  </si>
  <si>
    <t>Cash Yield</t>
  </si>
  <si>
    <t>Economics</t>
  </si>
  <si>
    <t>Equity Contribution</t>
  </si>
  <si>
    <t>Acquisition Loan Repayment</t>
  </si>
  <si>
    <t>Refinancing Loan Infusion</t>
  </si>
  <si>
    <t>Net Sale Proceeds</t>
  </si>
  <si>
    <t>Repayment of Loan</t>
  </si>
  <si>
    <t>CF after Debt Service</t>
  </si>
  <si>
    <t>Levered IRR</t>
  </si>
  <si>
    <t>Equity Multiple</t>
  </si>
  <si>
    <t>Total Return on Equity</t>
  </si>
  <si>
    <t>Gross Profit</t>
  </si>
  <si>
    <t>% Profit - Operating</t>
  </si>
  <si>
    <t>% Profit - Capital Event</t>
  </si>
  <si>
    <t xml:space="preserve"> </t>
  </si>
  <si>
    <t>UNTRENDED STABILIZED OPERATING INCOME STATEMENT</t>
  </si>
  <si>
    <t>Annual</t>
  </si>
  <si>
    <t>Month</t>
  </si>
  <si>
    <t>Total</t>
  </si>
  <si>
    <t>Per Unit</t>
  </si>
  <si>
    <t>Per NRSF</t>
  </si>
  <si>
    <t>MULTIFAMILY</t>
  </si>
  <si>
    <t>Monthly Recurring Income</t>
  </si>
  <si>
    <t>Other Income</t>
  </si>
  <si>
    <t>Maintenance</t>
  </si>
  <si>
    <t>Marketing</t>
  </si>
  <si>
    <t>Management Expense</t>
  </si>
  <si>
    <t>Insurance</t>
  </si>
  <si>
    <t>Taxes</t>
  </si>
  <si>
    <t>Multifamily NOI</t>
  </si>
  <si>
    <t>PROGRAM</t>
  </si>
  <si>
    <t>TIMING</t>
  </si>
  <si>
    <t>Month #</t>
  </si>
  <si>
    <t>Date</t>
  </si>
  <si>
    <t>RETURN METRICS</t>
  </si>
  <si>
    <t>Project</t>
  </si>
  <si>
    <t>Sentosa Epperson</t>
  </si>
  <si>
    <t>Lease-up</t>
  </si>
  <si>
    <t>IRR</t>
  </si>
  <si>
    <t>City, State</t>
  </si>
  <si>
    <t>Wesley Chapel, FL</t>
  </si>
  <si>
    <t>Parking (Stalls)</t>
  </si>
  <si>
    <t>Acquisition</t>
  </si>
  <si>
    <t>Multiple</t>
  </si>
  <si>
    <t>Units</t>
  </si>
  <si>
    <t>Apartments</t>
  </si>
  <si>
    <t>Refinance</t>
  </si>
  <si>
    <t>Profit</t>
  </si>
  <si>
    <t>Average NRSF/Unit</t>
  </si>
  <si>
    <t>Commercial</t>
  </si>
  <si>
    <t>Disposition</t>
  </si>
  <si>
    <t>Equity Investment</t>
  </si>
  <si>
    <t>NRSF (Apts)</t>
  </si>
  <si>
    <t>Total Stalls</t>
  </si>
  <si>
    <t>NRSF (Coml)</t>
  </si>
  <si>
    <t>Resi Ratio</t>
  </si>
  <si>
    <t>NRSF (Total)</t>
  </si>
  <si>
    <t>Comm. Ratio</t>
  </si>
  <si>
    <t>0/1,000</t>
  </si>
  <si>
    <t>GSF (Total)</t>
  </si>
  <si>
    <t>Land (Gross Acres)</t>
  </si>
  <si>
    <t>Efficiency</t>
  </si>
  <si>
    <t>Land GSF</t>
  </si>
  <si>
    <t>Property Type</t>
  </si>
  <si>
    <t>Garden</t>
  </si>
  <si>
    <t>Land (Net Acres)</t>
  </si>
  <si>
    <t>Buildings</t>
  </si>
  <si>
    <t>Land NSF</t>
  </si>
  <si>
    <t>Stories</t>
  </si>
  <si>
    <t>3 &amp; 4 Stories</t>
  </si>
  <si>
    <t>Density (Units)</t>
  </si>
  <si>
    <t>Constr. Type</t>
  </si>
  <si>
    <t>Type V</t>
  </si>
  <si>
    <t>FAR</t>
  </si>
  <si>
    <t>CAPITALIZATION</t>
  </si>
  <si>
    <t>Equity</t>
  </si>
  <si>
    <t>Acquisition Loan</t>
  </si>
  <si>
    <t>ACQUISITION SUMMARY</t>
  </si>
  <si>
    <t>SALE SUMMARY</t>
  </si>
  <si>
    <t>NO</t>
  </si>
  <si>
    <t>$ / Unit</t>
  </si>
  <si>
    <t>Amount</t>
  </si>
  <si>
    <t>Stabilized NOI</t>
  </si>
  <si>
    <t>SALE NOI</t>
  </si>
  <si>
    <t>% of Total Cost</t>
  </si>
  <si>
    <t>Cap Rate</t>
  </si>
  <si>
    <t>% of Equity</t>
  </si>
  <si>
    <t>Sale Price</t>
  </si>
  <si>
    <t>First Draw</t>
  </si>
  <si>
    <t>Interest Rate</t>
  </si>
  <si>
    <t>Amortization (Yrs)</t>
  </si>
  <si>
    <t>Interest Only (Mts)</t>
  </si>
  <si>
    <t>DSCR</t>
  </si>
  <si>
    <t>GENERAL OPERATIONS</t>
  </si>
  <si>
    <t>General/Static Vacancy</t>
  </si>
  <si>
    <t>Per Year</t>
  </si>
  <si>
    <t>Total Units</t>
  </si>
  <si>
    <t>Stabilized Occupancy</t>
  </si>
  <si>
    <t>Non-Income Units</t>
  </si>
  <si>
    <t>Turnover Rate</t>
  </si>
  <si>
    <t>Rentable Units</t>
  </si>
  <si>
    <t>See Growth Rate Assumptions at bottom of tab for trending operation line items</t>
  </si>
  <si>
    <t>Purchase Price Cap Rate</t>
  </si>
  <si>
    <t>Residual Cap Rate</t>
  </si>
  <si>
    <t>Growth Rates commence at the start of building operations</t>
  </si>
  <si>
    <t>Closing Costs (Acq / Exit)</t>
  </si>
  <si>
    <t>MULTIFAMILY INCOME</t>
  </si>
  <si>
    <t>Unit Income</t>
  </si>
  <si>
    <t>Unit Type</t>
  </si>
  <si>
    <t>Quantity</t>
  </si>
  <si>
    <t xml:space="preserve">Base Rent / </t>
  </si>
  <si>
    <t>Base Rent /</t>
  </si>
  <si>
    <t>Base Rent</t>
  </si>
  <si>
    <t>Total Base</t>
  </si>
  <si>
    <t>BR / BA</t>
  </si>
  <si>
    <t>Description</t>
  </si>
  <si>
    <t>of Units</t>
  </si>
  <si>
    <t>Unit Mix</t>
  </si>
  <si>
    <t>NRSF / Unit</t>
  </si>
  <si>
    <t>NRSF</t>
  </si>
  <si>
    <t>Unit / Month</t>
  </si>
  <si>
    <t>/ NRSF / Month</t>
  </si>
  <si>
    <t>Unit / Year</t>
  </si>
  <si>
    <t>/ NRSF / Year</t>
  </si>
  <si>
    <t>Rent / Month</t>
  </si>
  <si>
    <t>Rent / Year</t>
  </si>
  <si>
    <t>1 Bedroom/1 Bath</t>
  </si>
  <si>
    <t>A2</t>
  </si>
  <si>
    <t>A2S</t>
  </si>
  <si>
    <t>2 Bedroom/2 Bath</t>
  </si>
  <si>
    <t>B1</t>
  </si>
  <si>
    <t>B1S</t>
  </si>
  <si>
    <t xml:space="preserve">3 Bedroom/2 Bath </t>
  </si>
  <si>
    <t>C1</t>
  </si>
  <si>
    <t>C1S</t>
  </si>
  <si>
    <t>Unit Income Average / Total</t>
  </si>
  <si>
    <t>Additional Income</t>
  </si>
  <si>
    <t>Type</t>
  </si>
  <si>
    <t>% of Units</t>
  </si>
  <si>
    <t>Rent / Unit / Month</t>
  </si>
  <si>
    <t>Rent / NRSF / Month</t>
  </si>
  <si>
    <t>Rent / Unit / Year</t>
  </si>
  <si>
    <t>Rent / NRSF / Year</t>
  </si>
  <si>
    <t>Total / Month</t>
  </si>
  <si>
    <t>Total / Year</t>
  </si>
  <si>
    <t>Pet Rent</t>
  </si>
  <si>
    <t>Garage</t>
  </si>
  <si>
    <t>Storage</t>
  </si>
  <si>
    <t>Amenity Fee</t>
  </si>
  <si>
    <t>Amenity Subtotal</t>
  </si>
  <si>
    <t>Revenue Sharing Contract</t>
  </si>
  <si>
    <t>Valet Trash</t>
  </si>
  <si>
    <t>Admin/App</t>
  </si>
  <si>
    <t>Late, NSF, Termination</t>
  </si>
  <si>
    <t>Damages</t>
  </si>
  <si>
    <t>Monthly Recurring Subtotal</t>
  </si>
  <si>
    <t>Other Income Subtotal</t>
  </si>
  <si>
    <t>Additional Income Total</t>
  </si>
  <si>
    <t>Potential Multifamily Income Total</t>
  </si>
  <si>
    <t>OPERATING EXPENSES</t>
  </si>
  <si>
    <t>MULTIFAMILY OPEX</t>
  </si>
  <si>
    <t>Expense Items</t>
  </si>
  <si>
    <t>Expense / Unit / Month</t>
  </si>
  <si>
    <t>Expense / NRSF / Month</t>
  </si>
  <si>
    <t>Expense / Unit / Year</t>
  </si>
  <si>
    <t>Expense / NRSF / Year</t>
  </si>
  <si>
    <t>Subtotal Variable</t>
  </si>
  <si>
    <t>Subtotal Fixed</t>
  </si>
  <si>
    <t>Operating Expense Total</t>
  </si>
  <si>
    <t>PAYROLL - variable</t>
  </si>
  <si>
    <t>UTILITIES</t>
  </si>
  <si>
    <t>Staffing Schedule</t>
  </si>
  <si>
    <t>Base Salary</t>
  </si>
  <si>
    <t>Perf Bonus</t>
  </si>
  <si>
    <t>Leasing Comm</t>
  </si>
  <si>
    <t>Emp Burden</t>
  </si>
  <si>
    <t>Items</t>
  </si>
  <si>
    <t>Recapture</t>
  </si>
  <si>
    <t>Prop Manager</t>
  </si>
  <si>
    <t>W/S</t>
  </si>
  <si>
    <t>Asst Manager</t>
  </si>
  <si>
    <t>Elec - Common</t>
  </si>
  <si>
    <t>Leasing</t>
  </si>
  <si>
    <t>Vac Electric</t>
  </si>
  <si>
    <t>TV/Internet</t>
  </si>
  <si>
    <t>Maint Sup</t>
  </si>
  <si>
    <t>Gas</t>
  </si>
  <si>
    <t>Maint Tech</t>
  </si>
  <si>
    <t>Garbage</t>
  </si>
  <si>
    <t>3rd Party Billing</t>
  </si>
  <si>
    <t>Porter</t>
  </si>
  <si>
    <t>Other</t>
  </si>
  <si>
    <t>Total Payroll</t>
  </si>
  <si>
    <t>Total Utilities</t>
  </si>
  <si>
    <t>CONTRACT SERVICES  - variable</t>
  </si>
  <si>
    <t>MANAGEMENT FEE - fixed</t>
  </si>
  <si>
    <t>Minimum Fee</t>
  </si>
  <si>
    <t>Security/Concierge</t>
  </si>
  <si>
    <t>Elevator</t>
  </si>
  <si>
    <t>INSURANCE - fixed</t>
  </si>
  <si>
    <t xml:space="preserve">HVAC </t>
  </si>
  <si>
    <t>Prop Insurance</t>
  </si>
  <si>
    <t>TAXES - fixed</t>
  </si>
  <si>
    <t xml:space="preserve">Fire/Life Safety </t>
  </si>
  <si>
    <t>Cap Value</t>
  </si>
  <si>
    <t xml:space="preserve">Janitorial </t>
  </si>
  <si>
    <t>Assess Ratio</t>
  </si>
  <si>
    <t xml:space="preserve">Landscaping </t>
  </si>
  <si>
    <t>Millage Rate</t>
  </si>
  <si>
    <t xml:space="preserve">Pest Control </t>
  </si>
  <si>
    <t>Early Pmt Discount</t>
  </si>
  <si>
    <t xml:space="preserve">Pool Service </t>
  </si>
  <si>
    <t>Total Taxes</t>
  </si>
  <si>
    <t>Window Washer</t>
  </si>
  <si>
    <t>Misc</t>
  </si>
  <si>
    <t>CAPITAL RESERVES</t>
  </si>
  <si>
    <t>Total CS</t>
  </si>
  <si>
    <t>Total CR</t>
  </si>
  <si>
    <t xml:space="preserve">ANNUAL GROWTH RATES </t>
  </si>
  <si>
    <t>Items: Growth occurs from Operations Commencement</t>
  </si>
  <si>
    <t>Rent Growth</t>
  </si>
  <si>
    <t>Ancillary Income</t>
  </si>
  <si>
    <t>OpEx Growth</t>
  </si>
  <si>
    <t>Utility Growth</t>
  </si>
  <si>
    <t>Ground Lease Growth</t>
  </si>
  <si>
    <t>Property Tax Growth</t>
  </si>
  <si>
    <t>Commercial Rent Growth</t>
  </si>
  <si>
    <t xml:space="preserve">MONTHLY </t>
  </si>
  <si>
    <t>Monthly Operating Cash Flow</t>
  </si>
  <si>
    <t>Stabilization Date:</t>
  </si>
  <si>
    <t>Mapping</t>
  </si>
  <si>
    <t>Year</t>
  </si>
  <si>
    <t>Growth Rate:</t>
  </si>
  <si>
    <t>Growth Rate Timing: Monthly</t>
  </si>
  <si>
    <t>Growth Rate Timing: Yearly</t>
  </si>
  <si>
    <t xml:space="preserve">Month </t>
  </si>
  <si>
    <t>Yr 1 Total</t>
  </si>
  <si>
    <t>Yr 2 Total</t>
  </si>
  <si>
    <t>Yr 3 Total</t>
  </si>
  <si>
    <t>Yr 4 Total</t>
  </si>
  <si>
    <t>Yr 5 Total</t>
  </si>
  <si>
    <t>Lease Expirations</t>
  </si>
  <si>
    <t>Move Outs</t>
  </si>
  <si>
    <t>Renewals</t>
  </si>
  <si>
    <t>New Move-ins</t>
  </si>
  <si>
    <t>Occupied Units</t>
  </si>
  <si>
    <t>Market Rents</t>
  </si>
  <si>
    <t>Market Rents / SF</t>
  </si>
  <si>
    <t>In-Place Rent</t>
  </si>
  <si>
    <t>Average In-Place Rent / SF</t>
  </si>
  <si>
    <t>Occupancy</t>
  </si>
  <si>
    <t>In-Place Revenue</t>
  </si>
  <si>
    <t>New Leases</t>
  </si>
  <si>
    <t>Old Leases</t>
  </si>
  <si>
    <t>Total Rent Collected</t>
  </si>
  <si>
    <t>Income</t>
  </si>
  <si>
    <t>Gross Schedued Rent</t>
  </si>
  <si>
    <t>Bad Debt / Credit Loss</t>
  </si>
  <si>
    <t>Concessions</t>
  </si>
  <si>
    <t>Concessions / month</t>
  </si>
  <si>
    <t>Total Collected Rent</t>
  </si>
  <si>
    <t>Commercial Income</t>
  </si>
  <si>
    <t>Garage Income</t>
  </si>
  <si>
    <t>Storage Rent</t>
  </si>
  <si>
    <t>Trash Remove Rebill-Door to Door Pickup</t>
  </si>
  <si>
    <t>Water/Sewer Rebill</t>
  </si>
  <si>
    <t xml:space="preserve">Miscellaneous </t>
  </si>
  <si>
    <t>Total Other Income</t>
  </si>
  <si>
    <t>Model / Employee Units</t>
  </si>
  <si>
    <t>Expenses</t>
  </si>
  <si>
    <t>HOA/CDD</t>
  </si>
  <si>
    <t>Replacement Reserves</t>
  </si>
  <si>
    <t>Total Expenses</t>
  </si>
  <si>
    <t>NOI</t>
  </si>
  <si>
    <t>Lease Up Expense:</t>
  </si>
  <si>
    <t>Debt Service:</t>
  </si>
  <si>
    <t>Acquisiton Loan</t>
  </si>
  <si>
    <t>Permanent Loan</t>
  </si>
  <si>
    <t>Cash Flow after Debt Service</t>
  </si>
  <si>
    <t>ACQUISITION LOAN</t>
  </si>
  <si>
    <t>Acquisition Loan Infusion</t>
  </si>
  <si>
    <t>Acquisiton Loan Beginning Balance</t>
  </si>
  <si>
    <t>Acquisition Loan Fee</t>
  </si>
  <si>
    <t>Principal</t>
  </si>
  <si>
    <t>Interest</t>
  </si>
  <si>
    <t>Acquisition Loan Ending Balance</t>
  </si>
  <si>
    <t>PERMANENT LOAN</t>
  </si>
  <si>
    <t>Permanent Loan Infusion</t>
  </si>
  <si>
    <t>Permanent Loan Beginning Balane</t>
  </si>
  <si>
    <t>Permanent Loan Fee</t>
  </si>
  <si>
    <t>Permanent Loan Ending Balance</t>
  </si>
  <si>
    <t>Permanent Loan Repayment</t>
  </si>
  <si>
    <t>EQUITY CASH FLOW SUMMARY</t>
  </si>
  <si>
    <t>CF After Debt Service</t>
  </si>
  <si>
    <t>Equity Cash Flow Summary</t>
  </si>
  <si>
    <t>Net Profit</t>
  </si>
  <si>
    <t>Annual Growth Table</t>
  </si>
  <si>
    <t>Face Rent Depiction</t>
  </si>
  <si>
    <t>% Growth Depiction</t>
  </si>
  <si>
    <t>HOA</t>
  </si>
  <si>
    <t>LP Equity</t>
  </si>
  <si>
    <t>Sanity Check</t>
  </si>
  <si>
    <t>GP TOTAL (IRR / MOIC)</t>
  </si>
  <si>
    <t>COMBINED TOTAL (IRR / MOIC)</t>
  </si>
  <si>
    <t>LP TOTAL (IRR / MOIC)</t>
  </si>
  <si>
    <t>CF Remaining After Tier IV</t>
  </si>
  <si>
    <t>Portion Paid to GP</t>
  </si>
  <si>
    <t>Portion Paid to LP</t>
  </si>
  <si>
    <t>Total Cash Flow Allocated to Tier IV</t>
  </si>
  <si>
    <t>CF Remaining After Tier I</t>
  </si>
  <si>
    <t>Total Cash Flow Allocated to Tier I</t>
  </si>
  <si>
    <t>Effective LP Tier I Threshold</t>
  </si>
  <si>
    <t>Less: Period Payments to LP</t>
  </si>
  <si>
    <t>TOTAL</t>
  </si>
  <si>
    <t>Monthly Cash Flow</t>
  </si>
  <si>
    <t>Tier II (after)</t>
  </si>
  <si>
    <t>--</t>
  </si>
  <si>
    <t>Tier I</t>
  </si>
  <si>
    <t>Promote</t>
  </si>
  <si>
    <t>Hurdle</t>
  </si>
  <si>
    <t>Promote Structure</t>
  </si>
  <si>
    <t>GP Equity</t>
  </si>
  <si>
    <t>Equity Capitalization</t>
  </si>
  <si>
    <t>Waterfall Analysis</t>
  </si>
  <si>
    <t>Sentosa Recap</t>
  </si>
  <si>
    <t xml:space="preserve">LP Equity </t>
  </si>
  <si>
    <t>Sponsor</t>
  </si>
  <si>
    <t>Tier III (after)</t>
  </si>
  <si>
    <t>Net Cash Flow</t>
  </si>
  <si>
    <t>Portion Paid to Sponsor Promote</t>
  </si>
  <si>
    <t>Effective Tier II Threshold</t>
  </si>
  <si>
    <t>Total Cash Flow Allocated to Tier II</t>
  </si>
  <si>
    <t>CF Remaining After Tier II</t>
  </si>
  <si>
    <t>Effective Tier III Threshold</t>
  </si>
  <si>
    <t>Total Cash Flow Allocated to Tier III</t>
  </si>
  <si>
    <t>CF Remaining After Tier III</t>
  </si>
  <si>
    <t>% of Profit</t>
  </si>
  <si>
    <t>Return Metrics</t>
  </si>
  <si>
    <t>SPONSOR PROMOTE</t>
  </si>
  <si>
    <t>Total GP</t>
  </si>
  <si>
    <t>Tier IV (after)</t>
  </si>
  <si>
    <t>Falcone Total Proceeds</t>
  </si>
  <si>
    <t>Expense Growth</t>
  </si>
  <si>
    <t>ANNUAL RENT GROWTH</t>
  </si>
  <si>
    <t>ANNUAL EXPENSE GROWTH</t>
  </si>
  <si>
    <t>LEVERED PROJECT IRR &amp; MULTIPLE SENSITIVITY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</si>
</sst>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#\ &quot;Units&quot;"/>
    <numFmt numFmtId="166" formatCode="#,###\ &quot;sf&quot;"/>
    <numFmt numFmtId="167" formatCode="&quot;Year&quot;\ #"/>
    <numFmt numFmtId="168" formatCode="&quot;YEAR&quot;\ 0"/>
    <numFmt numFmtId="169" formatCode="mmm\ yyyy"/>
    <numFmt numFmtId="170" formatCode="0.0%"/>
    <numFmt numFmtId="171" formatCode="&quot;$&quot;#,##0_%_);\(&quot;$&quot;#,##0\)_%;\-\-_%_);@_%_)"/>
    <numFmt numFmtId="172" formatCode="#,##0_%_);\(#,##0\)_%;\-\-_%_);@_%_)"/>
    <numFmt numFmtId="173" formatCode="&quot;$&quot;###,###\ &quot;/ Unit&quot;"/>
    <numFmt numFmtId="174" formatCode="&quot;$&quot;#,##0.00_%_);\(&quot;$&quot;#,##0.00\)_%;\-\-_%_);@_%_)"/>
    <numFmt numFmtId="175" formatCode="#.##\x\ "/>
    <numFmt numFmtId="176" formatCode="#.##\x"/>
    <numFmt numFmtId="177" formatCode="&quot;$&quot;#,##0"/>
    <numFmt numFmtId="178" formatCode="[$-409]mmm\-yy;@"/>
    <numFmt numFmtId="179" formatCode="0.00\x"/>
    <numFmt numFmtId="180" formatCode="#0.00&quot;x&quot;"/>
    <numFmt numFmtId="181" formatCode="_(* #,##0.0_);_(* \(#,##0.0\);_(* &quot;-&quot;??_);_(@_)"/>
    <numFmt numFmtId="182" formatCode="&quot;Loan Fee&quot;\ 0.00%"/>
    <numFmt numFmtId="183" formatCode="_(* #,##0.0000_);_(* \(#,##0.0000\);_(* &quot;-&quot;??_);_(@_)"/>
    <numFmt numFmtId="184" formatCode="&quot;$&quot;#,##0_%_);\(&quot;$&quot;#,##0\)_%;&quot;$&quot;#,##0_%_);@_%_)"/>
    <numFmt numFmtId="185" formatCode="&quot;$&quot;#,##0.00_%_);\(&quot;$&quot;#,##0.00\)_%;&quot;$&quot;#,##0.00_%_);@_%_)"/>
    <numFmt numFmtId="186" formatCode="&quot;$&quot;#,##0.00"/>
    <numFmt numFmtId="187" formatCode="#,##0_%_);\(#,##0\)_%;#,##0_%_);@_%_)"/>
    <numFmt numFmtId="188" formatCode="0%_);\(0%\);\-\-_%_);@_%_)"/>
    <numFmt numFmtId="189" formatCode="0.0%_);\(0.0%\);\-\-_%_);@_%_)"/>
    <numFmt numFmtId="190" formatCode="[$-409]mmmm\ d\,\ yyyy;@"/>
    <numFmt numFmtId="191" formatCode="&quot;Mgmt Fee&quot;\ 0.0%"/>
    <numFmt numFmtId="192" formatCode="&quot;Mgmt Fee&quot;\ 0.00%"/>
    <numFmt numFmtId="193" formatCode="&quot;Y&quot;General"/>
    <numFmt numFmtId="194" formatCode="&quot;Y&quot;General&quot;+&quot;"/>
    <numFmt numFmtId="195" formatCode="mm/dd/yy;@"/>
    <numFmt numFmtId="196" formatCode="m/d/yy;@"/>
    <numFmt numFmtId="197" formatCode="&quot;Q&quot;0"/>
    <numFmt numFmtId="198" formatCode="_(&quot;$&quot;* #,##0_);_(&quot;$&quot;* \(#,##0\);_(&quot;$&quot;* &quot;-&quot;??_);_(@_)"/>
    <numFmt numFmtId="199" formatCode="&quot;$&quot;#,##0.0_);[Red]\(&quot;$&quot;#,##0.0\)"/>
    <numFmt numFmtId="200" formatCode="#,##0;[Red]#,##0"/>
    <numFmt numFmtId="201" formatCode="#,##0.00_%_);\(#,##0.00\)_%;\-\-_%_);@_%_)"/>
    <numFmt numFmtId="202" formatCode="#,##0.000_);\(#,##0.000\)"/>
    <numFmt numFmtId="203" formatCode="#,##0.0_);\(#,##0.0\)"/>
    <numFmt numFmtId="204" formatCode="#0.00\x"/>
  </numFmts>
  <fonts count="62"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2"/>
      <name val="Aptos Narrow"/>
      <family val="2"/>
      <scheme val="minor"/>
    </font>
    <font>
      <sz val="10"/>
      <color theme="1"/>
      <name val="Tahoma"/>
      <family val="2"/>
    </font>
    <font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FF"/>
      <name val="Aptos Narrow"/>
      <family val="2"/>
      <scheme val="minor"/>
    </font>
    <font>
      <b/>
      <sz val="10"/>
      <color indexed="9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b/>
      <sz val="10"/>
      <color rgb="FF0000FF"/>
      <name val="Aptos Narrow"/>
      <family val="2"/>
      <scheme val="minor"/>
    </font>
    <font>
      <i/>
      <sz val="8"/>
      <name val="Aptos Narrow"/>
      <family val="2"/>
      <scheme val="minor"/>
    </font>
    <font>
      <u/>
      <sz val="10"/>
      <color indexed="8"/>
      <name val="Aptos Narrow"/>
      <family val="2"/>
      <scheme val="minor"/>
    </font>
    <font>
      <b/>
      <i/>
      <sz val="1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10"/>
      <color indexed="8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sz val="10"/>
      <color indexed="8"/>
      <name val="Aptos Narrow"/>
      <family val="2"/>
      <scheme val="minor"/>
    </font>
    <font>
      <b/>
      <sz val="10"/>
      <name val="Aptos Narrow"/>
      <family val="2"/>
      <scheme val="minor"/>
    </font>
    <font>
      <i/>
      <sz val="7"/>
      <name val="Aptos Narrow"/>
      <family val="2"/>
      <scheme val="minor"/>
    </font>
    <font>
      <sz val="10"/>
      <color indexed="8"/>
      <name val="Arial"/>
      <family val="2"/>
    </font>
    <font>
      <sz val="7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7"/>
      <name val="Aptos Narrow"/>
      <family val="2"/>
      <scheme val="minor"/>
    </font>
    <font>
      <b/>
      <sz val="7"/>
      <color indexed="8"/>
      <name val="Aptos Narrow"/>
      <family val="2"/>
      <scheme val="minor"/>
    </font>
    <font>
      <i/>
      <sz val="8"/>
      <color rgb="FF0A3161"/>
      <name val="Aptos Narrow"/>
      <family val="2"/>
      <scheme val="minor"/>
    </font>
    <font>
      <b/>
      <i/>
      <sz val="10"/>
      <color rgb="FF0A3161"/>
      <name val="Aptos Narrow"/>
      <family val="2"/>
      <scheme val="minor"/>
    </font>
    <font>
      <b/>
      <i/>
      <sz val="9"/>
      <color theme="1"/>
      <name val="Aptos Narrow"/>
      <family val="2"/>
      <scheme val="minor"/>
    </font>
    <font>
      <i/>
      <sz val="9"/>
      <name val="Aptos Narrow"/>
      <family val="2"/>
      <scheme val="minor"/>
    </font>
    <font>
      <i/>
      <sz val="10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7"/>
      <color theme="0"/>
      <name val="Aptos Narrow"/>
      <family val="2"/>
      <scheme val="minor"/>
    </font>
    <font>
      <b/>
      <i/>
      <sz val="7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u/>
      <sz val="10"/>
      <color theme="1"/>
      <name val="Aptos Narrow"/>
      <family val="2"/>
      <scheme val="minor"/>
    </font>
    <font>
      <b/>
      <u/>
      <sz val="10"/>
      <name val="Aptos Narrow"/>
      <family val="2"/>
      <scheme val="minor"/>
    </font>
    <font>
      <b/>
      <i/>
      <sz val="10"/>
      <color rgb="FF0000FF"/>
      <name val="Aptos Narrow"/>
      <family val="2"/>
      <scheme val="minor"/>
    </font>
    <font>
      <b/>
      <sz val="10"/>
      <color theme="0" tint="-4.9989318521683403E-2"/>
      <name val="Aptos Narrow"/>
      <family val="2"/>
      <scheme val="minor"/>
    </font>
    <font>
      <b/>
      <sz val="10"/>
      <color indexed="17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10"/>
      <color theme="0"/>
      <name val="Aptos Narrow"/>
      <family val="2"/>
      <scheme val="minor"/>
    </font>
    <font>
      <i/>
      <u/>
      <sz val="10"/>
      <color theme="1"/>
      <name val="Aptos Narrow"/>
      <family val="2"/>
      <scheme val="minor"/>
    </font>
    <font>
      <i/>
      <sz val="8"/>
      <color indexed="8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10"/>
      <name val="Arial"/>
      <family val="2"/>
    </font>
    <font>
      <b/>
      <i/>
      <sz val="10"/>
      <color indexed="10"/>
      <name val="Aptos Narrow"/>
      <family val="2"/>
      <scheme val="minor"/>
    </font>
    <font>
      <b/>
      <i/>
      <sz val="10"/>
      <color indexed="8"/>
      <name val="Aptos Narrow"/>
      <family val="2"/>
      <scheme val="minor"/>
    </font>
    <font>
      <b/>
      <u/>
      <sz val="10"/>
      <color indexed="32"/>
      <name val="Aptos Narrow"/>
      <family val="2"/>
      <scheme val="minor"/>
    </font>
    <font>
      <i/>
      <sz val="10"/>
      <color indexed="12"/>
      <name val="Aptos Narrow"/>
      <family val="2"/>
      <scheme val="minor"/>
    </font>
    <font>
      <sz val="10"/>
      <color indexed="12"/>
      <name val="Aptos Narrow"/>
      <family val="2"/>
      <scheme val="minor"/>
    </font>
    <font>
      <sz val="10"/>
      <color indexed="23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2"/>
      <color indexed="8"/>
      <name val="Aptos Narrow"/>
      <family val="2"/>
      <scheme val="minor"/>
    </font>
    <font>
      <b/>
      <sz val="10"/>
      <color indexed="12"/>
      <name val="Aptos Narrow"/>
      <family val="2"/>
      <scheme val="minor"/>
    </font>
    <font>
      <i/>
      <u/>
      <sz val="10"/>
      <color indexed="8"/>
      <name val="Aptos Narrow"/>
      <family val="2"/>
      <scheme val="minor"/>
    </font>
    <font>
      <sz val="11"/>
      <color rgb="FF0000FF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A316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</fills>
  <borders count="1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ashDot">
        <color rgb="FF002060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dashDotDot">
        <color rgb="FF002060"/>
      </left>
      <right/>
      <top style="dashDotDot">
        <color rgb="FF002060"/>
      </top>
      <bottom/>
      <diagonal/>
    </border>
    <border>
      <left/>
      <right/>
      <top style="dashDotDot">
        <color rgb="FF002060"/>
      </top>
      <bottom/>
      <diagonal/>
    </border>
    <border>
      <left/>
      <right style="dashDotDot">
        <color rgb="FF002060"/>
      </right>
      <top style="dashDotDot">
        <color rgb="FF002060"/>
      </top>
      <bottom/>
      <diagonal/>
    </border>
    <border>
      <left style="dashDot">
        <color rgb="FF002060"/>
      </left>
      <right/>
      <top/>
      <bottom/>
      <diagonal/>
    </border>
    <border>
      <left style="dashDot">
        <color indexed="64"/>
      </left>
      <right/>
      <top style="medium">
        <color indexed="64"/>
      </top>
      <bottom/>
      <diagonal/>
    </border>
    <border>
      <left/>
      <right style="dashDotDot">
        <color indexed="64"/>
      </right>
      <top style="medium">
        <color indexed="64"/>
      </top>
      <bottom/>
      <diagonal/>
    </border>
    <border>
      <left/>
      <right style="dashDotDot">
        <color auto="1"/>
      </right>
      <top/>
      <bottom/>
      <diagonal/>
    </border>
    <border>
      <left style="dashDotDot">
        <color rgb="FF002060"/>
      </left>
      <right/>
      <top/>
      <bottom/>
      <diagonal/>
    </border>
    <border>
      <left/>
      <right style="dashDotDot">
        <color rgb="FF002060"/>
      </right>
      <top/>
      <bottom/>
      <diagonal/>
    </border>
    <border>
      <left style="dashDot">
        <color indexed="64"/>
      </left>
      <right/>
      <top/>
      <bottom/>
      <diagonal/>
    </border>
    <border>
      <left style="dashDotDot">
        <color rgb="FF00206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ashDot">
        <color indexed="64"/>
      </left>
      <right/>
      <top/>
      <bottom style="thin">
        <color indexed="64"/>
      </bottom>
      <diagonal/>
    </border>
    <border>
      <left/>
      <right style="dashDotDot">
        <color auto="1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dashDot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ashDotDot">
        <color indexed="64"/>
      </right>
      <top style="thin">
        <color indexed="64"/>
      </top>
      <bottom/>
      <diagonal/>
    </border>
    <border>
      <left/>
      <right style="dashDot">
        <color rgb="FF002060"/>
      </right>
      <top/>
      <bottom/>
      <diagonal/>
    </border>
    <border>
      <left/>
      <right style="dashDotDot">
        <color rgb="FF0A3161"/>
      </right>
      <top/>
      <bottom/>
      <diagonal/>
    </border>
    <border>
      <left style="dashDotDot">
        <color rgb="FF002060"/>
      </left>
      <right/>
      <top style="thin">
        <color indexed="64"/>
      </top>
      <bottom style="dashDotDot">
        <color rgb="FF002060"/>
      </bottom>
      <diagonal/>
    </border>
    <border>
      <left/>
      <right/>
      <top style="thin">
        <color indexed="64"/>
      </top>
      <bottom style="dashDotDot">
        <color rgb="FF002060"/>
      </bottom>
      <diagonal/>
    </border>
    <border>
      <left/>
      <right style="dashDotDot">
        <color rgb="FF002060"/>
      </right>
      <top/>
      <bottom style="dashDotDot">
        <color rgb="FF002060"/>
      </bottom>
      <diagonal/>
    </border>
    <border>
      <left style="dashDot">
        <color rgb="FF002060"/>
      </left>
      <right/>
      <top style="thin">
        <color indexed="64"/>
      </top>
      <bottom style="double">
        <color indexed="64"/>
      </bottom>
      <diagonal/>
    </border>
    <border>
      <left style="dashDot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ashDotDot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ashDot">
        <color rgb="FF002060"/>
      </left>
      <right/>
      <top/>
      <bottom style="dashDot">
        <color rgb="FF002060"/>
      </bottom>
      <diagonal/>
    </border>
    <border>
      <left/>
      <right/>
      <top/>
      <bottom style="dashDot">
        <color rgb="FF002060"/>
      </bottom>
      <diagonal/>
    </border>
    <border>
      <left/>
      <right style="dashDotDot">
        <color indexed="64"/>
      </right>
      <top/>
      <bottom style="dashDot">
        <color rgb="FF002060"/>
      </bottom>
      <diagonal/>
    </border>
    <border>
      <left style="dashDotDot">
        <color indexed="64"/>
      </left>
      <right/>
      <top style="thin">
        <color indexed="64"/>
      </top>
      <bottom style="medium">
        <color indexed="64"/>
      </bottom>
      <diagonal/>
    </border>
    <border>
      <left style="dashDotDot">
        <color indexed="64"/>
      </left>
      <right/>
      <top/>
      <bottom/>
      <diagonal/>
    </border>
    <border>
      <left style="dashDotDot">
        <color rgb="FF0A3161"/>
      </left>
      <right style="dashDotDot">
        <color rgb="FF0A316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ashDotDot">
        <color rgb="FF0A3161"/>
      </left>
      <right style="dashDotDot">
        <color rgb="FF0A3161"/>
      </right>
      <top/>
      <bottom/>
      <diagonal/>
    </border>
    <border>
      <left style="dashDotDot">
        <color rgb="FF0A3161"/>
      </left>
      <right style="dashDotDot">
        <color rgb="FF0A3161"/>
      </right>
      <top/>
      <bottom style="thin">
        <color indexed="64"/>
      </bottom>
      <diagonal/>
    </border>
    <border>
      <left style="dashDotDot">
        <color indexed="64"/>
      </left>
      <right/>
      <top style="thin">
        <color indexed="64"/>
      </top>
      <bottom style="double">
        <color indexed="64"/>
      </bottom>
      <diagonal/>
    </border>
    <border>
      <left style="dashDotDot">
        <color rgb="FF0A3161"/>
      </left>
      <right style="dashDotDot">
        <color rgb="FF0A3161"/>
      </right>
      <top style="thin">
        <color indexed="64"/>
      </top>
      <bottom style="double">
        <color indexed="64"/>
      </bottom>
      <diagonal/>
    </border>
    <border>
      <left style="dashDot">
        <color auto="1"/>
      </left>
      <right/>
      <top style="dashDot">
        <color auto="1"/>
      </top>
      <bottom/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  <border>
      <left/>
      <right style="dashDot">
        <color indexed="64"/>
      </right>
      <top/>
      <bottom/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rgb="FF00206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hair">
        <color indexed="64"/>
      </top>
      <bottom style="medium">
        <color indexed="64"/>
      </bottom>
      <diagonal/>
    </border>
    <border>
      <left/>
      <right style="thin">
        <color auto="1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ashDotDot">
        <color rgb="FF002060"/>
      </left>
      <right/>
      <top style="thin">
        <color indexed="64"/>
      </top>
      <bottom/>
      <diagonal/>
    </border>
    <border>
      <left/>
      <right style="dashDotDot">
        <color rgb="FF002060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1">
    <xf numFmtId="0" fontId="0" fillId="0" borderId="0"/>
    <xf numFmtId="9" fontId="22" fillId="0" borderId="0" applyFont="0" applyFill="0" applyBorder="0" applyAlignment="0" applyProtection="0">
      <alignment vertical="top"/>
    </xf>
    <xf numFmtId="0" fontId="1" fillId="0" borderId="0"/>
    <xf numFmtId="43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1" fillId="0" borderId="0"/>
    <xf numFmtId="0" fontId="22" fillId="0" borderId="0">
      <alignment vertical="top"/>
    </xf>
    <xf numFmtId="0" fontId="5" fillId="0" borderId="0"/>
    <xf numFmtId="0" fontId="5" fillId="0" borderId="0"/>
    <xf numFmtId="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48" fillId="0" borderId="0"/>
    <xf numFmtId="0" fontId="1" fillId="0" borderId="0"/>
    <xf numFmtId="0" fontId="1" fillId="0" borderId="0"/>
  </cellStyleXfs>
  <cellXfs count="835">
    <xf numFmtId="0" fontId="0" fillId="0" borderId="0" xfId="0"/>
    <xf numFmtId="0" fontId="2" fillId="2" borderId="0" xfId="2" applyFont="1" applyFill="1"/>
    <xf numFmtId="0" fontId="3" fillId="2" borderId="0" xfId="2" applyFont="1" applyFill="1"/>
    <xf numFmtId="164" fontId="3" fillId="2" borderId="0" xfId="3" applyNumberFormat="1" applyFont="1" applyFill="1"/>
    <xf numFmtId="164" fontId="4" fillId="2" borderId="0" xfId="3" applyNumberFormat="1" applyFont="1" applyFill="1"/>
    <xf numFmtId="0" fontId="3" fillId="0" borderId="0" xfId="2" applyFont="1"/>
    <xf numFmtId="165" fontId="3" fillId="2" borderId="0" xfId="2" applyNumberFormat="1" applyFont="1" applyFill="1" applyAlignment="1">
      <alignment horizontal="left"/>
    </xf>
    <xf numFmtId="0" fontId="3" fillId="2" borderId="1" xfId="4" applyFont="1" applyFill="1" applyBorder="1" applyAlignment="1">
      <alignment vertical="center"/>
    </xf>
    <xf numFmtId="0" fontId="3" fillId="2" borderId="0" xfId="4" applyFont="1" applyFill="1" applyAlignment="1">
      <alignment vertical="center"/>
    </xf>
    <xf numFmtId="14" fontId="6" fillId="2" borderId="0" xfId="4" applyNumberFormat="1" applyFont="1" applyFill="1" applyAlignment="1">
      <alignment vertical="center"/>
    </xf>
    <xf numFmtId="166" fontId="3" fillId="2" borderId="0" xfId="2" applyNumberFormat="1" applyFont="1" applyFill="1" applyAlignment="1">
      <alignment horizontal="left"/>
    </xf>
    <xf numFmtId="0" fontId="7" fillId="2" borderId="0" xfId="2" applyFont="1" applyFill="1"/>
    <xf numFmtId="0" fontId="7" fillId="2" borderId="2" xfId="2" applyFont="1" applyFill="1" applyBorder="1"/>
    <xf numFmtId="9" fontId="8" fillId="2" borderId="2" xfId="5" applyFont="1" applyFill="1" applyBorder="1" applyAlignment="1">
      <alignment horizontal="center" vertical="center"/>
    </xf>
    <xf numFmtId="0" fontId="7" fillId="0" borderId="0" xfId="2" applyFont="1"/>
    <xf numFmtId="167" fontId="9" fillId="3" borderId="3" xfId="4" applyNumberFormat="1" applyFont="1" applyFill="1" applyBorder="1" applyAlignment="1">
      <alignment horizontal="center" vertical="center"/>
    </xf>
    <xf numFmtId="1" fontId="9" fillId="3" borderId="4" xfId="4" applyNumberFormat="1" applyFont="1" applyFill="1" applyBorder="1" applyAlignment="1">
      <alignment horizontal="center" vertical="center"/>
    </xf>
    <xf numFmtId="168" fontId="9" fillId="3" borderId="4" xfId="4" applyNumberFormat="1" applyFont="1" applyFill="1" applyBorder="1" applyAlignment="1">
      <alignment horizontal="center" vertical="center"/>
    </xf>
    <xf numFmtId="0" fontId="7" fillId="2" borderId="5" xfId="2" applyFont="1" applyFill="1" applyBorder="1"/>
    <xf numFmtId="0" fontId="10" fillId="0" borderId="0" xfId="4" applyFont="1" applyAlignment="1">
      <alignment horizontal="left" indent="1"/>
    </xf>
    <xf numFmtId="0" fontId="11" fillId="4" borderId="6" xfId="2" applyFont="1" applyFill="1" applyBorder="1"/>
    <xf numFmtId="0" fontId="7" fillId="4" borderId="7" xfId="2" applyFont="1" applyFill="1" applyBorder="1"/>
    <xf numFmtId="0" fontId="7" fillId="4" borderId="8" xfId="2" applyFont="1" applyFill="1" applyBorder="1"/>
    <xf numFmtId="10" fontId="12" fillId="2" borderId="0" xfId="2" applyNumberFormat="1" applyFont="1" applyFill="1"/>
    <xf numFmtId="0" fontId="13" fillId="2" borderId="9" xfId="2" applyFont="1" applyFill="1" applyBorder="1" applyAlignment="1">
      <alignment vertical="center"/>
    </xf>
    <xf numFmtId="169" fontId="13" fillId="2" borderId="10" xfId="4" applyNumberFormat="1" applyFont="1" applyFill="1" applyBorder="1" applyAlignment="1">
      <alignment horizontal="center" vertical="center"/>
    </xf>
    <xf numFmtId="0" fontId="6" fillId="2" borderId="11" xfId="4" applyFont="1" applyFill="1" applyBorder="1" applyAlignment="1">
      <alignment horizontal="center"/>
    </xf>
    <xf numFmtId="0" fontId="6" fillId="2" borderId="0" xfId="4" applyFont="1" applyFill="1" applyAlignment="1">
      <alignment horizontal="center"/>
    </xf>
    <xf numFmtId="0" fontId="13" fillId="2" borderId="0" xfId="4" quotePrefix="1" applyFont="1" applyFill="1" applyAlignment="1">
      <alignment horizontal="center"/>
    </xf>
    <xf numFmtId="0" fontId="6" fillId="2" borderId="12" xfId="4" applyFont="1" applyFill="1" applyBorder="1" applyAlignment="1">
      <alignment horizontal="center"/>
    </xf>
    <xf numFmtId="0" fontId="6" fillId="2" borderId="0" xfId="2" applyFont="1" applyFill="1"/>
    <xf numFmtId="0" fontId="14" fillId="0" borderId="0" xfId="4" applyFont="1" applyAlignment="1">
      <alignment horizontal="left" indent="1"/>
    </xf>
    <xf numFmtId="170" fontId="12" fillId="0" borderId="0" xfId="2" applyNumberFormat="1" applyFont="1"/>
    <xf numFmtId="0" fontId="6" fillId="0" borderId="0" xfId="2" applyFont="1"/>
    <xf numFmtId="0" fontId="3" fillId="4" borderId="13" xfId="2" applyFont="1" applyFill="1" applyBorder="1"/>
    <xf numFmtId="10" fontId="3" fillId="4" borderId="0" xfId="2" applyNumberFormat="1" applyFont="1" applyFill="1" applyAlignment="1">
      <alignment horizontal="center"/>
    </xf>
    <xf numFmtId="0" fontId="3" fillId="4" borderId="14" xfId="2" applyFont="1" applyFill="1" applyBorder="1"/>
    <xf numFmtId="0" fontId="15" fillId="2" borderId="0" xfId="2" applyFont="1" applyFill="1"/>
    <xf numFmtId="0" fontId="16" fillId="2" borderId="9" xfId="2" applyFont="1" applyFill="1" applyBorder="1"/>
    <xf numFmtId="171" fontId="17" fillId="2" borderId="15" xfId="4" applyNumberFormat="1" applyFont="1" applyFill="1" applyBorder="1" applyAlignment="1">
      <alignment horizontal="right"/>
    </xf>
    <xf numFmtId="171" fontId="17" fillId="2" borderId="12" xfId="4" applyNumberFormat="1" applyFont="1" applyFill="1" applyBorder="1" applyAlignment="1">
      <alignment horizontal="center"/>
    </xf>
    <xf numFmtId="171" fontId="17" fillId="2" borderId="0" xfId="4" applyNumberFormat="1" applyFont="1" applyFill="1" applyAlignment="1">
      <alignment horizontal="center"/>
    </xf>
    <xf numFmtId="171" fontId="17" fillId="2" borderId="0" xfId="4" applyNumberFormat="1" applyFont="1" applyFill="1" applyAlignment="1">
      <alignment horizontal="right"/>
    </xf>
    <xf numFmtId="171" fontId="17" fillId="2" borderId="12" xfId="4" applyNumberFormat="1" applyFont="1" applyFill="1" applyBorder="1" applyAlignment="1">
      <alignment horizontal="right"/>
    </xf>
    <xf numFmtId="0" fontId="18" fillId="2" borderId="0" xfId="2" applyFont="1" applyFill="1"/>
    <xf numFmtId="0" fontId="19" fillId="0" borderId="0" xfId="4" applyFont="1" applyAlignment="1">
      <alignment horizontal="left" indent="1"/>
    </xf>
    <xf numFmtId="170" fontId="8" fillId="0" borderId="0" xfId="5" applyNumberFormat="1" applyFont="1" applyFill="1" applyBorder="1" applyAlignment="1">
      <alignment horizontal="center" vertical="center"/>
    </xf>
    <xf numFmtId="0" fontId="18" fillId="0" borderId="0" xfId="2" applyFont="1"/>
    <xf numFmtId="172" fontId="3" fillId="4" borderId="0" xfId="4" applyNumberFormat="1" applyFont="1" applyFill="1" applyAlignment="1">
      <alignment horizontal="right" vertical="center"/>
    </xf>
    <xf numFmtId="173" fontId="3" fillId="4" borderId="14" xfId="6" applyNumberFormat="1" applyFont="1" applyFill="1" applyBorder="1"/>
    <xf numFmtId="174" fontId="17" fillId="2" borderId="15" xfId="4" applyNumberFormat="1" applyFont="1" applyFill="1" applyBorder="1" applyAlignment="1">
      <alignment horizontal="right"/>
    </xf>
    <xf numFmtId="174" fontId="17" fillId="2" borderId="12" xfId="4" applyNumberFormat="1" applyFont="1" applyFill="1" applyBorder="1" applyAlignment="1">
      <alignment horizontal="center"/>
    </xf>
    <xf numFmtId="174" fontId="17" fillId="2" borderId="0" xfId="4" applyNumberFormat="1" applyFont="1" applyFill="1" applyAlignment="1">
      <alignment horizontal="center"/>
    </xf>
    <xf numFmtId="174" fontId="17" fillId="2" borderId="0" xfId="4" applyNumberFormat="1" applyFont="1" applyFill="1" applyAlignment="1">
      <alignment horizontal="right"/>
    </xf>
    <xf numFmtId="174" fontId="17" fillId="2" borderId="12" xfId="4" applyNumberFormat="1" applyFont="1" applyFill="1" applyBorder="1" applyAlignment="1">
      <alignment horizontal="right"/>
    </xf>
    <xf numFmtId="0" fontId="3" fillId="4" borderId="16" xfId="2" applyFont="1" applyFill="1" applyBorder="1"/>
    <xf numFmtId="172" fontId="3" fillId="4" borderId="17" xfId="4" applyNumberFormat="1" applyFont="1" applyFill="1" applyBorder="1" applyAlignment="1">
      <alignment horizontal="right" vertical="center"/>
    </xf>
    <xf numFmtId="10" fontId="12" fillId="4" borderId="14" xfId="2" applyNumberFormat="1" applyFont="1" applyFill="1" applyBorder="1"/>
    <xf numFmtId="0" fontId="7" fillId="2" borderId="9" xfId="2" applyFont="1" applyFill="1" applyBorder="1"/>
    <xf numFmtId="0" fontId="20" fillId="2" borderId="15" xfId="4" applyFont="1" applyFill="1" applyBorder="1" applyAlignment="1">
      <alignment horizontal="center" vertical="center" wrapText="1"/>
    </xf>
    <xf numFmtId="0" fontId="20" fillId="2" borderId="0" xfId="4" applyFont="1" applyFill="1" applyAlignment="1">
      <alignment horizontal="center" vertical="center" wrapText="1"/>
    </xf>
    <xf numFmtId="0" fontId="20" fillId="2" borderId="12" xfId="4" applyFont="1" applyFill="1" applyBorder="1" applyAlignment="1">
      <alignment horizontal="center" vertical="center" wrapText="1"/>
    </xf>
    <xf numFmtId="0" fontId="20" fillId="4" borderId="13" xfId="2" applyFont="1" applyFill="1" applyBorder="1"/>
    <xf numFmtId="172" fontId="20" fillId="4" borderId="0" xfId="4" applyNumberFormat="1" applyFont="1" applyFill="1" applyAlignment="1">
      <alignment horizontal="right" vertical="center"/>
    </xf>
    <xf numFmtId="0" fontId="15" fillId="4" borderId="14" xfId="2" applyFont="1" applyFill="1" applyBorder="1"/>
    <xf numFmtId="0" fontId="10" fillId="2" borderId="9" xfId="4" applyFont="1" applyFill="1" applyBorder="1"/>
    <xf numFmtId="37" fontId="20" fillId="2" borderId="15" xfId="4" applyNumberFormat="1" applyFont="1" applyFill="1" applyBorder="1" applyAlignment="1">
      <alignment vertical="center"/>
    </xf>
    <xf numFmtId="171" fontId="20" fillId="2" borderId="0" xfId="4" applyNumberFormat="1" applyFont="1" applyFill="1" applyAlignment="1">
      <alignment vertical="center"/>
    </xf>
    <xf numFmtId="37" fontId="20" fillId="2" borderId="0" xfId="4" applyNumberFormat="1" applyFont="1" applyFill="1" applyAlignment="1">
      <alignment vertical="center"/>
    </xf>
    <xf numFmtId="37" fontId="20" fillId="2" borderId="12" xfId="4" applyNumberFormat="1" applyFont="1" applyFill="1" applyBorder="1" applyAlignment="1">
      <alignment vertical="center"/>
    </xf>
    <xf numFmtId="0" fontId="19" fillId="2" borderId="9" xfId="4" applyFont="1" applyFill="1" applyBorder="1" applyAlignment="1">
      <alignment horizontal="left" indent="1"/>
    </xf>
    <xf numFmtId="37" fontId="3" fillId="2" borderId="15" xfId="4" applyNumberFormat="1" applyFont="1" applyFill="1" applyBorder="1" applyAlignment="1">
      <alignment vertical="center"/>
    </xf>
    <xf numFmtId="170" fontId="23" fillId="2" borderId="12" xfId="1" applyNumberFormat="1" applyFont="1" applyFill="1" applyBorder="1" applyAlignment="1">
      <alignment horizontal="center" vertical="center"/>
    </xf>
    <xf numFmtId="172" fontId="3" fillId="2" borderId="0" xfId="4" applyNumberFormat="1" applyFont="1" applyFill="1" applyAlignment="1">
      <alignment vertical="center"/>
    </xf>
    <xf numFmtId="37" fontId="3" fillId="2" borderId="0" xfId="4" applyNumberFormat="1" applyFont="1" applyFill="1" applyAlignment="1">
      <alignment vertical="center"/>
    </xf>
    <xf numFmtId="37" fontId="3" fillId="2" borderId="12" xfId="4" applyNumberFormat="1" applyFont="1" applyFill="1" applyBorder="1" applyAlignment="1">
      <alignment vertical="center"/>
    </xf>
    <xf numFmtId="9" fontId="7" fillId="4" borderId="14" xfId="5" applyFont="1" applyFill="1" applyBorder="1" applyAlignment="1">
      <alignment horizontal="center"/>
    </xf>
    <xf numFmtId="0" fontId="20" fillId="2" borderId="0" xfId="2" applyFont="1" applyFill="1"/>
    <xf numFmtId="37" fontId="3" fillId="2" borderId="18" xfId="4" applyNumberFormat="1" applyFont="1" applyFill="1" applyBorder="1" applyAlignment="1">
      <alignment vertical="center"/>
    </xf>
    <xf numFmtId="170" fontId="23" fillId="2" borderId="19" xfId="1" applyNumberFormat="1" applyFont="1" applyFill="1" applyBorder="1" applyAlignment="1">
      <alignment horizontal="center" vertical="center"/>
    </xf>
    <xf numFmtId="172" fontId="3" fillId="2" borderId="17" xfId="4" applyNumberFormat="1" applyFont="1" applyFill="1" applyBorder="1" applyAlignment="1">
      <alignment vertical="center"/>
    </xf>
    <xf numFmtId="37" fontId="3" fillId="2" borderId="17" xfId="4" applyNumberFormat="1" applyFont="1" applyFill="1" applyBorder="1" applyAlignment="1">
      <alignment vertical="center"/>
    </xf>
    <xf numFmtId="37" fontId="3" fillId="2" borderId="19" xfId="4" applyNumberFormat="1" applyFont="1" applyFill="1" applyBorder="1" applyAlignment="1">
      <alignment vertical="center"/>
    </xf>
    <xf numFmtId="0" fontId="24" fillId="2" borderId="0" xfId="2" applyFont="1" applyFill="1"/>
    <xf numFmtId="0" fontId="24" fillId="0" borderId="0" xfId="2" applyFont="1"/>
    <xf numFmtId="9" fontId="25" fillId="2" borderId="12" xfId="1" applyFont="1" applyFill="1" applyBorder="1" applyAlignment="1">
      <alignment horizontal="center" vertical="center"/>
    </xf>
    <xf numFmtId="10" fontId="8" fillId="0" borderId="0" xfId="2" applyNumberFormat="1" applyFont="1" applyAlignment="1">
      <alignment horizontal="center"/>
    </xf>
    <xf numFmtId="172" fontId="20" fillId="4" borderId="0" xfId="4" applyNumberFormat="1" applyFont="1" applyFill="1" applyAlignment="1">
      <alignment vertical="center"/>
    </xf>
    <xf numFmtId="0" fontId="7" fillId="4" borderId="13" xfId="2" applyFont="1" applyFill="1" applyBorder="1"/>
    <xf numFmtId="0" fontId="7" fillId="4" borderId="0" xfId="2" applyFont="1" applyFill="1"/>
    <xf numFmtId="0" fontId="7" fillId="4" borderId="14" xfId="2" applyFont="1" applyFill="1" applyBorder="1"/>
    <xf numFmtId="0" fontId="10" fillId="2" borderId="9" xfId="4" applyFont="1" applyFill="1" applyBorder="1" applyAlignment="1">
      <alignment horizontal="left"/>
    </xf>
    <xf numFmtId="37" fontId="20" fillId="2" borderId="21" xfId="4" applyNumberFormat="1" applyFont="1" applyFill="1" applyBorder="1" applyAlignment="1">
      <alignment vertical="center"/>
    </xf>
    <xf numFmtId="171" fontId="20" fillId="2" borderId="22" xfId="4" applyNumberFormat="1" applyFont="1" applyFill="1" applyBorder="1" applyAlignment="1">
      <alignment vertical="center"/>
    </xf>
    <xf numFmtId="37" fontId="20" fillId="2" borderId="22" xfId="4" applyNumberFormat="1" applyFont="1" applyFill="1" applyBorder="1" applyAlignment="1">
      <alignment vertical="center"/>
    </xf>
    <xf numFmtId="37" fontId="20" fillId="2" borderId="23" xfId="4" applyNumberFormat="1" applyFont="1" applyFill="1" applyBorder="1" applyAlignment="1">
      <alignment vertical="center"/>
    </xf>
    <xf numFmtId="0" fontId="11" fillId="4" borderId="13" xfId="2" applyFont="1" applyFill="1" applyBorder="1"/>
    <xf numFmtId="172" fontId="3" fillId="4" borderId="0" xfId="4" applyNumberFormat="1" applyFont="1" applyFill="1" applyAlignment="1">
      <alignment vertical="center"/>
    </xf>
    <xf numFmtId="171" fontId="25" fillId="2" borderId="12" xfId="4" applyNumberFormat="1" applyFont="1" applyFill="1" applyBorder="1" applyAlignment="1">
      <alignment horizontal="center" vertical="center"/>
    </xf>
    <xf numFmtId="37" fontId="3" fillId="2" borderId="15" xfId="4" applyNumberFormat="1" applyFont="1" applyFill="1" applyBorder="1"/>
    <xf numFmtId="172" fontId="21" fillId="2" borderId="12" xfId="4" applyNumberFormat="1" applyFont="1" applyFill="1" applyBorder="1" applyAlignment="1">
      <alignment horizontal="center"/>
    </xf>
    <xf numFmtId="172" fontId="3" fillId="2" borderId="0" xfId="4" applyNumberFormat="1" applyFont="1" applyFill="1"/>
    <xf numFmtId="37" fontId="3" fillId="2" borderId="0" xfId="4" applyNumberFormat="1" applyFont="1" applyFill="1"/>
    <xf numFmtId="37" fontId="3" fillId="2" borderId="12" xfId="4" applyNumberFormat="1" applyFont="1" applyFill="1" applyBorder="1"/>
    <xf numFmtId="0" fontId="7" fillId="0" borderId="0" xfId="2" applyFont="1" applyAlignment="1">
      <alignment horizontal="center"/>
    </xf>
    <xf numFmtId="171" fontId="3" fillId="2" borderId="0" xfId="4" applyNumberFormat="1" applyFont="1" applyFill="1" applyAlignment="1">
      <alignment vertical="center"/>
    </xf>
    <xf numFmtId="0" fontId="3" fillId="2" borderId="24" xfId="2" applyFont="1" applyFill="1" applyBorder="1"/>
    <xf numFmtId="10" fontId="3" fillId="4" borderId="25" xfId="2" applyNumberFormat="1" applyFont="1" applyFill="1" applyBorder="1" applyAlignment="1">
      <alignment horizontal="center"/>
    </xf>
    <xf numFmtId="0" fontId="3" fillId="4" borderId="26" xfId="2" applyFont="1" applyFill="1" applyBorder="1"/>
    <xf numFmtId="172" fontId="3" fillId="4" borderId="27" xfId="2" applyNumberFormat="1" applyFont="1" applyFill="1" applyBorder="1"/>
    <xf numFmtId="0" fontId="3" fillId="4" borderId="28" xfId="2" applyFont="1" applyFill="1" applyBorder="1"/>
    <xf numFmtId="172" fontId="3" fillId="0" borderId="0" xfId="4" applyNumberFormat="1" applyFont="1" applyAlignment="1">
      <alignment horizontal="center" vertical="center"/>
    </xf>
    <xf numFmtId="10" fontId="3" fillId="0" borderId="0" xfId="2" applyNumberFormat="1" applyFont="1" applyAlignment="1">
      <alignment horizontal="center"/>
    </xf>
    <xf numFmtId="172" fontId="7" fillId="0" borderId="0" xfId="2" applyNumberFormat="1" applyFont="1"/>
    <xf numFmtId="0" fontId="10" fillId="2" borderId="9" xfId="4" applyFont="1" applyFill="1" applyBorder="1" applyAlignment="1">
      <alignment horizontal="left" indent="1"/>
    </xf>
    <xf numFmtId="0" fontId="3" fillId="2" borderId="0" xfId="4" applyFont="1" applyFill="1"/>
    <xf numFmtId="9" fontId="7" fillId="0" borderId="0" xfId="1" applyFont="1" applyAlignment="1"/>
    <xf numFmtId="171" fontId="25" fillId="2" borderId="12" xfId="4" applyNumberFormat="1" applyFont="1" applyFill="1" applyBorder="1" applyAlignment="1">
      <alignment vertical="center"/>
    </xf>
    <xf numFmtId="172" fontId="3" fillId="0" borderId="0" xfId="4" applyNumberFormat="1" applyFont="1" applyAlignment="1">
      <alignment horizontal="right" vertical="center"/>
    </xf>
    <xf numFmtId="164" fontId="7" fillId="0" borderId="0" xfId="7" applyNumberFormat="1" applyFont="1"/>
    <xf numFmtId="0" fontId="10" fillId="4" borderId="29" xfId="4" applyFont="1" applyFill="1" applyBorder="1"/>
    <xf numFmtId="37" fontId="10" fillId="4" borderId="30" xfId="4" applyNumberFormat="1" applyFont="1" applyFill="1" applyBorder="1"/>
    <xf numFmtId="171" fontId="26" fillId="4" borderId="31" xfId="4" applyNumberFormat="1" applyFont="1" applyFill="1" applyBorder="1"/>
    <xf numFmtId="171" fontId="10" fillId="4" borderId="32" xfId="4" applyNumberFormat="1" applyFont="1" applyFill="1" applyBorder="1"/>
    <xf numFmtId="37" fontId="10" fillId="4" borderId="32" xfId="4" applyNumberFormat="1" applyFont="1" applyFill="1" applyBorder="1"/>
    <xf numFmtId="37" fontId="10" fillId="4" borderId="31" xfId="4" applyNumberFormat="1" applyFont="1" applyFill="1" applyBorder="1"/>
    <xf numFmtId="0" fontId="27" fillId="2" borderId="9" xfId="2" applyFont="1" applyFill="1" applyBorder="1" applyAlignment="1">
      <alignment vertical="top"/>
    </xf>
    <xf numFmtId="0" fontId="16" fillId="2" borderId="0" xfId="2" applyFont="1" applyFill="1"/>
    <xf numFmtId="170" fontId="27" fillId="2" borderId="0" xfId="5" applyNumberFormat="1" applyFont="1" applyFill="1" applyBorder="1" applyAlignment="1">
      <alignment horizontal="center" vertical="top"/>
    </xf>
    <xf numFmtId="170" fontId="27" fillId="2" borderId="12" xfId="5" applyNumberFormat="1" applyFont="1" applyFill="1" applyBorder="1" applyAlignment="1">
      <alignment horizontal="center" vertical="top"/>
    </xf>
    <xf numFmtId="172" fontId="7" fillId="2" borderId="0" xfId="2" applyNumberFormat="1" applyFont="1" applyFill="1"/>
    <xf numFmtId="0" fontId="18" fillId="2" borderId="9" xfId="2" applyFont="1" applyFill="1" applyBorder="1"/>
    <xf numFmtId="172" fontId="15" fillId="2" borderId="0" xfId="4" applyNumberFormat="1" applyFont="1" applyFill="1" applyAlignment="1">
      <alignment vertical="center"/>
    </xf>
    <xf numFmtId="171" fontId="15" fillId="2" borderId="0" xfId="4" applyNumberFormat="1" applyFont="1" applyFill="1" applyAlignment="1">
      <alignment vertical="center"/>
    </xf>
    <xf numFmtId="171" fontId="15" fillId="2" borderId="12" xfId="4" applyNumberFormat="1" applyFont="1" applyFill="1" applyBorder="1" applyAlignment="1">
      <alignment vertical="center"/>
    </xf>
    <xf numFmtId="0" fontId="27" fillId="2" borderId="9" xfId="2" applyFont="1" applyFill="1" applyBorder="1"/>
    <xf numFmtId="175" fontId="27" fillId="2" borderId="0" xfId="4" applyNumberFormat="1" applyFont="1" applyFill="1" applyAlignment="1">
      <alignment horizontal="center" vertical="center"/>
    </xf>
    <xf numFmtId="175" fontId="27" fillId="2" borderId="12" xfId="4" applyNumberFormat="1" applyFont="1" applyFill="1" applyBorder="1" applyAlignment="1">
      <alignment horizontal="center" vertical="center"/>
    </xf>
    <xf numFmtId="0" fontId="7" fillId="2" borderId="12" xfId="2" applyFont="1" applyFill="1" applyBorder="1"/>
    <xf numFmtId="171" fontId="10" fillId="2" borderId="0" xfId="4" applyNumberFormat="1" applyFont="1" applyFill="1"/>
    <xf numFmtId="171" fontId="10" fillId="2" borderId="12" xfId="4" applyNumberFormat="1" applyFont="1" applyFill="1" applyBorder="1"/>
    <xf numFmtId="0" fontId="28" fillId="2" borderId="9" xfId="2" applyFont="1" applyFill="1" applyBorder="1"/>
    <xf numFmtId="172" fontId="28" fillId="2" borderId="0" xfId="2" applyNumberFormat="1" applyFont="1" applyFill="1"/>
    <xf numFmtId="172" fontId="28" fillId="2" borderId="12" xfId="2" applyNumberFormat="1" applyFont="1" applyFill="1" applyBorder="1"/>
    <xf numFmtId="0" fontId="28" fillId="2" borderId="33" xfId="2" applyFont="1" applyFill="1" applyBorder="1"/>
    <xf numFmtId="170" fontId="28" fillId="2" borderId="34" xfId="5" applyNumberFormat="1" applyFont="1" applyFill="1" applyBorder="1" applyAlignment="1">
      <alignment horizontal="center"/>
    </xf>
    <xf numFmtId="170" fontId="28" fillId="2" borderId="35" xfId="5" applyNumberFormat="1" applyFont="1" applyFill="1" applyBorder="1" applyAlignment="1">
      <alignment horizontal="center"/>
    </xf>
    <xf numFmtId="167" fontId="9" fillId="3" borderId="36" xfId="4" applyNumberFormat="1" applyFont="1" applyFill="1" applyBorder="1" applyAlignment="1">
      <alignment horizontal="left" vertical="center"/>
    </xf>
    <xf numFmtId="167" fontId="9" fillId="3" borderId="4" xfId="4" applyNumberFormat="1" applyFont="1" applyFill="1" applyBorder="1" applyAlignment="1">
      <alignment horizontal="center" vertical="center"/>
    </xf>
    <xf numFmtId="0" fontId="19" fillId="2" borderId="37" xfId="8" applyFont="1" applyFill="1" applyBorder="1"/>
    <xf numFmtId="172" fontId="7" fillId="2" borderId="38" xfId="2" applyNumberFormat="1" applyFont="1" applyFill="1" applyBorder="1"/>
    <xf numFmtId="172" fontId="3" fillId="2" borderId="0" xfId="4" applyNumberFormat="1" applyFont="1" applyFill="1" applyAlignment="1">
      <alignment horizontal="center" vertical="center"/>
    </xf>
    <xf numFmtId="172" fontId="3" fillId="2" borderId="12" xfId="4" applyNumberFormat="1" applyFont="1" applyFill="1" applyBorder="1" applyAlignment="1">
      <alignment vertical="center"/>
    </xf>
    <xf numFmtId="172" fontId="3" fillId="2" borderId="39" xfId="4" applyNumberFormat="1" applyFont="1" applyFill="1" applyBorder="1" applyAlignment="1">
      <alignment vertical="center"/>
    </xf>
    <xf numFmtId="172" fontId="7" fillId="2" borderId="40" xfId="2" applyNumberFormat="1" applyFont="1" applyFill="1" applyBorder="1"/>
    <xf numFmtId="172" fontId="7" fillId="2" borderId="41" xfId="2" applyNumberFormat="1" applyFont="1" applyFill="1" applyBorder="1"/>
    <xf numFmtId="172" fontId="3" fillId="2" borderId="19" xfId="4" applyNumberFormat="1" applyFont="1" applyFill="1" applyBorder="1" applyAlignment="1">
      <alignment vertical="center"/>
    </xf>
    <xf numFmtId="0" fontId="10" fillId="2" borderId="42" xfId="8" applyFont="1" applyFill="1" applyBorder="1"/>
    <xf numFmtId="0" fontId="24" fillId="2" borderId="32" xfId="2" applyFont="1" applyFill="1" applyBorder="1"/>
    <xf numFmtId="172" fontId="24" fillId="2" borderId="43" xfId="2" applyNumberFormat="1" applyFont="1" applyFill="1" applyBorder="1"/>
    <xf numFmtId="172" fontId="20" fillId="2" borderId="32" xfId="4" applyNumberFormat="1" applyFont="1" applyFill="1" applyBorder="1" applyAlignment="1">
      <alignment horizontal="center" vertical="center"/>
    </xf>
    <xf numFmtId="172" fontId="20" fillId="2" borderId="32" xfId="4" applyNumberFormat="1" applyFont="1" applyFill="1" applyBorder="1" applyAlignment="1">
      <alignment vertical="center"/>
    </xf>
    <xf numFmtId="172" fontId="20" fillId="2" borderId="31" xfId="4" applyNumberFormat="1" applyFont="1" applyFill="1" applyBorder="1" applyAlignment="1">
      <alignment vertical="center"/>
    </xf>
    <xf numFmtId="0" fontId="10" fillId="2" borderId="0" xfId="8" applyFont="1" applyFill="1"/>
    <xf numFmtId="0" fontId="20" fillId="2" borderId="44" xfId="2" applyFont="1" applyFill="1" applyBorder="1"/>
    <xf numFmtId="0" fontId="24" fillId="2" borderId="45" xfId="2" applyFont="1" applyFill="1" applyBorder="1"/>
    <xf numFmtId="170" fontId="3" fillId="2" borderId="46" xfId="2" applyNumberFormat="1" applyFont="1" applyFill="1" applyBorder="1" applyAlignment="1">
      <alignment horizontal="right"/>
    </xf>
    <xf numFmtId="0" fontId="20" fillId="2" borderId="15" xfId="2" applyFont="1" applyFill="1" applyBorder="1"/>
    <xf numFmtId="176" fontId="3" fillId="2" borderId="47" xfId="2" applyNumberFormat="1" applyFont="1" applyFill="1" applyBorder="1" applyAlignment="1">
      <alignment horizontal="right"/>
    </xf>
    <xf numFmtId="170" fontId="3" fillId="2" borderId="47" xfId="2" applyNumberFormat="1" applyFont="1" applyFill="1" applyBorder="1" applyAlignment="1">
      <alignment horizontal="right"/>
    </xf>
    <xf numFmtId="5" fontId="3" fillId="2" borderId="47" xfId="2" applyNumberFormat="1" applyFont="1" applyFill="1" applyBorder="1"/>
    <xf numFmtId="0" fontId="29" fillId="2" borderId="15" xfId="2" applyFont="1" applyFill="1" applyBorder="1" applyAlignment="1">
      <alignment horizontal="left" indent="1"/>
    </xf>
    <xf numFmtId="0" fontId="29" fillId="2" borderId="0" xfId="2" applyFont="1" applyFill="1"/>
    <xf numFmtId="170" fontId="30" fillId="2" borderId="47" xfId="2" applyNumberFormat="1" applyFont="1" applyFill="1" applyBorder="1" applyAlignment="1">
      <alignment horizontal="right"/>
    </xf>
    <xf numFmtId="0" fontId="29" fillId="2" borderId="48" xfId="2" applyFont="1" applyFill="1" applyBorder="1" applyAlignment="1">
      <alignment horizontal="left" indent="1"/>
    </xf>
    <xf numFmtId="0" fontId="29" fillId="2" borderId="49" xfId="2" applyFont="1" applyFill="1" applyBorder="1"/>
    <xf numFmtId="170" fontId="30" fillId="2" borderId="50" xfId="2" applyNumberFormat="1" applyFont="1" applyFill="1" applyBorder="1" applyAlignment="1">
      <alignment horizontal="right"/>
    </xf>
    <xf numFmtId="170" fontId="3" fillId="2" borderId="0" xfId="2" applyNumberFormat="1" applyFont="1" applyFill="1" applyAlignment="1">
      <alignment horizontal="right"/>
    </xf>
    <xf numFmtId="0" fontId="7" fillId="0" borderId="0" xfId="9" applyFont="1" applyAlignment="1"/>
    <xf numFmtId="0" fontId="32" fillId="0" borderId="0" xfId="9" applyFont="1" applyAlignment="1"/>
    <xf numFmtId="0" fontId="3" fillId="0" borderId="0" xfId="9" applyFont="1" applyAlignment="1"/>
    <xf numFmtId="0" fontId="20" fillId="0" borderId="0" xfId="10" applyFont="1" applyAlignment="1">
      <alignment horizontal="left"/>
    </xf>
    <xf numFmtId="0" fontId="33" fillId="0" borderId="0" xfId="10" applyFont="1" applyAlignment="1">
      <alignment horizontal="left"/>
    </xf>
    <xf numFmtId="0" fontId="23" fillId="0" borderId="0" xfId="4" applyFont="1"/>
    <xf numFmtId="0" fontId="3" fillId="0" borderId="0" xfId="4" applyFont="1"/>
    <xf numFmtId="0" fontId="3" fillId="0" borderId="0" xfId="10" applyFont="1" applyAlignment="1">
      <alignment horizontal="right"/>
    </xf>
    <xf numFmtId="0" fontId="3" fillId="0" borderId="1" xfId="10" applyFont="1" applyBorder="1"/>
    <xf numFmtId="0" fontId="23" fillId="0" borderId="1" xfId="4" applyFont="1" applyBorder="1" applyAlignment="1">
      <alignment vertical="center"/>
    </xf>
    <xf numFmtId="0" fontId="3" fillId="0" borderId="1" xfId="4" applyFont="1" applyBorder="1" applyAlignment="1">
      <alignment vertical="center"/>
    </xf>
    <xf numFmtId="14" fontId="3" fillId="0" borderId="1" xfId="10" applyNumberFormat="1" applyFont="1" applyBorder="1" applyAlignment="1">
      <alignment horizontal="right"/>
    </xf>
    <xf numFmtId="0" fontId="3" fillId="0" borderId="0" xfId="4" applyFont="1" applyAlignment="1">
      <alignment vertical="center"/>
    </xf>
    <xf numFmtId="0" fontId="23" fillId="0" borderId="0" xfId="4" applyFont="1" applyAlignment="1">
      <alignment vertical="center"/>
    </xf>
    <xf numFmtId="167" fontId="9" fillId="3" borderId="3" xfId="4" applyNumberFormat="1" applyFont="1" applyFill="1" applyBorder="1" applyAlignment="1">
      <alignment horizontal="left" vertical="center"/>
    </xf>
    <xf numFmtId="0" fontId="6" fillId="0" borderId="0" xfId="9" applyFont="1" applyAlignment="1"/>
    <xf numFmtId="0" fontId="6" fillId="0" borderId="0" xfId="4" applyFont="1"/>
    <xf numFmtId="0" fontId="34" fillId="0" borderId="0" xfId="9" applyFont="1" applyAlignment="1"/>
    <xf numFmtId="0" fontId="6" fillId="0" borderId="0" xfId="4" applyFont="1" applyAlignment="1">
      <alignment horizontal="center"/>
    </xf>
    <xf numFmtId="0" fontId="18" fillId="0" borderId="0" xfId="9" applyFont="1" applyAlignment="1"/>
    <xf numFmtId="0" fontId="15" fillId="0" borderId="0" xfId="4" applyFont="1"/>
    <xf numFmtId="0" fontId="35" fillId="0" borderId="0" xfId="4" applyFont="1"/>
    <xf numFmtId="0" fontId="15" fillId="0" borderId="0" xfId="4" applyFont="1" applyAlignment="1">
      <alignment horizontal="center"/>
    </xf>
    <xf numFmtId="0" fontId="17" fillId="0" borderId="17" xfId="4" applyFont="1" applyBorder="1" applyAlignment="1">
      <alignment horizontal="right"/>
    </xf>
    <xf numFmtId="178" fontId="31" fillId="0" borderId="17" xfId="4" applyNumberFormat="1" applyFont="1" applyBorder="1" applyAlignment="1">
      <alignment horizontal="center"/>
    </xf>
    <xf numFmtId="0" fontId="10" fillId="0" borderId="0" xfId="4" applyFont="1" applyAlignment="1">
      <alignment horizontal="center"/>
    </xf>
    <xf numFmtId="0" fontId="24" fillId="5" borderId="0" xfId="9" applyFont="1" applyFill="1" applyAlignment="1"/>
    <xf numFmtId="0" fontId="20" fillId="0" borderId="0" xfId="4" applyFont="1" applyAlignment="1">
      <alignment horizontal="center" vertical="center" wrapText="1"/>
    </xf>
    <xf numFmtId="0" fontId="24" fillId="0" borderId="0" xfId="9" applyFont="1" applyAlignment="1"/>
    <xf numFmtId="0" fontId="10" fillId="0" borderId="0" xfId="4" applyFont="1"/>
    <xf numFmtId="171" fontId="20" fillId="0" borderId="0" xfId="4" applyNumberFormat="1" applyFont="1" applyAlignment="1">
      <alignment vertical="center"/>
    </xf>
    <xf numFmtId="174" fontId="20" fillId="0" borderId="0" xfId="4" applyNumberFormat="1" applyFont="1" applyAlignment="1">
      <alignment vertical="center"/>
    </xf>
    <xf numFmtId="170" fontId="23" fillId="0" borderId="0" xfId="1" applyNumberFormat="1" applyFont="1" applyFill="1" applyBorder="1" applyAlignment="1" applyProtection="1">
      <alignment horizontal="center"/>
    </xf>
    <xf numFmtId="172" fontId="3" fillId="0" borderId="0" xfId="4" applyNumberFormat="1" applyFont="1" applyAlignment="1">
      <alignment vertical="center"/>
    </xf>
    <xf numFmtId="174" fontId="3" fillId="0" borderId="0" xfId="4" applyNumberFormat="1" applyFont="1" applyAlignment="1">
      <alignment vertical="center"/>
    </xf>
    <xf numFmtId="172" fontId="3" fillId="0" borderId="17" xfId="4" applyNumberFormat="1" applyFont="1" applyBorder="1" applyAlignment="1">
      <alignment vertical="center"/>
    </xf>
    <xf numFmtId="174" fontId="3" fillId="0" borderId="17" xfId="4" applyNumberFormat="1" applyFont="1" applyBorder="1" applyAlignment="1">
      <alignment vertical="center"/>
    </xf>
    <xf numFmtId="0" fontId="10" fillId="0" borderId="0" xfId="4" applyFont="1" applyAlignment="1">
      <alignment horizontal="left"/>
    </xf>
    <xf numFmtId="171" fontId="20" fillId="0" borderId="22" xfId="4" applyNumberFormat="1" applyFont="1" applyBorder="1" applyAlignment="1">
      <alignment vertical="center"/>
    </xf>
    <xf numFmtId="174" fontId="20" fillId="0" borderId="22" xfId="4" applyNumberFormat="1" applyFont="1" applyBorder="1" applyAlignment="1">
      <alignment vertical="center"/>
    </xf>
    <xf numFmtId="172" fontId="3" fillId="0" borderId="0" xfId="4" applyNumberFormat="1" applyFont="1"/>
    <xf numFmtId="174" fontId="3" fillId="0" borderId="0" xfId="4" applyNumberFormat="1" applyFont="1"/>
    <xf numFmtId="0" fontId="19" fillId="0" borderId="0" xfId="4" applyFont="1" applyAlignment="1">
      <alignment horizontal="left" indent="2"/>
    </xf>
    <xf numFmtId="171" fontId="3" fillId="0" borderId="0" xfId="4" applyNumberFormat="1" applyFont="1" applyAlignment="1">
      <alignment vertical="center"/>
    </xf>
    <xf numFmtId="0" fontId="23" fillId="0" borderId="0" xfId="4" applyFont="1" applyAlignment="1">
      <alignment horizontal="center"/>
    </xf>
    <xf numFmtId="170" fontId="23" fillId="0" borderId="0" xfId="1" applyNumberFormat="1" applyFont="1" applyFill="1" applyBorder="1" applyAlignment="1" applyProtection="1">
      <alignment horizontal="right" indent="1"/>
    </xf>
    <xf numFmtId="0" fontId="10" fillId="0" borderId="32" xfId="4" applyFont="1" applyBorder="1"/>
    <xf numFmtId="170" fontId="25" fillId="0" borderId="32" xfId="1" applyNumberFormat="1" applyFont="1" applyFill="1" applyBorder="1" applyAlignment="1" applyProtection="1">
      <alignment horizontal="center"/>
    </xf>
    <xf numFmtId="171" fontId="10" fillId="0" borderId="32" xfId="4" applyNumberFormat="1" applyFont="1" applyBorder="1"/>
    <xf numFmtId="174" fontId="10" fillId="0" borderId="32" xfId="4" applyNumberFormat="1" applyFont="1" applyBorder="1"/>
    <xf numFmtId="177" fontId="7" fillId="0" borderId="0" xfId="9" applyNumberFormat="1" applyFont="1" applyAlignment="1"/>
    <xf numFmtId="43" fontId="7" fillId="0" borderId="0" xfId="7" applyFont="1" applyAlignment="1">
      <alignment horizontal="center"/>
    </xf>
    <xf numFmtId="171" fontId="7" fillId="0" borderId="0" xfId="9" applyNumberFormat="1" applyFont="1" applyAlignment="1">
      <alignment horizontal="center"/>
    </xf>
    <xf numFmtId="7" fontId="7" fillId="0" borderId="0" xfId="9" applyNumberFormat="1" applyFont="1" applyAlignment="1"/>
    <xf numFmtId="10" fontId="7" fillId="0" borderId="0" xfId="1" applyNumberFormat="1" applyFont="1" applyAlignment="1">
      <alignment horizontal="center"/>
    </xf>
    <xf numFmtId="0" fontId="3" fillId="0" borderId="0" xfId="11" applyFont="1"/>
    <xf numFmtId="0" fontId="3" fillId="0" borderId="1" xfId="11" applyFont="1" applyBorder="1" applyAlignment="1">
      <alignment vertical="center"/>
    </xf>
    <xf numFmtId="167" fontId="9" fillId="3" borderId="51" xfId="4" applyNumberFormat="1" applyFont="1" applyFill="1" applyBorder="1" applyAlignment="1">
      <alignment horizontal="left" vertical="center"/>
    </xf>
    <xf numFmtId="167" fontId="9" fillId="3" borderId="51" xfId="4" applyNumberFormat="1" applyFont="1" applyFill="1" applyBorder="1" applyAlignment="1">
      <alignment horizontal="center" vertical="center"/>
    </xf>
    <xf numFmtId="0" fontId="36" fillId="3" borderId="52" xfId="9" applyFont="1" applyFill="1" applyBorder="1" applyAlignment="1"/>
    <xf numFmtId="0" fontId="36" fillId="3" borderId="4" xfId="9" applyFont="1" applyFill="1" applyBorder="1" applyAlignment="1"/>
    <xf numFmtId="0" fontId="36" fillId="3" borderId="53" xfId="9" applyFont="1" applyFill="1" applyBorder="1" applyAlignment="1"/>
    <xf numFmtId="0" fontId="7" fillId="0" borderId="5" xfId="9" applyFont="1" applyBorder="1" applyAlignment="1"/>
    <xf numFmtId="0" fontId="12" fillId="0" borderId="0" xfId="9" applyFont="1" applyAlignment="1">
      <alignment horizontal="right"/>
    </xf>
    <xf numFmtId="0" fontId="7" fillId="0" borderId="54" xfId="9" applyFont="1" applyBorder="1" applyAlignment="1"/>
    <xf numFmtId="14" fontId="12" fillId="0" borderId="55" xfId="9" applyNumberFormat="1" applyFont="1" applyBorder="1" applyAlignment="1"/>
    <xf numFmtId="0" fontId="3" fillId="0" borderId="56" xfId="11" applyFont="1" applyBorder="1"/>
    <xf numFmtId="0" fontId="12" fillId="0" borderId="22" xfId="11" applyFont="1" applyBorder="1"/>
    <xf numFmtId="14" fontId="12" fillId="0" borderId="57" xfId="11" applyNumberFormat="1" applyFont="1" applyBorder="1"/>
    <xf numFmtId="10" fontId="7" fillId="0" borderId="58" xfId="9" applyNumberFormat="1" applyFont="1" applyBorder="1" applyAlignment="1"/>
    <xf numFmtId="0" fontId="7" fillId="0" borderId="59" xfId="9" applyFont="1" applyBorder="1" applyAlignment="1"/>
    <xf numFmtId="0" fontId="12" fillId="0" borderId="60" xfId="9" applyFont="1" applyBorder="1" applyAlignment="1">
      <alignment horizontal="right"/>
    </xf>
    <xf numFmtId="0" fontId="24" fillId="0" borderId="61" xfId="9" applyFont="1" applyBorder="1" applyAlignment="1">
      <alignment horizontal="left" indent="1"/>
    </xf>
    <xf numFmtId="0" fontId="37" fillId="0" borderId="58" xfId="9" applyFont="1" applyBorder="1" applyAlignment="1">
      <alignment horizontal="center"/>
    </xf>
    <xf numFmtId="0" fontId="3" fillId="0" borderId="5" xfId="11" applyFont="1" applyBorder="1"/>
    <xf numFmtId="0" fontId="12" fillId="0" borderId="0" xfId="11" applyFont="1"/>
    <xf numFmtId="14" fontId="3" fillId="0" borderId="58" xfId="11" applyNumberFormat="1" applyFont="1" applyBorder="1"/>
    <xf numFmtId="179" fontId="7" fillId="0" borderId="58" xfId="9" applyNumberFormat="1" applyFont="1" applyBorder="1" applyAlignment="1"/>
    <xf numFmtId="0" fontId="3" fillId="0" borderId="5" xfId="9" applyFont="1" applyBorder="1" applyAlignment="1"/>
    <xf numFmtId="0" fontId="3" fillId="0" borderId="0" xfId="9" applyFont="1" applyAlignment="1">
      <alignment horizontal="right"/>
    </xf>
    <xf numFmtId="1" fontId="12" fillId="0" borderId="58" xfId="9" applyNumberFormat="1" applyFont="1" applyBorder="1" applyAlignment="1"/>
    <xf numFmtId="6" fontId="7" fillId="0" borderId="58" xfId="9" applyNumberFormat="1" applyFont="1" applyBorder="1" applyAlignment="1"/>
    <xf numFmtId="3" fontId="7" fillId="0" borderId="0" xfId="9" applyNumberFormat="1" applyFont="1" applyAlignment="1"/>
    <xf numFmtId="0" fontId="7" fillId="0" borderId="17" xfId="9" applyFont="1" applyBorder="1" applyAlignment="1"/>
    <xf numFmtId="1" fontId="12" fillId="0" borderId="62" xfId="9" applyNumberFormat="1" applyFont="1" applyBorder="1" applyAlignment="1"/>
    <xf numFmtId="0" fontId="3" fillId="0" borderId="63" xfId="11" applyFont="1" applyBorder="1"/>
    <xf numFmtId="0" fontId="12" fillId="0" borderId="17" xfId="11" applyFont="1" applyBorder="1"/>
    <xf numFmtId="14" fontId="3" fillId="0" borderId="62" xfId="11" applyNumberFormat="1" applyFont="1" applyBorder="1"/>
    <xf numFmtId="0" fontId="7" fillId="0" borderId="63" xfId="9" applyFont="1" applyBorder="1" applyAlignment="1"/>
    <xf numFmtId="164" fontId="7" fillId="0" borderId="62" xfId="9" applyNumberFormat="1" applyFont="1" applyBorder="1" applyAlignment="1"/>
    <xf numFmtId="1" fontId="24" fillId="0" borderId="58" xfId="9" applyNumberFormat="1" applyFont="1" applyBorder="1" applyAlignment="1"/>
    <xf numFmtId="180" fontId="7" fillId="0" borderId="58" xfId="9" applyNumberFormat="1" applyFont="1" applyBorder="1" applyAlignment="1">
      <alignment horizontal="right"/>
    </xf>
    <xf numFmtId="0" fontId="12" fillId="0" borderId="62" xfId="9" applyFont="1" applyBorder="1" applyAlignment="1">
      <alignment horizontal="right"/>
    </xf>
    <xf numFmtId="0" fontId="20" fillId="0" borderId="0" xfId="11" applyFont="1" applyAlignment="1">
      <alignment horizontal="left"/>
    </xf>
    <xf numFmtId="14" fontId="3" fillId="0" borderId="0" xfId="11" applyNumberFormat="1" applyFont="1"/>
    <xf numFmtId="43" fontId="7" fillId="0" borderId="0" xfId="7" applyFont="1" applyBorder="1" applyAlignment="1"/>
    <xf numFmtId="10" fontId="7" fillId="0" borderId="0" xfId="1" applyNumberFormat="1" applyFont="1" applyBorder="1" applyAlignment="1"/>
    <xf numFmtId="2" fontId="12" fillId="0" borderId="58" xfId="9" applyNumberFormat="1" applyFont="1" applyBorder="1" applyAlignment="1"/>
    <xf numFmtId="9" fontId="3" fillId="0" borderId="0" xfId="11" applyNumberFormat="1" applyFont="1" applyAlignment="1">
      <alignment horizontal="left"/>
    </xf>
    <xf numFmtId="164" fontId="3" fillId="0" borderId="0" xfId="11" applyNumberFormat="1" applyFont="1"/>
    <xf numFmtId="9" fontId="3" fillId="0" borderId="0" xfId="11" applyNumberFormat="1" applyFont="1"/>
    <xf numFmtId="10" fontId="12" fillId="0" borderId="0" xfId="9" applyNumberFormat="1" applyFont="1" applyAlignment="1"/>
    <xf numFmtId="9" fontId="7" fillId="0" borderId="0" xfId="1" applyFont="1" applyBorder="1" applyAlignment="1"/>
    <xf numFmtId="3" fontId="7" fillId="0" borderId="58" xfId="9" applyNumberFormat="1" applyFont="1" applyBorder="1" applyAlignment="1"/>
    <xf numFmtId="164" fontId="3" fillId="0" borderId="0" xfId="7" applyNumberFormat="1" applyFont="1" applyBorder="1"/>
    <xf numFmtId="0" fontId="38" fillId="0" borderId="0" xfId="11" applyFont="1" applyAlignment="1">
      <alignment horizontal="center"/>
    </xf>
    <xf numFmtId="43" fontId="7" fillId="0" borderId="0" xfId="9" applyNumberFormat="1" applyFont="1" applyAlignment="1"/>
    <xf numFmtId="170" fontId="3" fillId="0" borderId="0" xfId="1" applyNumberFormat="1" applyFont="1" applyBorder="1" applyAlignment="1"/>
    <xf numFmtId="164" fontId="12" fillId="0" borderId="0" xfId="7" applyNumberFormat="1" applyFont="1" applyFill="1" applyBorder="1" applyAlignment="1">
      <alignment horizontal="right"/>
    </xf>
    <xf numFmtId="164" fontId="12" fillId="0" borderId="0" xfId="7" quotePrefix="1" applyNumberFormat="1" applyFont="1" applyFill="1" applyBorder="1" applyAlignment="1">
      <alignment horizontal="right"/>
    </xf>
    <xf numFmtId="1" fontId="3" fillId="0" borderId="58" xfId="9" applyNumberFormat="1" applyFont="1" applyBorder="1" applyAlignment="1"/>
    <xf numFmtId="0" fontId="12" fillId="0" borderId="17" xfId="9" applyFont="1" applyBorder="1" applyAlignment="1">
      <alignment horizontal="right"/>
    </xf>
    <xf numFmtId="2" fontId="3" fillId="0" borderId="62" xfId="9" applyNumberFormat="1" applyFont="1" applyBorder="1" applyAlignment="1"/>
    <xf numFmtId="0" fontId="36" fillId="3" borderId="52" xfId="9" applyFont="1" applyFill="1" applyBorder="1" applyAlignment="1">
      <alignment horizontal="left"/>
    </xf>
    <xf numFmtId="0" fontId="36" fillId="3" borderId="4" xfId="9" applyFont="1" applyFill="1" applyBorder="1" applyAlignment="1">
      <alignment horizontal="center"/>
    </xf>
    <xf numFmtId="0" fontId="36" fillId="3" borderId="53" xfId="9" applyFont="1" applyFill="1" applyBorder="1" applyAlignment="1">
      <alignment horizontal="center"/>
    </xf>
    <xf numFmtId="0" fontId="7" fillId="5" borderId="5" xfId="9" applyFont="1" applyFill="1" applyBorder="1" applyAlignment="1"/>
    <xf numFmtId="0" fontId="7" fillId="5" borderId="0" xfId="9" applyFont="1" applyFill="1" applyAlignment="1"/>
    <xf numFmtId="0" fontId="24" fillId="5" borderId="58" xfId="9" applyFont="1" applyFill="1" applyBorder="1" applyAlignment="1">
      <alignment horizontal="center"/>
    </xf>
    <xf numFmtId="0" fontId="20" fillId="0" borderId="0" xfId="11" applyFont="1" applyAlignment="1">
      <alignment horizontal="center"/>
    </xf>
    <xf numFmtId="0" fontId="20" fillId="0" borderId="58" xfId="11" applyFont="1" applyBorder="1" applyAlignment="1">
      <alignment horizontal="center"/>
    </xf>
    <xf numFmtId="164" fontId="7" fillId="0" borderId="0" xfId="9" applyNumberFormat="1" applyFont="1" applyAlignment="1"/>
    <xf numFmtId="164" fontId="3" fillId="0" borderId="0" xfId="9" applyNumberFormat="1" applyFont="1" applyAlignment="1"/>
    <xf numFmtId="181" fontId="7" fillId="0" borderId="58" xfId="9" applyNumberFormat="1" applyFont="1" applyBorder="1" applyAlignment="1"/>
    <xf numFmtId="8" fontId="7" fillId="0" borderId="0" xfId="9" applyNumberFormat="1" applyFont="1" applyAlignment="1"/>
    <xf numFmtId="164" fontId="7" fillId="0" borderId="58" xfId="9" applyNumberFormat="1" applyFont="1" applyBorder="1" applyAlignment="1"/>
    <xf numFmtId="170" fontId="20" fillId="0" borderId="0" xfId="9" applyNumberFormat="1" applyFont="1" applyAlignment="1"/>
    <xf numFmtId="0" fontId="7" fillId="0" borderId="58" xfId="9" applyFont="1" applyBorder="1" applyAlignment="1"/>
    <xf numFmtId="10" fontId="3" fillId="0" borderId="0" xfId="11" applyNumberFormat="1" applyFont="1"/>
    <xf numFmtId="0" fontId="3" fillId="0" borderId="58" xfId="11" applyFont="1" applyBorder="1"/>
    <xf numFmtId="9" fontId="3" fillId="0" borderId="0" xfId="9" applyNumberFormat="1" applyFont="1" applyAlignment="1"/>
    <xf numFmtId="0" fontId="7" fillId="5" borderId="58" xfId="9" applyFont="1" applyFill="1" applyBorder="1" applyAlignment="1"/>
    <xf numFmtId="10" fontId="12" fillId="0" borderId="58" xfId="9" applyNumberFormat="1" applyFont="1" applyBorder="1" applyAlignment="1"/>
    <xf numFmtId="0" fontId="12" fillId="0" borderId="0" xfId="9" applyFont="1" applyAlignment="1"/>
    <xf numFmtId="0" fontId="12" fillId="0" borderId="58" xfId="9" applyFont="1" applyBorder="1" applyAlignment="1"/>
    <xf numFmtId="164" fontId="7" fillId="0" borderId="17" xfId="9" applyNumberFormat="1" applyFont="1" applyBorder="1" applyAlignment="1"/>
    <xf numFmtId="164" fontId="3" fillId="0" borderId="17" xfId="11" applyNumberFormat="1" applyFont="1" applyBorder="1"/>
    <xf numFmtId="0" fontId="16" fillId="0" borderId="0" xfId="9" applyFont="1" applyAlignment="1">
      <alignment horizontal="right"/>
    </xf>
    <xf numFmtId="0" fontId="39" fillId="0" borderId="64" xfId="9" applyFont="1" applyBorder="1" applyAlignment="1"/>
    <xf numFmtId="182" fontId="8" fillId="0" borderId="63" xfId="9" applyNumberFormat="1" applyFont="1" applyBorder="1" applyAlignment="1">
      <alignment horizontal="left"/>
    </xf>
    <xf numFmtId="6" fontId="7" fillId="0" borderId="62" xfId="9" applyNumberFormat="1" applyFont="1" applyBorder="1" applyAlignment="1"/>
    <xf numFmtId="183" fontId="3" fillId="0" borderId="0" xfId="11" applyNumberFormat="1" applyFont="1"/>
    <xf numFmtId="0" fontId="36" fillId="3" borderId="4" xfId="9" applyFont="1" applyFill="1" applyBorder="1" applyAlignment="1">
      <alignment horizontal="left"/>
    </xf>
    <xf numFmtId="0" fontId="36" fillId="3" borderId="53" xfId="9" applyFont="1" applyFill="1" applyBorder="1" applyAlignment="1">
      <alignment horizontal="left"/>
    </xf>
    <xf numFmtId="170" fontId="12" fillId="0" borderId="0" xfId="9" applyNumberFormat="1" applyFont="1" applyAlignment="1"/>
    <xf numFmtId="172" fontId="7" fillId="0" borderId="58" xfId="9" applyNumberFormat="1" applyFont="1" applyBorder="1" applyAlignment="1"/>
    <xf numFmtId="177" fontId="3" fillId="0" borderId="0" xfId="9" applyNumberFormat="1" applyFont="1" applyAlignment="1"/>
    <xf numFmtId="170" fontId="7" fillId="0" borderId="0" xfId="9" applyNumberFormat="1" applyFont="1" applyAlignment="1"/>
    <xf numFmtId="6" fontId="7" fillId="0" borderId="0" xfId="9" applyNumberFormat="1" applyFont="1" applyAlignment="1"/>
    <xf numFmtId="9" fontId="7" fillId="0" borderId="0" xfId="9" applyNumberFormat="1" applyFont="1" applyAlignment="1"/>
    <xf numFmtId="184" fontId="7" fillId="0" borderId="0" xfId="9" applyNumberFormat="1" applyFont="1" applyAlignment="1"/>
    <xf numFmtId="185" fontId="3" fillId="0" borderId="0" xfId="9" applyNumberFormat="1" applyFont="1" applyAlignment="1"/>
    <xf numFmtId="172" fontId="3" fillId="0" borderId="58" xfId="9" applyNumberFormat="1" applyFont="1" applyBorder="1" applyAlignment="1"/>
    <xf numFmtId="170" fontId="12" fillId="0" borderId="0" xfId="1" applyNumberFormat="1" applyFont="1" applyFill="1" applyBorder="1" applyAlignment="1"/>
    <xf numFmtId="14" fontId="7" fillId="0" borderId="0" xfId="9" applyNumberFormat="1" applyFont="1" applyAlignment="1">
      <alignment horizontal="left" indent="2"/>
    </xf>
    <xf numFmtId="0" fontId="24" fillId="0" borderId="0" xfId="9" applyFont="1" applyAlignment="1">
      <alignment horizontal="left" indent="1"/>
    </xf>
    <xf numFmtId="0" fontId="24" fillId="5" borderId="5" xfId="9" applyFont="1" applyFill="1" applyBorder="1" applyAlignment="1">
      <alignment horizontal="left" indent="1"/>
    </xf>
    <xf numFmtId="0" fontId="7" fillId="0" borderId="0" xfId="9" applyFont="1" applyAlignment="1">
      <alignment horizontal="right"/>
    </xf>
    <xf numFmtId="0" fontId="18" fillId="5" borderId="5" xfId="9" applyFont="1" applyFill="1" applyBorder="1" applyAlignment="1">
      <alignment horizontal="left" indent="1"/>
    </xf>
    <xf numFmtId="170" fontId="12" fillId="5" borderId="0" xfId="9" applyNumberFormat="1" applyFont="1" applyFill="1" applyAlignment="1"/>
    <xf numFmtId="170" fontId="3" fillId="5" borderId="0" xfId="9" applyNumberFormat="1" applyFont="1" applyFill="1" applyAlignment="1"/>
    <xf numFmtId="10" fontId="7" fillId="0" borderId="0" xfId="9" applyNumberFormat="1" applyFont="1" applyAlignment="1"/>
    <xf numFmtId="186" fontId="8" fillId="0" borderId="0" xfId="9" applyNumberFormat="1" applyFont="1" applyAlignment="1"/>
    <xf numFmtId="0" fontId="16" fillId="5" borderId="63" xfId="9" applyFont="1" applyFill="1" applyBorder="1" applyAlignment="1">
      <alignment horizontal="left" indent="1"/>
    </xf>
    <xf numFmtId="0" fontId="7" fillId="5" borderId="17" xfId="9" applyFont="1" applyFill="1" applyBorder="1" applyAlignment="1"/>
    <xf numFmtId="170" fontId="12" fillId="5" borderId="17" xfId="9" applyNumberFormat="1" applyFont="1" applyFill="1" applyBorder="1" applyAlignment="1"/>
    <xf numFmtId="170" fontId="3" fillId="5" borderId="17" xfId="9" applyNumberFormat="1" applyFont="1" applyFill="1" applyBorder="1" applyAlignment="1"/>
    <xf numFmtId="14" fontId="7" fillId="0" borderId="17" xfId="9" applyNumberFormat="1" applyFont="1" applyBorder="1" applyAlignment="1">
      <alignment horizontal="left" indent="2"/>
    </xf>
    <xf numFmtId="10" fontId="12" fillId="0" borderId="17" xfId="9" applyNumberFormat="1" applyFont="1" applyBorder="1" applyAlignment="1"/>
    <xf numFmtId="10" fontId="12" fillId="0" borderId="62" xfId="1" applyNumberFormat="1" applyFont="1" applyBorder="1" applyAlignment="1"/>
    <xf numFmtId="187" fontId="3" fillId="0" borderId="0" xfId="9" applyNumberFormat="1" applyFont="1" applyAlignment="1"/>
    <xf numFmtId="0" fontId="40" fillId="0" borderId="0" xfId="11" applyFont="1"/>
    <xf numFmtId="164" fontId="24" fillId="0" borderId="0" xfId="9" applyNumberFormat="1" applyFont="1" applyAlignment="1"/>
    <xf numFmtId="10" fontId="24" fillId="0" borderId="0" xfId="1" applyNumberFormat="1" applyFont="1" applyFill="1" applyBorder="1" applyAlignment="1"/>
    <xf numFmtId="0" fontId="20" fillId="5" borderId="56" xfId="11" applyFont="1" applyFill="1" applyBorder="1"/>
    <xf numFmtId="0" fontId="40" fillId="5" borderId="22" xfId="11" applyFont="1" applyFill="1" applyBorder="1"/>
    <xf numFmtId="0" fontId="40" fillId="0" borderId="22" xfId="11" applyFont="1" applyBorder="1"/>
    <xf numFmtId="0" fontId="40" fillId="0" borderId="57" xfId="11" applyFont="1" applyBorder="1"/>
    <xf numFmtId="0" fontId="20" fillId="0" borderId="0" xfId="11" applyFont="1" applyAlignment="1">
      <alignment horizontal="center" vertical="center"/>
    </xf>
    <xf numFmtId="0" fontId="24" fillId="0" borderId="0" xfId="9" applyFont="1" applyAlignment="1">
      <alignment horizontal="center"/>
    </xf>
    <xf numFmtId="184" fontId="8" fillId="0" borderId="0" xfId="9" applyNumberFormat="1" applyFont="1" applyAlignment="1"/>
    <xf numFmtId="9" fontId="3" fillId="0" borderId="0" xfId="12" applyFont="1" applyFill="1" applyBorder="1"/>
    <xf numFmtId="0" fontId="20" fillId="0" borderId="65" xfId="11" applyFont="1" applyBorder="1" applyAlignment="1">
      <alignment horizontal="center" vertical="center" wrapText="1"/>
    </xf>
    <xf numFmtId="0" fontId="20" fillId="0" borderId="66" xfId="11" applyFont="1" applyBorder="1" applyAlignment="1">
      <alignment horizontal="center" vertical="center" wrapText="1"/>
    </xf>
    <xf numFmtId="0" fontId="20" fillId="0" borderId="67" xfId="11" applyFont="1" applyBorder="1" applyAlignment="1">
      <alignment horizontal="center"/>
    </xf>
    <xf numFmtId="0" fontId="20" fillId="0" borderId="66" xfId="11" applyFont="1" applyBorder="1" applyAlignment="1">
      <alignment horizontal="center" vertical="center"/>
    </xf>
    <xf numFmtId="0" fontId="20" fillId="0" borderId="68" xfId="11" applyFont="1" applyBorder="1" applyAlignment="1">
      <alignment horizontal="center" vertical="center"/>
    </xf>
    <xf numFmtId="170" fontId="3" fillId="0" borderId="0" xfId="1" applyNumberFormat="1" applyFont="1" applyAlignment="1"/>
    <xf numFmtId="171" fontId="3" fillId="0" borderId="5" xfId="11" applyNumberFormat="1" applyFont="1" applyBorder="1" applyAlignment="1">
      <alignment horizontal="left"/>
    </xf>
    <xf numFmtId="171" fontId="3" fillId="0" borderId="0" xfId="11" applyNumberFormat="1" applyFont="1" applyAlignment="1">
      <alignment horizontal="center"/>
    </xf>
    <xf numFmtId="172" fontId="8" fillId="0" borderId="0" xfId="11" applyNumberFormat="1" applyFont="1" applyAlignment="1">
      <alignment horizontal="right"/>
    </xf>
    <xf numFmtId="188" fontId="3" fillId="0" borderId="0" xfId="11" applyNumberFormat="1" applyFont="1"/>
    <xf numFmtId="172" fontId="3" fillId="0" borderId="0" xfId="11" applyNumberFormat="1" applyFont="1"/>
    <xf numFmtId="171" fontId="8" fillId="0" borderId="0" xfId="11" applyNumberFormat="1" applyFont="1"/>
    <xf numFmtId="174" fontId="3" fillId="0" borderId="0" xfId="11" applyNumberFormat="1" applyFont="1"/>
    <xf numFmtId="171" fontId="3" fillId="0" borderId="0" xfId="11" applyNumberFormat="1" applyFont="1"/>
    <xf numFmtId="171" fontId="3" fillId="0" borderId="58" xfId="11" applyNumberFormat="1" applyFont="1" applyBorder="1"/>
    <xf numFmtId="164" fontId="7" fillId="0" borderId="0" xfId="7" applyNumberFormat="1" applyFont="1" applyFill="1" applyBorder="1" applyAlignment="1"/>
    <xf numFmtId="10" fontId="24" fillId="0" borderId="0" xfId="1" applyNumberFormat="1" applyFont="1" applyFill="1" applyBorder="1" applyAlignment="1">
      <alignment horizontal="center"/>
    </xf>
    <xf numFmtId="177" fontId="8" fillId="0" borderId="0" xfId="9" applyNumberFormat="1" applyFont="1" applyAlignment="1"/>
    <xf numFmtId="171" fontId="7" fillId="0" borderId="0" xfId="9" applyNumberFormat="1" applyFont="1" applyAlignment="1"/>
    <xf numFmtId="171" fontId="3" fillId="0" borderId="0" xfId="11" applyNumberFormat="1" applyFont="1" applyAlignment="1">
      <alignment horizontal="left"/>
    </xf>
    <xf numFmtId="172" fontId="3" fillId="0" borderId="0" xfId="11" applyNumberFormat="1" applyFont="1" applyAlignment="1">
      <alignment horizontal="right"/>
    </xf>
    <xf numFmtId="189" fontId="3" fillId="0" borderId="0" xfId="11" applyNumberFormat="1" applyFont="1"/>
    <xf numFmtId="190" fontId="20" fillId="0" borderId="69" xfId="11" applyNumberFormat="1" applyFont="1" applyBorder="1"/>
    <xf numFmtId="190" fontId="41" fillId="0" borderId="32" xfId="11" applyNumberFormat="1" applyFont="1" applyBorder="1"/>
    <xf numFmtId="172" fontId="20" fillId="0" borderId="32" xfId="11" applyNumberFormat="1" applyFont="1" applyBorder="1" applyAlignment="1">
      <alignment horizontal="right"/>
    </xf>
    <xf numFmtId="188" fontId="20" fillId="0" borderId="32" xfId="11" applyNumberFormat="1" applyFont="1" applyBorder="1"/>
    <xf numFmtId="171" fontId="20" fillId="0" borderId="32" xfId="11" applyNumberFormat="1" applyFont="1" applyBorder="1" applyAlignment="1">
      <alignment horizontal="right"/>
    </xf>
    <xf numFmtId="174" fontId="20" fillId="0" borderId="32" xfId="11" applyNumberFormat="1" applyFont="1" applyBorder="1"/>
    <xf numFmtId="171" fontId="20" fillId="0" borderId="32" xfId="11" applyNumberFormat="1" applyFont="1" applyBorder="1"/>
    <xf numFmtId="171" fontId="20" fillId="0" borderId="70" xfId="11" applyNumberFormat="1" applyFont="1" applyBorder="1" applyAlignment="1">
      <alignment horizontal="right"/>
    </xf>
    <xf numFmtId="190" fontId="20" fillId="0" borderId="0" xfId="11" applyNumberFormat="1" applyFont="1"/>
    <xf numFmtId="190" fontId="41" fillId="0" borderId="0" xfId="11" applyNumberFormat="1" applyFont="1"/>
    <xf numFmtId="172" fontId="20" fillId="0" borderId="0" xfId="11" applyNumberFormat="1" applyFont="1" applyAlignment="1">
      <alignment horizontal="right"/>
    </xf>
    <xf numFmtId="188" fontId="20" fillId="0" borderId="0" xfId="11" applyNumberFormat="1" applyFont="1"/>
    <xf numFmtId="171" fontId="20" fillId="0" borderId="0" xfId="11" applyNumberFormat="1" applyFont="1"/>
    <xf numFmtId="174" fontId="20" fillId="0" borderId="0" xfId="11" applyNumberFormat="1" applyFont="1"/>
    <xf numFmtId="171" fontId="20" fillId="0" borderId="0" xfId="11" applyNumberFormat="1" applyFont="1" applyAlignment="1">
      <alignment horizontal="right"/>
    </xf>
    <xf numFmtId="0" fontId="3" fillId="5" borderId="22" xfId="11" applyFont="1" applyFill="1" applyBorder="1"/>
    <xf numFmtId="0" fontId="3" fillId="0" borderId="22" xfId="11" applyFont="1" applyBorder="1"/>
    <xf numFmtId="0" fontId="7" fillId="0" borderId="22" xfId="9" applyFont="1" applyBorder="1" applyAlignment="1"/>
    <xf numFmtId="0" fontId="7" fillId="0" borderId="57" xfId="9" applyFont="1" applyBorder="1" applyAlignment="1"/>
    <xf numFmtId="0" fontId="20" fillId="0" borderId="63" xfId="11" applyFont="1" applyBorder="1" applyAlignment="1" applyProtection="1">
      <alignment horizontal="center" vertical="center" wrapText="1"/>
      <protection locked="0"/>
    </xf>
    <xf numFmtId="0" fontId="20" fillId="0" borderId="17" xfId="11" applyFont="1" applyBorder="1" applyAlignment="1" applyProtection="1">
      <alignment horizontal="center" vertical="center" wrapText="1"/>
      <protection locked="0"/>
    </xf>
    <xf numFmtId="0" fontId="20" fillId="0" borderId="62" xfId="11" applyFont="1" applyBorder="1" applyAlignment="1" applyProtection="1">
      <alignment horizontal="center" vertical="center" wrapText="1"/>
      <protection locked="0"/>
    </xf>
    <xf numFmtId="0" fontId="3" fillId="0" borderId="5" xfId="9" applyFont="1" applyBorder="1" applyAlignment="1">
      <alignment horizontal="left"/>
    </xf>
    <xf numFmtId="0" fontId="20" fillId="0" borderId="71" xfId="9" applyFont="1" applyBorder="1" applyAlignment="1">
      <alignment horizontal="left"/>
    </xf>
    <xf numFmtId="0" fontId="20" fillId="0" borderId="72" xfId="9" applyFont="1" applyBorder="1" applyAlignment="1"/>
    <xf numFmtId="172" fontId="3" fillId="0" borderId="72" xfId="11" applyNumberFormat="1" applyFont="1" applyBorder="1" applyAlignment="1">
      <alignment horizontal="right"/>
    </xf>
    <xf numFmtId="188" fontId="3" fillId="0" borderId="72" xfId="11" applyNumberFormat="1" applyFont="1" applyBorder="1"/>
    <xf numFmtId="172" fontId="3" fillId="0" borderId="72" xfId="11" applyNumberFormat="1" applyFont="1" applyBorder="1"/>
    <xf numFmtId="171" fontId="3" fillId="0" borderId="72" xfId="11" applyNumberFormat="1" applyFont="1" applyBorder="1"/>
    <xf numFmtId="174" fontId="3" fillId="0" borderId="72" xfId="11" applyNumberFormat="1" applyFont="1" applyBorder="1"/>
    <xf numFmtId="171" fontId="3" fillId="0" borderId="73" xfId="11" applyNumberFormat="1" applyFont="1" applyBorder="1"/>
    <xf numFmtId="3" fontId="3" fillId="0" borderId="0" xfId="9" applyNumberFormat="1" applyFont="1" applyAlignment="1">
      <alignment horizontal="center"/>
    </xf>
    <xf numFmtId="188" fontId="3" fillId="0" borderId="0" xfId="1" applyNumberFormat="1" applyFont="1" applyBorder="1" applyAlignment="1">
      <alignment horizontal="center"/>
    </xf>
    <xf numFmtId="6" fontId="3" fillId="0" borderId="0" xfId="9" applyNumberFormat="1" applyFont="1" applyAlignment="1">
      <alignment horizontal="center"/>
    </xf>
    <xf numFmtId="6" fontId="3" fillId="0" borderId="0" xfId="9" applyNumberFormat="1" applyFont="1" applyAlignment="1"/>
    <xf numFmtId="186" fontId="3" fillId="0" borderId="0" xfId="9" applyNumberFormat="1" applyFont="1" applyAlignment="1">
      <alignment horizontal="center"/>
    </xf>
    <xf numFmtId="174" fontId="3" fillId="0" borderId="0" xfId="9" applyNumberFormat="1" applyFont="1" applyAlignment="1">
      <alignment horizontal="center"/>
    </xf>
    <xf numFmtId="6" fontId="3" fillId="0" borderId="58" xfId="9" applyNumberFormat="1" applyFont="1" applyBorder="1" applyAlignment="1">
      <alignment horizontal="center"/>
    </xf>
    <xf numFmtId="9" fontId="7" fillId="0" borderId="0" xfId="1" applyFont="1" applyAlignment="1">
      <alignment horizontal="left"/>
    </xf>
    <xf numFmtId="189" fontId="3" fillId="0" borderId="72" xfId="11" applyNumberFormat="1" applyFont="1" applyBorder="1"/>
    <xf numFmtId="3" fontId="20" fillId="0" borderId="72" xfId="9" applyNumberFormat="1" applyFont="1" applyBorder="1" applyAlignment="1">
      <alignment horizontal="center"/>
    </xf>
    <xf numFmtId="9" fontId="20" fillId="0" borderId="72" xfId="1" applyFont="1" applyBorder="1" applyAlignment="1">
      <alignment horizontal="center"/>
    </xf>
    <xf numFmtId="6" fontId="20" fillId="0" borderId="72" xfId="9" applyNumberFormat="1" applyFont="1" applyBorder="1" applyAlignment="1">
      <alignment horizontal="center"/>
    </xf>
    <xf numFmtId="6" fontId="20" fillId="0" borderId="72" xfId="9" applyNumberFormat="1" applyFont="1" applyBorder="1" applyAlignment="1"/>
    <xf numFmtId="186" fontId="20" fillId="0" borderId="72" xfId="9" applyNumberFormat="1" applyFont="1" applyBorder="1" applyAlignment="1">
      <alignment horizontal="center"/>
    </xf>
    <xf numFmtId="174" fontId="20" fillId="0" borderId="72" xfId="9" applyNumberFormat="1" applyFont="1" applyBorder="1" applyAlignment="1">
      <alignment horizontal="center"/>
    </xf>
    <xf numFmtId="6" fontId="20" fillId="0" borderId="73" xfId="9" applyNumberFormat="1" applyFont="1" applyBorder="1" applyAlignment="1">
      <alignment horizontal="center"/>
    </xf>
    <xf numFmtId="172" fontId="8" fillId="0" borderId="72" xfId="11" applyNumberFormat="1" applyFont="1" applyBorder="1" applyAlignment="1">
      <alignment horizontal="right"/>
    </xf>
    <xf numFmtId="0" fontId="20" fillId="0" borderId="5" xfId="9" applyFont="1" applyBorder="1" applyAlignment="1">
      <alignment horizontal="left"/>
    </xf>
    <xf numFmtId="0" fontId="20" fillId="0" borderId="0" xfId="9" applyFont="1" applyAlignment="1"/>
    <xf numFmtId="3" fontId="20" fillId="0" borderId="0" xfId="9" applyNumberFormat="1" applyFont="1" applyAlignment="1">
      <alignment horizontal="center"/>
    </xf>
    <xf numFmtId="9" fontId="20" fillId="0" borderId="0" xfId="1" applyFont="1" applyBorder="1" applyAlignment="1">
      <alignment horizontal="center"/>
    </xf>
    <xf numFmtId="6" fontId="20" fillId="0" borderId="0" xfId="9" applyNumberFormat="1" applyFont="1" applyAlignment="1">
      <alignment horizontal="center"/>
    </xf>
    <xf numFmtId="6" fontId="20" fillId="0" borderId="0" xfId="9" applyNumberFormat="1" applyFont="1" applyAlignment="1"/>
    <xf numFmtId="186" fontId="20" fillId="0" borderId="0" xfId="9" applyNumberFormat="1" applyFont="1" applyAlignment="1">
      <alignment horizontal="center"/>
    </xf>
    <xf numFmtId="174" fontId="20" fillId="0" borderId="0" xfId="9" applyNumberFormat="1" applyFont="1" applyAlignment="1">
      <alignment horizontal="center"/>
    </xf>
    <xf numFmtId="6" fontId="20" fillId="0" borderId="58" xfId="9" applyNumberFormat="1" applyFont="1" applyBorder="1" applyAlignment="1">
      <alignment horizontal="center"/>
    </xf>
    <xf numFmtId="189" fontId="20" fillId="0" borderId="32" xfId="11" applyNumberFormat="1" applyFont="1" applyBorder="1"/>
    <xf numFmtId="172" fontId="20" fillId="0" borderId="32" xfId="11" applyNumberFormat="1" applyFont="1" applyBorder="1"/>
    <xf numFmtId="171" fontId="20" fillId="0" borderId="70" xfId="11" applyNumberFormat="1" applyFont="1" applyBorder="1"/>
    <xf numFmtId="0" fontId="20" fillId="0" borderId="0" xfId="9" applyFont="1" applyAlignment="1">
      <alignment horizontal="left"/>
    </xf>
    <xf numFmtId="8" fontId="20" fillId="0" borderId="0" xfId="9" applyNumberFormat="1" applyFont="1" applyAlignment="1">
      <alignment horizontal="center"/>
    </xf>
    <xf numFmtId="190" fontId="20" fillId="0" borderId="32" xfId="11" applyNumberFormat="1" applyFont="1" applyBorder="1"/>
    <xf numFmtId="0" fontId="36" fillId="0" borderId="39" xfId="9" applyFont="1" applyBorder="1" applyAlignment="1">
      <alignment horizontal="left"/>
    </xf>
    <xf numFmtId="0" fontId="36" fillId="0" borderId="22" xfId="9" applyFont="1" applyBorder="1" applyAlignment="1">
      <alignment horizontal="left"/>
    </xf>
    <xf numFmtId="0" fontId="20" fillId="5" borderId="52" xfId="9" applyFont="1" applyFill="1" applyBorder="1" applyAlignment="1">
      <alignment horizontal="left"/>
    </xf>
    <xf numFmtId="0" fontId="36" fillId="5" borderId="4" xfId="9" applyFont="1" applyFill="1" applyBorder="1" applyAlignment="1">
      <alignment horizontal="left"/>
    </xf>
    <xf numFmtId="0" fontId="36" fillId="5" borderId="53" xfId="9" applyFont="1" applyFill="1" applyBorder="1" applyAlignment="1">
      <alignment horizontal="left"/>
    </xf>
    <xf numFmtId="0" fontId="24" fillId="0" borderId="74" xfId="9" applyFont="1" applyBorder="1" applyAlignment="1">
      <alignment vertical="center"/>
    </xf>
    <xf numFmtId="0" fontId="24" fillId="0" borderId="75" xfId="9" applyFont="1" applyBorder="1" applyAlignment="1">
      <alignment horizontal="center" vertical="center" wrapText="1"/>
    </xf>
    <xf numFmtId="0" fontId="24" fillId="0" borderId="76" xfId="9" applyFont="1" applyBorder="1" applyAlignment="1">
      <alignment horizontal="center" vertical="center" wrapText="1"/>
    </xf>
    <xf numFmtId="186" fontId="7" fillId="0" borderId="0" xfId="9" applyNumberFormat="1" applyFont="1" applyAlignment="1"/>
    <xf numFmtId="8" fontId="7" fillId="0" borderId="0" xfId="9" applyNumberFormat="1" applyFont="1" applyAlignment="1">
      <alignment horizontal="center"/>
    </xf>
    <xf numFmtId="6" fontId="7" fillId="0" borderId="0" xfId="9" applyNumberFormat="1" applyFont="1" applyAlignment="1">
      <alignment horizontal="center"/>
    </xf>
    <xf numFmtId="6" fontId="12" fillId="0" borderId="58" xfId="9" applyNumberFormat="1" applyFont="1" applyBorder="1" applyAlignment="1">
      <alignment horizontal="center"/>
    </xf>
    <xf numFmtId="6" fontId="12" fillId="0" borderId="0" xfId="9" applyNumberFormat="1" applyFont="1" applyAlignment="1">
      <alignment horizontal="center"/>
    </xf>
    <xf numFmtId="6" fontId="7" fillId="0" borderId="58" xfId="9" applyNumberFormat="1" applyFont="1" applyBorder="1" applyAlignment="1">
      <alignment horizontal="center"/>
    </xf>
    <xf numFmtId="186" fontId="10" fillId="0" borderId="0" xfId="1" applyNumberFormat="1" applyFont="1" applyAlignment="1"/>
    <xf numFmtId="0" fontId="24" fillId="0" borderId="5" xfId="9" applyFont="1" applyBorder="1" applyAlignment="1"/>
    <xf numFmtId="6" fontId="24" fillId="0" borderId="0" xfId="9" applyNumberFormat="1" applyFont="1" applyAlignment="1">
      <alignment horizontal="center"/>
    </xf>
    <xf numFmtId="8" fontId="24" fillId="0" borderId="0" xfId="9" applyNumberFormat="1" applyFont="1" applyAlignment="1">
      <alignment horizontal="center"/>
    </xf>
    <xf numFmtId="6" fontId="24" fillId="0" borderId="58" xfId="9" applyNumberFormat="1" applyFont="1" applyBorder="1" applyAlignment="1">
      <alignment horizontal="center"/>
    </xf>
    <xf numFmtId="191" fontId="3" fillId="0" borderId="5" xfId="9" applyNumberFormat="1" applyFont="1" applyBorder="1" applyAlignment="1">
      <alignment horizontal="left"/>
    </xf>
    <xf numFmtId="0" fontId="24" fillId="0" borderId="52" xfId="9" applyFont="1" applyBorder="1" applyAlignment="1"/>
    <xf numFmtId="6" fontId="24" fillId="0" borderId="4" xfId="9" applyNumberFormat="1" applyFont="1" applyBorder="1" applyAlignment="1">
      <alignment horizontal="center"/>
    </xf>
    <xf numFmtId="8" fontId="24" fillId="0" borderId="4" xfId="9" applyNumberFormat="1" applyFont="1" applyBorder="1" applyAlignment="1">
      <alignment horizontal="center"/>
    </xf>
    <xf numFmtId="6" fontId="24" fillId="0" borderId="53" xfId="9" applyNumberFormat="1" applyFont="1" applyBorder="1" applyAlignment="1">
      <alignment horizontal="center"/>
    </xf>
    <xf numFmtId="0" fontId="24" fillId="5" borderId="56" xfId="9" applyFont="1" applyFill="1" applyBorder="1" applyAlignment="1"/>
    <xf numFmtId="0" fontId="24" fillId="5" borderId="22" xfId="9" applyFont="1" applyFill="1" applyBorder="1" applyAlignment="1"/>
    <xf numFmtId="0" fontId="24" fillId="5" borderId="73" xfId="9" applyFont="1" applyFill="1" applyBorder="1" applyAlignment="1"/>
    <xf numFmtId="0" fontId="24" fillId="5" borderId="57" xfId="9" applyFont="1" applyFill="1" applyBorder="1" applyAlignment="1"/>
    <xf numFmtId="0" fontId="18" fillId="0" borderId="56" xfId="9" applyFont="1" applyBorder="1" applyAlignment="1"/>
    <xf numFmtId="0" fontId="24" fillId="0" borderId="22" xfId="9" applyFont="1" applyBorder="1" applyAlignment="1">
      <alignment horizontal="center"/>
    </xf>
    <xf numFmtId="0" fontId="24" fillId="0" borderId="57" xfId="9" applyFont="1" applyBorder="1" applyAlignment="1">
      <alignment horizontal="center"/>
    </xf>
    <xf numFmtId="6" fontId="12" fillId="0" borderId="60" xfId="9" applyNumberFormat="1" applyFont="1" applyBorder="1" applyAlignment="1">
      <alignment horizontal="center"/>
    </xf>
    <xf numFmtId="9" fontId="12" fillId="0" borderId="77" xfId="12" applyFont="1" applyBorder="1" applyAlignment="1">
      <alignment horizontal="center"/>
    </xf>
    <xf numFmtId="9" fontId="12" fillId="0" borderId="58" xfId="1" applyFont="1" applyBorder="1" applyAlignment="1">
      <alignment horizontal="center"/>
    </xf>
    <xf numFmtId="6" fontId="12" fillId="0" borderId="17" xfId="9" applyNumberFormat="1" applyFont="1" applyBorder="1" applyAlignment="1">
      <alignment horizontal="center"/>
    </xf>
    <xf numFmtId="6" fontId="3" fillId="0" borderId="62" xfId="9" applyNumberFormat="1" applyFont="1" applyBorder="1" applyAlignment="1">
      <alignment horizontal="center"/>
    </xf>
    <xf numFmtId="0" fontId="7" fillId="0" borderId="4" xfId="9" applyFont="1" applyBorder="1" applyAlignment="1"/>
    <xf numFmtId="6" fontId="3" fillId="0" borderId="1" xfId="9" applyNumberFormat="1" applyFont="1" applyBorder="1" applyAlignment="1">
      <alignment horizontal="center"/>
    </xf>
    <xf numFmtId="6" fontId="3" fillId="0" borderId="4" xfId="9" applyNumberFormat="1" applyFont="1" applyBorder="1" applyAlignment="1">
      <alignment horizontal="center"/>
    </xf>
    <xf numFmtId="6" fontId="3" fillId="0" borderId="78" xfId="9" applyNumberFormat="1" applyFont="1" applyBorder="1" applyAlignment="1">
      <alignment horizontal="center"/>
    </xf>
    <xf numFmtId="6" fontId="7" fillId="0" borderId="4" xfId="9" applyNumberFormat="1" applyFont="1" applyBorder="1" applyAlignment="1">
      <alignment horizontal="center"/>
    </xf>
    <xf numFmtId="9" fontId="7" fillId="0" borderId="53" xfId="1" applyFont="1" applyBorder="1" applyAlignment="1">
      <alignment horizontal="center"/>
    </xf>
    <xf numFmtId="0" fontId="24" fillId="5" borderId="71" xfId="9" applyFont="1" applyFill="1" applyBorder="1" applyAlignment="1"/>
    <xf numFmtId="0" fontId="7" fillId="5" borderId="73" xfId="9" applyFont="1" applyFill="1" applyBorder="1" applyAlignment="1"/>
    <xf numFmtId="3" fontId="7" fillId="5" borderId="57" xfId="9" applyNumberFormat="1" applyFont="1" applyFill="1" applyBorder="1" applyAlignment="1"/>
    <xf numFmtId="0" fontId="7" fillId="0" borderId="77" xfId="9" applyFont="1" applyBorder="1" applyAlignment="1"/>
    <xf numFmtId="192" fontId="12" fillId="0" borderId="79" xfId="9" applyNumberFormat="1" applyFont="1" applyBorder="1" applyAlignment="1">
      <alignment horizontal="left"/>
    </xf>
    <xf numFmtId="177" fontId="7" fillId="0" borderId="80" xfId="9" applyNumberFormat="1" applyFont="1" applyBorder="1" applyAlignment="1"/>
    <xf numFmtId="0" fontId="24" fillId="5" borderId="5" xfId="9" applyFont="1" applyFill="1" applyBorder="1" applyAlignment="1"/>
    <xf numFmtId="3" fontId="7" fillId="5" borderId="58" xfId="9" applyNumberFormat="1" applyFont="1" applyFill="1" applyBorder="1" applyAlignment="1"/>
    <xf numFmtId="0" fontId="24" fillId="0" borderId="81" xfId="9" applyFont="1" applyBorder="1" applyAlignment="1"/>
    <xf numFmtId="0" fontId="7" fillId="0" borderId="78" xfId="9" applyFont="1" applyBorder="1" applyAlignment="1"/>
    <xf numFmtId="6" fontId="20" fillId="0" borderId="58" xfId="9" applyNumberFormat="1" applyFont="1" applyBorder="1" applyAlignment="1"/>
    <xf numFmtId="9" fontId="12" fillId="0" borderId="58" xfId="1" applyFont="1" applyBorder="1" applyAlignment="1"/>
    <xf numFmtId="9" fontId="12" fillId="0" borderId="0" xfId="1" applyFont="1" applyFill="1" applyBorder="1" applyAlignment="1"/>
    <xf numFmtId="10" fontId="12" fillId="0" borderId="58" xfId="1" applyNumberFormat="1" applyFont="1" applyFill="1" applyBorder="1" applyAlignment="1"/>
    <xf numFmtId="10" fontId="12" fillId="0" borderId="0" xfId="1" applyNumberFormat="1" applyFont="1" applyFill="1" applyBorder="1" applyAlignment="1"/>
    <xf numFmtId="9" fontId="12" fillId="0" borderId="62" xfId="1" applyFont="1" applyBorder="1" applyAlignment="1"/>
    <xf numFmtId="6" fontId="7" fillId="0" borderId="78" xfId="9" applyNumberFormat="1" applyFont="1" applyBorder="1" applyAlignment="1"/>
    <xf numFmtId="6" fontId="3" fillId="0" borderId="53" xfId="9" applyNumberFormat="1" applyFont="1" applyBorder="1" applyAlignment="1">
      <alignment horizontal="center"/>
    </xf>
    <xf numFmtId="164" fontId="7" fillId="0" borderId="5" xfId="9" applyNumberFormat="1" applyFont="1" applyBorder="1" applyAlignment="1"/>
    <xf numFmtId="164" fontId="12" fillId="0" borderId="0" xfId="7" applyNumberFormat="1" applyFont="1" applyFill="1" applyBorder="1"/>
    <xf numFmtId="164" fontId="22" fillId="0" borderId="0" xfId="9" applyNumberFormat="1" applyAlignment="1"/>
    <xf numFmtId="14" fontId="36" fillId="3" borderId="53" xfId="9" applyNumberFormat="1" applyFont="1" applyFill="1" applyBorder="1" applyAlignment="1">
      <alignment horizontal="left"/>
    </xf>
    <xf numFmtId="0" fontId="18" fillId="0" borderId="81" xfId="9" applyFont="1" applyBorder="1" applyAlignment="1">
      <alignment vertical="center"/>
    </xf>
    <xf numFmtId="0" fontId="24" fillId="0" borderId="1" xfId="9" applyFont="1" applyBorder="1" applyAlignment="1">
      <alignment horizontal="center" vertical="center"/>
    </xf>
    <xf numFmtId="193" fontId="24" fillId="0" borderId="1" xfId="9" applyNumberFormat="1" applyFont="1" applyBorder="1" applyAlignment="1">
      <alignment horizontal="center" vertical="center"/>
    </xf>
    <xf numFmtId="194" fontId="24" fillId="0" borderId="78" xfId="9" applyNumberFormat="1" applyFont="1" applyBorder="1" applyAlignment="1">
      <alignment horizontal="center" vertical="center"/>
    </xf>
    <xf numFmtId="0" fontId="7" fillId="0" borderId="81" xfId="9" applyFont="1" applyBorder="1" applyAlignment="1"/>
    <xf numFmtId="0" fontId="7" fillId="0" borderId="1" xfId="9" applyFont="1" applyBorder="1" applyAlignment="1"/>
    <xf numFmtId="10" fontId="12" fillId="0" borderId="1" xfId="9" applyNumberFormat="1" applyFont="1" applyBorder="1" applyAlignment="1"/>
    <xf numFmtId="10" fontId="12" fillId="0" borderId="78" xfId="9" applyNumberFormat="1" applyFont="1" applyBorder="1" applyAlignment="1"/>
    <xf numFmtId="0" fontId="19" fillId="0" borderId="0" xfId="9" applyFont="1">
      <alignment vertical="top"/>
    </xf>
    <xf numFmtId="164" fontId="8" fillId="0" borderId="0" xfId="7" applyNumberFormat="1" applyFont="1" applyFill="1" applyBorder="1" applyAlignment="1">
      <alignment vertical="center"/>
    </xf>
    <xf numFmtId="164" fontId="8" fillId="6" borderId="0" xfId="7" applyNumberFormat="1" applyFont="1" applyFill="1" applyBorder="1" applyAlignment="1">
      <alignment vertical="center"/>
    </xf>
    <xf numFmtId="164" fontId="8" fillId="7" borderId="0" xfId="7" applyNumberFormat="1" applyFont="1" applyFill="1" applyBorder="1" applyAlignment="1">
      <alignment vertical="center"/>
    </xf>
    <xf numFmtId="195" fontId="19" fillId="0" borderId="0" xfId="9" applyNumberFormat="1" applyFont="1">
      <alignment vertical="top"/>
    </xf>
    <xf numFmtId="0" fontId="20" fillId="0" borderId="17" xfId="9" applyFont="1" applyBorder="1">
      <alignment vertical="top"/>
    </xf>
    <xf numFmtId="0" fontId="19" fillId="0" borderId="17" xfId="9" applyFont="1" applyBorder="1">
      <alignment vertical="top"/>
    </xf>
    <xf numFmtId="0" fontId="10" fillId="0" borderId="17" xfId="9" applyFont="1" applyBorder="1">
      <alignment vertical="top"/>
    </xf>
    <xf numFmtId="0" fontId="10" fillId="0" borderId="17" xfId="9" applyFont="1" applyBorder="1" applyAlignment="1">
      <alignment horizontal="right" vertical="top"/>
    </xf>
    <xf numFmtId="0" fontId="10" fillId="0" borderId="0" xfId="9" applyFont="1" applyAlignment="1">
      <alignment horizontal="right" vertical="top"/>
    </xf>
    <xf numFmtId="196" fontId="19" fillId="0" borderId="0" xfId="9" applyNumberFormat="1" applyFont="1">
      <alignment vertical="top"/>
    </xf>
    <xf numFmtId="0" fontId="36" fillId="8" borderId="0" xfId="9" applyFont="1" applyFill="1">
      <alignment vertical="top"/>
    </xf>
    <xf numFmtId="0" fontId="36" fillId="8" borderId="0" xfId="9" applyFont="1" applyFill="1" applyAlignment="1">
      <alignment horizontal="center"/>
    </xf>
    <xf numFmtId="178" fontId="36" fillId="8" borderId="0" xfId="9" applyNumberFormat="1" applyFont="1" applyFill="1" applyAlignment="1">
      <alignment horizontal="center"/>
    </xf>
    <xf numFmtId="14" fontId="20" fillId="8" borderId="0" xfId="9" applyNumberFormat="1" applyFont="1" applyFill="1" applyAlignment="1">
      <alignment horizontal="center"/>
    </xf>
    <xf numFmtId="0" fontId="44" fillId="9" borderId="0" xfId="9" applyFont="1" applyFill="1">
      <alignment vertical="top"/>
    </xf>
    <xf numFmtId="0" fontId="44" fillId="9" borderId="0" xfId="9" applyFont="1" applyFill="1" applyAlignment="1">
      <alignment horizontal="center"/>
    </xf>
    <xf numFmtId="0" fontId="36" fillId="9" borderId="0" xfId="9" applyFont="1" applyFill="1" applyAlignment="1">
      <alignment horizontal="center"/>
    </xf>
    <xf numFmtId="197" fontId="44" fillId="9" borderId="0" xfId="9" applyNumberFormat="1" applyFont="1" applyFill="1" applyAlignment="1">
      <alignment horizontal="center"/>
    </xf>
    <xf numFmtId="178" fontId="36" fillId="9" borderId="0" xfId="9" applyNumberFormat="1" applyFont="1" applyFill="1" applyAlignment="1">
      <alignment horizontal="center"/>
    </xf>
    <xf numFmtId="178" fontId="44" fillId="9" borderId="0" xfId="9" applyNumberFormat="1" applyFont="1" applyFill="1" applyAlignment="1">
      <alignment horizontal="center"/>
    </xf>
    <xf numFmtId="1" fontId="44" fillId="9" borderId="0" xfId="7" applyNumberFormat="1" applyFont="1" applyFill="1" applyAlignment="1">
      <alignment horizontal="center"/>
    </xf>
    <xf numFmtId="0" fontId="44" fillId="9" borderId="0" xfId="9" applyFont="1" applyFill="1" applyAlignment="1">
      <alignment horizontal="left" vertical="top" indent="1"/>
    </xf>
    <xf numFmtId="17" fontId="24" fillId="0" borderId="82" xfId="9" applyNumberFormat="1" applyFont="1" applyBorder="1" applyAlignment="1">
      <alignment vertical="center"/>
    </xf>
    <xf numFmtId="17" fontId="24" fillId="0" borderId="83" xfId="9" applyNumberFormat="1" applyFont="1" applyBorder="1" applyAlignment="1">
      <alignment vertical="center"/>
    </xf>
    <xf numFmtId="17" fontId="24" fillId="0" borderId="84" xfId="9" applyNumberFormat="1" applyFont="1" applyBorder="1" applyAlignment="1">
      <alignment horizontal="center" vertical="center"/>
    </xf>
    <xf numFmtId="0" fontId="24" fillId="0" borderId="84" xfId="9" applyFont="1" applyBorder="1" applyAlignment="1">
      <alignment horizontal="center" vertical="center"/>
    </xf>
    <xf numFmtId="0" fontId="24" fillId="0" borderId="82" xfId="9" applyFont="1" applyBorder="1" applyAlignment="1">
      <alignment horizontal="center" vertical="center"/>
    </xf>
    <xf numFmtId="0" fontId="24" fillId="0" borderId="85" xfId="9" applyFont="1" applyBorder="1" applyAlignment="1">
      <alignment horizontal="center" vertical="center"/>
    </xf>
    <xf numFmtId="0" fontId="19" fillId="0" borderId="56" xfId="9" applyFont="1" applyBorder="1">
      <alignment vertical="top"/>
    </xf>
    <xf numFmtId="0" fontId="19" fillId="0" borderId="22" xfId="9" applyFont="1" applyBorder="1">
      <alignment vertical="top"/>
    </xf>
    <xf numFmtId="170" fontId="8" fillId="0" borderId="57" xfId="9" applyNumberFormat="1" applyFont="1" applyBorder="1">
      <alignment vertical="top"/>
    </xf>
    <xf numFmtId="0" fontId="19" fillId="0" borderId="57" xfId="9" applyFont="1" applyBorder="1">
      <alignment vertical="top"/>
    </xf>
    <xf numFmtId="17" fontId="7" fillId="0" borderId="61" xfId="9" applyNumberFormat="1" applyFont="1" applyBorder="1" applyAlignment="1">
      <alignment vertical="center"/>
    </xf>
    <xf numFmtId="17" fontId="24" fillId="0" borderId="86" xfId="9" applyNumberFormat="1" applyFont="1" applyBorder="1" applyAlignment="1">
      <alignment vertical="center"/>
    </xf>
    <xf numFmtId="17" fontId="24" fillId="0" borderId="86" xfId="9" applyNumberFormat="1" applyFont="1" applyBorder="1" applyAlignment="1">
      <alignment horizontal="center" vertical="center"/>
    </xf>
    <xf numFmtId="164" fontId="7" fillId="0" borderId="0" xfId="9" applyNumberFormat="1" applyFont="1" applyAlignment="1">
      <alignment horizontal="center" vertical="center"/>
    </xf>
    <xf numFmtId="0" fontId="24" fillId="0" borderId="87" xfId="9" applyFont="1" applyBorder="1" applyAlignment="1">
      <alignment horizontal="center" vertical="center"/>
    </xf>
    <xf numFmtId="0" fontId="19" fillId="0" borderId="5" xfId="9" applyFont="1" applyBorder="1">
      <alignment vertical="top"/>
    </xf>
    <xf numFmtId="170" fontId="8" fillId="0" borderId="58" xfId="9" applyNumberFormat="1" applyFont="1" applyBorder="1">
      <alignment vertical="top"/>
    </xf>
    <xf numFmtId="0" fontId="19" fillId="0" borderId="58" xfId="9" applyFont="1" applyBorder="1">
      <alignment vertical="top"/>
    </xf>
    <xf numFmtId="9" fontId="24" fillId="0" borderId="86" xfId="1" applyFont="1" applyBorder="1" applyAlignment="1">
      <alignment vertical="center"/>
    </xf>
    <xf numFmtId="0" fontId="24" fillId="0" borderId="0" xfId="9" applyFont="1" applyAlignment="1">
      <alignment horizontal="center" vertical="center"/>
    </xf>
    <xf numFmtId="164" fontId="3" fillId="0" borderId="0" xfId="7" applyNumberFormat="1" applyFont="1" applyFill="1" applyBorder="1" applyAlignment="1">
      <alignment vertical="center"/>
    </xf>
    <xf numFmtId="164" fontId="7" fillId="0" borderId="0" xfId="7" applyNumberFormat="1" applyFont="1" applyBorder="1" applyAlignment="1">
      <alignment vertical="center"/>
    </xf>
    <xf numFmtId="10" fontId="8" fillId="0" borderId="58" xfId="9" applyNumberFormat="1" applyFont="1" applyBorder="1">
      <alignment vertical="top"/>
    </xf>
    <xf numFmtId="44" fontId="7" fillId="0" borderId="0" xfId="13" applyFont="1" applyBorder="1" applyAlignment="1">
      <alignment horizontal="center" vertical="center"/>
    </xf>
    <xf numFmtId="198" fontId="3" fillId="0" borderId="0" xfId="13" applyNumberFormat="1" applyFont="1" applyFill="1" applyBorder="1" applyAlignment="1">
      <alignment horizontal="center" vertical="center"/>
    </xf>
    <xf numFmtId="0" fontId="19" fillId="0" borderId="63" xfId="9" applyFont="1" applyBorder="1">
      <alignment vertical="top"/>
    </xf>
    <xf numFmtId="170" fontId="8" fillId="0" borderId="62" xfId="9" applyNumberFormat="1" applyFont="1" applyBorder="1">
      <alignment vertical="top"/>
    </xf>
    <xf numFmtId="10" fontId="8" fillId="0" borderId="62" xfId="9" applyNumberFormat="1" applyFont="1" applyBorder="1">
      <alignment vertical="top"/>
    </xf>
    <xf numFmtId="0" fontId="10" fillId="10" borderId="88" xfId="9" applyFont="1" applyFill="1" applyBorder="1" applyAlignment="1">
      <alignment vertical="center"/>
    </xf>
    <xf numFmtId="0" fontId="10" fillId="10" borderId="89" xfId="9" applyFont="1" applyFill="1" applyBorder="1" applyAlignment="1">
      <alignment vertical="center"/>
    </xf>
    <xf numFmtId="9" fontId="20" fillId="10" borderId="72" xfId="1" applyFont="1" applyFill="1" applyBorder="1" applyAlignment="1">
      <alignment vertical="center"/>
    </xf>
    <xf numFmtId="10" fontId="12" fillId="10" borderId="90" xfId="9" applyNumberFormat="1" applyFont="1" applyFill="1" applyBorder="1" applyAlignment="1">
      <alignment vertical="center"/>
    </xf>
    <xf numFmtId="0" fontId="19" fillId="0" borderId="0" xfId="9" applyFont="1" applyAlignment="1">
      <alignment vertical="center"/>
    </xf>
    <xf numFmtId="0" fontId="19" fillId="10" borderId="91" xfId="9" applyFont="1" applyFill="1" applyBorder="1" applyAlignment="1">
      <alignment vertical="center"/>
    </xf>
    <xf numFmtId="0" fontId="7" fillId="0" borderId="61" xfId="9" applyFont="1" applyBorder="1" applyAlignment="1"/>
    <xf numFmtId="0" fontId="7" fillId="0" borderId="86" xfId="9" applyFont="1" applyBorder="1" applyAlignment="1"/>
    <xf numFmtId="6" fontId="7" fillId="0" borderId="0" xfId="7" applyNumberFormat="1" applyFont="1" applyFill="1" applyBorder="1" applyAlignment="1">
      <alignment horizontal="center"/>
    </xf>
    <xf numFmtId="0" fontId="7" fillId="0" borderId="87" xfId="9" applyFont="1" applyBorder="1" applyAlignment="1">
      <alignment horizontal="center"/>
    </xf>
    <xf numFmtId="0" fontId="7" fillId="0" borderId="86" xfId="9" applyFont="1" applyBorder="1" applyAlignment="1">
      <alignment horizontal="center"/>
    </xf>
    <xf numFmtId="0" fontId="19" fillId="0" borderId="92" xfId="9" applyFont="1" applyBorder="1">
      <alignment vertical="top"/>
    </xf>
    <xf numFmtId="198" fontId="19" fillId="0" borderId="92" xfId="13" applyNumberFormat="1" applyFont="1" applyFill="1" applyBorder="1" applyAlignment="1">
      <alignment vertical="top"/>
    </xf>
    <xf numFmtId="0" fontId="24" fillId="0" borderId="61" xfId="9" applyFont="1" applyBorder="1" applyAlignment="1"/>
    <xf numFmtId="43" fontId="7" fillId="0" borderId="0" xfId="7" applyFont="1" applyFill="1" applyBorder="1" applyAlignment="1">
      <alignment horizontal="center"/>
    </xf>
    <xf numFmtId="9" fontId="7" fillId="0" borderId="0" xfId="1" applyFont="1" applyFill="1" applyBorder="1" applyAlignment="1">
      <alignment horizontal="center"/>
    </xf>
    <xf numFmtId="6" fontId="7" fillId="0" borderId="0" xfId="1" applyNumberFormat="1" applyFont="1" applyFill="1" applyBorder="1" applyAlignment="1">
      <alignment horizontal="center"/>
    </xf>
    <xf numFmtId="0" fontId="7" fillId="0" borderId="0" xfId="9" applyFont="1" applyAlignment="1">
      <alignment horizontal="center"/>
    </xf>
    <xf numFmtId="8" fontId="3" fillId="0" borderId="87" xfId="9" applyNumberFormat="1" applyFont="1" applyBorder="1" applyAlignment="1"/>
    <xf numFmtId="6" fontId="7" fillId="0" borderId="87" xfId="9" applyNumberFormat="1" applyFont="1" applyBorder="1" applyAlignment="1"/>
    <xf numFmtId="8" fontId="19" fillId="0" borderId="0" xfId="9" applyNumberFormat="1" applyFont="1">
      <alignment vertical="top"/>
    </xf>
    <xf numFmtId="0" fontId="7" fillId="0" borderId="93" xfId="9" applyFont="1" applyBorder="1" applyAlignment="1"/>
    <xf numFmtId="6" fontId="7" fillId="0" borderId="94" xfId="9" applyNumberFormat="1" applyFont="1" applyBorder="1" applyAlignment="1"/>
    <xf numFmtId="38" fontId="8" fillId="0" borderId="0" xfId="9" applyNumberFormat="1" applyFont="1" applyAlignment="1"/>
    <xf numFmtId="38" fontId="7" fillId="0" borderId="87" xfId="9" applyNumberFormat="1" applyFont="1" applyBorder="1" applyAlignment="1"/>
    <xf numFmtId="0" fontId="16" fillId="0" borderId="88" xfId="9" applyFont="1" applyBorder="1" applyAlignment="1"/>
    <xf numFmtId="0" fontId="16" fillId="0" borderId="89" xfId="9" applyFont="1" applyBorder="1" applyAlignment="1"/>
    <xf numFmtId="6" fontId="16" fillId="0" borderId="90" xfId="9" applyNumberFormat="1" applyFont="1" applyBorder="1" applyAlignment="1"/>
    <xf numFmtId="6" fontId="31" fillId="0" borderId="72" xfId="9" applyNumberFormat="1" applyFont="1" applyBorder="1" applyAlignment="1"/>
    <xf numFmtId="6" fontId="16" fillId="0" borderId="72" xfId="9" applyNumberFormat="1" applyFont="1" applyBorder="1" applyAlignment="1"/>
    <xf numFmtId="0" fontId="19" fillId="0" borderId="95" xfId="9" applyFont="1" applyBorder="1">
      <alignment vertical="top"/>
    </xf>
    <xf numFmtId="44" fontId="19" fillId="0" borderId="95" xfId="13" applyFont="1" applyFill="1" applyBorder="1" applyAlignment="1">
      <alignment vertical="top"/>
    </xf>
    <xf numFmtId="10" fontId="3" fillId="0" borderId="96" xfId="9" applyNumberFormat="1" applyFont="1" applyBorder="1" applyAlignment="1"/>
    <xf numFmtId="38" fontId="7" fillId="0" borderId="0" xfId="9" applyNumberFormat="1" applyFont="1" applyAlignment="1"/>
    <xf numFmtId="9" fontId="8" fillId="0" borderId="97" xfId="9" applyNumberFormat="1" applyFont="1" applyBorder="1" applyAlignment="1">
      <alignment horizontal="center" vertical="center"/>
    </xf>
    <xf numFmtId="6" fontId="19" fillId="0" borderId="0" xfId="9" applyNumberFormat="1" applyFont="1">
      <alignment vertical="top"/>
    </xf>
    <xf numFmtId="6" fontId="3" fillId="0" borderId="87" xfId="9" applyNumberFormat="1" applyFont="1" applyBorder="1" applyAlignment="1"/>
    <xf numFmtId="0" fontId="8" fillId="11" borderId="97" xfId="9" applyFont="1" applyFill="1" applyBorder="1" applyAlignment="1">
      <alignment horizontal="center" vertical="top"/>
    </xf>
    <xf numFmtId="6" fontId="17" fillId="0" borderId="90" xfId="9" applyNumberFormat="1" applyFont="1" applyBorder="1" applyAlignment="1"/>
    <xf numFmtId="0" fontId="8" fillId="0" borderId="0" xfId="9" applyFont="1" applyAlignment="1">
      <alignment horizontal="center" vertical="top"/>
    </xf>
    <xf numFmtId="0" fontId="19" fillId="0" borderId="71" xfId="9" applyFont="1" applyBorder="1">
      <alignment vertical="top"/>
    </xf>
    <xf numFmtId="170" fontId="8" fillId="0" borderId="73" xfId="9" applyNumberFormat="1" applyFont="1" applyBorder="1">
      <alignment vertical="top"/>
    </xf>
    <xf numFmtId="10" fontId="3" fillId="0" borderId="87" xfId="9" applyNumberFormat="1" applyFont="1" applyBorder="1" applyAlignment="1"/>
    <xf numFmtId="164" fontId="19" fillId="0" borderId="0" xfId="7" applyNumberFormat="1" applyFont="1" applyFill="1" applyBorder="1" applyAlignment="1">
      <alignment vertical="top"/>
    </xf>
    <xf numFmtId="0" fontId="24" fillId="5" borderId="88" xfId="9" applyFont="1" applyFill="1" applyBorder="1" applyAlignment="1">
      <alignment vertical="center"/>
    </xf>
    <xf numFmtId="0" fontId="24" fillId="5" borderId="89" xfId="9" applyFont="1" applyFill="1" applyBorder="1" applyAlignment="1">
      <alignment vertical="center"/>
    </xf>
    <xf numFmtId="8" fontId="24" fillId="5" borderId="90" xfId="9" applyNumberFormat="1" applyFont="1" applyFill="1" applyBorder="1" applyAlignment="1">
      <alignment vertical="center"/>
    </xf>
    <xf numFmtId="6" fontId="20" fillId="5" borderId="72" xfId="9" applyNumberFormat="1" applyFont="1" applyFill="1" applyBorder="1" applyAlignment="1">
      <alignment vertical="center"/>
    </xf>
    <xf numFmtId="6" fontId="24" fillId="5" borderId="72" xfId="9" applyNumberFormat="1" applyFont="1" applyFill="1" applyBorder="1" applyAlignment="1">
      <alignment vertical="center"/>
    </xf>
    <xf numFmtId="6" fontId="24" fillId="5" borderId="90" xfId="9" applyNumberFormat="1" applyFont="1" applyFill="1" applyBorder="1" applyAlignment="1">
      <alignment vertical="center"/>
    </xf>
    <xf numFmtId="0" fontId="10" fillId="0" borderId="0" xfId="9" applyFont="1" applyAlignment="1">
      <alignment vertical="center"/>
    </xf>
    <xf numFmtId="8" fontId="10" fillId="0" borderId="0" xfId="9" applyNumberFormat="1" applyFont="1" applyAlignment="1">
      <alignment vertical="center"/>
    </xf>
    <xf numFmtId="0" fontId="45" fillId="0" borderId="87" xfId="9" quotePrefix="1" applyFont="1" applyBorder="1" applyAlignment="1">
      <alignment horizontal="center"/>
    </xf>
    <xf numFmtId="43" fontId="13" fillId="0" borderId="0" xfId="7" applyFont="1" applyAlignment="1"/>
    <xf numFmtId="0" fontId="7" fillId="0" borderId="87" xfId="9" applyFont="1" applyBorder="1" applyAlignment="1"/>
    <xf numFmtId="177" fontId="19" fillId="0" borderId="0" xfId="9" applyNumberFormat="1" applyFont="1">
      <alignment vertical="top"/>
    </xf>
    <xf numFmtId="199" fontId="19" fillId="0" borderId="0" xfId="9" applyNumberFormat="1" applyFont="1">
      <alignment vertical="top"/>
    </xf>
    <xf numFmtId="0" fontId="16" fillId="0" borderId="88" xfId="9" applyFont="1" applyBorder="1" applyAlignment="1">
      <alignment horizontal="left" indent="1"/>
    </xf>
    <xf numFmtId="6" fontId="31" fillId="0" borderId="90" xfId="9" applyNumberFormat="1" applyFont="1" applyBorder="1" applyAlignment="1"/>
    <xf numFmtId="10" fontId="7" fillId="0" borderId="87" xfId="9" applyNumberFormat="1" applyFont="1" applyBorder="1" applyAlignment="1"/>
    <xf numFmtId="38" fontId="3" fillId="0" borderId="0" xfId="9" applyNumberFormat="1" applyFont="1" applyAlignment="1"/>
    <xf numFmtId="6" fontId="31" fillId="5" borderId="90" xfId="9" applyNumberFormat="1" applyFont="1" applyFill="1" applyBorder="1" applyAlignment="1">
      <alignment vertical="center"/>
    </xf>
    <xf numFmtId="0" fontId="24" fillId="0" borderId="86" xfId="9" applyFont="1" applyBorder="1" applyAlignment="1"/>
    <xf numFmtId="6" fontId="24" fillId="0" borderId="87" xfId="9" applyNumberFormat="1" applyFont="1" applyBorder="1" applyAlignment="1"/>
    <xf numFmtId="6" fontId="24" fillId="0" borderId="0" xfId="9" applyNumberFormat="1" applyFont="1" applyAlignment="1"/>
    <xf numFmtId="0" fontId="24" fillId="5" borderId="98" xfId="9" applyFont="1" applyFill="1" applyBorder="1" applyAlignment="1">
      <alignment vertical="center"/>
    </xf>
    <xf numFmtId="0" fontId="24" fillId="5" borderId="99" xfId="9" applyFont="1" applyFill="1" applyBorder="1" applyAlignment="1">
      <alignment vertical="center"/>
    </xf>
    <xf numFmtId="6" fontId="24" fillId="5" borderId="100" xfId="9" applyNumberFormat="1" applyFont="1" applyFill="1" applyBorder="1" applyAlignment="1">
      <alignment vertical="center"/>
    </xf>
    <xf numFmtId="6" fontId="24" fillId="5" borderId="32" xfId="9" applyNumberFormat="1" applyFont="1" applyFill="1" applyBorder="1" applyAlignment="1">
      <alignment vertical="center"/>
    </xf>
    <xf numFmtId="6" fontId="10" fillId="0" borderId="0" xfId="9" applyNumberFormat="1" applyFont="1" applyAlignment="1">
      <alignment vertical="center"/>
    </xf>
    <xf numFmtId="0" fontId="10" fillId="0" borderId="61" xfId="9" applyFont="1" applyBorder="1">
      <alignment vertical="top"/>
    </xf>
    <xf numFmtId="0" fontId="10" fillId="0" borderId="0" xfId="9" applyFont="1">
      <alignment vertical="top"/>
    </xf>
    <xf numFmtId="0" fontId="10" fillId="0" borderId="101" xfId="9" applyFont="1" applyBorder="1">
      <alignment vertical="top"/>
    </xf>
    <xf numFmtId="43" fontId="46" fillId="0" borderId="0" xfId="7" applyFont="1" applyFill="1" applyBorder="1" applyAlignment="1">
      <alignment vertical="top"/>
    </xf>
    <xf numFmtId="164" fontId="10" fillId="0" borderId="0" xfId="7" applyNumberFormat="1" applyFont="1" applyFill="1" applyBorder="1" applyAlignment="1">
      <alignment vertical="top"/>
    </xf>
    <xf numFmtId="0" fontId="19" fillId="0" borderId="87" xfId="9" applyFont="1" applyBorder="1">
      <alignment vertical="top"/>
    </xf>
    <xf numFmtId="0" fontId="10" fillId="0" borderId="87" xfId="9" applyFont="1" applyBorder="1">
      <alignment vertical="top"/>
    </xf>
    <xf numFmtId="0" fontId="19" fillId="0" borderId="61" xfId="9" applyFont="1" applyBorder="1" applyAlignment="1">
      <alignment horizontal="left" vertical="top" indent="1"/>
    </xf>
    <xf numFmtId="0" fontId="19" fillId="0" borderId="4" xfId="9" applyFont="1" applyBorder="1">
      <alignment vertical="top"/>
    </xf>
    <xf numFmtId="164" fontId="7" fillId="0" borderId="4" xfId="9" applyNumberFormat="1" applyFont="1" applyBorder="1" applyAlignment="1"/>
    <xf numFmtId="0" fontId="36" fillId="3" borderId="0" xfId="9" applyFont="1" applyFill="1">
      <alignment vertical="top"/>
    </xf>
    <xf numFmtId="0" fontId="4" fillId="0" borderId="0" xfId="9" applyFont="1">
      <alignment vertical="top"/>
    </xf>
    <xf numFmtId="200" fontId="47" fillId="0" borderId="0" xfId="9" applyNumberFormat="1" applyFont="1" applyAlignment="1">
      <alignment horizontal="center"/>
    </xf>
    <xf numFmtId="0" fontId="19" fillId="0" borderId="102" xfId="9" applyFont="1" applyBorder="1">
      <alignment vertical="top"/>
    </xf>
    <xf numFmtId="10" fontId="10" fillId="0" borderId="103" xfId="1" applyNumberFormat="1" applyFont="1" applyBorder="1">
      <alignment vertical="top"/>
    </xf>
    <xf numFmtId="0" fontId="19" fillId="0" borderId="61" xfId="9" applyFont="1" applyBorder="1">
      <alignment vertical="top"/>
    </xf>
    <xf numFmtId="43" fontId="10" fillId="0" borderId="86" xfId="9" applyNumberFormat="1" applyFont="1" applyBorder="1">
      <alignment vertical="top"/>
    </xf>
    <xf numFmtId="0" fontId="19" fillId="0" borderId="104" xfId="9" applyFont="1" applyBorder="1">
      <alignment vertical="top"/>
    </xf>
    <xf numFmtId="164" fontId="10" fillId="0" borderId="105" xfId="9" applyNumberFormat="1" applyFont="1" applyBorder="1">
      <alignment vertical="top"/>
    </xf>
    <xf numFmtId="0" fontId="24" fillId="0" borderId="106" xfId="9" applyFont="1" applyBorder="1" applyAlignment="1"/>
    <xf numFmtId="0" fontId="7" fillId="0" borderId="106" xfId="9" applyFont="1" applyBorder="1" applyAlignment="1"/>
    <xf numFmtId="0" fontId="19" fillId="0" borderId="20" xfId="9" applyFont="1" applyBorder="1">
      <alignment vertical="top"/>
    </xf>
    <xf numFmtId="6" fontId="19" fillId="0" borderId="20" xfId="9" applyNumberFormat="1" applyFont="1" applyBorder="1">
      <alignment vertical="top"/>
    </xf>
    <xf numFmtId="0" fontId="7" fillId="0" borderId="20" xfId="9" applyFont="1" applyBorder="1" applyAlignment="1"/>
    <xf numFmtId="0" fontId="16" fillId="0" borderId="20" xfId="9" applyFont="1" applyBorder="1" applyAlignment="1"/>
    <xf numFmtId="10" fontId="19" fillId="0" borderId="102" xfId="9" applyNumberFormat="1" applyFont="1" applyBorder="1">
      <alignment vertical="top"/>
    </xf>
    <xf numFmtId="10" fontId="19" fillId="0" borderId="20" xfId="9" applyNumberFormat="1" applyFont="1" applyBorder="1">
      <alignment vertical="top"/>
    </xf>
    <xf numFmtId="0" fontId="16" fillId="0" borderId="0" xfId="9" applyFont="1" applyAlignment="1"/>
    <xf numFmtId="10" fontId="19" fillId="0" borderId="61" xfId="9" applyNumberFormat="1" applyFont="1" applyBorder="1">
      <alignment vertical="top"/>
    </xf>
    <xf numFmtId="10" fontId="19" fillId="0" borderId="0" xfId="9" applyNumberFormat="1" applyFont="1">
      <alignment vertical="top"/>
    </xf>
    <xf numFmtId="0" fontId="7" fillId="0" borderId="60" xfId="9" applyFont="1" applyBorder="1" applyAlignment="1"/>
    <xf numFmtId="0" fontId="16" fillId="0" borderId="60" xfId="9" applyFont="1" applyBorder="1" applyAlignment="1"/>
    <xf numFmtId="10" fontId="19" fillId="0" borderId="104" xfId="9" applyNumberFormat="1" applyFont="1" applyBorder="1">
      <alignment vertical="top"/>
    </xf>
    <xf numFmtId="10" fontId="19" fillId="0" borderId="60" xfId="9" applyNumberFormat="1" applyFont="1" applyBorder="1">
      <alignment vertical="top"/>
    </xf>
    <xf numFmtId="164" fontId="7" fillId="0" borderId="0" xfId="3" applyNumberFormat="1" applyFont="1" applyBorder="1" applyAlignment="1"/>
    <xf numFmtId="164" fontId="24" fillId="0" borderId="0" xfId="3" applyNumberFormat="1" applyFont="1" applyBorder="1" applyAlignment="1"/>
    <xf numFmtId="6" fontId="8" fillId="12" borderId="0" xfId="9" applyNumberFormat="1" applyFont="1" applyFill="1" applyAlignment="1"/>
    <xf numFmtId="0" fontId="31" fillId="4" borderId="13" xfId="2" applyFont="1" applyFill="1" applyBorder="1" applyAlignment="1">
      <alignment horizontal="left" indent="1"/>
    </xf>
    <xf numFmtId="172" fontId="31" fillId="4" borderId="0" xfId="4" applyNumberFormat="1" applyFont="1" applyFill="1" applyAlignment="1">
      <alignment horizontal="right" vertical="center"/>
    </xf>
    <xf numFmtId="0" fontId="11" fillId="0" borderId="0" xfId="2" applyFont="1"/>
    <xf numFmtId="173" fontId="3" fillId="0" borderId="0" xfId="6" applyNumberFormat="1" applyFont="1" applyFill="1" applyBorder="1"/>
    <xf numFmtId="201" fontId="3" fillId="0" borderId="0" xfId="4" applyNumberFormat="1" applyFont="1" applyAlignment="1">
      <alignment horizontal="right" vertical="center"/>
    </xf>
    <xf numFmtId="201" fontId="3" fillId="0" borderId="0" xfId="2" applyNumberFormat="1" applyFont="1"/>
    <xf numFmtId="0" fontId="3" fillId="0" borderId="0" xfId="18" applyFont="1"/>
    <xf numFmtId="10" fontId="19" fillId="0" borderId="0" xfId="17" applyNumberFormat="1" applyFont="1"/>
    <xf numFmtId="170" fontId="8" fillId="0" borderId="0" xfId="12" quotePrefix="1" applyNumberFormat="1" applyFont="1" applyAlignment="1">
      <alignment horizontal="center"/>
    </xf>
    <xf numFmtId="41" fontId="7" fillId="0" borderId="0" xfId="2" applyNumberFormat="1" applyFont="1"/>
    <xf numFmtId="164" fontId="8" fillId="0" borderId="0" xfId="9" applyNumberFormat="1" applyFont="1" applyAlignment="1"/>
    <xf numFmtId="0" fontId="3" fillId="4" borderId="107" xfId="2" applyFont="1" applyFill="1" applyBorder="1"/>
    <xf numFmtId="172" fontId="3" fillId="4" borderId="22" xfId="4" applyNumberFormat="1" applyFont="1" applyFill="1" applyBorder="1" applyAlignment="1">
      <alignment horizontal="right" vertical="center"/>
    </xf>
    <xf numFmtId="9" fontId="7" fillId="4" borderId="108" xfId="5" applyFont="1" applyFill="1" applyBorder="1" applyAlignment="1">
      <alignment horizontal="center"/>
    </xf>
    <xf numFmtId="0" fontId="19" fillId="0" borderId="0" xfId="19" applyFont="1"/>
    <xf numFmtId="0" fontId="58" fillId="0" borderId="0" xfId="19" applyFont="1"/>
    <xf numFmtId="0" fontId="54" fillId="0" borderId="39" xfId="19" applyFont="1" applyBorder="1"/>
    <xf numFmtId="0" fontId="19" fillId="0" borderId="0" xfId="20" applyFont="1"/>
    <xf numFmtId="0" fontId="51" fillId="0" borderId="0" xfId="20" applyFont="1"/>
    <xf numFmtId="177" fontId="19" fillId="0" borderId="0" xfId="20" applyNumberFormat="1" applyFont="1"/>
    <xf numFmtId="170" fontId="3" fillId="0" borderId="0" xfId="20" applyNumberFormat="1" applyFont="1" applyAlignment="1">
      <alignment horizontal="center"/>
    </xf>
    <xf numFmtId="170" fontId="19" fillId="0" borderId="0" xfId="20" applyNumberFormat="1" applyFont="1" applyAlignment="1">
      <alignment horizontal="center"/>
    </xf>
    <xf numFmtId="41" fontId="19" fillId="0" borderId="0" xfId="20" applyNumberFormat="1" applyFont="1" applyAlignment="1">
      <alignment horizontal="center"/>
    </xf>
    <xf numFmtId="170" fontId="3" fillId="0" borderId="17" xfId="20" applyNumberFormat="1" applyFont="1" applyBorder="1" applyAlignment="1">
      <alignment horizontal="center"/>
    </xf>
    <xf numFmtId="0" fontId="10" fillId="0" borderId="0" xfId="20" applyFont="1"/>
    <xf numFmtId="177" fontId="10" fillId="0" borderId="0" xfId="20" applyNumberFormat="1" applyFont="1"/>
    <xf numFmtId="164" fontId="20" fillId="0" borderId="22" xfId="20" applyNumberFormat="1" applyFont="1" applyBorder="1" applyAlignment="1">
      <alignment horizontal="center"/>
    </xf>
    <xf numFmtId="41" fontId="20" fillId="0" borderId="0" xfId="20" applyNumberFormat="1" applyFont="1" applyAlignment="1">
      <alignment horizontal="center"/>
    </xf>
    <xf numFmtId="0" fontId="19" fillId="0" borderId="0" xfId="20" applyFont="1" applyAlignment="1">
      <alignment horizontal="center"/>
    </xf>
    <xf numFmtId="0" fontId="17" fillId="0" borderId="0" xfId="20" applyFont="1" applyAlignment="1">
      <alignment horizontal="center"/>
    </xf>
    <xf numFmtId="0" fontId="17" fillId="0" borderId="60" xfId="20" applyFont="1" applyBorder="1" applyAlignment="1">
      <alignment horizontal="center"/>
    </xf>
    <xf numFmtId="177" fontId="8" fillId="0" borderId="0" xfId="20" applyNumberFormat="1" applyFont="1"/>
    <xf numFmtId="41" fontId="3" fillId="0" borderId="0" xfId="20" applyNumberFormat="1" applyFont="1"/>
    <xf numFmtId="41" fontId="8" fillId="0" borderId="0" xfId="20" applyNumberFormat="1" applyFont="1"/>
    <xf numFmtId="9" fontId="8" fillId="0" borderId="0" xfId="20" quotePrefix="1" applyNumberFormat="1" applyFont="1" applyAlignment="1">
      <alignment horizontal="center"/>
    </xf>
    <xf numFmtId="170" fontId="8" fillId="0" borderId="0" xfId="20" applyNumberFormat="1" applyFont="1" applyAlignment="1">
      <alignment horizontal="center"/>
    </xf>
    <xf numFmtId="9" fontId="53" fillId="0" borderId="0" xfId="20" quotePrefix="1" applyNumberFormat="1" applyFont="1" applyAlignment="1">
      <alignment horizontal="center"/>
    </xf>
    <xf numFmtId="170" fontId="53" fillId="0" borderId="0" xfId="20" applyNumberFormat="1" applyFont="1" applyAlignment="1">
      <alignment horizontal="center"/>
    </xf>
    <xf numFmtId="170" fontId="59" fillId="0" borderId="0" xfId="20" applyNumberFormat="1" applyFont="1" applyAlignment="1">
      <alignment horizontal="center"/>
    </xf>
    <xf numFmtId="41" fontId="10" fillId="0" borderId="0" xfId="20" applyNumberFormat="1" applyFont="1"/>
    <xf numFmtId="170" fontId="8" fillId="0" borderId="0" xfId="12" applyNumberFormat="1" applyFont="1" applyAlignment="1">
      <alignment horizontal="center"/>
    </xf>
    <xf numFmtId="178" fontId="10" fillId="0" borderId="0" xfId="20" applyNumberFormat="1" applyFont="1"/>
    <xf numFmtId="9" fontId="19" fillId="0" borderId="0" xfId="20" applyNumberFormat="1" applyFont="1"/>
    <xf numFmtId="204" fontId="3" fillId="0" borderId="0" xfId="20" applyNumberFormat="1" applyFont="1" applyAlignment="1">
      <alignment horizontal="center"/>
    </xf>
    <xf numFmtId="186" fontId="19" fillId="0" borderId="0" xfId="20" applyNumberFormat="1" applyFont="1"/>
    <xf numFmtId="41" fontId="19" fillId="0" borderId="0" xfId="20" applyNumberFormat="1" applyFont="1"/>
    <xf numFmtId="14" fontId="10" fillId="15" borderId="97" xfId="20" applyNumberFormat="1" applyFont="1" applyFill="1" applyBorder="1" applyAlignment="1">
      <alignment horizontal="center"/>
    </xf>
    <xf numFmtId="14" fontId="10" fillId="15" borderId="71" xfId="20" applyNumberFormat="1" applyFont="1" applyFill="1" applyBorder="1"/>
    <xf numFmtId="178" fontId="10" fillId="15" borderId="72" xfId="20" applyNumberFormat="1" applyFont="1" applyFill="1" applyBorder="1"/>
    <xf numFmtId="14" fontId="10" fillId="15" borderId="91" xfId="20" applyNumberFormat="1" applyFont="1" applyFill="1" applyBorder="1" applyAlignment="1">
      <alignment horizontal="center"/>
    </xf>
    <xf numFmtId="170" fontId="10" fillId="0" borderId="0" xfId="20" applyNumberFormat="1" applyFont="1" applyAlignment="1">
      <alignment horizontal="center"/>
    </xf>
    <xf numFmtId="41" fontId="20" fillId="0" borderId="91" xfId="20" applyNumberFormat="1" applyFont="1" applyBorder="1"/>
    <xf numFmtId="41" fontId="20" fillId="0" borderId="0" xfId="20" applyNumberFormat="1" applyFont="1"/>
    <xf numFmtId="41" fontId="10" fillId="0" borderId="92" xfId="20" applyNumberFormat="1" applyFont="1" applyBorder="1"/>
    <xf numFmtId="41" fontId="20" fillId="0" borderId="92" xfId="20" applyNumberFormat="1" applyFont="1" applyBorder="1"/>
    <xf numFmtId="41" fontId="20" fillId="0" borderId="95" xfId="20" applyNumberFormat="1" applyFont="1" applyBorder="1"/>
    <xf numFmtId="0" fontId="10" fillId="0" borderId="72" xfId="20" applyFont="1" applyBorder="1"/>
    <xf numFmtId="170" fontId="10" fillId="0" borderId="72" xfId="20" applyNumberFormat="1" applyFont="1" applyBorder="1" applyAlignment="1">
      <alignment horizontal="center"/>
    </xf>
    <xf numFmtId="41" fontId="20" fillId="0" borderId="97" xfId="20" applyNumberFormat="1" applyFont="1" applyBorder="1"/>
    <xf numFmtId="0" fontId="19" fillId="0" borderId="22" xfId="20" applyFont="1" applyBorder="1"/>
    <xf numFmtId="41" fontId="20" fillId="0" borderId="72" xfId="20" applyNumberFormat="1" applyFont="1" applyBorder="1"/>
    <xf numFmtId="41" fontId="10" fillId="0" borderId="91" xfId="20" applyNumberFormat="1" applyFont="1" applyBorder="1"/>
    <xf numFmtId="0" fontId="19" fillId="0" borderId="92" xfId="20" applyFont="1" applyBorder="1"/>
    <xf numFmtId="0" fontId="10" fillId="0" borderId="92" xfId="20" applyFont="1" applyBorder="1"/>
    <xf numFmtId="0" fontId="31" fillId="0" borderId="0" xfId="20" applyFont="1" applyAlignment="1">
      <alignment horizontal="left"/>
    </xf>
    <xf numFmtId="203" fontId="50" fillId="0" borderId="92" xfId="20" applyNumberFormat="1" applyFont="1" applyBorder="1"/>
    <xf numFmtId="41" fontId="31" fillId="0" borderId="0" xfId="20" applyNumberFormat="1" applyFont="1"/>
    <xf numFmtId="0" fontId="17" fillId="0" borderId="0" xfId="20" applyFont="1"/>
    <xf numFmtId="41" fontId="50" fillId="0" borderId="92" xfId="20" applyNumberFormat="1" applyFont="1" applyBorder="1"/>
    <xf numFmtId="41" fontId="52" fillId="0" borderId="0" xfId="20" applyNumberFormat="1" applyFont="1"/>
    <xf numFmtId="41" fontId="19" fillId="0" borderId="22" xfId="20" applyNumberFormat="1" applyFont="1" applyBorder="1"/>
    <xf numFmtId="41" fontId="3" fillId="0" borderId="22" xfId="20" applyNumberFormat="1" applyFont="1" applyBorder="1"/>
    <xf numFmtId="0" fontId="50" fillId="0" borderId="0" xfId="20" applyFont="1"/>
    <xf numFmtId="0" fontId="50" fillId="0" borderId="0" xfId="20" applyFont="1" applyAlignment="1">
      <alignment horizontal="center"/>
    </xf>
    <xf numFmtId="41" fontId="50" fillId="0" borderId="0" xfId="20" applyNumberFormat="1" applyFont="1"/>
    <xf numFmtId="0" fontId="19" fillId="14" borderId="0" xfId="20" applyFont="1" applyFill="1" applyAlignment="1">
      <alignment horizontal="left" indent="1"/>
    </xf>
    <xf numFmtId="0" fontId="19" fillId="14" borderId="0" xfId="20" applyFont="1" applyFill="1"/>
    <xf numFmtId="170" fontId="19" fillId="14" borderId="0" xfId="20" applyNumberFormat="1" applyFont="1" applyFill="1" applyAlignment="1">
      <alignment horizontal="center"/>
    </xf>
    <xf numFmtId="41" fontId="10" fillId="14" borderId="92" xfId="20" applyNumberFormat="1" applyFont="1" applyFill="1" applyBorder="1"/>
    <xf numFmtId="41" fontId="19" fillId="14" borderId="0" xfId="20" applyNumberFormat="1" applyFont="1" applyFill="1"/>
    <xf numFmtId="0" fontId="19" fillId="13" borderId="0" xfId="20" applyFont="1" applyFill="1" applyAlignment="1">
      <alignment horizontal="left" indent="1"/>
    </xf>
    <xf numFmtId="0" fontId="19" fillId="13" borderId="0" xfId="20" applyFont="1" applyFill="1"/>
    <xf numFmtId="170" fontId="19" fillId="13" borderId="0" xfId="20" applyNumberFormat="1" applyFont="1" applyFill="1" applyAlignment="1">
      <alignment horizontal="center"/>
    </xf>
    <xf numFmtId="41" fontId="10" fillId="13" borderId="92" xfId="20" applyNumberFormat="1" applyFont="1" applyFill="1" applyBorder="1"/>
    <xf numFmtId="41" fontId="19" fillId="13" borderId="0" xfId="20" applyNumberFormat="1" applyFont="1" applyFill="1"/>
    <xf numFmtId="41" fontId="17" fillId="0" borderId="0" xfId="20" applyNumberFormat="1" applyFont="1"/>
    <xf numFmtId="0" fontId="17" fillId="14" borderId="0" xfId="20" applyFont="1" applyFill="1"/>
    <xf numFmtId="0" fontId="17" fillId="13" borderId="0" xfId="20" applyFont="1" applyFill="1"/>
    <xf numFmtId="0" fontId="19" fillId="0" borderId="0" xfId="20" applyFont="1" applyAlignment="1">
      <alignment horizontal="left" indent="1"/>
    </xf>
    <xf numFmtId="0" fontId="15" fillId="0" borderId="0" xfId="20" applyFont="1" applyAlignment="1">
      <alignment horizontal="left"/>
    </xf>
    <xf numFmtId="0" fontId="10" fillId="0" borderId="0" xfId="20" applyFont="1" applyAlignment="1">
      <alignment horizontal="center"/>
    </xf>
    <xf numFmtId="41" fontId="15" fillId="0" borderId="0" xfId="20" applyNumberFormat="1" applyFont="1"/>
    <xf numFmtId="0" fontId="60" fillId="0" borderId="0" xfId="20" applyFont="1" applyAlignment="1">
      <alignment horizontal="center"/>
    </xf>
    <xf numFmtId="0" fontId="10" fillId="14" borderId="0" xfId="20" applyFont="1" applyFill="1"/>
    <xf numFmtId="170" fontId="10" fillId="14" borderId="0" xfId="12" applyNumberFormat="1" applyFont="1" applyFill="1"/>
    <xf numFmtId="9" fontId="10" fillId="14" borderId="0" xfId="20" applyNumberFormat="1" applyFont="1" applyFill="1" applyAlignment="1">
      <alignment horizontal="center"/>
    </xf>
    <xf numFmtId="41" fontId="10" fillId="14" borderId="0" xfId="20" applyNumberFormat="1" applyFont="1" applyFill="1"/>
    <xf numFmtId="203" fontId="19" fillId="0" borderId="0" xfId="20" applyNumberFormat="1" applyFont="1"/>
    <xf numFmtId="0" fontId="10" fillId="13" borderId="0" xfId="20" applyFont="1" applyFill="1"/>
    <xf numFmtId="170" fontId="10" fillId="13" borderId="0" xfId="12" applyNumberFormat="1" applyFont="1" applyFill="1"/>
    <xf numFmtId="9" fontId="10" fillId="13" borderId="0" xfId="20" applyNumberFormat="1" applyFont="1" applyFill="1" applyAlignment="1">
      <alignment horizontal="center"/>
    </xf>
    <xf numFmtId="41" fontId="10" fillId="13" borderId="0" xfId="20" applyNumberFormat="1" applyFont="1" applyFill="1"/>
    <xf numFmtId="9" fontId="10" fillId="0" borderId="0" xfId="20" applyNumberFormat="1" applyFont="1" applyAlignment="1">
      <alignment horizontal="center"/>
    </xf>
    <xf numFmtId="41" fontId="10" fillId="0" borderId="97" xfId="20" applyNumberFormat="1" applyFont="1" applyBorder="1"/>
    <xf numFmtId="41" fontId="10" fillId="0" borderId="71" xfId="20" applyNumberFormat="1" applyFont="1" applyBorder="1"/>
    <xf numFmtId="41" fontId="10" fillId="0" borderId="72" xfId="20" applyNumberFormat="1" applyFont="1" applyBorder="1"/>
    <xf numFmtId="41" fontId="10" fillId="0" borderId="73" xfId="20" applyNumberFormat="1" applyFont="1" applyBorder="1"/>
    <xf numFmtId="170" fontId="10" fillId="0" borderId="0" xfId="12" applyNumberFormat="1" applyFont="1"/>
    <xf numFmtId="0" fontId="49" fillId="0" borderId="0" xfId="20" applyFont="1"/>
    <xf numFmtId="2" fontId="19" fillId="0" borderId="0" xfId="12" applyNumberFormat="1" applyFont="1"/>
    <xf numFmtId="202" fontId="49" fillId="0" borderId="0" xfId="20" applyNumberFormat="1" applyFont="1"/>
    <xf numFmtId="41" fontId="3" fillId="0" borderId="0" xfId="18" applyNumberFormat="1" applyFont="1"/>
    <xf numFmtId="0" fontId="58" fillId="0" borderId="0" xfId="20" applyFont="1"/>
    <xf numFmtId="0" fontId="54" fillId="0" borderId="39" xfId="20" applyFont="1" applyBorder="1"/>
    <xf numFmtId="0" fontId="54" fillId="0" borderId="0" xfId="20" applyFont="1"/>
    <xf numFmtId="177" fontId="50" fillId="0" borderId="0" xfId="20" applyNumberFormat="1" applyFont="1"/>
    <xf numFmtId="170" fontId="19" fillId="0" borderId="17" xfId="20" applyNumberFormat="1" applyFont="1" applyBorder="1" applyAlignment="1">
      <alignment horizontal="center"/>
    </xf>
    <xf numFmtId="170" fontId="19" fillId="0" borderId="0" xfId="12" applyNumberFormat="1" applyFont="1" applyBorder="1"/>
    <xf numFmtId="170" fontId="50" fillId="0" borderId="0" xfId="12" applyNumberFormat="1" applyFont="1" applyBorder="1"/>
    <xf numFmtId="0" fontId="3" fillId="0" borderId="0" xfId="20" applyFont="1"/>
    <xf numFmtId="5" fontId="19" fillId="0" borderId="0" xfId="20" applyNumberFormat="1" applyFont="1"/>
    <xf numFmtId="177" fontId="3" fillId="0" borderId="0" xfId="20" applyNumberFormat="1" applyFont="1"/>
    <xf numFmtId="170" fontId="3" fillId="0" borderId="0" xfId="12" quotePrefix="1" applyNumberFormat="1" applyFont="1" applyAlignment="1">
      <alignment horizontal="center"/>
    </xf>
    <xf numFmtId="9" fontId="3" fillId="0" borderId="0" xfId="20" quotePrefix="1" applyNumberFormat="1" applyFont="1" applyAlignment="1">
      <alignment horizontal="center"/>
    </xf>
    <xf numFmtId="164" fontId="19" fillId="0" borderId="0" xfId="20" applyNumberFormat="1" applyFont="1"/>
    <xf numFmtId="178" fontId="3" fillId="0" borderId="0" xfId="20" applyNumberFormat="1" applyFont="1"/>
    <xf numFmtId="5" fontId="10" fillId="0" borderId="0" xfId="20" applyNumberFormat="1" applyFont="1"/>
    <xf numFmtId="0" fontId="10" fillId="15" borderId="72" xfId="20" applyFont="1" applyFill="1" applyBorder="1"/>
    <xf numFmtId="0" fontId="10" fillId="0" borderId="17" xfId="20" applyFont="1" applyBorder="1"/>
    <xf numFmtId="170" fontId="10" fillId="0" borderId="17" xfId="20" applyNumberFormat="1" applyFont="1" applyBorder="1" applyAlignment="1">
      <alignment horizontal="center"/>
    </xf>
    <xf numFmtId="41" fontId="24" fillId="0" borderId="72" xfId="20" applyNumberFormat="1" applyFont="1" applyBorder="1"/>
    <xf numFmtId="43" fontId="19" fillId="0" borderId="0" xfId="20" applyNumberFormat="1" applyFont="1"/>
    <xf numFmtId="41" fontId="19" fillId="0" borderId="92" xfId="20" applyNumberFormat="1" applyFont="1" applyBorder="1"/>
    <xf numFmtId="0" fontId="10" fillId="13" borderId="109" xfId="20" applyFont="1" applyFill="1" applyBorder="1"/>
    <xf numFmtId="170" fontId="10" fillId="13" borderId="75" xfId="12" applyNumberFormat="1" applyFont="1" applyFill="1" applyBorder="1"/>
    <xf numFmtId="0" fontId="19" fillId="13" borderId="75" xfId="20" applyFont="1" applyFill="1" applyBorder="1"/>
    <xf numFmtId="9" fontId="10" fillId="13" borderId="75" xfId="20" applyNumberFormat="1" applyFont="1" applyFill="1" applyBorder="1" applyAlignment="1">
      <alignment horizontal="center"/>
    </xf>
    <xf numFmtId="41" fontId="10" fillId="13" borderId="110" xfId="20" applyNumberFormat="1" applyFont="1" applyFill="1" applyBorder="1"/>
    <xf numFmtId="41" fontId="10" fillId="13" borderId="75" xfId="20" applyNumberFormat="1" applyFont="1" applyFill="1" applyBorder="1"/>
    <xf numFmtId="0" fontId="20" fillId="0" borderId="0" xfId="18" applyFont="1"/>
    <xf numFmtId="41" fontId="20" fillId="0" borderId="0" xfId="18" applyNumberFormat="1" applyFont="1"/>
    <xf numFmtId="9" fontId="61" fillId="0" borderId="0" xfId="0" applyNumberFormat="1" applyFont="1"/>
    <xf numFmtId="10" fontId="56" fillId="0" borderId="0" xfId="0" applyNumberFormat="1" applyFont="1" applyAlignment="1">
      <alignment horizontal="center" vertical="center"/>
    </xf>
    <xf numFmtId="0" fontId="0" fillId="0" borderId="111" xfId="0" applyBorder="1" applyAlignment="1">
      <alignment horizontal="center" vertical="center"/>
    </xf>
    <xf numFmtId="9" fontId="0" fillId="0" borderId="111" xfId="0" applyNumberFormat="1" applyBorder="1" applyAlignment="1">
      <alignment horizontal="center" vertical="center"/>
    </xf>
    <xf numFmtId="0" fontId="57" fillId="0" borderId="0" xfId="0" applyFont="1"/>
    <xf numFmtId="10" fontId="56" fillId="16" borderId="0" xfId="0" applyNumberFormat="1" applyFont="1" applyFill="1" applyAlignment="1">
      <alignment horizontal="center" vertical="center"/>
    </xf>
    <xf numFmtId="9" fontId="56" fillId="16" borderId="111" xfId="0" applyNumberFormat="1" applyFont="1" applyFill="1" applyBorder="1" applyAlignment="1">
      <alignment horizontal="center" vertical="center"/>
    </xf>
    <xf numFmtId="1" fontId="9" fillId="3" borderId="4" xfId="4" applyNumberFormat="1" applyFont="1" applyFill="1" applyBorder="1" applyAlignment="1">
      <alignment horizontal="center" vertical="center"/>
    </xf>
    <xf numFmtId="0" fontId="21" fillId="0" borderId="12" xfId="4" applyFont="1" applyBorder="1" applyAlignment="1">
      <alignment horizontal="center" vertical="center"/>
    </xf>
    <xf numFmtId="0" fontId="15" fillId="0" borderId="0" xfId="4" applyFont="1" applyAlignment="1">
      <alignment horizontal="center"/>
    </xf>
    <xf numFmtId="0" fontId="21" fillId="0" borderId="0" xfId="4" applyFont="1" applyAlignment="1">
      <alignment horizontal="center" vertical="center"/>
    </xf>
    <xf numFmtId="0" fontId="3" fillId="0" borderId="0" xfId="9" applyFont="1" applyAlignment="1">
      <alignment horizontal="center"/>
    </xf>
    <xf numFmtId="0" fontId="20" fillId="0" borderId="5" xfId="11" applyFont="1" applyBorder="1" applyAlignment="1">
      <alignment horizontal="center" vertical="center"/>
    </xf>
    <xf numFmtId="0" fontId="20" fillId="0" borderId="0" xfId="11" applyFont="1" applyAlignment="1">
      <alignment horizontal="center" vertical="center"/>
    </xf>
    <xf numFmtId="0" fontId="24" fillId="0" borderId="0" xfId="9" applyFont="1" applyAlignment="1">
      <alignment horizontal="center"/>
    </xf>
    <xf numFmtId="0" fontId="24" fillId="0" borderId="58" xfId="9" applyFont="1" applyBorder="1" applyAlignment="1">
      <alignment horizontal="center"/>
    </xf>
    <xf numFmtId="0" fontId="56" fillId="0" borderId="58" xfId="0" applyFont="1" applyBorder="1" applyAlignment="1">
      <alignment horizontal="center" vertical="center" textRotation="90"/>
    </xf>
    <xf numFmtId="0" fontId="56" fillId="0" borderId="17" xfId="0" applyFont="1" applyBorder="1" applyAlignment="1">
      <alignment horizontal="center" vertical="center"/>
    </xf>
    <xf numFmtId="0" fontId="55" fillId="3" borderId="4" xfId="0" applyFont="1" applyFill="1" applyBorder="1" applyAlignment="1">
      <alignment horizontal="center" vertical="center"/>
    </xf>
  </cellXfs>
  <cellStyles count="21">
    <cellStyle name="Comma 6" xfId="7" xr:uid="{957C3F73-9DB8-4D90-A86A-B0FA600AE026}"/>
    <cellStyle name="Comma 8" xfId="3" xr:uid="{788D8F80-118E-4B63-93B7-C391C082B7E6}"/>
    <cellStyle name="Currency 5" xfId="13" xr:uid="{E4530D03-EFF6-41AA-8454-62B9BB0339E2}"/>
    <cellStyle name="Currency 6" xfId="6" xr:uid="{54440138-C359-4B90-BEE6-40BEE616B2BE}"/>
    <cellStyle name="Normal" xfId="0" builtinId="0"/>
    <cellStyle name="Normal 11" xfId="4" xr:uid="{068500EE-A029-47C0-957E-D046CB73AC99}"/>
    <cellStyle name="Normal 15" xfId="2" xr:uid="{8002EDD6-892C-4F02-8C52-7525401C1CFF}"/>
    <cellStyle name="Normal 2" xfId="9" xr:uid="{759E92B2-32BE-460C-A912-6228A03E2F62}"/>
    <cellStyle name="Normal 2 2 2 2" xfId="14" xr:uid="{01C27459-39E4-4A00-9ED6-81C7DEC477EE}"/>
    <cellStyle name="Normal 2 2 3 2" xfId="20" xr:uid="{C6EA46FE-9698-4CCA-A4E9-F1CCCB82CF92}"/>
    <cellStyle name="Normal 2 2 3 3" xfId="15" xr:uid="{A5027B6F-7647-4D5C-B26F-5204B25B5BA0}"/>
    <cellStyle name="Normal 2 2 4" xfId="8" xr:uid="{FF3F16CD-AF1D-457B-B59E-3B1ABE823262}"/>
    <cellStyle name="Normal 2 2 4 2" xfId="19" xr:uid="{F59099AB-9086-4A50-B429-A76823A7FB80}"/>
    <cellStyle name="Normal 2 3" xfId="18" xr:uid="{320BEC4C-8EB6-44A8-92C5-12617EF830A2}"/>
    <cellStyle name="Normal 8" xfId="10" xr:uid="{AB97097A-AFE0-4C4F-81B2-53C904757F69}"/>
    <cellStyle name="Normal 9" xfId="11" xr:uid="{D8EC40B2-AC6C-4E41-9869-C9B22FA22DE6}"/>
    <cellStyle name="Percent" xfId="1" builtinId="5"/>
    <cellStyle name="Percent 11 2" xfId="12" xr:uid="{E95E3AC1-1F28-4D2D-AB88-AE2085F70E77}"/>
    <cellStyle name="Percent 13 2" xfId="16" xr:uid="{959FE2A8-04E1-4772-9F5E-1ED30F1F5926}"/>
    <cellStyle name="Percent 2 2 2 2" xfId="17" xr:uid="{72428C4F-4041-4870-B2E7-F519A5527D2D}"/>
    <cellStyle name="Percent 9" xfId="5" xr:uid="{058A4CFE-A7E7-4204-85F8-0048C4BD7F6B}"/>
  </cellStyles>
  <dxfs count="0"/>
  <tableStyles count="0" defaultTableStyle="TableStyleMedium2" defaultPivotStyle="PivotStyleLight16"/>
  <colors>
    <mruColors>
      <color rgb="FFFFFFCC"/>
      <color rgb="FF0A3161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12746-9FA2-4855-B044-390E8AB3FBC9}">
  <sheetPr>
    <tabColor rgb="FFFFC000"/>
    <pageSetUpPr fitToPage="1"/>
  </sheetPr>
  <dimension ref="B2:Z68"/>
  <sheetViews>
    <sheetView showGridLines="0" tabSelected="1" zoomScaleNormal="100" workbookViewId="0"/>
  </sheetViews>
  <sheetFormatPr defaultColWidth="9.140625" defaultRowHeight="13.5"/>
  <cols>
    <col min="1" max="1" width="1.7109375" style="14" customWidth="1"/>
    <col min="2" max="2" width="21.140625" style="14" bestFit="1" customWidth="1"/>
    <col min="3" max="3" width="16.7109375" style="14" customWidth="1"/>
    <col min="4" max="4" width="14.85546875" style="14" customWidth="1"/>
    <col min="5" max="5" width="3.5703125" style="14" customWidth="1"/>
    <col min="6" max="6" width="23.42578125" style="14" customWidth="1"/>
    <col min="7" max="7" width="12.7109375" style="14" bestFit="1" customWidth="1"/>
    <col min="8" max="8" width="13.85546875" style="14" bestFit="1" customWidth="1"/>
    <col min="9" max="9" width="3" style="14" customWidth="1"/>
    <col min="10" max="10" width="15.28515625" style="14" bestFit="1" customWidth="1"/>
    <col min="11" max="14" width="14.140625" style="14" bestFit="1" customWidth="1"/>
    <col min="15" max="15" width="14.85546875" style="14" bestFit="1" customWidth="1"/>
    <col min="16" max="19" width="14.85546875" style="14" customWidth="1"/>
    <col min="20" max="20" width="3.5703125" style="14" customWidth="1"/>
    <col min="21" max="21" width="19.42578125" style="14" bestFit="1" customWidth="1"/>
    <col min="22" max="22" width="15.85546875" style="14" bestFit="1" customWidth="1"/>
    <col min="23" max="23" width="1.5703125" style="14" customWidth="1"/>
    <col min="24" max="16384" width="9.140625" style="14"/>
  </cols>
  <sheetData>
    <row r="2" spans="2:26" s="5" customFormat="1" ht="18.75">
      <c r="B2" s="1" t="str">
        <f>+P_L!B2</f>
        <v>Sentosa Epperson</v>
      </c>
      <c r="C2" s="2"/>
      <c r="D2" s="2"/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3"/>
      <c r="Q2" s="3"/>
      <c r="R2" s="3"/>
      <c r="S2" s="3"/>
      <c r="T2" s="2"/>
      <c r="U2" s="2"/>
      <c r="V2" s="2"/>
      <c r="W2" s="4"/>
      <c r="X2" s="4"/>
      <c r="Y2" s="2"/>
      <c r="Z2" s="2"/>
    </row>
    <row r="3" spans="2:26" s="5" customFormat="1" ht="18.75">
      <c r="B3" s="1" t="str">
        <f>+P_L!P2</f>
        <v>Wesley Chapel, FL</v>
      </c>
      <c r="C3" s="2"/>
      <c r="D3" s="2"/>
      <c r="E3" s="2"/>
      <c r="F3" s="2"/>
      <c r="G3" s="2"/>
      <c r="H3" s="2"/>
      <c r="I3" s="2"/>
      <c r="J3" s="2"/>
      <c r="K3" s="2"/>
      <c r="L3" s="3"/>
      <c r="M3" s="3"/>
      <c r="N3" s="3"/>
      <c r="O3" s="3"/>
      <c r="P3" s="3"/>
      <c r="Q3" s="3"/>
      <c r="R3" s="3"/>
      <c r="S3" s="3"/>
      <c r="T3" s="2"/>
      <c r="U3" s="2"/>
      <c r="V3" s="2"/>
      <c r="W3" s="4"/>
      <c r="X3" s="4"/>
      <c r="Y3" s="2"/>
      <c r="Z3" s="2"/>
    </row>
    <row r="4" spans="2:26" s="5" customFormat="1" ht="14.25" thickBot="1">
      <c r="B4" s="6">
        <f>+Detail!D67</f>
        <v>288</v>
      </c>
      <c r="D4" s="2"/>
      <c r="E4" s="2"/>
      <c r="F4" s="7"/>
      <c r="G4" s="7"/>
      <c r="H4" s="7"/>
      <c r="I4" s="7"/>
      <c r="J4" s="7"/>
      <c r="K4" s="7"/>
      <c r="L4" s="7"/>
      <c r="M4" s="7"/>
      <c r="N4" s="7"/>
      <c r="O4" s="7"/>
      <c r="P4" s="8"/>
      <c r="Q4" s="8"/>
      <c r="R4" s="8"/>
      <c r="S4" s="9">
        <v>45657</v>
      </c>
      <c r="T4" s="2"/>
      <c r="U4" s="2"/>
      <c r="V4" s="2"/>
      <c r="W4" s="2"/>
      <c r="X4" s="2"/>
      <c r="Y4" s="2"/>
      <c r="Z4" s="2"/>
    </row>
    <row r="5" spans="2:26">
      <c r="B5" s="10">
        <f>+Detail!G67</f>
        <v>294000</v>
      </c>
      <c r="C5" s="11"/>
      <c r="D5" s="11"/>
      <c r="E5" s="2"/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1"/>
      <c r="U5" s="11"/>
      <c r="V5" s="11"/>
      <c r="W5" s="11"/>
      <c r="X5" s="11"/>
      <c r="Y5" s="11"/>
      <c r="Z5" s="11"/>
    </row>
    <row r="6" spans="2:26" ht="15.75" customHeight="1" thickBot="1">
      <c r="B6" s="11"/>
      <c r="C6" s="11"/>
      <c r="D6" s="11"/>
      <c r="E6" s="2"/>
      <c r="F6" s="15"/>
      <c r="G6" s="823" t="s">
        <v>0</v>
      </c>
      <c r="H6" s="823"/>
      <c r="I6" s="16"/>
      <c r="J6" s="17">
        <v>1</v>
      </c>
      <c r="K6" s="17">
        <f>J6+1</f>
        <v>2</v>
      </c>
      <c r="L6" s="17">
        <f t="shared" ref="L6:S6" si="0">K6+1</f>
        <v>3</v>
      </c>
      <c r="M6" s="17">
        <f t="shared" si="0"/>
        <v>4</v>
      </c>
      <c r="N6" s="17">
        <f t="shared" si="0"/>
        <v>5</v>
      </c>
      <c r="O6" s="17">
        <f t="shared" si="0"/>
        <v>6</v>
      </c>
      <c r="P6" s="17">
        <f t="shared" si="0"/>
        <v>7</v>
      </c>
      <c r="Q6" s="17">
        <f t="shared" si="0"/>
        <v>8</v>
      </c>
      <c r="R6" s="17">
        <f t="shared" si="0"/>
        <v>9</v>
      </c>
      <c r="S6" s="17">
        <f t="shared" si="0"/>
        <v>10</v>
      </c>
      <c r="T6" s="18"/>
      <c r="U6" s="19"/>
      <c r="W6" s="11"/>
      <c r="X6" s="11"/>
      <c r="Y6" s="11"/>
      <c r="Z6" s="11"/>
    </row>
    <row r="7" spans="2:26" s="33" customFormat="1">
      <c r="B7" s="20" t="s">
        <v>1</v>
      </c>
      <c r="C7" s="21"/>
      <c r="D7" s="22"/>
      <c r="E7" s="23"/>
      <c r="F7" s="24"/>
      <c r="G7" s="25"/>
      <c r="H7" s="26"/>
      <c r="I7" s="27"/>
      <c r="J7" s="28"/>
      <c r="K7" s="27"/>
      <c r="L7" s="27"/>
      <c r="M7" s="27"/>
      <c r="N7" s="27"/>
      <c r="O7" s="27"/>
      <c r="P7" s="27"/>
      <c r="Q7" s="27"/>
      <c r="R7" s="27"/>
      <c r="S7" s="29"/>
      <c r="T7" s="30"/>
      <c r="U7" s="31"/>
      <c r="V7" s="32"/>
      <c r="W7" s="30"/>
      <c r="X7" s="30"/>
      <c r="Y7" s="30"/>
      <c r="Z7" s="30"/>
    </row>
    <row r="8" spans="2:26" s="47" customFormat="1">
      <c r="B8" s="34" t="s">
        <v>2</v>
      </c>
      <c r="C8" s="35">
        <f>Detail!M37</f>
        <v>5.7026737499322841E-2</v>
      </c>
      <c r="D8" s="36"/>
      <c r="E8" s="37"/>
      <c r="F8" s="38" t="s">
        <v>3</v>
      </c>
      <c r="G8" s="39">
        <f>+Detail!H67</f>
        <v>1910.2960416666667</v>
      </c>
      <c r="H8" s="40"/>
      <c r="I8" s="41"/>
      <c r="J8" s="42">
        <f>J11/Detail!$C$8/12</f>
        <v>1916.2856530617707</v>
      </c>
      <c r="K8" s="42">
        <f>K11/Detail!$C$8/12</f>
        <v>1966.0166573223735</v>
      </c>
      <c r="L8" s="42">
        <f>L11/Detail!$C$8/12</f>
        <v>2025.8149352627272</v>
      </c>
      <c r="M8" s="42">
        <f>M11/Detail!$C$8/12</f>
        <v>2087.4320350484168</v>
      </c>
      <c r="N8" s="42">
        <f>N11/Detail!$C$8/12</f>
        <v>2150.9232778863238</v>
      </c>
      <c r="O8" s="42">
        <f>O11/Detail!$C$8/12</f>
        <v>2216.3456676307728</v>
      </c>
      <c r="P8" s="42">
        <f>P11/Detail!$C$8/12</f>
        <v>2283.7579419628678</v>
      </c>
      <c r="Q8" s="42">
        <f>Q11/Detail!$C$8/12</f>
        <v>2353.2206251264888</v>
      </c>
      <c r="R8" s="42">
        <f>R11/Detail!$C$8/12</f>
        <v>2424.7960822683117</v>
      </c>
      <c r="S8" s="43">
        <f>S11/Detail!$C$8/12</f>
        <v>2498.5485754306246</v>
      </c>
      <c r="T8" s="44"/>
      <c r="U8" s="45"/>
      <c r="V8" s="46"/>
      <c r="W8" s="44"/>
      <c r="X8" s="44"/>
      <c r="Y8" s="44"/>
      <c r="Z8" s="44"/>
    </row>
    <row r="9" spans="2:26">
      <c r="B9" s="34" t="s">
        <v>4</v>
      </c>
      <c r="C9" s="48">
        <f>Detail!H25</f>
        <v>71029066.165800005</v>
      </c>
      <c r="D9" s="49">
        <f>C9/$B$4</f>
        <v>246628.70196458336</v>
      </c>
      <c r="E9" s="2"/>
      <c r="F9" s="38" t="s">
        <v>5</v>
      </c>
      <c r="G9" s="50">
        <f>+Detail!I67</f>
        <v>1.8713104081632652</v>
      </c>
      <c r="H9" s="51"/>
      <c r="I9" s="52"/>
      <c r="J9" s="53">
        <f>J8/Detail!$F$67</f>
        <v>1.8771777825911222</v>
      </c>
      <c r="K9" s="53">
        <f>K8/Detail!$F$67</f>
        <v>1.9258938683974269</v>
      </c>
      <c r="L9" s="53">
        <f>L8/Detail!$F$67</f>
        <v>1.9844717733185899</v>
      </c>
      <c r="M9" s="53">
        <f>M8/Detail!$F$67</f>
        <v>2.0448313812719183</v>
      </c>
      <c r="N9" s="53">
        <f>N8/Detail!$F$67</f>
        <v>2.1070268844600721</v>
      </c>
      <c r="O9" s="53">
        <f>O8/Detail!$F$67</f>
        <v>2.1711141233934099</v>
      </c>
      <c r="P9" s="53">
        <f>P8/Detail!$F$67</f>
        <v>2.23715063702485</v>
      </c>
      <c r="Q9" s="53">
        <f>Q8/Detail!$F$67</f>
        <v>2.3051957144096216</v>
      </c>
      <c r="R9" s="53">
        <f>R8/Detail!$F$67</f>
        <v>2.3753104479363052</v>
      </c>
      <c r="S9" s="54">
        <f>S8/Detail!$F$67</f>
        <v>2.4475577881769381</v>
      </c>
      <c r="T9" s="11"/>
      <c r="U9" s="45"/>
      <c r="V9" s="46"/>
      <c r="W9" s="11"/>
      <c r="X9" s="11"/>
      <c r="Y9" s="11"/>
      <c r="Z9" s="11"/>
    </row>
    <row r="10" spans="2:26">
      <c r="B10" s="55" t="s">
        <v>6</v>
      </c>
      <c r="C10" s="56">
        <f>Detail!H27</f>
        <v>0</v>
      </c>
      <c r="D10" s="57"/>
      <c r="E10" s="2"/>
      <c r="F10" s="58"/>
      <c r="G10" s="59"/>
      <c r="H10" s="824" t="s">
        <v>7</v>
      </c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1"/>
      <c r="T10" s="11"/>
      <c r="U10" s="45"/>
      <c r="V10" s="46"/>
      <c r="W10" s="11"/>
      <c r="X10" s="11"/>
      <c r="Y10" s="11"/>
      <c r="Z10" s="11"/>
    </row>
    <row r="11" spans="2:26">
      <c r="B11" s="62" t="s">
        <v>8</v>
      </c>
      <c r="C11" s="63">
        <f>Detail!H28</f>
        <v>71029066.165800005</v>
      </c>
      <c r="D11" s="64"/>
      <c r="E11" s="23"/>
      <c r="F11" s="65" t="s">
        <v>9</v>
      </c>
      <c r="G11" s="66">
        <f>+P_L!E10</f>
        <v>6601983.120000001</v>
      </c>
      <c r="H11" s="824"/>
      <c r="I11" s="67"/>
      <c r="J11" s="68">
        <f>SUMIF('Cash Flow'!$E$13:$FS$13,J$6,'Cash Flow'!$E$39:$FS$39)</f>
        <v>6622683.2169814799</v>
      </c>
      <c r="K11" s="68">
        <f>SUMIF('Cash Flow'!$E$13:$FS$13,K$6,'Cash Flow'!$E$39:$FS$39)</f>
        <v>6794553.567706123</v>
      </c>
      <c r="L11" s="68">
        <f>SUMIF('Cash Flow'!$E$13:$FS$13,L$6,'Cash Flow'!$E$39:$FS$39)</f>
        <v>7001216.4162679855</v>
      </c>
      <c r="M11" s="68">
        <f>SUMIF('Cash Flow'!$E$13:$FS$13,M$6,'Cash Flow'!$E$39:$FS$39)</f>
        <v>7214165.1131273285</v>
      </c>
      <c r="N11" s="68">
        <f>SUMIF('Cash Flow'!$E$13:$FS$13,N$6,'Cash Flow'!$E$39:$FS$39)</f>
        <v>7433590.8483751351</v>
      </c>
      <c r="O11" s="68">
        <f>SUMIF('Cash Flow'!$E$13:$FS$13,O$6,'Cash Flow'!$E$39:$FS$39)</f>
        <v>7659690.6273319516</v>
      </c>
      <c r="P11" s="68">
        <f>SUMIF('Cash Flow'!$E$13:$FS$13,P$6,'Cash Flow'!$E$39:$FS$39)</f>
        <v>7892667.4474236704</v>
      </c>
      <c r="Q11" s="68">
        <f>SUMIF('Cash Flow'!$E$13:$FS$13,Q$6,'Cash Flow'!$E$39:$FS$39)</f>
        <v>8132730.4804371456</v>
      </c>
      <c r="R11" s="68">
        <f>SUMIF('Cash Flow'!$E$13:$FS$13,R$6,'Cash Flow'!$E$39:$FS$39)</f>
        <v>8380095.2603192851</v>
      </c>
      <c r="S11" s="69">
        <f>SUMIF('Cash Flow'!$E$13:$FS$13,S$6,'Cash Flow'!$E$39:$FS$39)</f>
        <v>8634983.8766882382</v>
      </c>
      <c r="T11" s="11"/>
      <c r="U11" s="45"/>
      <c r="V11" s="46"/>
      <c r="W11" s="11"/>
      <c r="X11" s="11"/>
      <c r="Y11" s="11"/>
      <c r="Z11" s="11"/>
    </row>
    <row r="12" spans="2:26">
      <c r="B12" s="34"/>
      <c r="C12" s="48"/>
      <c r="D12" s="36"/>
      <c r="E12" s="2"/>
      <c r="F12" s="70" t="s">
        <v>10</v>
      </c>
      <c r="G12" s="71">
        <f>J12</f>
        <v>-84181.873559944521</v>
      </c>
      <c r="H12" s="72"/>
      <c r="I12" s="73"/>
      <c r="J12" s="74">
        <f>SUMIF('Cash Flow'!E$13:$FS13,J$6,'Cash Flow'!$E$40:$FS$40)</f>
        <v>-84181.873559944521</v>
      </c>
      <c r="K12" s="74">
        <f>SUMIF('Cash Flow'!F$13:$FS13,K$6,'Cash Flow'!$E$40:$FS$40)</f>
        <v>-120347.50158104187</v>
      </c>
      <c r="L12" s="74">
        <f>SUMIF('Cash Flow'!G$13:$FS13,L$6,'Cash Flow'!$E$40:$FS$40)</f>
        <v>-66361.20000108119</v>
      </c>
      <c r="M12" s="74">
        <f>SUMIF('Cash Flow'!H$13:$FS13,M$6,'Cash Flow'!$E$40:$FS$40)</f>
        <v>-40215.157998356764</v>
      </c>
      <c r="N12" s="74">
        <f>SUMIF('Cash Flow'!I$13:$FS13,N$6,'Cash Flow'!$E$40:$FS$40)</f>
        <v>-48968.645331794673</v>
      </c>
      <c r="O12" s="74">
        <f>SUMIF('Cash Flow'!J$13:$FS13,O$6,'Cash Flow'!$E$40:$FS$40)</f>
        <v>-57515.9261553494</v>
      </c>
      <c r="P12" s="74">
        <f>SUMIF('Cash Flow'!K$13:$FS13,P$6,'Cash Flow'!$E$40:$FS$40)</f>
        <v>-58466.943372797272</v>
      </c>
      <c r="Q12" s="74">
        <f>SUMIF('Cash Flow'!L$13:$FS13,Q$6,'Cash Flow'!$E$40:$FS$40)</f>
        <v>-59155.215236660799</v>
      </c>
      <c r="R12" s="74">
        <f>SUMIF('Cash Flow'!M$13:$FS13,R$6,'Cash Flow'!$E$40:$FS$40)</f>
        <v>-60414.996956440569</v>
      </c>
      <c r="S12" s="75">
        <f>SUMIF('Cash Flow'!N$13:$FS13,S$6,'Cash Flow'!$E$40:$FS$40)</f>
        <v>-62239.895702331291</v>
      </c>
      <c r="T12" s="11"/>
      <c r="U12" s="45"/>
      <c r="V12" s="46"/>
      <c r="W12" s="11"/>
      <c r="X12" s="11"/>
      <c r="Y12" s="11"/>
      <c r="Z12" s="11"/>
    </row>
    <row r="13" spans="2:26">
      <c r="B13" s="675" t="s">
        <v>370</v>
      </c>
      <c r="C13" s="676">
        <f>C15-C14</f>
        <v>6007066.1658000052</v>
      </c>
      <c r="D13" s="76">
        <f>C13/$C$15</f>
        <v>0.31734614445234716</v>
      </c>
      <c r="E13" s="2"/>
      <c r="F13" s="70" t="s">
        <v>11</v>
      </c>
      <c r="G13" s="78">
        <f>-G11*Detail!F33</f>
        <v>-330099.15600000008</v>
      </c>
      <c r="H13" s="79">
        <f>-G13/$G$11</f>
        <v>0.05</v>
      </c>
      <c r="I13" s="80"/>
      <c r="J13" s="81">
        <f>SUMIF('Cash Flow'!E$13:$FS13,J$6,'Cash Flow'!$E$41:$FS$41)</f>
        <v>-331134.16084907477</v>
      </c>
      <c r="K13" s="81">
        <f>SUMIF('Cash Flow'!F$13:$FS13,K$6,'Cash Flow'!$E$41:$FS$41)</f>
        <v>-338880.4771923261</v>
      </c>
      <c r="L13" s="81">
        <f>SUMIF('Cash Flow'!G$13:$FS13,L$6,'Cash Flow'!$E$41:$FS$41)</f>
        <v>-348317.05853908882</v>
      </c>
      <c r="M13" s="81">
        <f>SUMIF('Cash Flow'!H$13:$FS13,M$6,'Cash Flow'!$E$41:$FS$41)</f>
        <v>-358016.41414848197</v>
      </c>
      <c r="N13" s="81">
        <f>SUMIF('Cash Flow'!I$13:$FS13,N$6,'Cash Flow'!$E$41:$FS$41)</f>
        <v>-367985.8613222448</v>
      </c>
      <c r="O13" s="81">
        <f>SUMIF('Cash Flow'!J$13:$FS13,O$6,'Cash Flow'!$E$41:$FS$41)</f>
        <v>-378232.92112219642</v>
      </c>
      <c r="P13" s="81">
        <f>SUMIF('Cash Flow'!K$13:$FS13,P$6,'Cash Flow'!$E$41:$FS$41)</f>
        <v>-388765.32404420845</v>
      </c>
      <c r="Q13" s="81">
        <f>SUMIF('Cash Flow'!L$13:$FS13,Q$6,'Cash Flow'!$E$41:$FS$41)</f>
        <v>-399591.01585017715</v>
      </c>
      <c r="R13" s="81">
        <f>SUMIF('Cash Flow'!M$13:$FS13,R$6,'Cash Flow'!$E$41:$FS$41)</f>
        <v>-410718.16356239456</v>
      </c>
      <c r="S13" s="82">
        <f>SUMIF('Cash Flow'!N$13:$FS13,S$6,'Cash Flow'!$E$41:$FS$41)</f>
        <v>-422155.16162484098</v>
      </c>
      <c r="T13" s="11"/>
      <c r="U13" s="45"/>
      <c r="V13" s="46"/>
      <c r="W13" s="11"/>
      <c r="X13" s="11"/>
      <c r="Y13" s="11"/>
      <c r="Z13" s="11"/>
    </row>
    <row r="14" spans="2:26">
      <c r="B14" s="675" t="s">
        <v>349</v>
      </c>
      <c r="C14" s="676">
        <v>12922000</v>
      </c>
      <c r="D14" s="76">
        <f t="shared" ref="D14" si="1">C14/$C$15</f>
        <v>0.6826538555476529</v>
      </c>
      <c r="E14" s="2"/>
      <c r="F14" s="65" t="s">
        <v>12</v>
      </c>
      <c r="G14" s="66">
        <f>G11+G13+G12</f>
        <v>6187702.0904400563</v>
      </c>
      <c r="H14" s="85">
        <f>-G14/$G$11</f>
        <v>-0.93724900199988015</v>
      </c>
      <c r="I14" s="67"/>
      <c r="J14" s="68">
        <f t="shared" ref="J14:S14" si="2">SUM(J11:J13)</f>
        <v>6207367.1825724607</v>
      </c>
      <c r="K14" s="68">
        <f t="shared" si="2"/>
        <v>6335325.5889327545</v>
      </c>
      <c r="L14" s="68">
        <f t="shared" si="2"/>
        <v>6586538.1577278152</v>
      </c>
      <c r="M14" s="68">
        <f t="shared" si="2"/>
        <v>6815933.5409804899</v>
      </c>
      <c r="N14" s="68">
        <f t="shared" si="2"/>
        <v>7016636.3417210961</v>
      </c>
      <c r="O14" s="68">
        <f t="shared" si="2"/>
        <v>7223941.7800544063</v>
      </c>
      <c r="P14" s="68">
        <f t="shared" si="2"/>
        <v>7445435.1800066652</v>
      </c>
      <c r="Q14" s="68">
        <f t="shared" si="2"/>
        <v>7673984.2493503075</v>
      </c>
      <c r="R14" s="68">
        <f t="shared" si="2"/>
        <v>7908962.0998004498</v>
      </c>
      <c r="S14" s="69">
        <f t="shared" si="2"/>
        <v>8150588.8193610664</v>
      </c>
      <c r="T14" s="11"/>
      <c r="U14" s="45"/>
      <c r="V14" s="46"/>
      <c r="W14" s="11"/>
      <c r="X14" s="11"/>
      <c r="Y14" s="11"/>
      <c r="Z14" s="11"/>
    </row>
    <row r="15" spans="2:26" s="84" customFormat="1">
      <c r="B15" s="686" t="s">
        <v>13</v>
      </c>
      <c r="C15" s="687">
        <f>Detail!C22</f>
        <v>18929066.165800005</v>
      </c>
      <c r="D15" s="688">
        <f>C15/$C$17</f>
        <v>0.26649746628534754</v>
      </c>
      <c r="E15" s="77"/>
      <c r="F15" s="70" t="s">
        <v>14</v>
      </c>
      <c r="G15" s="71">
        <f>-G11/$B$4</f>
        <v>-22923.552500000005</v>
      </c>
      <c r="H15" s="72">
        <f>-G15/$G$11</f>
        <v>3.4722222222222225E-3</v>
      </c>
      <c r="I15" s="73"/>
      <c r="J15" s="74">
        <f>SUMIF('Cash Flow'!$E$13:$FS$13,J$6,'Cash Flow'!$E$57:$FS$57)</f>
        <v>-22995.427836741259</v>
      </c>
      <c r="K15" s="74">
        <f>SUMIF('Cash Flow'!$E$13:$FS$13,K$6,'Cash Flow'!$E$57:$FS$57)</f>
        <v>-23592.199887868483</v>
      </c>
      <c r="L15" s="74">
        <f>SUMIF('Cash Flow'!$E$13:$FS$13,L$6,'Cash Flow'!$E$57:$FS$57)</f>
        <v>-24309.779223152731</v>
      </c>
      <c r="M15" s="74">
        <f>SUMIF('Cash Flow'!$E$13:$FS$13,M$6,'Cash Flow'!$E$57:$FS$57)</f>
        <v>-25049.184420581005</v>
      </c>
      <c r="N15" s="74">
        <f>SUMIF('Cash Flow'!$E$13:$FS$13,N$6,'Cash Flow'!$E$57:$FS$57)</f>
        <v>-25811.079334635881</v>
      </c>
      <c r="O15" s="74">
        <f>SUMIF('Cash Flow'!$E$13:$FS$13,O$6,'Cash Flow'!$E$57:$FS$57)</f>
        <v>-26596.148011569268</v>
      </c>
      <c r="P15" s="74">
        <f>SUMIF('Cash Flow'!$E$13:$FS$13,P$6,'Cash Flow'!$E$57:$FS$57)</f>
        <v>-27405.095303554408</v>
      </c>
      <c r="Q15" s="74">
        <f>SUMIF('Cash Flow'!$E$13:$FS$13,Q$6,'Cash Flow'!$E$57:$FS$57)</f>
        <v>-28238.647501517869</v>
      </c>
      <c r="R15" s="74">
        <f>SUMIF('Cash Flow'!$E$13:$FS$13,R$6,'Cash Flow'!$E$57:$FS$57)</f>
        <v>-29097.55298721974</v>
      </c>
      <c r="S15" s="75">
        <f>SUMIF('Cash Flow'!$E$13:$FS$13,S$6,'Cash Flow'!$E$57:$FS$57)</f>
        <v>-29982.582905167499</v>
      </c>
      <c r="T15" s="83"/>
      <c r="U15" s="45"/>
      <c r="V15" s="46"/>
      <c r="W15" s="83"/>
      <c r="X15" s="83"/>
      <c r="Y15" s="83"/>
      <c r="Z15" s="83"/>
    </row>
    <row r="16" spans="2:26">
      <c r="B16" s="55" t="s">
        <v>16</v>
      </c>
      <c r="C16" s="56">
        <f>Detail!D22</f>
        <v>52100000</v>
      </c>
      <c r="D16" s="76">
        <f>C16/$C$17</f>
        <v>0.73350253371465246</v>
      </c>
      <c r="E16" s="2"/>
      <c r="F16" s="70" t="s">
        <v>15</v>
      </c>
      <c r="G16" s="71">
        <f>-Detail!F36*G14</f>
        <v>-61877.020904400561</v>
      </c>
      <c r="H16" s="72">
        <f>-G16/$G$11</f>
        <v>9.3724900199988019E-3</v>
      </c>
      <c r="I16" s="73"/>
      <c r="J16" s="74">
        <f>SUMIF('Cash Flow'!$E$13:$FS$13,J$6,'Cash Flow'!$E$43:$FS$43)</f>
        <v>-62073.671825724639</v>
      </c>
      <c r="K16" s="74">
        <f>SUMIF('Cash Flow'!$E$13:$FS$13,K$6,'Cash Flow'!$E$43:$FS$43)</f>
        <v>-63377.623098546879</v>
      </c>
      <c r="L16" s="74">
        <f>SUMIF('Cash Flow'!$E$13:$FS$13,L$6,'Cash Flow'!$E$43:$FS$43)</f>
        <v>-65931.176644985651</v>
      </c>
      <c r="M16" s="74">
        <f>SUMIF('Cash Flow'!$E$13:$FS$13,M$6,'Cash Flow'!$E$43:$FS$43)</f>
        <v>-68125.927606049285</v>
      </c>
      <c r="N16" s="74">
        <f>SUMIF('Cash Flow'!$E$13:$FS$13,N$6,'Cash Flow'!$E$43:$FS$43)</f>
        <v>-70087.993993964119</v>
      </c>
      <c r="O16" s="74">
        <f>SUMIF('Cash Flow'!$E$13:$FS$13,O$6,'Cash Flow'!$E$43:$FS$43)</f>
        <v>-72179.183727728101</v>
      </c>
      <c r="P16" s="74">
        <f>SUMIF('Cash Flow'!$E$13:$FS$13,P$6,'Cash Flow'!$E$43:$FS$43)</f>
        <v>-74391.771355735473</v>
      </c>
      <c r="Q16" s="74">
        <f>SUMIF('Cash Flow'!$E$13:$FS$13,Q$6,'Cash Flow'!$E$43:$FS$43)</f>
        <v>-76662.604302774576</v>
      </c>
      <c r="R16" s="74">
        <f>SUMIF('Cash Flow'!$E$13:$FS$13,R$6,'Cash Flow'!$E$43:$FS$43)</f>
        <v>-78992.464254274426</v>
      </c>
      <c r="S16" s="75">
        <f>SUMIF('Cash Flow'!$E$13:$FS$13,S$6,'Cash Flow'!$E$43:$FS$43)</f>
        <v>-81394.66157397331</v>
      </c>
      <c r="T16" s="11"/>
      <c r="U16" s="45"/>
      <c r="V16" s="86"/>
      <c r="W16" s="11"/>
      <c r="X16" s="11"/>
      <c r="Y16" s="11"/>
      <c r="Z16" s="11"/>
    </row>
    <row r="17" spans="2:26">
      <c r="B17" s="62" t="s">
        <v>18</v>
      </c>
      <c r="C17" s="87">
        <f>C15+C16</f>
        <v>71029066.165800005</v>
      </c>
      <c r="D17" s="36"/>
      <c r="E17" s="2"/>
      <c r="F17" s="70" t="s">
        <v>17</v>
      </c>
      <c r="G17" s="71"/>
      <c r="H17" s="72">
        <f>-G17/$G$11</f>
        <v>0</v>
      </c>
      <c r="I17" s="73"/>
      <c r="J17" s="74">
        <f>SUMIF('Cash Flow'!$E$13:$FS$13,J$6,'Cash Flow'!$E$44:$FS$44)</f>
        <v>-414003.95146543218</v>
      </c>
      <c r="K17" s="74">
        <f>SUMIF('Cash Flow'!$E$13:$FS$13,K$6,'Cash Flow'!$E$44:$FS$44)</f>
        <v>-158254.77799609414</v>
      </c>
      <c r="L17" s="74">
        <f>SUMIF('Cash Flow'!$E$13:$FS$13,L$6,'Cash Flow'!$E$44:$FS$44)</f>
        <v>0</v>
      </c>
      <c r="M17" s="74">
        <f>SUMIF('Cash Flow'!$E$13:$FS$13,M$6,'Cash Flow'!$E$44:$FS$44)</f>
        <v>0</v>
      </c>
      <c r="N17" s="74">
        <f>SUMIF('Cash Flow'!$E$13:$FS$13,N$6,'Cash Flow'!$E$44:$FS$44)</f>
        <v>0</v>
      </c>
      <c r="O17" s="74">
        <f>SUMIF('Cash Flow'!$E$13:$FS$13,O$6,'Cash Flow'!$E$44:$FS$44)</f>
        <v>0</v>
      </c>
      <c r="P17" s="74">
        <f>SUMIF('Cash Flow'!$E$13:$FS$13,P$6,'Cash Flow'!$E$44:$FS$44)</f>
        <v>0</v>
      </c>
      <c r="Q17" s="74">
        <f>SUMIF('Cash Flow'!$E$13:$FS$13,Q$6,'Cash Flow'!$E$44:$FS$44)</f>
        <v>0</v>
      </c>
      <c r="R17" s="74">
        <f>SUMIF('Cash Flow'!$E$13:$FS$13,R$6,'Cash Flow'!$E$44:$FS$44)</f>
        <v>0</v>
      </c>
      <c r="S17" s="75">
        <f>SUMIF('Cash Flow'!$E$13:$FS$13,S$6,'Cash Flow'!$E$44:$FS$44)</f>
        <v>0</v>
      </c>
      <c r="T17" s="11"/>
      <c r="U17" s="45"/>
      <c r="V17" s="86"/>
      <c r="W17" s="11"/>
      <c r="X17" s="11"/>
      <c r="Y17" s="11"/>
      <c r="Z17" s="11"/>
    </row>
    <row r="18" spans="2:26">
      <c r="B18" s="88"/>
      <c r="C18" s="89"/>
      <c r="D18" s="90"/>
      <c r="E18" s="2"/>
      <c r="F18" s="70" t="s">
        <v>19</v>
      </c>
      <c r="G18" s="71">
        <f>+P_L!E17+P_L!E19+Detail!M83</f>
        <v>810388.79999999993</v>
      </c>
      <c r="H18" s="72">
        <f>G18/$G$11</f>
        <v>0.12274929900153998</v>
      </c>
      <c r="I18" s="73"/>
      <c r="J18" s="74">
        <f>SUMIF('Cash Flow'!$E$13:$FS$13,J$6,'Cash Flow'!$E$56:$FS$56)</f>
        <v>797131.61106133123</v>
      </c>
      <c r="K18" s="74">
        <f>SUMIF('Cash Flow'!$E$13:$FS$13,K$6,'Cash Flow'!$E$56:$FS$56)</f>
        <v>834026.68746433919</v>
      </c>
      <c r="L18" s="74">
        <f>SUMIF('Cash Flow'!$E$13:$FS$13,L$6,'Cash Flow'!$E$56:$FS$56)</f>
        <v>859394.40725496935</v>
      </c>
      <c r="M18" s="74">
        <f>SUMIF('Cash Flow'!$E$13:$FS$13,M$6,'Cash Flow'!$E$56:$FS$56)</f>
        <v>885533.710517745</v>
      </c>
      <c r="N18" s="74">
        <f>SUMIF('Cash Flow'!$E$13:$FS$13,N$6,'Cash Flow'!$E$56:$FS$56)</f>
        <v>912468.06570231076</v>
      </c>
      <c r="O18" s="74">
        <f>SUMIF('Cash Flow'!$E$13:$FS$13,O$6,'Cash Flow'!$E$56:$FS$56)</f>
        <v>940221.65507366299</v>
      </c>
      <c r="P18" s="74">
        <f>SUMIF('Cash Flow'!$E$13:$FS$13,P$6,'Cash Flow'!$E$56:$FS$56)</f>
        <v>968819.39642352948</v>
      </c>
      <c r="Q18" s="74">
        <f>SUMIF('Cash Flow'!$E$13:$FS$13,Q$6,'Cash Flow'!$E$56:$FS$56)</f>
        <v>998286.96544211719</v>
      </c>
      <c r="R18" s="74">
        <f>SUMIF('Cash Flow'!$E$13:$FS$13,R$6,'Cash Flow'!$E$56:$FS$56)</f>
        <v>1028650.8187703202</v>
      </c>
      <c r="S18" s="75">
        <f>SUMIF('Cash Flow'!$E$13:$FS$13,S$6,'Cash Flow'!$E$56:$FS$56)</f>
        <v>1059938.2177530816</v>
      </c>
      <c r="T18" s="11"/>
      <c r="U18" s="45"/>
      <c r="V18" s="86"/>
      <c r="W18" s="11"/>
      <c r="X18" s="11"/>
      <c r="Y18" s="11"/>
      <c r="Z18" s="11"/>
    </row>
    <row r="19" spans="2:26">
      <c r="B19" s="88"/>
      <c r="C19" s="89"/>
      <c r="D19" s="90"/>
      <c r="E19" s="2"/>
      <c r="F19" s="70"/>
      <c r="G19" s="71"/>
      <c r="H19" s="72"/>
      <c r="I19" s="73"/>
      <c r="J19" s="74"/>
      <c r="K19" s="74"/>
      <c r="L19" s="74"/>
      <c r="M19" s="74"/>
      <c r="N19" s="74"/>
      <c r="O19" s="74"/>
      <c r="P19" s="74"/>
      <c r="Q19" s="74"/>
      <c r="R19" s="74"/>
      <c r="S19" s="75"/>
      <c r="T19" s="11"/>
      <c r="U19" s="45"/>
      <c r="V19" s="86"/>
      <c r="W19" s="11"/>
      <c r="X19" s="11"/>
      <c r="Y19" s="11"/>
      <c r="Z19" s="11"/>
    </row>
    <row r="20" spans="2:26">
      <c r="B20" s="96" t="s">
        <v>21</v>
      </c>
      <c r="C20" s="97"/>
      <c r="D20" s="36"/>
      <c r="E20" s="2"/>
      <c r="F20" s="91" t="s">
        <v>20</v>
      </c>
      <c r="G20" s="92">
        <f>SUM(G14:G19)</f>
        <v>6913290.3170356555</v>
      </c>
      <c r="H20" s="85">
        <f>G20/$G$11</f>
        <v>1.0471535887591992</v>
      </c>
      <c r="I20" s="93"/>
      <c r="J20" s="94">
        <f t="shared" ref="J20:S20" si="3">SUM(J14:J19)</f>
        <v>6505425.7425058931</v>
      </c>
      <c r="K20" s="94">
        <f t="shared" si="3"/>
        <v>6924127.6754145846</v>
      </c>
      <c r="L20" s="94">
        <f t="shared" si="3"/>
        <v>7355691.6091146469</v>
      </c>
      <c r="M20" s="94">
        <f t="shared" si="3"/>
        <v>7608292.1394716054</v>
      </c>
      <c r="N20" s="94">
        <f t="shared" si="3"/>
        <v>7833205.3340948066</v>
      </c>
      <c r="O20" s="94">
        <f t="shared" si="3"/>
        <v>8065388.1033887723</v>
      </c>
      <c r="P20" s="94">
        <f t="shared" si="3"/>
        <v>8312457.7097709058</v>
      </c>
      <c r="Q20" s="94">
        <f t="shared" si="3"/>
        <v>8567369.9629881326</v>
      </c>
      <c r="R20" s="94">
        <f t="shared" si="3"/>
        <v>8829522.9013292752</v>
      </c>
      <c r="S20" s="95">
        <f t="shared" si="3"/>
        <v>9099149.7926350068</v>
      </c>
      <c r="T20" s="11"/>
      <c r="U20" s="45"/>
      <c r="V20" s="86"/>
      <c r="W20" s="11"/>
      <c r="X20" s="11"/>
      <c r="Y20" s="11"/>
      <c r="Z20" s="11"/>
    </row>
    <row r="21" spans="2:26">
      <c r="B21" s="34" t="s">
        <v>22</v>
      </c>
      <c r="C21" s="35">
        <f>Detail!M38</f>
        <v>0.05</v>
      </c>
      <c r="D21" s="36"/>
      <c r="E21" s="2"/>
      <c r="F21" s="91"/>
      <c r="G21" s="66"/>
      <c r="H21" s="98"/>
      <c r="I21" s="67"/>
      <c r="J21" s="68"/>
      <c r="K21" s="68"/>
      <c r="L21" s="68"/>
      <c r="M21" s="68"/>
      <c r="N21" s="68"/>
      <c r="O21" s="68"/>
      <c r="P21" s="68"/>
      <c r="Q21" s="68"/>
      <c r="R21" s="68"/>
      <c r="S21" s="69"/>
      <c r="T21" s="11"/>
      <c r="U21" s="45"/>
      <c r="V21" s="86"/>
      <c r="W21" s="11"/>
      <c r="X21" s="11"/>
      <c r="Y21" s="11"/>
      <c r="Z21" s="11"/>
    </row>
    <row r="22" spans="2:26">
      <c r="B22" s="34" t="s">
        <v>25</v>
      </c>
      <c r="C22" s="48">
        <f>Detail!L22</f>
        <v>4636539.0513957106</v>
      </c>
      <c r="D22" s="36"/>
      <c r="E22" s="2"/>
      <c r="F22" s="91" t="s">
        <v>23</v>
      </c>
      <c r="G22" s="99"/>
      <c r="H22" s="100" t="s">
        <v>24</v>
      </c>
      <c r="I22" s="101"/>
      <c r="J22" s="102"/>
      <c r="K22" s="102"/>
      <c r="L22" s="102"/>
      <c r="M22" s="102"/>
      <c r="N22" s="102"/>
      <c r="O22" s="102"/>
      <c r="P22" s="102"/>
      <c r="Q22" s="102"/>
      <c r="R22" s="102"/>
      <c r="S22" s="103"/>
      <c r="T22" s="11"/>
      <c r="U22" s="45"/>
      <c r="V22" s="86"/>
      <c r="W22" s="11"/>
      <c r="X22" s="11"/>
      <c r="Y22" s="11"/>
      <c r="Z22" s="11"/>
    </row>
    <row r="23" spans="2:26">
      <c r="B23" s="34" t="s">
        <v>27</v>
      </c>
      <c r="C23" s="48">
        <f>Detail!L24</f>
        <v>92730781.027914211</v>
      </c>
      <c r="D23" s="49">
        <f>C23/$B$4</f>
        <v>321981.87856914656</v>
      </c>
      <c r="E23" s="2"/>
      <c r="F23" s="70" t="s">
        <v>26</v>
      </c>
      <c r="G23" s="71">
        <f>+P_L!E23</f>
        <v>481979</v>
      </c>
      <c r="H23" s="72">
        <f t="shared" ref="H23:H29" si="4">G23/$G$20</f>
        <v>6.9717743346075389E-2</v>
      </c>
      <c r="I23" s="105"/>
      <c r="J23" s="74">
        <f>SUMIF('Cash Flow'!$E$13:$FS$13,J$6,'Cash Flow'!$E60:$FS60)</f>
        <v>482985.35709201626</v>
      </c>
      <c r="K23" s="74">
        <f>SUMIF('Cash Flow'!$E$13:$FS$13,K$6,'Cash Flow'!$E60:$FS60)</f>
        <v>491306.30880371138</v>
      </c>
      <c r="L23" s="74">
        <f>SUMIF('Cash Flow'!$E$13:$FS$13,L$6,'Cash Flow'!$E60:$FS60)</f>
        <v>501223.01008917153</v>
      </c>
      <c r="M23" s="74">
        <f>SUMIF('Cash Flow'!$E$13:$FS$13,M$6,'Cash Flow'!$E60:$FS60)</f>
        <v>511339.87360056455</v>
      </c>
      <c r="N23" s="74">
        <f>SUMIF('Cash Flow'!$E$13:$FS$13,N$6,'Cash Flow'!$E60:$FS60)</f>
        <v>521660.93948345259</v>
      </c>
      <c r="O23" s="74">
        <f>SUMIF('Cash Flow'!$E$13:$FS$13,O$6,'Cash Flow'!$E60:$FS60)</f>
        <v>532190.32943113323</v>
      </c>
      <c r="P23" s="74">
        <f>SUMIF('Cash Flow'!$E$13:$FS$13,P$6,'Cash Flow'!$E60:$FS60)</f>
        <v>542932.24833062699</v>
      </c>
      <c r="Q23" s="74">
        <f>SUMIF('Cash Flow'!$E$13:$FS$13,Q$6,'Cash Flow'!$E60:$FS60)</f>
        <v>553890.98594188993</v>
      </c>
      <c r="R23" s="74">
        <f>SUMIF('Cash Flow'!$E$13:$FS$13,R$6,'Cash Flow'!$E60:$FS60)</f>
        <v>565070.91861091903</v>
      </c>
      <c r="S23" s="75">
        <f>SUMIF('Cash Flow'!$E$13:$FS$13,S$6,'Cash Flow'!$E60:$FS60)</f>
        <v>576476.51101743488</v>
      </c>
      <c r="T23" s="11"/>
      <c r="U23" s="45"/>
      <c r="V23" s="86"/>
      <c r="W23" s="11"/>
      <c r="X23" s="11"/>
      <c r="Y23" s="11"/>
      <c r="Z23" s="11"/>
    </row>
    <row r="24" spans="2:26">
      <c r="B24" s="34" t="s">
        <v>29</v>
      </c>
      <c r="C24" s="48">
        <f>Detail!L26</f>
        <v>-1159134.7628489276</v>
      </c>
      <c r="D24" s="107">
        <f>Detail!M39</f>
        <v>1.2500000000000001E-2</v>
      </c>
      <c r="E24" s="2"/>
      <c r="F24" s="70" t="s">
        <v>28</v>
      </c>
      <c r="G24" s="71">
        <f>+P_L!E27</f>
        <v>164269</v>
      </c>
      <c r="H24" s="72">
        <f t="shared" si="4"/>
        <v>2.3761333962094736E-2</v>
      </c>
      <c r="I24" s="105"/>
      <c r="J24" s="74">
        <f>SUMIF('Cash Flow'!$E$13:$FS$13,J$6,'Cash Flow'!$E61:$FS61)</f>
        <v>164611.98853922769</v>
      </c>
      <c r="K24" s="74">
        <f>SUMIF('Cash Flow'!$E$13:$FS$13,K$6,'Cash Flow'!$E61:$FS61)</f>
        <v>167447.95113661981</v>
      </c>
      <c r="L24" s="74">
        <f>SUMIF('Cash Flow'!$E$13:$FS$13,L$6,'Cash Flow'!$E61:$FS61)</f>
        <v>170827.78014050014</v>
      </c>
      <c r="M24" s="74">
        <f>SUMIF('Cash Flow'!$E$13:$FS$13,M$6,'Cash Flow'!$E61:$FS61)</f>
        <v>174275.82881513744</v>
      </c>
      <c r="N24" s="74">
        <f>SUMIF('Cash Flow'!$E$13:$FS$13,N$6,'Cash Flow'!$E61:$FS61)</f>
        <v>177793.47413063078</v>
      </c>
      <c r="O24" s="74">
        <f>SUMIF('Cash Flow'!$E$13:$FS$13,O$6,'Cash Flow'!$E61:$FS61)</f>
        <v>181382.12085033336</v>
      </c>
      <c r="P24" s="74">
        <f>SUMIF('Cash Flow'!$E$13:$FS$13,P$6,'Cash Flow'!$E61:$FS61)</f>
        <v>185043.20209184173</v>
      </c>
      <c r="Q24" s="74">
        <f>SUMIF('Cash Flow'!$E$13:$FS$13,Q$6,'Cash Flow'!$E61:$FS61)</f>
        <v>188778.17989930752</v>
      </c>
      <c r="R24" s="74">
        <f>SUMIF('Cash Flow'!$E$13:$FS$13,R$6,'Cash Flow'!$E61:$FS61)</f>
        <v>192588.54582730177</v>
      </c>
      <c r="S24" s="75">
        <f>SUMIF('Cash Flow'!$E$13:$FS$13,S$6,'Cash Flow'!$E61:$FS61)</f>
        <v>196475.82153646328</v>
      </c>
      <c r="T24" s="11"/>
      <c r="V24" s="104"/>
      <c r="W24" s="11"/>
      <c r="X24" s="11"/>
      <c r="Y24" s="11"/>
      <c r="Z24" s="11"/>
    </row>
    <row r="25" spans="2:26">
      <c r="B25" s="108" t="s">
        <v>31</v>
      </c>
      <c r="C25" s="109">
        <f>Detail!L27</f>
        <v>91571646.265065283</v>
      </c>
      <c r="D25" s="110"/>
      <c r="E25" s="2"/>
      <c r="F25" s="70" t="s">
        <v>30</v>
      </c>
      <c r="G25" s="71">
        <f>+P_L!E24</f>
        <v>557957.03225806449</v>
      </c>
      <c r="H25" s="72">
        <f t="shared" si="4"/>
        <v>8.0707883897650406E-2</v>
      </c>
      <c r="I25" s="105"/>
      <c r="J25" s="74">
        <f>SUMIF('Cash Flow'!$E$13:$FS$13,J$6,'Cash Flow'!$E62:$FS62)</f>
        <v>559122.02910741535</v>
      </c>
      <c r="K25" s="74">
        <f>SUMIF('Cash Flow'!$E$13:$FS$13,K$6,'Cash Flow'!$E62:$FS62)</f>
        <v>568754.67601240519</v>
      </c>
      <c r="L25" s="74">
        <f>SUMIF('Cash Flow'!$E$13:$FS$13,L$6,'Cash Flow'!$E62:$FS62)</f>
        <v>580234.62268855702</v>
      </c>
      <c r="M25" s="74">
        <f>SUMIF('Cash Flow'!$E$13:$FS$13,M$6,'Cash Flow'!$E62:$FS62)</f>
        <v>591946.28469162527</v>
      </c>
      <c r="N25" s="74">
        <f>SUMIF('Cash Flow'!$E$13:$FS$13,N$6,'Cash Flow'!$E62:$FS62)</f>
        <v>603894.33904618456</v>
      </c>
      <c r="O25" s="74">
        <f>SUMIF('Cash Flow'!$E$13:$FS$13,O$6,'Cash Flow'!$E62:$FS62)</f>
        <v>616083.5571795383</v>
      </c>
      <c r="P25" s="74">
        <f>SUMIF('Cash Flow'!$E$13:$FS$13,P$6,'Cash Flow'!$E62:$FS62)</f>
        <v>628518.80682717531</v>
      </c>
      <c r="Q25" s="74">
        <f>SUMIF('Cash Flow'!$E$13:$FS$13,Q$6,'Cash Flow'!$E62:$FS62)</f>
        <v>641205.0539766883</v>
      </c>
      <c r="R25" s="74">
        <f>SUMIF('Cash Flow'!$E$13:$FS$13,R$6,'Cash Flow'!$E62:$FS62)</f>
        <v>654147.36485093064</v>
      </c>
      <c r="S25" s="75">
        <f>SUMIF('Cash Flow'!$E$13:$FS$13,S$6,'Cash Flow'!$E62:$FS62)</f>
        <v>667350.90793119918</v>
      </c>
      <c r="T25" s="11"/>
      <c r="V25" s="104"/>
      <c r="W25" s="11"/>
      <c r="X25" s="11"/>
      <c r="Y25" s="11"/>
      <c r="Z25" s="11"/>
    </row>
    <row r="26" spans="2:26">
      <c r="E26" s="106"/>
      <c r="F26" s="70" t="s">
        <v>32</v>
      </c>
      <c r="G26" s="71">
        <f>+P_L!E28</f>
        <v>51840</v>
      </c>
      <c r="H26" s="72">
        <f t="shared" si="4"/>
        <v>7.4986001777267233E-3</v>
      </c>
      <c r="I26" s="105"/>
      <c r="J26" s="74">
        <f>SUMIF('Cash Flow'!$E$13:$FS$13,J$6,'Cash Flow'!$E63:$FS63)</f>
        <v>51948.24030020005</v>
      </c>
      <c r="K26" s="74">
        <f>SUMIF('Cash Flow'!$E$13:$FS$13,K$6,'Cash Flow'!$E63:$FS63)</f>
        <v>52843.213186434274</v>
      </c>
      <c r="L26" s="74">
        <f>SUMIF('Cash Flow'!$E$13:$FS$13,L$6,'Cash Flow'!$E63:$FS63)</f>
        <v>53909.8193967427</v>
      </c>
      <c r="M26" s="74">
        <f>SUMIF('Cash Flow'!$E$13:$FS$13,M$6,'Cash Flow'!$E63:$FS63)</f>
        <v>54997.954366172111</v>
      </c>
      <c r="N26" s="74">
        <f>SUMIF('Cash Flow'!$E$13:$FS$13,N$6,'Cash Flow'!$E63:$FS63)</f>
        <v>56108.052638853944</v>
      </c>
      <c r="O26" s="74">
        <f>SUMIF('Cash Flow'!$E$13:$FS$13,O$6,'Cash Flow'!$E63:$FS63)</f>
        <v>57240.557529913014</v>
      </c>
      <c r="P26" s="74">
        <f>SUMIF('Cash Flow'!$E$13:$FS$13,P$6,'Cash Flow'!$E63:$FS63)</f>
        <v>58395.921302504255</v>
      </c>
      <c r="Q26" s="74">
        <f>SUMIF('Cash Flow'!$E$13:$FS$13,Q$6,'Cash Flow'!$E63:$FS63)</f>
        <v>59574.605348423021</v>
      </c>
      <c r="R26" s="74">
        <f>SUMIF('Cash Flow'!$E$13:$FS$13,R$6,'Cash Flow'!$E63:$FS63)</f>
        <v>60777.080372360717</v>
      </c>
      <c r="S26" s="75">
        <f>SUMIF('Cash Flow'!$E$13:$FS$13,S$6,'Cash Flow'!$E63:$FS63)</f>
        <v>62003.826579879671</v>
      </c>
      <c r="T26" s="11"/>
      <c r="U26" s="19"/>
      <c r="V26" s="104"/>
      <c r="W26" s="11"/>
      <c r="X26" s="11"/>
      <c r="Y26" s="11"/>
      <c r="Z26" s="11"/>
    </row>
    <row r="27" spans="2:26">
      <c r="B27" s="677"/>
      <c r="C27" s="684"/>
      <c r="E27" s="2"/>
      <c r="F27" s="70" t="s">
        <v>33</v>
      </c>
      <c r="G27" s="71">
        <f>+P_L!E26</f>
        <v>151785</v>
      </c>
      <c r="H27" s="72">
        <f t="shared" si="4"/>
        <v>2.1955536805097427E-2</v>
      </c>
      <c r="I27" s="105"/>
      <c r="J27" s="74">
        <f>SUMIF('Cash Flow'!$E$13:$FS$13,J$6,'Cash Flow'!$E64:$FS64)</f>
        <v>152101.92233730451</v>
      </c>
      <c r="K27" s="74">
        <f>SUMIF('Cash Flow'!$E$13:$FS$13,K$6,'Cash Flow'!$E64:$FS64)</f>
        <v>154722.35944257188</v>
      </c>
      <c r="L27" s="74">
        <f>SUMIF('Cash Flow'!$E$13:$FS$13,L$6,'Cash Flow'!$E64:$FS64)</f>
        <v>157845.33057744196</v>
      </c>
      <c r="M27" s="74">
        <f>SUMIF('Cash Flow'!$E$13:$FS$13,M$6,'Cash Flow'!$E64:$FS64)</f>
        <v>161031.33687248133</v>
      </c>
      <c r="N27" s="74">
        <f>SUMIF('Cash Flow'!$E$13:$FS$13,N$6,'Cash Flow'!$E64:$FS64)</f>
        <v>164281.65065178327</v>
      </c>
      <c r="O27" s="74">
        <f>SUMIF('Cash Flow'!$E$13:$FS$13,O$6,'Cash Flow'!$E64:$FS64)</f>
        <v>167597.56992048316</v>
      </c>
      <c r="P27" s="74">
        <f>SUMIF('Cash Flow'!$E$13:$FS$13,P$6,'Cash Flow'!$E64:$FS64)</f>
        <v>170980.4188831136</v>
      </c>
      <c r="Q27" s="74">
        <f>SUMIF('Cash Flow'!$E$13:$FS$13,Q$6,'Cash Flow'!$E64:$FS64)</f>
        <v>174431.54847242261</v>
      </c>
      <c r="R27" s="74">
        <f>SUMIF('Cash Flow'!$E$13:$FS$13,R$6,'Cash Flow'!$E64:$FS64)</f>
        <v>177952.33688886516</v>
      </c>
      <c r="S27" s="75">
        <f>SUMIF('Cash Flow'!$E$13:$FS$13,S$6,'Cash Flow'!$E64:$FS64)</f>
        <v>181544.19015098453</v>
      </c>
      <c r="T27" s="11"/>
      <c r="V27" s="104"/>
      <c r="W27" s="11"/>
      <c r="X27" s="11"/>
      <c r="Y27" s="11"/>
      <c r="Z27" s="11"/>
    </row>
    <row r="28" spans="2:26">
      <c r="B28" s="5"/>
      <c r="C28" s="118"/>
      <c r="D28" s="678"/>
      <c r="E28" s="2"/>
      <c r="F28" s="70" t="s">
        <v>34</v>
      </c>
      <c r="G28" s="71">
        <f>+P_L!E29</f>
        <v>136800</v>
      </c>
      <c r="H28" s="72">
        <f t="shared" si="4"/>
        <v>1.9787972691223298E-2</v>
      </c>
      <c r="I28" s="105"/>
      <c r="J28" s="74">
        <f>SUMIF('Cash Flow'!$E$13:$FS$13,J$6,'Cash Flow'!$E65:$FS65)</f>
        <v>137085.63412552793</v>
      </c>
      <c r="K28" s="74">
        <f>SUMIF('Cash Flow'!$E$13:$FS$13,K$6,'Cash Flow'!$E65:$FS65)</f>
        <v>139447.36813086821</v>
      </c>
      <c r="L28" s="74">
        <f>SUMIF('Cash Flow'!$E$13:$FS$13,L$6,'Cash Flow'!$E65:$FS65)</f>
        <v>142262.02340807099</v>
      </c>
      <c r="M28" s="74">
        <f>SUMIF('Cash Flow'!$E$13:$FS$13,M$6,'Cash Flow'!$E65:$FS65)</f>
        <v>145133.49068850969</v>
      </c>
      <c r="N28" s="74">
        <f>SUMIF('Cash Flow'!$E$13:$FS$13,N$6,'Cash Flow'!$E65:$FS65)</f>
        <v>148062.91668586456</v>
      </c>
      <c r="O28" s="74">
        <f>SUMIF('Cash Flow'!$E$13:$FS$13,O$6,'Cash Flow'!$E65:$FS65)</f>
        <v>151051.47125949268</v>
      </c>
      <c r="P28" s="74">
        <f>SUMIF('Cash Flow'!$E$13:$FS$13,P$6,'Cash Flow'!$E65:$FS65)</f>
        <v>154100.34788160847</v>
      </c>
      <c r="Q28" s="74">
        <f>SUMIF('Cash Flow'!$E$13:$FS$13,Q$6,'Cash Flow'!$E65:$FS65)</f>
        <v>157210.76411389408</v>
      </c>
      <c r="R28" s="74">
        <f>SUMIF('Cash Flow'!$E$13:$FS$13,R$6,'Cash Flow'!$E65:$FS65)</f>
        <v>160383.96209372964</v>
      </c>
      <c r="S28" s="75">
        <f>SUMIF('Cash Flow'!$E$13:$FS$13,S$6,'Cash Flow'!$E65:$FS65)</f>
        <v>163621.20903023804</v>
      </c>
      <c r="T28" s="11"/>
      <c r="U28" s="45"/>
      <c r="V28" s="111"/>
      <c r="W28" s="11"/>
      <c r="X28" s="11"/>
      <c r="Y28" s="11"/>
      <c r="Z28" s="11"/>
    </row>
    <row r="29" spans="2:26">
      <c r="B29" s="5"/>
      <c r="C29" s="118"/>
      <c r="D29" s="678"/>
      <c r="E29" s="2"/>
      <c r="F29" s="70" t="s">
        <v>35</v>
      </c>
      <c r="G29" s="71">
        <f>+P_L!E25</f>
        <v>30140</v>
      </c>
      <c r="H29" s="72">
        <f t="shared" si="4"/>
        <v>4.3597185446891092E-3</v>
      </c>
      <c r="I29" s="105"/>
      <c r="J29" s="74">
        <f>SUMIF('Cash Flow'!$E$13:$FS$13,J$6,'Cash Flow'!$E66:$FS66)</f>
        <v>30202.931378241312</v>
      </c>
      <c r="K29" s="74">
        <f>SUMIF('Cash Flow'!$E$13:$FS$13,K$6,'Cash Flow'!$E66:$FS66)</f>
        <v>30723.272481464672</v>
      </c>
      <c r="L29" s="74">
        <f>SUMIF('Cash Flow'!$E$13:$FS$13,L$6,'Cash Flow'!$E66:$FS66)</f>
        <v>31343.401940930264</v>
      </c>
      <c r="M29" s="74">
        <f>SUMIF('Cash Flow'!$E$13:$FS$13,M$6,'Cash Flow'!$E66:$FS66)</f>
        <v>31976.048313974286</v>
      </c>
      <c r="N29" s="74">
        <f>SUMIF('Cash Flow'!$E$13:$FS$13,N$6,'Cash Flow'!$E66:$FS66)</f>
        <v>32621.464246432442</v>
      </c>
      <c r="O29" s="74">
        <f>SUMIF('Cash Flow'!$E$13:$FS$13,O$6,'Cash Flow'!$E66:$FS66)</f>
        <v>33279.90748363384</v>
      </c>
      <c r="P29" s="74">
        <f>SUMIF('Cash Flow'!$E$13:$FS$13,P$6,'Cash Flow'!$E66:$FS66)</f>
        <v>33951.640973330992</v>
      </c>
      <c r="Q29" s="74">
        <f>SUMIF('Cash Flow'!$E$13:$FS$13,Q$6,'Cash Flow'!$E66:$FS66)</f>
        <v>34636.932970707363</v>
      </c>
      <c r="R29" s="74">
        <f>SUMIF('Cash Flow'!$E$13:$FS$13,R$6,'Cash Flow'!$E66:$FS66)</f>
        <v>35336.057145504477</v>
      </c>
      <c r="S29" s="75">
        <f>SUMIF('Cash Flow'!$E$13:$FS$13,S$6,'Cash Flow'!$E66:$FS66)</f>
        <v>36049.292691311224</v>
      </c>
      <c r="T29" s="11"/>
      <c r="U29" s="45"/>
      <c r="V29" s="112"/>
      <c r="W29" s="11"/>
      <c r="X29" s="11"/>
      <c r="Y29" s="11"/>
      <c r="Z29" s="11"/>
    </row>
    <row r="30" spans="2:26">
      <c r="B30" s="5"/>
      <c r="C30" s="679"/>
      <c r="D30" s="678"/>
      <c r="E30" s="2"/>
      <c r="F30" s="114" t="s">
        <v>36</v>
      </c>
      <c r="G30" s="71"/>
      <c r="H30" s="72"/>
      <c r="I30" s="115"/>
      <c r="J30" s="74"/>
      <c r="K30" s="74"/>
      <c r="L30" s="74"/>
      <c r="M30" s="74"/>
      <c r="N30" s="74"/>
      <c r="O30" s="74"/>
      <c r="P30" s="74"/>
      <c r="Q30" s="74"/>
      <c r="R30" s="74"/>
      <c r="S30" s="75"/>
      <c r="T30" s="11"/>
      <c r="U30" s="45"/>
      <c r="V30" s="112"/>
      <c r="W30" s="11"/>
      <c r="X30" s="11"/>
      <c r="Y30" s="11"/>
      <c r="Z30" s="11"/>
    </row>
    <row r="31" spans="2:26">
      <c r="B31" s="5"/>
      <c r="C31" s="118"/>
      <c r="D31" s="678"/>
      <c r="E31" s="2"/>
      <c r="F31" s="70" t="s">
        <v>37</v>
      </c>
      <c r="G31" s="71">
        <f>+P_L!E31</f>
        <v>190115.48371848054</v>
      </c>
      <c r="H31" s="72">
        <f t="shared" ref="H31:H36" si="5">G31/$G$20</f>
        <v>2.75E-2</v>
      </c>
      <c r="I31" s="105"/>
      <c r="J31" s="74">
        <f>SUMIF('Cash Flow'!$E$13:$FS$13,J$6,'Cash Flow'!$E68:$FS68)</f>
        <v>178899.20791891214</v>
      </c>
      <c r="K31" s="74">
        <f>SUMIF('Cash Flow'!$E$13:$FS$13,K$6,'Cash Flow'!$E68:$FS68)</f>
        <v>190480.52089925422</v>
      </c>
      <c r="L31" s="74">
        <f>SUMIF('Cash Flow'!$E$13:$FS$13,L$6,'Cash Flow'!$E68:$FS68)</f>
        <v>202462.45568684838</v>
      </c>
      <c r="M31" s="74">
        <f>SUMIF('Cash Flow'!$E$13:$FS$13,M$6,'Cash Flow'!$E68:$FS68)</f>
        <v>209136.16237514117</v>
      </c>
      <c r="N31" s="74">
        <f>SUMIF('Cash Flow'!$E$13:$FS$13,N$6,'Cash Flow'!$E68:$FS68)</f>
        <v>215197.63077367842</v>
      </c>
      <c r="O31" s="74">
        <f>SUMIF('Cash Flow'!$E$13:$FS$13,O$6,'Cash Flow'!$E68:$FS68)</f>
        <v>221632.52914294731</v>
      </c>
      <c r="P31" s="74">
        <f>SUMIF('Cash Flow'!$E$13:$FS$13,P$6,'Cash Flow'!$E68:$FS68)</f>
        <v>228420.49079678912</v>
      </c>
      <c r="Q31" s="74">
        <f>SUMIF('Cash Flow'!$E$13:$FS$13,Q$6,'Cash Flow'!$E68:$FS68)</f>
        <v>235390.26895767028</v>
      </c>
      <c r="R31" s="74">
        <f>SUMIF('Cash Flow'!$E$13:$FS$13,R$6,'Cash Flow'!$E68:$FS68)</f>
        <v>242544.69874129741</v>
      </c>
      <c r="S31" s="75">
        <f>SUMIF('Cash Flow'!$E$13:$FS$13,S$6,'Cash Flow'!$E68:$FS68)</f>
        <v>249920.74609345998</v>
      </c>
      <c r="T31" s="11"/>
      <c r="U31" s="45"/>
      <c r="V31" s="112"/>
      <c r="W31" s="11"/>
      <c r="X31" s="11"/>
      <c r="Y31" s="11"/>
      <c r="Z31" s="11"/>
    </row>
    <row r="32" spans="2:26">
      <c r="B32" s="5"/>
      <c r="C32" s="118"/>
      <c r="D32" s="678"/>
      <c r="E32" s="2"/>
      <c r="F32" s="70" t="s">
        <v>38</v>
      </c>
      <c r="G32" s="71">
        <f>+P_L!E32</f>
        <v>14652</v>
      </c>
      <c r="H32" s="72">
        <f t="shared" si="5"/>
        <v>2.1193960224547056E-3</v>
      </c>
      <c r="I32" s="105"/>
      <c r="J32" s="74">
        <f>SUMIF('Cash Flow'!$E$13:$FS$13,J$6,'Cash Flow'!$E70:$FS70)</f>
        <v>14682.592918181543</v>
      </c>
      <c r="K32" s="74">
        <f>SUMIF('Cash Flow'!$E$13:$FS$13,K$6,'Cash Flow'!$E70:$FS70)</f>
        <v>14935.547060332461</v>
      </c>
      <c r="L32" s="74">
        <f>SUMIF('Cash Flow'!$E$13:$FS$13,L$6,'Cash Flow'!$E70:$FS70)</f>
        <v>15237.011454496025</v>
      </c>
      <c r="M32" s="74">
        <f>SUMIF('Cash Flow'!$E$13:$FS$13,M$6,'Cash Flow'!$E70:$FS70)</f>
        <v>15544.560713216701</v>
      </c>
      <c r="N32" s="74">
        <f>SUMIF('Cash Flow'!$E$13:$FS$13,N$6,'Cash Flow'!$E70:$FS70)</f>
        <v>15858.31765556497</v>
      </c>
      <c r="O32" s="74">
        <f>SUMIF('Cash Flow'!$E$13:$FS$13,O$6,'Cash Flow'!$E70:$FS70)</f>
        <v>16178.407579635139</v>
      </c>
      <c r="P32" s="74">
        <f>SUMIF('Cash Flow'!$E$13:$FS$13,P$6,'Cash Flow'!$E70:$FS70)</f>
        <v>16504.958312582799</v>
      </c>
      <c r="Q32" s="74">
        <f>SUMIF('Cash Flow'!$E$13:$FS$13,Q$6,'Cash Flow'!$E70:$FS70)</f>
        <v>16838.100261672338</v>
      </c>
      <c r="R32" s="74">
        <f>SUMIF('Cash Flow'!$E$13:$FS$13,R$6,'Cash Flow'!$E70:$FS70)</f>
        <v>17177.96646635473</v>
      </c>
      <c r="S32" s="75">
        <f>SUMIF('Cash Flow'!$E$13:$FS$13,S$6,'Cash Flow'!$E70:$FS70)</f>
        <v>17524.692651396552</v>
      </c>
      <c r="T32" s="11"/>
      <c r="U32" s="45"/>
      <c r="V32" s="111"/>
      <c r="W32" s="11"/>
      <c r="X32" s="11"/>
      <c r="Y32" s="11"/>
      <c r="Z32" s="11"/>
    </row>
    <row r="33" spans="2:26">
      <c r="B33" s="5"/>
      <c r="C33" s="118"/>
      <c r="D33" s="678"/>
      <c r="E33" s="2"/>
      <c r="F33" s="70" t="s">
        <v>39</v>
      </c>
      <c r="G33" s="71">
        <f>+P_L!E34</f>
        <v>723196.89000000013</v>
      </c>
      <c r="H33" s="72">
        <f t="shared" si="5"/>
        <v>0.10460965138667852</v>
      </c>
      <c r="I33" s="105"/>
      <c r="J33" s="74">
        <f>SUMIF('Cash Flow'!$E$13:$FS$13,J$6,'Cash Flow'!$E69:$FS69)</f>
        <v>724706.90250920819</v>
      </c>
      <c r="K33" s="74">
        <f>SUMIF('Cash Flow'!$E$13:$FS$13,K$6,'Cash Flow'!$E69:$FS69)</f>
        <v>737192.27303310682</v>
      </c>
      <c r="L33" s="74">
        <f>SUMIF('Cash Flow'!$E$13:$FS$13,L$6,'Cash Flow'!$E69:$FS69)</f>
        <v>752072.02407766215</v>
      </c>
      <c r="M33" s="74">
        <f>SUMIF('Cash Flow'!$E$13:$FS$13,M$6,'Cash Flow'!$E69:$FS69)</f>
        <v>767252.11330975301</v>
      </c>
      <c r="N33" s="74">
        <f>SUMIF('Cash Flow'!$E$13:$FS$13,N$6,'Cash Flow'!$E69:$FS69)</f>
        <v>782738.60286218126</v>
      </c>
      <c r="O33" s="74">
        <f>SUMIF('Cash Flow'!$E$13:$FS$13,O$6,'Cash Flow'!$E69:$FS69)</f>
        <v>798537.6772279935</v>
      </c>
      <c r="P33" s="74">
        <f>SUMIF('Cash Flow'!$E$13:$FS$13,P$6,'Cash Flow'!$E69:$FS69)</f>
        <v>814655.64573024376</v>
      </c>
      <c r="Q33" s="74">
        <f>SUMIF('Cash Flow'!$E$13:$FS$13,Q$6,'Cash Flow'!$E69:$FS69)</f>
        <v>831098.94504160678</v>
      </c>
      <c r="R33" s="74">
        <f>SUMIF('Cash Flow'!$E$13:$FS$13,R$6,'Cash Flow'!$E69:$FS69)</f>
        <v>847874.14175484807</v>
      </c>
      <c r="S33" s="75">
        <f>SUMIF('Cash Flow'!$E$13:$FS$13,S$6,'Cash Flow'!$E69:$FS69)</f>
        <v>864987.93500517623</v>
      </c>
      <c r="T33" s="11"/>
      <c r="U33" s="11"/>
      <c r="V33" s="11"/>
      <c r="W33" s="11"/>
      <c r="X33" s="11"/>
      <c r="Y33" s="11"/>
      <c r="Z33" s="11"/>
    </row>
    <row r="34" spans="2:26">
      <c r="B34" s="5"/>
      <c r="C34" s="680"/>
      <c r="D34" s="5"/>
      <c r="E34" s="2"/>
      <c r="F34" s="70" t="s">
        <v>40</v>
      </c>
      <c r="G34" s="71">
        <f>+P_L!E33</f>
        <v>302400</v>
      </c>
      <c r="H34" s="72">
        <f t="shared" si="5"/>
        <v>4.3741834370072549E-2</v>
      </c>
      <c r="I34" s="105"/>
      <c r="J34" s="74">
        <f>SUMIF('Cash Flow'!$E$13:$FS$13,J$6,'Cash Flow'!$E71:$FS71)</f>
        <v>303031.40175116702</v>
      </c>
      <c r="K34" s="74">
        <f>SUMIF('Cash Flow'!$E$13:$FS$13,K$6,'Cash Flow'!$E71:$FS71)</f>
        <v>308252.07692086662</v>
      </c>
      <c r="L34" s="74">
        <f>SUMIF('Cash Flow'!$E$13:$FS$13,L$6,'Cash Flow'!$E71:$FS71)</f>
        <v>314473.94648099912</v>
      </c>
      <c r="M34" s="74">
        <f>SUMIF('Cash Flow'!$E$13:$FS$13,M$6,'Cash Flow'!$E71:$FS71)</f>
        <v>320821.40046933724</v>
      </c>
      <c r="N34" s="74">
        <f>SUMIF('Cash Flow'!$E$13:$FS$13,N$6,'Cash Flow'!$E71:$FS71)</f>
        <v>327296.97372664802</v>
      </c>
      <c r="O34" s="74">
        <f>SUMIF('Cash Flow'!$E$13:$FS$13,O$6,'Cash Flow'!$E71:$FS71)</f>
        <v>333903.25225782598</v>
      </c>
      <c r="P34" s="74">
        <f>SUMIF('Cash Flow'!$E$13:$FS$13,P$6,'Cash Flow'!$E71:$FS71)</f>
        <v>340642.8742646082</v>
      </c>
      <c r="Q34" s="74">
        <f>SUMIF('Cash Flow'!$E$13:$FS$13,Q$6,'Cash Flow'!$E71:$FS71)</f>
        <v>347518.53119913425</v>
      </c>
      <c r="R34" s="74">
        <f>SUMIF('Cash Flow'!$E$13:$FS$13,R$6,'Cash Flow'!$E71:$FS71)</f>
        <v>354532.96883877087</v>
      </c>
      <c r="S34" s="75">
        <f>SUMIF('Cash Flow'!$E$13:$FS$13,S$6,'Cash Flow'!$E71:$FS71)</f>
        <v>361688.98838263151</v>
      </c>
      <c r="T34" s="11"/>
      <c r="U34" s="11"/>
      <c r="V34" s="11"/>
      <c r="W34" s="11"/>
      <c r="X34" s="11"/>
      <c r="Y34" s="11"/>
      <c r="Z34" s="11"/>
    </row>
    <row r="35" spans="2:26">
      <c r="C35" s="113"/>
      <c r="E35" s="2"/>
      <c r="F35" s="114" t="s">
        <v>41</v>
      </c>
      <c r="G35" s="71">
        <f>+P_L!E35</f>
        <v>57600</v>
      </c>
      <c r="H35" s="79">
        <f t="shared" si="5"/>
        <v>8.3317779752519142E-3</v>
      </c>
      <c r="I35" s="80"/>
      <c r="J35" s="74">
        <f>SUMIF('Cash Flow'!$E$13:$FS$13,J$6,'Cash Flow'!$E72:$FS72)</f>
        <v>57600</v>
      </c>
      <c r="K35" s="74">
        <f>SUMIF('Cash Flow'!$E$13:$FS$13,K$6,'Cash Flow'!$E72:$FS72)</f>
        <v>57600</v>
      </c>
      <c r="L35" s="74">
        <f>SUMIF('Cash Flow'!$E$13:$FS$13,L$6,'Cash Flow'!$E72:$FS72)</f>
        <v>57600</v>
      </c>
      <c r="M35" s="74">
        <f>SUMIF('Cash Flow'!$E$13:$FS$13,M$6,'Cash Flow'!$E72:$FS72)</f>
        <v>57600</v>
      </c>
      <c r="N35" s="74">
        <f>SUMIF('Cash Flow'!$E$13:$FS$13,N$6,'Cash Flow'!$E72:$FS72)</f>
        <v>57600</v>
      </c>
      <c r="O35" s="74">
        <f>SUMIF('Cash Flow'!$E$13:$FS$13,O$6,'Cash Flow'!$E72:$FS72)</f>
        <v>57600</v>
      </c>
      <c r="P35" s="74">
        <f>SUMIF('Cash Flow'!$E$13:$FS$13,P$6,'Cash Flow'!$E72:$FS72)</f>
        <v>57600</v>
      </c>
      <c r="Q35" s="74">
        <f>SUMIF('Cash Flow'!$E$13:$FS$13,Q$6,'Cash Flow'!$E72:$FS72)</f>
        <v>57600</v>
      </c>
      <c r="R35" s="74">
        <f>SUMIF('Cash Flow'!$E$13:$FS$13,R$6,'Cash Flow'!$E72:$FS72)</f>
        <v>57600</v>
      </c>
      <c r="S35" s="75">
        <f>SUMIF('Cash Flow'!$E$13:$FS$13,S$6,'Cash Flow'!$E72:$FS72)</f>
        <v>57600</v>
      </c>
      <c r="T35" s="11"/>
      <c r="U35" s="11"/>
      <c r="V35" s="11"/>
      <c r="W35" s="11"/>
      <c r="X35" s="11"/>
      <c r="Y35" s="11"/>
      <c r="Z35" s="11"/>
    </row>
    <row r="36" spans="2:26">
      <c r="C36" s="113"/>
      <c r="E36" s="2"/>
      <c r="F36" s="65" t="s">
        <v>42</v>
      </c>
      <c r="G36" s="92">
        <f>SUM(G23:G35)</f>
        <v>2862734.4059765451</v>
      </c>
      <c r="H36" s="85">
        <f t="shared" si="5"/>
        <v>0.41409144917901475</v>
      </c>
      <c r="I36" s="93"/>
      <c r="J36" s="94">
        <f t="shared" ref="J36:S36" si="6">SUM(J23:J35)</f>
        <v>2856978.207977402</v>
      </c>
      <c r="K36" s="94">
        <f t="shared" si="6"/>
        <v>2913705.5671076356</v>
      </c>
      <c r="L36" s="94">
        <f t="shared" si="6"/>
        <v>2979491.4259414203</v>
      </c>
      <c r="M36" s="94">
        <f t="shared" si="6"/>
        <v>3041055.0542159127</v>
      </c>
      <c r="N36" s="94">
        <f t="shared" si="6"/>
        <v>3103114.3619012749</v>
      </c>
      <c r="O36" s="94">
        <f t="shared" si="6"/>
        <v>3166677.3798629297</v>
      </c>
      <c r="P36" s="94">
        <f t="shared" si="6"/>
        <v>3231746.5553944251</v>
      </c>
      <c r="Q36" s="94">
        <f t="shared" si="6"/>
        <v>3298173.9161834167</v>
      </c>
      <c r="R36" s="94">
        <f t="shared" si="6"/>
        <v>3365986.0415908825</v>
      </c>
      <c r="S36" s="95">
        <f t="shared" si="6"/>
        <v>3435244.1210701754</v>
      </c>
      <c r="T36" s="11"/>
      <c r="U36" s="11"/>
      <c r="V36" s="11"/>
      <c r="W36" s="11"/>
      <c r="X36" s="11"/>
      <c r="Y36" s="11"/>
      <c r="Z36" s="11"/>
    </row>
    <row r="37" spans="2:26">
      <c r="C37" s="113"/>
      <c r="E37" s="2"/>
      <c r="F37" s="65"/>
      <c r="G37" s="66"/>
      <c r="H37" s="117"/>
      <c r="I37" s="67"/>
      <c r="J37" s="68"/>
      <c r="K37" s="68"/>
      <c r="L37" s="68"/>
      <c r="M37" s="68"/>
      <c r="N37" s="68"/>
      <c r="O37" s="68"/>
      <c r="P37" s="68"/>
      <c r="Q37" s="68"/>
      <c r="R37" s="68"/>
      <c r="S37" s="69"/>
      <c r="T37" s="11"/>
      <c r="U37" s="11"/>
      <c r="V37" s="11"/>
      <c r="W37" s="11"/>
      <c r="X37" s="11"/>
      <c r="Y37" s="11"/>
      <c r="Z37" s="11"/>
    </row>
    <row r="38" spans="2:26" ht="14.25" thickBot="1">
      <c r="E38" s="2"/>
      <c r="F38" s="120" t="s">
        <v>43</v>
      </c>
      <c r="G38" s="121">
        <f t="shared" ref="G38:S38" si="7">G20-G36</f>
        <v>4050555.9110591104</v>
      </c>
      <c r="H38" s="122"/>
      <c r="I38" s="123"/>
      <c r="J38" s="124">
        <f>J20-J36</f>
        <v>3648447.5345284911</v>
      </c>
      <c r="K38" s="124">
        <f t="shared" si="7"/>
        <v>4010422.108306949</v>
      </c>
      <c r="L38" s="124">
        <f t="shared" si="7"/>
        <v>4376200.1831732262</v>
      </c>
      <c r="M38" s="124">
        <f t="shared" si="7"/>
        <v>4567237.0852556927</v>
      </c>
      <c r="N38" s="124">
        <f t="shared" si="7"/>
        <v>4730090.9721935317</v>
      </c>
      <c r="O38" s="124">
        <f t="shared" si="7"/>
        <v>4898710.7235258427</v>
      </c>
      <c r="P38" s="124">
        <f t="shared" si="7"/>
        <v>5080711.1543764807</v>
      </c>
      <c r="Q38" s="124">
        <f t="shared" si="7"/>
        <v>5269196.0468047159</v>
      </c>
      <c r="R38" s="124">
        <f t="shared" si="7"/>
        <v>5463536.8597383928</v>
      </c>
      <c r="S38" s="125">
        <f t="shared" si="7"/>
        <v>5663905.6715648314</v>
      </c>
      <c r="T38" s="11"/>
      <c r="U38" s="11"/>
      <c r="V38" s="11"/>
      <c r="W38" s="11"/>
      <c r="X38" s="11"/>
      <c r="Y38" s="11"/>
      <c r="Z38" s="11"/>
    </row>
    <row r="39" spans="2:26" ht="14.25" thickTop="1">
      <c r="C39" s="116"/>
      <c r="E39" s="2"/>
      <c r="F39" s="126" t="s">
        <v>44</v>
      </c>
      <c r="G39" s="127"/>
      <c r="H39" s="127"/>
      <c r="I39" s="127"/>
      <c r="J39" s="127"/>
      <c r="K39" s="128">
        <f t="shared" ref="K39:S39" si="8">K38/J38-1</f>
        <v>9.9213314801096075E-2</v>
      </c>
      <c r="L39" s="128">
        <f t="shared" si="8"/>
        <v>9.1206876729665431E-2</v>
      </c>
      <c r="M39" s="128">
        <f t="shared" si="8"/>
        <v>4.3653602231684019E-2</v>
      </c>
      <c r="N39" s="128">
        <f t="shared" si="8"/>
        <v>3.5656981211589889E-2</v>
      </c>
      <c r="O39" s="128">
        <f t="shared" si="8"/>
        <v>3.5648310428607832E-2</v>
      </c>
      <c r="P39" s="128">
        <f t="shared" si="8"/>
        <v>3.7152720608014E-2</v>
      </c>
      <c r="Q39" s="128">
        <f t="shared" si="8"/>
        <v>3.7098131875864748E-2</v>
      </c>
      <c r="R39" s="128">
        <f t="shared" si="8"/>
        <v>3.6882441117659148E-2</v>
      </c>
      <c r="S39" s="129">
        <f t="shared" si="8"/>
        <v>3.6673828139238029E-2</v>
      </c>
      <c r="T39" s="11"/>
      <c r="U39" s="11"/>
      <c r="V39" s="11"/>
      <c r="W39" s="11"/>
      <c r="X39" s="11"/>
      <c r="Y39" s="11"/>
      <c r="Z39" s="11"/>
    </row>
    <row r="40" spans="2:26">
      <c r="C40" s="118"/>
      <c r="D40" s="119"/>
      <c r="E40" s="2"/>
      <c r="F40" s="131" t="s">
        <v>45</v>
      </c>
      <c r="G40" s="132"/>
      <c r="H40" s="132"/>
      <c r="I40" s="132"/>
      <c r="J40" s="133">
        <f>-(SUMIF('Cash Flow'!$E$13:$FS13,J$6,'Cash Flow'!$E81:$FS81)+SUMIF('Cash Flow'!$E$13:$FS13,J$6,'Cash Flow'!$E82:$FS82))</f>
        <v>-3037357.6388888885</v>
      </c>
      <c r="K40" s="133">
        <f>-(SUMIF('Cash Flow'!$E$13:$FS13,K$6,'Cash Flow'!$E81:$FS81)+SUMIF('Cash Flow'!$E$13:$FS13,K$6,'Cash Flow'!$E82:$FS82))</f>
        <v>-3045679.166666666</v>
      </c>
      <c r="L40" s="133">
        <f>-(SUMIF('Cash Flow'!$E$13:$FS13,L$6,'Cash Flow'!$E81:$FS81)+SUMIF('Cash Flow'!$E$13:$FS13,L$6,'Cash Flow'!$E82:$FS82))</f>
        <v>-3037357.6388888885</v>
      </c>
      <c r="M40" s="133">
        <f>-(SUMIF('Cash Flow'!$E$13:$FS13,M$6,'Cash Flow'!$E81:$FS81)+SUMIF('Cash Flow'!$E$13:$FS13,M$6,'Cash Flow'!$E82:$FS82))</f>
        <v>-3037357.6388888885</v>
      </c>
      <c r="N40" s="133">
        <f>-(SUMIF('Cash Flow'!$E$13:$FS13,N$6,'Cash Flow'!$E81:$FS81)+SUMIF('Cash Flow'!$E$13:$FS13,N$6,'Cash Flow'!$E82:$FS82))</f>
        <v>0</v>
      </c>
      <c r="O40" s="133">
        <f>-(SUMIF('Cash Flow'!$E$13:$FS13,O$6,'Cash Flow'!$E81:$FS81)+SUMIF('Cash Flow'!$E$13:$FS13,O$6,'Cash Flow'!$E82:$FS82))</f>
        <v>0</v>
      </c>
      <c r="P40" s="133">
        <f>-(SUMIF('Cash Flow'!$E$13:$FS13,P$6,'Cash Flow'!$E81:$FS81)+SUMIF('Cash Flow'!$E$13:$FS13,P$6,'Cash Flow'!$E82:$FS82))</f>
        <v>0</v>
      </c>
      <c r="Q40" s="133">
        <f>-(SUMIF('Cash Flow'!$E$13:$FS13,Q$6,'Cash Flow'!$E81:$FS81)+SUMIF('Cash Flow'!$E$13:$FS13,Q$6,'Cash Flow'!$E82:$FS82))</f>
        <v>0</v>
      </c>
      <c r="R40" s="133">
        <f>-(SUMIF('Cash Flow'!$E$13:$FS13,R$6,'Cash Flow'!$E81:$FS81)+SUMIF('Cash Flow'!$E$13:$FS13,R$6,'Cash Flow'!$E82:$FS82))</f>
        <v>0</v>
      </c>
      <c r="S40" s="134">
        <f>-(SUMIF('Cash Flow'!$E$13:$FS13,S$6,'Cash Flow'!$E81:$FS81)+SUMIF('Cash Flow'!$E$13:$FS13,S$6,'Cash Flow'!$E82:$FS82))</f>
        <v>0</v>
      </c>
      <c r="T40" s="11"/>
      <c r="U40" s="11"/>
      <c r="V40" s="11"/>
      <c r="W40" s="11"/>
      <c r="X40" s="11"/>
      <c r="Y40" s="11"/>
      <c r="Z40" s="11"/>
    </row>
    <row r="41" spans="2:26">
      <c r="B41" s="11"/>
      <c r="C41" s="11"/>
      <c r="D41" s="11"/>
      <c r="E41" s="2"/>
      <c r="F41" s="135" t="s">
        <v>46</v>
      </c>
      <c r="G41" s="136"/>
      <c r="H41" s="136"/>
      <c r="I41" s="136"/>
      <c r="J41" s="136">
        <f>-IFERROR(J38/J40,0)</f>
        <v>1.2011912880510009</v>
      </c>
      <c r="K41" s="136">
        <f t="shared" ref="K41:S41" si="9">-IFERROR(K38/K40,0)</f>
        <v>1.3167579015540705</v>
      </c>
      <c r="L41" s="136">
        <f t="shared" si="9"/>
        <v>1.4407918669643744</v>
      </c>
      <c r="M41" s="136">
        <f t="shared" si="9"/>
        <v>1.5036876220234827</v>
      </c>
      <c r="N41" s="136">
        <f t="shared" si="9"/>
        <v>0</v>
      </c>
      <c r="O41" s="136">
        <f t="shared" si="9"/>
        <v>0</v>
      </c>
      <c r="P41" s="136">
        <f t="shared" si="9"/>
        <v>0</v>
      </c>
      <c r="Q41" s="136">
        <f t="shared" si="9"/>
        <v>0</v>
      </c>
      <c r="R41" s="136">
        <f t="shared" si="9"/>
        <v>0</v>
      </c>
      <c r="S41" s="137">
        <f t="shared" si="9"/>
        <v>0</v>
      </c>
      <c r="T41" s="11"/>
      <c r="U41" s="11"/>
      <c r="V41" s="11"/>
      <c r="W41" s="11"/>
      <c r="X41" s="11"/>
      <c r="Y41" s="11"/>
      <c r="Z41" s="11"/>
    </row>
    <row r="42" spans="2:26" ht="18.600000000000001" customHeight="1">
      <c r="B42" s="11"/>
      <c r="C42" s="130"/>
      <c r="D42" s="11"/>
      <c r="E42" s="2"/>
      <c r="F42" s="58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38"/>
      <c r="T42" s="11"/>
      <c r="U42" s="11"/>
      <c r="V42" s="11"/>
      <c r="W42" s="11"/>
      <c r="X42" s="11"/>
      <c r="Y42" s="11"/>
      <c r="Z42" s="11"/>
    </row>
    <row r="43" spans="2:26" ht="14.25" thickBot="1">
      <c r="B43" s="2"/>
      <c r="C43" s="2"/>
      <c r="D43" s="2"/>
      <c r="E43" s="2"/>
      <c r="F43" s="120" t="s">
        <v>47</v>
      </c>
      <c r="G43" s="123"/>
      <c r="H43" s="123"/>
      <c r="I43" s="123"/>
      <c r="J43" s="123">
        <f>SUMIF('Cash Flow'!$E$13:$FS13,J$6,'Cash Flow'!$E84:$FS84)</f>
        <v>611089.89563960501</v>
      </c>
      <c r="K43" s="123">
        <f>SUMIF('Cash Flow'!$E$13:$FS13,K$6,'Cash Flow'!$E84:$FS84)</f>
        <v>967179.662562215</v>
      </c>
      <c r="L43" s="123">
        <f>SUMIF('Cash Flow'!$E$13:$FS13,L$6,'Cash Flow'!$E84:$FS84)</f>
        <v>1345422.0510550884</v>
      </c>
      <c r="M43" s="123">
        <f>SUMIF('Cash Flow'!$E$13:$FS13,M$6,'Cash Flow'!$E84:$FS84)</f>
        <v>1526538.6659912423</v>
      </c>
      <c r="N43" s="123">
        <f>SUMIF('Cash Flow'!$E$13:$FS13,N$6,'Cash Flow'!$E84:$FS84)</f>
        <v>0</v>
      </c>
      <c r="O43" s="123">
        <f>SUMIF('Cash Flow'!$E$13:$FS13,O$6,'Cash Flow'!$E84:$FS84)</f>
        <v>0</v>
      </c>
      <c r="P43" s="123">
        <f>SUMIF('Cash Flow'!$E$13:$FS13,P$6,'Cash Flow'!$E84:$FS84)</f>
        <v>0</v>
      </c>
      <c r="Q43" s="123">
        <f>SUMIF('Cash Flow'!$E$13:$FS13,Q$6,'Cash Flow'!$E84:$FS84)</f>
        <v>0</v>
      </c>
      <c r="R43" s="123">
        <f>SUMIF('Cash Flow'!$E$13:$FS13,R$6,'Cash Flow'!$E84:$FS84)</f>
        <v>0</v>
      </c>
      <c r="S43" s="123">
        <f>SUMIF('Cash Flow'!$E$13:$FS13,S$6,'Cash Flow'!$E84:$FS84)</f>
        <v>0</v>
      </c>
      <c r="T43" s="11"/>
      <c r="U43" s="11"/>
      <c r="V43" s="11"/>
      <c r="W43" s="11"/>
      <c r="X43" s="11"/>
      <c r="Y43" s="11"/>
      <c r="Z43" s="11"/>
    </row>
    <row r="44" spans="2:26" ht="4.5" customHeight="1" thickTop="1">
      <c r="B44" s="2"/>
      <c r="C44" s="2"/>
      <c r="D44" s="2"/>
      <c r="E44" s="2"/>
      <c r="F44" s="65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40"/>
      <c r="T44" s="11"/>
      <c r="U44" s="11"/>
      <c r="V44" s="11"/>
      <c r="W44" s="11"/>
      <c r="X44" s="11"/>
      <c r="Y44" s="11"/>
      <c r="Z44" s="11"/>
    </row>
    <row r="45" spans="2:26">
      <c r="B45" s="2"/>
      <c r="C45" s="2"/>
      <c r="D45" s="2"/>
      <c r="E45" s="2"/>
      <c r="F45" s="141" t="s">
        <v>48</v>
      </c>
      <c r="G45" s="142"/>
      <c r="H45" s="142"/>
      <c r="I45" s="142"/>
      <c r="J45" s="142">
        <f>C15</f>
        <v>18929066.165800005</v>
      </c>
      <c r="K45" s="142">
        <f>J45</f>
        <v>18929066.165800005</v>
      </c>
      <c r="L45" s="142">
        <f>K45</f>
        <v>18929066.165800005</v>
      </c>
      <c r="M45" s="142">
        <f>L45</f>
        <v>18929066.165800005</v>
      </c>
      <c r="N45" s="142">
        <f>M45</f>
        <v>18929066.165800005</v>
      </c>
      <c r="O45" s="142">
        <v>0</v>
      </c>
      <c r="P45" s="142">
        <v>0</v>
      </c>
      <c r="Q45" s="142">
        <f>P45</f>
        <v>0</v>
      </c>
      <c r="R45" s="142">
        <f>Q45</f>
        <v>0</v>
      </c>
      <c r="S45" s="143">
        <f>R45</f>
        <v>0</v>
      </c>
      <c r="T45" s="11"/>
      <c r="U45" s="11"/>
      <c r="V45" s="11"/>
      <c r="W45" s="11"/>
      <c r="X45" s="11"/>
      <c r="Y45" s="11"/>
      <c r="Z45" s="11"/>
    </row>
    <row r="46" spans="2:26" ht="12.75" customHeight="1">
      <c r="B46" s="2"/>
      <c r="C46" s="2"/>
      <c r="D46" s="2"/>
      <c r="E46" s="2"/>
      <c r="F46" s="144" t="s">
        <v>49</v>
      </c>
      <c r="G46" s="145"/>
      <c r="H46" s="145"/>
      <c r="I46" s="145"/>
      <c r="J46" s="145">
        <f>IFERROR(J43/J45,0)</f>
        <v>3.2283150699937251E-2</v>
      </c>
      <c r="K46" s="145">
        <f t="shared" ref="K46:S46" si="10">IFERROR(K43/K45,0)</f>
        <v>5.1094948588095802E-2</v>
      </c>
      <c r="L46" s="145">
        <f t="shared" si="10"/>
        <v>7.1077043065437787E-2</v>
      </c>
      <c r="M46" s="145">
        <f t="shared" si="10"/>
        <v>8.0645217921489876E-2</v>
      </c>
      <c r="N46" s="145">
        <f t="shared" si="10"/>
        <v>0</v>
      </c>
      <c r="O46" s="145">
        <f t="shared" si="10"/>
        <v>0</v>
      </c>
      <c r="P46" s="145">
        <f t="shared" si="10"/>
        <v>0</v>
      </c>
      <c r="Q46" s="145">
        <f t="shared" si="10"/>
        <v>0</v>
      </c>
      <c r="R46" s="145">
        <f t="shared" si="10"/>
        <v>0</v>
      </c>
      <c r="S46" s="146">
        <f t="shared" si="10"/>
        <v>0</v>
      </c>
      <c r="T46" s="11"/>
      <c r="U46" s="11"/>
      <c r="V46" s="11"/>
      <c r="W46" s="11"/>
      <c r="X46" s="11"/>
      <c r="Y46" s="11"/>
      <c r="Z46" s="11"/>
    </row>
    <row r="47" spans="2:26">
      <c r="B47" s="2"/>
      <c r="C47" s="2"/>
      <c r="D47" s="2"/>
      <c r="E47" s="2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2:26">
      <c r="B48" s="2"/>
      <c r="C48" s="2"/>
      <c r="D48" s="2"/>
      <c r="E48" s="2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2:26">
      <c r="B49" s="2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2:26" ht="14.25" thickBot="1">
      <c r="B50" s="2"/>
      <c r="C50" s="11"/>
      <c r="D50" s="11"/>
      <c r="E50" s="11"/>
      <c r="F50" s="147" t="s">
        <v>50</v>
      </c>
      <c r="G50" s="148"/>
      <c r="H50" s="148"/>
      <c r="I50" s="148"/>
      <c r="J50" s="148">
        <v>1</v>
      </c>
      <c r="K50" s="148">
        <f>+J50+1</f>
        <v>2</v>
      </c>
      <c r="L50" s="148">
        <f t="shared" ref="L50:S50" si="11">+K50+1</f>
        <v>3</v>
      </c>
      <c r="M50" s="148">
        <f t="shared" si="11"/>
        <v>4</v>
      </c>
      <c r="N50" s="148">
        <f t="shared" si="11"/>
        <v>5</v>
      </c>
      <c r="O50" s="148">
        <f t="shared" si="11"/>
        <v>6</v>
      </c>
      <c r="P50" s="148">
        <f t="shared" si="11"/>
        <v>7</v>
      </c>
      <c r="Q50" s="148">
        <f t="shared" si="11"/>
        <v>8</v>
      </c>
      <c r="R50" s="148">
        <f t="shared" si="11"/>
        <v>9</v>
      </c>
      <c r="S50" s="148">
        <f t="shared" si="11"/>
        <v>10</v>
      </c>
      <c r="T50" s="11"/>
      <c r="U50" s="11"/>
      <c r="V50" s="11"/>
      <c r="W50" s="11"/>
      <c r="X50" s="11"/>
      <c r="Y50" s="11"/>
      <c r="Z50" s="11"/>
    </row>
    <row r="51" spans="2:26">
      <c r="B51" s="2"/>
      <c r="C51" s="11"/>
      <c r="D51" s="11"/>
      <c r="E51" s="11"/>
      <c r="F51" s="149" t="s">
        <v>51</v>
      </c>
      <c r="G51" s="11"/>
      <c r="H51" s="150">
        <f t="shared" ref="H51:H57" si="12">SUM(J51:S51)</f>
        <v>-18929066.165800005</v>
      </c>
      <c r="I51" s="151"/>
      <c r="J51" s="151">
        <f>SUMIF('Cash Flow'!$E$13:$FS$13,J$50,'Cash Flow'!$E112:$FS112)</f>
        <v>-18929066.165800005</v>
      </c>
      <c r="K51" s="73">
        <f>SUMIF('Cash Flow'!$E$13:$FS$13,K$50,'Cash Flow'!$E112:$FS112)</f>
        <v>0</v>
      </c>
      <c r="L51" s="73">
        <f>SUMIF('Cash Flow'!$E$13:$FS$13,L$50,'Cash Flow'!$E112:$FS112)</f>
        <v>0</v>
      </c>
      <c r="M51" s="73">
        <f>SUMIF('Cash Flow'!$E$13:$FS$13,M$50,'Cash Flow'!$E112:$FS112)</f>
        <v>0</v>
      </c>
      <c r="N51" s="73">
        <f>SUMIF('Cash Flow'!$E$13:$FS$13,N$50,'Cash Flow'!$E112:$FS112)</f>
        <v>0</v>
      </c>
      <c r="O51" s="73">
        <f>SUMIF('Cash Flow'!$E$13:$FS$13,O$50,'Cash Flow'!$E112:$FS112)</f>
        <v>0</v>
      </c>
      <c r="P51" s="153">
        <f>SUMIF('Cash Flow'!$E$13:$FS$13,P$50,'Cash Flow'!$E112:$FS112)</f>
        <v>0</v>
      </c>
      <c r="Q51" s="73">
        <f>SUMIF('Cash Flow'!$E$13:$FS$13,Q$50,'Cash Flow'!$E112:$FS112)</f>
        <v>0</v>
      </c>
      <c r="R51" s="73">
        <f>SUMIF('Cash Flow'!$E$13:$FS$13,R$50,'Cash Flow'!$E112:$FS112)</f>
        <v>0</v>
      </c>
      <c r="S51" s="152">
        <f>SUMIF('Cash Flow'!$E$13:$FS$13,S$50,'Cash Flow'!$E112:$FS112)</f>
        <v>0</v>
      </c>
      <c r="T51" s="11"/>
      <c r="U51" s="11"/>
      <c r="V51" s="11"/>
      <c r="W51" s="11"/>
      <c r="X51" s="11"/>
      <c r="Y51" s="11"/>
      <c r="Z51" s="11"/>
    </row>
    <row r="52" spans="2:26">
      <c r="B52" s="2"/>
      <c r="C52" s="11"/>
      <c r="D52" s="11"/>
      <c r="F52" s="149" t="s">
        <v>52</v>
      </c>
      <c r="G52" s="11"/>
      <c r="H52" s="154">
        <f t="shared" si="12"/>
        <v>-52100000</v>
      </c>
      <c r="I52" s="73"/>
      <c r="J52" s="73">
        <f>SUMIF('Cash Flow'!$E$13:$FS$13,J$50,'Cash Flow'!$E113:$FS113)</f>
        <v>0</v>
      </c>
      <c r="K52" s="73">
        <f>SUMIF('Cash Flow'!$E$13:$FS$13,K$50,'Cash Flow'!$E113:$FS113)</f>
        <v>0</v>
      </c>
      <c r="L52" s="73">
        <f>SUMIF('Cash Flow'!$E$13:$FS$13,L$50,'Cash Flow'!$E113:$FS113)</f>
        <v>0</v>
      </c>
      <c r="M52" s="73">
        <f>SUMIF('Cash Flow'!$E$13:$FS$13,M$50,'Cash Flow'!$E113:$FS113)</f>
        <v>-52100000</v>
      </c>
      <c r="N52" s="73">
        <f>SUMIF('Cash Flow'!$E$13:$FS$13,N$50,'Cash Flow'!$E113:$FS113)</f>
        <v>0</v>
      </c>
      <c r="O52" s="73">
        <f>SUMIF('Cash Flow'!$E$13:$FS$13,O$50,'Cash Flow'!$E113:$FS113)</f>
        <v>0</v>
      </c>
      <c r="P52" s="73">
        <f>SUMIF('Cash Flow'!$E$13:$FS$13,P$50,'Cash Flow'!$E113:$FS113)</f>
        <v>0</v>
      </c>
      <c r="Q52" s="73">
        <f>SUMIF('Cash Flow'!$E$13:$FS$13,Q$50,'Cash Flow'!$E113:$FS113)</f>
        <v>0</v>
      </c>
      <c r="R52" s="73">
        <f>SUMIF('Cash Flow'!$E$13:$FS$13,R$50,'Cash Flow'!$E113:$FS113)</f>
        <v>0</v>
      </c>
      <c r="S52" s="152">
        <f>SUMIF('Cash Flow'!$E$13:$FS$13,S$50,'Cash Flow'!$E113:$FS113)</f>
        <v>0</v>
      </c>
      <c r="T52" s="18"/>
      <c r="U52" s="11"/>
      <c r="V52" s="11"/>
      <c r="W52" s="11"/>
      <c r="X52" s="11"/>
      <c r="Y52" s="11"/>
      <c r="Z52" s="11"/>
    </row>
    <row r="53" spans="2:26">
      <c r="B53" s="2"/>
      <c r="C53" s="11"/>
      <c r="D53" s="11"/>
      <c r="F53" s="149" t="s">
        <v>53</v>
      </c>
      <c r="G53" s="11"/>
      <c r="H53" s="154">
        <f t="shared" si="12"/>
        <v>0</v>
      </c>
      <c r="I53" s="73"/>
      <c r="J53" s="73">
        <f>SUMIF('Cash Flow'!$E$13:$FS$13,J$50,'Cash Flow'!$E114:$FS114)</f>
        <v>0</v>
      </c>
      <c r="K53" s="73">
        <f>SUMIF('Cash Flow'!$E$13:$FS$13,K$50,'Cash Flow'!$E114:$FS114)</f>
        <v>0</v>
      </c>
      <c r="L53" s="73">
        <f>SUMIF('Cash Flow'!$E$13:$FS$13,L$50,'Cash Flow'!$E114:$FS114)</f>
        <v>0</v>
      </c>
      <c r="M53" s="73">
        <f>SUMIF('Cash Flow'!$E$13:$FS$13,M$50,'Cash Flow'!$E114:$FS114)</f>
        <v>0</v>
      </c>
      <c r="N53" s="73">
        <f>SUMIF('Cash Flow'!$E$13:$FS$13,N$50,'Cash Flow'!$E114:$FS114)</f>
        <v>0</v>
      </c>
      <c r="O53" s="73">
        <f>SUMIF('Cash Flow'!$E$13:$FS$13,O$50,'Cash Flow'!$E114:$FS114)</f>
        <v>0</v>
      </c>
      <c r="P53" s="73">
        <f>SUMIF('Cash Flow'!$E$13:$FS$13,P$50,'Cash Flow'!$E114:$FS114)</f>
        <v>0</v>
      </c>
      <c r="Q53" s="73">
        <f>SUMIF('Cash Flow'!$E$13:$FS$13,Q$50,'Cash Flow'!$E114:$FS114)</f>
        <v>0</v>
      </c>
      <c r="R53" s="73">
        <f>SUMIF('Cash Flow'!$E$13:$FS$13,R$50,'Cash Flow'!$E114:$FS114)</f>
        <v>0</v>
      </c>
      <c r="S53" s="152">
        <f>SUMIF('Cash Flow'!$E$13:$FS$13,S$50,'Cash Flow'!$E114:$FS114)</f>
        <v>0</v>
      </c>
      <c r="T53" s="11"/>
      <c r="U53" s="11"/>
      <c r="V53" s="11"/>
      <c r="W53" s="11"/>
      <c r="X53" s="11"/>
      <c r="Y53" s="11"/>
      <c r="Z53" s="11"/>
    </row>
    <row r="54" spans="2:26">
      <c r="B54" s="2"/>
      <c r="C54" s="11"/>
      <c r="D54" s="11"/>
      <c r="F54" s="149" t="s">
        <v>54</v>
      </c>
      <c r="G54" s="11"/>
      <c r="H54" s="154">
        <f t="shared" si="12"/>
        <v>91571646.265065283</v>
      </c>
      <c r="I54" s="73"/>
      <c r="J54" s="73">
        <f>SUMIF('Cash Flow'!$E$13:$FS$13,J$50,'Cash Flow'!$E115:$FS115)</f>
        <v>0</v>
      </c>
      <c r="K54" s="73">
        <f>SUMIF('Cash Flow'!$E$13:$FS$13,K$50,'Cash Flow'!$E115:$FS115)</f>
        <v>0</v>
      </c>
      <c r="L54" s="73">
        <f>SUMIF('Cash Flow'!$E$13:$FS$13,L$50,'Cash Flow'!$E115:$FS115)</f>
        <v>0</v>
      </c>
      <c r="M54" s="73">
        <f>SUMIF('Cash Flow'!$E$13:$FS$13,M$50,'Cash Flow'!$E115:$FS115)</f>
        <v>91571646.265065283</v>
      </c>
      <c r="N54" s="73">
        <f>SUMIF('Cash Flow'!$E$13:$FS$13,N$50,'Cash Flow'!$E115:$FS115)</f>
        <v>0</v>
      </c>
      <c r="O54" s="73">
        <f>SUMIF('Cash Flow'!$E$13:$FS$13,O$50,'Cash Flow'!$E115:$FS115)</f>
        <v>0</v>
      </c>
      <c r="P54" s="73">
        <f>SUMIF('Cash Flow'!$E$13:$FS$13,P$50,'Cash Flow'!$E115:$FS115)</f>
        <v>0</v>
      </c>
      <c r="Q54" s="73">
        <f>SUMIF('Cash Flow'!$E$13:$FS$13,Q$50,'Cash Flow'!$E115:$FS115)</f>
        <v>0</v>
      </c>
      <c r="R54" s="73">
        <f>SUMIF('Cash Flow'!$E$13:$FS$13,R$50,'Cash Flow'!$E115:$FS115)</f>
        <v>0</v>
      </c>
      <c r="S54" s="152">
        <f>SUMIF('Cash Flow'!$E$13:$FS$13,S$50,'Cash Flow'!$E115:$FS115)</f>
        <v>0</v>
      </c>
      <c r="T54" s="11"/>
      <c r="U54" s="11"/>
      <c r="V54" s="11"/>
      <c r="W54" s="11"/>
      <c r="X54" s="11"/>
      <c r="Y54" s="11"/>
      <c r="Z54" s="11"/>
    </row>
    <row r="55" spans="2:26">
      <c r="B55" s="2"/>
      <c r="C55" s="11"/>
      <c r="D55" s="11"/>
      <c r="F55" s="149" t="s">
        <v>55</v>
      </c>
      <c r="G55" s="11"/>
      <c r="H55" s="154">
        <f t="shared" si="12"/>
        <v>0</v>
      </c>
      <c r="I55" s="73"/>
      <c r="J55" s="73">
        <f>SUMIF('Cash Flow'!$E$13:$FS$13,J$50,'Cash Flow'!$E116:$FS116)</f>
        <v>0</v>
      </c>
      <c r="K55" s="73">
        <f>SUMIF('Cash Flow'!$E$13:$FS$13,K$50,'Cash Flow'!$E116:$FS116)</f>
        <v>0</v>
      </c>
      <c r="L55" s="73">
        <f>SUMIF('Cash Flow'!$E$13:$FS$13,L$50,'Cash Flow'!$E116:$FS116)</f>
        <v>0</v>
      </c>
      <c r="M55" s="73">
        <f>SUMIF('Cash Flow'!$E$13:$FS$13,M$50,'Cash Flow'!$E116:$FS116)</f>
        <v>0</v>
      </c>
      <c r="N55" s="73">
        <f>SUMIF('Cash Flow'!$E$13:$FS$13,N$50,'Cash Flow'!$E116:$FS116)</f>
        <v>0</v>
      </c>
      <c r="O55" s="73">
        <f>SUMIF('Cash Flow'!$E$13:$FS$13,O$50,'Cash Flow'!$E116:$FS116)</f>
        <v>0</v>
      </c>
      <c r="P55" s="73">
        <f>SUMIF('Cash Flow'!$E$13:$FS$13,P$50,'Cash Flow'!$E116:$FS116)</f>
        <v>0</v>
      </c>
      <c r="Q55" s="73">
        <f>SUMIF('Cash Flow'!$E$13:$FS$13,Q$50,'Cash Flow'!$E116:$FS116)</f>
        <v>0</v>
      </c>
      <c r="R55" s="73">
        <f>SUMIF('Cash Flow'!$E$13:$FS$13,R$50,'Cash Flow'!$E116:$FS116)</f>
        <v>0</v>
      </c>
      <c r="S55" s="152">
        <f>SUMIF('Cash Flow'!$E$13:$FS$13,S$50,'Cash Flow'!$E116:$FS116)</f>
        <v>0</v>
      </c>
      <c r="T55" s="11"/>
      <c r="U55" s="11"/>
      <c r="V55" s="11"/>
      <c r="W55" s="11"/>
      <c r="X55" s="11"/>
      <c r="Y55" s="11"/>
      <c r="Z55" s="11"/>
    </row>
    <row r="56" spans="2:26">
      <c r="B56" s="2"/>
      <c r="C56" s="11"/>
      <c r="D56" s="11"/>
      <c r="F56" s="149" t="s">
        <v>56</v>
      </c>
      <c r="G56" s="11"/>
      <c r="H56" s="155">
        <f t="shared" si="12"/>
        <v>4450230.2752481503</v>
      </c>
      <c r="I56" s="73"/>
      <c r="J56" s="73">
        <f>SUMIF('Cash Flow'!$E$13:$FS$13,J$50,'Cash Flow'!$E117:$FS117)</f>
        <v>611089.89563960501</v>
      </c>
      <c r="K56" s="73">
        <f>SUMIF('Cash Flow'!$E$13:$FS$13,K$50,'Cash Flow'!$E117:$FS117)</f>
        <v>967179.662562215</v>
      </c>
      <c r="L56" s="73">
        <f>SUMIF('Cash Flow'!$E$13:$FS$13,L$50,'Cash Flow'!$E117:$FS117)</f>
        <v>1345422.0510550884</v>
      </c>
      <c r="M56" s="73">
        <f>SUMIF('Cash Flow'!$E$13:$FS$13,M$50,'Cash Flow'!$E117:$FS117)</f>
        <v>1526538.6659912423</v>
      </c>
      <c r="N56" s="80">
        <f>SUMIF('Cash Flow'!$E$13:$FS$13,N$50,'Cash Flow'!$E117:$FS117)</f>
        <v>0</v>
      </c>
      <c r="O56" s="73">
        <f>SUMIF('Cash Flow'!$E$13:$FS$13,O$50,'Cash Flow'!$E117:$FS117)</f>
        <v>0</v>
      </c>
      <c r="P56" s="73">
        <f>SUMIF('Cash Flow'!$E$13:$FS$13,P$50,'Cash Flow'!$E117:$FS117)</f>
        <v>0</v>
      </c>
      <c r="Q56" s="73">
        <f>SUMIF('Cash Flow'!$E$13:$FS$13,Q$50,'Cash Flow'!$E117:$FS117)</f>
        <v>0</v>
      </c>
      <c r="R56" s="73">
        <f>SUMIF('Cash Flow'!$E$13:$FS$13,R$50,'Cash Flow'!$E117:$FS117)</f>
        <v>0</v>
      </c>
      <c r="S56" s="156">
        <f>SUMIF('Cash Flow'!$E$13:$FS$13,S$50,'Cash Flow'!$E117:$FS117)</f>
        <v>0</v>
      </c>
      <c r="T56" s="11"/>
      <c r="U56" s="11"/>
      <c r="V56" s="11"/>
      <c r="W56" s="11"/>
      <c r="X56" s="11"/>
      <c r="Y56" s="11"/>
      <c r="Z56" s="11"/>
    </row>
    <row r="57" spans="2:26" ht="14.25" thickBot="1">
      <c r="B57" s="2"/>
      <c r="C57" s="11"/>
      <c r="D57" s="11"/>
      <c r="F57" s="157" t="str">
        <f>"Net Cash Flow to the Venture "</f>
        <v xml:space="preserve">Net Cash Flow to the Venture </v>
      </c>
      <c r="G57" s="158"/>
      <c r="H57" s="159">
        <f t="shared" si="12"/>
        <v>24992810.374513425</v>
      </c>
      <c r="I57" s="160"/>
      <c r="J57" s="160">
        <f t="shared" ref="J57:S57" si="13">SUM(J51:J56)</f>
        <v>-18317976.270160399</v>
      </c>
      <c r="K57" s="161">
        <f t="shared" si="13"/>
        <v>967179.662562215</v>
      </c>
      <c r="L57" s="161">
        <f t="shared" si="13"/>
        <v>1345422.0510550884</v>
      </c>
      <c r="M57" s="161">
        <f t="shared" si="13"/>
        <v>40998184.931056522</v>
      </c>
      <c r="N57" s="161">
        <f t="shared" si="13"/>
        <v>0</v>
      </c>
      <c r="O57" s="161">
        <f t="shared" si="13"/>
        <v>0</v>
      </c>
      <c r="P57" s="161">
        <f t="shared" si="13"/>
        <v>0</v>
      </c>
      <c r="Q57" s="161">
        <f t="shared" si="13"/>
        <v>0</v>
      </c>
      <c r="R57" s="161">
        <f t="shared" si="13"/>
        <v>0</v>
      </c>
      <c r="S57" s="162">
        <f t="shared" si="13"/>
        <v>0</v>
      </c>
      <c r="T57" s="11"/>
      <c r="U57" s="11"/>
      <c r="V57" s="11"/>
      <c r="W57" s="11"/>
      <c r="X57" s="11"/>
      <c r="Y57" s="11"/>
      <c r="Z57" s="11"/>
    </row>
    <row r="58" spans="2:26" ht="14.25" thickTop="1">
      <c r="B58" s="2"/>
      <c r="C58" s="11"/>
      <c r="D58" s="11"/>
      <c r="F58" s="163"/>
      <c r="G58" s="11"/>
      <c r="H58" s="11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11"/>
      <c r="U58" s="11"/>
      <c r="V58" s="11"/>
      <c r="W58" s="11"/>
      <c r="X58" s="11"/>
      <c r="Y58" s="11"/>
      <c r="Z58" s="11"/>
    </row>
    <row r="59" spans="2:26">
      <c r="B59" s="2"/>
      <c r="C59" s="11"/>
      <c r="D59" s="11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11"/>
      <c r="U59" s="11"/>
      <c r="V59" s="11"/>
      <c r="W59" s="11"/>
      <c r="X59" s="11"/>
      <c r="Y59" s="11"/>
      <c r="Z59" s="11"/>
    </row>
    <row r="60" spans="2:26">
      <c r="B60" s="2"/>
      <c r="C60" s="11"/>
      <c r="D60" s="11"/>
      <c r="F60" s="164" t="s">
        <v>57</v>
      </c>
      <c r="G60" s="165"/>
      <c r="H60" s="166">
        <f>'Cash Flow'!C120</f>
        <v>0.25455542206764215</v>
      </c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11"/>
      <c r="U60" s="11"/>
      <c r="V60" s="11"/>
      <c r="W60" s="11"/>
      <c r="X60" s="11"/>
      <c r="Y60" s="11"/>
      <c r="Z60" s="11"/>
    </row>
    <row r="61" spans="2:26">
      <c r="B61" s="2"/>
      <c r="C61" s="11"/>
      <c r="D61" s="11"/>
      <c r="F61" s="167" t="s">
        <v>58</v>
      </c>
      <c r="G61" s="83"/>
      <c r="H61" s="168">
        <f>'Cash Flow'!C121</f>
        <v>2.3245639433669849</v>
      </c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11"/>
      <c r="U61" s="11"/>
      <c r="V61" s="11"/>
      <c r="W61" s="11"/>
      <c r="X61" s="11"/>
      <c r="Y61" s="11"/>
      <c r="Z61" s="11"/>
    </row>
    <row r="62" spans="2:26">
      <c r="B62" s="2"/>
      <c r="C62" s="11"/>
      <c r="D62" s="11"/>
      <c r="F62" s="167" t="s">
        <v>59</v>
      </c>
      <c r="G62" s="83"/>
      <c r="H62" s="169">
        <f>-H57/J57</f>
        <v>1.3643870919969576</v>
      </c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11"/>
      <c r="U62" s="11"/>
      <c r="V62" s="11"/>
      <c r="W62" s="11"/>
      <c r="X62" s="11"/>
      <c r="Y62" s="11"/>
      <c r="Z62" s="11"/>
    </row>
    <row r="63" spans="2:26">
      <c r="B63" s="2"/>
      <c r="C63" s="11"/>
      <c r="D63" s="11"/>
      <c r="F63" s="167" t="s">
        <v>60</v>
      </c>
      <c r="G63" s="83"/>
      <c r="H63" s="170">
        <f>'Cash Flow'!C122</f>
        <v>24992810.374513425</v>
      </c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2:26">
      <c r="B64" s="2"/>
      <c r="C64" s="11"/>
      <c r="D64" s="11"/>
      <c r="F64" s="171" t="s">
        <v>61</v>
      </c>
      <c r="G64" s="172"/>
      <c r="H64" s="173">
        <f>H56/H57</f>
        <v>0.17806041851885135</v>
      </c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2:26">
      <c r="B65" s="2"/>
      <c r="C65" s="11"/>
      <c r="D65" s="11"/>
      <c r="F65" s="174" t="s">
        <v>62</v>
      </c>
      <c r="G65" s="175"/>
      <c r="H65" s="176">
        <f>SUM(J51:S55)/H63</f>
        <v>0.82193958148114876</v>
      </c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2:26">
      <c r="B66" s="2"/>
      <c r="C66" s="11"/>
      <c r="D66" s="11"/>
      <c r="T66" s="11"/>
      <c r="U66" s="11"/>
      <c r="V66" s="11"/>
      <c r="W66" s="11"/>
      <c r="X66" s="11"/>
      <c r="Y66" s="11"/>
      <c r="Z66" s="11"/>
    </row>
    <row r="67" spans="2:26">
      <c r="B67" s="2"/>
      <c r="C67" s="11"/>
      <c r="D67" s="11"/>
      <c r="T67" s="11"/>
      <c r="U67" s="11"/>
      <c r="V67" s="11"/>
      <c r="W67" s="11"/>
      <c r="X67" s="11"/>
      <c r="Y67" s="11"/>
      <c r="Z67" s="11"/>
    </row>
    <row r="68" spans="2:26">
      <c r="B68" s="2"/>
      <c r="C68" s="2"/>
      <c r="D68" s="2"/>
      <c r="E68" s="2"/>
      <c r="F68" s="177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</sheetData>
  <mergeCells count="2">
    <mergeCell ref="G6:H6"/>
    <mergeCell ref="H10:H11"/>
  </mergeCells>
  <printOptions horizontalCentered="1"/>
  <pageMargins left="0.7" right="0.7" top="0.75" bottom="0.75" header="0.3" footer="0.3"/>
  <pageSetup paperSize="3"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AF08B-EE22-4E95-9315-BCC3C18D69BE}">
  <sheetPr>
    <tabColor rgb="FFFFC000"/>
    <pageSetUpPr fitToPage="1"/>
  </sheetPr>
  <dimension ref="A1:P85"/>
  <sheetViews>
    <sheetView showGridLines="0" zoomScaleNormal="100" workbookViewId="0"/>
  </sheetViews>
  <sheetFormatPr defaultColWidth="9.140625" defaultRowHeight="13.5"/>
  <cols>
    <col min="1" max="1" width="1.85546875" style="178" customWidth="1"/>
    <col min="2" max="3" width="15.85546875" style="178" customWidth="1"/>
    <col min="4" max="4" width="8.85546875" style="179" customWidth="1"/>
    <col min="5" max="7" width="15.85546875" style="178" customWidth="1"/>
    <col min="8" max="8" width="3.85546875" style="178" customWidth="1"/>
    <col min="9" max="11" width="15.85546875" style="178" customWidth="1"/>
    <col min="12" max="12" width="3.5703125" style="178" customWidth="1"/>
    <col min="13" max="13" width="16.42578125" style="178" bestFit="1" customWidth="1"/>
    <col min="14" max="14" width="28.140625" style="178" bestFit="1" customWidth="1"/>
    <col min="15" max="15" width="15.7109375" style="178" bestFit="1" customWidth="1"/>
    <col min="16" max="16" width="9.7109375" style="178" bestFit="1" customWidth="1"/>
    <col min="17" max="17" width="1.5703125" style="178" customWidth="1"/>
    <col min="18" max="16384" width="9.140625" style="178"/>
  </cols>
  <sheetData>
    <row r="1" spans="1:16">
      <c r="A1" s="178" t="s">
        <v>63</v>
      </c>
    </row>
    <row r="2" spans="1:16" s="180" customFormat="1" ht="15.75">
      <c r="B2" s="181" t="str">
        <f>+Detail!C6</f>
        <v>Sentosa Epperson</v>
      </c>
      <c r="C2" s="182"/>
      <c r="D2" s="183"/>
      <c r="E2" s="184"/>
      <c r="F2" s="182"/>
      <c r="G2" s="182"/>
      <c r="H2" s="182"/>
      <c r="I2" s="182"/>
      <c r="P2" s="185" t="str">
        <f>+Detail!C7</f>
        <v>Wesley Chapel, FL</v>
      </c>
    </row>
    <row r="3" spans="1:16" s="180" customFormat="1" ht="14.25" thickBot="1">
      <c r="B3" s="186"/>
      <c r="C3" s="186"/>
      <c r="D3" s="187"/>
      <c r="E3" s="188"/>
      <c r="F3" s="186"/>
      <c r="G3" s="186"/>
      <c r="H3" s="186"/>
      <c r="I3" s="186"/>
      <c r="J3" s="186"/>
      <c r="K3" s="189"/>
      <c r="L3" s="189"/>
      <c r="M3" s="189"/>
      <c r="N3" s="189"/>
      <c r="O3" s="189"/>
      <c r="P3" s="189"/>
    </row>
    <row r="4" spans="1:16">
      <c r="B4" s="190"/>
      <c r="C4" s="190"/>
      <c r="D4" s="191"/>
      <c r="E4" s="190"/>
      <c r="F4" s="190"/>
      <c r="G4" s="190"/>
      <c r="H4" s="190"/>
      <c r="I4" s="190"/>
      <c r="J4" s="190"/>
      <c r="K4" s="190"/>
    </row>
    <row r="5" spans="1:16" ht="15.75" customHeight="1" thickBot="1">
      <c r="B5" s="192" t="s">
        <v>64</v>
      </c>
      <c r="C5" s="15"/>
      <c r="D5" s="15"/>
      <c r="E5" s="15"/>
      <c r="F5" s="15"/>
      <c r="G5" s="15"/>
      <c r="H5" s="15"/>
      <c r="I5" s="15"/>
      <c r="J5" s="15"/>
      <c r="K5" s="15"/>
    </row>
    <row r="6" spans="1:16" s="193" customFormat="1">
      <c r="B6" s="194"/>
      <c r="C6" s="194"/>
      <c r="D6" s="195"/>
      <c r="E6" s="196">
        <v>0</v>
      </c>
      <c r="F6" s="194"/>
      <c r="G6" s="194"/>
      <c r="H6" s="194"/>
      <c r="I6" s="194"/>
      <c r="J6" s="194"/>
      <c r="K6" s="194"/>
    </row>
    <row r="7" spans="1:16" s="197" customFormat="1">
      <c r="B7" s="198"/>
      <c r="C7" s="198"/>
      <c r="D7" s="199"/>
      <c r="E7" s="825" t="s">
        <v>65</v>
      </c>
      <c r="F7" s="825"/>
      <c r="G7" s="825"/>
      <c r="H7" s="200"/>
      <c r="I7" s="825" t="s">
        <v>66</v>
      </c>
      <c r="J7" s="825"/>
      <c r="K7" s="825"/>
    </row>
    <row r="8" spans="1:16">
      <c r="B8" s="201"/>
      <c r="C8" s="202"/>
      <c r="E8" s="203" t="s">
        <v>67</v>
      </c>
      <c r="F8" s="203" t="s">
        <v>68</v>
      </c>
      <c r="G8" s="203" t="s">
        <v>69</v>
      </c>
      <c r="I8" s="203" t="s">
        <v>67</v>
      </c>
      <c r="J8" s="203" t="s">
        <v>68</v>
      </c>
      <c r="K8" s="203" t="s">
        <v>69</v>
      </c>
    </row>
    <row r="9" spans="1:16">
      <c r="B9" s="204" t="s">
        <v>70</v>
      </c>
      <c r="C9" s="204"/>
      <c r="D9" s="826" t="s">
        <v>7</v>
      </c>
      <c r="E9" s="205"/>
      <c r="F9" s="206"/>
      <c r="G9" s="206"/>
      <c r="H9" s="206"/>
      <c r="I9" s="206"/>
      <c r="J9" s="206"/>
      <c r="K9" s="206"/>
    </row>
    <row r="10" spans="1:16">
      <c r="B10" s="207" t="s">
        <v>9</v>
      </c>
      <c r="C10" s="207"/>
      <c r="D10" s="826"/>
      <c r="E10" s="208">
        <f>+Detail!M67</f>
        <v>6601983.120000001</v>
      </c>
      <c r="F10" s="208">
        <f>+E10/Detail!$C$8</f>
        <v>22923.552500000005</v>
      </c>
      <c r="G10" s="209">
        <f>+E10/Detail!$C$10</f>
        <v>22.455724897959186</v>
      </c>
      <c r="H10" s="207"/>
      <c r="I10" s="208">
        <f>E10/12</f>
        <v>550165.26000000013</v>
      </c>
      <c r="J10" s="208">
        <f>+I10/Detail!$C$8</f>
        <v>1910.2960416666672</v>
      </c>
      <c r="K10" s="209">
        <f>+I10/Detail!$C$10</f>
        <v>1.8713104081632657</v>
      </c>
    </row>
    <row r="11" spans="1:16">
      <c r="B11" s="45" t="s">
        <v>10</v>
      </c>
      <c r="C11" s="45"/>
      <c r="D11" s="210">
        <f t="shared" ref="D11:D20" si="0">IFERROR(ABS(E11/E$10),0)</f>
        <v>1.2750998000119773E-2</v>
      </c>
      <c r="E11" s="211">
        <f>Summary!G12</f>
        <v>-84181.873559944521</v>
      </c>
      <c r="F11" s="211">
        <f>+E11/Detail!$C$8</f>
        <v>-292.29817208314068</v>
      </c>
      <c r="G11" s="212">
        <f>+E11/Detail!$C$10</f>
        <v>-0.2863329032651174</v>
      </c>
      <c r="H11" s="45"/>
      <c r="I11" s="211">
        <f t="shared" ref="I11:I19" si="1">E11/12</f>
        <v>-7015.1561299953764</v>
      </c>
      <c r="J11" s="211">
        <f>+I11/Detail!$C$8</f>
        <v>-24.35818100692839</v>
      </c>
      <c r="K11" s="212">
        <f>+I11/Detail!$C$10</f>
        <v>-2.3861075272093118E-2</v>
      </c>
    </row>
    <row r="12" spans="1:16">
      <c r="B12" s="45" t="s">
        <v>11</v>
      </c>
      <c r="C12" s="45"/>
      <c r="D12" s="210">
        <f t="shared" si="0"/>
        <v>0.05</v>
      </c>
      <c r="E12" s="213">
        <f>-E10*Detail!F33</f>
        <v>-330099.15600000008</v>
      </c>
      <c r="F12" s="213">
        <f>+E12/Detail!$C$8</f>
        <v>-1146.1776250000003</v>
      </c>
      <c r="G12" s="214">
        <f>+E12/Detail!$C$10</f>
        <v>-1.1227862448979595</v>
      </c>
      <c r="H12" s="45"/>
      <c r="I12" s="213">
        <f t="shared" si="1"/>
        <v>-27508.263000000006</v>
      </c>
      <c r="J12" s="213">
        <f>+I12/Detail!$C$8</f>
        <v>-95.51480208333335</v>
      </c>
      <c r="K12" s="214">
        <f>+I12/Detail!$C$10</f>
        <v>-9.356552040816328E-2</v>
      </c>
    </row>
    <row r="13" spans="1:16" s="206" customFormat="1">
      <c r="B13" s="207" t="s">
        <v>12</v>
      </c>
      <c r="C13" s="207"/>
      <c r="D13" s="210">
        <f t="shared" si="0"/>
        <v>0.93724900199988015</v>
      </c>
      <c r="E13" s="208">
        <f>SUM(E10:E12)</f>
        <v>6187702.0904400563</v>
      </c>
      <c r="F13" s="208">
        <f>SUM(F10:F12)</f>
        <v>21485.076702916864</v>
      </c>
      <c r="G13" s="209">
        <f>SUM(G10:G12)</f>
        <v>21.046605749796111</v>
      </c>
      <c r="H13" s="207"/>
      <c r="I13" s="208">
        <f t="shared" si="1"/>
        <v>515641.84087000467</v>
      </c>
      <c r="J13" s="208">
        <f>SUM(J10:J12)</f>
        <v>1790.4230585764055</v>
      </c>
      <c r="K13" s="209">
        <f>SUM(K10:K12)</f>
        <v>1.7538838124830092</v>
      </c>
    </row>
    <row r="14" spans="1:16">
      <c r="B14" s="45" t="s">
        <v>14</v>
      </c>
      <c r="C14" s="45"/>
      <c r="D14" s="210">
        <f t="shared" si="0"/>
        <v>3.4722222222222225E-3</v>
      </c>
      <c r="E14" s="211">
        <f>-E10/Detail!C8</f>
        <v>-22923.552500000005</v>
      </c>
      <c r="F14" s="211">
        <f>+E14/Detail!$C$8</f>
        <v>-79.59566840277779</v>
      </c>
      <c r="G14" s="212">
        <f>+E14/Detail!$C$10</f>
        <v>-7.7971267006802736E-2</v>
      </c>
      <c r="H14" s="45"/>
      <c r="I14" s="211">
        <f t="shared" si="1"/>
        <v>-1910.2960416666672</v>
      </c>
      <c r="J14" s="211">
        <f>+I14/Detail!$C$8</f>
        <v>-6.6329723668981497</v>
      </c>
      <c r="K14" s="212">
        <f>+I14/Detail!$C$10</f>
        <v>-6.4976055839002286E-3</v>
      </c>
    </row>
    <row r="15" spans="1:16">
      <c r="B15" s="45" t="s">
        <v>15</v>
      </c>
      <c r="C15" s="45"/>
      <c r="D15" s="210">
        <f t="shared" si="0"/>
        <v>9.3724900199988019E-3</v>
      </c>
      <c r="E15" s="211">
        <f>-E13*Detail!F36</f>
        <v>-61877.020904400561</v>
      </c>
      <c r="F15" s="211">
        <f>+E15/Detail!$C$8</f>
        <v>-214.85076702916862</v>
      </c>
      <c r="G15" s="212">
        <f>+E15/Detail!$C$10</f>
        <v>-0.2104660574979611</v>
      </c>
      <c r="H15" s="45"/>
      <c r="I15" s="211">
        <f t="shared" si="1"/>
        <v>-5156.4184087000467</v>
      </c>
      <c r="J15" s="211">
        <f>+I15/Detail!$C$8</f>
        <v>-17.904230585764051</v>
      </c>
      <c r="K15" s="212">
        <f>+I15/Detail!$C$10</f>
        <v>-1.7538838124830092E-2</v>
      </c>
    </row>
    <row r="16" spans="1:16">
      <c r="B16" s="45" t="s">
        <v>17</v>
      </c>
      <c r="C16" s="45"/>
      <c r="D16" s="210">
        <f t="shared" si="0"/>
        <v>0</v>
      </c>
      <c r="E16" s="211">
        <v>0</v>
      </c>
      <c r="F16" s="211">
        <f>+E16/Detail!$C$8</f>
        <v>0</v>
      </c>
      <c r="G16" s="212">
        <f>+E16/Detail!$C$10</f>
        <v>0</v>
      </c>
      <c r="H16" s="45"/>
      <c r="I16" s="211">
        <f t="shared" si="1"/>
        <v>0</v>
      </c>
      <c r="J16" s="211">
        <f>+I16/Detail!$C$8</f>
        <v>0</v>
      </c>
      <c r="K16" s="212">
        <f>+I16/Detail!$C$10</f>
        <v>0</v>
      </c>
    </row>
    <row r="17" spans="2:11">
      <c r="B17" s="45" t="s">
        <v>19</v>
      </c>
      <c r="C17" s="45"/>
      <c r="D17" s="210">
        <f t="shared" si="0"/>
        <v>1.4788283796763174E-2</v>
      </c>
      <c r="E17" s="211">
        <f>+Detail!M75</f>
        <v>97632</v>
      </c>
      <c r="F17" s="211">
        <f>+E17/Detail!$C$8</f>
        <v>339</v>
      </c>
      <c r="G17" s="212">
        <f>+E17/Detail!$C$10</f>
        <v>0.33208163265306123</v>
      </c>
      <c r="H17" s="45"/>
      <c r="I17" s="211">
        <f t="shared" si="1"/>
        <v>8136</v>
      </c>
      <c r="J17" s="211">
        <f>+I17/Detail!$C$8</f>
        <v>28.25</v>
      </c>
      <c r="K17" s="212">
        <f>+I17/Detail!$C$10</f>
        <v>2.7673469387755101E-2</v>
      </c>
    </row>
    <row r="18" spans="2:11">
      <c r="B18" s="45" t="s">
        <v>71</v>
      </c>
      <c r="C18" s="45"/>
      <c r="D18" s="210">
        <f t="shared" si="0"/>
        <v>0.10429666169761424</v>
      </c>
      <c r="E18" s="211">
        <f>+Detail!M83</f>
        <v>688564.79999999993</v>
      </c>
      <c r="F18" s="211">
        <f>+E18/Detail!$C$8</f>
        <v>2390.85</v>
      </c>
      <c r="G18" s="212">
        <f>+E18/Detail!$C$10</f>
        <v>2.3420571428571426</v>
      </c>
      <c r="H18" s="45"/>
      <c r="I18" s="211">
        <f t="shared" si="1"/>
        <v>57380.399999999994</v>
      </c>
      <c r="J18" s="211">
        <f>+I18/Detail!$C$8</f>
        <v>199.23749999999998</v>
      </c>
      <c r="K18" s="212">
        <f>+I18/Detail!$C$10</f>
        <v>0.19517142857142855</v>
      </c>
    </row>
    <row r="19" spans="2:11">
      <c r="B19" s="45" t="s">
        <v>72</v>
      </c>
      <c r="C19" s="45"/>
      <c r="D19" s="210">
        <f t="shared" si="0"/>
        <v>3.6643535071625563E-3</v>
      </c>
      <c r="E19" s="211">
        <f>+Detail!M85</f>
        <v>24192</v>
      </c>
      <c r="F19" s="211">
        <f>+E19/Detail!$C$8</f>
        <v>84</v>
      </c>
      <c r="G19" s="212">
        <f>+E19/Detail!$C$10</f>
        <v>8.2285714285714281E-2</v>
      </c>
      <c r="H19" s="45"/>
      <c r="I19" s="211">
        <f t="shared" si="1"/>
        <v>2016</v>
      </c>
      <c r="J19" s="211">
        <f>+I19/Detail!$C$8</f>
        <v>7</v>
      </c>
      <c r="K19" s="212">
        <f>+I19/Detail!$C$10</f>
        <v>6.8571428571428568E-3</v>
      </c>
    </row>
    <row r="20" spans="2:11">
      <c r="B20" s="215" t="s">
        <v>20</v>
      </c>
      <c r="C20" s="215"/>
      <c r="D20" s="210">
        <f t="shared" si="0"/>
        <v>1.0471535887591992</v>
      </c>
      <c r="E20" s="216">
        <f>SUM(E13:E19)</f>
        <v>6913290.3170356555</v>
      </c>
      <c r="F20" s="216">
        <f>SUM(F13:F19)</f>
        <v>24004.480267484916</v>
      </c>
      <c r="G20" s="217">
        <f>SUM(G13:G19)</f>
        <v>23.514592915087267</v>
      </c>
      <c r="H20" s="215"/>
      <c r="I20" s="216">
        <f>SUM(I13:I19)</f>
        <v>576107.52641963796</v>
      </c>
      <c r="J20" s="216">
        <f>SUM(J13:J19)</f>
        <v>2000.3733556237432</v>
      </c>
      <c r="K20" s="217">
        <f>SUM(K13:K19)</f>
        <v>1.9595494095906054</v>
      </c>
    </row>
    <row r="21" spans="2:11" ht="8.1" customHeight="1">
      <c r="B21" s="215"/>
      <c r="C21" s="215"/>
      <c r="D21" s="826" t="s">
        <v>24</v>
      </c>
      <c r="E21" s="208"/>
      <c r="F21" s="208"/>
      <c r="G21" s="209"/>
      <c r="H21" s="215"/>
      <c r="I21" s="208"/>
      <c r="J21" s="208"/>
      <c r="K21" s="209"/>
    </row>
    <row r="22" spans="2:11">
      <c r="B22" s="215" t="s">
        <v>23</v>
      </c>
      <c r="C22" s="215"/>
      <c r="D22" s="826"/>
      <c r="E22" s="218"/>
      <c r="F22" s="218"/>
      <c r="G22" s="219"/>
      <c r="H22" s="215"/>
      <c r="I22" s="218"/>
      <c r="J22" s="218"/>
      <c r="K22" s="219"/>
    </row>
    <row r="23" spans="2:11">
      <c r="B23" s="220" t="s">
        <v>26</v>
      </c>
      <c r="C23" s="220"/>
      <c r="D23" s="210">
        <f t="shared" ref="D23:D29" si="2">IFERROR(ABS(E23/E$20),0)</f>
        <v>6.9717743346075389E-2</v>
      </c>
      <c r="E23" s="221">
        <f>+Detail!M98</f>
        <v>481979</v>
      </c>
      <c r="F23" s="221">
        <f>+E23/Detail!$C$8</f>
        <v>1673.5381944444443</v>
      </c>
      <c r="G23" s="212">
        <f>+E23/Detail!$C$10</f>
        <v>1.6393843537414965</v>
      </c>
      <c r="H23" s="220"/>
      <c r="I23" s="221">
        <f t="shared" ref="I23:I35" si="3">E23/12</f>
        <v>40164.916666666664</v>
      </c>
      <c r="J23" s="221">
        <f>+I23/Detail!$C$8</f>
        <v>139.4615162037037</v>
      </c>
      <c r="K23" s="212">
        <f>+I23/Detail!$C$10</f>
        <v>0.13661536281179137</v>
      </c>
    </row>
    <row r="24" spans="2:11">
      <c r="B24" s="220" t="s">
        <v>30</v>
      </c>
      <c r="C24" s="220"/>
      <c r="D24" s="210">
        <f t="shared" si="2"/>
        <v>8.0707883897650406E-2</v>
      </c>
      <c r="E24" s="211">
        <f>+Detail!M99</f>
        <v>557957.03225806449</v>
      </c>
      <c r="F24" s="211">
        <f>+E24/Detail!$C$8</f>
        <v>1937.3508064516127</v>
      </c>
      <c r="G24" s="212">
        <f>+E24/Detail!$C$10</f>
        <v>1.8978130348913758</v>
      </c>
      <c r="H24" s="220"/>
      <c r="I24" s="211">
        <f t="shared" si="3"/>
        <v>46496.419354838705</v>
      </c>
      <c r="J24" s="211">
        <f>+I24/Detail!$C$8</f>
        <v>161.4459005376344</v>
      </c>
      <c r="K24" s="212">
        <f>+I24/Detail!$C$10</f>
        <v>0.15815108624094798</v>
      </c>
    </row>
    <row r="25" spans="2:11">
      <c r="B25" s="220" t="s">
        <v>35</v>
      </c>
      <c r="C25" s="220"/>
      <c r="D25" s="210">
        <f t="shared" si="2"/>
        <v>4.3597185446891092E-3</v>
      </c>
      <c r="E25" s="211">
        <f>+Detail!M100</f>
        <v>30140</v>
      </c>
      <c r="F25" s="211">
        <f>+E25/Detail!$C$8</f>
        <v>104.65277777777777</v>
      </c>
      <c r="G25" s="212">
        <f>+E25/Detail!$C$10</f>
        <v>0.10251700680272109</v>
      </c>
      <c r="H25" s="220"/>
      <c r="I25" s="211">
        <f t="shared" si="3"/>
        <v>2511.6666666666665</v>
      </c>
      <c r="J25" s="211">
        <f>+I25/Detail!$C$8</f>
        <v>8.7210648148148149</v>
      </c>
      <c r="K25" s="212">
        <f>+I25/Detail!$C$10</f>
        <v>8.5430839002267576E-3</v>
      </c>
    </row>
    <row r="26" spans="2:11">
      <c r="B26" s="220" t="s">
        <v>73</v>
      </c>
      <c r="C26" s="220"/>
      <c r="D26" s="210">
        <f t="shared" si="2"/>
        <v>2.1955536805097427E-2</v>
      </c>
      <c r="E26" s="211">
        <f>+Detail!M101</f>
        <v>151785</v>
      </c>
      <c r="F26" s="211">
        <f>+E26/Detail!$C$8</f>
        <v>527.03125</v>
      </c>
      <c r="G26" s="212">
        <f>+E26/Detail!$C$10</f>
        <v>0.51627551020408158</v>
      </c>
      <c r="H26" s="220"/>
      <c r="I26" s="211">
        <f t="shared" si="3"/>
        <v>12648.75</v>
      </c>
      <c r="J26" s="211">
        <f>+I26/Detail!$C$8</f>
        <v>43.919270833333336</v>
      </c>
      <c r="K26" s="212">
        <f>+I26/Detail!$C$10</f>
        <v>4.3022959183673472E-2</v>
      </c>
    </row>
    <row r="27" spans="2:11">
      <c r="B27" s="220" t="s">
        <v>28</v>
      </c>
      <c r="C27" s="220"/>
      <c r="D27" s="210">
        <f t="shared" si="2"/>
        <v>2.3761333962094736E-2</v>
      </c>
      <c r="E27" s="211">
        <f>+Detail!M102</f>
        <v>164269</v>
      </c>
      <c r="F27" s="211">
        <f>+E27/Detail!$C$8</f>
        <v>570.37847222222217</v>
      </c>
      <c r="G27" s="212">
        <f>+E27/Detail!$C$10</f>
        <v>0.55873809523809526</v>
      </c>
      <c r="H27" s="220"/>
      <c r="I27" s="211">
        <f t="shared" si="3"/>
        <v>13689.083333333334</v>
      </c>
      <c r="J27" s="211">
        <f>+I27/Detail!$C$8</f>
        <v>47.531539351851855</v>
      </c>
      <c r="K27" s="212">
        <f>+I27/Detail!$C$10</f>
        <v>4.6561507936507936E-2</v>
      </c>
    </row>
    <row r="28" spans="2:11">
      <c r="B28" s="220" t="s">
        <v>32</v>
      </c>
      <c r="C28" s="220"/>
      <c r="D28" s="210">
        <f t="shared" si="2"/>
        <v>7.4986001777267233E-3</v>
      </c>
      <c r="E28" s="211">
        <f>+Detail!M103</f>
        <v>51840</v>
      </c>
      <c r="F28" s="211">
        <f>+E28/Detail!$C$8</f>
        <v>180</v>
      </c>
      <c r="G28" s="212">
        <f>+E28/Detail!$C$10</f>
        <v>0.1763265306122449</v>
      </c>
      <c r="H28" s="220"/>
      <c r="I28" s="211">
        <f t="shared" si="3"/>
        <v>4320</v>
      </c>
      <c r="J28" s="211">
        <f>+I28/Detail!$C$8</f>
        <v>15</v>
      </c>
      <c r="K28" s="212">
        <f>+I28/Detail!$C$10</f>
        <v>1.4693877551020407E-2</v>
      </c>
    </row>
    <row r="29" spans="2:11">
      <c r="B29" s="220" t="s">
        <v>74</v>
      </c>
      <c r="C29" s="220"/>
      <c r="D29" s="210">
        <f t="shared" si="2"/>
        <v>1.9787972691223298E-2</v>
      </c>
      <c r="E29" s="211">
        <f>+Detail!M104</f>
        <v>136800</v>
      </c>
      <c r="F29" s="211">
        <f>+E29/Detail!$C$8</f>
        <v>475</v>
      </c>
      <c r="G29" s="212">
        <f>+E29/Detail!$C$10</f>
        <v>0.46530612244897956</v>
      </c>
      <c r="H29" s="220"/>
      <c r="I29" s="211">
        <f t="shared" si="3"/>
        <v>11400</v>
      </c>
      <c r="J29" s="211">
        <f>+I29/Detail!$C$8</f>
        <v>39.583333333333336</v>
      </c>
      <c r="K29" s="212">
        <f>+I29/Detail!$C$10</f>
        <v>3.8775510204081633E-2</v>
      </c>
    </row>
    <row r="30" spans="2:11">
      <c r="B30" s="19" t="s">
        <v>36</v>
      </c>
      <c r="C30" s="19"/>
      <c r="D30" s="222"/>
      <c r="E30" s="184"/>
      <c r="F30" s="184"/>
      <c r="G30" s="219"/>
      <c r="H30" s="19"/>
      <c r="I30" s="184"/>
      <c r="J30" s="184"/>
      <c r="K30" s="219"/>
    </row>
    <row r="31" spans="2:11">
      <c r="B31" s="220" t="s">
        <v>75</v>
      </c>
      <c r="C31" s="220"/>
      <c r="D31" s="210">
        <f t="shared" ref="D31:D36" si="4">IFERROR(ABS(E31/E$20),0)</f>
        <v>2.75E-2</v>
      </c>
      <c r="E31" s="221">
        <f>+Detail!M107</f>
        <v>190115.48371848054</v>
      </c>
      <c r="F31" s="221">
        <f>+E31/Detail!$C$8</f>
        <v>660.12320735583523</v>
      </c>
      <c r="G31" s="212">
        <f>+E31/Detail!$C$10</f>
        <v>0.64665130516489977</v>
      </c>
      <c r="H31" s="220"/>
      <c r="I31" s="221">
        <f t="shared" si="3"/>
        <v>15842.956976540045</v>
      </c>
      <c r="J31" s="221">
        <f>+I31/Detail!$C$8</f>
        <v>55.010267279652936</v>
      </c>
      <c r="K31" s="212">
        <f>+I31/Detail!$C$10</f>
        <v>5.388760876374165E-2</v>
      </c>
    </row>
    <row r="32" spans="2:11">
      <c r="B32" s="220" t="s">
        <v>348</v>
      </c>
      <c r="C32" s="220"/>
      <c r="D32" s="210">
        <f t="shared" si="4"/>
        <v>2.1193960224547056E-3</v>
      </c>
      <c r="E32" s="221">
        <f>+Detail!M108</f>
        <v>14652</v>
      </c>
      <c r="F32" s="221">
        <f>+E32/Detail!$C$8</f>
        <v>50.875</v>
      </c>
      <c r="G32" s="212">
        <f>+E32/Detail!$C$10</f>
        <v>4.9836734693877553E-2</v>
      </c>
      <c r="H32" s="220"/>
      <c r="I32" s="221">
        <f>E32/12</f>
        <v>1221</v>
      </c>
      <c r="J32" s="221">
        <f>+I32/Detail!$C$8</f>
        <v>4.239583333333333</v>
      </c>
      <c r="K32" s="212">
        <f>+I32/Detail!$C$10</f>
        <v>4.1530612244897961E-3</v>
      </c>
    </row>
    <row r="33" spans="2:11">
      <c r="B33" s="220" t="s">
        <v>76</v>
      </c>
      <c r="C33" s="220"/>
      <c r="D33" s="210">
        <f t="shared" si="4"/>
        <v>4.3741834370072549E-2</v>
      </c>
      <c r="E33" s="221">
        <f>+Detail!M109</f>
        <v>302400</v>
      </c>
      <c r="F33" s="221">
        <f>+E33/Detail!$C$8</f>
        <v>1050</v>
      </c>
      <c r="G33" s="212">
        <f>+E33/Detail!$C$10</f>
        <v>1.0285714285714285</v>
      </c>
      <c r="H33" s="220"/>
      <c r="I33" s="221">
        <f t="shared" si="3"/>
        <v>25200</v>
      </c>
      <c r="J33" s="221">
        <f>+I33/Detail!$C$8</f>
        <v>87.5</v>
      </c>
      <c r="K33" s="212">
        <f>+I33/Detail!$C$10</f>
        <v>8.5714285714285715E-2</v>
      </c>
    </row>
    <row r="34" spans="2:11">
      <c r="B34" s="220" t="s">
        <v>77</v>
      </c>
      <c r="C34" s="220"/>
      <c r="D34" s="210">
        <f t="shared" si="4"/>
        <v>0.10460965138667852</v>
      </c>
      <c r="E34" s="221">
        <f>+Detail!M110</f>
        <v>723196.89000000013</v>
      </c>
      <c r="F34" s="221">
        <f>+E34/Detail!$C$8</f>
        <v>2511.1003125000007</v>
      </c>
      <c r="G34" s="212">
        <f>+E34/Detail!$C$10</f>
        <v>2.4598533673469394</v>
      </c>
      <c r="H34" s="220"/>
      <c r="I34" s="221">
        <f>E34/12</f>
        <v>60266.407500000008</v>
      </c>
      <c r="J34" s="221">
        <f>+I34/Detail!$C$8</f>
        <v>209.25835937500003</v>
      </c>
      <c r="K34" s="212">
        <f>+I34/Detail!$C$10</f>
        <v>0.20498778061224493</v>
      </c>
    </row>
    <row r="35" spans="2:11">
      <c r="B35" s="19" t="s">
        <v>41</v>
      </c>
      <c r="C35" s="19"/>
      <c r="D35" s="210">
        <f t="shared" si="4"/>
        <v>8.3317779752519142E-3</v>
      </c>
      <c r="E35" s="221">
        <f>+Detail!M112</f>
        <v>57600</v>
      </c>
      <c r="F35" s="221">
        <f>+E35/Detail!$C$8</f>
        <v>200</v>
      </c>
      <c r="G35" s="212">
        <f>+E35/Detail!$C$10</f>
        <v>0.19591836734693877</v>
      </c>
      <c r="H35" s="19"/>
      <c r="I35" s="221">
        <f t="shared" si="3"/>
        <v>4800</v>
      </c>
      <c r="J35" s="221">
        <f>+I35/Detail!$C$8</f>
        <v>16.666666666666668</v>
      </c>
      <c r="K35" s="212">
        <f>+I35/Detail!$C$10</f>
        <v>1.6326530612244899E-2</v>
      </c>
    </row>
    <row r="36" spans="2:11">
      <c r="B36" s="207" t="s">
        <v>42</v>
      </c>
      <c r="C36" s="207"/>
      <c r="D36" s="210">
        <f t="shared" si="4"/>
        <v>0.41409144917901475</v>
      </c>
      <c r="E36" s="216">
        <f>SUM(E23:E35)</f>
        <v>2862734.4059765451</v>
      </c>
      <c r="F36" s="216">
        <f>SUM(F23:F35)</f>
        <v>9940.0500207518926</v>
      </c>
      <c r="G36" s="217">
        <f>SUM(G23:G35)</f>
        <v>9.7371918570630793</v>
      </c>
      <c r="H36" s="207"/>
      <c r="I36" s="216">
        <f>SUM(I23:I35)</f>
        <v>238561.20049804539</v>
      </c>
      <c r="J36" s="216">
        <f>SUM(J23:J35)</f>
        <v>828.33750172932446</v>
      </c>
      <c r="K36" s="217">
        <f>SUM(K23:K35)</f>
        <v>0.81143265475525661</v>
      </c>
    </row>
    <row r="37" spans="2:11">
      <c r="B37" s="207"/>
      <c r="C37" s="207"/>
      <c r="D37" s="223"/>
      <c r="E37" s="208"/>
      <c r="F37" s="207"/>
      <c r="G37" s="207"/>
      <c r="H37" s="207"/>
      <c r="I37" s="207"/>
      <c r="J37" s="207"/>
      <c r="K37" s="207"/>
    </row>
    <row r="38" spans="2:11" ht="14.25" thickBot="1">
      <c r="B38" s="224" t="s">
        <v>78</v>
      </c>
      <c r="C38" s="224"/>
      <c r="D38" s="225">
        <f>IFERROR(ABS(E38/E$20),0)</f>
        <v>0.58590855082098525</v>
      </c>
      <c r="E38" s="226">
        <f>E20-E36</f>
        <v>4050555.9110591104</v>
      </c>
      <c r="F38" s="226">
        <f>F20-F36</f>
        <v>14064.430246733024</v>
      </c>
      <c r="G38" s="227">
        <f>G20-G36</f>
        <v>13.777401058024187</v>
      </c>
      <c r="H38" s="207"/>
      <c r="I38" s="226">
        <f>I20-I36</f>
        <v>337546.32592159254</v>
      </c>
      <c r="J38" s="226">
        <f>J20-J36</f>
        <v>1172.0358538944188</v>
      </c>
      <c r="K38" s="227">
        <f>K20-K36</f>
        <v>1.1481167548353488</v>
      </c>
    </row>
    <row r="39" spans="2:11" ht="14.25" thickTop="1">
      <c r="E39" s="228"/>
    </row>
    <row r="40" spans="2:11">
      <c r="E40" s="229">
        <f>+E38-Summary!G38</f>
        <v>0</v>
      </c>
    </row>
    <row r="42" spans="2:11">
      <c r="E42" s="230"/>
    </row>
    <row r="43" spans="2:11">
      <c r="E43" s="231"/>
    </row>
    <row r="44" spans="2:11">
      <c r="E44" s="232"/>
    </row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</sheetData>
  <mergeCells count="4">
    <mergeCell ref="E7:G7"/>
    <mergeCell ref="I7:K7"/>
    <mergeCell ref="D9:D10"/>
    <mergeCell ref="D21:D22"/>
  </mergeCells>
  <printOptions horizontalCentered="1"/>
  <pageMargins left="0.25" right="0.25" top="0.3" bottom="0.3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60EB4-65A0-4DA9-A17B-3AF5703D6645}">
  <sheetPr>
    <tabColor rgb="FFFFC000"/>
  </sheetPr>
  <dimension ref="A1:AM152"/>
  <sheetViews>
    <sheetView showGridLines="0" topLeftCell="A18" zoomScaleNormal="100" zoomScaleSheetLayoutView="80" workbookViewId="0"/>
  </sheetViews>
  <sheetFormatPr defaultColWidth="9.140625" defaultRowHeight="13.5"/>
  <cols>
    <col min="1" max="1" width="1.85546875" style="178" customWidth="1"/>
    <col min="2" max="2" width="24" style="178" customWidth="1"/>
    <col min="3" max="3" width="17.42578125" style="178" bestFit="1" customWidth="1"/>
    <col min="4" max="4" width="15.7109375" style="178" bestFit="1" customWidth="1"/>
    <col min="5" max="5" width="13.7109375" style="178" customWidth="1"/>
    <col min="6" max="6" width="14.42578125" style="178" customWidth="1"/>
    <col min="7" max="11" width="11.7109375" style="178" customWidth="1"/>
    <col min="12" max="12" width="14.42578125" style="178" customWidth="1"/>
    <col min="13" max="13" width="13.5703125" style="178" customWidth="1"/>
    <col min="14" max="14" width="1.5703125" style="178" customWidth="1"/>
    <col min="15" max="15" width="14.28515625" style="178" customWidth="1"/>
    <col min="16" max="16" width="24.85546875" style="178" bestFit="1" customWidth="1"/>
    <col min="17" max="17" width="12.42578125" style="178" bestFit="1" customWidth="1"/>
    <col min="18" max="18" width="6.85546875" style="178" bestFit="1" customWidth="1"/>
    <col min="19" max="22" width="9.140625" style="178"/>
    <col min="23" max="27" width="9.42578125" style="178" customWidth="1"/>
    <col min="28" max="28" width="12.140625" style="178" bestFit="1" customWidth="1"/>
    <col min="29" max="29" width="13.140625" style="178" bestFit="1" customWidth="1"/>
    <col min="30" max="30" width="11.140625" style="178" bestFit="1" customWidth="1"/>
    <col min="31" max="16384" width="9.140625" style="178"/>
  </cols>
  <sheetData>
    <row r="1" spans="1:16">
      <c r="A1" s="178" t="s">
        <v>63</v>
      </c>
    </row>
    <row r="2" spans="1:16" s="180" customFormat="1">
      <c r="B2" s="181" t="str">
        <f>+Detail!C6</f>
        <v>Sentosa Epperson</v>
      </c>
      <c r="C2" s="233"/>
      <c r="D2" s="233"/>
      <c r="E2" s="233"/>
      <c r="F2" s="233"/>
      <c r="G2" s="233"/>
      <c r="H2" s="233"/>
      <c r="I2" s="233"/>
      <c r="J2" s="233"/>
      <c r="M2" s="185" t="str">
        <f>+P_L!P2</f>
        <v>Wesley Chapel, FL</v>
      </c>
    </row>
    <row r="3" spans="1:16" s="180" customFormat="1" ht="14.25" thickBot="1">
      <c r="B3" s="186"/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189"/>
    </row>
    <row r="4" spans="1:16">
      <c r="B4" s="233"/>
      <c r="C4" s="233"/>
      <c r="D4" s="233"/>
      <c r="E4" s="233"/>
      <c r="F4" s="233"/>
      <c r="G4" s="233"/>
      <c r="H4" s="233"/>
      <c r="I4" s="233"/>
      <c r="J4" s="233"/>
      <c r="K4" s="233"/>
    </row>
    <row r="5" spans="1:16" ht="14.25" thickBot="1">
      <c r="B5" s="192" t="s">
        <v>79</v>
      </c>
      <c r="C5" s="15"/>
      <c r="D5" s="15"/>
      <c r="E5" s="15"/>
      <c r="F5" s="233"/>
      <c r="G5" s="235" t="s">
        <v>80</v>
      </c>
      <c r="H5" s="236" t="s">
        <v>81</v>
      </c>
      <c r="I5" s="236" t="s">
        <v>82</v>
      </c>
      <c r="J5" s="233"/>
      <c r="K5" s="237" t="s">
        <v>83</v>
      </c>
      <c r="L5" s="238"/>
      <c r="M5" s="239"/>
    </row>
    <row r="6" spans="1:16">
      <c r="B6" s="240" t="s">
        <v>84</v>
      </c>
      <c r="C6" s="241" t="s">
        <v>85</v>
      </c>
      <c r="D6" s="242"/>
      <c r="E6" s="243"/>
      <c r="F6" s="233"/>
      <c r="G6" s="244" t="s">
        <v>86</v>
      </c>
      <c r="H6" s="245">
        <v>0</v>
      </c>
      <c r="I6" s="246">
        <v>46174</v>
      </c>
      <c r="J6" s="233"/>
      <c r="K6" s="240" t="s">
        <v>87</v>
      </c>
      <c r="M6" s="247">
        <f>'Cash Flow'!C120</f>
        <v>0.25455542206764215</v>
      </c>
    </row>
    <row r="7" spans="1:16">
      <c r="B7" s="248" t="s">
        <v>88</v>
      </c>
      <c r="C7" s="249" t="s">
        <v>89</v>
      </c>
      <c r="D7" s="250" t="s">
        <v>90</v>
      </c>
      <c r="E7" s="251"/>
      <c r="F7" s="233"/>
      <c r="G7" s="252" t="s">
        <v>91</v>
      </c>
      <c r="H7" s="253">
        <v>0</v>
      </c>
      <c r="I7" s="254">
        <f>+EOMONTH($I$6,H7)</f>
        <v>46203</v>
      </c>
      <c r="J7" s="233"/>
      <c r="K7" s="240" t="s">
        <v>92</v>
      </c>
      <c r="M7" s="255">
        <f>'Cash Flow'!C121</f>
        <v>2.3245639433669849</v>
      </c>
    </row>
    <row r="8" spans="1:16">
      <c r="B8" s="256" t="s">
        <v>93</v>
      </c>
      <c r="C8" s="257">
        <f>+Detail!D67</f>
        <v>288</v>
      </c>
      <c r="D8" s="178" t="s">
        <v>94</v>
      </c>
      <c r="E8" s="258">
        <v>434</v>
      </c>
      <c r="F8" s="233"/>
      <c r="G8" s="252" t="s">
        <v>95</v>
      </c>
      <c r="H8" s="253">
        <v>47</v>
      </c>
      <c r="I8" s="254">
        <f>+EOMONTH($I$6,H8)</f>
        <v>47634</v>
      </c>
      <c r="J8" s="233"/>
      <c r="K8" s="240" t="s">
        <v>96</v>
      </c>
      <c r="M8" s="259">
        <f>'Cash Flow'!C122</f>
        <v>24992810.374513425</v>
      </c>
    </row>
    <row r="9" spans="1:16">
      <c r="B9" s="240" t="s">
        <v>97</v>
      </c>
      <c r="C9" s="260">
        <f>+Detail!F67</f>
        <v>1020.8333333333334</v>
      </c>
      <c r="D9" s="261" t="s">
        <v>98</v>
      </c>
      <c r="E9" s="262">
        <v>0</v>
      </c>
      <c r="F9" s="233"/>
      <c r="G9" s="263" t="s">
        <v>99</v>
      </c>
      <c r="H9" s="264">
        <v>47</v>
      </c>
      <c r="I9" s="265">
        <f>+EOMONTH($I$6,H9)</f>
        <v>47634</v>
      </c>
      <c r="J9" s="233"/>
      <c r="K9" s="266" t="s">
        <v>100</v>
      </c>
      <c r="L9" s="261"/>
      <c r="M9" s="267">
        <f>-C22</f>
        <v>-18929066.165800005</v>
      </c>
    </row>
    <row r="10" spans="1:16">
      <c r="B10" s="256" t="s">
        <v>101</v>
      </c>
      <c r="C10" s="260">
        <f>+Detail!G67</f>
        <v>294000</v>
      </c>
      <c r="D10" s="178" t="s">
        <v>102</v>
      </c>
      <c r="E10" s="268">
        <f>SUM(E8:E9)</f>
        <v>434</v>
      </c>
      <c r="F10" s="233"/>
      <c r="G10" s="233"/>
      <c r="H10" s="233"/>
      <c r="I10" s="233"/>
      <c r="J10" s="233"/>
    </row>
    <row r="11" spans="1:16">
      <c r="B11" s="256" t="s">
        <v>103</v>
      </c>
      <c r="C11" s="260">
        <v>0</v>
      </c>
      <c r="D11" s="178" t="s">
        <v>104</v>
      </c>
      <c r="E11" s="269">
        <f>E8/C8</f>
        <v>1.5069444444444444</v>
      </c>
      <c r="F11" s="233"/>
      <c r="G11" s="233"/>
      <c r="H11" s="233"/>
      <c r="I11" s="233"/>
      <c r="J11" s="233"/>
    </row>
    <row r="12" spans="1:16">
      <c r="B12" s="256" t="s">
        <v>105</v>
      </c>
      <c r="C12" s="260">
        <f>SUM(C10:C11)</f>
        <v>294000</v>
      </c>
      <c r="D12" s="261" t="s">
        <v>106</v>
      </c>
      <c r="E12" s="270" t="s">
        <v>107</v>
      </c>
      <c r="F12" s="233"/>
      <c r="G12" s="271"/>
      <c r="H12" s="233"/>
      <c r="I12" s="272"/>
      <c r="J12" s="233"/>
      <c r="K12" s="233"/>
      <c r="O12" s="273"/>
      <c r="P12" s="274"/>
    </row>
    <row r="13" spans="1:16">
      <c r="B13" s="240" t="s">
        <v>108</v>
      </c>
      <c r="C13" s="260">
        <f>C12*1.15</f>
        <v>338100</v>
      </c>
      <c r="D13" s="178" t="s">
        <v>109</v>
      </c>
      <c r="E13" s="275">
        <v>12</v>
      </c>
      <c r="F13" s="233"/>
      <c r="G13" s="276"/>
      <c r="H13" s="277"/>
      <c r="I13" s="278"/>
      <c r="J13" s="233"/>
      <c r="K13" s="279"/>
      <c r="O13" s="273"/>
      <c r="P13" s="274"/>
    </row>
    <row r="14" spans="1:16">
      <c r="B14" s="240" t="s">
        <v>110</v>
      </c>
      <c r="C14" s="280">
        <f>C12/C13</f>
        <v>0.86956521739130432</v>
      </c>
      <c r="D14" s="178" t="s">
        <v>111</v>
      </c>
      <c r="E14" s="281">
        <f>E13*43560</f>
        <v>522720</v>
      </c>
      <c r="F14" s="233"/>
      <c r="G14" s="233"/>
      <c r="H14" s="282"/>
      <c r="I14" s="278"/>
      <c r="J14" s="283"/>
      <c r="K14" s="233"/>
      <c r="O14" s="284"/>
      <c r="P14" s="274"/>
    </row>
    <row r="15" spans="1:16">
      <c r="B15" s="240" t="s">
        <v>112</v>
      </c>
      <c r="C15" s="241" t="s">
        <v>113</v>
      </c>
      <c r="D15" s="178" t="s">
        <v>114</v>
      </c>
      <c r="E15" s="275">
        <v>24</v>
      </c>
      <c r="F15" s="233"/>
      <c r="G15" s="233"/>
      <c r="H15" s="282"/>
      <c r="I15" s="278"/>
      <c r="J15" s="277"/>
      <c r="K15" s="285"/>
    </row>
    <row r="16" spans="1:16">
      <c r="B16" s="240" t="s">
        <v>115</v>
      </c>
      <c r="C16" s="286">
        <v>8</v>
      </c>
      <c r="D16" s="178" t="s">
        <v>116</v>
      </c>
      <c r="E16" s="281">
        <f>E15*43560</f>
        <v>1045440</v>
      </c>
      <c r="F16" s="233"/>
      <c r="G16" s="233"/>
      <c r="H16" s="282"/>
      <c r="J16" s="277"/>
      <c r="K16" s="233"/>
    </row>
    <row r="17" spans="2:17">
      <c r="B17" s="240" t="s">
        <v>117</v>
      </c>
      <c r="C17" s="287" t="s">
        <v>118</v>
      </c>
      <c r="D17" s="178" t="s">
        <v>119</v>
      </c>
      <c r="E17" s="288">
        <f>C8/E15</f>
        <v>12</v>
      </c>
      <c r="F17" s="233"/>
      <c r="G17" s="233"/>
      <c r="H17" s="233"/>
      <c r="I17" s="233"/>
      <c r="J17" s="233"/>
      <c r="K17" s="233"/>
    </row>
    <row r="18" spans="2:17">
      <c r="B18" s="266" t="s">
        <v>120</v>
      </c>
      <c r="C18" s="289" t="s">
        <v>121</v>
      </c>
      <c r="D18" s="261" t="s">
        <v>122</v>
      </c>
      <c r="E18" s="290">
        <f>C13/(E15*43560)</f>
        <v>0.3234044995408632</v>
      </c>
      <c r="F18" s="233"/>
      <c r="G18" s="233"/>
      <c r="H18" s="233"/>
      <c r="I18" s="233"/>
      <c r="J18" s="233"/>
      <c r="K18" s="233"/>
    </row>
    <row r="19" spans="2:17">
      <c r="B19" s="233"/>
      <c r="C19" s="233"/>
      <c r="D19" s="233"/>
      <c r="E19" s="233"/>
      <c r="F19" s="233"/>
      <c r="G19" s="233"/>
      <c r="H19" s="233"/>
      <c r="I19" s="233"/>
      <c r="J19" s="233"/>
      <c r="K19" s="233"/>
    </row>
    <row r="20" spans="2:17" ht="14.25" thickBot="1">
      <c r="B20" s="291" t="s">
        <v>123</v>
      </c>
      <c r="C20" s="292" t="s">
        <v>124</v>
      </c>
      <c r="D20" s="292" t="s">
        <v>125</v>
      </c>
      <c r="E20" s="293" t="s">
        <v>95</v>
      </c>
      <c r="G20" s="291" t="s">
        <v>126</v>
      </c>
      <c r="H20" s="292"/>
      <c r="I20" s="293"/>
      <c r="J20" s="233"/>
      <c r="K20" s="291" t="s">
        <v>127</v>
      </c>
      <c r="L20" s="292"/>
      <c r="M20" s="293"/>
    </row>
    <row r="21" spans="2:17">
      <c r="B21" s="294"/>
      <c r="C21" s="295"/>
      <c r="D21" s="295"/>
      <c r="E21" s="296" t="s">
        <v>128</v>
      </c>
      <c r="G21" s="252"/>
      <c r="H21" s="297" t="s">
        <v>67</v>
      </c>
      <c r="I21" s="298" t="s">
        <v>129</v>
      </c>
      <c r="J21" s="233"/>
      <c r="K21" s="252"/>
      <c r="L21" s="297" t="s">
        <v>67</v>
      </c>
      <c r="M21" s="298" t="s">
        <v>129</v>
      </c>
      <c r="Q21" s="672"/>
    </row>
    <row r="22" spans="2:17">
      <c r="B22" s="240" t="s">
        <v>130</v>
      </c>
      <c r="C22" s="299">
        <f>$H$28*C23</f>
        <v>18929066.165800005</v>
      </c>
      <c r="D22" s="300">
        <v>52100000</v>
      </c>
      <c r="E22" s="301">
        <f>IF(E21="YES", -PV(E26/12, E27*12, (INDEX('Cash Flow'!$E$17:$FS$76, ROWS('Cash Flow'!$E$17:$E$76), MATCH(E25,'Cash Flow'!$E$17:$FS$17, 0))*12)/12/E29), 0)</f>
        <v>0</v>
      </c>
      <c r="F22" s="302"/>
      <c r="G22" s="252" t="s">
        <v>131</v>
      </c>
      <c r="H22" s="299">
        <f>P_L!E38</f>
        <v>4050555.9110591104</v>
      </c>
      <c r="I22" s="303">
        <f>H22/$D$67</f>
        <v>14064.430246733022</v>
      </c>
      <c r="J22" s="233"/>
      <c r="K22" s="252" t="s">
        <v>132</v>
      </c>
      <c r="L22" s="299">
        <f>SUMIF('Cash Flow'!$E$17:$FS$17,$H$9,'Cash Flow'!$E$76:$FS$76)*12</f>
        <v>4636539.0513957106</v>
      </c>
      <c r="M22" s="303">
        <f>L22/$D$67</f>
        <v>16099.093928457329</v>
      </c>
      <c r="Q22" s="672"/>
    </row>
    <row r="23" spans="2:17">
      <c r="B23" s="240" t="s">
        <v>133</v>
      </c>
      <c r="C23" s="304">
        <f>1-D23</f>
        <v>0.26649746628534754</v>
      </c>
      <c r="D23" s="304">
        <f>D22/H28</f>
        <v>0.73350253371465246</v>
      </c>
      <c r="E23" s="305"/>
      <c r="G23" s="252"/>
      <c r="H23" s="299"/>
      <c r="I23" s="303"/>
      <c r="J23" s="233"/>
      <c r="K23" s="252" t="s">
        <v>134</v>
      </c>
      <c r="L23" s="306">
        <f>M38</f>
        <v>0.05</v>
      </c>
      <c r="M23" s="307"/>
      <c r="Q23" s="672"/>
    </row>
    <row r="24" spans="2:17">
      <c r="B24" s="240" t="s">
        <v>135</v>
      </c>
      <c r="C24" s="308"/>
      <c r="D24" s="308"/>
      <c r="E24" s="305"/>
      <c r="G24" s="252" t="s">
        <v>134</v>
      </c>
      <c r="H24" s="306">
        <f>H22/H25</f>
        <v>5.7026737499322841E-2</v>
      </c>
      <c r="I24" s="307"/>
      <c r="J24" s="233"/>
      <c r="K24" s="252" t="s">
        <v>136</v>
      </c>
      <c r="L24" s="299">
        <f>L22/L23</f>
        <v>92730781.027914211</v>
      </c>
      <c r="M24" s="303">
        <f>L24/$D$67</f>
        <v>321981.87856914656</v>
      </c>
      <c r="P24" s="206"/>
      <c r="Q24" s="673"/>
    </row>
    <row r="25" spans="2:17">
      <c r="B25" s="240" t="s">
        <v>137</v>
      </c>
      <c r="C25" s="295"/>
      <c r="D25" s="295">
        <f>+H7</f>
        <v>0</v>
      </c>
      <c r="E25" s="309">
        <f>H8</f>
        <v>47</v>
      </c>
      <c r="G25" s="252" t="s">
        <v>4</v>
      </c>
      <c r="H25" s="685">
        <v>71029066.165800005</v>
      </c>
      <c r="I25" s="303">
        <f>H25/$D$67</f>
        <v>246628.70196458336</v>
      </c>
      <c r="J25" s="233"/>
      <c r="K25" s="252"/>
      <c r="M25" s="305"/>
    </row>
    <row r="26" spans="2:17">
      <c r="B26" s="240" t="s">
        <v>138</v>
      </c>
      <c r="D26" s="279">
        <f>3%+2.75%</f>
        <v>5.7499999999999996E-2</v>
      </c>
      <c r="E26" s="310">
        <v>0.05</v>
      </c>
      <c r="G26" s="252"/>
      <c r="H26" s="233"/>
      <c r="I26" s="307"/>
      <c r="J26" s="233"/>
      <c r="K26" s="252" t="s">
        <v>6</v>
      </c>
      <c r="L26" s="299">
        <f>-L24*M39</f>
        <v>-1159134.7628489276</v>
      </c>
      <c r="M26" s="303">
        <f>L26/$D$67</f>
        <v>-4024.7734821143322</v>
      </c>
    </row>
    <row r="27" spans="2:17">
      <c r="B27" s="240" t="s">
        <v>139</v>
      </c>
      <c r="D27" s="311">
        <v>30</v>
      </c>
      <c r="E27" s="312">
        <v>30</v>
      </c>
      <c r="G27" s="252" t="s">
        <v>6</v>
      </c>
      <c r="H27" s="277">
        <f>H25*L39</f>
        <v>0</v>
      </c>
      <c r="I27" s="303">
        <f>H27/$D$67</f>
        <v>0</v>
      </c>
      <c r="J27" s="233"/>
      <c r="K27" s="263" t="s">
        <v>54</v>
      </c>
      <c r="L27" s="313">
        <f>L24+L26</f>
        <v>91571646.265065283</v>
      </c>
      <c r="M27" s="267">
        <f>L27/$D$67</f>
        <v>317957.10508703225</v>
      </c>
    </row>
    <row r="28" spans="2:17">
      <c r="B28" s="240" t="s">
        <v>140</v>
      </c>
      <c r="D28" s="311">
        <v>36</v>
      </c>
      <c r="E28" s="312">
        <v>12</v>
      </c>
      <c r="G28" s="263" t="s">
        <v>8</v>
      </c>
      <c r="H28" s="314">
        <f>H27+H25</f>
        <v>71029066.165800005</v>
      </c>
      <c r="I28" s="267">
        <f>H28/$D$67</f>
        <v>246628.70196458336</v>
      </c>
      <c r="J28" s="233"/>
      <c r="K28" s="233"/>
    </row>
    <row r="29" spans="2:17">
      <c r="B29" s="240" t="s">
        <v>141</v>
      </c>
      <c r="C29" s="315"/>
      <c r="D29" s="316">
        <v>1.1000000000000001</v>
      </c>
      <c r="E29" s="312">
        <v>1.25</v>
      </c>
      <c r="G29" s="233"/>
      <c r="H29" s="233"/>
      <c r="I29" s="233"/>
      <c r="J29" s="233"/>
      <c r="K29" s="233"/>
    </row>
    <row r="30" spans="2:17">
      <c r="B30" s="317">
        <v>1.4999999999999999E-2</v>
      </c>
      <c r="C30" s="261"/>
      <c r="D30" s="261"/>
      <c r="E30" s="318">
        <f>IFERROR(-E22*B30, 0)</f>
        <v>0</v>
      </c>
      <c r="G30" s="233"/>
      <c r="H30" s="233"/>
      <c r="I30" s="319"/>
      <c r="J30" s="233"/>
      <c r="K30" s="233"/>
    </row>
    <row r="31" spans="2:17">
      <c r="B31" s="233"/>
      <c r="C31" s="233"/>
      <c r="D31" s="233"/>
      <c r="E31" s="233"/>
      <c r="F31" s="233"/>
      <c r="G31" s="233"/>
      <c r="H31" s="233"/>
      <c r="I31" s="233"/>
      <c r="J31" s="233"/>
      <c r="K31" s="233"/>
    </row>
    <row r="32" spans="2:17" ht="14.25" thickBot="1">
      <c r="B32" s="291" t="s">
        <v>142</v>
      </c>
      <c r="C32" s="320"/>
      <c r="D32" s="320"/>
      <c r="E32" s="320"/>
      <c r="F32" s="320"/>
      <c r="G32" s="320"/>
      <c r="H32" s="320"/>
      <c r="I32" s="320"/>
      <c r="J32" s="320"/>
      <c r="K32" s="320"/>
      <c r="L32" s="320"/>
      <c r="M32" s="321"/>
      <c r="P32" s="206"/>
    </row>
    <row r="33" spans="2:39">
      <c r="B33" s="240" t="s">
        <v>143</v>
      </c>
      <c r="F33" s="322">
        <v>0.05</v>
      </c>
      <c r="G33" s="178" t="s">
        <v>144</v>
      </c>
      <c r="I33" s="178" t="s">
        <v>145</v>
      </c>
      <c r="M33" s="323">
        <f>D67</f>
        <v>288</v>
      </c>
      <c r="Y33" s="324"/>
      <c r="AB33" s="827"/>
      <c r="AC33" s="827"/>
      <c r="AD33" s="827"/>
      <c r="AH33" s="324"/>
      <c r="AK33" s="827"/>
      <c r="AL33" s="827"/>
      <c r="AM33" s="827"/>
    </row>
    <row r="34" spans="2:39">
      <c r="B34" s="240" t="s">
        <v>146</v>
      </c>
      <c r="F34" s="325">
        <f>100%-$F$33</f>
        <v>0.95</v>
      </c>
      <c r="G34" s="178" t="s">
        <v>144</v>
      </c>
      <c r="I34" s="178" t="s">
        <v>147</v>
      </c>
      <c r="L34" s="206"/>
      <c r="M34" s="312">
        <v>1</v>
      </c>
      <c r="Q34" s="326"/>
      <c r="Y34" s="327"/>
      <c r="AB34" s="328"/>
      <c r="AC34" s="328"/>
      <c r="AD34" s="329"/>
      <c r="AH34" s="327"/>
      <c r="AK34" s="328"/>
      <c r="AL34" s="328"/>
      <c r="AM34" s="329"/>
    </row>
    <row r="35" spans="2:39">
      <c r="B35" s="240" t="s">
        <v>148</v>
      </c>
      <c r="F35" s="322">
        <v>0.5</v>
      </c>
      <c r="G35" s="178" t="s">
        <v>144</v>
      </c>
      <c r="I35" s="178" t="s">
        <v>149</v>
      </c>
      <c r="M35" s="330">
        <f>M33-M34</f>
        <v>287</v>
      </c>
      <c r="P35" s="284"/>
      <c r="R35" s="279"/>
      <c r="Y35" s="228"/>
      <c r="AB35" s="328"/>
      <c r="AC35" s="328"/>
      <c r="AD35" s="329"/>
      <c r="AH35" s="228"/>
      <c r="AK35" s="328"/>
      <c r="AL35" s="328"/>
      <c r="AM35" s="329"/>
    </row>
    <row r="36" spans="2:39">
      <c r="B36" s="240" t="s">
        <v>15</v>
      </c>
      <c r="F36" s="331">
        <v>0.01</v>
      </c>
      <c r="G36" s="178" t="s">
        <v>144</v>
      </c>
      <c r="H36" s="332"/>
      <c r="I36" s="333"/>
      <c r="M36" s="305"/>
      <c r="P36" s="206"/>
      <c r="R36" s="279"/>
      <c r="Y36" s="228"/>
      <c r="AB36" s="328"/>
      <c r="AC36" s="328"/>
      <c r="AD36" s="329"/>
      <c r="AH36" s="228"/>
      <c r="AK36" s="328"/>
      <c r="AL36" s="328"/>
      <c r="AM36" s="329"/>
    </row>
    <row r="37" spans="2:39">
      <c r="B37" s="334" t="s">
        <v>150</v>
      </c>
      <c r="C37" s="295"/>
      <c r="D37" s="295"/>
      <c r="E37" s="295"/>
      <c r="F37" s="295"/>
      <c r="G37" s="295"/>
      <c r="H37" s="332"/>
      <c r="I37" s="178" t="s">
        <v>151</v>
      </c>
      <c r="M37" s="310">
        <f>H24</f>
        <v>5.7026737499322841E-2</v>
      </c>
      <c r="Y37" s="335"/>
      <c r="AB37" s="328"/>
      <c r="AC37" s="328"/>
      <c r="AD37" s="329"/>
      <c r="AH37" s="335"/>
      <c r="AK37" s="328"/>
      <c r="AL37" s="328"/>
      <c r="AM37" s="329"/>
    </row>
    <row r="38" spans="2:39">
      <c r="B38" s="336"/>
      <c r="C38" s="295"/>
      <c r="D38" s="295"/>
      <c r="E38" s="295"/>
      <c r="F38" s="337"/>
      <c r="G38" s="338"/>
      <c r="H38" s="332"/>
      <c r="I38" s="178" t="s">
        <v>152</v>
      </c>
      <c r="M38" s="310">
        <v>0.05</v>
      </c>
      <c r="Q38" s="339"/>
      <c r="Y38" s="340"/>
      <c r="AB38" s="328"/>
      <c r="AC38" s="328"/>
      <c r="AD38" s="329"/>
      <c r="AH38" s="340"/>
      <c r="AK38" s="328"/>
      <c r="AL38" s="328"/>
      <c r="AM38" s="329"/>
    </row>
    <row r="39" spans="2:39">
      <c r="B39" s="341" t="s">
        <v>153</v>
      </c>
      <c r="C39" s="342"/>
      <c r="D39" s="342"/>
      <c r="E39" s="342"/>
      <c r="F39" s="343"/>
      <c r="G39" s="344"/>
      <c r="H39" s="345"/>
      <c r="I39" s="261" t="s">
        <v>154</v>
      </c>
      <c r="J39" s="261"/>
      <c r="K39" s="261"/>
      <c r="L39" s="346">
        <v>0</v>
      </c>
      <c r="M39" s="347">
        <v>1.2500000000000001E-2</v>
      </c>
      <c r="R39" s="279"/>
      <c r="Y39" s="340"/>
      <c r="AB39" s="827"/>
      <c r="AC39" s="827"/>
      <c r="AD39" s="827"/>
      <c r="AH39" s="340"/>
      <c r="AK39" s="827"/>
      <c r="AL39" s="827"/>
      <c r="AM39" s="827"/>
    </row>
    <row r="40" spans="2:39">
      <c r="B40" s="233"/>
      <c r="C40" s="233"/>
      <c r="D40" s="233"/>
      <c r="E40" s="233"/>
      <c r="F40" s="233"/>
      <c r="G40" s="233"/>
      <c r="H40" s="233"/>
      <c r="I40" s="233"/>
      <c r="J40" s="233"/>
      <c r="K40" s="233"/>
      <c r="P40" s="284"/>
      <c r="Q40" s="326"/>
      <c r="AB40" s="329"/>
      <c r="AC40" s="348"/>
      <c r="AD40" s="329"/>
      <c r="AK40" s="329"/>
      <c r="AL40" s="348"/>
      <c r="AM40" s="329"/>
    </row>
    <row r="41" spans="2:39" ht="14.25" thickBot="1">
      <c r="B41" s="192" t="s">
        <v>155</v>
      </c>
      <c r="C41" s="192"/>
      <c r="D41" s="192"/>
      <c r="E41" s="192"/>
      <c r="F41" s="192"/>
      <c r="G41" s="192"/>
      <c r="H41" s="192"/>
      <c r="I41" s="192"/>
      <c r="J41" s="192"/>
      <c r="K41" s="192"/>
      <c r="L41" s="192"/>
      <c r="M41" s="192"/>
      <c r="Q41" s="299"/>
      <c r="R41" s="279"/>
      <c r="Y41" s="328"/>
      <c r="AB41" s="329"/>
      <c r="AC41" s="348"/>
      <c r="AD41" s="329"/>
      <c r="AH41" s="328"/>
      <c r="AK41" s="329"/>
      <c r="AL41" s="348"/>
      <c r="AM41" s="329"/>
    </row>
    <row r="42" spans="2:39">
      <c r="B42" s="349"/>
      <c r="C42" s="349"/>
      <c r="D42" s="349"/>
      <c r="E42" s="349"/>
      <c r="F42" s="349"/>
      <c r="G42" s="349"/>
      <c r="H42" s="349"/>
      <c r="I42" s="349"/>
      <c r="J42" s="349"/>
      <c r="K42" s="349"/>
      <c r="L42" s="349"/>
      <c r="M42" s="349"/>
      <c r="P42" s="206"/>
      <c r="Q42" s="350"/>
      <c r="R42" s="351"/>
      <c r="Y42" s="328"/>
      <c r="AB42" s="329"/>
      <c r="AC42" s="348"/>
      <c r="AD42" s="329"/>
      <c r="AH42" s="328"/>
      <c r="AK42" s="329"/>
      <c r="AL42" s="348"/>
      <c r="AM42" s="329"/>
    </row>
    <row r="43" spans="2:39">
      <c r="B43" s="352" t="s">
        <v>156</v>
      </c>
      <c r="C43" s="353"/>
      <c r="D43" s="354"/>
      <c r="E43" s="354"/>
      <c r="F43" s="354"/>
      <c r="G43" s="354"/>
      <c r="H43" s="354"/>
      <c r="I43" s="354"/>
      <c r="J43" s="354"/>
      <c r="K43" s="354"/>
      <c r="L43" s="354"/>
      <c r="M43" s="355"/>
      <c r="Y43" s="328"/>
      <c r="AB43" s="329"/>
      <c r="AC43" s="348"/>
      <c r="AD43" s="329"/>
      <c r="AH43" s="328"/>
      <c r="AK43" s="329"/>
      <c r="AL43" s="348"/>
      <c r="AM43" s="329"/>
    </row>
    <row r="44" spans="2:39" ht="8.1" customHeight="1">
      <c r="B44" s="252"/>
      <c r="C44" s="233"/>
      <c r="D44" s="233"/>
      <c r="E44" s="233"/>
      <c r="F44" s="233"/>
      <c r="G44" s="233"/>
      <c r="H44" s="233"/>
      <c r="I44" s="233"/>
      <c r="J44" s="233"/>
      <c r="K44" s="233"/>
      <c r="M44" s="305"/>
      <c r="P44" s="206"/>
      <c r="Y44" s="328"/>
      <c r="AB44" s="329"/>
      <c r="AC44" s="348"/>
      <c r="AD44" s="329"/>
      <c r="AH44" s="328"/>
      <c r="AK44" s="329"/>
      <c r="AL44" s="348"/>
      <c r="AM44" s="329"/>
    </row>
    <row r="45" spans="2:39">
      <c r="B45" s="828" t="s">
        <v>157</v>
      </c>
      <c r="C45" s="829"/>
      <c r="D45" s="356" t="s">
        <v>158</v>
      </c>
      <c r="E45" s="233"/>
      <c r="F45" s="233"/>
      <c r="G45" s="356" t="s">
        <v>67</v>
      </c>
      <c r="H45" s="297" t="s">
        <v>159</v>
      </c>
      <c r="I45" s="297" t="s">
        <v>160</v>
      </c>
      <c r="J45" s="297" t="s">
        <v>160</v>
      </c>
      <c r="K45" s="297" t="s">
        <v>161</v>
      </c>
      <c r="L45" s="830" t="s">
        <v>162</v>
      </c>
      <c r="M45" s="831"/>
      <c r="Q45" s="299"/>
      <c r="R45" s="279"/>
      <c r="Y45" s="358"/>
      <c r="AB45" s="359"/>
      <c r="AC45" s="180"/>
      <c r="AD45" s="329"/>
      <c r="AH45" s="358"/>
      <c r="AK45" s="359"/>
      <c r="AL45" s="180"/>
      <c r="AM45" s="329"/>
    </row>
    <row r="46" spans="2:39">
      <c r="B46" s="360" t="s">
        <v>163</v>
      </c>
      <c r="C46" s="361" t="s">
        <v>164</v>
      </c>
      <c r="D46" s="361" t="s">
        <v>165</v>
      </c>
      <c r="E46" s="361" t="s">
        <v>166</v>
      </c>
      <c r="F46" s="361" t="s">
        <v>167</v>
      </c>
      <c r="G46" s="361" t="s">
        <v>168</v>
      </c>
      <c r="H46" s="362" t="s">
        <v>169</v>
      </c>
      <c r="I46" s="362" t="s">
        <v>170</v>
      </c>
      <c r="J46" s="362" t="s">
        <v>171</v>
      </c>
      <c r="K46" s="362" t="s">
        <v>172</v>
      </c>
      <c r="L46" s="363" t="s">
        <v>173</v>
      </c>
      <c r="M46" s="364" t="s">
        <v>174</v>
      </c>
      <c r="O46" s="365"/>
      <c r="Q46" s="299"/>
      <c r="S46" s="228"/>
      <c r="Y46" s="358"/>
      <c r="AH46" s="358"/>
    </row>
    <row r="47" spans="2:39">
      <c r="B47" s="366" t="s">
        <v>175</v>
      </c>
      <c r="C47" s="367" t="s">
        <v>176</v>
      </c>
      <c r="D47" s="368">
        <v>66</v>
      </c>
      <c r="E47" s="369">
        <f t="shared" ref="E47:E61" si="0">+D47/$D$67</f>
        <v>0.22916666666666666</v>
      </c>
      <c r="F47" s="368">
        <v>813</v>
      </c>
      <c r="G47" s="370">
        <f t="shared" ref="G47:G61" si="1">+F47*D47</f>
        <v>53658</v>
      </c>
      <c r="H47" s="371">
        <v>1706.88</v>
      </c>
      <c r="I47" s="372">
        <f t="shared" ref="I47:I52" si="2">+H47/F47</f>
        <v>2.0994833948339484</v>
      </c>
      <c r="J47" s="373">
        <f t="shared" ref="J47:J61" si="3">+H47*12</f>
        <v>20482.560000000001</v>
      </c>
      <c r="K47" s="373">
        <f t="shared" ref="K47:K52" si="4">+M47/G47</f>
        <v>25.193800738007383</v>
      </c>
      <c r="L47" s="373">
        <f t="shared" ref="L47:L61" si="5">+H47*D47</f>
        <v>112654.08</v>
      </c>
      <c r="M47" s="374">
        <f t="shared" ref="M47:M61" si="6">+J47*D47</f>
        <v>1351848.9600000002</v>
      </c>
      <c r="O47" s="371"/>
      <c r="Q47" s="302"/>
      <c r="R47" s="279"/>
      <c r="S47" s="228"/>
      <c r="Y47" s="358"/>
      <c r="AH47" s="358"/>
    </row>
    <row r="48" spans="2:39">
      <c r="B48" s="366" t="s">
        <v>175</v>
      </c>
      <c r="C48" s="367" t="s">
        <v>177</v>
      </c>
      <c r="D48" s="368">
        <v>66</v>
      </c>
      <c r="E48" s="369">
        <f t="shared" si="0"/>
        <v>0.22916666666666666</v>
      </c>
      <c r="F48" s="368">
        <v>886</v>
      </c>
      <c r="G48" s="370">
        <f t="shared" si="1"/>
        <v>58476</v>
      </c>
      <c r="H48" s="371">
        <v>1679.67</v>
      </c>
      <c r="I48" s="372">
        <f t="shared" si="2"/>
        <v>1.8957900677200903</v>
      </c>
      <c r="J48" s="373">
        <f t="shared" si="3"/>
        <v>20156.04</v>
      </c>
      <c r="K48" s="373">
        <f t="shared" si="4"/>
        <v>22.749480812641085</v>
      </c>
      <c r="L48" s="373">
        <f t="shared" si="5"/>
        <v>110858.22</v>
      </c>
      <c r="M48" s="374">
        <f t="shared" si="6"/>
        <v>1330298.6400000001</v>
      </c>
      <c r="O48" s="371"/>
      <c r="Q48" s="302"/>
      <c r="R48" s="279"/>
    </row>
    <row r="49" spans="2:18">
      <c r="B49" s="366" t="s">
        <v>178</v>
      </c>
      <c r="C49" s="367" t="s">
        <v>179</v>
      </c>
      <c r="D49" s="368">
        <v>66</v>
      </c>
      <c r="E49" s="369">
        <f t="shared" si="0"/>
        <v>0.22916666666666666</v>
      </c>
      <c r="F49" s="368">
        <v>1107</v>
      </c>
      <c r="G49" s="370">
        <f t="shared" si="1"/>
        <v>73062</v>
      </c>
      <c r="H49" s="371">
        <v>2071.09</v>
      </c>
      <c r="I49" s="372">
        <f t="shared" si="2"/>
        <v>1.8709033423667571</v>
      </c>
      <c r="J49" s="373">
        <f t="shared" si="3"/>
        <v>24853.08</v>
      </c>
      <c r="K49" s="373">
        <f t="shared" si="4"/>
        <v>22.450840108401085</v>
      </c>
      <c r="L49" s="373">
        <f t="shared" si="5"/>
        <v>136691.94</v>
      </c>
      <c r="M49" s="374">
        <f t="shared" si="6"/>
        <v>1640303.28</v>
      </c>
      <c r="O49" s="371"/>
      <c r="Q49" s="375"/>
    </row>
    <row r="50" spans="2:18">
      <c r="B50" s="366" t="s">
        <v>178</v>
      </c>
      <c r="C50" s="367" t="s">
        <v>180</v>
      </c>
      <c r="D50" s="368">
        <v>66</v>
      </c>
      <c r="E50" s="369">
        <f t="shared" si="0"/>
        <v>0.22916666666666666</v>
      </c>
      <c r="F50" s="368">
        <v>1180</v>
      </c>
      <c r="G50" s="370">
        <f t="shared" si="1"/>
        <v>77880</v>
      </c>
      <c r="H50" s="371">
        <v>2000.53</v>
      </c>
      <c r="I50" s="372">
        <f t="shared" si="2"/>
        <v>1.6953644067796609</v>
      </c>
      <c r="J50" s="373">
        <f t="shared" si="3"/>
        <v>24006.36</v>
      </c>
      <c r="K50" s="373">
        <f t="shared" si="4"/>
        <v>20.344372881355934</v>
      </c>
      <c r="L50" s="373">
        <f t="shared" si="5"/>
        <v>132034.98000000001</v>
      </c>
      <c r="M50" s="374">
        <f t="shared" si="6"/>
        <v>1584419.76</v>
      </c>
      <c r="O50" s="371"/>
      <c r="P50" s="206"/>
      <c r="Q50" s="350"/>
      <c r="R50" s="351"/>
    </row>
    <row r="51" spans="2:18">
      <c r="B51" s="366" t="s">
        <v>181</v>
      </c>
      <c r="C51" s="367" t="s">
        <v>182</v>
      </c>
      <c r="D51" s="368">
        <v>12</v>
      </c>
      <c r="E51" s="369">
        <f t="shared" si="0"/>
        <v>4.1666666666666664E-2</v>
      </c>
      <c r="F51" s="368">
        <v>1253</v>
      </c>
      <c r="G51" s="370">
        <f t="shared" si="1"/>
        <v>15036</v>
      </c>
      <c r="H51" s="371">
        <v>2450.5</v>
      </c>
      <c r="I51" s="372">
        <f t="shared" si="2"/>
        <v>1.9557063048683161</v>
      </c>
      <c r="J51" s="373">
        <f t="shared" si="3"/>
        <v>29406</v>
      </c>
      <c r="K51" s="373">
        <f t="shared" si="4"/>
        <v>23.468475658419791</v>
      </c>
      <c r="L51" s="373">
        <f t="shared" si="5"/>
        <v>29406</v>
      </c>
      <c r="M51" s="374">
        <f t="shared" si="6"/>
        <v>352872</v>
      </c>
      <c r="O51" s="371"/>
    </row>
    <row r="52" spans="2:18">
      <c r="B52" s="366" t="s">
        <v>181</v>
      </c>
      <c r="C52" s="367" t="s">
        <v>183</v>
      </c>
      <c r="D52" s="368">
        <v>12</v>
      </c>
      <c r="E52" s="369">
        <f t="shared" si="0"/>
        <v>4.1666666666666664E-2</v>
      </c>
      <c r="F52" s="368">
        <v>1324</v>
      </c>
      <c r="G52" s="370">
        <f t="shared" si="1"/>
        <v>15888</v>
      </c>
      <c r="H52" s="371">
        <v>2376.67</v>
      </c>
      <c r="I52" s="372">
        <f t="shared" si="2"/>
        <v>1.7950679758308157</v>
      </c>
      <c r="J52" s="373">
        <f t="shared" si="3"/>
        <v>28520.04</v>
      </c>
      <c r="K52" s="373">
        <f t="shared" si="4"/>
        <v>21.540815709969788</v>
      </c>
      <c r="L52" s="373">
        <f t="shared" si="5"/>
        <v>28520.04</v>
      </c>
      <c r="M52" s="374">
        <f t="shared" si="6"/>
        <v>342240.48</v>
      </c>
      <c r="O52" s="371"/>
      <c r="P52" s="206"/>
    </row>
    <row r="53" spans="2:18" hidden="1">
      <c r="B53" s="366"/>
      <c r="C53" s="367"/>
      <c r="D53" s="368">
        <v>0</v>
      </c>
      <c r="E53" s="369">
        <f t="shared" si="0"/>
        <v>0</v>
      </c>
      <c r="F53" s="368"/>
      <c r="G53" s="370">
        <f t="shared" si="1"/>
        <v>0</v>
      </c>
      <c r="H53" s="371"/>
      <c r="I53" s="372"/>
      <c r="J53" s="373">
        <f t="shared" si="3"/>
        <v>0</v>
      </c>
      <c r="K53" s="373"/>
      <c r="L53" s="373">
        <f t="shared" si="5"/>
        <v>0</v>
      </c>
      <c r="M53" s="374">
        <f t="shared" si="6"/>
        <v>0</v>
      </c>
      <c r="O53" s="371"/>
      <c r="Q53" s="284"/>
      <c r="R53" s="279"/>
    </row>
    <row r="54" spans="2:18" hidden="1">
      <c r="B54" s="366"/>
      <c r="C54" s="367"/>
      <c r="D54" s="368">
        <v>0</v>
      </c>
      <c r="E54" s="369">
        <f t="shared" si="0"/>
        <v>0</v>
      </c>
      <c r="F54" s="368"/>
      <c r="G54" s="370">
        <f t="shared" si="1"/>
        <v>0</v>
      </c>
      <c r="H54" s="371"/>
      <c r="I54" s="372"/>
      <c r="J54" s="373">
        <f t="shared" si="3"/>
        <v>0</v>
      </c>
      <c r="K54" s="373"/>
      <c r="L54" s="373">
        <f t="shared" si="5"/>
        <v>0</v>
      </c>
      <c r="M54" s="374">
        <f t="shared" si="6"/>
        <v>0</v>
      </c>
      <c r="O54" s="371"/>
      <c r="Q54" s="284"/>
      <c r="R54" s="279"/>
    </row>
    <row r="55" spans="2:18" hidden="1">
      <c r="B55" s="366"/>
      <c r="C55" s="367"/>
      <c r="D55" s="368">
        <v>0</v>
      </c>
      <c r="E55" s="369">
        <f t="shared" si="0"/>
        <v>0</v>
      </c>
      <c r="F55" s="368"/>
      <c r="G55" s="370">
        <f t="shared" si="1"/>
        <v>0</v>
      </c>
      <c r="H55" s="371"/>
      <c r="I55" s="372"/>
      <c r="J55" s="373">
        <f t="shared" si="3"/>
        <v>0</v>
      </c>
      <c r="K55" s="373"/>
      <c r="L55" s="373">
        <f t="shared" si="5"/>
        <v>0</v>
      </c>
      <c r="M55" s="374">
        <f t="shared" si="6"/>
        <v>0</v>
      </c>
      <c r="O55" s="371"/>
      <c r="Q55" s="284"/>
    </row>
    <row r="56" spans="2:18" hidden="1">
      <c r="B56" s="366"/>
      <c r="C56" s="367"/>
      <c r="D56" s="368">
        <v>0</v>
      </c>
      <c r="E56" s="369">
        <f t="shared" si="0"/>
        <v>0</v>
      </c>
      <c r="F56" s="368"/>
      <c r="G56" s="370">
        <f t="shared" si="1"/>
        <v>0</v>
      </c>
      <c r="H56" s="371"/>
      <c r="I56" s="372"/>
      <c r="J56" s="373">
        <f t="shared" si="3"/>
        <v>0</v>
      </c>
      <c r="K56" s="373"/>
      <c r="L56" s="373">
        <f t="shared" si="5"/>
        <v>0</v>
      </c>
      <c r="M56" s="374">
        <f t="shared" si="6"/>
        <v>0</v>
      </c>
      <c r="O56" s="371"/>
      <c r="Q56" s="284"/>
    </row>
    <row r="57" spans="2:18" hidden="1">
      <c r="B57" s="366"/>
      <c r="C57" s="367"/>
      <c r="D57" s="368">
        <v>0</v>
      </c>
      <c r="E57" s="369">
        <f t="shared" si="0"/>
        <v>0</v>
      </c>
      <c r="F57" s="368"/>
      <c r="G57" s="370">
        <f t="shared" si="1"/>
        <v>0</v>
      </c>
      <c r="H57" s="371"/>
      <c r="I57" s="372"/>
      <c r="J57" s="373">
        <f t="shared" si="3"/>
        <v>0</v>
      </c>
      <c r="K57" s="373"/>
      <c r="L57" s="373">
        <f t="shared" si="5"/>
        <v>0</v>
      </c>
      <c r="M57" s="374">
        <f t="shared" si="6"/>
        <v>0</v>
      </c>
      <c r="O57" s="371"/>
      <c r="Q57" s="284"/>
      <c r="R57" s="376"/>
    </row>
    <row r="58" spans="2:18" ht="12.95" hidden="1" customHeight="1">
      <c r="B58" s="366"/>
      <c r="C58" s="367"/>
      <c r="D58" s="368"/>
      <c r="E58" s="369">
        <f t="shared" si="0"/>
        <v>0</v>
      </c>
      <c r="F58" s="368"/>
      <c r="G58" s="370">
        <f t="shared" si="1"/>
        <v>0</v>
      </c>
      <c r="H58" s="371"/>
      <c r="I58" s="372"/>
      <c r="J58" s="373">
        <f t="shared" si="3"/>
        <v>0</v>
      </c>
      <c r="K58" s="373"/>
      <c r="L58" s="373">
        <f t="shared" si="5"/>
        <v>0</v>
      </c>
      <c r="M58" s="374">
        <f t="shared" si="6"/>
        <v>0</v>
      </c>
      <c r="O58" s="228"/>
      <c r="P58" s="377"/>
    </row>
    <row r="59" spans="2:18" hidden="1">
      <c r="B59" s="366"/>
      <c r="C59" s="367"/>
      <c r="D59" s="368"/>
      <c r="E59" s="369">
        <f t="shared" si="0"/>
        <v>0</v>
      </c>
      <c r="F59" s="368"/>
      <c r="G59" s="370">
        <f t="shared" si="1"/>
        <v>0</v>
      </c>
      <c r="H59" s="371"/>
      <c r="I59" s="372"/>
      <c r="J59" s="373">
        <f t="shared" si="3"/>
        <v>0</v>
      </c>
      <c r="K59" s="373"/>
      <c r="L59" s="373">
        <f t="shared" si="5"/>
        <v>0</v>
      </c>
      <c r="M59" s="374">
        <f t="shared" si="6"/>
        <v>0</v>
      </c>
      <c r="O59" s="228"/>
      <c r="P59" s="377"/>
      <c r="R59" s="378"/>
    </row>
    <row r="60" spans="2:18" hidden="1">
      <c r="B60" s="366"/>
      <c r="C60" s="367"/>
      <c r="D60" s="368"/>
      <c r="E60" s="369">
        <f t="shared" si="0"/>
        <v>0</v>
      </c>
      <c r="F60" s="368"/>
      <c r="G60" s="370">
        <f t="shared" si="1"/>
        <v>0</v>
      </c>
      <c r="H60" s="371"/>
      <c r="I60" s="372"/>
      <c r="J60" s="373">
        <f t="shared" si="3"/>
        <v>0</v>
      </c>
      <c r="K60" s="373"/>
      <c r="L60" s="373">
        <f t="shared" si="5"/>
        <v>0</v>
      </c>
      <c r="M60" s="374">
        <f t="shared" si="6"/>
        <v>0</v>
      </c>
      <c r="O60" s="228"/>
      <c r="P60" s="377"/>
    </row>
    <row r="61" spans="2:18" hidden="1">
      <c r="B61" s="366"/>
      <c r="C61" s="367"/>
      <c r="D61" s="368"/>
      <c r="E61" s="369">
        <f t="shared" si="0"/>
        <v>0</v>
      </c>
      <c r="F61" s="368"/>
      <c r="G61" s="370">
        <f t="shared" si="1"/>
        <v>0</v>
      </c>
      <c r="H61" s="371"/>
      <c r="I61" s="372"/>
      <c r="J61" s="373">
        <f t="shared" si="3"/>
        <v>0</v>
      </c>
      <c r="K61" s="373"/>
      <c r="L61" s="373">
        <f t="shared" si="5"/>
        <v>0</v>
      </c>
      <c r="M61" s="374">
        <f t="shared" si="6"/>
        <v>0</v>
      </c>
      <c r="O61" s="228"/>
      <c r="P61" s="377"/>
    </row>
    <row r="62" spans="2:18" hidden="1">
      <c r="B62" s="366">
        <v>0</v>
      </c>
      <c r="C62" s="379">
        <v>0</v>
      </c>
      <c r="D62" s="380">
        <v>0</v>
      </c>
      <c r="E62" s="381">
        <v>0</v>
      </c>
      <c r="F62" s="380">
        <v>0</v>
      </c>
      <c r="G62" s="370">
        <v>0</v>
      </c>
      <c r="H62" s="373">
        <v>0</v>
      </c>
      <c r="I62" s="372">
        <v>0</v>
      </c>
      <c r="J62" s="373">
        <v>0</v>
      </c>
      <c r="K62" s="373">
        <v>0</v>
      </c>
      <c r="L62" s="373">
        <v>0</v>
      </c>
      <c r="M62" s="374">
        <v>0</v>
      </c>
    </row>
    <row r="63" spans="2:18" hidden="1">
      <c r="B63" s="366">
        <v>0</v>
      </c>
      <c r="C63" s="379">
        <v>0</v>
      </c>
      <c r="D63" s="380">
        <v>0</v>
      </c>
      <c r="E63" s="381">
        <v>0</v>
      </c>
      <c r="F63" s="380">
        <v>0</v>
      </c>
      <c r="G63" s="370">
        <v>0</v>
      </c>
      <c r="H63" s="373">
        <v>0</v>
      </c>
      <c r="I63" s="372">
        <v>0</v>
      </c>
      <c r="J63" s="373">
        <v>0</v>
      </c>
      <c r="K63" s="373">
        <v>0</v>
      </c>
      <c r="L63" s="373">
        <v>0</v>
      </c>
      <c r="M63" s="374">
        <v>0</v>
      </c>
    </row>
    <row r="64" spans="2:18" hidden="1">
      <c r="B64" s="366">
        <v>0</v>
      </c>
      <c r="C64" s="379">
        <v>0</v>
      </c>
      <c r="D64" s="380">
        <v>0</v>
      </c>
      <c r="E64" s="381">
        <v>0</v>
      </c>
      <c r="F64" s="380">
        <v>0</v>
      </c>
      <c r="G64" s="370">
        <v>0</v>
      </c>
      <c r="H64" s="373">
        <v>0</v>
      </c>
      <c r="I64" s="372">
        <v>0</v>
      </c>
      <c r="J64" s="373">
        <v>0</v>
      </c>
      <c r="K64" s="373">
        <v>0</v>
      </c>
      <c r="L64" s="373">
        <v>0</v>
      </c>
      <c r="M64" s="374">
        <v>0</v>
      </c>
    </row>
    <row r="65" spans="2:16" hidden="1">
      <c r="B65" s="366">
        <v>0</v>
      </c>
      <c r="C65" s="379">
        <v>0</v>
      </c>
      <c r="D65" s="380">
        <v>0</v>
      </c>
      <c r="E65" s="381">
        <v>0</v>
      </c>
      <c r="F65" s="380">
        <v>0</v>
      </c>
      <c r="G65" s="370">
        <v>0</v>
      </c>
      <c r="H65" s="373">
        <v>0</v>
      </c>
      <c r="I65" s="372">
        <v>0</v>
      </c>
      <c r="J65" s="373">
        <v>0</v>
      </c>
      <c r="K65" s="373">
        <v>0</v>
      </c>
      <c r="L65" s="373">
        <v>0</v>
      </c>
      <c r="M65" s="374">
        <v>0</v>
      </c>
    </row>
    <row r="66" spans="2:16" hidden="1">
      <c r="B66" s="366">
        <v>0</v>
      </c>
      <c r="C66" s="379">
        <v>0</v>
      </c>
      <c r="D66" s="380">
        <v>0</v>
      </c>
      <c r="E66" s="381">
        <v>0</v>
      </c>
      <c r="F66" s="380">
        <v>0</v>
      </c>
      <c r="G66" s="370">
        <v>0</v>
      </c>
      <c r="H66" s="373">
        <v>0</v>
      </c>
      <c r="I66" s="372">
        <v>0</v>
      </c>
      <c r="J66" s="373">
        <v>0</v>
      </c>
      <c r="K66" s="373">
        <v>0</v>
      </c>
      <c r="L66" s="373">
        <v>0</v>
      </c>
      <c r="M66" s="374">
        <v>0</v>
      </c>
    </row>
    <row r="67" spans="2:16" ht="14.25" thickBot="1">
      <c r="B67" s="382" t="s">
        <v>184</v>
      </c>
      <c r="C67" s="383"/>
      <c r="D67" s="384">
        <f>SUM(D47:D66)</f>
        <v>288</v>
      </c>
      <c r="E67" s="385">
        <f>SUM(E47:E66)</f>
        <v>0.99999999999999989</v>
      </c>
      <c r="F67" s="384">
        <f>+G67/D67</f>
        <v>1020.8333333333334</v>
      </c>
      <c r="G67" s="384">
        <f>SUM(G47:G66)</f>
        <v>294000</v>
      </c>
      <c r="H67" s="386">
        <f>SUMPRODUCT(H47:H66,D47:D66)/D67</f>
        <v>1910.2960416666667</v>
      </c>
      <c r="I67" s="387">
        <f>+H67/F67</f>
        <v>1.8713104081632652</v>
      </c>
      <c r="J67" s="388">
        <f>+H67*12</f>
        <v>22923.552500000002</v>
      </c>
      <c r="K67" s="386">
        <f>SUMPRODUCT(K47:K66,G47:G66)/G67</f>
        <v>22.455724897959186</v>
      </c>
      <c r="L67" s="386">
        <f>SUM(L47:L66)</f>
        <v>550165.26</v>
      </c>
      <c r="M67" s="389">
        <f>SUM(M47:M66)</f>
        <v>6601983.120000001</v>
      </c>
      <c r="P67" s="231"/>
    </row>
    <row r="68" spans="2:16" ht="8.1" customHeight="1" thickTop="1">
      <c r="B68" s="390"/>
      <c r="C68" s="391"/>
      <c r="D68" s="392"/>
      <c r="E68" s="392"/>
      <c r="F68" s="393"/>
      <c r="G68" s="392"/>
      <c r="H68" s="394"/>
      <c r="I68" s="395"/>
      <c r="J68" s="396"/>
      <c r="K68" s="396"/>
    </row>
    <row r="69" spans="2:16">
      <c r="B69" s="352" t="s">
        <v>185</v>
      </c>
      <c r="C69" s="397"/>
      <c r="D69" s="398"/>
      <c r="E69" s="398"/>
      <c r="F69" s="398"/>
      <c r="G69" s="398"/>
      <c r="H69" s="398"/>
      <c r="I69" s="398"/>
      <c r="J69" s="398"/>
      <c r="K69" s="398"/>
      <c r="L69" s="399"/>
      <c r="M69" s="400"/>
    </row>
    <row r="70" spans="2:16" ht="26.25" customHeight="1">
      <c r="B70" s="401" t="s">
        <v>186</v>
      </c>
      <c r="C70" s="402"/>
      <c r="D70" s="402" t="s">
        <v>158</v>
      </c>
      <c r="E70" s="402" t="s">
        <v>187</v>
      </c>
      <c r="F70" s="402" t="s">
        <v>173</v>
      </c>
      <c r="G70" s="402"/>
      <c r="H70" s="402" t="s">
        <v>188</v>
      </c>
      <c r="I70" s="402" t="s">
        <v>189</v>
      </c>
      <c r="J70" s="402" t="s">
        <v>190</v>
      </c>
      <c r="K70" s="402" t="s">
        <v>191</v>
      </c>
      <c r="L70" s="402" t="s">
        <v>192</v>
      </c>
      <c r="M70" s="403" t="s">
        <v>193</v>
      </c>
    </row>
    <row r="71" spans="2:16">
      <c r="B71" s="404" t="s">
        <v>194</v>
      </c>
      <c r="C71" s="180"/>
      <c r="D71" s="380">
        <f>+D67*30%</f>
        <v>86.399999999999991</v>
      </c>
      <c r="E71" s="369">
        <f>+D71/$D$67</f>
        <v>0.3</v>
      </c>
      <c r="F71" s="371">
        <v>27.5</v>
      </c>
      <c r="G71" s="370"/>
      <c r="H71" s="373">
        <f>+E71*F71</f>
        <v>8.25</v>
      </c>
      <c r="I71" s="372">
        <f>IFERROR(F71*E71/$F$67, 0)</f>
        <v>8.0816326530612249E-3</v>
      </c>
      <c r="J71" s="373">
        <f t="shared" ref="J71:K74" si="7">+H71*12</f>
        <v>99</v>
      </c>
      <c r="K71" s="372">
        <f t="shared" si="7"/>
        <v>9.6979591836734699E-2</v>
      </c>
      <c r="L71" s="373">
        <f>+D71*F71</f>
        <v>2375.9999999999995</v>
      </c>
      <c r="M71" s="374">
        <f>+L71*12</f>
        <v>28511.999999999993</v>
      </c>
    </row>
    <row r="72" spans="2:16">
      <c r="B72" s="404" t="s">
        <v>195</v>
      </c>
      <c r="C72" s="180"/>
      <c r="D72" s="368">
        <v>32</v>
      </c>
      <c r="E72" s="369">
        <f>+D72/$D$67</f>
        <v>0.1111111111111111</v>
      </c>
      <c r="F72" s="371">
        <f>150*0.95</f>
        <v>142.5</v>
      </c>
      <c r="G72" s="370"/>
      <c r="H72" s="373">
        <f>+E72*F72</f>
        <v>15.833333333333332</v>
      </c>
      <c r="I72" s="372">
        <f>IFERROR(F72*E72/$F$67, 0)</f>
        <v>1.5510204081632652E-2</v>
      </c>
      <c r="J72" s="373">
        <f t="shared" si="7"/>
        <v>190</v>
      </c>
      <c r="K72" s="372">
        <f t="shared" si="7"/>
        <v>0.18612244897959182</v>
      </c>
      <c r="L72" s="373">
        <f>+D72*F72</f>
        <v>4560</v>
      </c>
      <c r="M72" s="374">
        <f>+L72*12</f>
        <v>54720</v>
      </c>
    </row>
    <row r="73" spans="2:16">
      <c r="B73" s="404" t="s">
        <v>196</v>
      </c>
      <c r="C73" s="180"/>
      <c r="D73" s="368">
        <v>24</v>
      </c>
      <c r="E73" s="369">
        <f>+D73/$D$67</f>
        <v>8.3333333333333329E-2</v>
      </c>
      <c r="F73" s="371">
        <v>50</v>
      </c>
      <c r="G73" s="370"/>
      <c r="H73" s="373">
        <f>+E73*F73</f>
        <v>4.1666666666666661</v>
      </c>
      <c r="I73" s="372">
        <f>IFERROR(F73*E73/$F$67, 0)</f>
        <v>4.081632653061224E-3</v>
      </c>
      <c r="J73" s="373">
        <f t="shared" si="7"/>
        <v>49.999999999999993</v>
      </c>
      <c r="K73" s="372">
        <f t="shared" si="7"/>
        <v>4.8979591836734684E-2</v>
      </c>
      <c r="L73" s="373">
        <f>+D73*F73</f>
        <v>1200</v>
      </c>
      <c r="M73" s="374">
        <f>+L73*12</f>
        <v>14400</v>
      </c>
    </row>
    <row r="74" spans="2:16">
      <c r="B74" s="404" t="s">
        <v>197</v>
      </c>
      <c r="C74" s="180"/>
      <c r="D74" s="380">
        <f>+D67</f>
        <v>288</v>
      </c>
      <c r="E74" s="369">
        <f>+D74/$D$67</f>
        <v>1</v>
      </c>
      <c r="F74" s="371">
        <v>0</v>
      </c>
      <c r="G74" s="370"/>
      <c r="H74" s="373">
        <f>+E74*F74</f>
        <v>0</v>
      </c>
      <c r="I74" s="372">
        <f>IFERROR(F74*E74/$F$67, 0)</f>
        <v>0</v>
      </c>
      <c r="J74" s="373">
        <f t="shared" si="7"/>
        <v>0</v>
      </c>
      <c r="K74" s="372">
        <f t="shared" si="7"/>
        <v>0</v>
      </c>
      <c r="L74" s="373">
        <f>+D74*F74</f>
        <v>0</v>
      </c>
      <c r="M74" s="374">
        <f>+L74*12</f>
        <v>0</v>
      </c>
    </row>
    <row r="75" spans="2:16">
      <c r="B75" s="405" t="s">
        <v>198</v>
      </c>
      <c r="C75" s="406"/>
      <c r="D75" s="407"/>
      <c r="E75" s="408"/>
      <c r="F75" s="407"/>
      <c r="G75" s="409"/>
      <c r="H75" s="410">
        <f t="shared" ref="H75:M75" si="8">SUM(H71:H74)</f>
        <v>28.25</v>
      </c>
      <c r="I75" s="411">
        <f t="shared" si="8"/>
        <v>2.7673469387755101E-2</v>
      </c>
      <c r="J75" s="410">
        <f t="shared" si="8"/>
        <v>339</v>
      </c>
      <c r="K75" s="411">
        <f t="shared" si="8"/>
        <v>0.33208163265306118</v>
      </c>
      <c r="L75" s="410">
        <f t="shared" si="8"/>
        <v>8136</v>
      </c>
      <c r="M75" s="412">
        <f t="shared" si="8"/>
        <v>97632</v>
      </c>
    </row>
    <row r="76" spans="2:16" ht="8.1" customHeight="1">
      <c r="B76" s="404"/>
      <c r="C76" s="180"/>
      <c r="D76" s="413"/>
      <c r="E76" s="414"/>
      <c r="F76" s="415"/>
      <c r="G76" s="416"/>
      <c r="H76" s="415"/>
      <c r="I76" s="417"/>
      <c r="J76" s="415"/>
      <c r="K76" s="418"/>
      <c r="L76" s="415"/>
      <c r="M76" s="419"/>
    </row>
    <row r="77" spans="2:16">
      <c r="B77" s="404" t="s">
        <v>30</v>
      </c>
      <c r="C77" s="180"/>
      <c r="D77" s="380">
        <f>+D67</f>
        <v>288</v>
      </c>
      <c r="E77" s="369">
        <f t="shared" ref="E77:E82" si="9">+D77/$D$67</f>
        <v>1</v>
      </c>
      <c r="F77" s="371">
        <v>65</v>
      </c>
      <c r="G77" s="370"/>
      <c r="H77" s="373">
        <f t="shared" ref="H77:H82" si="10">+E77*F77</f>
        <v>65</v>
      </c>
      <c r="I77" s="372">
        <f t="shared" ref="I77:I82" si="11">IFERROR(F77*E77/$F$67, 0)</f>
        <v>6.3673469387755102E-2</v>
      </c>
      <c r="J77" s="373">
        <f t="shared" ref="J77:K82" si="12">+H77*12</f>
        <v>780</v>
      </c>
      <c r="K77" s="372">
        <f t="shared" si="12"/>
        <v>0.76408163265306128</v>
      </c>
      <c r="L77" s="373">
        <f t="shared" ref="L77:L82" si="13">+D77*F77</f>
        <v>18720</v>
      </c>
      <c r="M77" s="374">
        <f t="shared" ref="M77:M82" si="14">+L77*12</f>
        <v>224640</v>
      </c>
      <c r="O77" s="420"/>
    </row>
    <row r="78" spans="2:16">
      <c r="B78" s="404" t="s">
        <v>199</v>
      </c>
      <c r="C78" s="180"/>
      <c r="D78" s="380">
        <f>+D67*F34</f>
        <v>273.59999999999997</v>
      </c>
      <c r="E78" s="369">
        <f t="shared" si="9"/>
        <v>0.94999999999999984</v>
      </c>
      <c r="F78" s="371">
        <v>85</v>
      </c>
      <c r="G78" s="370"/>
      <c r="H78" s="373">
        <f t="shared" si="10"/>
        <v>80.749999999999986</v>
      </c>
      <c r="I78" s="372">
        <f t="shared" si="11"/>
        <v>7.9102040816326519E-2</v>
      </c>
      <c r="J78" s="373">
        <f t="shared" si="12"/>
        <v>968.99999999999977</v>
      </c>
      <c r="K78" s="372">
        <f t="shared" si="12"/>
        <v>0.94922448979591822</v>
      </c>
      <c r="L78" s="373">
        <f t="shared" si="13"/>
        <v>23255.999999999996</v>
      </c>
      <c r="M78" s="374">
        <f t="shared" si="14"/>
        <v>279071.99999999994</v>
      </c>
      <c r="O78" s="420"/>
    </row>
    <row r="79" spans="2:16">
      <c r="B79" s="404" t="s">
        <v>200</v>
      </c>
      <c r="C79" s="180"/>
      <c r="D79" s="380">
        <f>+D67*F34</f>
        <v>273.59999999999997</v>
      </c>
      <c r="E79" s="369">
        <f t="shared" si="9"/>
        <v>0.94999999999999984</v>
      </c>
      <c r="F79" s="371">
        <v>30</v>
      </c>
      <c r="G79" s="370"/>
      <c r="H79" s="373">
        <f t="shared" si="10"/>
        <v>28.499999999999996</v>
      </c>
      <c r="I79" s="372">
        <f t="shared" si="11"/>
        <v>2.7918367346938772E-2</v>
      </c>
      <c r="J79" s="373">
        <f t="shared" si="12"/>
        <v>341.99999999999994</v>
      </c>
      <c r="K79" s="372">
        <f t="shared" si="12"/>
        <v>0.33502040816326528</v>
      </c>
      <c r="L79" s="373">
        <f t="shared" si="13"/>
        <v>8207.9999999999982</v>
      </c>
      <c r="M79" s="374">
        <f t="shared" si="14"/>
        <v>98495.999999999971</v>
      </c>
      <c r="O79" s="420"/>
    </row>
    <row r="80" spans="2:16">
      <c r="B80" s="404" t="s">
        <v>201</v>
      </c>
      <c r="C80" s="180"/>
      <c r="D80" s="380">
        <f>+D67*65%</f>
        <v>187.20000000000002</v>
      </c>
      <c r="E80" s="369">
        <f t="shared" si="9"/>
        <v>0.65</v>
      </c>
      <c r="F80" s="371">
        <v>27</v>
      </c>
      <c r="G80" s="370"/>
      <c r="H80" s="373">
        <f t="shared" si="10"/>
        <v>17.55</v>
      </c>
      <c r="I80" s="372">
        <f t="shared" si="11"/>
        <v>1.7191836734693877E-2</v>
      </c>
      <c r="J80" s="373">
        <f t="shared" si="12"/>
        <v>210.60000000000002</v>
      </c>
      <c r="K80" s="372">
        <f t="shared" si="12"/>
        <v>0.20630204081632653</v>
      </c>
      <c r="L80" s="373">
        <f t="shared" si="13"/>
        <v>5054.4000000000005</v>
      </c>
      <c r="M80" s="374">
        <f t="shared" si="14"/>
        <v>60652.800000000003</v>
      </c>
    </row>
    <row r="81" spans="2:15">
      <c r="B81" s="404" t="s">
        <v>202</v>
      </c>
      <c r="C81" s="180"/>
      <c r="D81" s="380">
        <f>+D67</f>
        <v>288</v>
      </c>
      <c r="E81" s="369">
        <f t="shared" si="9"/>
        <v>1</v>
      </c>
      <c r="F81" s="371">
        <v>5</v>
      </c>
      <c r="G81" s="370"/>
      <c r="H81" s="373">
        <f t="shared" si="10"/>
        <v>5</v>
      </c>
      <c r="I81" s="372">
        <f t="shared" si="11"/>
        <v>4.8979591836734691E-3</v>
      </c>
      <c r="J81" s="373">
        <f t="shared" si="12"/>
        <v>60</v>
      </c>
      <c r="K81" s="372">
        <f t="shared" si="12"/>
        <v>5.877551020408163E-2</v>
      </c>
      <c r="L81" s="373">
        <f t="shared" si="13"/>
        <v>1440</v>
      </c>
      <c r="M81" s="374">
        <f t="shared" si="14"/>
        <v>17280</v>
      </c>
    </row>
    <row r="82" spans="2:15">
      <c r="B82" s="404" t="s">
        <v>203</v>
      </c>
      <c r="C82" s="180"/>
      <c r="D82" s="380">
        <f>+D67</f>
        <v>288</v>
      </c>
      <c r="E82" s="369">
        <f t="shared" si="9"/>
        <v>1</v>
      </c>
      <c r="F82" s="371">
        <v>2.4375</v>
      </c>
      <c r="G82" s="370"/>
      <c r="H82" s="373">
        <f t="shared" si="10"/>
        <v>2.4375</v>
      </c>
      <c r="I82" s="372">
        <f t="shared" si="11"/>
        <v>2.3877551020408164E-3</v>
      </c>
      <c r="J82" s="373">
        <f t="shared" si="12"/>
        <v>29.25</v>
      </c>
      <c r="K82" s="372">
        <f t="shared" si="12"/>
        <v>2.8653061224489795E-2</v>
      </c>
      <c r="L82" s="373">
        <f t="shared" si="13"/>
        <v>702</v>
      </c>
      <c r="M82" s="374">
        <f t="shared" si="14"/>
        <v>8424</v>
      </c>
    </row>
    <row r="83" spans="2:15">
      <c r="B83" s="405" t="s">
        <v>204</v>
      </c>
      <c r="C83" s="406"/>
      <c r="D83" s="407"/>
      <c r="E83" s="421"/>
      <c r="F83" s="407"/>
      <c r="G83" s="409"/>
      <c r="H83" s="410">
        <f t="shared" ref="H83:M83" si="15">SUM(H77:H82)</f>
        <v>199.23750000000001</v>
      </c>
      <c r="I83" s="411">
        <f t="shared" si="15"/>
        <v>0.19517142857142858</v>
      </c>
      <c r="J83" s="410">
        <f t="shared" si="15"/>
        <v>2390.8499999999995</v>
      </c>
      <c r="K83" s="411">
        <f t="shared" si="15"/>
        <v>2.3420571428571426</v>
      </c>
      <c r="L83" s="410">
        <f t="shared" si="15"/>
        <v>57380.4</v>
      </c>
      <c r="M83" s="412">
        <f t="shared" si="15"/>
        <v>688564.79999999993</v>
      </c>
    </row>
    <row r="84" spans="2:15" ht="8.1" customHeight="1">
      <c r="B84" s="405"/>
      <c r="C84" s="406"/>
      <c r="D84" s="422"/>
      <c r="E84" s="423"/>
      <c r="F84" s="424"/>
      <c r="G84" s="425"/>
      <c r="H84" s="424"/>
      <c r="I84" s="426"/>
      <c r="J84" s="424"/>
      <c r="K84" s="427"/>
      <c r="L84" s="424"/>
      <c r="M84" s="428"/>
    </row>
    <row r="85" spans="2:15">
      <c r="B85" s="405" t="s">
        <v>205</v>
      </c>
      <c r="C85" s="406"/>
      <c r="D85" s="407">
        <f>+D67</f>
        <v>288</v>
      </c>
      <c r="E85" s="408">
        <f>+D85/$D$67</f>
        <v>1</v>
      </c>
      <c r="F85" s="429">
        <v>7</v>
      </c>
      <c r="G85" s="409"/>
      <c r="H85" s="410">
        <f>+E85*F85</f>
        <v>7</v>
      </c>
      <c r="I85" s="411">
        <f>IFERROR(F85*E85/$F$67, 0)</f>
        <v>6.8571428571428568E-3</v>
      </c>
      <c r="J85" s="410">
        <f>+H85*12</f>
        <v>84</v>
      </c>
      <c r="K85" s="411">
        <f>+I85*12</f>
        <v>8.2285714285714281E-2</v>
      </c>
      <c r="L85" s="410">
        <f>+D85*F85</f>
        <v>2016</v>
      </c>
      <c r="M85" s="412">
        <f>+L85*12</f>
        <v>24192</v>
      </c>
    </row>
    <row r="86" spans="2:15" ht="8.1" customHeight="1">
      <c r="B86" s="430"/>
      <c r="C86" s="431"/>
      <c r="D86" s="432"/>
      <c r="E86" s="433"/>
      <c r="F86" s="434"/>
      <c r="G86" s="435"/>
      <c r="H86" s="434"/>
      <c r="I86" s="436"/>
      <c r="J86" s="434"/>
      <c r="K86" s="437"/>
      <c r="L86" s="434"/>
      <c r="M86" s="438"/>
      <c r="O86" s="206"/>
    </row>
    <row r="87" spans="2:15" ht="14.25" thickBot="1">
      <c r="B87" s="382" t="s">
        <v>206</v>
      </c>
      <c r="C87" s="383"/>
      <c r="D87" s="384"/>
      <c r="E87" s="439"/>
      <c r="F87" s="384"/>
      <c r="G87" s="440"/>
      <c r="H87" s="388">
        <f t="shared" ref="H87:M87" si="16">SUM(H75,H83,H85)</f>
        <v>234.48750000000001</v>
      </c>
      <c r="I87" s="387">
        <f t="shared" si="16"/>
        <v>0.22970204081632656</v>
      </c>
      <c r="J87" s="388">
        <f t="shared" si="16"/>
        <v>2813.8499999999995</v>
      </c>
      <c r="K87" s="387">
        <f t="shared" si="16"/>
        <v>2.756424489795918</v>
      </c>
      <c r="L87" s="388">
        <f t="shared" si="16"/>
        <v>67532.399999999994</v>
      </c>
      <c r="M87" s="441">
        <f t="shared" si="16"/>
        <v>810388.79999999993</v>
      </c>
    </row>
    <row r="88" spans="2:15" ht="8.1" customHeight="1" thickTop="1">
      <c r="B88" s="442"/>
      <c r="C88" s="431"/>
      <c r="D88" s="432"/>
      <c r="E88" s="433"/>
      <c r="F88" s="434"/>
      <c r="G88" s="435"/>
      <c r="H88" s="434"/>
      <c r="I88" s="436"/>
      <c r="J88" s="434"/>
      <c r="K88" s="443"/>
      <c r="L88" s="434"/>
      <c r="M88" s="434"/>
    </row>
    <row r="89" spans="2:15" ht="14.25" thickBot="1">
      <c r="B89" s="444" t="s">
        <v>207</v>
      </c>
      <c r="C89" s="383"/>
      <c r="D89" s="384"/>
      <c r="E89" s="439"/>
      <c r="F89" s="384"/>
      <c r="G89" s="440"/>
      <c r="H89" s="388">
        <f t="shared" ref="H89:M89" si="17">H67+H87</f>
        <v>2144.7835416666667</v>
      </c>
      <c r="I89" s="387">
        <f t="shared" si="17"/>
        <v>2.1010124489795916</v>
      </c>
      <c r="J89" s="388">
        <f t="shared" si="17"/>
        <v>25737.4025</v>
      </c>
      <c r="K89" s="388">
        <f t="shared" si="17"/>
        <v>25.212149387755105</v>
      </c>
      <c r="L89" s="388">
        <f t="shared" si="17"/>
        <v>617697.66</v>
      </c>
      <c r="M89" s="388">
        <f t="shared" si="17"/>
        <v>7412371.9200000009</v>
      </c>
    </row>
    <row r="90" spans="2:15" ht="8.1" customHeight="1" thickTop="1">
      <c r="B90" s="442"/>
      <c r="C90" s="431"/>
      <c r="D90" s="432"/>
      <c r="E90" s="433"/>
      <c r="F90" s="434"/>
      <c r="G90" s="435"/>
      <c r="H90" s="434"/>
      <c r="I90" s="436"/>
      <c r="J90" s="434"/>
      <c r="K90" s="443"/>
      <c r="L90" s="434"/>
      <c r="M90" s="434"/>
    </row>
    <row r="94" spans="2:15" ht="14.25" thickBot="1">
      <c r="B94" s="192" t="s">
        <v>208</v>
      </c>
      <c r="C94" s="192"/>
      <c r="D94" s="192"/>
      <c r="E94" s="192"/>
      <c r="F94" s="192"/>
      <c r="G94" s="192"/>
      <c r="H94" s="192"/>
      <c r="I94" s="192"/>
      <c r="J94" s="192"/>
      <c r="K94" s="192"/>
      <c r="L94" s="192"/>
      <c r="M94" s="192"/>
    </row>
    <row r="95" spans="2:15">
      <c r="B95" s="445"/>
      <c r="C95" s="446"/>
      <c r="D95" s="446"/>
      <c r="E95" s="446"/>
      <c r="F95" s="446"/>
      <c r="G95" s="446"/>
      <c r="H95" s="446"/>
    </row>
    <row r="96" spans="2:15" ht="14.25" thickBot="1">
      <c r="B96" s="447" t="s">
        <v>209</v>
      </c>
      <c r="C96" s="448"/>
      <c r="D96" s="448"/>
      <c r="E96" s="448"/>
      <c r="F96" s="448"/>
      <c r="G96" s="448"/>
      <c r="H96" s="448"/>
      <c r="I96" s="448"/>
      <c r="J96" s="448"/>
      <c r="K96" s="448"/>
      <c r="L96" s="448"/>
      <c r="M96" s="449"/>
    </row>
    <row r="97" spans="2:21" ht="27.75" thickBot="1">
      <c r="B97" s="450" t="s">
        <v>210</v>
      </c>
      <c r="C97" s="451"/>
      <c r="D97" s="451"/>
      <c r="E97" s="451"/>
      <c r="F97" s="451"/>
      <c r="G97" s="451"/>
      <c r="H97" s="451" t="s">
        <v>211</v>
      </c>
      <c r="I97" s="451" t="s">
        <v>212</v>
      </c>
      <c r="J97" s="451" t="s">
        <v>213</v>
      </c>
      <c r="K97" s="451" t="s">
        <v>214</v>
      </c>
      <c r="L97" s="451" t="s">
        <v>192</v>
      </c>
      <c r="M97" s="452" t="s">
        <v>193</v>
      </c>
      <c r="O97" s="453"/>
    </row>
    <row r="98" spans="2:21">
      <c r="B98" s="404" t="s">
        <v>26</v>
      </c>
      <c r="C98" s="415"/>
      <c r="D98" s="415"/>
      <c r="E98" s="415"/>
      <c r="F98" s="415"/>
      <c r="G98" s="415"/>
      <c r="H98" s="415">
        <f t="shared" ref="H98:H104" si="18">J98/12</f>
        <v>139.4615162037037</v>
      </c>
      <c r="I98" s="454">
        <f>+H98/Detail!$F$67</f>
        <v>0.13661536281179137</v>
      </c>
      <c r="J98" s="415">
        <f>+M98/Detail!$D$67</f>
        <v>1673.5381944444443</v>
      </c>
      <c r="K98" s="454">
        <f>+J98/Detail!$F$67</f>
        <v>1.6393843537414965</v>
      </c>
      <c r="L98" s="455">
        <f t="shared" ref="L98:L104" si="19">M98/12</f>
        <v>40164.916666666664</v>
      </c>
      <c r="M98" s="456">
        <v>481979</v>
      </c>
      <c r="O98" s="453"/>
      <c r="P98" s="326"/>
      <c r="Q98" s="302"/>
    </row>
    <row r="99" spans="2:21">
      <c r="B99" s="404" t="s">
        <v>30</v>
      </c>
      <c r="C99" s="415"/>
      <c r="D99" s="415"/>
      <c r="E99" s="415"/>
      <c r="F99" s="415"/>
      <c r="G99" s="415"/>
      <c r="H99" s="415">
        <f t="shared" si="18"/>
        <v>161.4459005376344</v>
      </c>
      <c r="I99" s="454">
        <f>+H99/Detail!$F$67</f>
        <v>0.15815108624094798</v>
      </c>
      <c r="J99" s="457">
        <v>1937.3508064516129</v>
      </c>
      <c r="K99" s="454">
        <f>+J99/Detail!$F$67</f>
        <v>1.8978130348913758</v>
      </c>
      <c r="L99" s="455">
        <f t="shared" si="19"/>
        <v>46496.419354838705</v>
      </c>
      <c r="M99" s="458">
        <f>J99*Detail!$D$67</f>
        <v>557957.03225806449</v>
      </c>
      <c r="O99" s="453"/>
      <c r="P99" s="326"/>
      <c r="Q99" s="302"/>
    </row>
    <row r="100" spans="2:21">
      <c r="B100" s="404" t="s">
        <v>35</v>
      </c>
      <c r="C100" s="415"/>
      <c r="D100" s="415"/>
      <c r="E100" s="415"/>
      <c r="F100" s="415"/>
      <c r="G100" s="415"/>
      <c r="H100" s="415">
        <f t="shared" si="18"/>
        <v>8.7210648148148149</v>
      </c>
      <c r="I100" s="454">
        <f>+H100/Detail!$F$67</f>
        <v>8.5430839002267576E-3</v>
      </c>
      <c r="J100" s="415">
        <f>+M100/Detail!$D$67</f>
        <v>104.65277777777777</v>
      </c>
      <c r="K100" s="454">
        <f>+J100/Detail!$F$67</f>
        <v>0.10251700680272108</v>
      </c>
      <c r="L100" s="455">
        <f t="shared" si="19"/>
        <v>2511.6666666666665</v>
      </c>
      <c r="M100" s="456">
        <v>30140</v>
      </c>
      <c r="O100" s="453"/>
      <c r="P100" s="326"/>
      <c r="Q100" s="302"/>
      <c r="U100" s="326"/>
    </row>
    <row r="101" spans="2:21">
      <c r="B101" s="404" t="s">
        <v>73</v>
      </c>
      <c r="C101" s="415"/>
      <c r="D101" s="415"/>
      <c r="E101" s="415"/>
      <c r="F101" s="415"/>
      <c r="G101" s="415"/>
      <c r="H101" s="415">
        <f t="shared" si="18"/>
        <v>43.919270833333336</v>
      </c>
      <c r="I101" s="454">
        <f>+H101/Detail!$F$67</f>
        <v>4.3022959183673472E-2</v>
      </c>
      <c r="J101" s="457">
        <v>527.03125</v>
      </c>
      <c r="K101" s="454">
        <f>+J101/Detail!$F$67</f>
        <v>0.51627551020408158</v>
      </c>
      <c r="L101" s="455">
        <f t="shared" si="19"/>
        <v>12648.75</v>
      </c>
      <c r="M101" s="458">
        <f>J101*Detail!$D$67</f>
        <v>151785</v>
      </c>
      <c r="O101" s="453"/>
      <c r="P101" s="326"/>
      <c r="Q101" s="302"/>
    </row>
    <row r="102" spans="2:21">
      <c r="B102" s="404" t="s">
        <v>28</v>
      </c>
      <c r="C102" s="415"/>
      <c r="D102" s="415"/>
      <c r="E102" s="415"/>
      <c r="F102" s="415"/>
      <c r="G102" s="415"/>
      <c r="H102" s="415">
        <f t="shared" si="18"/>
        <v>47.531539351851848</v>
      </c>
      <c r="I102" s="454">
        <f>+H102/Detail!$F$67</f>
        <v>4.6561507936507929E-2</v>
      </c>
      <c r="J102" s="457">
        <v>570.37847222222217</v>
      </c>
      <c r="K102" s="454">
        <f>+J102/Detail!$F$67</f>
        <v>0.55873809523809514</v>
      </c>
      <c r="L102" s="455">
        <f t="shared" si="19"/>
        <v>13689.083333333334</v>
      </c>
      <c r="M102" s="458">
        <f>J102*Detail!$D$67</f>
        <v>164269</v>
      </c>
      <c r="O102" s="453"/>
      <c r="P102" s="326"/>
      <c r="Q102" s="302"/>
    </row>
    <row r="103" spans="2:21">
      <c r="B103" s="404" t="s">
        <v>32</v>
      </c>
      <c r="C103" s="415"/>
      <c r="D103" s="415"/>
      <c r="E103" s="415"/>
      <c r="F103" s="415"/>
      <c r="G103" s="415"/>
      <c r="H103" s="415">
        <f t="shared" si="18"/>
        <v>15</v>
      </c>
      <c r="I103" s="454">
        <f>+H103/Detail!$F$67</f>
        <v>1.4693877551020407E-2</v>
      </c>
      <c r="J103" s="457">
        <v>180</v>
      </c>
      <c r="K103" s="454">
        <f>+J103/Detail!$F$67</f>
        <v>0.1763265306122449</v>
      </c>
      <c r="L103" s="455">
        <f t="shared" si="19"/>
        <v>4320</v>
      </c>
      <c r="M103" s="458">
        <f>J103*Detail!$D$67</f>
        <v>51840</v>
      </c>
      <c r="O103" s="459"/>
      <c r="P103" s="326"/>
      <c r="Q103" s="302"/>
    </row>
    <row r="104" spans="2:21">
      <c r="B104" s="404" t="s">
        <v>74</v>
      </c>
      <c r="C104" s="415"/>
      <c r="D104" s="415"/>
      <c r="E104" s="415"/>
      <c r="F104" s="415"/>
      <c r="G104" s="415"/>
      <c r="H104" s="415">
        <f t="shared" si="18"/>
        <v>39.583333333333336</v>
      </c>
      <c r="I104" s="454">
        <f>+H104/Detail!$F$67</f>
        <v>3.8775510204081633E-2</v>
      </c>
      <c r="J104" s="457">
        <v>475</v>
      </c>
      <c r="K104" s="454">
        <f>+J104/Detail!$F$67</f>
        <v>0.46530612244897956</v>
      </c>
      <c r="L104" s="455">
        <f t="shared" si="19"/>
        <v>11400</v>
      </c>
      <c r="M104" s="458">
        <f>J104*Detail!$D$67</f>
        <v>136800</v>
      </c>
      <c r="O104" s="453"/>
      <c r="P104" s="326"/>
      <c r="Q104" s="302"/>
    </row>
    <row r="105" spans="2:21">
      <c r="B105" s="460" t="s">
        <v>215</v>
      </c>
      <c r="C105" s="461"/>
      <c r="D105" s="461"/>
      <c r="E105" s="461"/>
      <c r="F105" s="461"/>
      <c r="G105" s="461"/>
      <c r="H105" s="461">
        <f t="shared" ref="H105:M105" si="20">SUM(H98:H104)</f>
        <v>455.66262507467144</v>
      </c>
      <c r="I105" s="462">
        <f t="shared" si="20"/>
        <v>0.44636338782824958</v>
      </c>
      <c r="J105" s="461">
        <f t="shared" si="20"/>
        <v>5467.951500896057</v>
      </c>
      <c r="K105" s="462">
        <f t="shared" si="20"/>
        <v>5.356360653938995</v>
      </c>
      <c r="L105" s="461">
        <f t="shared" si="20"/>
        <v>131230.83602150535</v>
      </c>
      <c r="M105" s="463">
        <f t="shared" si="20"/>
        <v>1574770.0322580645</v>
      </c>
      <c r="O105" s="453"/>
    </row>
    <row r="106" spans="2:21">
      <c r="B106" s="240"/>
      <c r="M106" s="305"/>
      <c r="O106" s="453"/>
    </row>
    <row r="107" spans="2:21">
      <c r="B107" s="464">
        <f>L128</f>
        <v>2.75E-2</v>
      </c>
      <c r="C107" s="415"/>
      <c r="D107" s="415"/>
      <c r="E107" s="415"/>
      <c r="F107" s="415"/>
      <c r="G107" s="415"/>
      <c r="H107" s="415">
        <f>J107/12</f>
        <v>55.010267279652936</v>
      </c>
      <c r="I107" s="454">
        <f>+H107/Detail!$F$67</f>
        <v>5.388760876374165E-2</v>
      </c>
      <c r="J107" s="415">
        <f>+M107/Detail!$D$67</f>
        <v>660.12320735583523</v>
      </c>
      <c r="K107" s="454">
        <f>+J107/Detail!$F$67</f>
        <v>0.64665130516489977</v>
      </c>
      <c r="L107" s="455">
        <f>M107/12</f>
        <v>15842.956976540045</v>
      </c>
      <c r="M107" s="419">
        <f>M128</f>
        <v>190115.48371848054</v>
      </c>
      <c r="O107" s="453"/>
    </row>
    <row r="108" spans="2:21">
      <c r="B108" s="464" t="s">
        <v>38</v>
      </c>
      <c r="C108" s="415"/>
      <c r="D108" s="415"/>
      <c r="E108" s="415"/>
      <c r="F108" s="415"/>
      <c r="G108" s="415"/>
      <c r="H108" s="415">
        <f>J108/12</f>
        <v>4.239583333333333</v>
      </c>
      <c r="I108" s="454">
        <f>+H108/Detail!$F$67</f>
        <v>4.1530612244897952E-3</v>
      </c>
      <c r="J108" s="415">
        <f>+M108/Detail!$D$67</f>
        <v>50.875</v>
      </c>
      <c r="K108" s="454">
        <f>+J108/Detail!$F$67</f>
        <v>4.9836734693877546E-2</v>
      </c>
      <c r="L108" s="455">
        <f>M108/12</f>
        <v>1221</v>
      </c>
      <c r="M108" s="456">
        <v>14652</v>
      </c>
      <c r="O108" s="453"/>
    </row>
    <row r="109" spans="2:21">
      <c r="B109" s="404" t="s">
        <v>76</v>
      </c>
      <c r="C109" s="415"/>
      <c r="D109" s="415"/>
      <c r="E109" s="415"/>
      <c r="F109" s="415"/>
      <c r="G109" s="415"/>
      <c r="H109" s="415">
        <f>J109/12</f>
        <v>87.5</v>
      </c>
      <c r="I109" s="454">
        <f>+H109/Detail!$F$67</f>
        <v>8.5714285714285715E-2</v>
      </c>
      <c r="J109" s="457">
        <v>1050</v>
      </c>
      <c r="K109" s="454">
        <f>+J109/Detail!$F$67</f>
        <v>1.0285714285714285</v>
      </c>
      <c r="L109" s="455">
        <f>M109/12</f>
        <v>25200</v>
      </c>
      <c r="M109" s="458">
        <f>J109*Detail!$D$67</f>
        <v>302400</v>
      </c>
      <c r="O109" s="453"/>
      <c r="P109" s="453"/>
    </row>
    <row r="110" spans="2:21">
      <c r="B110" s="404" t="s">
        <v>77</v>
      </c>
      <c r="C110" s="415"/>
      <c r="D110" s="415"/>
      <c r="E110" s="415"/>
      <c r="F110" s="415"/>
      <c r="G110" s="415"/>
      <c r="H110" s="415">
        <f>J110/12</f>
        <v>209.25835937500005</v>
      </c>
      <c r="I110" s="454">
        <f>+H110/Detail!$F$67</f>
        <v>0.20498778061224496</v>
      </c>
      <c r="J110" s="415">
        <f>+M110/Detail!$D$67</f>
        <v>2511.1003125000007</v>
      </c>
      <c r="K110" s="454">
        <f>+J110/Detail!$F$67</f>
        <v>2.4598533673469394</v>
      </c>
      <c r="L110" s="455">
        <f>M110/12</f>
        <v>60266.407500000008</v>
      </c>
      <c r="M110" s="458">
        <f>M136</f>
        <v>723196.89000000013</v>
      </c>
      <c r="O110" s="453"/>
      <c r="P110" s="453"/>
    </row>
    <row r="111" spans="2:21">
      <c r="B111" s="460" t="s">
        <v>216</v>
      </c>
      <c r="C111" s="461"/>
      <c r="D111" s="461"/>
      <c r="E111" s="461"/>
      <c r="F111" s="461"/>
      <c r="G111" s="461"/>
      <c r="H111" s="461">
        <f t="shared" ref="H111:M111" si="21">SUM(H107:H110)</f>
        <v>356.00820998798633</v>
      </c>
      <c r="I111" s="462">
        <f t="shared" si="21"/>
        <v>0.34874273631476216</v>
      </c>
      <c r="J111" s="434">
        <f t="shared" si="21"/>
        <v>4272.0985198558355</v>
      </c>
      <c r="K111" s="462">
        <f t="shared" si="21"/>
        <v>4.184912835777145</v>
      </c>
      <c r="L111" s="461">
        <f t="shared" si="21"/>
        <v>102530.36447654005</v>
      </c>
      <c r="M111" s="463">
        <f t="shared" si="21"/>
        <v>1230364.3737184806</v>
      </c>
      <c r="O111" s="453"/>
    </row>
    <row r="112" spans="2:21">
      <c r="B112" s="240" t="s">
        <v>41</v>
      </c>
      <c r="C112" s="415"/>
      <c r="D112" s="415"/>
      <c r="E112" s="415"/>
      <c r="F112" s="415"/>
      <c r="G112" s="415"/>
      <c r="H112" s="415">
        <f>J112/12</f>
        <v>16.666666666666668</v>
      </c>
      <c r="I112" s="454">
        <f>+H112/Detail!$F$67</f>
        <v>1.6326530612244899E-2</v>
      </c>
      <c r="J112" s="457">
        <v>200</v>
      </c>
      <c r="K112" s="454">
        <f>+J112/Detail!$F$67</f>
        <v>0.19591836734693877</v>
      </c>
      <c r="L112" s="455">
        <f>M112/12</f>
        <v>4800</v>
      </c>
      <c r="M112" s="458">
        <f>J112*Detail!$D$67</f>
        <v>57600</v>
      </c>
      <c r="O112" s="453"/>
    </row>
    <row r="113" spans="2:16" ht="14.25" thickBot="1">
      <c r="B113" s="465" t="s">
        <v>217</v>
      </c>
      <c r="C113" s="466"/>
      <c r="D113" s="466"/>
      <c r="E113" s="466"/>
      <c r="F113" s="466"/>
      <c r="G113" s="466"/>
      <c r="H113" s="466">
        <f t="shared" ref="H113:M113" si="22">SUM(H112, H111, H105)</f>
        <v>828.33750172932446</v>
      </c>
      <c r="I113" s="467">
        <f t="shared" si="22"/>
        <v>0.81143265475525661</v>
      </c>
      <c r="J113" s="466">
        <f t="shared" si="22"/>
        <v>9940.0500207518926</v>
      </c>
      <c r="K113" s="467">
        <f t="shared" si="22"/>
        <v>9.7371918570630775</v>
      </c>
      <c r="L113" s="466">
        <f t="shared" si="22"/>
        <v>238561.20049804542</v>
      </c>
      <c r="M113" s="468">
        <f t="shared" si="22"/>
        <v>2862734.4059765451</v>
      </c>
    </row>
    <row r="115" spans="2:16">
      <c r="B115" s="469" t="s">
        <v>218</v>
      </c>
      <c r="C115" s="470"/>
      <c r="D115" s="470"/>
      <c r="E115" s="470"/>
      <c r="F115" s="470"/>
      <c r="G115" s="470"/>
      <c r="H115" s="470"/>
      <c r="I115" s="470"/>
      <c r="J115" s="471"/>
      <c r="K115" s="469" t="s">
        <v>219</v>
      </c>
      <c r="L115" s="470"/>
      <c r="M115" s="472"/>
    </row>
    <row r="116" spans="2:16">
      <c r="B116" s="473" t="s">
        <v>220</v>
      </c>
      <c r="C116" s="474"/>
      <c r="D116" s="474"/>
      <c r="E116" s="474"/>
      <c r="F116" s="474" t="s">
        <v>221</v>
      </c>
      <c r="G116" s="474" t="s">
        <v>222</v>
      </c>
      <c r="H116" s="474" t="s">
        <v>223</v>
      </c>
      <c r="I116" s="474" t="s">
        <v>224</v>
      </c>
      <c r="J116" s="475" t="s">
        <v>65</v>
      </c>
      <c r="K116" s="473" t="s">
        <v>225</v>
      </c>
      <c r="L116" s="474" t="s">
        <v>65</v>
      </c>
      <c r="M116" s="475" t="s">
        <v>226</v>
      </c>
    </row>
    <row r="117" spans="2:16">
      <c r="B117" s="240" t="s">
        <v>227</v>
      </c>
      <c r="C117" s="457"/>
      <c r="D117" s="457"/>
      <c r="E117" s="457"/>
      <c r="F117" s="457">
        <v>0</v>
      </c>
      <c r="G117" s="457">
        <v>0</v>
      </c>
      <c r="H117" s="457">
        <v>0</v>
      </c>
      <c r="I117" s="457">
        <v>0</v>
      </c>
      <c r="J117" s="419">
        <f t="shared" ref="J117:J124" si="23">SUM(F117:I117)</f>
        <v>0</v>
      </c>
      <c r="K117" s="248" t="s">
        <v>228</v>
      </c>
      <c r="L117" s="476">
        <v>0</v>
      </c>
      <c r="M117" s="477">
        <v>0</v>
      </c>
      <c r="O117" s="326"/>
    </row>
    <row r="118" spans="2:16">
      <c r="B118" s="240" t="s">
        <v>229</v>
      </c>
      <c r="C118" s="457"/>
      <c r="D118" s="457"/>
      <c r="E118" s="457"/>
      <c r="F118" s="457">
        <v>0</v>
      </c>
      <c r="G118" s="457">
        <v>0</v>
      </c>
      <c r="H118" s="457">
        <v>0</v>
      </c>
      <c r="I118" s="457">
        <v>0</v>
      </c>
      <c r="J118" s="419">
        <f t="shared" si="23"/>
        <v>0</v>
      </c>
      <c r="K118" s="240" t="s">
        <v>230</v>
      </c>
      <c r="L118" s="457">
        <v>0</v>
      </c>
      <c r="M118" s="478">
        <v>0</v>
      </c>
    </row>
    <row r="119" spans="2:16">
      <c r="B119" s="240" t="s">
        <v>231</v>
      </c>
      <c r="C119" s="457"/>
      <c r="D119" s="457"/>
      <c r="E119" s="457"/>
      <c r="F119" s="457">
        <v>0</v>
      </c>
      <c r="G119" s="457">
        <v>0</v>
      </c>
      <c r="H119" s="457">
        <v>0</v>
      </c>
      <c r="I119" s="457">
        <v>0</v>
      </c>
      <c r="J119" s="419">
        <f t="shared" si="23"/>
        <v>0</v>
      </c>
      <c r="K119" s="240" t="s">
        <v>232</v>
      </c>
      <c r="L119" s="457">
        <v>0</v>
      </c>
      <c r="M119" s="478">
        <v>0</v>
      </c>
    </row>
    <row r="120" spans="2:16">
      <c r="B120" s="240" t="s">
        <v>231</v>
      </c>
      <c r="C120" s="457"/>
      <c r="D120" s="457"/>
      <c r="E120" s="457"/>
      <c r="F120" s="457">
        <v>0</v>
      </c>
      <c r="G120" s="457">
        <v>0</v>
      </c>
      <c r="H120" s="457">
        <v>0</v>
      </c>
      <c r="I120" s="457">
        <v>0</v>
      </c>
      <c r="J120" s="419">
        <f t="shared" si="23"/>
        <v>0</v>
      </c>
      <c r="K120" s="240" t="s">
        <v>233</v>
      </c>
      <c r="L120" s="457">
        <v>0</v>
      </c>
      <c r="M120" s="478">
        <v>0</v>
      </c>
      <c r="O120" s="326"/>
    </row>
    <row r="121" spans="2:16">
      <c r="B121" s="240" t="s">
        <v>234</v>
      </c>
      <c r="C121" s="457"/>
      <c r="D121" s="457"/>
      <c r="E121" s="457"/>
      <c r="F121" s="457">
        <v>0</v>
      </c>
      <c r="G121" s="457">
        <v>0</v>
      </c>
      <c r="H121" s="457">
        <v>0</v>
      </c>
      <c r="I121" s="457">
        <v>0</v>
      </c>
      <c r="J121" s="419">
        <f t="shared" si="23"/>
        <v>0</v>
      </c>
      <c r="K121" s="240" t="s">
        <v>235</v>
      </c>
      <c r="L121" s="457">
        <v>0</v>
      </c>
      <c r="M121" s="478">
        <v>0</v>
      </c>
    </row>
    <row r="122" spans="2:16">
      <c r="B122" s="240" t="s">
        <v>236</v>
      </c>
      <c r="C122" s="457"/>
      <c r="D122" s="457"/>
      <c r="E122" s="457"/>
      <c r="F122" s="457">
        <v>0</v>
      </c>
      <c r="G122" s="457">
        <v>0</v>
      </c>
      <c r="H122" s="457">
        <v>0</v>
      </c>
      <c r="I122" s="457">
        <v>0</v>
      </c>
      <c r="J122" s="419">
        <f t="shared" si="23"/>
        <v>0</v>
      </c>
      <c r="K122" s="240" t="s">
        <v>237</v>
      </c>
      <c r="L122" s="457">
        <v>0</v>
      </c>
      <c r="M122" s="478">
        <v>0</v>
      </c>
    </row>
    <row r="123" spans="2:16">
      <c r="B123" s="240" t="s">
        <v>236</v>
      </c>
      <c r="C123" s="457"/>
      <c r="D123" s="457"/>
      <c r="E123" s="457"/>
      <c r="F123" s="457">
        <v>0</v>
      </c>
      <c r="G123" s="457">
        <v>0</v>
      </c>
      <c r="H123" s="457">
        <v>0</v>
      </c>
      <c r="I123" s="457">
        <v>0</v>
      </c>
      <c r="J123" s="419">
        <f t="shared" si="23"/>
        <v>0</v>
      </c>
      <c r="K123" s="240" t="s">
        <v>238</v>
      </c>
      <c r="L123" s="457">
        <v>0</v>
      </c>
      <c r="M123" s="478">
        <v>0</v>
      </c>
    </row>
    <row r="124" spans="2:16">
      <c r="B124" s="240" t="s">
        <v>239</v>
      </c>
      <c r="C124" s="457"/>
      <c r="D124" s="457"/>
      <c r="E124" s="457"/>
      <c r="F124" s="479">
        <v>0</v>
      </c>
      <c r="G124" s="479">
        <v>0</v>
      </c>
      <c r="H124" s="479">
        <v>0</v>
      </c>
      <c r="I124" s="479">
        <v>0</v>
      </c>
      <c r="J124" s="480">
        <f t="shared" si="23"/>
        <v>0</v>
      </c>
      <c r="K124" s="240" t="s">
        <v>240</v>
      </c>
      <c r="L124" s="457">
        <v>0</v>
      </c>
      <c r="M124" s="478">
        <f>L124/$C$8</f>
        <v>0</v>
      </c>
    </row>
    <row r="125" spans="2:16" ht="14.25" thickBot="1">
      <c r="B125" s="465" t="s">
        <v>241</v>
      </c>
      <c r="C125" s="481"/>
      <c r="D125" s="481"/>
      <c r="E125" s="481"/>
      <c r="F125" s="482">
        <f>SUM(F117:F124)</f>
        <v>0</v>
      </c>
      <c r="G125" s="482">
        <f>SUM(G117:G124)</f>
        <v>0</v>
      </c>
      <c r="H125" s="482">
        <f>SUM(H117:H124)</f>
        <v>0</v>
      </c>
      <c r="I125" s="483">
        <f>SUM(I117:I124)</f>
        <v>0</v>
      </c>
      <c r="J125" s="484">
        <f>SUM(J117:J124)</f>
        <v>0</v>
      </c>
      <c r="K125" s="465" t="s">
        <v>242</v>
      </c>
      <c r="L125" s="485">
        <f>SUM(L117:L124)</f>
        <v>0</v>
      </c>
      <c r="M125" s="486">
        <v>0</v>
      </c>
      <c r="O125" s="326"/>
      <c r="P125" s="302"/>
    </row>
    <row r="126" spans="2:16">
      <c r="B126" s="487" t="s">
        <v>243</v>
      </c>
      <c r="C126" s="488"/>
      <c r="D126" s="206"/>
      <c r="E126" s="206"/>
      <c r="F126" s="260"/>
      <c r="L126" s="469" t="s">
        <v>244</v>
      </c>
      <c r="M126" s="489"/>
    </row>
    <row r="127" spans="2:16">
      <c r="B127" s="473" t="s">
        <v>225</v>
      </c>
      <c r="C127" s="475" t="s">
        <v>65</v>
      </c>
      <c r="D127" s="299"/>
      <c r="E127" s="197"/>
      <c r="F127" s="357"/>
      <c r="L127" s="248" t="s">
        <v>245</v>
      </c>
      <c r="M127" s="490"/>
    </row>
    <row r="128" spans="2:16" ht="14.25" thickBot="1">
      <c r="B128" s="240" t="s">
        <v>246</v>
      </c>
      <c r="C128" s="456">
        <v>0</v>
      </c>
      <c r="D128" s="299"/>
      <c r="F128" s="457"/>
      <c r="G128" s="326"/>
      <c r="L128" s="491">
        <v>2.75E-2</v>
      </c>
      <c r="M128" s="492">
        <f>L128*P_L!E20</f>
        <v>190115.48371848054</v>
      </c>
    </row>
    <row r="129" spans="2:16">
      <c r="B129" s="240" t="s">
        <v>247</v>
      </c>
      <c r="C129" s="456">
        <v>0</v>
      </c>
      <c r="D129" s="299"/>
      <c r="F129" s="457"/>
      <c r="G129" s="302"/>
      <c r="L129" s="493" t="s">
        <v>248</v>
      </c>
      <c r="M129" s="494"/>
    </row>
    <row r="130" spans="2:16" ht="14.25" thickBot="1">
      <c r="B130" s="240" t="s">
        <v>249</v>
      </c>
      <c r="C130" s="456">
        <v>0</v>
      </c>
      <c r="D130" s="299"/>
      <c r="F130" s="457"/>
      <c r="L130" s="495" t="s">
        <v>250</v>
      </c>
      <c r="M130" s="496"/>
    </row>
    <row r="131" spans="2:16">
      <c r="B131" s="240" t="s">
        <v>237</v>
      </c>
      <c r="C131" s="456">
        <v>0</v>
      </c>
      <c r="D131" s="299"/>
      <c r="F131" s="457"/>
      <c r="L131" s="493" t="s">
        <v>251</v>
      </c>
      <c r="M131" s="494"/>
      <c r="O131" s="206"/>
      <c r="P131" s="260"/>
    </row>
    <row r="132" spans="2:16">
      <c r="B132" s="240" t="s">
        <v>252</v>
      </c>
      <c r="C132" s="456">
        <v>0</v>
      </c>
      <c r="D132" s="299"/>
      <c r="E132" s="206"/>
      <c r="F132" s="415"/>
      <c r="L132" s="240" t="s">
        <v>253</v>
      </c>
      <c r="M132" s="497">
        <v>44796014.351634376</v>
      </c>
      <c r="P132" s="435"/>
    </row>
    <row r="133" spans="2:16">
      <c r="B133" s="240" t="s">
        <v>254</v>
      </c>
      <c r="C133" s="456">
        <v>0</v>
      </c>
      <c r="D133" s="299"/>
      <c r="E133" s="206"/>
      <c r="F133" s="260"/>
      <c r="L133" s="240" t="s">
        <v>255</v>
      </c>
      <c r="M133" s="498">
        <v>1</v>
      </c>
      <c r="P133" s="499"/>
    </row>
    <row r="134" spans="2:16">
      <c r="B134" s="240" t="s">
        <v>256</v>
      </c>
      <c r="C134" s="456">
        <v>0</v>
      </c>
      <c r="D134" s="299"/>
      <c r="E134" s="197"/>
      <c r="F134" s="357"/>
      <c r="L134" s="240" t="s">
        <v>257</v>
      </c>
      <c r="M134" s="500">
        <v>1.6816899999999999E-2</v>
      </c>
      <c r="P134" s="501"/>
    </row>
    <row r="135" spans="2:16">
      <c r="B135" s="240" t="s">
        <v>258</v>
      </c>
      <c r="C135" s="456">
        <v>0</v>
      </c>
      <c r="D135" s="299"/>
      <c r="F135" s="457"/>
      <c r="L135" s="266" t="s">
        <v>259</v>
      </c>
      <c r="M135" s="502">
        <v>0.04</v>
      </c>
      <c r="P135" s="499"/>
    </row>
    <row r="136" spans="2:16" ht="14.25" thickBot="1">
      <c r="B136" s="240" t="s">
        <v>260</v>
      </c>
      <c r="C136" s="456">
        <v>0</v>
      </c>
      <c r="D136" s="299"/>
      <c r="F136" s="457"/>
      <c r="L136" s="495" t="s">
        <v>261</v>
      </c>
      <c r="M136" s="503">
        <f>M132*M133*M134*(1-M135)</f>
        <v>723196.89000000013</v>
      </c>
      <c r="O136" s="206"/>
      <c r="P136" s="326"/>
    </row>
    <row r="137" spans="2:16">
      <c r="B137" s="240" t="s">
        <v>262</v>
      </c>
      <c r="C137" s="456">
        <v>0</v>
      </c>
      <c r="D137" s="299"/>
      <c r="F137" s="457"/>
      <c r="M137" s="305"/>
    </row>
    <row r="138" spans="2:16">
      <c r="B138" s="240" t="s">
        <v>263</v>
      </c>
      <c r="C138" s="456">
        <v>0</v>
      </c>
      <c r="D138" s="299"/>
      <c r="F138" s="457"/>
      <c r="L138" s="469" t="s">
        <v>264</v>
      </c>
      <c r="M138" s="489"/>
      <c r="P138" s="326"/>
    </row>
    <row r="139" spans="2:16" ht="14.25" thickBot="1">
      <c r="B139" s="465" t="s">
        <v>265</v>
      </c>
      <c r="C139" s="504">
        <f>SUM(C128:C138)</f>
        <v>0</v>
      </c>
      <c r="D139" s="505"/>
      <c r="E139" s="206"/>
      <c r="F139" s="415"/>
      <c r="L139" s="495" t="s">
        <v>266</v>
      </c>
      <c r="M139" s="503">
        <f>M112</f>
        <v>57600</v>
      </c>
    </row>
    <row r="140" spans="2:16">
      <c r="C140" s="506"/>
      <c r="D140" s="507"/>
      <c r="F140" s="506"/>
      <c r="G140" s="299"/>
    </row>
    <row r="141" spans="2:16" ht="14.25" thickBot="1">
      <c r="B141" s="291" t="s">
        <v>267</v>
      </c>
      <c r="C141" s="320"/>
      <c r="D141" s="320"/>
      <c r="E141" s="320"/>
      <c r="F141" s="320"/>
      <c r="G141" s="320"/>
      <c r="H141" s="320"/>
      <c r="I141" s="320"/>
      <c r="J141" s="320"/>
      <c r="K141" s="320"/>
      <c r="L141" s="320"/>
      <c r="M141" s="508">
        <v>46388</v>
      </c>
    </row>
    <row r="142" spans="2:16" ht="14.25" thickBot="1">
      <c r="B142" s="509" t="s">
        <v>268</v>
      </c>
      <c r="C142" s="510"/>
      <c r="D142" s="511">
        <v>1</v>
      </c>
      <c r="E142" s="511">
        <f>D142+1</f>
        <v>2</v>
      </c>
      <c r="F142" s="511">
        <f>E142+1</f>
        <v>3</v>
      </c>
      <c r="G142" s="511">
        <f t="shared" ref="G142:M142" si="24">F142+1</f>
        <v>4</v>
      </c>
      <c r="H142" s="511">
        <f t="shared" si="24"/>
        <v>5</v>
      </c>
      <c r="I142" s="511">
        <f t="shared" si="24"/>
        <v>6</v>
      </c>
      <c r="J142" s="511">
        <f t="shared" si="24"/>
        <v>7</v>
      </c>
      <c r="K142" s="511">
        <f t="shared" si="24"/>
        <v>8</v>
      </c>
      <c r="L142" s="511">
        <f t="shared" si="24"/>
        <v>9</v>
      </c>
      <c r="M142" s="512">
        <f t="shared" si="24"/>
        <v>10</v>
      </c>
    </row>
    <row r="143" spans="2:16">
      <c r="B143" s="240" t="s">
        <v>269</v>
      </c>
      <c r="D143" s="279">
        <f>Sensitivity!$N$5</f>
        <v>0.03</v>
      </c>
      <c r="E143" s="279">
        <f>D143</f>
        <v>0.03</v>
      </c>
      <c r="F143" s="279">
        <f t="shared" ref="F143:M143" si="25">E143</f>
        <v>0.03</v>
      </c>
      <c r="G143" s="279">
        <f t="shared" si="25"/>
        <v>0.03</v>
      </c>
      <c r="H143" s="279">
        <f t="shared" si="25"/>
        <v>0.03</v>
      </c>
      <c r="I143" s="279">
        <f t="shared" si="25"/>
        <v>0.03</v>
      </c>
      <c r="J143" s="279">
        <f t="shared" si="25"/>
        <v>0.03</v>
      </c>
      <c r="K143" s="279">
        <f t="shared" si="25"/>
        <v>0.03</v>
      </c>
      <c r="L143" s="279">
        <f t="shared" si="25"/>
        <v>0.03</v>
      </c>
      <c r="M143" s="310">
        <f t="shared" si="25"/>
        <v>0.03</v>
      </c>
    </row>
    <row r="144" spans="2:16">
      <c r="B144" s="240" t="s">
        <v>270</v>
      </c>
      <c r="D144" s="279">
        <f>Sensitivity!$N$5</f>
        <v>0.03</v>
      </c>
      <c r="E144" s="279">
        <f t="shared" ref="E144:M149" si="26">D144</f>
        <v>0.03</v>
      </c>
      <c r="F144" s="279">
        <f t="shared" si="26"/>
        <v>0.03</v>
      </c>
      <c r="G144" s="279">
        <f t="shared" si="26"/>
        <v>0.03</v>
      </c>
      <c r="H144" s="279">
        <f t="shared" si="26"/>
        <v>0.03</v>
      </c>
      <c r="I144" s="279">
        <f t="shared" si="26"/>
        <v>0.03</v>
      </c>
      <c r="J144" s="279">
        <f t="shared" si="26"/>
        <v>0.03</v>
      </c>
      <c r="K144" s="279">
        <f t="shared" si="26"/>
        <v>0.03</v>
      </c>
      <c r="L144" s="279">
        <f t="shared" si="26"/>
        <v>0.03</v>
      </c>
      <c r="M144" s="310">
        <f t="shared" si="26"/>
        <v>0.03</v>
      </c>
    </row>
    <row r="145" spans="2:13">
      <c r="B145" s="240" t="s">
        <v>271</v>
      </c>
      <c r="D145" s="279">
        <f>Sensitivity!$N$6</f>
        <v>0.02</v>
      </c>
      <c r="E145" s="279">
        <f t="shared" si="26"/>
        <v>0.02</v>
      </c>
      <c r="F145" s="279">
        <f t="shared" si="26"/>
        <v>0.02</v>
      </c>
      <c r="G145" s="279">
        <f t="shared" si="26"/>
        <v>0.02</v>
      </c>
      <c r="H145" s="279">
        <f t="shared" si="26"/>
        <v>0.02</v>
      </c>
      <c r="I145" s="279">
        <f t="shared" si="26"/>
        <v>0.02</v>
      </c>
      <c r="J145" s="279">
        <f t="shared" si="26"/>
        <v>0.02</v>
      </c>
      <c r="K145" s="279">
        <f t="shared" si="26"/>
        <v>0.02</v>
      </c>
      <c r="L145" s="279">
        <f t="shared" si="26"/>
        <v>0.02</v>
      </c>
      <c r="M145" s="310">
        <f t="shared" si="26"/>
        <v>0.02</v>
      </c>
    </row>
    <row r="146" spans="2:13">
      <c r="B146" s="240" t="s">
        <v>272</v>
      </c>
      <c r="D146" s="279">
        <f>Sensitivity!$N$6</f>
        <v>0.02</v>
      </c>
      <c r="E146" s="279">
        <f t="shared" si="26"/>
        <v>0.02</v>
      </c>
      <c r="F146" s="279">
        <f t="shared" si="26"/>
        <v>0.02</v>
      </c>
      <c r="G146" s="279">
        <f t="shared" si="26"/>
        <v>0.02</v>
      </c>
      <c r="H146" s="279">
        <f t="shared" si="26"/>
        <v>0.02</v>
      </c>
      <c r="I146" s="279">
        <f t="shared" si="26"/>
        <v>0.02</v>
      </c>
      <c r="J146" s="279">
        <f t="shared" si="26"/>
        <v>0.02</v>
      </c>
      <c r="K146" s="279">
        <f t="shared" si="26"/>
        <v>0.02</v>
      </c>
      <c r="L146" s="279">
        <f t="shared" si="26"/>
        <v>0.02</v>
      </c>
      <c r="M146" s="310">
        <f t="shared" si="26"/>
        <v>0.02</v>
      </c>
    </row>
    <row r="147" spans="2:13">
      <c r="B147" s="240" t="s">
        <v>273</v>
      </c>
      <c r="D147" s="279">
        <f>Sensitivity!$N$6</f>
        <v>0.02</v>
      </c>
      <c r="E147" s="279">
        <f t="shared" si="26"/>
        <v>0.02</v>
      </c>
      <c r="F147" s="279">
        <f t="shared" si="26"/>
        <v>0.02</v>
      </c>
      <c r="G147" s="279">
        <f t="shared" si="26"/>
        <v>0.02</v>
      </c>
      <c r="H147" s="279">
        <f t="shared" si="26"/>
        <v>0.02</v>
      </c>
      <c r="I147" s="279">
        <f t="shared" si="26"/>
        <v>0.02</v>
      </c>
      <c r="J147" s="279">
        <f t="shared" si="26"/>
        <v>0.02</v>
      </c>
      <c r="K147" s="279">
        <f t="shared" si="26"/>
        <v>0.02</v>
      </c>
      <c r="L147" s="279">
        <f t="shared" si="26"/>
        <v>0.02</v>
      </c>
      <c r="M147" s="310">
        <f t="shared" si="26"/>
        <v>0.02</v>
      </c>
    </row>
    <row r="148" spans="2:13">
      <c r="B148" s="240" t="s">
        <v>274</v>
      </c>
      <c r="D148" s="279">
        <f>Sensitivity!$N$6</f>
        <v>0.02</v>
      </c>
      <c r="E148" s="279">
        <f t="shared" si="26"/>
        <v>0.02</v>
      </c>
      <c r="F148" s="279">
        <f t="shared" si="26"/>
        <v>0.02</v>
      </c>
      <c r="G148" s="279">
        <f t="shared" si="26"/>
        <v>0.02</v>
      </c>
      <c r="H148" s="279">
        <f t="shared" si="26"/>
        <v>0.02</v>
      </c>
      <c r="I148" s="279">
        <f t="shared" si="26"/>
        <v>0.02</v>
      </c>
      <c r="J148" s="279">
        <f t="shared" si="26"/>
        <v>0.02</v>
      </c>
      <c r="K148" s="279">
        <f t="shared" si="26"/>
        <v>0.02</v>
      </c>
      <c r="L148" s="279">
        <f t="shared" si="26"/>
        <v>0.02</v>
      </c>
      <c r="M148" s="310">
        <f t="shared" si="26"/>
        <v>0.02</v>
      </c>
    </row>
    <row r="149" spans="2:13">
      <c r="B149" s="240" t="s">
        <v>41</v>
      </c>
      <c r="D149" s="279">
        <f>Sensitivity!$N$6</f>
        <v>0.02</v>
      </c>
      <c r="E149" s="279">
        <f t="shared" si="26"/>
        <v>0.02</v>
      </c>
      <c r="F149" s="279">
        <f t="shared" si="26"/>
        <v>0.02</v>
      </c>
      <c r="G149" s="279">
        <f t="shared" si="26"/>
        <v>0.02</v>
      </c>
      <c r="H149" s="279">
        <f t="shared" si="26"/>
        <v>0.02</v>
      </c>
      <c r="I149" s="279">
        <f t="shared" si="26"/>
        <v>0.02</v>
      </c>
      <c r="J149" s="279">
        <f t="shared" si="26"/>
        <v>0.02</v>
      </c>
      <c r="K149" s="279">
        <f t="shared" si="26"/>
        <v>0.02</v>
      </c>
      <c r="L149" s="279">
        <f t="shared" si="26"/>
        <v>0.02</v>
      </c>
      <c r="M149" s="310">
        <f t="shared" si="26"/>
        <v>0.02</v>
      </c>
    </row>
    <row r="150" spans="2:13">
      <c r="B150" s="240"/>
      <c r="D150" s="279"/>
      <c r="E150" s="279"/>
      <c r="F150" s="279"/>
      <c r="G150" s="279"/>
      <c r="H150" s="279"/>
      <c r="I150" s="279"/>
      <c r="J150" s="279"/>
      <c r="K150" s="279"/>
      <c r="L150" s="279"/>
      <c r="M150" s="310"/>
    </row>
    <row r="151" spans="2:13">
      <c r="B151" s="240" t="s">
        <v>275</v>
      </c>
      <c r="D151" s="279">
        <v>0</v>
      </c>
      <c r="E151" s="279">
        <v>0</v>
      </c>
      <c r="F151" s="279">
        <v>0</v>
      </c>
      <c r="G151" s="279">
        <v>0</v>
      </c>
      <c r="H151" s="279">
        <v>0</v>
      </c>
      <c r="I151" s="279">
        <v>0</v>
      </c>
      <c r="J151" s="279">
        <v>0</v>
      </c>
      <c r="K151" s="279">
        <v>0</v>
      </c>
      <c r="L151" s="279">
        <v>0</v>
      </c>
      <c r="M151" s="310">
        <v>0</v>
      </c>
    </row>
    <row r="152" spans="2:13" ht="14.25" thickBot="1">
      <c r="B152" s="513" t="s">
        <v>271</v>
      </c>
      <c r="C152" s="514"/>
      <c r="D152" s="515">
        <v>0</v>
      </c>
      <c r="E152" s="515">
        <v>0</v>
      </c>
      <c r="F152" s="515">
        <v>0</v>
      </c>
      <c r="G152" s="515">
        <v>0</v>
      </c>
      <c r="H152" s="515">
        <v>0</v>
      </c>
      <c r="I152" s="515">
        <v>0</v>
      </c>
      <c r="J152" s="515">
        <v>0</v>
      </c>
      <c r="K152" s="515">
        <v>0</v>
      </c>
      <c r="L152" s="515">
        <v>0</v>
      </c>
      <c r="M152" s="516">
        <v>0</v>
      </c>
    </row>
  </sheetData>
  <mergeCells count="6">
    <mergeCell ref="AB33:AD33"/>
    <mergeCell ref="AK33:AM33"/>
    <mergeCell ref="AB39:AD39"/>
    <mergeCell ref="AK39:AM39"/>
    <mergeCell ref="B45:C45"/>
    <mergeCell ref="L45:M45"/>
  </mergeCells>
  <dataValidations disablePrompts="1" count="1">
    <dataValidation type="list" allowBlank="1" showInputMessage="1" showErrorMessage="1" sqref="E21" xr:uid="{40C48BF8-119A-4CFA-8ED1-BCEF355296D6}">
      <formula1>"YES,NO"</formula1>
    </dataValidation>
  </dataValidations>
  <printOptions horizontalCentered="1"/>
  <pageMargins left="0.25" right="0.25" top="0.3" bottom="0.3" header="0.3" footer="0.3"/>
  <pageSetup paperSize="3" scale="70" orientation="landscape" r:id="rId1"/>
  <ignoredErrors>
    <ignoredError sqref="J98:L111 H111:I11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51B02-75D1-478F-9E8E-E25AF017C837}">
  <sheetPr>
    <tabColor rgb="FFFFC000"/>
  </sheetPr>
  <dimension ref="A1:GE186"/>
  <sheetViews>
    <sheetView showGridLines="0" topLeftCell="A2" zoomScaleNormal="100" zoomScaleSheetLayoutView="80" workbookViewId="0">
      <pane xSplit="2" topLeftCell="C1" activePane="topRight" state="frozen"/>
      <selection pane="topRight" activeCell="A2" sqref="A2"/>
    </sheetView>
  </sheetViews>
  <sheetFormatPr defaultColWidth="9.140625" defaultRowHeight="10.9" customHeight="1" outlineLevelRow="2" outlineLevelCol="1"/>
  <cols>
    <col min="1" max="1" width="1.7109375" style="517" customWidth="1"/>
    <col min="2" max="2" width="37.28515625" style="517" bestFit="1" customWidth="1"/>
    <col min="3" max="3" width="15" style="517" customWidth="1"/>
    <col min="4" max="4" width="12.7109375" style="517" customWidth="1" outlineLevel="1"/>
    <col min="5" max="8" width="12.42578125" style="517" customWidth="1" outlineLevel="1"/>
    <col min="9" max="16" width="12.42578125" style="517" customWidth="1"/>
    <col min="17" max="17" width="12" style="517" bestFit="1" customWidth="1"/>
    <col min="18" max="18" width="12.42578125" style="517" customWidth="1"/>
    <col min="19" max="20" width="12" style="517" bestFit="1" customWidth="1"/>
    <col min="21" max="175" width="12" style="517" customWidth="1"/>
    <col min="176" max="177" width="12.140625" style="517" customWidth="1"/>
    <col min="178" max="180" width="13" style="517" customWidth="1"/>
    <col min="181" max="181" width="14.28515625" style="517" bestFit="1" customWidth="1"/>
    <col min="182" max="182" width="20" style="517" bestFit="1" customWidth="1"/>
    <col min="183" max="183" width="19.140625" style="517" bestFit="1" customWidth="1"/>
    <col min="184" max="184" width="14.42578125" style="517" bestFit="1" customWidth="1"/>
    <col min="185" max="185" width="9.140625" style="517"/>
    <col min="186" max="186" width="17.7109375" style="517" bestFit="1" customWidth="1"/>
    <col min="187" max="16384" width="9.140625" style="517"/>
  </cols>
  <sheetData>
    <row r="1" spans="2:180" ht="13.5" hidden="1" outlineLevel="1">
      <c r="E1" s="518">
        <v>3</v>
      </c>
      <c r="F1" s="518">
        <v>10</v>
      </c>
      <c r="G1" s="518">
        <v>10</v>
      </c>
      <c r="H1" s="519">
        <v>15</v>
      </c>
      <c r="I1" s="518">
        <v>15</v>
      </c>
      <c r="J1" s="520">
        <v>25</v>
      </c>
      <c r="K1" s="520">
        <v>25</v>
      </c>
      <c r="L1" s="520">
        <v>25</v>
      </c>
      <c r="M1" s="520">
        <v>25</v>
      </c>
      <c r="N1" s="520">
        <v>33</v>
      </c>
      <c r="O1" s="520">
        <v>27</v>
      </c>
      <c r="P1" s="520">
        <v>27</v>
      </c>
      <c r="Q1" s="520">
        <v>15</v>
      </c>
      <c r="R1" s="520">
        <v>8</v>
      </c>
      <c r="S1" s="520">
        <v>5</v>
      </c>
      <c r="T1" s="520">
        <v>5</v>
      </c>
      <c r="U1" s="520">
        <v>15</v>
      </c>
      <c r="V1" s="518">
        <v>20</v>
      </c>
      <c r="W1" s="518">
        <v>20</v>
      </c>
      <c r="X1" s="518">
        <v>18</v>
      </c>
      <c r="Y1" s="521"/>
    </row>
    <row r="2" spans="2:180" ht="13.5" collapsed="1">
      <c r="B2" s="522" t="s">
        <v>276</v>
      </c>
      <c r="C2" s="523"/>
      <c r="D2" s="523"/>
      <c r="E2" s="524"/>
      <c r="F2" s="523"/>
      <c r="G2" s="523"/>
      <c r="H2" s="523"/>
      <c r="I2" s="523"/>
      <c r="J2" s="523"/>
      <c r="K2" s="523"/>
      <c r="L2" s="523"/>
      <c r="M2" s="523"/>
      <c r="N2" s="523"/>
      <c r="O2" s="523"/>
      <c r="P2" s="523"/>
      <c r="Q2" s="523"/>
      <c r="R2" s="523"/>
      <c r="S2" s="523"/>
      <c r="T2" s="523"/>
      <c r="U2" s="523"/>
      <c r="V2" s="523"/>
      <c r="W2" s="523"/>
      <c r="X2" s="523"/>
      <c r="Y2" s="523"/>
      <c r="Z2" s="523"/>
      <c r="AA2" s="523"/>
      <c r="AB2" s="523"/>
      <c r="AC2" s="523"/>
      <c r="AD2" s="523"/>
      <c r="AE2" s="523"/>
      <c r="AF2" s="523"/>
      <c r="AG2" s="523"/>
      <c r="AH2" s="523"/>
      <c r="AI2" s="523"/>
      <c r="AJ2" s="523"/>
      <c r="AK2" s="523"/>
      <c r="AL2" s="523"/>
      <c r="AM2" s="523"/>
      <c r="AN2" s="523"/>
      <c r="AO2" s="523"/>
      <c r="AP2" s="523"/>
      <c r="AQ2" s="523"/>
      <c r="AR2" s="523"/>
      <c r="AS2" s="523"/>
      <c r="AT2" s="523"/>
      <c r="AU2" s="523"/>
      <c r="AV2" s="523"/>
      <c r="AW2" s="523"/>
      <c r="AX2" s="523"/>
      <c r="AY2" s="523"/>
      <c r="AZ2" s="523"/>
      <c r="BA2" s="523"/>
      <c r="BB2" s="523"/>
      <c r="BC2" s="523"/>
      <c r="BD2" s="523"/>
      <c r="BE2" s="523"/>
      <c r="BF2" s="523"/>
      <c r="BG2" s="523"/>
      <c r="BH2" s="523"/>
      <c r="BI2" s="523"/>
      <c r="BJ2" s="523"/>
      <c r="BK2" s="523"/>
      <c r="BL2" s="523"/>
      <c r="BM2" s="523"/>
      <c r="BN2" s="523"/>
      <c r="BO2" s="523"/>
      <c r="BP2" s="523"/>
      <c r="BQ2" s="523"/>
      <c r="BR2" s="523"/>
      <c r="BS2" s="523"/>
      <c r="BT2" s="523"/>
      <c r="BU2" s="523"/>
      <c r="BV2" s="523"/>
      <c r="BW2" s="523"/>
      <c r="BX2" s="523"/>
      <c r="BY2" s="523"/>
      <c r="BZ2" s="523"/>
      <c r="CA2" s="523"/>
      <c r="CB2" s="523"/>
      <c r="CC2" s="523"/>
      <c r="CD2" s="523"/>
      <c r="CE2" s="523"/>
      <c r="CF2" s="523"/>
      <c r="CG2" s="523"/>
      <c r="CH2" s="523"/>
      <c r="CI2" s="523"/>
      <c r="CJ2" s="523"/>
      <c r="CK2" s="523"/>
      <c r="CL2" s="523"/>
      <c r="CM2" s="523"/>
      <c r="CN2" s="523"/>
      <c r="CO2" s="523"/>
      <c r="CP2" s="523"/>
      <c r="CQ2" s="523"/>
      <c r="CR2" s="523"/>
      <c r="CS2" s="523"/>
      <c r="CT2" s="523"/>
      <c r="CU2" s="523"/>
      <c r="CV2" s="523"/>
      <c r="CW2" s="523"/>
      <c r="CX2" s="523"/>
      <c r="CY2" s="523"/>
      <c r="CZ2" s="523"/>
      <c r="DA2" s="523"/>
      <c r="DB2" s="523"/>
      <c r="DC2" s="523"/>
      <c r="DD2" s="523"/>
      <c r="DE2" s="523"/>
      <c r="DF2" s="523"/>
      <c r="DG2" s="523"/>
      <c r="DH2" s="523"/>
      <c r="DI2" s="523"/>
      <c r="DJ2" s="523"/>
      <c r="DK2" s="523"/>
      <c r="DL2" s="523"/>
      <c r="DM2" s="523"/>
      <c r="DN2" s="523"/>
      <c r="DO2" s="523"/>
      <c r="DP2" s="523"/>
      <c r="DQ2" s="523"/>
      <c r="DR2" s="523"/>
      <c r="DS2" s="523"/>
      <c r="DT2" s="523"/>
      <c r="DU2" s="523"/>
      <c r="DV2" s="523"/>
      <c r="DW2" s="523"/>
      <c r="DX2" s="523"/>
      <c r="DY2" s="523"/>
      <c r="DZ2" s="523"/>
      <c r="EA2" s="523"/>
      <c r="EB2" s="523"/>
      <c r="EC2" s="523"/>
      <c r="ED2" s="523"/>
      <c r="EE2" s="523"/>
      <c r="EF2" s="523"/>
      <c r="EG2" s="523"/>
      <c r="EH2" s="523"/>
      <c r="EI2" s="523"/>
      <c r="EJ2" s="523"/>
      <c r="EK2" s="523"/>
      <c r="EL2" s="523"/>
      <c r="EM2" s="523"/>
      <c r="EN2" s="523"/>
      <c r="EO2" s="523"/>
      <c r="EP2" s="523"/>
      <c r="EQ2" s="523"/>
      <c r="ER2" s="523"/>
      <c r="ES2" s="523"/>
      <c r="ET2" s="523"/>
      <c r="EU2" s="523"/>
      <c r="EV2" s="523"/>
      <c r="EW2" s="523"/>
      <c r="EX2" s="523"/>
      <c r="EY2" s="523"/>
      <c r="EZ2" s="523"/>
      <c r="FA2" s="523"/>
      <c r="FB2" s="523"/>
      <c r="FC2" s="523"/>
      <c r="FD2" s="523"/>
      <c r="FE2" s="523"/>
      <c r="FF2" s="523"/>
      <c r="FG2" s="523"/>
      <c r="FH2" s="523"/>
      <c r="FI2" s="523"/>
      <c r="FJ2" s="523"/>
      <c r="FK2" s="523"/>
      <c r="FL2" s="523"/>
      <c r="FM2" s="523"/>
      <c r="FN2" s="523"/>
      <c r="FO2" s="523"/>
      <c r="FP2" s="523"/>
      <c r="FQ2" s="523"/>
      <c r="FR2" s="523"/>
      <c r="FS2" s="523"/>
      <c r="FT2" s="525" t="str">
        <f>Detail!C6</f>
        <v>Sentosa Epperson</v>
      </c>
      <c r="FU2" s="526"/>
      <c r="FV2" s="526"/>
      <c r="FW2" s="526"/>
      <c r="FX2" s="526"/>
    </row>
    <row r="3" spans="2:180" ht="13.9" customHeight="1">
      <c r="E3" s="527"/>
      <c r="F3" s="527"/>
      <c r="G3" s="527"/>
      <c r="H3" s="527"/>
      <c r="I3" s="527"/>
      <c r="J3" s="527"/>
      <c r="K3" s="527"/>
      <c r="L3" s="527"/>
      <c r="M3" s="527"/>
      <c r="N3" s="527"/>
      <c r="O3" s="527"/>
      <c r="P3" s="527"/>
      <c r="Q3" s="527"/>
      <c r="R3" s="527"/>
      <c r="S3" s="527"/>
      <c r="T3" s="527"/>
      <c r="U3" s="527"/>
      <c r="V3" s="527"/>
      <c r="W3" s="527"/>
      <c r="X3" s="527"/>
      <c r="Y3" s="527"/>
      <c r="Z3" s="527"/>
      <c r="AA3" s="527"/>
      <c r="AB3" s="527"/>
      <c r="AC3" s="527"/>
      <c r="AD3" s="527"/>
      <c r="AE3" s="527"/>
      <c r="AF3" s="527"/>
      <c r="AG3" s="527"/>
      <c r="AH3" s="527"/>
      <c r="AI3" s="527"/>
      <c r="AJ3" s="527"/>
      <c r="AK3" s="527"/>
      <c r="AL3" s="527"/>
      <c r="AM3" s="527"/>
      <c r="AN3" s="527"/>
      <c r="AO3" s="527"/>
      <c r="AP3" s="527"/>
      <c r="AQ3" s="527"/>
      <c r="AR3" s="527"/>
      <c r="AS3" s="527"/>
      <c r="AT3" s="527"/>
      <c r="AU3" s="527"/>
      <c r="AV3" s="527"/>
      <c r="AW3" s="527"/>
      <c r="AX3" s="527"/>
      <c r="AY3" s="527"/>
      <c r="AZ3" s="527"/>
      <c r="BA3" s="527"/>
      <c r="BB3" s="527"/>
      <c r="BC3" s="527"/>
      <c r="BD3" s="527"/>
      <c r="BE3" s="527"/>
      <c r="BF3" s="527"/>
      <c r="BG3" s="527"/>
      <c r="BH3" s="527"/>
      <c r="BI3" s="527"/>
      <c r="BJ3" s="527"/>
      <c r="BK3" s="527"/>
      <c r="BL3" s="527"/>
      <c r="BM3" s="527"/>
      <c r="BN3" s="527"/>
      <c r="BO3" s="527"/>
      <c r="BP3" s="527"/>
      <c r="BQ3" s="527"/>
      <c r="BR3" s="527"/>
      <c r="BS3" s="527"/>
      <c r="BT3" s="527"/>
      <c r="BU3" s="527"/>
      <c r="BV3" s="527"/>
      <c r="BW3" s="527"/>
      <c r="BX3" s="527"/>
      <c r="BY3" s="527"/>
      <c r="BZ3" s="527"/>
      <c r="CA3" s="527"/>
      <c r="CB3" s="527"/>
      <c r="CC3" s="527"/>
      <c r="CD3" s="527"/>
      <c r="CE3" s="527"/>
      <c r="CF3" s="527"/>
      <c r="CG3" s="527"/>
      <c r="CH3" s="527"/>
      <c r="CI3" s="527"/>
      <c r="CJ3" s="527"/>
      <c r="CK3" s="527"/>
      <c r="CL3" s="527"/>
      <c r="CM3" s="527"/>
      <c r="CN3" s="527"/>
      <c r="CO3" s="527"/>
      <c r="CP3" s="527"/>
      <c r="CQ3" s="527"/>
      <c r="CR3" s="527"/>
      <c r="CS3" s="527"/>
      <c r="CT3" s="527"/>
      <c r="CU3" s="527"/>
      <c r="CV3" s="527"/>
      <c r="CW3" s="527"/>
      <c r="CX3" s="527"/>
      <c r="CY3" s="527"/>
      <c r="CZ3" s="527"/>
      <c r="DA3" s="527"/>
      <c r="DB3" s="527"/>
      <c r="DC3" s="527"/>
      <c r="DD3" s="527"/>
      <c r="DE3" s="527"/>
      <c r="DF3" s="527"/>
      <c r="DG3" s="527"/>
      <c r="DH3" s="527"/>
      <c r="DI3" s="527"/>
      <c r="DJ3" s="527"/>
      <c r="DK3" s="527"/>
      <c r="DL3" s="527"/>
      <c r="DM3" s="527"/>
      <c r="DN3" s="527"/>
      <c r="DO3" s="527"/>
      <c r="DP3" s="527"/>
      <c r="DQ3" s="527"/>
      <c r="DR3" s="527"/>
      <c r="DS3" s="527"/>
      <c r="DT3" s="527"/>
      <c r="DU3" s="527"/>
      <c r="DV3" s="527"/>
      <c r="DW3" s="527"/>
      <c r="DX3" s="527"/>
      <c r="DY3" s="527"/>
      <c r="DZ3" s="527"/>
      <c r="EA3" s="527"/>
      <c r="EB3" s="527"/>
      <c r="EC3" s="527"/>
      <c r="ED3" s="527"/>
      <c r="EE3" s="527"/>
      <c r="EF3" s="527"/>
      <c r="EG3" s="527"/>
      <c r="EH3" s="527"/>
      <c r="EI3" s="527"/>
      <c r="EJ3" s="527"/>
      <c r="EK3" s="527"/>
      <c r="EL3" s="527"/>
      <c r="EM3" s="527"/>
      <c r="EN3" s="527"/>
      <c r="EO3" s="527"/>
      <c r="EP3" s="527"/>
      <c r="EQ3" s="527"/>
      <c r="ER3" s="527"/>
      <c r="ES3" s="527"/>
      <c r="ET3" s="527"/>
      <c r="EU3" s="527"/>
      <c r="EV3" s="527"/>
      <c r="EW3" s="527"/>
      <c r="EX3" s="527"/>
      <c r="EY3" s="527"/>
      <c r="EZ3" s="527"/>
      <c r="FA3" s="527"/>
      <c r="FB3" s="527"/>
      <c r="FC3" s="527"/>
      <c r="FD3" s="527"/>
      <c r="FE3" s="527"/>
      <c r="FF3" s="527"/>
      <c r="FG3" s="527"/>
      <c r="FH3" s="527"/>
      <c r="FI3" s="527"/>
      <c r="FJ3" s="527"/>
      <c r="FK3" s="527"/>
      <c r="FL3" s="527"/>
      <c r="FM3" s="527"/>
      <c r="FN3" s="527"/>
      <c r="FO3" s="527"/>
      <c r="FP3" s="527"/>
      <c r="FQ3" s="527"/>
      <c r="FR3" s="527"/>
      <c r="FS3" s="527"/>
    </row>
    <row r="4" spans="2:180" ht="18.75" customHeight="1">
      <c r="B4" s="528" t="s">
        <v>277</v>
      </c>
      <c r="C4" s="529"/>
      <c r="D4" s="529"/>
      <c r="E4" s="529"/>
      <c r="F4" s="529"/>
      <c r="G4" s="529"/>
      <c r="H4" s="529"/>
      <c r="I4" s="529"/>
      <c r="J4" s="529"/>
      <c r="K4" s="529"/>
      <c r="L4" s="529"/>
      <c r="M4" s="529"/>
      <c r="N4" s="529"/>
      <c r="O4" s="529"/>
      <c r="P4" s="529"/>
      <c r="Q4" s="529"/>
      <c r="R4" s="529"/>
      <c r="S4" s="529"/>
      <c r="T4" s="529"/>
      <c r="U4" s="529"/>
      <c r="V4" s="529"/>
      <c r="W4" s="529"/>
      <c r="X4" s="529"/>
      <c r="Y4" s="529"/>
      <c r="Z4" s="529"/>
      <c r="AA4" s="529"/>
      <c r="AB4" s="529"/>
      <c r="AC4" s="529"/>
      <c r="AD4" s="529"/>
      <c r="AE4" s="529"/>
      <c r="AF4" s="529"/>
      <c r="AG4" s="529"/>
      <c r="AH4" s="529"/>
      <c r="AI4" s="529"/>
      <c r="AJ4" s="529"/>
      <c r="AK4" s="529"/>
      <c r="AL4" s="529"/>
      <c r="AM4" s="529"/>
      <c r="AN4" s="529"/>
      <c r="AO4" s="529"/>
      <c r="AP4" s="529"/>
      <c r="AQ4" s="529"/>
      <c r="AR4" s="529"/>
      <c r="AS4" s="529"/>
      <c r="AT4" s="529"/>
      <c r="AU4" s="529"/>
      <c r="AV4" s="529"/>
      <c r="AW4" s="529"/>
      <c r="AX4" s="529"/>
      <c r="AY4" s="529"/>
      <c r="AZ4" s="529"/>
      <c r="BA4" s="529"/>
      <c r="BB4" s="529"/>
      <c r="BC4" s="529"/>
      <c r="BD4" s="529"/>
      <c r="BE4" s="529"/>
      <c r="BF4" s="529"/>
      <c r="BG4" s="529"/>
      <c r="BH4" s="529"/>
      <c r="BI4" s="529"/>
      <c r="BJ4" s="529"/>
      <c r="BK4" s="529"/>
      <c r="BL4" s="529"/>
      <c r="BM4" s="529"/>
      <c r="BN4" s="529"/>
      <c r="BO4" s="529"/>
      <c r="BP4" s="529"/>
      <c r="BQ4" s="529"/>
      <c r="BR4" s="529"/>
      <c r="BS4" s="529"/>
      <c r="BT4" s="529"/>
      <c r="BU4" s="529"/>
      <c r="BV4" s="529"/>
      <c r="BW4" s="529"/>
      <c r="BX4" s="529"/>
      <c r="BY4" s="529"/>
      <c r="BZ4" s="529"/>
      <c r="CA4" s="529"/>
      <c r="CB4" s="529"/>
      <c r="CC4" s="529"/>
      <c r="CD4" s="529"/>
      <c r="CE4" s="529"/>
      <c r="CF4" s="529"/>
      <c r="CG4" s="529"/>
      <c r="CH4" s="529"/>
      <c r="CI4" s="529"/>
      <c r="CJ4" s="529"/>
      <c r="CK4" s="529"/>
      <c r="CL4" s="529"/>
      <c r="CM4" s="529"/>
      <c r="CN4" s="529"/>
      <c r="CO4" s="529"/>
      <c r="CP4" s="529"/>
      <c r="CQ4" s="529"/>
      <c r="CR4" s="529"/>
      <c r="CS4" s="529"/>
      <c r="CT4" s="529"/>
      <c r="CU4" s="529"/>
      <c r="CV4" s="529"/>
      <c r="CW4" s="529"/>
      <c r="CX4" s="529"/>
      <c r="CY4" s="529"/>
      <c r="CZ4" s="529"/>
      <c r="DA4" s="529"/>
      <c r="DB4" s="529"/>
      <c r="DC4" s="529"/>
      <c r="DD4" s="529"/>
      <c r="DE4" s="529"/>
      <c r="DF4" s="529"/>
      <c r="DG4" s="529"/>
      <c r="DH4" s="529"/>
      <c r="DI4" s="529"/>
      <c r="DJ4" s="529"/>
      <c r="DK4" s="529"/>
      <c r="DL4" s="529"/>
      <c r="DM4" s="529"/>
      <c r="DN4" s="529"/>
      <c r="DO4" s="529"/>
      <c r="DP4" s="529"/>
      <c r="DQ4" s="529"/>
      <c r="DR4" s="529"/>
      <c r="DS4" s="529"/>
      <c r="DT4" s="529"/>
      <c r="DU4" s="529"/>
      <c r="DV4" s="529"/>
      <c r="DW4" s="529"/>
      <c r="DX4" s="529"/>
      <c r="DY4" s="529"/>
      <c r="DZ4" s="529"/>
      <c r="EA4" s="529"/>
      <c r="EB4" s="529"/>
      <c r="EC4" s="529"/>
      <c r="ED4" s="529"/>
      <c r="EE4" s="529"/>
      <c r="EF4" s="529"/>
      <c r="EG4" s="529"/>
      <c r="EH4" s="529"/>
      <c r="EI4" s="529"/>
      <c r="EJ4" s="529"/>
      <c r="EK4" s="529"/>
      <c r="EL4" s="529"/>
      <c r="EM4" s="529"/>
      <c r="EN4" s="529"/>
      <c r="EO4" s="529"/>
      <c r="EP4" s="529"/>
      <c r="EQ4" s="529"/>
      <c r="ER4" s="529"/>
      <c r="ES4" s="529"/>
      <c r="ET4" s="529"/>
      <c r="EU4" s="529"/>
      <c r="EV4" s="529"/>
      <c r="EW4" s="529"/>
      <c r="EX4" s="529"/>
      <c r="EY4" s="529"/>
      <c r="EZ4" s="529"/>
      <c r="FA4" s="529"/>
      <c r="FB4" s="529"/>
      <c r="FC4" s="529"/>
      <c r="FD4" s="529"/>
      <c r="FE4" s="529"/>
      <c r="FF4" s="529"/>
      <c r="FG4" s="529"/>
      <c r="FH4" s="529"/>
      <c r="FI4" s="529"/>
      <c r="FJ4" s="529"/>
      <c r="FK4" s="529"/>
      <c r="FL4" s="529"/>
      <c r="FM4" s="529"/>
      <c r="FN4" s="529"/>
      <c r="FO4" s="529"/>
      <c r="FP4" s="529"/>
      <c r="FQ4" s="529"/>
      <c r="FR4" s="529"/>
      <c r="FS4" s="529"/>
      <c r="FT4" s="529"/>
      <c r="FU4" s="529"/>
      <c r="FV4" s="529"/>
      <c r="FW4" s="529"/>
      <c r="FX4" s="529"/>
    </row>
    <row r="5" spans="2:180" ht="13.5">
      <c r="B5" s="528" t="s">
        <v>278</v>
      </c>
      <c r="C5" s="530">
        <f>C11</f>
        <v>46203</v>
      </c>
      <c r="D5" s="531">
        <f>EOMONTH(E5,-1)</f>
        <v>46173</v>
      </c>
      <c r="E5" s="530">
        <f>EOMONTH(Detail!I6,0)</f>
        <v>46203</v>
      </c>
      <c r="F5" s="530">
        <f>EOMONTH(E5,1)</f>
        <v>46234</v>
      </c>
      <c r="G5" s="530">
        <f t="shared" ref="G5:BR5" si="0">EOMONTH(F5,1)</f>
        <v>46265</v>
      </c>
      <c r="H5" s="530">
        <f t="shared" si="0"/>
        <v>46295</v>
      </c>
      <c r="I5" s="530">
        <f t="shared" si="0"/>
        <v>46326</v>
      </c>
      <c r="J5" s="530">
        <f t="shared" si="0"/>
        <v>46356</v>
      </c>
      <c r="K5" s="530">
        <f t="shared" si="0"/>
        <v>46387</v>
      </c>
      <c r="L5" s="530">
        <f t="shared" si="0"/>
        <v>46418</v>
      </c>
      <c r="M5" s="530">
        <f t="shared" si="0"/>
        <v>46446</v>
      </c>
      <c r="N5" s="530">
        <f t="shared" si="0"/>
        <v>46477</v>
      </c>
      <c r="O5" s="530">
        <f t="shared" si="0"/>
        <v>46507</v>
      </c>
      <c r="P5" s="530">
        <f t="shared" si="0"/>
        <v>46538</v>
      </c>
      <c r="Q5" s="530">
        <f t="shared" si="0"/>
        <v>46568</v>
      </c>
      <c r="R5" s="530">
        <f t="shared" si="0"/>
        <v>46599</v>
      </c>
      <c r="S5" s="530">
        <f t="shared" si="0"/>
        <v>46630</v>
      </c>
      <c r="T5" s="530">
        <f t="shared" si="0"/>
        <v>46660</v>
      </c>
      <c r="U5" s="530">
        <f t="shared" si="0"/>
        <v>46691</v>
      </c>
      <c r="V5" s="530">
        <f t="shared" si="0"/>
        <v>46721</v>
      </c>
      <c r="W5" s="530">
        <f t="shared" si="0"/>
        <v>46752</v>
      </c>
      <c r="X5" s="530">
        <f t="shared" si="0"/>
        <v>46783</v>
      </c>
      <c r="Y5" s="530">
        <f t="shared" si="0"/>
        <v>46812</v>
      </c>
      <c r="Z5" s="530">
        <f t="shared" si="0"/>
        <v>46843</v>
      </c>
      <c r="AA5" s="530">
        <f t="shared" si="0"/>
        <v>46873</v>
      </c>
      <c r="AB5" s="530">
        <f t="shared" si="0"/>
        <v>46904</v>
      </c>
      <c r="AC5" s="530">
        <f t="shared" si="0"/>
        <v>46934</v>
      </c>
      <c r="AD5" s="530">
        <f t="shared" si="0"/>
        <v>46965</v>
      </c>
      <c r="AE5" s="530">
        <f t="shared" si="0"/>
        <v>46996</v>
      </c>
      <c r="AF5" s="530">
        <f t="shared" si="0"/>
        <v>47026</v>
      </c>
      <c r="AG5" s="530">
        <f t="shared" si="0"/>
        <v>47057</v>
      </c>
      <c r="AH5" s="530">
        <f t="shared" si="0"/>
        <v>47087</v>
      </c>
      <c r="AI5" s="530">
        <f t="shared" si="0"/>
        <v>47118</v>
      </c>
      <c r="AJ5" s="530">
        <f t="shared" si="0"/>
        <v>47149</v>
      </c>
      <c r="AK5" s="530">
        <f t="shared" si="0"/>
        <v>47177</v>
      </c>
      <c r="AL5" s="530">
        <f t="shared" si="0"/>
        <v>47208</v>
      </c>
      <c r="AM5" s="530">
        <f t="shared" si="0"/>
        <v>47238</v>
      </c>
      <c r="AN5" s="530">
        <f t="shared" si="0"/>
        <v>47269</v>
      </c>
      <c r="AO5" s="530">
        <f t="shared" si="0"/>
        <v>47299</v>
      </c>
      <c r="AP5" s="530">
        <f t="shared" si="0"/>
        <v>47330</v>
      </c>
      <c r="AQ5" s="530">
        <f t="shared" si="0"/>
        <v>47361</v>
      </c>
      <c r="AR5" s="530">
        <f t="shared" si="0"/>
        <v>47391</v>
      </c>
      <c r="AS5" s="530">
        <f t="shared" si="0"/>
        <v>47422</v>
      </c>
      <c r="AT5" s="530">
        <f t="shared" si="0"/>
        <v>47452</v>
      </c>
      <c r="AU5" s="530">
        <f t="shared" si="0"/>
        <v>47483</v>
      </c>
      <c r="AV5" s="530">
        <f t="shared" si="0"/>
        <v>47514</v>
      </c>
      <c r="AW5" s="530">
        <f t="shared" si="0"/>
        <v>47542</v>
      </c>
      <c r="AX5" s="530">
        <f t="shared" si="0"/>
        <v>47573</v>
      </c>
      <c r="AY5" s="530">
        <f t="shared" si="0"/>
        <v>47603</v>
      </c>
      <c r="AZ5" s="530">
        <f t="shared" si="0"/>
        <v>47634</v>
      </c>
      <c r="BA5" s="530">
        <f t="shared" si="0"/>
        <v>47664</v>
      </c>
      <c r="BB5" s="530">
        <f t="shared" si="0"/>
        <v>47695</v>
      </c>
      <c r="BC5" s="530">
        <f t="shared" si="0"/>
        <v>47726</v>
      </c>
      <c r="BD5" s="530">
        <f t="shared" si="0"/>
        <v>47756</v>
      </c>
      <c r="BE5" s="530">
        <f t="shared" si="0"/>
        <v>47787</v>
      </c>
      <c r="BF5" s="530">
        <f t="shared" si="0"/>
        <v>47817</v>
      </c>
      <c r="BG5" s="530">
        <f t="shared" si="0"/>
        <v>47848</v>
      </c>
      <c r="BH5" s="530">
        <f t="shared" si="0"/>
        <v>47879</v>
      </c>
      <c r="BI5" s="530">
        <f t="shared" si="0"/>
        <v>47907</v>
      </c>
      <c r="BJ5" s="530">
        <f t="shared" si="0"/>
        <v>47938</v>
      </c>
      <c r="BK5" s="530">
        <f t="shared" si="0"/>
        <v>47968</v>
      </c>
      <c r="BL5" s="530">
        <f t="shared" si="0"/>
        <v>47999</v>
      </c>
      <c r="BM5" s="530">
        <f t="shared" si="0"/>
        <v>48029</v>
      </c>
      <c r="BN5" s="530">
        <f t="shared" si="0"/>
        <v>48060</v>
      </c>
      <c r="BO5" s="530">
        <f t="shared" si="0"/>
        <v>48091</v>
      </c>
      <c r="BP5" s="530">
        <f t="shared" si="0"/>
        <v>48121</v>
      </c>
      <c r="BQ5" s="530">
        <f t="shared" si="0"/>
        <v>48152</v>
      </c>
      <c r="BR5" s="530">
        <f t="shared" si="0"/>
        <v>48182</v>
      </c>
      <c r="BS5" s="530">
        <f t="shared" ref="BS5:ED5" si="1">EOMONTH(BR5,1)</f>
        <v>48213</v>
      </c>
      <c r="BT5" s="530">
        <f t="shared" si="1"/>
        <v>48244</v>
      </c>
      <c r="BU5" s="530">
        <f t="shared" si="1"/>
        <v>48273</v>
      </c>
      <c r="BV5" s="530">
        <f t="shared" si="1"/>
        <v>48304</v>
      </c>
      <c r="BW5" s="530">
        <f t="shared" si="1"/>
        <v>48334</v>
      </c>
      <c r="BX5" s="530">
        <f t="shared" si="1"/>
        <v>48365</v>
      </c>
      <c r="BY5" s="530">
        <f t="shared" si="1"/>
        <v>48395</v>
      </c>
      <c r="BZ5" s="530">
        <f t="shared" si="1"/>
        <v>48426</v>
      </c>
      <c r="CA5" s="530">
        <f t="shared" si="1"/>
        <v>48457</v>
      </c>
      <c r="CB5" s="530">
        <f t="shared" si="1"/>
        <v>48487</v>
      </c>
      <c r="CC5" s="530">
        <f t="shared" si="1"/>
        <v>48518</v>
      </c>
      <c r="CD5" s="530">
        <f t="shared" si="1"/>
        <v>48548</v>
      </c>
      <c r="CE5" s="530">
        <f t="shared" si="1"/>
        <v>48579</v>
      </c>
      <c r="CF5" s="530">
        <f t="shared" si="1"/>
        <v>48610</v>
      </c>
      <c r="CG5" s="530">
        <f t="shared" si="1"/>
        <v>48638</v>
      </c>
      <c r="CH5" s="530">
        <f t="shared" si="1"/>
        <v>48669</v>
      </c>
      <c r="CI5" s="530">
        <f t="shared" si="1"/>
        <v>48699</v>
      </c>
      <c r="CJ5" s="530">
        <f t="shared" si="1"/>
        <v>48730</v>
      </c>
      <c r="CK5" s="530">
        <f t="shared" si="1"/>
        <v>48760</v>
      </c>
      <c r="CL5" s="530">
        <f t="shared" si="1"/>
        <v>48791</v>
      </c>
      <c r="CM5" s="530">
        <f t="shared" si="1"/>
        <v>48822</v>
      </c>
      <c r="CN5" s="530">
        <f t="shared" si="1"/>
        <v>48852</v>
      </c>
      <c r="CO5" s="530">
        <f t="shared" si="1"/>
        <v>48883</v>
      </c>
      <c r="CP5" s="530">
        <f t="shared" si="1"/>
        <v>48913</v>
      </c>
      <c r="CQ5" s="530">
        <f t="shared" si="1"/>
        <v>48944</v>
      </c>
      <c r="CR5" s="530">
        <f t="shared" si="1"/>
        <v>48975</v>
      </c>
      <c r="CS5" s="530">
        <f t="shared" si="1"/>
        <v>49003</v>
      </c>
      <c r="CT5" s="530">
        <f t="shared" si="1"/>
        <v>49034</v>
      </c>
      <c r="CU5" s="530">
        <f t="shared" si="1"/>
        <v>49064</v>
      </c>
      <c r="CV5" s="530">
        <f t="shared" si="1"/>
        <v>49095</v>
      </c>
      <c r="CW5" s="530">
        <f t="shared" si="1"/>
        <v>49125</v>
      </c>
      <c r="CX5" s="530">
        <f t="shared" si="1"/>
        <v>49156</v>
      </c>
      <c r="CY5" s="530">
        <f t="shared" si="1"/>
        <v>49187</v>
      </c>
      <c r="CZ5" s="530">
        <f t="shared" si="1"/>
        <v>49217</v>
      </c>
      <c r="DA5" s="530">
        <f t="shared" si="1"/>
        <v>49248</v>
      </c>
      <c r="DB5" s="530">
        <f t="shared" si="1"/>
        <v>49278</v>
      </c>
      <c r="DC5" s="530">
        <f t="shared" si="1"/>
        <v>49309</v>
      </c>
      <c r="DD5" s="530">
        <f t="shared" si="1"/>
        <v>49340</v>
      </c>
      <c r="DE5" s="530">
        <f t="shared" si="1"/>
        <v>49368</v>
      </c>
      <c r="DF5" s="530">
        <f t="shared" si="1"/>
        <v>49399</v>
      </c>
      <c r="DG5" s="530">
        <f t="shared" si="1"/>
        <v>49429</v>
      </c>
      <c r="DH5" s="530">
        <f t="shared" si="1"/>
        <v>49460</v>
      </c>
      <c r="DI5" s="530">
        <f t="shared" si="1"/>
        <v>49490</v>
      </c>
      <c r="DJ5" s="530">
        <f t="shared" si="1"/>
        <v>49521</v>
      </c>
      <c r="DK5" s="530">
        <f t="shared" si="1"/>
        <v>49552</v>
      </c>
      <c r="DL5" s="530">
        <f t="shared" si="1"/>
        <v>49582</v>
      </c>
      <c r="DM5" s="530">
        <f t="shared" si="1"/>
        <v>49613</v>
      </c>
      <c r="DN5" s="530">
        <f t="shared" si="1"/>
        <v>49643</v>
      </c>
      <c r="DO5" s="530">
        <f t="shared" si="1"/>
        <v>49674</v>
      </c>
      <c r="DP5" s="530">
        <f t="shared" si="1"/>
        <v>49705</v>
      </c>
      <c r="DQ5" s="530">
        <f t="shared" si="1"/>
        <v>49734</v>
      </c>
      <c r="DR5" s="530">
        <f t="shared" si="1"/>
        <v>49765</v>
      </c>
      <c r="DS5" s="530">
        <f t="shared" si="1"/>
        <v>49795</v>
      </c>
      <c r="DT5" s="530">
        <f t="shared" si="1"/>
        <v>49826</v>
      </c>
      <c r="DU5" s="530">
        <f t="shared" si="1"/>
        <v>49856</v>
      </c>
      <c r="DV5" s="530">
        <f t="shared" si="1"/>
        <v>49887</v>
      </c>
      <c r="DW5" s="530">
        <f t="shared" si="1"/>
        <v>49918</v>
      </c>
      <c r="DX5" s="530">
        <f t="shared" si="1"/>
        <v>49948</v>
      </c>
      <c r="DY5" s="530">
        <f t="shared" si="1"/>
        <v>49979</v>
      </c>
      <c r="DZ5" s="530">
        <f t="shared" si="1"/>
        <v>50009</v>
      </c>
      <c r="EA5" s="530">
        <f t="shared" si="1"/>
        <v>50040</v>
      </c>
      <c r="EB5" s="530">
        <f t="shared" si="1"/>
        <v>50071</v>
      </c>
      <c r="EC5" s="530">
        <f t="shared" si="1"/>
        <v>50099</v>
      </c>
      <c r="ED5" s="530">
        <f t="shared" si="1"/>
        <v>50130</v>
      </c>
      <c r="EE5" s="530">
        <f t="shared" ref="EE5:FS5" si="2">EOMONTH(ED5,1)</f>
        <v>50160</v>
      </c>
      <c r="EF5" s="530">
        <f t="shared" si="2"/>
        <v>50191</v>
      </c>
      <c r="EG5" s="530">
        <f t="shared" si="2"/>
        <v>50221</v>
      </c>
      <c r="EH5" s="530">
        <f t="shared" si="2"/>
        <v>50252</v>
      </c>
      <c r="EI5" s="530">
        <f t="shared" si="2"/>
        <v>50283</v>
      </c>
      <c r="EJ5" s="530">
        <f t="shared" si="2"/>
        <v>50313</v>
      </c>
      <c r="EK5" s="530">
        <f t="shared" si="2"/>
        <v>50344</v>
      </c>
      <c r="EL5" s="530">
        <f t="shared" si="2"/>
        <v>50374</v>
      </c>
      <c r="EM5" s="530">
        <f t="shared" si="2"/>
        <v>50405</v>
      </c>
      <c r="EN5" s="530">
        <f t="shared" si="2"/>
        <v>50436</v>
      </c>
      <c r="EO5" s="530">
        <f t="shared" si="2"/>
        <v>50464</v>
      </c>
      <c r="EP5" s="530">
        <f t="shared" si="2"/>
        <v>50495</v>
      </c>
      <c r="EQ5" s="530">
        <f t="shared" si="2"/>
        <v>50525</v>
      </c>
      <c r="ER5" s="530">
        <f t="shared" si="2"/>
        <v>50556</v>
      </c>
      <c r="ES5" s="530">
        <f t="shared" si="2"/>
        <v>50586</v>
      </c>
      <c r="ET5" s="530">
        <f t="shared" si="2"/>
        <v>50617</v>
      </c>
      <c r="EU5" s="530">
        <f t="shared" si="2"/>
        <v>50648</v>
      </c>
      <c r="EV5" s="530">
        <f t="shared" si="2"/>
        <v>50678</v>
      </c>
      <c r="EW5" s="530">
        <f t="shared" si="2"/>
        <v>50709</v>
      </c>
      <c r="EX5" s="530">
        <f t="shared" si="2"/>
        <v>50739</v>
      </c>
      <c r="EY5" s="530">
        <f t="shared" si="2"/>
        <v>50770</v>
      </c>
      <c r="EZ5" s="530">
        <f t="shared" si="2"/>
        <v>50801</v>
      </c>
      <c r="FA5" s="530">
        <f t="shared" si="2"/>
        <v>50829</v>
      </c>
      <c r="FB5" s="530">
        <f t="shared" si="2"/>
        <v>50860</v>
      </c>
      <c r="FC5" s="530">
        <f t="shared" si="2"/>
        <v>50890</v>
      </c>
      <c r="FD5" s="530">
        <f t="shared" si="2"/>
        <v>50921</v>
      </c>
      <c r="FE5" s="530">
        <f t="shared" si="2"/>
        <v>50951</v>
      </c>
      <c r="FF5" s="530">
        <f t="shared" si="2"/>
        <v>50982</v>
      </c>
      <c r="FG5" s="530">
        <f t="shared" si="2"/>
        <v>51013</v>
      </c>
      <c r="FH5" s="530">
        <f t="shared" si="2"/>
        <v>51043</v>
      </c>
      <c r="FI5" s="530">
        <f t="shared" si="2"/>
        <v>51074</v>
      </c>
      <c r="FJ5" s="530">
        <f t="shared" si="2"/>
        <v>51104</v>
      </c>
      <c r="FK5" s="530">
        <f t="shared" si="2"/>
        <v>51135</v>
      </c>
      <c r="FL5" s="530">
        <f t="shared" si="2"/>
        <v>51166</v>
      </c>
      <c r="FM5" s="530">
        <f t="shared" si="2"/>
        <v>51195</v>
      </c>
      <c r="FN5" s="530">
        <f t="shared" si="2"/>
        <v>51226</v>
      </c>
      <c r="FO5" s="530">
        <f t="shared" si="2"/>
        <v>51256</v>
      </c>
      <c r="FP5" s="530">
        <f t="shared" si="2"/>
        <v>51287</v>
      </c>
      <c r="FQ5" s="530">
        <f t="shared" si="2"/>
        <v>51317</v>
      </c>
      <c r="FR5" s="530">
        <f t="shared" si="2"/>
        <v>51348</v>
      </c>
      <c r="FS5" s="530">
        <f t="shared" si="2"/>
        <v>51379</v>
      </c>
      <c r="FT5" s="529">
        <f>YEAR(E5)</f>
        <v>2026</v>
      </c>
      <c r="FU5" s="529">
        <f>FT5+1</f>
        <v>2027</v>
      </c>
      <c r="FV5" s="529">
        <f>FU5+1</f>
        <v>2028</v>
      </c>
      <c r="FW5" s="529">
        <f>FV5+1</f>
        <v>2029</v>
      </c>
      <c r="FX5" s="529">
        <f>FW5+1</f>
        <v>2030</v>
      </c>
    </row>
    <row r="6" spans="2:180" ht="13.5" outlineLevel="1">
      <c r="B6" s="532" t="s">
        <v>279</v>
      </c>
      <c r="C6" s="533"/>
      <c r="D6" s="533"/>
      <c r="E6" s="533" t="str">
        <f>E7&amp;"-"&amp;E8</f>
        <v>6-2026</v>
      </c>
      <c r="F6" s="533" t="str">
        <f t="shared" ref="F6:BQ6" si="3">F7&amp;"-"&amp;F8</f>
        <v>7-2026</v>
      </c>
      <c r="G6" s="533" t="str">
        <f t="shared" si="3"/>
        <v>8-2026</v>
      </c>
      <c r="H6" s="533" t="str">
        <f t="shared" si="3"/>
        <v>9-2026</v>
      </c>
      <c r="I6" s="533" t="str">
        <f t="shared" si="3"/>
        <v>10-2026</v>
      </c>
      <c r="J6" s="533" t="str">
        <f t="shared" si="3"/>
        <v>11-2026</v>
      </c>
      <c r="K6" s="533" t="str">
        <f t="shared" si="3"/>
        <v>12-2026</v>
      </c>
      <c r="L6" s="533" t="str">
        <f t="shared" si="3"/>
        <v>1-2027</v>
      </c>
      <c r="M6" s="533" t="str">
        <f t="shared" si="3"/>
        <v>2-2027</v>
      </c>
      <c r="N6" s="533" t="str">
        <f t="shared" si="3"/>
        <v>3-2027</v>
      </c>
      <c r="O6" s="533" t="str">
        <f t="shared" si="3"/>
        <v>4-2027</v>
      </c>
      <c r="P6" s="533" t="str">
        <f t="shared" si="3"/>
        <v>5-2027</v>
      </c>
      <c r="Q6" s="533" t="str">
        <f t="shared" si="3"/>
        <v>6-2027</v>
      </c>
      <c r="R6" s="533" t="str">
        <f t="shared" si="3"/>
        <v>7-2027</v>
      </c>
      <c r="S6" s="533" t="str">
        <f t="shared" si="3"/>
        <v>8-2027</v>
      </c>
      <c r="T6" s="533" t="str">
        <f t="shared" si="3"/>
        <v>9-2027</v>
      </c>
      <c r="U6" s="533" t="str">
        <f t="shared" si="3"/>
        <v>10-2027</v>
      </c>
      <c r="V6" s="533" t="str">
        <f t="shared" si="3"/>
        <v>11-2027</v>
      </c>
      <c r="W6" s="533" t="str">
        <f t="shared" si="3"/>
        <v>12-2027</v>
      </c>
      <c r="X6" s="533" t="str">
        <f t="shared" si="3"/>
        <v>1-2028</v>
      </c>
      <c r="Y6" s="533" t="str">
        <f t="shared" si="3"/>
        <v>2-2028</v>
      </c>
      <c r="Z6" s="533" t="str">
        <f t="shared" si="3"/>
        <v>3-2028</v>
      </c>
      <c r="AA6" s="533" t="str">
        <f t="shared" si="3"/>
        <v>4-2028</v>
      </c>
      <c r="AB6" s="533" t="str">
        <f t="shared" si="3"/>
        <v>5-2028</v>
      </c>
      <c r="AC6" s="533" t="str">
        <f t="shared" si="3"/>
        <v>6-2028</v>
      </c>
      <c r="AD6" s="533" t="str">
        <f t="shared" si="3"/>
        <v>7-2028</v>
      </c>
      <c r="AE6" s="533" t="str">
        <f t="shared" si="3"/>
        <v>8-2028</v>
      </c>
      <c r="AF6" s="533" t="str">
        <f t="shared" si="3"/>
        <v>9-2028</v>
      </c>
      <c r="AG6" s="533" t="str">
        <f t="shared" si="3"/>
        <v>10-2028</v>
      </c>
      <c r="AH6" s="533" t="str">
        <f t="shared" si="3"/>
        <v>11-2028</v>
      </c>
      <c r="AI6" s="533" t="str">
        <f t="shared" si="3"/>
        <v>12-2028</v>
      </c>
      <c r="AJ6" s="533" t="str">
        <f t="shared" si="3"/>
        <v>1-2029</v>
      </c>
      <c r="AK6" s="533" t="str">
        <f t="shared" si="3"/>
        <v>2-2029</v>
      </c>
      <c r="AL6" s="533" t="str">
        <f t="shared" si="3"/>
        <v>3-2029</v>
      </c>
      <c r="AM6" s="533" t="str">
        <f t="shared" si="3"/>
        <v>4-2029</v>
      </c>
      <c r="AN6" s="533" t="str">
        <f t="shared" si="3"/>
        <v>5-2029</v>
      </c>
      <c r="AO6" s="533" t="str">
        <f t="shared" si="3"/>
        <v>6-2029</v>
      </c>
      <c r="AP6" s="533" t="str">
        <f t="shared" si="3"/>
        <v>7-2029</v>
      </c>
      <c r="AQ6" s="533" t="str">
        <f t="shared" si="3"/>
        <v>8-2029</v>
      </c>
      <c r="AR6" s="533" t="str">
        <f t="shared" si="3"/>
        <v>9-2029</v>
      </c>
      <c r="AS6" s="533" t="str">
        <f t="shared" si="3"/>
        <v>10-2029</v>
      </c>
      <c r="AT6" s="533" t="str">
        <f t="shared" si="3"/>
        <v>11-2029</v>
      </c>
      <c r="AU6" s="533" t="str">
        <f t="shared" si="3"/>
        <v>12-2029</v>
      </c>
      <c r="AV6" s="533" t="str">
        <f t="shared" si="3"/>
        <v>1-2030</v>
      </c>
      <c r="AW6" s="533" t="str">
        <f t="shared" si="3"/>
        <v>2-2030</v>
      </c>
      <c r="AX6" s="533" t="str">
        <f t="shared" si="3"/>
        <v>3-2030</v>
      </c>
      <c r="AY6" s="533" t="str">
        <f t="shared" si="3"/>
        <v>4-2030</v>
      </c>
      <c r="AZ6" s="533" t="str">
        <f t="shared" si="3"/>
        <v>5-2030</v>
      </c>
      <c r="BA6" s="533" t="str">
        <f t="shared" si="3"/>
        <v>6-2030</v>
      </c>
      <c r="BB6" s="533" t="str">
        <f t="shared" si="3"/>
        <v>7-2030</v>
      </c>
      <c r="BC6" s="533" t="str">
        <f t="shared" si="3"/>
        <v>8-2030</v>
      </c>
      <c r="BD6" s="533" t="str">
        <f t="shared" si="3"/>
        <v>9-2030</v>
      </c>
      <c r="BE6" s="533" t="str">
        <f t="shared" si="3"/>
        <v>10-2030</v>
      </c>
      <c r="BF6" s="533" t="str">
        <f t="shared" si="3"/>
        <v>11-2030</v>
      </c>
      <c r="BG6" s="533" t="str">
        <f t="shared" si="3"/>
        <v>12-2030</v>
      </c>
      <c r="BH6" s="533" t="str">
        <f t="shared" si="3"/>
        <v>1-2031</v>
      </c>
      <c r="BI6" s="533" t="str">
        <f t="shared" si="3"/>
        <v>2-2031</v>
      </c>
      <c r="BJ6" s="533" t="str">
        <f t="shared" si="3"/>
        <v>3-2031</v>
      </c>
      <c r="BK6" s="533" t="str">
        <f t="shared" si="3"/>
        <v>4-2031</v>
      </c>
      <c r="BL6" s="533" t="str">
        <f t="shared" si="3"/>
        <v>5-2031</v>
      </c>
      <c r="BM6" s="533" t="str">
        <f t="shared" si="3"/>
        <v>6-2031</v>
      </c>
      <c r="BN6" s="533" t="str">
        <f t="shared" si="3"/>
        <v>7-2031</v>
      </c>
      <c r="BO6" s="533" t="str">
        <f t="shared" si="3"/>
        <v>8-2031</v>
      </c>
      <c r="BP6" s="533" t="str">
        <f t="shared" si="3"/>
        <v>9-2031</v>
      </c>
      <c r="BQ6" s="533" t="str">
        <f t="shared" si="3"/>
        <v>10-2031</v>
      </c>
      <c r="BR6" s="533" t="str">
        <f t="shared" ref="BR6:EC6" si="4">BR7&amp;"-"&amp;BR8</f>
        <v>11-2031</v>
      </c>
      <c r="BS6" s="533" t="str">
        <f t="shared" si="4"/>
        <v>12-2031</v>
      </c>
      <c r="BT6" s="533" t="str">
        <f t="shared" si="4"/>
        <v>1-2032</v>
      </c>
      <c r="BU6" s="533" t="str">
        <f t="shared" si="4"/>
        <v>2-2032</v>
      </c>
      <c r="BV6" s="533" t="str">
        <f t="shared" si="4"/>
        <v>3-2032</v>
      </c>
      <c r="BW6" s="533" t="str">
        <f t="shared" si="4"/>
        <v>4-2032</v>
      </c>
      <c r="BX6" s="533" t="str">
        <f t="shared" si="4"/>
        <v>5-2032</v>
      </c>
      <c r="BY6" s="533" t="str">
        <f t="shared" si="4"/>
        <v>6-2032</v>
      </c>
      <c r="BZ6" s="533" t="str">
        <f t="shared" si="4"/>
        <v>7-2032</v>
      </c>
      <c r="CA6" s="533" t="str">
        <f t="shared" si="4"/>
        <v>8-2032</v>
      </c>
      <c r="CB6" s="533" t="str">
        <f t="shared" si="4"/>
        <v>9-2032</v>
      </c>
      <c r="CC6" s="533" t="str">
        <f t="shared" si="4"/>
        <v>10-2032</v>
      </c>
      <c r="CD6" s="533" t="str">
        <f t="shared" si="4"/>
        <v>11-2032</v>
      </c>
      <c r="CE6" s="533" t="str">
        <f t="shared" si="4"/>
        <v>12-2032</v>
      </c>
      <c r="CF6" s="533" t="str">
        <f t="shared" si="4"/>
        <v>1-2033</v>
      </c>
      <c r="CG6" s="533" t="str">
        <f t="shared" si="4"/>
        <v>2-2033</v>
      </c>
      <c r="CH6" s="533" t="str">
        <f t="shared" si="4"/>
        <v>3-2033</v>
      </c>
      <c r="CI6" s="533" t="str">
        <f t="shared" si="4"/>
        <v>4-2033</v>
      </c>
      <c r="CJ6" s="533" t="str">
        <f t="shared" si="4"/>
        <v>5-2033</v>
      </c>
      <c r="CK6" s="533" t="str">
        <f t="shared" si="4"/>
        <v>6-2033</v>
      </c>
      <c r="CL6" s="533" t="str">
        <f t="shared" si="4"/>
        <v>7-2033</v>
      </c>
      <c r="CM6" s="533" t="str">
        <f t="shared" si="4"/>
        <v>8-2033</v>
      </c>
      <c r="CN6" s="533" t="str">
        <f t="shared" si="4"/>
        <v>9-2033</v>
      </c>
      <c r="CO6" s="533" t="str">
        <f t="shared" si="4"/>
        <v>10-2033</v>
      </c>
      <c r="CP6" s="533" t="str">
        <f t="shared" si="4"/>
        <v>11-2033</v>
      </c>
      <c r="CQ6" s="533" t="str">
        <f t="shared" si="4"/>
        <v>12-2033</v>
      </c>
      <c r="CR6" s="533" t="str">
        <f t="shared" si="4"/>
        <v>1-2034</v>
      </c>
      <c r="CS6" s="533" t="str">
        <f t="shared" si="4"/>
        <v>2-2034</v>
      </c>
      <c r="CT6" s="533" t="str">
        <f t="shared" si="4"/>
        <v>3-2034</v>
      </c>
      <c r="CU6" s="533" t="str">
        <f t="shared" si="4"/>
        <v>4-2034</v>
      </c>
      <c r="CV6" s="533" t="str">
        <f t="shared" si="4"/>
        <v>5-2034</v>
      </c>
      <c r="CW6" s="533" t="str">
        <f t="shared" si="4"/>
        <v>6-2034</v>
      </c>
      <c r="CX6" s="533" t="str">
        <f t="shared" si="4"/>
        <v>7-2034</v>
      </c>
      <c r="CY6" s="533" t="str">
        <f t="shared" si="4"/>
        <v>8-2034</v>
      </c>
      <c r="CZ6" s="533" t="str">
        <f t="shared" si="4"/>
        <v>9-2034</v>
      </c>
      <c r="DA6" s="533" t="str">
        <f t="shared" si="4"/>
        <v>10-2034</v>
      </c>
      <c r="DB6" s="533" t="str">
        <f t="shared" si="4"/>
        <v>11-2034</v>
      </c>
      <c r="DC6" s="533" t="str">
        <f t="shared" si="4"/>
        <v>12-2034</v>
      </c>
      <c r="DD6" s="533" t="str">
        <f t="shared" si="4"/>
        <v>1-2035</v>
      </c>
      <c r="DE6" s="533" t="str">
        <f t="shared" si="4"/>
        <v>2-2035</v>
      </c>
      <c r="DF6" s="533" t="str">
        <f t="shared" si="4"/>
        <v>3-2035</v>
      </c>
      <c r="DG6" s="533" t="str">
        <f t="shared" si="4"/>
        <v>4-2035</v>
      </c>
      <c r="DH6" s="533" t="str">
        <f t="shared" si="4"/>
        <v>5-2035</v>
      </c>
      <c r="DI6" s="533" t="str">
        <f t="shared" si="4"/>
        <v>6-2035</v>
      </c>
      <c r="DJ6" s="533" t="str">
        <f t="shared" si="4"/>
        <v>7-2035</v>
      </c>
      <c r="DK6" s="533" t="str">
        <f t="shared" si="4"/>
        <v>8-2035</v>
      </c>
      <c r="DL6" s="533" t="str">
        <f t="shared" si="4"/>
        <v>9-2035</v>
      </c>
      <c r="DM6" s="533" t="str">
        <f t="shared" si="4"/>
        <v>10-2035</v>
      </c>
      <c r="DN6" s="533" t="str">
        <f t="shared" si="4"/>
        <v>11-2035</v>
      </c>
      <c r="DO6" s="533" t="str">
        <f t="shared" si="4"/>
        <v>12-2035</v>
      </c>
      <c r="DP6" s="533" t="str">
        <f t="shared" si="4"/>
        <v>1-2036</v>
      </c>
      <c r="DQ6" s="533" t="str">
        <f t="shared" si="4"/>
        <v>2-2036</v>
      </c>
      <c r="DR6" s="533" t="str">
        <f t="shared" si="4"/>
        <v>3-2036</v>
      </c>
      <c r="DS6" s="533" t="str">
        <f t="shared" si="4"/>
        <v>4-2036</v>
      </c>
      <c r="DT6" s="533" t="str">
        <f t="shared" si="4"/>
        <v>5-2036</v>
      </c>
      <c r="DU6" s="533" t="str">
        <f t="shared" si="4"/>
        <v>6-2036</v>
      </c>
      <c r="DV6" s="533" t="str">
        <f t="shared" si="4"/>
        <v>7-2036</v>
      </c>
      <c r="DW6" s="533" t="str">
        <f t="shared" si="4"/>
        <v>8-2036</v>
      </c>
      <c r="DX6" s="533" t="str">
        <f t="shared" si="4"/>
        <v>9-2036</v>
      </c>
      <c r="DY6" s="533" t="str">
        <f t="shared" si="4"/>
        <v>10-2036</v>
      </c>
      <c r="DZ6" s="533" t="str">
        <f t="shared" si="4"/>
        <v>11-2036</v>
      </c>
      <c r="EA6" s="533" t="str">
        <f t="shared" si="4"/>
        <v>12-2036</v>
      </c>
      <c r="EB6" s="533" t="str">
        <f t="shared" si="4"/>
        <v>1-2037</v>
      </c>
      <c r="EC6" s="533" t="str">
        <f t="shared" si="4"/>
        <v>2-2037</v>
      </c>
      <c r="ED6" s="533" t="str">
        <f t="shared" ref="ED6:FS6" si="5">ED7&amp;"-"&amp;ED8</f>
        <v>3-2037</v>
      </c>
      <c r="EE6" s="533" t="str">
        <f t="shared" si="5"/>
        <v>4-2037</v>
      </c>
      <c r="EF6" s="533" t="str">
        <f t="shared" si="5"/>
        <v>5-2037</v>
      </c>
      <c r="EG6" s="533" t="str">
        <f t="shared" si="5"/>
        <v>6-2037</v>
      </c>
      <c r="EH6" s="533" t="str">
        <f t="shared" si="5"/>
        <v>7-2037</v>
      </c>
      <c r="EI6" s="533" t="str">
        <f t="shared" si="5"/>
        <v>8-2037</v>
      </c>
      <c r="EJ6" s="533" t="str">
        <f t="shared" si="5"/>
        <v>9-2037</v>
      </c>
      <c r="EK6" s="533" t="str">
        <f t="shared" si="5"/>
        <v>10-2037</v>
      </c>
      <c r="EL6" s="533" t="str">
        <f t="shared" si="5"/>
        <v>11-2037</v>
      </c>
      <c r="EM6" s="533" t="str">
        <f t="shared" si="5"/>
        <v>12-2037</v>
      </c>
      <c r="EN6" s="533" t="str">
        <f t="shared" si="5"/>
        <v>1-2038</v>
      </c>
      <c r="EO6" s="533" t="str">
        <f t="shared" si="5"/>
        <v>2-2038</v>
      </c>
      <c r="EP6" s="533" t="str">
        <f t="shared" si="5"/>
        <v>3-2038</v>
      </c>
      <c r="EQ6" s="533" t="str">
        <f t="shared" si="5"/>
        <v>4-2038</v>
      </c>
      <c r="ER6" s="533" t="str">
        <f t="shared" si="5"/>
        <v>5-2038</v>
      </c>
      <c r="ES6" s="533" t="str">
        <f t="shared" si="5"/>
        <v>6-2038</v>
      </c>
      <c r="ET6" s="533" t="str">
        <f t="shared" si="5"/>
        <v>7-2038</v>
      </c>
      <c r="EU6" s="533" t="str">
        <f t="shared" si="5"/>
        <v>8-2038</v>
      </c>
      <c r="EV6" s="533" t="str">
        <f t="shared" si="5"/>
        <v>9-2038</v>
      </c>
      <c r="EW6" s="533" t="str">
        <f t="shared" si="5"/>
        <v>10-2038</v>
      </c>
      <c r="EX6" s="533" t="str">
        <f t="shared" si="5"/>
        <v>11-2038</v>
      </c>
      <c r="EY6" s="533" t="str">
        <f t="shared" si="5"/>
        <v>12-2038</v>
      </c>
      <c r="EZ6" s="533" t="str">
        <f t="shared" si="5"/>
        <v>1-2039</v>
      </c>
      <c r="FA6" s="533" t="str">
        <f t="shared" si="5"/>
        <v>2-2039</v>
      </c>
      <c r="FB6" s="533" t="str">
        <f t="shared" si="5"/>
        <v>3-2039</v>
      </c>
      <c r="FC6" s="533" t="str">
        <f t="shared" si="5"/>
        <v>4-2039</v>
      </c>
      <c r="FD6" s="533" t="str">
        <f t="shared" si="5"/>
        <v>5-2039</v>
      </c>
      <c r="FE6" s="533" t="str">
        <f t="shared" si="5"/>
        <v>6-2039</v>
      </c>
      <c r="FF6" s="533" t="str">
        <f t="shared" si="5"/>
        <v>7-2039</v>
      </c>
      <c r="FG6" s="533" t="str">
        <f t="shared" si="5"/>
        <v>8-2039</v>
      </c>
      <c r="FH6" s="533" t="str">
        <f t="shared" si="5"/>
        <v>9-2039</v>
      </c>
      <c r="FI6" s="533" t="str">
        <f t="shared" si="5"/>
        <v>10-2039</v>
      </c>
      <c r="FJ6" s="533" t="str">
        <f t="shared" si="5"/>
        <v>11-2039</v>
      </c>
      <c r="FK6" s="533" t="str">
        <f t="shared" si="5"/>
        <v>12-2039</v>
      </c>
      <c r="FL6" s="533" t="str">
        <f t="shared" si="5"/>
        <v>1-2040</v>
      </c>
      <c r="FM6" s="533" t="str">
        <f t="shared" si="5"/>
        <v>2-2040</v>
      </c>
      <c r="FN6" s="533" t="str">
        <f t="shared" si="5"/>
        <v>3-2040</v>
      </c>
      <c r="FO6" s="533" t="str">
        <f t="shared" si="5"/>
        <v>4-2040</v>
      </c>
      <c r="FP6" s="533" t="str">
        <f t="shared" si="5"/>
        <v>5-2040</v>
      </c>
      <c r="FQ6" s="533" t="str">
        <f t="shared" si="5"/>
        <v>6-2040</v>
      </c>
      <c r="FR6" s="533" t="str">
        <f t="shared" si="5"/>
        <v>7-2040</v>
      </c>
      <c r="FS6" s="533" t="str">
        <f t="shared" si="5"/>
        <v>8-2040</v>
      </c>
      <c r="FT6" s="534"/>
      <c r="FU6" s="534"/>
      <c r="FV6" s="534"/>
      <c r="FW6" s="534"/>
      <c r="FX6" s="534"/>
    </row>
    <row r="7" spans="2:180" ht="13.5" outlineLevel="1">
      <c r="B7" s="532" t="s">
        <v>279</v>
      </c>
      <c r="C7" s="533"/>
      <c r="D7" s="533"/>
      <c r="E7" s="533">
        <f>MONTH(E5)</f>
        <v>6</v>
      </c>
      <c r="F7" s="533">
        <f t="shared" ref="F7:BQ7" si="6">MONTH(F5)</f>
        <v>7</v>
      </c>
      <c r="G7" s="533">
        <f t="shared" si="6"/>
        <v>8</v>
      </c>
      <c r="H7" s="533">
        <f t="shared" si="6"/>
        <v>9</v>
      </c>
      <c r="I7" s="533">
        <f t="shared" si="6"/>
        <v>10</v>
      </c>
      <c r="J7" s="533">
        <f t="shared" si="6"/>
        <v>11</v>
      </c>
      <c r="K7" s="533">
        <f t="shared" si="6"/>
        <v>12</v>
      </c>
      <c r="L7" s="533">
        <f t="shared" si="6"/>
        <v>1</v>
      </c>
      <c r="M7" s="533">
        <f t="shared" si="6"/>
        <v>2</v>
      </c>
      <c r="N7" s="533">
        <f t="shared" si="6"/>
        <v>3</v>
      </c>
      <c r="O7" s="533">
        <f t="shared" si="6"/>
        <v>4</v>
      </c>
      <c r="P7" s="533">
        <f t="shared" si="6"/>
        <v>5</v>
      </c>
      <c r="Q7" s="533">
        <f t="shared" si="6"/>
        <v>6</v>
      </c>
      <c r="R7" s="533">
        <f t="shared" si="6"/>
        <v>7</v>
      </c>
      <c r="S7" s="533">
        <f t="shared" si="6"/>
        <v>8</v>
      </c>
      <c r="T7" s="533">
        <f t="shared" si="6"/>
        <v>9</v>
      </c>
      <c r="U7" s="533">
        <f t="shared" si="6"/>
        <v>10</v>
      </c>
      <c r="V7" s="533">
        <f t="shared" si="6"/>
        <v>11</v>
      </c>
      <c r="W7" s="533">
        <f t="shared" si="6"/>
        <v>12</v>
      </c>
      <c r="X7" s="533">
        <f t="shared" si="6"/>
        <v>1</v>
      </c>
      <c r="Y7" s="533">
        <f t="shared" si="6"/>
        <v>2</v>
      </c>
      <c r="Z7" s="533">
        <f t="shared" si="6"/>
        <v>3</v>
      </c>
      <c r="AA7" s="533">
        <f t="shared" si="6"/>
        <v>4</v>
      </c>
      <c r="AB7" s="533">
        <f t="shared" si="6"/>
        <v>5</v>
      </c>
      <c r="AC7" s="533">
        <f t="shared" si="6"/>
        <v>6</v>
      </c>
      <c r="AD7" s="533">
        <f t="shared" si="6"/>
        <v>7</v>
      </c>
      <c r="AE7" s="533">
        <f t="shared" si="6"/>
        <v>8</v>
      </c>
      <c r="AF7" s="533">
        <f t="shared" si="6"/>
        <v>9</v>
      </c>
      <c r="AG7" s="533">
        <f t="shared" si="6"/>
        <v>10</v>
      </c>
      <c r="AH7" s="533">
        <f t="shared" si="6"/>
        <v>11</v>
      </c>
      <c r="AI7" s="533">
        <f t="shared" si="6"/>
        <v>12</v>
      </c>
      <c r="AJ7" s="533">
        <f t="shared" si="6"/>
        <v>1</v>
      </c>
      <c r="AK7" s="533">
        <f t="shared" si="6"/>
        <v>2</v>
      </c>
      <c r="AL7" s="533">
        <f t="shared" si="6"/>
        <v>3</v>
      </c>
      <c r="AM7" s="533">
        <f t="shared" si="6"/>
        <v>4</v>
      </c>
      <c r="AN7" s="533">
        <f t="shared" si="6"/>
        <v>5</v>
      </c>
      <c r="AO7" s="533">
        <f t="shared" si="6"/>
        <v>6</v>
      </c>
      <c r="AP7" s="533">
        <f t="shared" si="6"/>
        <v>7</v>
      </c>
      <c r="AQ7" s="533">
        <f t="shared" si="6"/>
        <v>8</v>
      </c>
      <c r="AR7" s="533">
        <f t="shared" si="6"/>
        <v>9</v>
      </c>
      <c r="AS7" s="533">
        <f t="shared" si="6"/>
        <v>10</v>
      </c>
      <c r="AT7" s="533">
        <f t="shared" si="6"/>
        <v>11</v>
      </c>
      <c r="AU7" s="533">
        <f t="shared" si="6"/>
        <v>12</v>
      </c>
      <c r="AV7" s="533">
        <f t="shared" si="6"/>
        <v>1</v>
      </c>
      <c r="AW7" s="533">
        <f t="shared" si="6"/>
        <v>2</v>
      </c>
      <c r="AX7" s="533">
        <f t="shared" si="6"/>
        <v>3</v>
      </c>
      <c r="AY7" s="533">
        <f t="shared" si="6"/>
        <v>4</v>
      </c>
      <c r="AZ7" s="533">
        <f t="shared" si="6"/>
        <v>5</v>
      </c>
      <c r="BA7" s="533">
        <f t="shared" si="6"/>
        <v>6</v>
      </c>
      <c r="BB7" s="533">
        <f t="shared" si="6"/>
        <v>7</v>
      </c>
      <c r="BC7" s="533">
        <f t="shared" si="6"/>
        <v>8</v>
      </c>
      <c r="BD7" s="533">
        <f t="shared" si="6"/>
        <v>9</v>
      </c>
      <c r="BE7" s="533">
        <f t="shared" si="6"/>
        <v>10</v>
      </c>
      <c r="BF7" s="533">
        <f t="shared" si="6"/>
        <v>11</v>
      </c>
      <c r="BG7" s="533">
        <f t="shared" si="6"/>
        <v>12</v>
      </c>
      <c r="BH7" s="533">
        <f t="shared" si="6"/>
        <v>1</v>
      </c>
      <c r="BI7" s="533">
        <f t="shared" si="6"/>
        <v>2</v>
      </c>
      <c r="BJ7" s="533">
        <f t="shared" si="6"/>
        <v>3</v>
      </c>
      <c r="BK7" s="533">
        <f t="shared" si="6"/>
        <v>4</v>
      </c>
      <c r="BL7" s="533">
        <f t="shared" si="6"/>
        <v>5</v>
      </c>
      <c r="BM7" s="533">
        <f t="shared" si="6"/>
        <v>6</v>
      </c>
      <c r="BN7" s="533">
        <f t="shared" si="6"/>
        <v>7</v>
      </c>
      <c r="BO7" s="533">
        <f t="shared" si="6"/>
        <v>8</v>
      </c>
      <c r="BP7" s="533">
        <f t="shared" si="6"/>
        <v>9</v>
      </c>
      <c r="BQ7" s="533">
        <f t="shared" si="6"/>
        <v>10</v>
      </c>
      <c r="BR7" s="533">
        <f t="shared" ref="BR7:EC7" si="7">MONTH(BR5)</f>
        <v>11</v>
      </c>
      <c r="BS7" s="533">
        <f t="shared" si="7"/>
        <v>12</v>
      </c>
      <c r="BT7" s="533">
        <f t="shared" si="7"/>
        <v>1</v>
      </c>
      <c r="BU7" s="533">
        <f t="shared" si="7"/>
        <v>2</v>
      </c>
      <c r="BV7" s="533">
        <f t="shared" si="7"/>
        <v>3</v>
      </c>
      <c r="BW7" s="533">
        <f t="shared" si="7"/>
        <v>4</v>
      </c>
      <c r="BX7" s="533">
        <f t="shared" si="7"/>
        <v>5</v>
      </c>
      <c r="BY7" s="533">
        <f t="shared" si="7"/>
        <v>6</v>
      </c>
      <c r="BZ7" s="533">
        <f t="shared" si="7"/>
        <v>7</v>
      </c>
      <c r="CA7" s="533">
        <f t="shared" si="7"/>
        <v>8</v>
      </c>
      <c r="CB7" s="533">
        <f t="shared" si="7"/>
        <v>9</v>
      </c>
      <c r="CC7" s="533">
        <f t="shared" si="7"/>
        <v>10</v>
      </c>
      <c r="CD7" s="533">
        <f t="shared" si="7"/>
        <v>11</v>
      </c>
      <c r="CE7" s="533">
        <f t="shared" si="7"/>
        <v>12</v>
      </c>
      <c r="CF7" s="533">
        <f t="shared" si="7"/>
        <v>1</v>
      </c>
      <c r="CG7" s="533">
        <f t="shared" si="7"/>
        <v>2</v>
      </c>
      <c r="CH7" s="533">
        <f t="shared" si="7"/>
        <v>3</v>
      </c>
      <c r="CI7" s="533">
        <f t="shared" si="7"/>
        <v>4</v>
      </c>
      <c r="CJ7" s="533">
        <f t="shared" si="7"/>
        <v>5</v>
      </c>
      <c r="CK7" s="533">
        <f t="shared" si="7"/>
        <v>6</v>
      </c>
      <c r="CL7" s="533">
        <f t="shared" si="7"/>
        <v>7</v>
      </c>
      <c r="CM7" s="533">
        <f t="shared" si="7"/>
        <v>8</v>
      </c>
      <c r="CN7" s="533">
        <f t="shared" si="7"/>
        <v>9</v>
      </c>
      <c r="CO7" s="533">
        <f t="shared" si="7"/>
        <v>10</v>
      </c>
      <c r="CP7" s="533">
        <f t="shared" si="7"/>
        <v>11</v>
      </c>
      <c r="CQ7" s="533">
        <f t="shared" si="7"/>
        <v>12</v>
      </c>
      <c r="CR7" s="533">
        <f t="shared" si="7"/>
        <v>1</v>
      </c>
      <c r="CS7" s="533">
        <f t="shared" si="7"/>
        <v>2</v>
      </c>
      <c r="CT7" s="533">
        <f t="shared" si="7"/>
        <v>3</v>
      </c>
      <c r="CU7" s="533">
        <f t="shared" si="7"/>
        <v>4</v>
      </c>
      <c r="CV7" s="533">
        <f t="shared" si="7"/>
        <v>5</v>
      </c>
      <c r="CW7" s="533">
        <f t="shared" si="7"/>
        <v>6</v>
      </c>
      <c r="CX7" s="533">
        <f t="shared" si="7"/>
        <v>7</v>
      </c>
      <c r="CY7" s="533">
        <f t="shared" si="7"/>
        <v>8</v>
      </c>
      <c r="CZ7" s="533">
        <f t="shared" si="7"/>
        <v>9</v>
      </c>
      <c r="DA7" s="533">
        <f t="shared" si="7"/>
        <v>10</v>
      </c>
      <c r="DB7" s="533">
        <f t="shared" si="7"/>
        <v>11</v>
      </c>
      <c r="DC7" s="533">
        <f t="shared" si="7"/>
        <v>12</v>
      </c>
      <c r="DD7" s="533">
        <f t="shared" si="7"/>
        <v>1</v>
      </c>
      <c r="DE7" s="533">
        <f t="shared" si="7"/>
        <v>2</v>
      </c>
      <c r="DF7" s="533">
        <f t="shared" si="7"/>
        <v>3</v>
      </c>
      <c r="DG7" s="533">
        <f t="shared" si="7"/>
        <v>4</v>
      </c>
      <c r="DH7" s="533">
        <f t="shared" si="7"/>
        <v>5</v>
      </c>
      <c r="DI7" s="533">
        <f t="shared" si="7"/>
        <v>6</v>
      </c>
      <c r="DJ7" s="533">
        <f t="shared" si="7"/>
        <v>7</v>
      </c>
      <c r="DK7" s="533">
        <f t="shared" si="7"/>
        <v>8</v>
      </c>
      <c r="DL7" s="533">
        <f t="shared" si="7"/>
        <v>9</v>
      </c>
      <c r="DM7" s="533">
        <f t="shared" si="7"/>
        <v>10</v>
      </c>
      <c r="DN7" s="533">
        <f t="shared" si="7"/>
        <v>11</v>
      </c>
      <c r="DO7" s="533">
        <f t="shared" si="7"/>
        <v>12</v>
      </c>
      <c r="DP7" s="533">
        <f t="shared" si="7"/>
        <v>1</v>
      </c>
      <c r="DQ7" s="533">
        <f t="shared" si="7"/>
        <v>2</v>
      </c>
      <c r="DR7" s="533">
        <f t="shared" si="7"/>
        <v>3</v>
      </c>
      <c r="DS7" s="533">
        <f t="shared" si="7"/>
        <v>4</v>
      </c>
      <c r="DT7" s="533">
        <f t="shared" si="7"/>
        <v>5</v>
      </c>
      <c r="DU7" s="533">
        <f t="shared" si="7"/>
        <v>6</v>
      </c>
      <c r="DV7" s="533">
        <f t="shared" si="7"/>
        <v>7</v>
      </c>
      <c r="DW7" s="533">
        <f t="shared" si="7"/>
        <v>8</v>
      </c>
      <c r="DX7" s="533">
        <f t="shared" si="7"/>
        <v>9</v>
      </c>
      <c r="DY7" s="533">
        <f t="shared" si="7"/>
        <v>10</v>
      </c>
      <c r="DZ7" s="533">
        <f t="shared" si="7"/>
        <v>11</v>
      </c>
      <c r="EA7" s="533">
        <f t="shared" si="7"/>
        <v>12</v>
      </c>
      <c r="EB7" s="533">
        <f t="shared" si="7"/>
        <v>1</v>
      </c>
      <c r="EC7" s="533">
        <f t="shared" si="7"/>
        <v>2</v>
      </c>
      <c r="ED7" s="533">
        <f t="shared" ref="ED7:FS7" si="8">MONTH(ED5)</f>
        <v>3</v>
      </c>
      <c r="EE7" s="533">
        <f t="shared" si="8"/>
        <v>4</v>
      </c>
      <c r="EF7" s="533">
        <f t="shared" si="8"/>
        <v>5</v>
      </c>
      <c r="EG7" s="533">
        <f t="shared" si="8"/>
        <v>6</v>
      </c>
      <c r="EH7" s="533">
        <f t="shared" si="8"/>
        <v>7</v>
      </c>
      <c r="EI7" s="533">
        <f t="shared" si="8"/>
        <v>8</v>
      </c>
      <c r="EJ7" s="533">
        <f t="shared" si="8"/>
        <v>9</v>
      </c>
      <c r="EK7" s="533">
        <f t="shared" si="8"/>
        <v>10</v>
      </c>
      <c r="EL7" s="533">
        <f t="shared" si="8"/>
        <v>11</v>
      </c>
      <c r="EM7" s="533">
        <f t="shared" si="8"/>
        <v>12</v>
      </c>
      <c r="EN7" s="533">
        <f t="shared" si="8"/>
        <v>1</v>
      </c>
      <c r="EO7" s="533">
        <f t="shared" si="8"/>
        <v>2</v>
      </c>
      <c r="EP7" s="533">
        <f t="shared" si="8"/>
        <v>3</v>
      </c>
      <c r="EQ7" s="533">
        <f t="shared" si="8"/>
        <v>4</v>
      </c>
      <c r="ER7" s="533">
        <f t="shared" si="8"/>
        <v>5</v>
      </c>
      <c r="ES7" s="533">
        <f t="shared" si="8"/>
        <v>6</v>
      </c>
      <c r="ET7" s="533">
        <f t="shared" si="8"/>
        <v>7</v>
      </c>
      <c r="EU7" s="533">
        <f t="shared" si="8"/>
        <v>8</v>
      </c>
      <c r="EV7" s="533">
        <f t="shared" si="8"/>
        <v>9</v>
      </c>
      <c r="EW7" s="533">
        <f t="shared" si="8"/>
        <v>10</v>
      </c>
      <c r="EX7" s="533">
        <f t="shared" si="8"/>
        <v>11</v>
      </c>
      <c r="EY7" s="533">
        <f t="shared" si="8"/>
        <v>12</v>
      </c>
      <c r="EZ7" s="533">
        <f t="shared" si="8"/>
        <v>1</v>
      </c>
      <c r="FA7" s="533">
        <f t="shared" si="8"/>
        <v>2</v>
      </c>
      <c r="FB7" s="533">
        <f t="shared" si="8"/>
        <v>3</v>
      </c>
      <c r="FC7" s="533">
        <f t="shared" si="8"/>
        <v>4</v>
      </c>
      <c r="FD7" s="533">
        <f t="shared" si="8"/>
        <v>5</v>
      </c>
      <c r="FE7" s="533">
        <f t="shared" si="8"/>
        <v>6</v>
      </c>
      <c r="FF7" s="533">
        <f t="shared" si="8"/>
        <v>7</v>
      </c>
      <c r="FG7" s="533">
        <f t="shared" si="8"/>
        <v>8</v>
      </c>
      <c r="FH7" s="533">
        <f t="shared" si="8"/>
        <v>9</v>
      </c>
      <c r="FI7" s="533">
        <f t="shared" si="8"/>
        <v>10</v>
      </c>
      <c r="FJ7" s="533">
        <f t="shared" si="8"/>
        <v>11</v>
      </c>
      <c r="FK7" s="533">
        <f t="shared" si="8"/>
        <v>12</v>
      </c>
      <c r="FL7" s="533">
        <f t="shared" si="8"/>
        <v>1</v>
      </c>
      <c r="FM7" s="533">
        <f t="shared" si="8"/>
        <v>2</v>
      </c>
      <c r="FN7" s="533">
        <f t="shared" si="8"/>
        <v>3</v>
      </c>
      <c r="FO7" s="533">
        <f t="shared" si="8"/>
        <v>4</v>
      </c>
      <c r="FP7" s="533">
        <f t="shared" si="8"/>
        <v>5</v>
      </c>
      <c r="FQ7" s="533">
        <f t="shared" si="8"/>
        <v>6</v>
      </c>
      <c r="FR7" s="533">
        <f t="shared" si="8"/>
        <v>7</v>
      </c>
      <c r="FS7" s="533">
        <f t="shared" si="8"/>
        <v>8</v>
      </c>
      <c r="FT7" s="534"/>
      <c r="FU7" s="534"/>
      <c r="FV7" s="534"/>
      <c r="FW7" s="534"/>
      <c r="FX7" s="534"/>
    </row>
    <row r="8" spans="2:180" ht="13.5" outlineLevel="1">
      <c r="B8" s="532" t="s">
        <v>279</v>
      </c>
      <c r="C8" s="533"/>
      <c r="D8" s="533"/>
      <c r="E8" s="533">
        <f t="shared" ref="E8:BP8" si="9">YEAR(E5)</f>
        <v>2026</v>
      </c>
      <c r="F8" s="533">
        <f t="shared" si="9"/>
        <v>2026</v>
      </c>
      <c r="G8" s="533">
        <f t="shared" si="9"/>
        <v>2026</v>
      </c>
      <c r="H8" s="533">
        <f t="shared" si="9"/>
        <v>2026</v>
      </c>
      <c r="I8" s="533">
        <f t="shared" si="9"/>
        <v>2026</v>
      </c>
      <c r="J8" s="533">
        <f t="shared" si="9"/>
        <v>2026</v>
      </c>
      <c r="K8" s="533">
        <f t="shared" si="9"/>
        <v>2026</v>
      </c>
      <c r="L8" s="533">
        <f t="shared" si="9"/>
        <v>2027</v>
      </c>
      <c r="M8" s="533">
        <f t="shared" si="9"/>
        <v>2027</v>
      </c>
      <c r="N8" s="533">
        <f t="shared" si="9"/>
        <v>2027</v>
      </c>
      <c r="O8" s="533">
        <f t="shared" si="9"/>
        <v>2027</v>
      </c>
      <c r="P8" s="533">
        <f t="shared" si="9"/>
        <v>2027</v>
      </c>
      <c r="Q8" s="533">
        <f t="shared" si="9"/>
        <v>2027</v>
      </c>
      <c r="R8" s="533">
        <f t="shared" si="9"/>
        <v>2027</v>
      </c>
      <c r="S8" s="533">
        <f t="shared" si="9"/>
        <v>2027</v>
      </c>
      <c r="T8" s="533">
        <f t="shared" si="9"/>
        <v>2027</v>
      </c>
      <c r="U8" s="533">
        <f t="shared" si="9"/>
        <v>2027</v>
      </c>
      <c r="V8" s="533">
        <f t="shared" si="9"/>
        <v>2027</v>
      </c>
      <c r="W8" s="533">
        <f t="shared" si="9"/>
        <v>2027</v>
      </c>
      <c r="X8" s="533">
        <f t="shared" si="9"/>
        <v>2028</v>
      </c>
      <c r="Y8" s="533">
        <f t="shared" si="9"/>
        <v>2028</v>
      </c>
      <c r="Z8" s="533">
        <f t="shared" si="9"/>
        <v>2028</v>
      </c>
      <c r="AA8" s="533">
        <f t="shared" si="9"/>
        <v>2028</v>
      </c>
      <c r="AB8" s="533">
        <f t="shared" si="9"/>
        <v>2028</v>
      </c>
      <c r="AC8" s="533">
        <f t="shared" si="9"/>
        <v>2028</v>
      </c>
      <c r="AD8" s="533">
        <f t="shared" si="9"/>
        <v>2028</v>
      </c>
      <c r="AE8" s="533">
        <f t="shared" si="9"/>
        <v>2028</v>
      </c>
      <c r="AF8" s="533">
        <f t="shared" si="9"/>
        <v>2028</v>
      </c>
      <c r="AG8" s="533">
        <f t="shared" si="9"/>
        <v>2028</v>
      </c>
      <c r="AH8" s="533">
        <f t="shared" si="9"/>
        <v>2028</v>
      </c>
      <c r="AI8" s="533">
        <f t="shared" si="9"/>
        <v>2028</v>
      </c>
      <c r="AJ8" s="533">
        <f t="shared" si="9"/>
        <v>2029</v>
      </c>
      <c r="AK8" s="533">
        <f t="shared" si="9"/>
        <v>2029</v>
      </c>
      <c r="AL8" s="533">
        <f t="shared" si="9"/>
        <v>2029</v>
      </c>
      <c r="AM8" s="533">
        <f t="shared" si="9"/>
        <v>2029</v>
      </c>
      <c r="AN8" s="533">
        <f t="shared" si="9"/>
        <v>2029</v>
      </c>
      <c r="AO8" s="533">
        <f t="shared" si="9"/>
        <v>2029</v>
      </c>
      <c r="AP8" s="533">
        <f t="shared" si="9"/>
        <v>2029</v>
      </c>
      <c r="AQ8" s="533">
        <f t="shared" si="9"/>
        <v>2029</v>
      </c>
      <c r="AR8" s="533">
        <f t="shared" si="9"/>
        <v>2029</v>
      </c>
      <c r="AS8" s="533">
        <f t="shared" si="9"/>
        <v>2029</v>
      </c>
      <c r="AT8" s="533">
        <f t="shared" si="9"/>
        <v>2029</v>
      </c>
      <c r="AU8" s="533">
        <f t="shared" si="9"/>
        <v>2029</v>
      </c>
      <c r="AV8" s="533">
        <f t="shared" si="9"/>
        <v>2030</v>
      </c>
      <c r="AW8" s="533">
        <f t="shared" si="9"/>
        <v>2030</v>
      </c>
      <c r="AX8" s="533">
        <f t="shared" si="9"/>
        <v>2030</v>
      </c>
      <c r="AY8" s="533">
        <f t="shared" si="9"/>
        <v>2030</v>
      </c>
      <c r="AZ8" s="533">
        <f t="shared" si="9"/>
        <v>2030</v>
      </c>
      <c r="BA8" s="533">
        <f t="shared" si="9"/>
        <v>2030</v>
      </c>
      <c r="BB8" s="533">
        <f t="shared" si="9"/>
        <v>2030</v>
      </c>
      <c r="BC8" s="533">
        <f t="shared" si="9"/>
        <v>2030</v>
      </c>
      <c r="BD8" s="533">
        <f t="shared" si="9"/>
        <v>2030</v>
      </c>
      <c r="BE8" s="533">
        <f t="shared" si="9"/>
        <v>2030</v>
      </c>
      <c r="BF8" s="533">
        <f t="shared" si="9"/>
        <v>2030</v>
      </c>
      <c r="BG8" s="533">
        <f t="shared" si="9"/>
        <v>2030</v>
      </c>
      <c r="BH8" s="533">
        <f t="shared" si="9"/>
        <v>2031</v>
      </c>
      <c r="BI8" s="533">
        <f t="shared" si="9"/>
        <v>2031</v>
      </c>
      <c r="BJ8" s="533">
        <f t="shared" si="9"/>
        <v>2031</v>
      </c>
      <c r="BK8" s="533">
        <f t="shared" si="9"/>
        <v>2031</v>
      </c>
      <c r="BL8" s="533">
        <f t="shared" si="9"/>
        <v>2031</v>
      </c>
      <c r="BM8" s="533">
        <f t="shared" si="9"/>
        <v>2031</v>
      </c>
      <c r="BN8" s="533">
        <f t="shared" si="9"/>
        <v>2031</v>
      </c>
      <c r="BO8" s="533">
        <f t="shared" si="9"/>
        <v>2031</v>
      </c>
      <c r="BP8" s="533">
        <f t="shared" si="9"/>
        <v>2031</v>
      </c>
      <c r="BQ8" s="533">
        <f t="shared" ref="BQ8:EB8" si="10">YEAR(BQ5)</f>
        <v>2031</v>
      </c>
      <c r="BR8" s="533">
        <f t="shared" si="10"/>
        <v>2031</v>
      </c>
      <c r="BS8" s="533">
        <f t="shared" si="10"/>
        <v>2031</v>
      </c>
      <c r="BT8" s="533">
        <f t="shared" si="10"/>
        <v>2032</v>
      </c>
      <c r="BU8" s="533">
        <f t="shared" si="10"/>
        <v>2032</v>
      </c>
      <c r="BV8" s="533">
        <f t="shared" si="10"/>
        <v>2032</v>
      </c>
      <c r="BW8" s="533">
        <f t="shared" si="10"/>
        <v>2032</v>
      </c>
      <c r="BX8" s="533">
        <f t="shared" si="10"/>
        <v>2032</v>
      </c>
      <c r="BY8" s="533">
        <f t="shared" si="10"/>
        <v>2032</v>
      </c>
      <c r="BZ8" s="533">
        <f t="shared" si="10"/>
        <v>2032</v>
      </c>
      <c r="CA8" s="533">
        <f t="shared" si="10"/>
        <v>2032</v>
      </c>
      <c r="CB8" s="533">
        <f t="shared" si="10"/>
        <v>2032</v>
      </c>
      <c r="CC8" s="533">
        <f t="shared" si="10"/>
        <v>2032</v>
      </c>
      <c r="CD8" s="533">
        <f t="shared" si="10"/>
        <v>2032</v>
      </c>
      <c r="CE8" s="533">
        <f t="shared" si="10"/>
        <v>2032</v>
      </c>
      <c r="CF8" s="533">
        <f t="shared" si="10"/>
        <v>2033</v>
      </c>
      <c r="CG8" s="533">
        <f t="shared" si="10"/>
        <v>2033</v>
      </c>
      <c r="CH8" s="533">
        <f t="shared" si="10"/>
        <v>2033</v>
      </c>
      <c r="CI8" s="533">
        <f t="shared" si="10"/>
        <v>2033</v>
      </c>
      <c r="CJ8" s="533">
        <f t="shared" si="10"/>
        <v>2033</v>
      </c>
      <c r="CK8" s="533">
        <f t="shared" si="10"/>
        <v>2033</v>
      </c>
      <c r="CL8" s="533">
        <f t="shared" si="10"/>
        <v>2033</v>
      </c>
      <c r="CM8" s="533">
        <f t="shared" si="10"/>
        <v>2033</v>
      </c>
      <c r="CN8" s="533">
        <f t="shared" si="10"/>
        <v>2033</v>
      </c>
      <c r="CO8" s="533">
        <f t="shared" si="10"/>
        <v>2033</v>
      </c>
      <c r="CP8" s="533">
        <f t="shared" si="10"/>
        <v>2033</v>
      </c>
      <c r="CQ8" s="533">
        <f t="shared" si="10"/>
        <v>2033</v>
      </c>
      <c r="CR8" s="533">
        <f t="shared" si="10"/>
        <v>2034</v>
      </c>
      <c r="CS8" s="533">
        <f t="shared" si="10"/>
        <v>2034</v>
      </c>
      <c r="CT8" s="533">
        <f t="shared" si="10"/>
        <v>2034</v>
      </c>
      <c r="CU8" s="533">
        <f t="shared" si="10"/>
        <v>2034</v>
      </c>
      <c r="CV8" s="533">
        <f t="shared" si="10"/>
        <v>2034</v>
      </c>
      <c r="CW8" s="533">
        <f t="shared" si="10"/>
        <v>2034</v>
      </c>
      <c r="CX8" s="533">
        <f t="shared" si="10"/>
        <v>2034</v>
      </c>
      <c r="CY8" s="533">
        <f t="shared" si="10"/>
        <v>2034</v>
      </c>
      <c r="CZ8" s="533">
        <f t="shared" si="10"/>
        <v>2034</v>
      </c>
      <c r="DA8" s="533">
        <f t="shared" si="10"/>
        <v>2034</v>
      </c>
      <c r="DB8" s="533">
        <f t="shared" si="10"/>
        <v>2034</v>
      </c>
      <c r="DC8" s="533">
        <f t="shared" si="10"/>
        <v>2034</v>
      </c>
      <c r="DD8" s="533">
        <f t="shared" si="10"/>
        <v>2035</v>
      </c>
      <c r="DE8" s="533">
        <f t="shared" si="10"/>
        <v>2035</v>
      </c>
      <c r="DF8" s="533">
        <f t="shared" si="10"/>
        <v>2035</v>
      </c>
      <c r="DG8" s="533">
        <f t="shared" si="10"/>
        <v>2035</v>
      </c>
      <c r="DH8" s="533">
        <f t="shared" si="10"/>
        <v>2035</v>
      </c>
      <c r="DI8" s="533">
        <f t="shared" si="10"/>
        <v>2035</v>
      </c>
      <c r="DJ8" s="533">
        <f t="shared" si="10"/>
        <v>2035</v>
      </c>
      <c r="DK8" s="533">
        <f t="shared" si="10"/>
        <v>2035</v>
      </c>
      <c r="DL8" s="533">
        <f t="shared" si="10"/>
        <v>2035</v>
      </c>
      <c r="DM8" s="533">
        <f t="shared" si="10"/>
        <v>2035</v>
      </c>
      <c r="DN8" s="533">
        <f t="shared" si="10"/>
        <v>2035</v>
      </c>
      <c r="DO8" s="533">
        <f t="shared" si="10"/>
        <v>2035</v>
      </c>
      <c r="DP8" s="533">
        <f t="shared" si="10"/>
        <v>2036</v>
      </c>
      <c r="DQ8" s="533">
        <f t="shared" si="10"/>
        <v>2036</v>
      </c>
      <c r="DR8" s="533">
        <f t="shared" si="10"/>
        <v>2036</v>
      </c>
      <c r="DS8" s="533">
        <f t="shared" si="10"/>
        <v>2036</v>
      </c>
      <c r="DT8" s="533">
        <f t="shared" si="10"/>
        <v>2036</v>
      </c>
      <c r="DU8" s="533">
        <f t="shared" si="10"/>
        <v>2036</v>
      </c>
      <c r="DV8" s="533">
        <f t="shared" si="10"/>
        <v>2036</v>
      </c>
      <c r="DW8" s="533">
        <f t="shared" si="10"/>
        <v>2036</v>
      </c>
      <c r="DX8" s="533">
        <f t="shared" si="10"/>
        <v>2036</v>
      </c>
      <c r="DY8" s="533">
        <f t="shared" si="10"/>
        <v>2036</v>
      </c>
      <c r="DZ8" s="533">
        <f t="shared" si="10"/>
        <v>2036</v>
      </c>
      <c r="EA8" s="533">
        <f t="shared" si="10"/>
        <v>2036</v>
      </c>
      <c r="EB8" s="533">
        <f t="shared" si="10"/>
        <v>2037</v>
      </c>
      <c r="EC8" s="533">
        <f t="shared" ref="EC8:FS8" si="11">YEAR(EC5)</f>
        <v>2037</v>
      </c>
      <c r="ED8" s="533">
        <f t="shared" si="11"/>
        <v>2037</v>
      </c>
      <c r="EE8" s="533">
        <f t="shared" si="11"/>
        <v>2037</v>
      </c>
      <c r="EF8" s="533">
        <f t="shared" si="11"/>
        <v>2037</v>
      </c>
      <c r="EG8" s="533">
        <f t="shared" si="11"/>
        <v>2037</v>
      </c>
      <c r="EH8" s="533">
        <f t="shared" si="11"/>
        <v>2037</v>
      </c>
      <c r="EI8" s="533">
        <f t="shared" si="11"/>
        <v>2037</v>
      </c>
      <c r="EJ8" s="533">
        <f t="shared" si="11"/>
        <v>2037</v>
      </c>
      <c r="EK8" s="533">
        <f t="shared" si="11"/>
        <v>2037</v>
      </c>
      <c r="EL8" s="533">
        <f t="shared" si="11"/>
        <v>2037</v>
      </c>
      <c r="EM8" s="533">
        <f t="shared" si="11"/>
        <v>2037</v>
      </c>
      <c r="EN8" s="533">
        <f t="shared" si="11"/>
        <v>2038</v>
      </c>
      <c r="EO8" s="533">
        <f t="shared" si="11"/>
        <v>2038</v>
      </c>
      <c r="EP8" s="533">
        <f t="shared" si="11"/>
        <v>2038</v>
      </c>
      <c r="EQ8" s="533">
        <f t="shared" si="11"/>
        <v>2038</v>
      </c>
      <c r="ER8" s="533">
        <f t="shared" si="11"/>
        <v>2038</v>
      </c>
      <c r="ES8" s="533">
        <f t="shared" si="11"/>
        <v>2038</v>
      </c>
      <c r="ET8" s="533">
        <f t="shared" si="11"/>
        <v>2038</v>
      </c>
      <c r="EU8" s="533">
        <f t="shared" si="11"/>
        <v>2038</v>
      </c>
      <c r="EV8" s="533">
        <f t="shared" si="11"/>
        <v>2038</v>
      </c>
      <c r="EW8" s="533">
        <f t="shared" si="11"/>
        <v>2038</v>
      </c>
      <c r="EX8" s="533">
        <f t="shared" si="11"/>
        <v>2038</v>
      </c>
      <c r="EY8" s="533">
        <f t="shared" si="11"/>
        <v>2038</v>
      </c>
      <c r="EZ8" s="533">
        <f t="shared" si="11"/>
        <v>2039</v>
      </c>
      <c r="FA8" s="533">
        <f t="shared" si="11"/>
        <v>2039</v>
      </c>
      <c r="FB8" s="533">
        <f t="shared" si="11"/>
        <v>2039</v>
      </c>
      <c r="FC8" s="533">
        <f t="shared" si="11"/>
        <v>2039</v>
      </c>
      <c r="FD8" s="533">
        <f t="shared" si="11"/>
        <v>2039</v>
      </c>
      <c r="FE8" s="533">
        <f t="shared" si="11"/>
        <v>2039</v>
      </c>
      <c r="FF8" s="533">
        <f t="shared" si="11"/>
        <v>2039</v>
      </c>
      <c r="FG8" s="533">
        <f t="shared" si="11"/>
        <v>2039</v>
      </c>
      <c r="FH8" s="533">
        <f t="shared" si="11"/>
        <v>2039</v>
      </c>
      <c r="FI8" s="533">
        <f t="shared" si="11"/>
        <v>2039</v>
      </c>
      <c r="FJ8" s="533">
        <f t="shared" si="11"/>
        <v>2039</v>
      </c>
      <c r="FK8" s="533">
        <f t="shared" si="11"/>
        <v>2039</v>
      </c>
      <c r="FL8" s="533">
        <f t="shared" si="11"/>
        <v>2040</v>
      </c>
      <c r="FM8" s="533">
        <f t="shared" si="11"/>
        <v>2040</v>
      </c>
      <c r="FN8" s="533">
        <f t="shared" si="11"/>
        <v>2040</v>
      </c>
      <c r="FO8" s="533">
        <f t="shared" si="11"/>
        <v>2040</v>
      </c>
      <c r="FP8" s="533">
        <f t="shared" si="11"/>
        <v>2040</v>
      </c>
      <c r="FQ8" s="533">
        <f t="shared" si="11"/>
        <v>2040</v>
      </c>
      <c r="FR8" s="533">
        <f t="shared" si="11"/>
        <v>2040</v>
      </c>
      <c r="FS8" s="533">
        <f t="shared" si="11"/>
        <v>2040</v>
      </c>
      <c r="FT8" s="534"/>
      <c r="FU8" s="534"/>
      <c r="FV8" s="534"/>
      <c r="FW8" s="534"/>
      <c r="FX8" s="534"/>
    </row>
    <row r="9" spans="2:180" ht="13.5" outlineLevel="1">
      <c r="B9" s="532" t="s">
        <v>279</v>
      </c>
      <c r="C9" s="533"/>
      <c r="D9" s="533"/>
      <c r="E9" s="535">
        <f>ROUNDUP(MONTH(E5)/3,0)</f>
        <v>2</v>
      </c>
      <c r="F9" s="535">
        <f t="shared" ref="F9:BQ9" si="12">ROUNDUP(MONTH(F5)/3,0)</f>
        <v>3</v>
      </c>
      <c r="G9" s="535">
        <f t="shared" si="12"/>
        <v>3</v>
      </c>
      <c r="H9" s="535">
        <f t="shared" si="12"/>
        <v>3</v>
      </c>
      <c r="I9" s="535">
        <f t="shared" si="12"/>
        <v>4</v>
      </c>
      <c r="J9" s="535">
        <f t="shared" si="12"/>
        <v>4</v>
      </c>
      <c r="K9" s="535">
        <f t="shared" si="12"/>
        <v>4</v>
      </c>
      <c r="L9" s="535">
        <f t="shared" si="12"/>
        <v>1</v>
      </c>
      <c r="M9" s="535">
        <f t="shared" si="12"/>
        <v>1</v>
      </c>
      <c r="N9" s="535">
        <f t="shared" si="12"/>
        <v>1</v>
      </c>
      <c r="O9" s="535">
        <f t="shared" si="12"/>
        <v>2</v>
      </c>
      <c r="P9" s="535">
        <f t="shared" si="12"/>
        <v>2</v>
      </c>
      <c r="Q9" s="535">
        <f t="shared" si="12"/>
        <v>2</v>
      </c>
      <c r="R9" s="535">
        <f t="shared" si="12"/>
        <v>3</v>
      </c>
      <c r="S9" s="535">
        <f t="shared" si="12"/>
        <v>3</v>
      </c>
      <c r="T9" s="535">
        <f t="shared" si="12"/>
        <v>3</v>
      </c>
      <c r="U9" s="535">
        <f t="shared" si="12"/>
        <v>4</v>
      </c>
      <c r="V9" s="535">
        <f t="shared" si="12"/>
        <v>4</v>
      </c>
      <c r="W9" s="535">
        <f t="shared" si="12"/>
        <v>4</v>
      </c>
      <c r="X9" s="535">
        <f t="shared" si="12"/>
        <v>1</v>
      </c>
      <c r="Y9" s="535">
        <f t="shared" si="12"/>
        <v>1</v>
      </c>
      <c r="Z9" s="535">
        <f t="shared" si="12"/>
        <v>1</v>
      </c>
      <c r="AA9" s="535">
        <f t="shared" si="12"/>
        <v>2</v>
      </c>
      <c r="AB9" s="535">
        <f t="shared" si="12"/>
        <v>2</v>
      </c>
      <c r="AC9" s="535">
        <f t="shared" si="12"/>
        <v>2</v>
      </c>
      <c r="AD9" s="535">
        <f t="shared" si="12"/>
        <v>3</v>
      </c>
      <c r="AE9" s="535">
        <f t="shared" si="12"/>
        <v>3</v>
      </c>
      <c r="AF9" s="535">
        <f t="shared" si="12"/>
        <v>3</v>
      </c>
      <c r="AG9" s="535">
        <f t="shared" si="12"/>
        <v>4</v>
      </c>
      <c r="AH9" s="535">
        <f t="shared" si="12"/>
        <v>4</v>
      </c>
      <c r="AI9" s="535">
        <f t="shared" si="12"/>
        <v>4</v>
      </c>
      <c r="AJ9" s="535">
        <f t="shared" si="12"/>
        <v>1</v>
      </c>
      <c r="AK9" s="535">
        <f t="shared" si="12"/>
        <v>1</v>
      </c>
      <c r="AL9" s="535">
        <f t="shared" si="12"/>
        <v>1</v>
      </c>
      <c r="AM9" s="535">
        <f t="shared" si="12"/>
        <v>2</v>
      </c>
      <c r="AN9" s="535">
        <f t="shared" si="12"/>
        <v>2</v>
      </c>
      <c r="AO9" s="535">
        <f t="shared" si="12"/>
        <v>2</v>
      </c>
      <c r="AP9" s="535">
        <f t="shared" si="12"/>
        <v>3</v>
      </c>
      <c r="AQ9" s="535">
        <f t="shared" si="12"/>
        <v>3</v>
      </c>
      <c r="AR9" s="535">
        <f t="shared" si="12"/>
        <v>3</v>
      </c>
      <c r="AS9" s="535">
        <f t="shared" si="12"/>
        <v>4</v>
      </c>
      <c r="AT9" s="535">
        <f t="shared" si="12"/>
        <v>4</v>
      </c>
      <c r="AU9" s="535">
        <f t="shared" si="12"/>
        <v>4</v>
      </c>
      <c r="AV9" s="535">
        <f t="shared" si="12"/>
        <v>1</v>
      </c>
      <c r="AW9" s="535">
        <f t="shared" si="12"/>
        <v>1</v>
      </c>
      <c r="AX9" s="535">
        <f t="shared" si="12"/>
        <v>1</v>
      </c>
      <c r="AY9" s="535">
        <f t="shared" si="12"/>
        <v>2</v>
      </c>
      <c r="AZ9" s="535">
        <f t="shared" si="12"/>
        <v>2</v>
      </c>
      <c r="BA9" s="535">
        <f t="shared" si="12"/>
        <v>2</v>
      </c>
      <c r="BB9" s="535">
        <f t="shared" si="12"/>
        <v>3</v>
      </c>
      <c r="BC9" s="535">
        <f t="shared" si="12"/>
        <v>3</v>
      </c>
      <c r="BD9" s="535">
        <f t="shared" si="12"/>
        <v>3</v>
      </c>
      <c r="BE9" s="535">
        <f t="shared" si="12"/>
        <v>4</v>
      </c>
      <c r="BF9" s="535">
        <f t="shared" si="12"/>
        <v>4</v>
      </c>
      <c r="BG9" s="535">
        <f t="shared" si="12"/>
        <v>4</v>
      </c>
      <c r="BH9" s="535">
        <f t="shared" si="12"/>
        <v>1</v>
      </c>
      <c r="BI9" s="535">
        <f t="shared" si="12"/>
        <v>1</v>
      </c>
      <c r="BJ9" s="535">
        <f t="shared" si="12"/>
        <v>1</v>
      </c>
      <c r="BK9" s="535">
        <f t="shared" si="12"/>
        <v>2</v>
      </c>
      <c r="BL9" s="535">
        <f t="shared" si="12"/>
        <v>2</v>
      </c>
      <c r="BM9" s="535">
        <f t="shared" si="12"/>
        <v>2</v>
      </c>
      <c r="BN9" s="535">
        <f t="shared" si="12"/>
        <v>3</v>
      </c>
      <c r="BO9" s="535">
        <f t="shared" si="12"/>
        <v>3</v>
      </c>
      <c r="BP9" s="535">
        <f t="shared" si="12"/>
        <v>3</v>
      </c>
      <c r="BQ9" s="535">
        <f t="shared" si="12"/>
        <v>4</v>
      </c>
      <c r="BR9" s="535">
        <f t="shared" ref="BR9:EC9" si="13">ROUNDUP(MONTH(BR5)/3,0)</f>
        <v>4</v>
      </c>
      <c r="BS9" s="535">
        <f t="shared" si="13"/>
        <v>4</v>
      </c>
      <c r="BT9" s="535">
        <f t="shared" si="13"/>
        <v>1</v>
      </c>
      <c r="BU9" s="535">
        <f t="shared" si="13"/>
        <v>1</v>
      </c>
      <c r="BV9" s="535">
        <f t="shared" si="13"/>
        <v>1</v>
      </c>
      <c r="BW9" s="535">
        <f t="shared" si="13"/>
        <v>2</v>
      </c>
      <c r="BX9" s="535">
        <f t="shared" si="13"/>
        <v>2</v>
      </c>
      <c r="BY9" s="535">
        <f t="shared" si="13"/>
        <v>2</v>
      </c>
      <c r="BZ9" s="535">
        <f t="shared" si="13"/>
        <v>3</v>
      </c>
      <c r="CA9" s="535">
        <f t="shared" si="13"/>
        <v>3</v>
      </c>
      <c r="CB9" s="535">
        <f t="shared" si="13"/>
        <v>3</v>
      </c>
      <c r="CC9" s="535">
        <f t="shared" si="13"/>
        <v>4</v>
      </c>
      <c r="CD9" s="535">
        <f t="shared" si="13"/>
        <v>4</v>
      </c>
      <c r="CE9" s="535">
        <f t="shared" si="13"/>
        <v>4</v>
      </c>
      <c r="CF9" s="535">
        <f t="shared" si="13"/>
        <v>1</v>
      </c>
      <c r="CG9" s="535">
        <f t="shared" si="13"/>
        <v>1</v>
      </c>
      <c r="CH9" s="535">
        <f t="shared" si="13"/>
        <v>1</v>
      </c>
      <c r="CI9" s="535">
        <f t="shared" si="13"/>
        <v>2</v>
      </c>
      <c r="CJ9" s="535">
        <f t="shared" si="13"/>
        <v>2</v>
      </c>
      <c r="CK9" s="535">
        <f t="shared" si="13"/>
        <v>2</v>
      </c>
      <c r="CL9" s="535">
        <f t="shared" si="13"/>
        <v>3</v>
      </c>
      <c r="CM9" s="535">
        <f t="shared" si="13"/>
        <v>3</v>
      </c>
      <c r="CN9" s="535">
        <f t="shared" si="13"/>
        <v>3</v>
      </c>
      <c r="CO9" s="535">
        <f t="shared" si="13"/>
        <v>4</v>
      </c>
      <c r="CP9" s="535">
        <f t="shared" si="13"/>
        <v>4</v>
      </c>
      <c r="CQ9" s="535">
        <f t="shared" si="13"/>
        <v>4</v>
      </c>
      <c r="CR9" s="535">
        <f t="shared" si="13"/>
        <v>1</v>
      </c>
      <c r="CS9" s="535">
        <f t="shared" si="13"/>
        <v>1</v>
      </c>
      <c r="CT9" s="535">
        <f t="shared" si="13"/>
        <v>1</v>
      </c>
      <c r="CU9" s="535">
        <f t="shared" si="13"/>
        <v>2</v>
      </c>
      <c r="CV9" s="535">
        <f t="shared" si="13"/>
        <v>2</v>
      </c>
      <c r="CW9" s="535">
        <f t="shared" si="13"/>
        <v>2</v>
      </c>
      <c r="CX9" s="535">
        <f t="shared" si="13"/>
        <v>3</v>
      </c>
      <c r="CY9" s="535">
        <f t="shared" si="13"/>
        <v>3</v>
      </c>
      <c r="CZ9" s="535">
        <f t="shared" si="13"/>
        <v>3</v>
      </c>
      <c r="DA9" s="535">
        <f t="shared" si="13"/>
        <v>4</v>
      </c>
      <c r="DB9" s="535">
        <f t="shared" si="13"/>
        <v>4</v>
      </c>
      <c r="DC9" s="535">
        <f t="shared" si="13"/>
        <v>4</v>
      </c>
      <c r="DD9" s="535">
        <f t="shared" si="13"/>
        <v>1</v>
      </c>
      <c r="DE9" s="535">
        <f t="shared" si="13"/>
        <v>1</v>
      </c>
      <c r="DF9" s="535">
        <f t="shared" si="13"/>
        <v>1</v>
      </c>
      <c r="DG9" s="535">
        <f t="shared" si="13"/>
        <v>2</v>
      </c>
      <c r="DH9" s="535">
        <f t="shared" si="13"/>
        <v>2</v>
      </c>
      <c r="DI9" s="535">
        <f t="shared" si="13"/>
        <v>2</v>
      </c>
      <c r="DJ9" s="535">
        <f t="shared" si="13"/>
        <v>3</v>
      </c>
      <c r="DK9" s="535">
        <f t="shared" si="13"/>
        <v>3</v>
      </c>
      <c r="DL9" s="535">
        <f t="shared" si="13"/>
        <v>3</v>
      </c>
      <c r="DM9" s="535">
        <f t="shared" si="13"/>
        <v>4</v>
      </c>
      <c r="DN9" s="535">
        <f t="shared" si="13"/>
        <v>4</v>
      </c>
      <c r="DO9" s="535">
        <f t="shared" si="13"/>
        <v>4</v>
      </c>
      <c r="DP9" s="535">
        <f t="shared" si="13"/>
        <v>1</v>
      </c>
      <c r="DQ9" s="535">
        <f t="shared" si="13"/>
        <v>1</v>
      </c>
      <c r="DR9" s="535">
        <f t="shared" si="13"/>
        <v>1</v>
      </c>
      <c r="DS9" s="535">
        <f t="shared" si="13"/>
        <v>2</v>
      </c>
      <c r="DT9" s="535">
        <f t="shared" si="13"/>
        <v>2</v>
      </c>
      <c r="DU9" s="535">
        <f t="shared" si="13"/>
        <v>2</v>
      </c>
      <c r="DV9" s="535">
        <f t="shared" si="13"/>
        <v>3</v>
      </c>
      <c r="DW9" s="535">
        <f t="shared" si="13"/>
        <v>3</v>
      </c>
      <c r="DX9" s="535">
        <f t="shared" si="13"/>
        <v>3</v>
      </c>
      <c r="DY9" s="535">
        <f t="shared" si="13"/>
        <v>4</v>
      </c>
      <c r="DZ9" s="535">
        <f t="shared" si="13"/>
        <v>4</v>
      </c>
      <c r="EA9" s="535">
        <f t="shared" si="13"/>
        <v>4</v>
      </c>
      <c r="EB9" s="535">
        <f t="shared" si="13"/>
        <v>1</v>
      </c>
      <c r="EC9" s="535">
        <f t="shared" si="13"/>
        <v>1</v>
      </c>
      <c r="ED9" s="535">
        <f t="shared" ref="ED9:FS9" si="14">ROUNDUP(MONTH(ED5)/3,0)</f>
        <v>1</v>
      </c>
      <c r="EE9" s="535">
        <f t="shared" si="14"/>
        <v>2</v>
      </c>
      <c r="EF9" s="535">
        <f t="shared" si="14"/>
        <v>2</v>
      </c>
      <c r="EG9" s="535">
        <f t="shared" si="14"/>
        <v>2</v>
      </c>
      <c r="EH9" s="535">
        <f t="shared" si="14"/>
        <v>3</v>
      </c>
      <c r="EI9" s="535">
        <f t="shared" si="14"/>
        <v>3</v>
      </c>
      <c r="EJ9" s="535">
        <f t="shared" si="14"/>
        <v>3</v>
      </c>
      <c r="EK9" s="535">
        <f t="shared" si="14"/>
        <v>4</v>
      </c>
      <c r="EL9" s="535">
        <f t="shared" si="14"/>
        <v>4</v>
      </c>
      <c r="EM9" s="535">
        <f t="shared" si="14"/>
        <v>4</v>
      </c>
      <c r="EN9" s="535">
        <f t="shared" si="14"/>
        <v>1</v>
      </c>
      <c r="EO9" s="535">
        <f t="shared" si="14"/>
        <v>1</v>
      </c>
      <c r="EP9" s="535">
        <f t="shared" si="14"/>
        <v>1</v>
      </c>
      <c r="EQ9" s="535">
        <f t="shared" si="14"/>
        <v>2</v>
      </c>
      <c r="ER9" s="535">
        <f t="shared" si="14"/>
        <v>2</v>
      </c>
      <c r="ES9" s="535">
        <f t="shared" si="14"/>
        <v>2</v>
      </c>
      <c r="ET9" s="535">
        <f t="shared" si="14"/>
        <v>3</v>
      </c>
      <c r="EU9" s="535">
        <f t="shared" si="14"/>
        <v>3</v>
      </c>
      <c r="EV9" s="535">
        <f t="shared" si="14"/>
        <v>3</v>
      </c>
      <c r="EW9" s="535">
        <f t="shared" si="14"/>
        <v>4</v>
      </c>
      <c r="EX9" s="535">
        <f t="shared" si="14"/>
        <v>4</v>
      </c>
      <c r="EY9" s="535">
        <f t="shared" si="14"/>
        <v>4</v>
      </c>
      <c r="EZ9" s="535">
        <f t="shared" si="14"/>
        <v>1</v>
      </c>
      <c r="FA9" s="535">
        <f t="shared" si="14"/>
        <v>1</v>
      </c>
      <c r="FB9" s="535">
        <f t="shared" si="14"/>
        <v>1</v>
      </c>
      <c r="FC9" s="535">
        <f t="shared" si="14"/>
        <v>2</v>
      </c>
      <c r="FD9" s="535">
        <f t="shared" si="14"/>
        <v>2</v>
      </c>
      <c r="FE9" s="535">
        <f t="shared" si="14"/>
        <v>2</v>
      </c>
      <c r="FF9" s="535">
        <f t="shared" si="14"/>
        <v>3</v>
      </c>
      <c r="FG9" s="535">
        <f t="shared" si="14"/>
        <v>3</v>
      </c>
      <c r="FH9" s="535">
        <f t="shared" si="14"/>
        <v>3</v>
      </c>
      <c r="FI9" s="535">
        <f t="shared" si="14"/>
        <v>4</v>
      </c>
      <c r="FJ9" s="535">
        <f t="shared" si="14"/>
        <v>4</v>
      </c>
      <c r="FK9" s="535">
        <f t="shared" si="14"/>
        <v>4</v>
      </c>
      <c r="FL9" s="535">
        <f t="shared" si="14"/>
        <v>1</v>
      </c>
      <c r="FM9" s="535">
        <f t="shared" si="14"/>
        <v>1</v>
      </c>
      <c r="FN9" s="535">
        <f t="shared" si="14"/>
        <v>1</v>
      </c>
      <c r="FO9" s="535">
        <f t="shared" si="14"/>
        <v>2</v>
      </c>
      <c r="FP9" s="535">
        <f t="shared" si="14"/>
        <v>2</v>
      </c>
      <c r="FQ9" s="535">
        <f t="shared" si="14"/>
        <v>2</v>
      </c>
      <c r="FR9" s="535">
        <f t="shared" si="14"/>
        <v>3</v>
      </c>
      <c r="FS9" s="535">
        <f t="shared" si="14"/>
        <v>3</v>
      </c>
      <c r="FT9" s="534"/>
      <c r="FU9" s="534"/>
      <c r="FV9" s="534"/>
      <c r="FW9" s="534"/>
      <c r="FX9" s="534"/>
    </row>
    <row r="10" spans="2:180" ht="13.5" outlineLevel="1">
      <c r="B10" s="532" t="s">
        <v>279</v>
      </c>
      <c r="C10" s="534" cm="1">
        <f t="array" ref="C10">INDEX(E10:FS10,MATCH(TRUE,E10:FS10&lt;&gt;"",0))</f>
        <v>0</v>
      </c>
      <c r="D10" s="533"/>
      <c r="E10" s="533">
        <f t="shared" ref="E10:BP10" si="15">IF(E31&gt;94%,E17,"")</f>
        <v>0</v>
      </c>
      <c r="F10" s="533">
        <f t="shared" si="15"/>
        <v>1</v>
      </c>
      <c r="G10" s="533">
        <f t="shared" si="15"/>
        <v>2</v>
      </c>
      <c r="H10" s="533">
        <f t="shared" si="15"/>
        <v>3</v>
      </c>
      <c r="I10" s="533">
        <f t="shared" si="15"/>
        <v>4</v>
      </c>
      <c r="J10" s="533">
        <f t="shared" si="15"/>
        <v>5</v>
      </c>
      <c r="K10" s="533">
        <f t="shared" si="15"/>
        <v>6</v>
      </c>
      <c r="L10" s="533">
        <f t="shared" si="15"/>
        <v>7</v>
      </c>
      <c r="M10" s="533">
        <f t="shared" si="15"/>
        <v>8</v>
      </c>
      <c r="N10" s="533">
        <f t="shared" si="15"/>
        <v>9</v>
      </c>
      <c r="O10" s="533">
        <f t="shared" si="15"/>
        <v>10</v>
      </c>
      <c r="P10" s="533">
        <f t="shared" si="15"/>
        <v>11</v>
      </c>
      <c r="Q10" s="533">
        <f t="shared" si="15"/>
        <v>12</v>
      </c>
      <c r="R10" s="533">
        <f t="shared" si="15"/>
        <v>13</v>
      </c>
      <c r="S10" s="533">
        <f t="shared" si="15"/>
        <v>14</v>
      </c>
      <c r="T10" s="533">
        <f t="shared" si="15"/>
        <v>15</v>
      </c>
      <c r="U10" s="533">
        <f t="shared" si="15"/>
        <v>16</v>
      </c>
      <c r="V10" s="533">
        <f t="shared" si="15"/>
        <v>17</v>
      </c>
      <c r="W10" s="533">
        <f t="shared" si="15"/>
        <v>18</v>
      </c>
      <c r="X10" s="533">
        <f t="shared" si="15"/>
        <v>19</v>
      </c>
      <c r="Y10" s="533">
        <f t="shared" si="15"/>
        <v>20</v>
      </c>
      <c r="Z10" s="533">
        <f t="shared" si="15"/>
        <v>21</v>
      </c>
      <c r="AA10" s="533">
        <f t="shared" si="15"/>
        <v>22</v>
      </c>
      <c r="AB10" s="533">
        <f t="shared" si="15"/>
        <v>23</v>
      </c>
      <c r="AC10" s="533">
        <f t="shared" si="15"/>
        <v>24</v>
      </c>
      <c r="AD10" s="533">
        <f t="shared" si="15"/>
        <v>25</v>
      </c>
      <c r="AE10" s="533">
        <f t="shared" si="15"/>
        <v>26</v>
      </c>
      <c r="AF10" s="533">
        <f t="shared" si="15"/>
        <v>27</v>
      </c>
      <c r="AG10" s="533">
        <f t="shared" si="15"/>
        <v>28</v>
      </c>
      <c r="AH10" s="533">
        <f t="shared" si="15"/>
        <v>29</v>
      </c>
      <c r="AI10" s="533">
        <f t="shared" si="15"/>
        <v>30</v>
      </c>
      <c r="AJ10" s="533">
        <f t="shared" si="15"/>
        <v>31</v>
      </c>
      <c r="AK10" s="533">
        <f t="shared" si="15"/>
        <v>32</v>
      </c>
      <c r="AL10" s="533">
        <f t="shared" si="15"/>
        <v>33</v>
      </c>
      <c r="AM10" s="533">
        <f t="shared" si="15"/>
        <v>34</v>
      </c>
      <c r="AN10" s="533">
        <f t="shared" si="15"/>
        <v>35</v>
      </c>
      <c r="AO10" s="533">
        <f t="shared" si="15"/>
        <v>36</v>
      </c>
      <c r="AP10" s="533">
        <f t="shared" si="15"/>
        <v>37</v>
      </c>
      <c r="AQ10" s="533">
        <f t="shared" si="15"/>
        <v>38</v>
      </c>
      <c r="AR10" s="533">
        <f t="shared" si="15"/>
        <v>39</v>
      </c>
      <c r="AS10" s="533">
        <f t="shared" si="15"/>
        <v>40</v>
      </c>
      <c r="AT10" s="533">
        <f t="shared" si="15"/>
        <v>41</v>
      </c>
      <c r="AU10" s="533">
        <f t="shared" si="15"/>
        <v>42</v>
      </c>
      <c r="AV10" s="533">
        <f t="shared" si="15"/>
        <v>43</v>
      </c>
      <c r="AW10" s="533">
        <f t="shared" si="15"/>
        <v>44</v>
      </c>
      <c r="AX10" s="533">
        <f t="shared" si="15"/>
        <v>45</v>
      </c>
      <c r="AY10" s="533">
        <f t="shared" si="15"/>
        <v>46</v>
      </c>
      <c r="AZ10" s="533">
        <f t="shared" si="15"/>
        <v>47</v>
      </c>
      <c r="BA10" s="533">
        <f t="shared" si="15"/>
        <v>48</v>
      </c>
      <c r="BB10" s="533">
        <f t="shared" si="15"/>
        <v>49</v>
      </c>
      <c r="BC10" s="533">
        <f t="shared" si="15"/>
        <v>50</v>
      </c>
      <c r="BD10" s="533">
        <f t="shared" si="15"/>
        <v>51</v>
      </c>
      <c r="BE10" s="533">
        <f t="shared" si="15"/>
        <v>52</v>
      </c>
      <c r="BF10" s="533">
        <f t="shared" si="15"/>
        <v>53</v>
      </c>
      <c r="BG10" s="533">
        <f t="shared" si="15"/>
        <v>54</v>
      </c>
      <c r="BH10" s="533">
        <f t="shared" si="15"/>
        <v>55</v>
      </c>
      <c r="BI10" s="533">
        <f t="shared" si="15"/>
        <v>56</v>
      </c>
      <c r="BJ10" s="533">
        <f t="shared" si="15"/>
        <v>57</v>
      </c>
      <c r="BK10" s="533">
        <f t="shared" si="15"/>
        <v>58</v>
      </c>
      <c r="BL10" s="533">
        <f t="shared" si="15"/>
        <v>59</v>
      </c>
      <c r="BM10" s="533">
        <f t="shared" si="15"/>
        <v>60</v>
      </c>
      <c r="BN10" s="533">
        <f t="shared" si="15"/>
        <v>61</v>
      </c>
      <c r="BO10" s="533">
        <f t="shared" si="15"/>
        <v>62</v>
      </c>
      <c r="BP10" s="533">
        <f t="shared" si="15"/>
        <v>63</v>
      </c>
      <c r="BQ10" s="533">
        <f t="shared" ref="BQ10:EB10" si="16">IF(BQ31&gt;94%,BQ17,"")</f>
        <v>64</v>
      </c>
      <c r="BR10" s="533">
        <f t="shared" si="16"/>
        <v>65</v>
      </c>
      <c r="BS10" s="533">
        <f t="shared" si="16"/>
        <v>66</v>
      </c>
      <c r="BT10" s="533">
        <f t="shared" si="16"/>
        <v>67</v>
      </c>
      <c r="BU10" s="533">
        <f t="shared" si="16"/>
        <v>68</v>
      </c>
      <c r="BV10" s="533">
        <f t="shared" si="16"/>
        <v>69</v>
      </c>
      <c r="BW10" s="533">
        <f t="shared" si="16"/>
        <v>70</v>
      </c>
      <c r="BX10" s="533">
        <f t="shared" si="16"/>
        <v>71</v>
      </c>
      <c r="BY10" s="533">
        <f t="shared" si="16"/>
        <v>72</v>
      </c>
      <c r="BZ10" s="533">
        <f t="shared" si="16"/>
        <v>73</v>
      </c>
      <c r="CA10" s="533">
        <f t="shared" si="16"/>
        <v>74</v>
      </c>
      <c r="CB10" s="533">
        <f t="shared" si="16"/>
        <v>75</v>
      </c>
      <c r="CC10" s="533">
        <f t="shared" si="16"/>
        <v>76</v>
      </c>
      <c r="CD10" s="533">
        <f t="shared" si="16"/>
        <v>77</v>
      </c>
      <c r="CE10" s="533">
        <f t="shared" si="16"/>
        <v>78</v>
      </c>
      <c r="CF10" s="533">
        <f t="shared" si="16"/>
        <v>79</v>
      </c>
      <c r="CG10" s="533">
        <f t="shared" si="16"/>
        <v>80</v>
      </c>
      <c r="CH10" s="533">
        <f t="shared" si="16"/>
        <v>81</v>
      </c>
      <c r="CI10" s="533">
        <f t="shared" si="16"/>
        <v>82</v>
      </c>
      <c r="CJ10" s="533">
        <f t="shared" si="16"/>
        <v>83</v>
      </c>
      <c r="CK10" s="533">
        <f t="shared" si="16"/>
        <v>84</v>
      </c>
      <c r="CL10" s="533">
        <f t="shared" si="16"/>
        <v>85</v>
      </c>
      <c r="CM10" s="533">
        <f t="shared" si="16"/>
        <v>86</v>
      </c>
      <c r="CN10" s="533">
        <f t="shared" si="16"/>
        <v>87</v>
      </c>
      <c r="CO10" s="533">
        <f t="shared" si="16"/>
        <v>88</v>
      </c>
      <c r="CP10" s="533">
        <f t="shared" si="16"/>
        <v>89</v>
      </c>
      <c r="CQ10" s="533">
        <f t="shared" si="16"/>
        <v>90</v>
      </c>
      <c r="CR10" s="533">
        <f t="shared" si="16"/>
        <v>91</v>
      </c>
      <c r="CS10" s="533">
        <f t="shared" si="16"/>
        <v>92</v>
      </c>
      <c r="CT10" s="533">
        <f t="shared" si="16"/>
        <v>93</v>
      </c>
      <c r="CU10" s="533">
        <f t="shared" si="16"/>
        <v>94</v>
      </c>
      <c r="CV10" s="533">
        <f t="shared" si="16"/>
        <v>95</v>
      </c>
      <c r="CW10" s="533">
        <f t="shared" si="16"/>
        <v>96</v>
      </c>
      <c r="CX10" s="533">
        <f t="shared" si="16"/>
        <v>97</v>
      </c>
      <c r="CY10" s="533">
        <f t="shared" si="16"/>
        <v>98</v>
      </c>
      <c r="CZ10" s="533">
        <f t="shared" si="16"/>
        <v>99</v>
      </c>
      <c r="DA10" s="533">
        <f t="shared" si="16"/>
        <v>100</v>
      </c>
      <c r="DB10" s="533">
        <f t="shared" si="16"/>
        <v>101</v>
      </c>
      <c r="DC10" s="533">
        <f t="shared" si="16"/>
        <v>102</v>
      </c>
      <c r="DD10" s="533">
        <f t="shared" si="16"/>
        <v>103</v>
      </c>
      <c r="DE10" s="533">
        <f t="shared" si="16"/>
        <v>104</v>
      </c>
      <c r="DF10" s="533">
        <f t="shared" si="16"/>
        <v>105</v>
      </c>
      <c r="DG10" s="533">
        <f t="shared" si="16"/>
        <v>106</v>
      </c>
      <c r="DH10" s="533">
        <f t="shared" si="16"/>
        <v>107</v>
      </c>
      <c r="DI10" s="533">
        <f t="shared" si="16"/>
        <v>108</v>
      </c>
      <c r="DJ10" s="533">
        <f t="shared" si="16"/>
        <v>109</v>
      </c>
      <c r="DK10" s="533">
        <f t="shared" si="16"/>
        <v>110</v>
      </c>
      <c r="DL10" s="533">
        <f t="shared" si="16"/>
        <v>111</v>
      </c>
      <c r="DM10" s="533">
        <f t="shared" si="16"/>
        <v>112</v>
      </c>
      <c r="DN10" s="533">
        <f t="shared" si="16"/>
        <v>113</v>
      </c>
      <c r="DO10" s="533">
        <f t="shared" si="16"/>
        <v>114</v>
      </c>
      <c r="DP10" s="533">
        <f t="shared" si="16"/>
        <v>115</v>
      </c>
      <c r="DQ10" s="533">
        <f t="shared" si="16"/>
        <v>116</v>
      </c>
      <c r="DR10" s="533">
        <f t="shared" si="16"/>
        <v>117</v>
      </c>
      <c r="DS10" s="533">
        <f t="shared" si="16"/>
        <v>118</v>
      </c>
      <c r="DT10" s="533">
        <f t="shared" si="16"/>
        <v>119</v>
      </c>
      <c r="DU10" s="533">
        <f t="shared" si="16"/>
        <v>120</v>
      </c>
      <c r="DV10" s="533">
        <f t="shared" si="16"/>
        <v>121</v>
      </c>
      <c r="DW10" s="533">
        <f t="shared" si="16"/>
        <v>122</v>
      </c>
      <c r="DX10" s="533">
        <f t="shared" si="16"/>
        <v>123</v>
      </c>
      <c r="DY10" s="533">
        <f t="shared" si="16"/>
        <v>124</v>
      </c>
      <c r="DZ10" s="533">
        <f t="shared" si="16"/>
        <v>125</v>
      </c>
      <c r="EA10" s="533">
        <f t="shared" si="16"/>
        <v>126</v>
      </c>
      <c r="EB10" s="533">
        <f t="shared" si="16"/>
        <v>127</v>
      </c>
      <c r="EC10" s="533">
        <f t="shared" ref="EC10:FS10" si="17">IF(EC31&gt;94%,EC17,"")</f>
        <v>128</v>
      </c>
      <c r="ED10" s="533">
        <f t="shared" si="17"/>
        <v>129</v>
      </c>
      <c r="EE10" s="533">
        <f t="shared" si="17"/>
        <v>130</v>
      </c>
      <c r="EF10" s="533">
        <f t="shared" si="17"/>
        <v>131</v>
      </c>
      <c r="EG10" s="533">
        <f t="shared" si="17"/>
        <v>132</v>
      </c>
      <c r="EH10" s="533">
        <f t="shared" si="17"/>
        <v>133</v>
      </c>
      <c r="EI10" s="533">
        <f t="shared" si="17"/>
        <v>134</v>
      </c>
      <c r="EJ10" s="533">
        <f t="shared" si="17"/>
        <v>135</v>
      </c>
      <c r="EK10" s="533">
        <f t="shared" si="17"/>
        <v>136</v>
      </c>
      <c r="EL10" s="533">
        <f t="shared" si="17"/>
        <v>137</v>
      </c>
      <c r="EM10" s="533">
        <f t="shared" si="17"/>
        <v>138</v>
      </c>
      <c r="EN10" s="533">
        <f t="shared" si="17"/>
        <v>139</v>
      </c>
      <c r="EO10" s="533">
        <f t="shared" si="17"/>
        <v>140</v>
      </c>
      <c r="EP10" s="533">
        <f t="shared" si="17"/>
        <v>141</v>
      </c>
      <c r="EQ10" s="533">
        <f t="shared" si="17"/>
        <v>142</v>
      </c>
      <c r="ER10" s="533">
        <f t="shared" si="17"/>
        <v>143</v>
      </c>
      <c r="ES10" s="533">
        <f t="shared" si="17"/>
        <v>144</v>
      </c>
      <c r="ET10" s="533">
        <f t="shared" si="17"/>
        <v>145</v>
      </c>
      <c r="EU10" s="533">
        <f t="shared" si="17"/>
        <v>146</v>
      </c>
      <c r="EV10" s="533">
        <f t="shared" si="17"/>
        <v>147</v>
      </c>
      <c r="EW10" s="533">
        <f t="shared" si="17"/>
        <v>148</v>
      </c>
      <c r="EX10" s="533">
        <f t="shared" si="17"/>
        <v>149</v>
      </c>
      <c r="EY10" s="533">
        <f t="shared" si="17"/>
        <v>150</v>
      </c>
      <c r="EZ10" s="533">
        <f t="shared" si="17"/>
        <v>151</v>
      </c>
      <c r="FA10" s="533">
        <f t="shared" si="17"/>
        <v>152</v>
      </c>
      <c r="FB10" s="533">
        <f t="shared" si="17"/>
        <v>153</v>
      </c>
      <c r="FC10" s="533">
        <f t="shared" si="17"/>
        <v>154</v>
      </c>
      <c r="FD10" s="533">
        <f t="shared" si="17"/>
        <v>155</v>
      </c>
      <c r="FE10" s="533">
        <f t="shared" si="17"/>
        <v>156</v>
      </c>
      <c r="FF10" s="533">
        <f t="shared" si="17"/>
        <v>157</v>
      </c>
      <c r="FG10" s="533">
        <f t="shared" si="17"/>
        <v>158</v>
      </c>
      <c r="FH10" s="533">
        <f t="shared" si="17"/>
        <v>159</v>
      </c>
      <c r="FI10" s="533">
        <f t="shared" si="17"/>
        <v>160</v>
      </c>
      <c r="FJ10" s="533">
        <f t="shared" si="17"/>
        <v>161</v>
      </c>
      <c r="FK10" s="533">
        <f t="shared" si="17"/>
        <v>162</v>
      </c>
      <c r="FL10" s="533">
        <f t="shared" si="17"/>
        <v>163</v>
      </c>
      <c r="FM10" s="533">
        <f t="shared" si="17"/>
        <v>164</v>
      </c>
      <c r="FN10" s="533">
        <f t="shared" si="17"/>
        <v>165</v>
      </c>
      <c r="FO10" s="533">
        <f t="shared" si="17"/>
        <v>166</v>
      </c>
      <c r="FP10" s="533">
        <f t="shared" si="17"/>
        <v>167</v>
      </c>
      <c r="FQ10" s="533">
        <f t="shared" si="17"/>
        <v>168</v>
      </c>
      <c r="FR10" s="533">
        <f t="shared" si="17"/>
        <v>169</v>
      </c>
      <c r="FS10" s="533">
        <f t="shared" si="17"/>
        <v>170</v>
      </c>
      <c r="FT10" s="534"/>
      <c r="FU10" s="534"/>
      <c r="FV10" s="534"/>
      <c r="FW10" s="534"/>
      <c r="FX10" s="534"/>
    </row>
    <row r="11" spans="2:180" ht="13.5" outlineLevel="1" collapsed="1">
      <c r="B11" s="532" t="s">
        <v>279</v>
      </c>
      <c r="C11" s="536" cm="1">
        <f t="array" ref="C11">INDEX(E11:FS11,MATCH(TRUE,E11:FS11&lt;&gt;"",0))</f>
        <v>46203</v>
      </c>
      <c r="D11" s="537"/>
      <c r="E11" s="537">
        <f t="shared" ref="E11:BP11" si="18">IF(E31&gt;94%,E5,"")</f>
        <v>46203</v>
      </c>
      <c r="F11" s="537">
        <f t="shared" si="18"/>
        <v>46234</v>
      </c>
      <c r="G11" s="537">
        <f t="shared" si="18"/>
        <v>46265</v>
      </c>
      <c r="H11" s="537">
        <f t="shared" si="18"/>
        <v>46295</v>
      </c>
      <c r="I11" s="537">
        <f t="shared" si="18"/>
        <v>46326</v>
      </c>
      <c r="J11" s="537">
        <f t="shared" si="18"/>
        <v>46356</v>
      </c>
      <c r="K11" s="537">
        <f t="shared" si="18"/>
        <v>46387</v>
      </c>
      <c r="L11" s="537">
        <f t="shared" si="18"/>
        <v>46418</v>
      </c>
      <c r="M11" s="537">
        <f t="shared" si="18"/>
        <v>46446</v>
      </c>
      <c r="N11" s="537">
        <f t="shared" si="18"/>
        <v>46477</v>
      </c>
      <c r="O11" s="537">
        <f t="shared" si="18"/>
        <v>46507</v>
      </c>
      <c r="P11" s="537">
        <f t="shared" si="18"/>
        <v>46538</v>
      </c>
      <c r="Q11" s="537">
        <f t="shared" si="18"/>
        <v>46568</v>
      </c>
      <c r="R11" s="537">
        <f t="shared" si="18"/>
        <v>46599</v>
      </c>
      <c r="S11" s="537">
        <f t="shared" si="18"/>
        <v>46630</v>
      </c>
      <c r="T11" s="537">
        <f t="shared" si="18"/>
        <v>46660</v>
      </c>
      <c r="U11" s="537">
        <f t="shared" si="18"/>
        <v>46691</v>
      </c>
      <c r="V11" s="537">
        <f t="shared" si="18"/>
        <v>46721</v>
      </c>
      <c r="W11" s="537">
        <f t="shared" si="18"/>
        <v>46752</v>
      </c>
      <c r="X11" s="537">
        <f t="shared" si="18"/>
        <v>46783</v>
      </c>
      <c r="Y11" s="537">
        <f t="shared" si="18"/>
        <v>46812</v>
      </c>
      <c r="Z11" s="537">
        <f t="shared" si="18"/>
        <v>46843</v>
      </c>
      <c r="AA11" s="537">
        <f t="shared" si="18"/>
        <v>46873</v>
      </c>
      <c r="AB11" s="537">
        <f t="shared" si="18"/>
        <v>46904</v>
      </c>
      <c r="AC11" s="537">
        <f t="shared" si="18"/>
        <v>46934</v>
      </c>
      <c r="AD11" s="537">
        <f t="shared" si="18"/>
        <v>46965</v>
      </c>
      <c r="AE11" s="537">
        <f t="shared" si="18"/>
        <v>46996</v>
      </c>
      <c r="AF11" s="537">
        <f t="shared" si="18"/>
        <v>47026</v>
      </c>
      <c r="AG11" s="537">
        <f t="shared" si="18"/>
        <v>47057</v>
      </c>
      <c r="AH11" s="537">
        <f t="shared" si="18"/>
        <v>47087</v>
      </c>
      <c r="AI11" s="537">
        <f t="shared" si="18"/>
        <v>47118</v>
      </c>
      <c r="AJ11" s="537">
        <f t="shared" si="18"/>
        <v>47149</v>
      </c>
      <c r="AK11" s="537">
        <f t="shared" si="18"/>
        <v>47177</v>
      </c>
      <c r="AL11" s="537">
        <f t="shared" si="18"/>
        <v>47208</v>
      </c>
      <c r="AM11" s="537">
        <f t="shared" si="18"/>
        <v>47238</v>
      </c>
      <c r="AN11" s="537">
        <f t="shared" si="18"/>
        <v>47269</v>
      </c>
      <c r="AO11" s="537">
        <f t="shared" si="18"/>
        <v>47299</v>
      </c>
      <c r="AP11" s="537">
        <f t="shared" si="18"/>
        <v>47330</v>
      </c>
      <c r="AQ11" s="537">
        <f t="shared" si="18"/>
        <v>47361</v>
      </c>
      <c r="AR11" s="537">
        <f t="shared" si="18"/>
        <v>47391</v>
      </c>
      <c r="AS11" s="537">
        <f t="shared" si="18"/>
        <v>47422</v>
      </c>
      <c r="AT11" s="537">
        <f t="shared" si="18"/>
        <v>47452</v>
      </c>
      <c r="AU11" s="537">
        <f t="shared" si="18"/>
        <v>47483</v>
      </c>
      <c r="AV11" s="537">
        <f t="shared" si="18"/>
        <v>47514</v>
      </c>
      <c r="AW11" s="537">
        <f t="shared" si="18"/>
        <v>47542</v>
      </c>
      <c r="AX11" s="537">
        <f t="shared" si="18"/>
        <v>47573</v>
      </c>
      <c r="AY11" s="537">
        <f t="shared" si="18"/>
        <v>47603</v>
      </c>
      <c r="AZ11" s="537">
        <f t="shared" si="18"/>
        <v>47634</v>
      </c>
      <c r="BA11" s="537">
        <f t="shared" si="18"/>
        <v>47664</v>
      </c>
      <c r="BB11" s="537">
        <f t="shared" si="18"/>
        <v>47695</v>
      </c>
      <c r="BC11" s="537">
        <f t="shared" si="18"/>
        <v>47726</v>
      </c>
      <c r="BD11" s="537">
        <f t="shared" si="18"/>
        <v>47756</v>
      </c>
      <c r="BE11" s="537">
        <f t="shared" si="18"/>
        <v>47787</v>
      </c>
      <c r="BF11" s="537">
        <f t="shared" si="18"/>
        <v>47817</v>
      </c>
      <c r="BG11" s="537">
        <f t="shared" si="18"/>
        <v>47848</v>
      </c>
      <c r="BH11" s="537">
        <f t="shared" si="18"/>
        <v>47879</v>
      </c>
      <c r="BI11" s="537">
        <f t="shared" si="18"/>
        <v>47907</v>
      </c>
      <c r="BJ11" s="537">
        <f t="shared" si="18"/>
        <v>47938</v>
      </c>
      <c r="BK11" s="537">
        <f t="shared" si="18"/>
        <v>47968</v>
      </c>
      <c r="BL11" s="537">
        <f t="shared" si="18"/>
        <v>47999</v>
      </c>
      <c r="BM11" s="537">
        <f t="shared" si="18"/>
        <v>48029</v>
      </c>
      <c r="BN11" s="537">
        <f t="shared" si="18"/>
        <v>48060</v>
      </c>
      <c r="BO11" s="537">
        <f t="shared" si="18"/>
        <v>48091</v>
      </c>
      <c r="BP11" s="537">
        <f t="shared" si="18"/>
        <v>48121</v>
      </c>
      <c r="BQ11" s="537">
        <f t="shared" ref="BQ11:EB11" si="19">IF(BQ31&gt;94%,BQ5,"")</f>
        <v>48152</v>
      </c>
      <c r="BR11" s="537">
        <f t="shared" si="19"/>
        <v>48182</v>
      </c>
      <c r="BS11" s="537">
        <f t="shared" si="19"/>
        <v>48213</v>
      </c>
      <c r="BT11" s="537">
        <f t="shared" si="19"/>
        <v>48244</v>
      </c>
      <c r="BU11" s="537">
        <f t="shared" si="19"/>
        <v>48273</v>
      </c>
      <c r="BV11" s="537">
        <f t="shared" si="19"/>
        <v>48304</v>
      </c>
      <c r="BW11" s="537">
        <f t="shared" si="19"/>
        <v>48334</v>
      </c>
      <c r="BX11" s="537">
        <f t="shared" si="19"/>
        <v>48365</v>
      </c>
      <c r="BY11" s="537">
        <f t="shared" si="19"/>
        <v>48395</v>
      </c>
      <c r="BZ11" s="537">
        <f t="shared" si="19"/>
        <v>48426</v>
      </c>
      <c r="CA11" s="537">
        <f t="shared" si="19"/>
        <v>48457</v>
      </c>
      <c r="CB11" s="537">
        <f t="shared" si="19"/>
        <v>48487</v>
      </c>
      <c r="CC11" s="537">
        <f t="shared" si="19"/>
        <v>48518</v>
      </c>
      <c r="CD11" s="537">
        <f t="shared" si="19"/>
        <v>48548</v>
      </c>
      <c r="CE11" s="537">
        <f t="shared" si="19"/>
        <v>48579</v>
      </c>
      <c r="CF11" s="537">
        <f t="shared" si="19"/>
        <v>48610</v>
      </c>
      <c r="CG11" s="537">
        <f t="shared" si="19"/>
        <v>48638</v>
      </c>
      <c r="CH11" s="537">
        <f t="shared" si="19"/>
        <v>48669</v>
      </c>
      <c r="CI11" s="537">
        <f t="shared" si="19"/>
        <v>48699</v>
      </c>
      <c r="CJ11" s="537">
        <f t="shared" si="19"/>
        <v>48730</v>
      </c>
      <c r="CK11" s="537">
        <f t="shared" si="19"/>
        <v>48760</v>
      </c>
      <c r="CL11" s="537">
        <f t="shared" si="19"/>
        <v>48791</v>
      </c>
      <c r="CM11" s="537">
        <f t="shared" si="19"/>
        <v>48822</v>
      </c>
      <c r="CN11" s="537">
        <f t="shared" si="19"/>
        <v>48852</v>
      </c>
      <c r="CO11" s="537">
        <f t="shared" si="19"/>
        <v>48883</v>
      </c>
      <c r="CP11" s="537">
        <f t="shared" si="19"/>
        <v>48913</v>
      </c>
      <c r="CQ11" s="537">
        <f t="shared" si="19"/>
        <v>48944</v>
      </c>
      <c r="CR11" s="537">
        <f t="shared" si="19"/>
        <v>48975</v>
      </c>
      <c r="CS11" s="537">
        <f t="shared" si="19"/>
        <v>49003</v>
      </c>
      <c r="CT11" s="537">
        <f t="shared" si="19"/>
        <v>49034</v>
      </c>
      <c r="CU11" s="537">
        <f t="shared" si="19"/>
        <v>49064</v>
      </c>
      <c r="CV11" s="537">
        <f t="shared" si="19"/>
        <v>49095</v>
      </c>
      <c r="CW11" s="537">
        <f t="shared" si="19"/>
        <v>49125</v>
      </c>
      <c r="CX11" s="537">
        <f t="shared" si="19"/>
        <v>49156</v>
      </c>
      <c r="CY11" s="537">
        <f t="shared" si="19"/>
        <v>49187</v>
      </c>
      <c r="CZ11" s="537">
        <f t="shared" si="19"/>
        <v>49217</v>
      </c>
      <c r="DA11" s="537">
        <f t="shared" si="19"/>
        <v>49248</v>
      </c>
      <c r="DB11" s="537">
        <f t="shared" si="19"/>
        <v>49278</v>
      </c>
      <c r="DC11" s="537">
        <f t="shared" si="19"/>
        <v>49309</v>
      </c>
      <c r="DD11" s="537">
        <f t="shared" si="19"/>
        <v>49340</v>
      </c>
      <c r="DE11" s="537">
        <f t="shared" si="19"/>
        <v>49368</v>
      </c>
      <c r="DF11" s="537">
        <f t="shared" si="19"/>
        <v>49399</v>
      </c>
      <c r="DG11" s="537">
        <f t="shared" si="19"/>
        <v>49429</v>
      </c>
      <c r="DH11" s="537">
        <f t="shared" si="19"/>
        <v>49460</v>
      </c>
      <c r="DI11" s="537">
        <f t="shared" si="19"/>
        <v>49490</v>
      </c>
      <c r="DJ11" s="537">
        <f t="shared" si="19"/>
        <v>49521</v>
      </c>
      <c r="DK11" s="537">
        <f t="shared" si="19"/>
        <v>49552</v>
      </c>
      <c r="DL11" s="537">
        <f t="shared" si="19"/>
        <v>49582</v>
      </c>
      <c r="DM11" s="537">
        <f t="shared" si="19"/>
        <v>49613</v>
      </c>
      <c r="DN11" s="537">
        <f t="shared" si="19"/>
        <v>49643</v>
      </c>
      <c r="DO11" s="537">
        <f t="shared" si="19"/>
        <v>49674</v>
      </c>
      <c r="DP11" s="537">
        <f t="shared" si="19"/>
        <v>49705</v>
      </c>
      <c r="DQ11" s="537">
        <f t="shared" si="19"/>
        <v>49734</v>
      </c>
      <c r="DR11" s="537">
        <f t="shared" si="19"/>
        <v>49765</v>
      </c>
      <c r="DS11" s="537">
        <f t="shared" si="19"/>
        <v>49795</v>
      </c>
      <c r="DT11" s="537">
        <f t="shared" si="19"/>
        <v>49826</v>
      </c>
      <c r="DU11" s="537">
        <f t="shared" si="19"/>
        <v>49856</v>
      </c>
      <c r="DV11" s="537">
        <f t="shared" si="19"/>
        <v>49887</v>
      </c>
      <c r="DW11" s="537">
        <f t="shared" si="19"/>
        <v>49918</v>
      </c>
      <c r="DX11" s="537">
        <f t="shared" si="19"/>
        <v>49948</v>
      </c>
      <c r="DY11" s="537">
        <f t="shared" si="19"/>
        <v>49979</v>
      </c>
      <c r="DZ11" s="537">
        <f t="shared" si="19"/>
        <v>50009</v>
      </c>
      <c r="EA11" s="537">
        <f t="shared" si="19"/>
        <v>50040</v>
      </c>
      <c r="EB11" s="537">
        <f t="shared" si="19"/>
        <v>50071</v>
      </c>
      <c r="EC11" s="537">
        <f t="shared" ref="EC11:FS11" si="20">IF(EC31&gt;94%,EC5,"")</f>
        <v>50099</v>
      </c>
      <c r="ED11" s="537">
        <f t="shared" si="20"/>
        <v>50130</v>
      </c>
      <c r="EE11" s="537">
        <f t="shared" si="20"/>
        <v>50160</v>
      </c>
      <c r="EF11" s="537">
        <f t="shared" si="20"/>
        <v>50191</v>
      </c>
      <c r="EG11" s="537">
        <f t="shared" si="20"/>
        <v>50221</v>
      </c>
      <c r="EH11" s="537">
        <f t="shared" si="20"/>
        <v>50252</v>
      </c>
      <c r="EI11" s="537">
        <f t="shared" si="20"/>
        <v>50283</v>
      </c>
      <c r="EJ11" s="537">
        <f t="shared" si="20"/>
        <v>50313</v>
      </c>
      <c r="EK11" s="537">
        <f t="shared" si="20"/>
        <v>50344</v>
      </c>
      <c r="EL11" s="537">
        <f t="shared" si="20"/>
        <v>50374</v>
      </c>
      <c r="EM11" s="537">
        <f t="shared" si="20"/>
        <v>50405</v>
      </c>
      <c r="EN11" s="537">
        <f t="shared" si="20"/>
        <v>50436</v>
      </c>
      <c r="EO11" s="537">
        <f t="shared" si="20"/>
        <v>50464</v>
      </c>
      <c r="EP11" s="537">
        <f t="shared" si="20"/>
        <v>50495</v>
      </c>
      <c r="EQ11" s="537">
        <f t="shared" si="20"/>
        <v>50525</v>
      </c>
      <c r="ER11" s="537">
        <f t="shared" si="20"/>
        <v>50556</v>
      </c>
      <c r="ES11" s="537">
        <f t="shared" si="20"/>
        <v>50586</v>
      </c>
      <c r="ET11" s="537">
        <f t="shared" si="20"/>
        <v>50617</v>
      </c>
      <c r="EU11" s="537">
        <f t="shared" si="20"/>
        <v>50648</v>
      </c>
      <c r="EV11" s="537">
        <f t="shared" si="20"/>
        <v>50678</v>
      </c>
      <c r="EW11" s="537">
        <f t="shared" si="20"/>
        <v>50709</v>
      </c>
      <c r="EX11" s="537">
        <f t="shared" si="20"/>
        <v>50739</v>
      </c>
      <c r="EY11" s="537">
        <f t="shared" si="20"/>
        <v>50770</v>
      </c>
      <c r="EZ11" s="537">
        <f t="shared" si="20"/>
        <v>50801</v>
      </c>
      <c r="FA11" s="537">
        <f t="shared" si="20"/>
        <v>50829</v>
      </c>
      <c r="FB11" s="537">
        <f t="shared" si="20"/>
        <v>50860</v>
      </c>
      <c r="FC11" s="537">
        <f t="shared" si="20"/>
        <v>50890</v>
      </c>
      <c r="FD11" s="537">
        <f t="shared" si="20"/>
        <v>50921</v>
      </c>
      <c r="FE11" s="537">
        <f t="shared" si="20"/>
        <v>50951</v>
      </c>
      <c r="FF11" s="537">
        <f t="shared" si="20"/>
        <v>50982</v>
      </c>
      <c r="FG11" s="537">
        <f t="shared" si="20"/>
        <v>51013</v>
      </c>
      <c r="FH11" s="537">
        <f t="shared" si="20"/>
        <v>51043</v>
      </c>
      <c r="FI11" s="537">
        <f t="shared" si="20"/>
        <v>51074</v>
      </c>
      <c r="FJ11" s="537">
        <f t="shared" si="20"/>
        <v>51104</v>
      </c>
      <c r="FK11" s="537">
        <f t="shared" si="20"/>
        <v>51135</v>
      </c>
      <c r="FL11" s="537">
        <f t="shared" si="20"/>
        <v>51166</v>
      </c>
      <c r="FM11" s="537">
        <f t="shared" si="20"/>
        <v>51195</v>
      </c>
      <c r="FN11" s="537">
        <f t="shared" si="20"/>
        <v>51226</v>
      </c>
      <c r="FO11" s="537">
        <f t="shared" si="20"/>
        <v>51256</v>
      </c>
      <c r="FP11" s="537">
        <f t="shared" si="20"/>
        <v>51287</v>
      </c>
      <c r="FQ11" s="537">
        <f t="shared" si="20"/>
        <v>51317</v>
      </c>
      <c r="FR11" s="537">
        <f t="shared" si="20"/>
        <v>51348</v>
      </c>
      <c r="FS11" s="537">
        <f t="shared" si="20"/>
        <v>51379</v>
      </c>
      <c r="FT11" s="534"/>
      <c r="FU11" s="534"/>
      <c r="FV11" s="534"/>
      <c r="FW11" s="534"/>
      <c r="FX11" s="534"/>
    </row>
    <row r="12" spans="2:180" ht="13.5" outlineLevel="1">
      <c r="B12" s="532" t="s">
        <v>280</v>
      </c>
      <c r="C12" s="536"/>
      <c r="D12" s="537"/>
      <c r="E12" s="538">
        <f>+IF(E17&gt;=Detail!$H$7,'Cash Flow'!D12+1,0)</f>
        <v>1</v>
      </c>
      <c r="F12" s="538">
        <f>+IF(F17&gt;=Detail!$H$7,'Cash Flow'!E12+1,0)</f>
        <v>2</v>
      </c>
      <c r="G12" s="538">
        <f>+IF(G17&gt;=Detail!$H$7,'Cash Flow'!F12+1,0)</f>
        <v>3</v>
      </c>
      <c r="H12" s="538">
        <f>+IF(H17&gt;=Detail!$H$7,'Cash Flow'!G12+1,0)</f>
        <v>4</v>
      </c>
      <c r="I12" s="538">
        <f>+IF(I17&gt;=Detail!$H$7,'Cash Flow'!H12+1,0)</f>
        <v>5</v>
      </c>
      <c r="J12" s="538">
        <f>+IF(J17&gt;=Detail!$H$7,'Cash Flow'!I12+1,0)</f>
        <v>6</v>
      </c>
      <c r="K12" s="538">
        <f>+IF(K17&gt;=Detail!$H$7,'Cash Flow'!J12+1,0)</f>
        <v>7</v>
      </c>
      <c r="L12" s="538">
        <f>+IF(L17&gt;=Detail!$H$7,'Cash Flow'!K12+1,0)</f>
        <v>8</v>
      </c>
      <c r="M12" s="538">
        <f>+IF(M17&gt;=Detail!$H$7,'Cash Flow'!L12+1,0)</f>
        <v>9</v>
      </c>
      <c r="N12" s="538">
        <f>+IF(N17&gt;=Detail!$H$7,'Cash Flow'!M12+1,0)</f>
        <v>10</v>
      </c>
      <c r="O12" s="538">
        <f>+IF(O17&gt;=Detail!$H$7,'Cash Flow'!N12+1,0)</f>
        <v>11</v>
      </c>
      <c r="P12" s="538">
        <f>+IF(P17&gt;=Detail!$H$7,'Cash Flow'!O12+1,0)</f>
        <v>12</v>
      </c>
      <c r="Q12" s="538">
        <f>+IF(Q17&gt;=Detail!$H$7,'Cash Flow'!P12+1,0)</f>
        <v>13</v>
      </c>
      <c r="R12" s="538">
        <f>+IF(R17&gt;=Detail!$H$7,'Cash Flow'!Q12+1,0)</f>
        <v>14</v>
      </c>
      <c r="S12" s="538">
        <f>+IF(S17&gt;=Detail!$H$7,'Cash Flow'!R12+1,0)</f>
        <v>15</v>
      </c>
      <c r="T12" s="538">
        <f>+IF(T17&gt;=Detail!$H$7,'Cash Flow'!S12+1,0)</f>
        <v>16</v>
      </c>
      <c r="U12" s="538">
        <f>+IF(U17&gt;=Detail!$H$7,'Cash Flow'!T12+1,0)</f>
        <v>17</v>
      </c>
      <c r="V12" s="538">
        <f>+IF(V17&gt;=Detail!$H$7,'Cash Flow'!U12+1,0)</f>
        <v>18</v>
      </c>
      <c r="W12" s="538">
        <f>+IF(W17&gt;=Detail!$H$7,'Cash Flow'!V12+1,0)</f>
        <v>19</v>
      </c>
      <c r="X12" s="538">
        <f>+IF(X17&gt;=Detail!$H$7,'Cash Flow'!W12+1,0)</f>
        <v>20</v>
      </c>
      <c r="Y12" s="538">
        <f>+IF(Y17&gt;=Detail!$H$7,'Cash Flow'!X12+1,0)</f>
        <v>21</v>
      </c>
      <c r="Z12" s="538">
        <f>+IF(Z17&gt;=Detail!$H$7,'Cash Flow'!Y12+1,0)</f>
        <v>22</v>
      </c>
      <c r="AA12" s="538">
        <f>+IF(AA17&gt;=Detail!$H$7,'Cash Flow'!Z12+1,0)</f>
        <v>23</v>
      </c>
      <c r="AB12" s="538">
        <f>+IF(AB17&gt;=Detail!$H$7,'Cash Flow'!AA12+1,0)</f>
        <v>24</v>
      </c>
      <c r="AC12" s="538">
        <f>+IF(AC17&gt;=Detail!$H$7,'Cash Flow'!AB12+1,0)</f>
        <v>25</v>
      </c>
      <c r="AD12" s="538">
        <f>+IF(AD17&gt;=Detail!$H$7,'Cash Flow'!AC12+1,0)</f>
        <v>26</v>
      </c>
      <c r="AE12" s="538">
        <f>+IF(AE17&gt;=Detail!$H$7,'Cash Flow'!AD12+1,0)</f>
        <v>27</v>
      </c>
      <c r="AF12" s="538">
        <f>+IF(AF17&gt;=Detail!$H$7,'Cash Flow'!AE12+1,0)</f>
        <v>28</v>
      </c>
      <c r="AG12" s="538">
        <f>+IF(AG17&gt;=Detail!$H$7,'Cash Flow'!AF12+1,0)</f>
        <v>29</v>
      </c>
      <c r="AH12" s="538">
        <f>+IF(AH17&gt;=Detail!$H$7,'Cash Flow'!AG12+1,0)</f>
        <v>30</v>
      </c>
      <c r="AI12" s="538">
        <f>+IF(AI17&gt;=Detail!$H$7,'Cash Flow'!AH12+1,0)</f>
        <v>31</v>
      </c>
      <c r="AJ12" s="538">
        <f>+IF(AJ17&gt;=Detail!$H$7,'Cash Flow'!AI12+1,0)</f>
        <v>32</v>
      </c>
      <c r="AK12" s="538">
        <f>+IF(AK17&gt;=Detail!$H$7,'Cash Flow'!AJ12+1,0)</f>
        <v>33</v>
      </c>
      <c r="AL12" s="538">
        <f>+IF(AL17&gt;=Detail!$H$7,'Cash Flow'!AK12+1,0)</f>
        <v>34</v>
      </c>
      <c r="AM12" s="538">
        <f>+IF(AM17&gt;=Detail!$H$7,'Cash Flow'!AL12+1,0)</f>
        <v>35</v>
      </c>
      <c r="AN12" s="538">
        <f>+IF(AN17&gt;=Detail!$H$7,'Cash Flow'!AM12+1,0)</f>
        <v>36</v>
      </c>
      <c r="AO12" s="538">
        <f>+IF(AO17&gt;=Detail!$H$7,'Cash Flow'!AN12+1,0)</f>
        <v>37</v>
      </c>
      <c r="AP12" s="538">
        <f>+IF(AP17&gt;=Detail!$H$7,'Cash Flow'!AO12+1,0)</f>
        <v>38</v>
      </c>
      <c r="AQ12" s="538">
        <f>+IF(AQ17&gt;=Detail!$H$7,'Cash Flow'!AP12+1,0)</f>
        <v>39</v>
      </c>
      <c r="AR12" s="538">
        <f>+IF(AR17&gt;=Detail!$H$7,'Cash Flow'!AQ12+1,0)</f>
        <v>40</v>
      </c>
      <c r="AS12" s="538">
        <f>+IF(AS17&gt;=Detail!$H$7,'Cash Flow'!AR12+1,0)</f>
        <v>41</v>
      </c>
      <c r="AT12" s="538">
        <f>+IF(AT17&gt;=Detail!$H$7,'Cash Flow'!AS12+1,0)</f>
        <v>42</v>
      </c>
      <c r="AU12" s="538">
        <f>+IF(AU17&gt;=Detail!$H$7,'Cash Flow'!AT12+1,0)</f>
        <v>43</v>
      </c>
      <c r="AV12" s="538">
        <f>+IF(AV17&gt;=Detail!$H$7,'Cash Flow'!AU12+1,0)</f>
        <v>44</v>
      </c>
      <c r="AW12" s="538">
        <f>+IF(AW17&gt;=Detail!$H$7,'Cash Flow'!AV12+1,0)</f>
        <v>45</v>
      </c>
      <c r="AX12" s="538">
        <f>+IF(AX17&gt;=Detail!$H$7,'Cash Flow'!AW12+1,0)</f>
        <v>46</v>
      </c>
      <c r="AY12" s="538">
        <f>+IF(AY17&gt;=Detail!$H$7,'Cash Flow'!AX12+1,0)</f>
        <v>47</v>
      </c>
      <c r="AZ12" s="538">
        <f>+IF(AZ17&gt;=Detail!$H$7,'Cash Flow'!AY12+1,0)</f>
        <v>48</v>
      </c>
      <c r="BA12" s="538">
        <f>+IF(BA17&gt;=Detail!$H$7,'Cash Flow'!AZ12+1,0)</f>
        <v>49</v>
      </c>
      <c r="BB12" s="538">
        <f>+IF(BB17&gt;=Detail!$H$7,'Cash Flow'!BA12+1,0)</f>
        <v>50</v>
      </c>
      <c r="BC12" s="538">
        <f>+IF(BC17&gt;=Detail!$H$7,'Cash Flow'!BB12+1,0)</f>
        <v>51</v>
      </c>
      <c r="BD12" s="538">
        <f>+IF(BD17&gt;=Detail!$H$7,'Cash Flow'!BC12+1,0)</f>
        <v>52</v>
      </c>
      <c r="BE12" s="538">
        <f>+IF(BE17&gt;=Detail!$H$7,'Cash Flow'!BD12+1,0)</f>
        <v>53</v>
      </c>
      <c r="BF12" s="538">
        <f>+IF(BF17&gt;=Detail!$H$7,'Cash Flow'!BE12+1,0)</f>
        <v>54</v>
      </c>
      <c r="BG12" s="538">
        <f>+IF(BG17&gt;=Detail!$H$7,'Cash Flow'!BF12+1,0)</f>
        <v>55</v>
      </c>
      <c r="BH12" s="538">
        <f>+IF(BH17&gt;=Detail!$H$7,'Cash Flow'!BG12+1,0)</f>
        <v>56</v>
      </c>
      <c r="BI12" s="538">
        <f>+IF(BI17&gt;=Detail!$H$7,'Cash Flow'!BH12+1,0)</f>
        <v>57</v>
      </c>
      <c r="BJ12" s="538">
        <f>+IF(BJ17&gt;=Detail!$H$7,'Cash Flow'!BI12+1,0)</f>
        <v>58</v>
      </c>
      <c r="BK12" s="538">
        <f>+IF(BK17&gt;=Detail!$H$7,'Cash Flow'!BJ12+1,0)</f>
        <v>59</v>
      </c>
      <c r="BL12" s="538">
        <f>+IF(BL17&gt;=Detail!$H$7,'Cash Flow'!BK12+1,0)</f>
        <v>60</v>
      </c>
      <c r="BM12" s="538">
        <f>+IF(BM17&gt;=Detail!$H$7,'Cash Flow'!BL12+1,0)</f>
        <v>61</v>
      </c>
      <c r="BN12" s="538">
        <f>+IF(BN17&gt;=Detail!$H$7,'Cash Flow'!BM12+1,0)</f>
        <v>62</v>
      </c>
      <c r="BO12" s="538">
        <f>+IF(BO17&gt;=Detail!$H$7,'Cash Flow'!BN12+1,0)</f>
        <v>63</v>
      </c>
      <c r="BP12" s="538">
        <f>+IF(BP17&gt;=Detail!$H$7,'Cash Flow'!BO12+1,0)</f>
        <v>64</v>
      </c>
      <c r="BQ12" s="538">
        <f>+IF(BQ17&gt;=Detail!$H$7,'Cash Flow'!BP12+1,0)</f>
        <v>65</v>
      </c>
      <c r="BR12" s="538">
        <f>+IF(BR17&gt;=Detail!$H$7,'Cash Flow'!BQ12+1,0)</f>
        <v>66</v>
      </c>
      <c r="BS12" s="538">
        <f>+IF(BS17&gt;=Detail!$H$7,'Cash Flow'!BR12+1,0)</f>
        <v>67</v>
      </c>
      <c r="BT12" s="538">
        <f>+IF(BT17&gt;=Detail!$H$7,'Cash Flow'!BS12+1,0)</f>
        <v>68</v>
      </c>
      <c r="BU12" s="538">
        <f>+IF(BU17&gt;=Detail!$H$7,'Cash Flow'!BT12+1,0)</f>
        <v>69</v>
      </c>
      <c r="BV12" s="538">
        <f>+IF(BV17&gt;=Detail!$H$7,'Cash Flow'!BU12+1,0)</f>
        <v>70</v>
      </c>
      <c r="BW12" s="538">
        <f>+IF(BW17&gt;=Detail!$H$7,'Cash Flow'!BV12+1,0)</f>
        <v>71</v>
      </c>
      <c r="BX12" s="538">
        <f>+IF(BX17&gt;=Detail!$H$7,'Cash Flow'!BW12+1,0)</f>
        <v>72</v>
      </c>
      <c r="BY12" s="538">
        <f>+IF(BY17&gt;=Detail!$H$7,'Cash Flow'!BX12+1,0)</f>
        <v>73</v>
      </c>
      <c r="BZ12" s="538">
        <f>+IF(BZ17&gt;=Detail!$H$7,'Cash Flow'!BY12+1,0)</f>
        <v>74</v>
      </c>
      <c r="CA12" s="538">
        <f>+IF(CA17&gt;=Detail!$H$7,'Cash Flow'!BZ12+1,0)</f>
        <v>75</v>
      </c>
      <c r="CB12" s="538">
        <f>+IF(CB17&gt;=Detail!$H$7,'Cash Flow'!CA12+1,0)</f>
        <v>76</v>
      </c>
      <c r="CC12" s="538">
        <f>+IF(CC17&gt;=Detail!$H$7,'Cash Flow'!CB12+1,0)</f>
        <v>77</v>
      </c>
      <c r="CD12" s="538">
        <f>+IF(CD17&gt;=Detail!$H$7,'Cash Flow'!CC12+1,0)</f>
        <v>78</v>
      </c>
      <c r="CE12" s="538">
        <f>+IF(CE17&gt;=Detail!$H$7,'Cash Flow'!CD12+1,0)</f>
        <v>79</v>
      </c>
      <c r="CF12" s="538">
        <f>+IF(CF17&gt;=Detail!$H$7,'Cash Flow'!CE12+1,0)</f>
        <v>80</v>
      </c>
      <c r="CG12" s="538">
        <f>+IF(CG17&gt;=Detail!$H$7,'Cash Flow'!CF12+1,0)</f>
        <v>81</v>
      </c>
      <c r="CH12" s="538">
        <f>+IF(CH17&gt;=Detail!$H$7,'Cash Flow'!CG12+1,0)</f>
        <v>82</v>
      </c>
      <c r="CI12" s="538">
        <f>+IF(CI17&gt;=Detail!$H$7,'Cash Flow'!CH12+1,0)</f>
        <v>83</v>
      </c>
      <c r="CJ12" s="538">
        <f>+IF(CJ17&gt;=Detail!$H$7,'Cash Flow'!CI12+1,0)</f>
        <v>84</v>
      </c>
      <c r="CK12" s="538">
        <f>+IF(CK17&gt;=Detail!$H$7,'Cash Flow'!CJ12+1,0)</f>
        <v>85</v>
      </c>
      <c r="CL12" s="538">
        <f>+IF(CL17&gt;=Detail!$H$7,'Cash Flow'!CK12+1,0)</f>
        <v>86</v>
      </c>
      <c r="CM12" s="538">
        <f>+IF(CM17&gt;=Detail!$H$7,'Cash Flow'!CL12+1,0)</f>
        <v>87</v>
      </c>
      <c r="CN12" s="538">
        <f>+IF(CN17&gt;=Detail!$H$7,'Cash Flow'!CM12+1,0)</f>
        <v>88</v>
      </c>
      <c r="CO12" s="538">
        <f>+IF(CO17&gt;=Detail!$H$7,'Cash Flow'!CN12+1,0)</f>
        <v>89</v>
      </c>
      <c r="CP12" s="538">
        <f>+IF(CP17&gt;=Detail!$H$7,'Cash Flow'!CO12+1,0)</f>
        <v>90</v>
      </c>
      <c r="CQ12" s="538">
        <f>+IF(CQ17&gt;=Detail!$H$7,'Cash Flow'!CP12+1,0)</f>
        <v>91</v>
      </c>
      <c r="CR12" s="538">
        <f>+IF(CR17&gt;=Detail!$H$7,'Cash Flow'!CQ12+1,0)</f>
        <v>92</v>
      </c>
      <c r="CS12" s="538">
        <f>+IF(CS17&gt;=Detail!$H$7,'Cash Flow'!CR12+1,0)</f>
        <v>93</v>
      </c>
      <c r="CT12" s="538">
        <f>+IF(CT17&gt;=Detail!$H$7,'Cash Flow'!CS12+1,0)</f>
        <v>94</v>
      </c>
      <c r="CU12" s="538">
        <f>+IF(CU17&gt;=Detail!$H$7,'Cash Flow'!CT12+1,0)</f>
        <v>95</v>
      </c>
      <c r="CV12" s="538">
        <f>+IF(CV17&gt;=Detail!$H$7,'Cash Flow'!CU12+1,0)</f>
        <v>96</v>
      </c>
      <c r="CW12" s="538">
        <f>+IF(CW17&gt;=Detail!$H$7,'Cash Flow'!CV12+1,0)</f>
        <v>97</v>
      </c>
      <c r="CX12" s="538">
        <f>+IF(CX17&gt;=Detail!$H$7,'Cash Flow'!CW12+1,0)</f>
        <v>98</v>
      </c>
      <c r="CY12" s="538">
        <f>+IF(CY17&gt;=Detail!$H$7,'Cash Flow'!CX12+1,0)</f>
        <v>99</v>
      </c>
      <c r="CZ12" s="538">
        <f>+IF(CZ17&gt;=Detail!$H$7,'Cash Flow'!CY12+1,0)</f>
        <v>100</v>
      </c>
      <c r="DA12" s="538">
        <f>+IF(DA17&gt;=Detail!$H$7,'Cash Flow'!CZ12+1,0)</f>
        <v>101</v>
      </c>
      <c r="DB12" s="538">
        <f>+IF(DB17&gt;=Detail!$H$7,'Cash Flow'!DA12+1,0)</f>
        <v>102</v>
      </c>
      <c r="DC12" s="538">
        <f>+IF(DC17&gt;=Detail!$H$7,'Cash Flow'!DB12+1,0)</f>
        <v>103</v>
      </c>
      <c r="DD12" s="538">
        <f>+IF(DD17&gt;=Detail!$H$7,'Cash Flow'!DC12+1,0)</f>
        <v>104</v>
      </c>
      <c r="DE12" s="538">
        <f>+IF(DE17&gt;=Detail!$H$7,'Cash Flow'!DD12+1,0)</f>
        <v>105</v>
      </c>
      <c r="DF12" s="538">
        <f>+IF(DF17&gt;=Detail!$H$7,'Cash Flow'!DE12+1,0)</f>
        <v>106</v>
      </c>
      <c r="DG12" s="538">
        <f>+IF(DG17&gt;=Detail!$H$7,'Cash Flow'!DF12+1,0)</f>
        <v>107</v>
      </c>
      <c r="DH12" s="538">
        <f>+IF(DH17&gt;=Detail!$H$7,'Cash Flow'!DG12+1,0)</f>
        <v>108</v>
      </c>
      <c r="DI12" s="538">
        <f>+IF(DI17&gt;=Detail!$H$7,'Cash Flow'!DH12+1,0)</f>
        <v>109</v>
      </c>
      <c r="DJ12" s="538">
        <f>+IF(DJ17&gt;=Detail!$H$7,'Cash Flow'!DI12+1,0)</f>
        <v>110</v>
      </c>
      <c r="DK12" s="538">
        <f>+IF(DK17&gt;=Detail!$H$7,'Cash Flow'!DJ12+1,0)</f>
        <v>111</v>
      </c>
      <c r="DL12" s="538">
        <f>+IF(DL17&gt;=Detail!$H$7,'Cash Flow'!DK12+1,0)</f>
        <v>112</v>
      </c>
      <c r="DM12" s="538">
        <f>+IF(DM17&gt;=Detail!$H$7,'Cash Flow'!DL12+1,0)</f>
        <v>113</v>
      </c>
      <c r="DN12" s="538">
        <f>+IF(DN17&gt;=Detail!$H$7,'Cash Flow'!DM12+1,0)</f>
        <v>114</v>
      </c>
      <c r="DO12" s="538">
        <f>+IF(DO17&gt;=Detail!$H$7,'Cash Flow'!DN12+1,0)</f>
        <v>115</v>
      </c>
      <c r="DP12" s="538">
        <f>+IF(DP17&gt;=Detail!$H$7,'Cash Flow'!DO12+1,0)</f>
        <v>116</v>
      </c>
      <c r="DQ12" s="538">
        <f>+IF(DQ17&gt;=Detail!$H$7,'Cash Flow'!DP12+1,0)</f>
        <v>117</v>
      </c>
      <c r="DR12" s="538">
        <f>+IF(DR17&gt;=Detail!$H$7,'Cash Flow'!DQ12+1,0)</f>
        <v>118</v>
      </c>
      <c r="DS12" s="538">
        <f>+IF(DS17&gt;=Detail!$H$7,'Cash Flow'!DR12+1,0)</f>
        <v>119</v>
      </c>
      <c r="DT12" s="538">
        <f>+IF(DT17&gt;=Detail!$H$7,'Cash Flow'!DS12+1,0)</f>
        <v>120</v>
      </c>
      <c r="DU12" s="538">
        <f>+IF(DU17&gt;=Detail!$H$7,'Cash Flow'!DT12+1,0)</f>
        <v>121</v>
      </c>
      <c r="DV12" s="538">
        <f>+IF(DV17&gt;=Detail!$H$7,'Cash Flow'!DU12+1,0)</f>
        <v>122</v>
      </c>
      <c r="DW12" s="538">
        <f>+IF(DW17&gt;=Detail!$H$7,'Cash Flow'!DV12+1,0)</f>
        <v>123</v>
      </c>
      <c r="DX12" s="538">
        <f>+IF(DX17&gt;=Detail!$H$7,'Cash Flow'!DW12+1,0)</f>
        <v>124</v>
      </c>
      <c r="DY12" s="538">
        <f>+IF(DY17&gt;=Detail!$H$7,'Cash Flow'!DX12+1,0)</f>
        <v>125</v>
      </c>
      <c r="DZ12" s="538">
        <f>+IF(DZ17&gt;=Detail!$H$7,'Cash Flow'!DY12+1,0)</f>
        <v>126</v>
      </c>
      <c r="EA12" s="538">
        <f>+IF(EA17&gt;=Detail!$H$7,'Cash Flow'!DZ12+1,0)</f>
        <v>127</v>
      </c>
      <c r="EB12" s="538">
        <f>+IF(EB17&gt;=Detail!$H$7,'Cash Flow'!EA12+1,0)</f>
        <v>128</v>
      </c>
      <c r="EC12" s="538">
        <f>+IF(EC17&gt;=Detail!$H$7,'Cash Flow'!EB12+1,0)</f>
        <v>129</v>
      </c>
      <c r="ED12" s="538">
        <f>+IF(ED17&gt;=Detail!$H$7,'Cash Flow'!EC12+1,0)</f>
        <v>130</v>
      </c>
      <c r="EE12" s="538">
        <f>+IF(EE17&gt;=Detail!$H$7,'Cash Flow'!ED12+1,0)</f>
        <v>131</v>
      </c>
      <c r="EF12" s="538">
        <f>+IF(EF17&gt;=Detail!$H$7,'Cash Flow'!EE12+1,0)</f>
        <v>132</v>
      </c>
      <c r="EG12" s="538">
        <f>+IF(EG17&gt;=Detail!$H$7,'Cash Flow'!EF12+1,0)</f>
        <v>133</v>
      </c>
      <c r="EH12" s="538">
        <f>+IF(EH17&gt;=Detail!$H$7,'Cash Flow'!EG12+1,0)</f>
        <v>134</v>
      </c>
      <c r="EI12" s="538">
        <f>+IF(EI17&gt;=Detail!$H$7,'Cash Flow'!EH12+1,0)</f>
        <v>135</v>
      </c>
      <c r="EJ12" s="538">
        <f>+IF(EJ17&gt;=Detail!$H$7,'Cash Flow'!EI12+1,0)</f>
        <v>136</v>
      </c>
      <c r="EK12" s="538">
        <f>+IF(EK17&gt;=Detail!$H$7,'Cash Flow'!EJ12+1,0)</f>
        <v>137</v>
      </c>
      <c r="EL12" s="538">
        <f>+IF(EL17&gt;=Detail!$H$7,'Cash Flow'!EK12+1,0)</f>
        <v>138</v>
      </c>
      <c r="EM12" s="538">
        <f>+IF(EM17&gt;=Detail!$H$7,'Cash Flow'!EL12+1,0)</f>
        <v>139</v>
      </c>
      <c r="EN12" s="538">
        <f>+IF(EN17&gt;=Detail!$H$7,'Cash Flow'!EM12+1,0)</f>
        <v>140</v>
      </c>
      <c r="EO12" s="538">
        <f>+IF(EO17&gt;=Detail!$H$7,'Cash Flow'!EN12+1,0)</f>
        <v>141</v>
      </c>
      <c r="EP12" s="538">
        <f>+IF(EP17&gt;=Detail!$H$7,'Cash Flow'!EO12+1,0)</f>
        <v>142</v>
      </c>
      <c r="EQ12" s="538">
        <f>+IF(EQ17&gt;=Detail!$H$7,'Cash Flow'!EP12+1,0)</f>
        <v>143</v>
      </c>
      <c r="ER12" s="538">
        <f>+IF(ER17&gt;=Detail!$H$7,'Cash Flow'!EQ12+1,0)</f>
        <v>144</v>
      </c>
      <c r="ES12" s="538">
        <f>+IF(ES17&gt;=Detail!$H$7,'Cash Flow'!ER12+1,0)</f>
        <v>145</v>
      </c>
      <c r="ET12" s="538">
        <f>+IF(ET17&gt;=Detail!$H$7,'Cash Flow'!ES12+1,0)</f>
        <v>146</v>
      </c>
      <c r="EU12" s="538">
        <f>+IF(EU17&gt;=Detail!$H$7,'Cash Flow'!ET12+1,0)</f>
        <v>147</v>
      </c>
      <c r="EV12" s="538">
        <f>+IF(EV17&gt;=Detail!$H$7,'Cash Flow'!EU12+1,0)</f>
        <v>148</v>
      </c>
      <c r="EW12" s="538">
        <f>+IF(EW17&gt;=Detail!$H$7,'Cash Flow'!EV12+1,0)</f>
        <v>149</v>
      </c>
      <c r="EX12" s="538">
        <f>+IF(EX17&gt;=Detail!$H$7,'Cash Flow'!EW12+1,0)</f>
        <v>150</v>
      </c>
      <c r="EY12" s="538">
        <f>+IF(EY17&gt;=Detail!$H$7,'Cash Flow'!EX12+1,0)</f>
        <v>151</v>
      </c>
      <c r="EZ12" s="538">
        <f>+IF(EZ17&gt;=Detail!$H$7,'Cash Flow'!EY12+1,0)</f>
        <v>152</v>
      </c>
      <c r="FA12" s="538">
        <f>+IF(FA17&gt;=Detail!$H$7,'Cash Flow'!EZ12+1,0)</f>
        <v>153</v>
      </c>
      <c r="FB12" s="538">
        <f>+IF(FB17&gt;=Detail!$H$7,'Cash Flow'!FA12+1,0)</f>
        <v>154</v>
      </c>
      <c r="FC12" s="538">
        <f>+IF(FC17&gt;=Detail!$H$7,'Cash Flow'!FB12+1,0)</f>
        <v>155</v>
      </c>
      <c r="FD12" s="538">
        <f>+IF(FD17&gt;=Detail!$H$7,'Cash Flow'!FC12+1,0)</f>
        <v>156</v>
      </c>
      <c r="FE12" s="538">
        <f>+IF(FE17&gt;=Detail!$H$7,'Cash Flow'!FD12+1,0)</f>
        <v>157</v>
      </c>
      <c r="FF12" s="538">
        <f>+IF(FF17&gt;=Detail!$H$7,'Cash Flow'!FE12+1,0)</f>
        <v>158</v>
      </c>
      <c r="FG12" s="538">
        <f>+IF(FG17&gt;=Detail!$H$7,'Cash Flow'!FF12+1,0)</f>
        <v>159</v>
      </c>
      <c r="FH12" s="538">
        <f>+IF(FH17&gt;=Detail!$H$7,'Cash Flow'!FG12+1,0)</f>
        <v>160</v>
      </c>
      <c r="FI12" s="538">
        <f>+IF(FI17&gt;=Detail!$H$7,'Cash Flow'!FH12+1,0)</f>
        <v>161</v>
      </c>
      <c r="FJ12" s="538">
        <f>+IF(FJ17&gt;=Detail!$H$7,'Cash Flow'!FI12+1,0)</f>
        <v>162</v>
      </c>
      <c r="FK12" s="538">
        <f>+IF(FK17&gt;=Detail!$H$7,'Cash Flow'!FJ12+1,0)</f>
        <v>163</v>
      </c>
      <c r="FL12" s="538">
        <f>+IF(FL17&gt;=Detail!$H$7,'Cash Flow'!FK12+1,0)</f>
        <v>164</v>
      </c>
      <c r="FM12" s="538">
        <f>+IF(FM17&gt;=Detail!$H$7,'Cash Flow'!FL12+1,0)</f>
        <v>165</v>
      </c>
      <c r="FN12" s="538">
        <f>+IF(FN17&gt;=Detail!$H$7,'Cash Flow'!FM12+1,0)</f>
        <v>166</v>
      </c>
      <c r="FO12" s="538">
        <f>+IF(FO17&gt;=Detail!$H$7,'Cash Flow'!FN12+1,0)</f>
        <v>167</v>
      </c>
      <c r="FP12" s="538">
        <f>+IF(FP17&gt;=Detail!$H$7,'Cash Flow'!FO12+1,0)</f>
        <v>168</v>
      </c>
      <c r="FQ12" s="538">
        <f>+IF(FQ17&gt;=Detail!$H$7,'Cash Flow'!FP12+1,0)</f>
        <v>169</v>
      </c>
      <c r="FR12" s="538">
        <f>+IF(FR17&gt;=Detail!$H$7,'Cash Flow'!FQ12+1,0)</f>
        <v>170</v>
      </c>
      <c r="FS12" s="538">
        <f>+IF(FS17&gt;=Detail!$H$7,'Cash Flow'!FR12+1,0)</f>
        <v>171</v>
      </c>
      <c r="FT12" s="534"/>
      <c r="FU12" s="534"/>
      <c r="FV12" s="534"/>
      <c r="FW12" s="534"/>
      <c r="FX12" s="534"/>
    </row>
    <row r="13" spans="2:180" ht="13.5" outlineLevel="1">
      <c r="B13" s="532"/>
      <c r="C13" s="536"/>
      <c r="D13" s="537"/>
      <c r="E13" s="538">
        <f t="shared" ref="E13:BP13" si="21">+ROUNDUP(E12/12,0)</f>
        <v>1</v>
      </c>
      <c r="F13" s="538">
        <f t="shared" si="21"/>
        <v>1</v>
      </c>
      <c r="G13" s="538">
        <f t="shared" si="21"/>
        <v>1</v>
      </c>
      <c r="H13" s="538">
        <f t="shared" si="21"/>
        <v>1</v>
      </c>
      <c r="I13" s="538">
        <f t="shared" si="21"/>
        <v>1</v>
      </c>
      <c r="J13" s="538">
        <f t="shared" si="21"/>
        <v>1</v>
      </c>
      <c r="K13" s="538">
        <f t="shared" si="21"/>
        <v>1</v>
      </c>
      <c r="L13" s="538">
        <f t="shared" si="21"/>
        <v>1</v>
      </c>
      <c r="M13" s="538">
        <f t="shared" si="21"/>
        <v>1</v>
      </c>
      <c r="N13" s="538">
        <f t="shared" si="21"/>
        <v>1</v>
      </c>
      <c r="O13" s="538">
        <f t="shared" si="21"/>
        <v>1</v>
      </c>
      <c r="P13" s="538">
        <f t="shared" si="21"/>
        <v>1</v>
      </c>
      <c r="Q13" s="538">
        <f t="shared" si="21"/>
        <v>2</v>
      </c>
      <c r="R13" s="538">
        <f t="shared" si="21"/>
        <v>2</v>
      </c>
      <c r="S13" s="538">
        <f t="shared" si="21"/>
        <v>2</v>
      </c>
      <c r="T13" s="538">
        <f t="shared" si="21"/>
        <v>2</v>
      </c>
      <c r="U13" s="538">
        <f t="shared" si="21"/>
        <v>2</v>
      </c>
      <c r="V13" s="538">
        <f t="shared" si="21"/>
        <v>2</v>
      </c>
      <c r="W13" s="538">
        <f t="shared" si="21"/>
        <v>2</v>
      </c>
      <c r="X13" s="538">
        <f t="shared" si="21"/>
        <v>2</v>
      </c>
      <c r="Y13" s="538">
        <f t="shared" si="21"/>
        <v>2</v>
      </c>
      <c r="Z13" s="538">
        <f t="shared" si="21"/>
        <v>2</v>
      </c>
      <c r="AA13" s="538">
        <f t="shared" si="21"/>
        <v>2</v>
      </c>
      <c r="AB13" s="538">
        <f t="shared" si="21"/>
        <v>2</v>
      </c>
      <c r="AC13" s="538">
        <f t="shared" si="21"/>
        <v>3</v>
      </c>
      <c r="AD13" s="538">
        <f t="shared" si="21"/>
        <v>3</v>
      </c>
      <c r="AE13" s="538">
        <f t="shared" si="21"/>
        <v>3</v>
      </c>
      <c r="AF13" s="538">
        <f t="shared" si="21"/>
        <v>3</v>
      </c>
      <c r="AG13" s="538">
        <f t="shared" si="21"/>
        <v>3</v>
      </c>
      <c r="AH13" s="538">
        <f t="shared" si="21"/>
        <v>3</v>
      </c>
      <c r="AI13" s="538">
        <f t="shared" si="21"/>
        <v>3</v>
      </c>
      <c r="AJ13" s="538">
        <f t="shared" si="21"/>
        <v>3</v>
      </c>
      <c r="AK13" s="538">
        <f t="shared" si="21"/>
        <v>3</v>
      </c>
      <c r="AL13" s="538">
        <f t="shared" si="21"/>
        <v>3</v>
      </c>
      <c r="AM13" s="538">
        <f t="shared" si="21"/>
        <v>3</v>
      </c>
      <c r="AN13" s="538">
        <f t="shared" si="21"/>
        <v>3</v>
      </c>
      <c r="AO13" s="538">
        <f t="shared" si="21"/>
        <v>4</v>
      </c>
      <c r="AP13" s="538">
        <f t="shared" si="21"/>
        <v>4</v>
      </c>
      <c r="AQ13" s="538">
        <f t="shared" si="21"/>
        <v>4</v>
      </c>
      <c r="AR13" s="538">
        <f t="shared" si="21"/>
        <v>4</v>
      </c>
      <c r="AS13" s="538">
        <f t="shared" si="21"/>
        <v>4</v>
      </c>
      <c r="AT13" s="538">
        <f t="shared" si="21"/>
        <v>4</v>
      </c>
      <c r="AU13" s="538">
        <f t="shared" si="21"/>
        <v>4</v>
      </c>
      <c r="AV13" s="538">
        <f t="shared" si="21"/>
        <v>4</v>
      </c>
      <c r="AW13" s="538">
        <f t="shared" si="21"/>
        <v>4</v>
      </c>
      <c r="AX13" s="538">
        <f t="shared" si="21"/>
        <v>4</v>
      </c>
      <c r="AY13" s="538">
        <f t="shared" si="21"/>
        <v>4</v>
      </c>
      <c r="AZ13" s="538">
        <f t="shared" si="21"/>
        <v>4</v>
      </c>
      <c r="BA13" s="538">
        <f t="shared" si="21"/>
        <v>5</v>
      </c>
      <c r="BB13" s="538">
        <f t="shared" si="21"/>
        <v>5</v>
      </c>
      <c r="BC13" s="538">
        <f t="shared" si="21"/>
        <v>5</v>
      </c>
      <c r="BD13" s="538">
        <f t="shared" si="21"/>
        <v>5</v>
      </c>
      <c r="BE13" s="538">
        <f t="shared" si="21"/>
        <v>5</v>
      </c>
      <c r="BF13" s="538">
        <f t="shared" si="21"/>
        <v>5</v>
      </c>
      <c r="BG13" s="538">
        <f t="shared" si="21"/>
        <v>5</v>
      </c>
      <c r="BH13" s="538">
        <f t="shared" si="21"/>
        <v>5</v>
      </c>
      <c r="BI13" s="538">
        <f t="shared" si="21"/>
        <v>5</v>
      </c>
      <c r="BJ13" s="538">
        <f t="shared" si="21"/>
        <v>5</v>
      </c>
      <c r="BK13" s="538">
        <f t="shared" si="21"/>
        <v>5</v>
      </c>
      <c r="BL13" s="538">
        <f t="shared" si="21"/>
        <v>5</v>
      </c>
      <c r="BM13" s="538">
        <f t="shared" si="21"/>
        <v>6</v>
      </c>
      <c r="BN13" s="538">
        <f t="shared" si="21"/>
        <v>6</v>
      </c>
      <c r="BO13" s="538">
        <f t="shared" si="21"/>
        <v>6</v>
      </c>
      <c r="BP13" s="538">
        <f t="shared" si="21"/>
        <v>6</v>
      </c>
      <c r="BQ13" s="538">
        <f t="shared" ref="BQ13:EB13" si="22">+ROUNDUP(BQ12/12,0)</f>
        <v>6</v>
      </c>
      <c r="BR13" s="538">
        <f t="shared" si="22"/>
        <v>6</v>
      </c>
      <c r="BS13" s="538">
        <f t="shared" si="22"/>
        <v>6</v>
      </c>
      <c r="BT13" s="538">
        <f t="shared" si="22"/>
        <v>6</v>
      </c>
      <c r="BU13" s="538">
        <f t="shared" si="22"/>
        <v>6</v>
      </c>
      <c r="BV13" s="538">
        <f t="shared" si="22"/>
        <v>6</v>
      </c>
      <c r="BW13" s="538">
        <f t="shared" si="22"/>
        <v>6</v>
      </c>
      <c r="BX13" s="538">
        <f t="shared" si="22"/>
        <v>6</v>
      </c>
      <c r="BY13" s="538">
        <f t="shared" si="22"/>
        <v>7</v>
      </c>
      <c r="BZ13" s="538">
        <f t="shared" si="22"/>
        <v>7</v>
      </c>
      <c r="CA13" s="538">
        <f t="shared" si="22"/>
        <v>7</v>
      </c>
      <c r="CB13" s="538">
        <f t="shared" si="22"/>
        <v>7</v>
      </c>
      <c r="CC13" s="538">
        <f t="shared" si="22"/>
        <v>7</v>
      </c>
      <c r="CD13" s="538">
        <f t="shared" si="22"/>
        <v>7</v>
      </c>
      <c r="CE13" s="538">
        <f t="shared" si="22"/>
        <v>7</v>
      </c>
      <c r="CF13" s="538">
        <f t="shared" si="22"/>
        <v>7</v>
      </c>
      <c r="CG13" s="538">
        <f t="shared" si="22"/>
        <v>7</v>
      </c>
      <c r="CH13" s="538">
        <f t="shared" si="22"/>
        <v>7</v>
      </c>
      <c r="CI13" s="538">
        <f t="shared" si="22"/>
        <v>7</v>
      </c>
      <c r="CJ13" s="538">
        <f t="shared" si="22"/>
        <v>7</v>
      </c>
      <c r="CK13" s="538">
        <f t="shared" si="22"/>
        <v>8</v>
      </c>
      <c r="CL13" s="538">
        <f t="shared" si="22"/>
        <v>8</v>
      </c>
      <c r="CM13" s="538">
        <f t="shared" si="22"/>
        <v>8</v>
      </c>
      <c r="CN13" s="538">
        <f t="shared" si="22"/>
        <v>8</v>
      </c>
      <c r="CO13" s="538">
        <f t="shared" si="22"/>
        <v>8</v>
      </c>
      <c r="CP13" s="538">
        <f t="shared" si="22"/>
        <v>8</v>
      </c>
      <c r="CQ13" s="538">
        <f t="shared" si="22"/>
        <v>8</v>
      </c>
      <c r="CR13" s="538">
        <f t="shared" si="22"/>
        <v>8</v>
      </c>
      <c r="CS13" s="538">
        <f t="shared" si="22"/>
        <v>8</v>
      </c>
      <c r="CT13" s="538">
        <f t="shared" si="22"/>
        <v>8</v>
      </c>
      <c r="CU13" s="538">
        <f t="shared" si="22"/>
        <v>8</v>
      </c>
      <c r="CV13" s="538">
        <f t="shared" si="22"/>
        <v>8</v>
      </c>
      <c r="CW13" s="538">
        <f t="shared" si="22"/>
        <v>9</v>
      </c>
      <c r="CX13" s="538">
        <f t="shared" si="22"/>
        <v>9</v>
      </c>
      <c r="CY13" s="538">
        <f t="shared" si="22"/>
        <v>9</v>
      </c>
      <c r="CZ13" s="538">
        <f t="shared" si="22"/>
        <v>9</v>
      </c>
      <c r="DA13" s="538">
        <f t="shared" si="22"/>
        <v>9</v>
      </c>
      <c r="DB13" s="538">
        <f t="shared" si="22"/>
        <v>9</v>
      </c>
      <c r="DC13" s="538">
        <f t="shared" si="22"/>
        <v>9</v>
      </c>
      <c r="DD13" s="538">
        <f t="shared" si="22"/>
        <v>9</v>
      </c>
      <c r="DE13" s="538">
        <f t="shared" si="22"/>
        <v>9</v>
      </c>
      <c r="DF13" s="538">
        <f t="shared" si="22"/>
        <v>9</v>
      </c>
      <c r="DG13" s="538">
        <f t="shared" si="22"/>
        <v>9</v>
      </c>
      <c r="DH13" s="538">
        <f t="shared" si="22"/>
        <v>9</v>
      </c>
      <c r="DI13" s="538">
        <f t="shared" si="22"/>
        <v>10</v>
      </c>
      <c r="DJ13" s="538">
        <f t="shared" si="22"/>
        <v>10</v>
      </c>
      <c r="DK13" s="538">
        <f t="shared" si="22"/>
        <v>10</v>
      </c>
      <c r="DL13" s="538">
        <f t="shared" si="22"/>
        <v>10</v>
      </c>
      <c r="DM13" s="538">
        <f t="shared" si="22"/>
        <v>10</v>
      </c>
      <c r="DN13" s="538">
        <f t="shared" si="22"/>
        <v>10</v>
      </c>
      <c r="DO13" s="538">
        <f t="shared" si="22"/>
        <v>10</v>
      </c>
      <c r="DP13" s="538">
        <f t="shared" si="22"/>
        <v>10</v>
      </c>
      <c r="DQ13" s="538">
        <f t="shared" si="22"/>
        <v>10</v>
      </c>
      <c r="DR13" s="538">
        <f t="shared" si="22"/>
        <v>10</v>
      </c>
      <c r="DS13" s="538">
        <f t="shared" si="22"/>
        <v>10</v>
      </c>
      <c r="DT13" s="538">
        <f t="shared" si="22"/>
        <v>10</v>
      </c>
      <c r="DU13" s="538">
        <f t="shared" si="22"/>
        <v>11</v>
      </c>
      <c r="DV13" s="538">
        <f t="shared" si="22"/>
        <v>11</v>
      </c>
      <c r="DW13" s="538">
        <f t="shared" si="22"/>
        <v>11</v>
      </c>
      <c r="DX13" s="538">
        <f t="shared" si="22"/>
        <v>11</v>
      </c>
      <c r="DY13" s="538">
        <f t="shared" si="22"/>
        <v>11</v>
      </c>
      <c r="DZ13" s="538">
        <f t="shared" si="22"/>
        <v>11</v>
      </c>
      <c r="EA13" s="538">
        <f t="shared" si="22"/>
        <v>11</v>
      </c>
      <c r="EB13" s="538">
        <f t="shared" si="22"/>
        <v>11</v>
      </c>
      <c r="EC13" s="538">
        <f t="shared" ref="EC13:FS13" si="23">+ROUNDUP(EC12/12,0)</f>
        <v>11</v>
      </c>
      <c r="ED13" s="538">
        <f t="shared" si="23"/>
        <v>11</v>
      </c>
      <c r="EE13" s="538">
        <f t="shared" si="23"/>
        <v>11</v>
      </c>
      <c r="EF13" s="538">
        <f t="shared" si="23"/>
        <v>11</v>
      </c>
      <c r="EG13" s="538">
        <f t="shared" si="23"/>
        <v>12</v>
      </c>
      <c r="EH13" s="538">
        <f t="shared" si="23"/>
        <v>12</v>
      </c>
      <c r="EI13" s="538">
        <f t="shared" si="23"/>
        <v>12</v>
      </c>
      <c r="EJ13" s="538">
        <f t="shared" si="23"/>
        <v>12</v>
      </c>
      <c r="EK13" s="538">
        <f t="shared" si="23"/>
        <v>12</v>
      </c>
      <c r="EL13" s="538">
        <f t="shared" si="23"/>
        <v>12</v>
      </c>
      <c r="EM13" s="538">
        <f t="shared" si="23"/>
        <v>12</v>
      </c>
      <c r="EN13" s="538">
        <f t="shared" si="23"/>
        <v>12</v>
      </c>
      <c r="EO13" s="538">
        <f t="shared" si="23"/>
        <v>12</v>
      </c>
      <c r="EP13" s="538">
        <f t="shared" si="23"/>
        <v>12</v>
      </c>
      <c r="EQ13" s="538">
        <f t="shared" si="23"/>
        <v>12</v>
      </c>
      <c r="ER13" s="538">
        <f t="shared" si="23"/>
        <v>12</v>
      </c>
      <c r="ES13" s="538">
        <f t="shared" si="23"/>
        <v>13</v>
      </c>
      <c r="ET13" s="538">
        <f t="shared" si="23"/>
        <v>13</v>
      </c>
      <c r="EU13" s="538">
        <f t="shared" si="23"/>
        <v>13</v>
      </c>
      <c r="EV13" s="538">
        <f t="shared" si="23"/>
        <v>13</v>
      </c>
      <c r="EW13" s="538">
        <f t="shared" si="23"/>
        <v>13</v>
      </c>
      <c r="EX13" s="538">
        <f t="shared" si="23"/>
        <v>13</v>
      </c>
      <c r="EY13" s="538">
        <f t="shared" si="23"/>
        <v>13</v>
      </c>
      <c r="EZ13" s="538">
        <f t="shared" si="23"/>
        <v>13</v>
      </c>
      <c r="FA13" s="538">
        <f t="shared" si="23"/>
        <v>13</v>
      </c>
      <c r="FB13" s="538">
        <f t="shared" si="23"/>
        <v>13</v>
      </c>
      <c r="FC13" s="538">
        <f t="shared" si="23"/>
        <v>13</v>
      </c>
      <c r="FD13" s="538">
        <f t="shared" si="23"/>
        <v>13</v>
      </c>
      <c r="FE13" s="538">
        <f t="shared" si="23"/>
        <v>14</v>
      </c>
      <c r="FF13" s="538">
        <f t="shared" si="23"/>
        <v>14</v>
      </c>
      <c r="FG13" s="538">
        <f t="shared" si="23"/>
        <v>14</v>
      </c>
      <c r="FH13" s="538">
        <f t="shared" si="23"/>
        <v>14</v>
      </c>
      <c r="FI13" s="538">
        <f t="shared" si="23"/>
        <v>14</v>
      </c>
      <c r="FJ13" s="538">
        <f t="shared" si="23"/>
        <v>14</v>
      </c>
      <c r="FK13" s="538">
        <f t="shared" si="23"/>
        <v>14</v>
      </c>
      <c r="FL13" s="538">
        <f t="shared" si="23"/>
        <v>14</v>
      </c>
      <c r="FM13" s="538">
        <f t="shared" si="23"/>
        <v>14</v>
      </c>
      <c r="FN13" s="538">
        <f t="shared" si="23"/>
        <v>14</v>
      </c>
      <c r="FO13" s="538">
        <f t="shared" si="23"/>
        <v>14</v>
      </c>
      <c r="FP13" s="538">
        <f t="shared" si="23"/>
        <v>14</v>
      </c>
      <c r="FQ13" s="538">
        <f t="shared" si="23"/>
        <v>15</v>
      </c>
      <c r="FR13" s="538">
        <f t="shared" si="23"/>
        <v>15</v>
      </c>
      <c r="FS13" s="538">
        <f t="shared" si="23"/>
        <v>15</v>
      </c>
      <c r="FT13" s="534"/>
      <c r="FU13" s="534"/>
      <c r="FV13" s="534"/>
      <c r="FW13" s="534"/>
      <c r="FX13" s="534"/>
    </row>
    <row r="14" spans="2:180" ht="13.5" outlineLevel="1">
      <c r="B14" s="532" t="s">
        <v>281</v>
      </c>
      <c r="C14" s="536"/>
      <c r="D14" s="537"/>
      <c r="E14" s="537"/>
      <c r="F14" s="537"/>
      <c r="G14" s="537"/>
      <c r="H14" s="537"/>
      <c r="I14" s="537"/>
      <c r="J14" s="537"/>
      <c r="K14" s="537"/>
      <c r="L14" s="537"/>
      <c r="M14" s="537"/>
      <c r="N14" s="537"/>
      <c r="O14" s="537"/>
      <c r="P14" s="537"/>
      <c r="Q14" s="537"/>
      <c r="R14" s="537"/>
      <c r="S14" s="537"/>
      <c r="T14" s="537"/>
      <c r="U14" s="537"/>
      <c r="V14" s="537"/>
      <c r="W14" s="537"/>
      <c r="X14" s="537"/>
      <c r="Y14" s="537"/>
      <c r="Z14" s="537"/>
      <c r="AA14" s="537"/>
      <c r="AB14" s="537"/>
      <c r="AC14" s="537"/>
      <c r="AD14" s="537"/>
      <c r="AE14" s="537"/>
      <c r="AF14" s="537"/>
      <c r="AG14" s="537"/>
      <c r="AH14" s="537"/>
      <c r="AI14" s="537"/>
      <c r="AJ14" s="537"/>
      <c r="AK14" s="537"/>
      <c r="AL14" s="537"/>
      <c r="AM14" s="537"/>
      <c r="AN14" s="537"/>
      <c r="AO14" s="537"/>
      <c r="AP14" s="537"/>
      <c r="AQ14" s="537"/>
      <c r="AR14" s="537"/>
      <c r="AS14" s="537"/>
      <c r="AT14" s="537"/>
      <c r="AU14" s="537"/>
      <c r="AV14" s="537"/>
      <c r="AW14" s="537"/>
      <c r="AX14" s="537"/>
      <c r="AY14" s="537"/>
      <c r="AZ14" s="537"/>
      <c r="BA14" s="537"/>
      <c r="BB14" s="537"/>
      <c r="BC14" s="537"/>
      <c r="BD14" s="537"/>
      <c r="BE14" s="537"/>
      <c r="BF14" s="537"/>
      <c r="BG14" s="537"/>
      <c r="BH14" s="537"/>
      <c r="BI14" s="537"/>
      <c r="BJ14" s="537"/>
      <c r="BK14" s="537"/>
      <c r="BL14" s="537"/>
      <c r="BM14" s="537"/>
      <c r="BN14" s="537"/>
      <c r="BO14" s="537"/>
      <c r="BP14" s="537"/>
      <c r="BQ14" s="537"/>
      <c r="BR14" s="537"/>
      <c r="BS14" s="537"/>
      <c r="BT14" s="537"/>
      <c r="BU14" s="537"/>
      <c r="BV14" s="537"/>
      <c r="BW14" s="537"/>
      <c r="BX14" s="537"/>
      <c r="BY14" s="537"/>
      <c r="BZ14" s="537"/>
      <c r="CA14" s="537"/>
      <c r="CB14" s="537"/>
      <c r="CC14" s="537"/>
      <c r="CD14" s="537"/>
      <c r="CE14" s="537"/>
      <c r="CF14" s="537"/>
      <c r="CG14" s="537"/>
      <c r="CH14" s="537"/>
      <c r="CI14" s="537"/>
      <c r="CJ14" s="537"/>
      <c r="CK14" s="537"/>
      <c r="CL14" s="537"/>
      <c r="CM14" s="537"/>
      <c r="CN14" s="537"/>
      <c r="CO14" s="537"/>
      <c r="CP14" s="537"/>
      <c r="CQ14" s="537"/>
      <c r="CR14" s="537"/>
      <c r="CS14" s="537"/>
      <c r="CT14" s="537"/>
      <c r="CU14" s="537"/>
      <c r="CV14" s="537"/>
      <c r="CW14" s="537"/>
      <c r="CX14" s="537"/>
      <c r="CY14" s="537"/>
      <c r="CZ14" s="537"/>
      <c r="DA14" s="537"/>
      <c r="DB14" s="537"/>
      <c r="DC14" s="537"/>
      <c r="DD14" s="537"/>
      <c r="DE14" s="537"/>
      <c r="DF14" s="537"/>
      <c r="DG14" s="537"/>
      <c r="DH14" s="537"/>
      <c r="DI14" s="537"/>
      <c r="DJ14" s="537"/>
      <c r="DK14" s="537"/>
      <c r="DL14" s="537"/>
      <c r="DM14" s="537"/>
      <c r="DN14" s="537"/>
      <c r="DO14" s="537"/>
      <c r="DP14" s="537"/>
      <c r="DQ14" s="537"/>
      <c r="DR14" s="537"/>
      <c r="DS14" s="537"/>
      <c r="DT14" s="537"/>
      <c r="DU14" s="537"/>
      <c r="DV14" s="537"/>
      <c r="DW14" s="537"/>
      <c r="DX14" s="537"/>
      <c r="DY14" s="537"/>
      <c r="DZ14" s="537"/>
      <c r="EA14" s="537"/>
      <c r="EB14" s="537"/>
      <c r="EC14" s="537"/>
      <c r="ED14" s="537"/>
      <c r="EE14" s="537"/>
      <c r="EF14" s="537"/>
      <c r="EG14" s="537"/>
      <c r="EH14" s="537"/>
      <c r="EI14" s="537"/>
      <c r="EJ14" s="537"/>
      <c r="EK14" s="537"/>
      <c r="EL14" s="537"/>
      <c r="EM14" s="537"/>
      <c r="EN14" s="537"/>
      <c r="EO14" s="537"/>
      <c r="EP14" s="537"/>
      <c r="EQ14" s="537"/>
      <c r="ER14" s="537"/>
      <c r="ES14" s="537"/>
      <c r="ET14" s="537"/>
      <c r="EU14" s="537"/>
      <c r="EV14" s="537"/>
      <c r="EW14" s="537"/>
      <c r="EX14" s="537"/>
      <c r="EY14" s="537"/>
      <c r="EZ14" s="537"/>
      <c r="FA14" s="537"/>
      <c r="FB14" s="537"/>
      <c r="FC14" s="537"/>
      <c r="FD14" s="537"/>
      <c r="FE14" s="537"/>
      <c r="FF14" s="537"/>
      <c r="FG14" s="537"/>
      <c r="FH14" s="537"/>
      <c r="FI14" s="537"/>
      <c r="FJ14" s="537"/>
      <c r="FK14" s="537"/>
      <c r="FL14" s="537"/>
      <c r="FM14" s="537"/>
      <c r="FN14" s="537"/>
      <c r="FO14" s="537"/>
      <c r="FP14" s="537"/>
      <c r="FQ14" s="537"/>
      <c r="FR14" s="537"/>
      <c r="FS14" s="537"/>
      <c r="FT14" s="534"/>
      <c r="FU14" s="534"/>
      <c r="FV14" s="534"/>
      <c r="FW14" s="534"/>
      <c r="FX14" s="534"/>
    </row>
    <row r="15" spans="2:180" ht="13.5" outlineLevel="1">
      <c r="B15" s="539" t="s">
        <v>282</v>
      </c>
      <c r="C15" s="536"/>
      <c r="D15" s="537"/>
      <c r="E15" s="538">
        <f>+IF(E5&lt;Detail!$M$141,0,'Cash Flow'!D15+1)</f>
        <v>0</v>
      </c>
      <c r="F15" s="538">
        <f>+IF(F5&lt;Detail!$M$141,0,'Cash Flow'!E15+1)</f>
        <v>0</v>
      </c>
      <c r="G15" s="538">
        <f>+IF(G5&lt;Detail!$M$141,0,'Cash Flow'!F15+1)</f>
        <v>0</v>
      </c>
      <c r="H15" s="538">
        <f>+IF(H5&lt;Detail!$M$141,0,'Cash Flow'!G15+1)</f>
        <v>0</v>
      </c>
      <c r="I15" s="538">
        <f>+IF(I5&lt;Detail!$M$141,0,'Cash Flow'!H15+1)</f>
        <v>0</v>
      </c>
      <c r="J15" s="538">
        <f>+IF(J5&lt;Detail!$M$141,0,'Cash Flow'!I15+1)</f>
        <v>0</v>
      </c>
      <c r="K15" s="538">
        <f>+IF(K5&lt;Detail!$M$141,0,'Cash Flow'!J15+1)</f>
        <v>0</v>
      </c>
      <c r="L15" s="538">
        <f>+IF(L5&lt;Detail!$M$141,0,'Cash Flow'!K15+1)</f>
        <v>1</v>
      </c>
      <c r="M15" s="538">
        <f>+IF(M5&lt;Detail!$M$141,0,'Cash Flow'!L15+1)</f>
        <v>2</v>
      </c>
      <c r="N15" s="538">
        <f>+IF(N5&lt;Detail!$M$141,0,'Cash Flow'!M15+1)</f>
        <v>3</v>
      </c>
      <c r="O15" s="538">
        <f>+IF(O5&lt;Detail!$M$141,0,'Cash Flow'!N15+1)</f>
        <v>4</v>
      </c>
      <c r="P15" s="538">
        <f>+IF(P5&lt;Detail!$M$141,0,'Cash Flow'!O15+1)</f>
        <v>5</v>
      </c>
      <c r="Q15" s="538">
        <f>+IF(Q5&lt;Detail!$M$141,0,'Cash Flow'!P15+1)</f>
        <v>6</v>
      </c>
      <c r="R15" s="538">
        <f>+IF(R5&lt;Detail!$M$141,0,'Cash Flow'!Q15+1)</f>
        <v>7</v>
      </c>
      <c r="S15" s="538">
        <f>+IF(S5&lt;Detail!$M$141,0,'Cash Flow'!R15+1)</f>
        <v>8</v>
      </c>
      <c r="T15" s="538">
        <f>+IF(T5&lt;Detail!$M$141,0,'Cash Flow'!S15+1)</f>
        <v>9</v>
      </c>
      <c r="U15" s="538">
        <f>+IF(U5&lt;Detail!$M$141,0,'Cash Flow'!T15+1)</f>
        <v>10</v>
      </c>
      <c r="V15" s="538">
        <f>+IF(V5&lt;Detail!$M$141,0,'Cash Flow'!U15+1)</f>
        <v>11</v>
      </c>
      <c r="W15" s="538">
        <f>+IF(W5&lt;Detail!$M$141,0,'Cash Flow'!V15+1)</f>
        <v>12</v>
      </c>
      <c r="X15" s="538">
        <f>+IF(X5&lt;Detail!$M$141,0,'Cash Flow'!W15+1)</f>
        <v>13</v>
      </c>
      <c r="Y15" s="538">
        <f>+IF(Y5&lt;Detail!$M$141,0,'Cash Flow'!X15+1)</f>
        <v>14</v>
      </c>
      <c r="Z15" s="538">
        <f>+IF(Z5&lt;Detail!$M$141,0,'Cash Flow'!Y15+1)</f>
        <v>15</v>
      </c>
      <c r="AA15" s="538">
        <f>+IF(AA5&lt;Detail!$M$141,0,'Cash Flow'!Z15+1)</f>
        <v>16</v>
      </c>
      <c r="AB15" s="538">
        <f>+IF(AB5&lt;Detail!$M$141,0,'Cash Flow'!AA15+1)</f>
        <v>17</v>
      </c>
      <c r="AC15" s="538">
        <f>+IF(AC5&lt;Detail!$M$141,0,'Cash Flow'!AB15+1)</f>
        <v>18</v>
      </c>
      <c r="AD15" s="538">
        <f>+IF(AD5&lt;Detail!$M$141,0,'Cash Flow'!AC15+1)</f>
        <v>19</v>
      </c>
      <c r="AE15" s="538">
        <f>+IF(AE5&lt;Detail!$M$141,0,'Cash Flow'!AD15+1)</f>
        <v>20</v>
      </c>
      <c r="AF15" s="538">
        <f>+IF(AF5&lt;Detail!$M$141,0,'Cash Flow'!AE15+1)</f>
        <v>21</v>
      </c>
      <c r="AG15" s="538">
        <f>+IF(AG5&lt;Detail!$M$141,0,'Cash Flow'!AF15+1)</f>
        <v>22</v>
      </c>
      <c r="AH15" s="538">
        <f>+IF(AH5&lt;Detail!$M$141,0,'Cash Flow'!AG15+1)</f>
        <v>23</v>
      </c>
      <c r="AI15" s="538">
        <f>+IF(AI5&lt;Detail!$M$141,0,'Cash Flow'!AH15+1)</f>
        <v>24</v>
      </c>
      <c r="AJ15" s="538">
        <f>+IF(AJ5&lt;Detail!$M$141,0,'Cash Flow'!AI15+1)</f>
        <v>25</v>
      </c>
      <c r="AK15" s="538">
        <f>+IF(AK5&lt;Detail!$M$141,0,'Cash Flow'!AJ15+1)</f>
        <v>26</v>
      </c>
      <c r="AL15" s="538">
        <f>+IF(AL5&lt;Detail!$M$141,0,'Cash Flow'!AK15+1)</f>
        <v>27</v>
      </c>
      <c r="AM15" s="538">
        <f>+IF(AM5&lt;Detail!$M$141,0,'Cash Flow'!AL15+1)</f>
        <v>28</v>
      </c>
      <c r="AN15" s="538">
        <f>+IF(AN5&lt;Detail!$M$141,0,'Cash Flow'!AM15+1)</f>
        <v>29</v>
      </c>
      <c r="AO15" s="538">
        <f>+IF(AO5&lt;Detail!$M$141,0,'Cash Flow'!AN15+1)</f>
        <v>30</v>
      </c>
      <c r="AP15" s="538">
        <f>+IF(AP5&lt;Detail!$M$141,0,'Cash Flow'!AO15+1)</f>
        <v>31</v>
      </c>
      <c r="AQ15" s="538">
        <f>+IF(AQ5&lt;Detail!$M$141,0,'Cash Flow'!AP15+1)</f>
        <v>32</v>
      </c>
      <c r="AR15" s="538">
        <f>+IF(AR5&lt;Detail!$M$141,0,'Cash Flow'!AQ15+1)</f>
        <v>33</v>
      </c>
      <c r="AS15" s="538">
        <f>+IF(AS5&lt;Detail!$M$141,0,'Cash Flow'!AR15+1)</f>
        <v>34</v>
      </c>
      <c r="AT15" s="538">
        <f>+IF(AT5&lt;Detail!$M$141,0,'Cash Flow'!AS15+1)</f>
        <v>35</v>
      </c>
      <c r="AU15" s="538">
        <f>+IF(AU5&lt;Detail!$M$141,0,'Cash Flow'!AT15+1)</f>
        <v>36</v>
      </c>
      <c r="AV15" s="538">
        <f>+IF(AV5&lt;Detail!$M$141,0,'Cash Flow'!AU15+1)</f>
        <v>37</v>
      </c>
      <c r="AW15" s="538">
        <f>+IF(AW5&lt;Detail!$M$141,0,'Cash Flow'!AV15+1)</f>
        <v>38</v>
      </c>
      <c r="AX15" s="538">
        <f>+IF(AX5&lt;Detail!$M$141,0,'Cash Flow'!AW15+1)</f>
        <v>39</v>
      </c>
      <c r="AY15" s="538">
        <f>+IF(AY5&lt;Detail!$M$141,0,'Cash Flow'!AX15+1)</f>
        <v>40</v>
      </c>
      <c r="AZ15" s="538">
        <f>+IF(AZ5&lt;Detail!$M$141,0,'Cash Flow'!AY15+1)</f>
        <v>41</v>
      </c>
      <c r="BA15" s="538">
        <f>+IF(BA5&lt;Detail!$M$141,0,'Cash Flow'!AZ15+1)</f>
        <v>42</v>
      </c>
      <c r="BB15" s="538">
        <f>+IF(BB5&lt;Detail!$M$141,0,'Cash Flow'!BA15+1)</f>
        <v>43</v>
      </c>
      <c r="BC15" s="538">
        <f>+IF(BC5&lt;Detail!$M$141,0,'Cash Flow'!BB15+1)</f>
        <v>44</v>
      </c>
      <c r="BD15" s="538">
        <f>+IF(BD5&lt;Detail!$M$141,0,'Cash Flow'!BC15+1)</f>
        <v>45</v>
      </c>
      <c r="BE15" s="538">
        <f>+IF(BE5&lt;Detail!$M$141,0,'Cash Flow'!BD15+1)</f>
        <v>46</v>
      </c>
      <c r="BF15" s="538">
        <f>+IF(BF5&lt;Detail!$M$141,0,'Cash Flow'!BE15+1)</f>
        <v>47</v>
      </c>
      <c r="BG15" s="538">
        <f>+IF(BG5&lt;Detail!$M$141,0,'Cash Flow'!BF15+1)</f>
        <v>48</v>
      </c>
      <c r="BH15" s="538">
        <f>+IF(BH5&lt;Detail!$M$141,0,'Cash Flow'!BG15+1)</f>
        <v>49</v>
      </c>
      <c r="BI15" s="538">
        <f>+IF(BI5&lt;Detail!$M$141,0,'Cash Flow'!BH15+1)</f>
        <v>50</v>
      </c>
      <c r="BJ15" s="538">
        <f>+IF(BJ5&lt;Detail!$M$141,0,'Cash Flow'!BI15+1)</f>
        <v>51</v>
      </c>
      <c r="BK15" s="538">
        <f>+IF(BK5&lt;Detail!$M$141,0,'Cash Flow'!BJ15+1)</f>
        <v>52</v>
      </c>
      <c r="BL15" s="538">
        <f>+IF(BL5&lt;Detail!$M$141,0,'Cash Flow'!BK15+1)</f>
        <v>53</v>
      </c>
      <c r="BM15" s="538">
        <f>+IF(BM5&lt;Detail!$M$141,0,'Cash Flow'!BL15+1)</f>
        <v>54</v>
      </c>
      <c r="BN15" s="538">
        <f>+IF(BN5&lt;Detail!$M$141,0,'Cash Flow'!BM15+1)</f>
        <v>55</v>
      </c>
      <c r="BO15" s="538">
        <f>+IF(BO5&lt;Detail!$M$141,0,'Cash Flow'!BN15+1)</f>
        <v>56</v>
      </c>
      <c r="BP15" s="538">
        <f>+IF(BP5&lt;Detail!$M$141,0,'Cash Flow'!BO15+1)</f>
        <v>57</v>
      </c>
      <c r="BQ15" s="538">
        <f>+IF(BQ5&lt;Detail!$M$141,0,'Cash Flow'!BP15+1)</f>
        <v>58</v>
      </c>
      <c r="BR15" s="538">
        <f>+IF(BR5&lt;Detail!$M$141,0,'Cash Flow'!BQ15+1)</f>
        <v>59</v>
      </c>
      <c r="BS15" s="538">
        <f>+IF(BS5&lt;Detail!$M$141,0,'Cash Flow'!BR15+1)</f>
        <v>60</v>
      </c>
      <c r="BT15" s="538">
        <f>+IF(BT5&lt;Detail!$M$141,0,'Cash Flow'!BS15+1)</f>
        <v>61</v>
      </c>
      <c r="BU15" s="538">
        <f>+IF(BU5&lt;Detail!$M$141,0,'Cash Flow'!BT15+1)</f>
        <v>62</v>
      </c>
      <c r="BV15" s="538">
        <f>+IF(BV5&lt;Detail!$M$141,0,'Cash Flow'!BU15+1)</f>
        <v>63</v>
      </c>
      <c r="BW15" s="538">
        <f>+IF(BW5&lt;Detail!$M$141,0,'Cash Flow'!BV15+1)</f>
        <v>64</v>
      </c>
      <c r="BX15" s="538">
        <f>+IF(BX5&lt;Detail!$M$141,0,'Cash Flow'!BW15+1)</f>
        <v>65</v>
      </c>
      <c r="BY15" s="538">
        <f>+IF(BY5&lt;Detail!$M$141,0,'Cash Flow'!BX15+1)</f>
        <v>66</v>
      </c>
      <c r="BZ15" s="538">
        <f>+IF(BZ5&lt;Detail!$M$141,0,'Cash Flow'!BY15+1)</f>
        <v>67</v>
      </c>
      <c r="CA15" s="538">
        <f>+IF(CA5&lt;Detail!$M$141,0,'Cash Flow'!BZ15+1)</f>
        <v>68</v>
      </c>
      <c r="CB15" s="538">
        <f>+IF(CB5&lt;Detail!$M$141,0,'Cash Flow'!CA15+1)</f>
        <v>69</v>
      </c>
      <c r="CC15" s="538">
        <f>+IF(CC5&lt;Detail!$M$141,0,'Cash Flow'!CB15+1)</f>
        <v>70</v>
      </c>
      <c r="CD15" s="538">
        <f>+IF(CD5&lt;Detail!$M$141,0,'Cash Flow'!CC15+1)</f>
        <v>71</v>
      </c>
      <c r="CE15" s="538">
        <f>+IF(CE5&lt;Detail!$M$141,0,'Cash Flow'!CD15+1)</f>
        <v>72</v>
      </c>
      <c r="CF15" s="538">
        <f>+IF(CF5&lt;Detail!$M$141,0,'Cash Flow'!CE15+1)</f>
        <v>73</v>
      </c>
      <c r="CG15" s="538">
        <f>+IF(CG5&lt;Detail!$M$141,0,'Cash Flow'!CF15+1)</f>
        <v>74</v>
      </c>
      <c r="CH15" s="538">
        <f>+IF(CH5&lt;Detail!$M$141,0,'Cash Flow'!CG15+1)</f>
        <v>75</v>
      </c>
      <c r="CI15" s="538">
        <f>+IF(CI5&lt;Detail!$M$141,0,'Cash Flow'!CH15+1)</f>
        <v>76</v>
      </c>
      <c r="CJ15" s="538">
        <f>+IF(CJ5&lt;Detail!$M$141,0,'Cash Flow'!CI15+1)</f>
        <v>77</v>
      </c>
      <c r="CK15" s="538">
        <f>+IF(CK5&lt;Detail!$M$141,0,'Cash Flow'!CJ15+1)</f>
        <v>78</v>
      </c>
      <c r="CL15" s="538">
        <f>+IF(CL5&lt;Detail!$M$141,0,'Cash Flow'!CK15+1)</f>
        <v>79</v>
      </c>
      <c r="CM15" s="538">
        <f>+IF(CM5&lt;Detail!$M$141,0,'Cash Flow'!CL15+1)</f>
        <v>80</v>
      </c>
      <c r="CN15" s="538">
        <f>+IF(CN5&lt;Detail!$M$141,0,'Cash Flow'!CM15+1)</f>
        <v>81</v>
      </c>
      <c r="CO15" s="538">
        <f>+IF(CO5&lt;Detail!$M$141,0,'Cash Flow'!CN15+1)</f>
        <v>82</v>
      </c>
      <c r="CP15" s="538">
        <f>+IF(CP5&lt;Detail!$M$141,0,'Cash Flow'!CO15+1)</f>
        <v>83</v>
      </c>
      <c r="CQ15" s="538">
        <f>+IF(CQ5&lt;Detail!$M$141,0,'Cash Flow'!CP15+1)</f>
        <v>84</v>
      </c>
      <c r="CR15" s="538">
        <f>+IF(CR5&lt;Detail!$M$141,0,'Cash Flow'!CQ15+1)</f>
        <v>85</v>
      </c>
      <c r="CS15" s="538">
        <f>+IF(CS5&lt;Detail!$M$141,0,'Cash Flow'!CR15+1)</f>
        <v>86</v>
      </c>
      <c r="CT15" s="538">
        <f>+IF(CT5&lt;Detail!$M$141,0,'Cash Flow'!CS15+1)</f>
        <v>87</v>
      </c>
      <c r="CU15" s="538">
        <f>+IF(CU5&lt;Detail!$M$141,0,'Cash Flow'!CT15+1)</f>
        <v>88</v>
      </c>
      <c r="CV15" s="538">
        <f>+IF(CV5&lt;Detail!$M$141,0,'Cash Flow'!CU15+1)</f>
        <v>89</v>
      </c>
      <c r="CW15" s="538">
        <f>+IF(CW5&lt;Detail!$M$141,0,'Cash Flow'!CV15+1)</f>
        <v>90</v>
      </c>
      <c r="CX15" s="538">
        <f>+IF(CX5&lt;Detail!$M$141,0,'Cash Flow'!CW15+1)</f>
        <v>91</v>
      </c>
      <c r="CY15" s="538">
        <f>+IF(CY5&lt;Detail!$M$141,0,'Cash Flow'!CX15+1)</f>
        <v>92</v>
      </c>
      <c r="CZ15" s="538">
        <f>+IF(CZ5&lt;Detail!$M$141,0,'Cash Flow'!CY15+1)</f>
        <v>93</v>
      </c>
      <c r="DA15" s="538">
        <f>+IF(DA5&lt;Detail!$M$141,0,'Cash Flow'!CZ15+1)</f>
        <v>94</v>
      </c>
      <c r="DB15" s="538">
        <f>+IF(DB5&lt;Detail!$M$141,0,'Cash Flow'!DA15+1)</f>
        <v>95</v>
      </c>
      <c r="DC15" s="538">
        <f>+IF(DC5&lt;Detail!$M$141,0,'Cash Flow'!DB15+1)</f>
        <v>96</v>
      </c>
      <c r="DD15" s="538">
        <f>+IF(DD5&lt;Detail!$M$141,0,'Cash Flow'!DC15+1)</f>
        <v>97</v>
      </c>
      <c r="DE15" s="538">
        <f>+IF(DE5&lt;Detail!$M$141,0,'Cash Flow'!DD15+1)</f>
        <v>98</v>
      </c>
      <c r="DF15" s="538">
        <f>+IF(DF5&lt;Detail!$M$141,0,'Cash Flow'!DE15+1)</f>
        <v>99</v>
      </c>
      <c r="DG15" s="538">
        <f>+IF(DG5&lt;Detail!$M$141,0,'Cash Flow'!DF15+1)</f>
        <v>100</v>
      </c>
      <c r="DH15" s="538">
        <f>+IF(DH5&lt;Detail!$M$141,0,'Cash Flow'!DG15+1)</f>
        <v>101</v>
      </c>
      <c r="DI15" s="538">
        <f>+IF(DI5&lt;Detail!$M$141,0,'Cash Flow'!DH15+1)</f>
        <v>102</v>
      </c>
      <c r="DJ15" s="538">
        <f>+IF(DJ5&lt;Detail!$M$141,0,'Cash Flow'!DI15+1)</f>
        <v>103</v>
      </c>
      <c r="DK15" s="538">
        <f>+IF(DK5&lt;Detail!$M$141,0,'Cash Flow'!DJ15+1)</f>
        <v>104</v>
      </c>
      <c r="DL15" s="538">
        <f>+IF(DL5&lt;Detail!$M$141,0,'Cash Flow'!DK15+1)</f>
        <v>105</v>
      </c>
      <c r="DM15" s="538">
        <f>+IF(DM5&lt;Detail!$M$141,0,'Cash Flow'!DL15+1)</f>
        <v>106</v>
      </c>
      <c r="DN15" s="538">
        <f>+IF(DN5&lt;Detail!$M$141,0,'Cash Flow'!DM15+1)</f>
        <v>107</v>
      </c>
      <c r="DO15" s="538">
        <f>+IF(DO5&lt;Detail!$M$141,0,'Cash Flow'!DN15+1)</f>
        <v>108</v>
      </c>
      <c r="DP15" s="538">
        <f>+IF(DP5&lt;Detail!$M$141,0,'Cash Flow'!DO15+1)</f>
        <v>109</v>
      </c>
      <c r="DQ15" s="538">
        <f>+IF(DQ5&lt;Detail!$M$141,0,'Cash Flow'!DP15+1)</f>
        <v>110</v>
      </c>
      <c r="DR15" s="538">
        <f>+IF(DR5&lt;Detail!$M$141,0,'Cash Flow'!DQ15+1)</f>
        <v>111</v>
      </c>
      <c r="DS15" s="538">
        <f>+IF(DS5&lt;Detail!$M$141,0,'Cash Flow'!DR15+1)</f>
        <v>112</v>
      </c>
      <c r="DT15" s="538">
        <f>+IF(DT5&lt;Detail!$M$141,0,'Cash Flow'!DS15+1)</f>
        <v>113</v>
      </c>
      <c r="DU15" s="538">
        <f>+IF(DU5&lt;Detail!$M$141,0,'Cash Flow'!DT15+1)</f>
        <v>114</v>
      </c>
      <c r="DV15" s="538">
        <f>+IF(DV5&lt;Detail!$M$141,0,'Cash Flow'!DU15+1)</f>
        <v>115</v>
      </c>
      <c r="DW15" s="538">
        <f>+IF(DW5&lt;Detail!$M$141,0,'Cash Flow'!DV15+1)</f>
        <v>116</v>
      </c>
      <c r="DX15" s="538">
        <f>+IF(DX5&lt;Detail!$M$141,0,'Cash Flow'!DW15+1)</f>
        <v>117</v>
      </c>
      <c r="DY15" s="538">
        <f>+IF(DY5&lt;Detail!$M$141,0,'Cash Flow'!DX15+1)</f>
        <v>118</v>
      </c>
      <c r="DZ15" s="538">
        <f>+IF(DZ5&lt;Detail!$M$141,0,'Cash Flow'!DY15+1)</f>
        <v>119</v>
      </c>
      <c r="EA15" s="538">
        <f>+IF(EA5&lt;Detail!$M$141,0,'Cash Flow'!DZ15+1)</f>
        <v>120</v>
      </c>
      <c r="EB15" s="538">
        <f>+IF(EB5&lt;Detail!$M$141,0,'Cash Flow'!EA15+1)</f>
        <v>121</v>
      </c>
      <c r="EC15" s="538">
        <f>+IF(EC5&lt;Detail!$M$141,0,'Cash Flow'!EB15+1)</f>
        <v>122</v>
      </c>
      <c r="ED15" s="538">
        <f>+IF(ED5&lt;Detail!$M$141,0,'Cash Flow'!EC15+1)</f>
        <v>123</v>
      </c>
      <c r="EE15" s="538">
        <f>+IF(EE5&lt;Detail!$M$141,0,'Cash Flow'!ED15+1)</f>
        <v>124</v>
      </c>
      <c r="EF15" s="538">
        <f>+IF(EF5&lt;Detail!$M$141,0,'Cash Flow'!EE15+1)</f>
        <v>125</v>
      </c>
      <c r="EG15" s="538">
        <f>+IF(EG5&lt;Detail!$M$141,0,'Cash Flow'!EF15+1)</f>
        <v>126</v>
      </c>
      <c r="EH15" s="538">
        <f>+IF(EH5&lt;Detail!$M$141,0,'Cash Flow'!EG15+1)</f>
        <v>127</v>
      </c>
      <c r="EI15" s="538">
        <f>+IF(EI5&lt;Detail!$M$141,0,'Cash Flow'!EH15+1)</f>
        <v>128</v>
      </c>
      <c r="EJ15" s="538">
        <f>+IF(EJ5&lt;Detail!$M$141,0,'Cash Flow'!EI15+1)</f>
        <v>129</v>
      </c>
      <c r="EK15" s="538">
        <f>+IF(EK5&lt;Detail!$M$141,0,'Cash Flow'!EJ15+1)</f>
        <v>130</v>
      </c>
      <c r="EL15" s="538">
        <f>+IF(EL5&lt;Detail!$M$141,0,'Cash Flow'!EK15+1)</f>
        <v>131</v>
      </c>
      <c r="EM15" s="538">
        <f>+IF(EM5&lt;Detail!$M$141,0,'Cash Flow'!EL15+1)</f>
        <v>132</v>
      </c>
      <c r="EN15" s="538">
        <f>+IF(EN5&lt;Detail!$M$141,0,'Cash Flow'!EM15+1)</f>
        <v>133</v>
      </c>
      <c r="EO15" s="538">
        <f>+IF(EO5&lt;Detail!$M$141,0,'Cash Flow'!EN15+1)</f>
        <v>134</v>
      </c>
      <c r="EP15" s="538">
        <f>+IF(EP5&lt;Detail!$M$141,0,'Cash Flow'!EO15+1)</f>
        <v>135</v>
      </c>
      <c r="EQ15" s="538">
        <f>+IF(EQ5&lt;Detail!$M$141,0,'Cash Flow'!EP15+1)</f>
        <v>136</v>
      </c>
      <c r="ER15" s="538">
        <f>+IF(ER5&lt;Detail!$M$141,0,'Cash Flow'!EQ15+1)</f>
        <v>137</v>
      </c>
      <c r="ES15" s="538">
        <f>+IF(ES5&lt;Detail!$M$141,0,'Cash Flow'!ER15+1)</f>
        <v>138</v>
      </c>
      <c r="ET15" s="538">
        <f>+IF(ET5&lt;Detail!$M$141,0,'Cash Flow'!ES15+1)</f>
        <v>139</v>
      </c>
      <c r="EU15" s="538">
        <f>+IF(EU5&lt;Detail!$M$141,0,'Cash Flow'!ET15+1)</f>
        <v>140</v>
      </c>
      <c r="EV15" s="538">
        <f>+IF(EV5&lt;Detail!$M$141,0,'Cash Flow'!EU15+1)</f>
        <v>141</v>
      </c>
      <c r="EW15" s="538">
        <f>+IF(EW5&lt;Detail!$M$141,0,'Cash Flow'!EV15+1)</f>
        <v>142</v>
      </c>
      <c r="EX15" s="538">
        <f>+IF(EX5&lt;Detail!$M$141,0,'Cash Flow'!EW15+1)</f>
        <v>143</v>
      </c>
      <c r="EY15" s="538">
        <f>+IF(EY5&lt;Detail!$M$141,0,'Cash Flow'!EX15+1)</f>
        <v>144</v>
      </c>
      <c r="EZ15" s="538">
        <f>+IF(EZ5&lt;Detail!$M$141,0,'Cash Flow'!EY15+1)</f>
        <v>145</v>
      </c>
      <c r="FA15" s="538">
        <f>+IF(FA5&lt;Detail!$M$141,0,'Cash Flow'!EZ15+1)</f>
        <v>146</v>
      </c>
      <c r="FB15" s="538">
        <f>+IF(FB5&lt;Detail!$M$141,0,'Cash Flow'!FA15+1)</f>
        <v>147</v>
      </c>
      <c r="FC15" s="538">
        <f>+IF(FC5&lt;Detail!$M$141,0,'Cash Flow'!FB15+1)</f>
        <v>148</v>
      </c>
      <c r="FD15" s="538">
        <f>+IF(FD5&lt;Detail!$M$141,0,'Cash Flow'!FC15+1)</f>
        <v>149</v>
      </c>
      <c r="FE15" s="538">
        <f>+IF(FE5&lt;Detail!$M$141,0,'Cash Flow'!FD15+1)</f>
        <v>150</v>
      </c>
      <c r="FF15" s="538">
        <f>+IF(FF5&lt;Detail!$M$141,0,'Cash Flow'!FE15+1)</f>
        <v>151</v>
      </c>
      <c r="FG15" s="538">
        <f>+IF(FG5&lt;Detail!$M$141,0,'Cash Flow'!FF15+1)</f>
        <v>152</v>
      </c>
      <c r="FH15" s="538">
        <f>+IF(FH5&lt;Detail!$M$141,0,'Cash Flow'!FG15+1)</f>
        <v>153</v>
      </c>
      <c r="FI15" s="538">
        <f>+IF(FI5&lt;Detail!$M$141,0,'Cash Flow'!FH15+1)</f>
        <v>154</v>
      </c>
      <c r="FJ15" s="538">
        <f>+IF(FJ5&lt;Detail!$M$141,0,'Cash Flow'!FI15+1)</f>
        <v>155</v>
      </c>
      <c r="FK15" s="538">
        <f>+IF(FK5&lt;Detail!$M$141,0,'Cash Flow'!FJ15+1)</f>
        <v>156</v>
      </c>
      <c r="FL15" s="538">
        <f>+IF(FL5&lt;Detail!$M$141,0,'Cash Flow'!FK15+1)</f>
        <v>157</v>
      </c>
      <c r="FM15" s="538">
        <f>+IF(FM5&lt;Detail!$M$141,0,'Cash Flow'!FL15+1)</f>
        <v>158</v>
      </c>
      <c r="FN15" s="538">
        <f>+IF(FN5&lt;Detail!$M$141,0,'Cash Flow'!FM15+1)</f>
        <v>159</v>
      </c>
      <c r="FO15" s="538">
        <f>+IF(FO5&lt;Detail!$M$141,0,'Cash Flow'!FN15+1)</f>
        <v>160</v>
      </c>
      <c r="FP15" s="538">
        <f>+IF(FP5&lt;Detail!$M$141,0,'Cash Flow'!FO15+1)</f>
        <v>161</v>
      </c>
      <c r="FQ15" s="538">
        <f>+IF(FQ5&lt;Detail!$M$141,0,'Cash Flow'!FP15+1)</f>
        <v>162</v>
      </c>
      <c r="FR15" s="538">
        <f>+IF(FR5&lt;Detail!$M$141,0,'Cash Flow'!FQ15+1)</f>
        <v>163</v>
      </c>
      <c r="FS15" s="538">
        <f>+IF(FS5&lt;Detail!$M$141,0,'Cash Flow'!FR15+1)</f>
        <v>164</v>
      </c>
      <c r="FT15" s="534"/>
      <c r="FU15" s="534"/>
      <c r="FV15" s="534"/>
      <c r="FW15" s="534"/>
      <c r="FX15" s="534"/>
    </row>
    <row r="16" spans="2:180" ht="13.5" outlineLevel="1">
      <c r="B16" s="539" t="s">
        <v>283</v>
      </c>
      <c r="C16" s="536"/>
      <c r="D16" s="537"/>
      <c r="E16" s="538">
        <f>+ROUNDUP(E15/12,0)</f>
        <v>0</v>
      </c>
      <c r="F16" s="538">
        <f t="shared" ref="F16:BQ16" si="24">+ROUNDUP(F15/12,0)</f>
        <v>0</v>
      </c>
      <c r="G16" s="538">
        <f t="shared" si="24"/>
        <v>0</v>
      </c>
      <c r="H16" s="538">
        <f t="shared" si="24"/>
        <v>0</v>
      </c>
      <c r="I16" s="538">
        <f t="shared" si="24"/>
        <v>0</v>
      </c>
      <c r="J16" s="538">
        <f t="shared" si="24"/>
        <v>0</v>
      </c>
      <c r="K16" s="538">
        <f t="shared" si="24"/>
        <v>0</v>
      </c>
      <c r="L16" s="538">
        <f t="shared" si="24"/>
        <v>1</v>
      </c>
      <c r="M16" s="538">
        <f t="shared" si="24"/>
        <v>1</v>
      </c>
      <c r="N16" s="538">
        <f t="shared" si="24"/>
        <v>1</v>
      </c>
      <c r="O16" s="538">
        <f t="shared" si="24"/>
        <v>1</v>
      </c>
      <c r="P16" s="538">
        <f t="shared" si="24"/>
        <v>1</v>
      </c>
      <c r="Q16" s="538">
        <f t="shared" si="24"/>
        <v>1</v>
      </c>
      <c r="R16" s="538">
        <f t="shared" si="24"/>
        <v>1</v>
      </c>
      <c r="S16" s="538">
        <f t="shared" si="24"/>
        <v>1</v>
      </c>
      <c r="T16" s="538">
        <f t="shared" si="24"/>
        <v>1</v>
      </c>
      <c r="U16" s="538">
        <f t="shared" si="24"/>
        <v>1</v>
      </c>
      <c r="V16" s="538">
        <f t="shared" si="24"/>
        <v>1</v>
      </c>
      <c r="W16" s="538">
        <f t="shared" si="24"/>
        <v>1</v>
      </c>
      <c r="X16" s="538">
        <f t="shared" si="24"/>
        <v>2</v>
      </c>
      <c r="Y16" s="538">
        <f t="shared" si="24"/>
        <v>2</v>
      </c>
      <c r="Z16" s="538">
        <f t="shared" si="24"/>
        <v>2</v>
      </c>
      <c r="AA16" s="538">
        <f t="shared" si="24"/>
        <v>2</v>
      </c>
      <c r="AB16" s="538">
        <f t="shared" si="24"/>
        <v>2</v>
      </c>
      <c r="AC16" s="538">
        <f t="shared" si="24"/>
        <v>2</v>
      </c>
      <c r="AD16" s="538">
        <f t="shared" si="24"/>
        <v>2</v>
      </c>
      <c r="AE16" s="538">
        <f t="shared" si="24"/>
        <v>2</v>
      </c>
      <c r="AF16" s="538">
        <f t="shared" si="24"/>
        <v>2</v>
      </c>
      <c r="AG16" s="538">
        <f t="shared" si="24"/>
        <v>2</v>
      </c>
      <c r="AH16" s="538">
        <f t="shared" si="24"/>
        <v>2</v>
      </c>
      <c r="AI16" s="538">
        <f t="shared" si="24"/>
        <v>2</v>
      </c>
      <c r="AJ16" s="538">
        <f t="shared" si="24"/>
        <v>3</v>
      </c>
      <c r="AK16" s="538">
        <f t="shared" si="24"/>
        <v>3</v>
      </c>
      <c r="AL16" s="538">
        <f t="shared" si="24"/>
        <v>3</v>
      </c>
      <c r="AM16" s="538">
        <f t="shared" si="24"/>
        <v>3</v>
      </c>
      <c r="AN16" s="538">
        <f t="shared" si="24"/>
        <v>3</v>
      </c>
      <c r="AO16" s="538">
        <f t="shared" si="24"/>
        <v>3</v>
      </c>
      <c r="AP16" s="538">
        <f t="shared" si="24"/>
        <v>3</v>
      </c>
      <c r="AQ16" s="538">
        <f t="shared" si="24"/>
        <v>3</v>
      </c>
      <c r="AR16" s="538">
        <f t="shared" si="24"/>
        <v>3</v>
      </c>
      <c r="AS16" s="538">
        <f t="shared" si="24"/>
        <v>3</v>
      </c>
      <c r="AT16" s="538">
        <f t="shared" si="24"/>
        <v>3</v>
      </c>
      <c r="AU16" s="538">
        <f t="shared" si="24"/>
        <v>3</v>
      </c>
      <c r="AV16" s="538">
        <f t="shared" si="24"/>
        <v>4</v>
      </c>
      <c r="AW16" s="538">
        <f t="shared" si="24"/>
        <v>4</v>
      </c>
      <c r="AX16" s="538">
        <f t="shared" si="24"/>
        <v>4</v>
      </c>
      <c r="AY16" s="538">
        <f t="shared" si="24"/>
        <v>4</v>
      </c>
      <c r="AZ16" s="538">
        <f t="shared" si="24"/>
        <v>4</v>
      </c>
      <c r="BA16" s="538">
        <f t="shared" si="24"/>
        <v>4</v>
      </c>
      <c r="BB16" s="538">
        <f t="shared" si="24"/>
        <v>4</v>
      </c>
      <c r="BC16" s="538">
        <f t="shared" si="24"/>
        <v>4</v>
      </c>
      <c r="BD16" s="538">
        <f t="shared" si="24"/>
        <v>4</v>
      </c>
      <c r="BE16" s="538">
        <f t="shared" si="24"/>
        <v>4</v>
      </c>
      <c r="BF16" s="538">
        <f t="shared" si="24"/>
        <v>4</v>
      </c>
      <c r="BG16" s="538">
        <f t="shared" si="24"/>
        <v>4</v>
      </c>
      <c r="BH16" s="538">
        <f t="shared" si="24"/>
        <v>5</v>
      </c>
      <c r="BI16" s="538">
        <f t="shared" si="24"/>
        <v>5</v>
      </c>
      <c r="BJ16" s="538">
        <f t="shared" si="24"/>
        <v>5</v>
      </c>
      <c r="BK16" s="538">
        <f t="shared" si="24"/>
        <v>5</v>
      </c>
      <c r="BL16" s="538">
        <f t="shared" si="24"/>
        <v>5</v>
      </c>
      <c r="BM16" s="538">
        <f t="shared" si="24"/>
        <v>5</v>
      </c>
      <c r="BN16" s="538">
        <f t="shared" si="24"/>
        <v>5</v>
      </c>
      <c r="BO16" s="538">
        <f t="shared" si="24"/>
        <v>5</v>
      </c>
      <c r="BP16" s="538">
        <f t="shared" si="24"/>
        <v>5</v>
      </c>
      <c r="BQ16" s="538">
        <f t="shared" si="24"/>
        <v>5</v>
      </c>
      <c r="BR16" s="538">
        <f t="shared" ref="BR16:EC16" si="25">+ROUNDUP(BR15/12,0)</f>
        <v>5</v>
      </c>
      <c r="BS16" s="538">
        <f t="shared" si="25"/>
        <v>5</v>
      </c>
      <c r="BT16" s="538">
        <f t="shared" si="25"/>
        <v>6</v>
      </c>
      <c r="BU16" s="538">
        <f t="shared" si="25"/>
        <v>6</v>
      </c>
      <c r="BV16" s="538">
        <f t="shared" si="25"/>
        <v>6</v>
      </c>
      <c r="BW16" s="538">
        <f t="shared" si="25"/>
        <v>6</v>
      </c>
      <c r="BX16" s="538">
        <f t="shared" si="25"/>
        <v>6</v>
      </c>
      <c r="BY16" s="538">
        <f t="shared" si="25"/>
        <v>6</v>
      </c>
      <c r="BZ16" s="538">
        <f t="shared" si="25"/>
        <v>6</v>
      </c>
      <c r="CA16" s="538">
        <f t="shared" si="25"/>
        <v>6</v>
      </c>
      <c r="CB16" s="538">
        <f t="shared" si="25"/>
        <v>6</v>
      </c>
      <c r="CC16" s="538">
        <f t="shared" si="25"/>
        <v>6</v>
      </c>
      <c r="CD16" s="538">
        <f t="shared" si="25"/>
        <v>6</v>
      </c>
      <c r="CE16" s="538">
        <f t="shared" si="25"/>
        <v>6</v>
      </c>
      <c r="CF16" s="538">
        <f t="shared" si="25"/>
        <v>7</v>
      </c>
      <c r="CG16" s="538">
        <f t="shared" si="25"/>
        <v>7</v>
      </c>
      <c r="CH16" s="538">
        <f t="shared" si="25"/>
        <v>7</v>
      </c>
      <c r="CI16" s="538">
        <f t="shared" si="25"/>
        <v>7</v>
      </c>
      <c r="CJ16" s="538">
        <f t="shared" si="25"/>
        <v>7</v>
      </c>
      <c r="CK16" s="538">
        <f t="shared" si="25"/>
        <v>7</v>
      </c>
      <c r="CL16" s="538">
        <f t="shared" si="25"/>
        <v>7</v>
      </c>
      <c r="CM16" s="538">
        <f t="shared" si="25"/>
        <v>7</v>
      </c>
      <c r="CN16" s="538">
        <f t="shared" si="25"/>
        <v>7</v>
      </c>
      <c r="CO16" s="538">
        <f t="shared" si="25"/>
        <v>7</v>
      </c>
      <c r="CP16" s="538">
        <f t="shared" si="25"/>
        <v>7</v>
      </c>
      <c r="CQ16" s="538">
        <f t="shared" si="25"/>
        <v>7</v>
      </c>
      <c r="CR16" s="538">
        <f t="shared" si="25"/>
        <v>8</v>
      </c>
      <c r="CS16" s="538">
        <f t="shared" si="25"/>
        <v>8</v>
      </c>
      <c r="CT16" s="538">
        <f t="shared" si="25"/>
        <v>8</v>
      </c>
      <c r="CU16" s="538">
        <f t="shared" si="25"/>
        <v>8</v>
      </c>
      <c r="CV16" s="538">
        <f t="shared" si="25"/>
        <v>8</v>
      </c>
      <c r="CW16" s="538">
        <f t="shared" si="25"/>
        <v>8</v>
      </c>
      <c r="CX16" s="538">
        <f t="shared" si="25"/>
        <v>8</v>
      </c>
      <c r="CY16" s="538">
        <f t="shared" si="25"/>
        <v>8</v>
      </c>
      <c r="CZ16" s="538">
        <f t="shared" si="25"/>
        <v>8</v>
      </c>
      <c r="DA16" s="538">
        <f t="shared" si="25"/>
        <v>8</v>
      </c>
      <c r="DB16" s="538">
        <f t="shared" si="25"/>
        <v>8</v>
      </c>
      <c r="DC16" s="538">
        <f t="shared" si="25"/>
        <v>8</v>
      </c>
      <c r="DD16" s="538">
        <f t="shared" si="25"/>
        <v>9</v>
      </c>
      <c r="DE16" s="538">
        <f t="shared" si="25"/>
        <v>9</v>
      </c>
      <c r="DF16" s="538">
        <f t="shared" si="25"/>
        <v>9</v>
      </c>
      <c r="DG16" s="538">
        <f t="shared" si="25"/>
        <v>9</v>
      </c>
      <c r="DH16" s="538">
        <f t="shared" si="25"/>
        <v>9</v>
      </c>
      <c r="DI16" s="538">
        <f t="shared" si="25"/>
        <v>9</v>
      </c>
      <c r="DJ16" s="538">
        <f t="shared" si="25"/>
        <v>9</v>
      </c>
      <c r="DK16" s="538">
        <f t="shared" si="25"/>
        <v>9</v>
      </c>
      <c r="DL16" s="538">
        <f t="shared" si="25"/>
        <v>9</v>
      </c>
      <c r="DM16" s="538">
        <f t="shared" si="25"/>
        <v>9</v>
      </c>
      <c r="DN16" s="538">
        <f t="shared" si="25"/>
        <v>9</v>
      </c>
      <c r="DO16" s="538">
        <f t="shared" si="25"/>
        <v>9</v>
      </c>
      <c r="DP16" s="538">
        <f t="shared" si="25"/>
        <v>10</v>
      </c>
      <c r="DQ16" s="538">
        <f t="shared" si="25"/>
        <v>10</v>
      </c>
      <c r="DR16" s="538">
        <f t="shared" si="25"/>
        <v>10</v>
      </c>
      <c r="DS16" s="538">
        <f t="shared" si="25"/>
        <v>10</v>
      </c>
      <c r="DT16" s="538">
        <f t="shared" si="25"/>
        <v>10</v>
      </c>
      <c r="DU16" s="538">
        <f t="shared" si="25"/>
        <v>10</v>
      </c>
      <c r="DV16" s="538">
        <f t="shared" si="25"/>
        <v>10</v>
      </c>
      <c r="DW16" s="538">
        <f t="shared" si="25"/>
        <v>10</v>
      </c>
      <c r="DX16" s="538">
        <f t="shared" si="25"/>
        <v>10</v>
      </c>
      <c r="DY16" s="538">
        <f t="shared" si="25"/>
        <v>10</v>
      </c>
      <c r="DZ16" s="538">
        <f t="shared" si="25"/>
        <v>10</v>
      </c>
      <c r="EA16" s="538">
        <f t="shared" si="25"/>
        <v>10</v>
      </c>
      <c r="EB16" s="538">
        <f t="shared" si="25"/>
        <v>11</v>
      </c>
      <c r="EC16" s="538">
        <f t="shared" si="25"/>
        <v>11</v>
      </c>
      <c r="ED16" s="538">
        <f t="shared" ref="ED16:FS16" si="26">+ROUNDUP(ED15/12,0)</f>
        <v>11</v>
      </c>
      <c r="EE16" s="538">
        <f t="shared" si="26"/>
        <v>11</v>
      </c>
      <c r="EF16" s="538">
        <f t="shared" si="26"/>
        <v>11</v>
      </c>
      <c r="EG16" s="538">
        <f t="shared" si="26"/>
        <v>11</v>
      </c>
      <c r="EH16" s="538">
        <f t="shared" si="26"/>
        <v>11</v>
      </c>
      <c r="EI16" s="538">
        <f t="shared" si="26"/>
        <v>11</v>
      </c>
      <c r="EJ16" s="538">
        <f t="shared" si="26"/>
        <v>11</v>
      </c>
      <c r="EK16" s="538">
        <f t="shared" si="26"/>
        <v>11</v>
      </c>
      <c r="EL16" s="538">
        <f t="shared" si="26"/>
        <v>11</v>
      </c>
      <c r="EM16" s="538">
        <f t="shared" si="26"/>
        <v>11</v>
      </c>
      <c r="EN16" s="538">
        <f t="shared" si="26"/>
        <v>12</v>
      </c>
      <c r="EO16" s="538">
        <f t="shared" si="26"/>
        <v>12</v>
      </c>
      <c r="EP16" s="538">
        <f t="shared" si="26"/>
        <v>12</v>
      </c>
      <c r="EQ16" s="538">
        <f t="shared" si="26"/>
        <v>12</v>
      </c>
      <c r="ER16" s="538">
        <f t="shared" si="26"/>
        <v>12</v>
      </c>
      <c r="ES16" s="538">
        <f t="shared" si="26"/>
        <v>12</v>
      </c>
      <c r="ET16" s="538">
        <f t="shared" si="26"/>
        <v>12</v>
      </c>
      <c r="EU16" s="538">
        <f t="shared" si="26"/>
        <v>12</v>
      </c>
      <c r="EV16" s="538">
        <f t="shared" si="26"/>
        <v>12</v>
      </c>
      <c r="EW16" s="538">
        <f t="shared" si="26"/>
        <v>12</v>
      </c>
      <c r="EX16" s="538">
        <f t="shared" si="26"/>
        <v>12</v>
      </c>
      <c r="EY16" s="538">
        <f t="shared" si="26"/>
        <v>12</v>
      </c>
      <c r="EZ16" s="538">
        <f t="shared" si="26"/>
        <v>13</v>
      </c>
      <c r="FA16" s="538">
        <f t="shared" si="26"/>
        <v>13</v>
      </c>
      <c r="FB16" s="538">
        <f t="shared" si="26"/>
        <v>13</v>
      </c>
      <c r="FC16" s="538">
        <f t="shared" si="26"/>
        <v>13</v>
      </c>
      <c r="FD16" s="538">
        <f t="shared" si="26"/>
        <v>13</v>
      </c>
      <c r="FE16" s="538">
        <f t="shared" si="26"/>
        <v>13</v>
      </c>
      <c r="FF16" s="538">
        <f t="shared" si="26"/>
        <v>13</v>
      </c>
      <c r="FG16" s="538">
        <f t="shared" si="26"/>
        <v>13</v>
      </c>
      <c r="FH16" s="538">
        <f t="shared" si="26"/>
        <v>13</v>
      </c>
      <c r="FI16" s="538">
        <f t="shared" si="26"/>
        <v>13</v>
      </c>
      <c r="FJ16" s="538">
        <f t="shared" si="26"/>
        <v>13</v>
      </c>
      <c r="FK16" s="538">
        <f t="shared" si="26"/>
        <v>13</v>
      </c>
      <c r="FL16" s="538">
        <f t="shared" si="26"/>
        <v>14</v>
      </c>
      <c r="FM16" s="538">
        <f t="shared" si="26"/>
        <v>14</v>
      </c>
      <c r="FN16" s="538">
        <f t="shared" si="26"/>
        <v>14</v>
      </c>
      <c r="FO16" s="538">
        <f t="shared" si="26"/>
        <v>14</v>
      </c>
      <c r="FP16" s="538">
        <f t="shared" si="26"/>
        <v>14</v>
      </c>
      <c r="FQ16" s="538">
        <f t="shared" si="26"/>
        <v>14</v>
      </c>
      <c r="FR16" s="538">
        <f t="shared" si="26"/>
        <v>14</v>
      </c>
      <c r="FS16" s="538">
        <f t="shared" si="26"/>
        <v>14</v>
      </c>
      <c r="FT16" s="534"/>
      <c r="FU16" s="534"/>
      <c r="FV16" s="534"/>
      <c r="FW16" s="534"/>
      <c r="FX16" s="534"/>
    </row>
    <row r="17" spans="2:187" ht="15.75" customHeight="1">
      <c r="B17" s="540" t="s">
        <v>284</v>
      </c>
      <c r="C17" s="541"/>
      <c r="D17" s="542"/>
      <c r="E17" s="543">
        <v>0</v>
      </c>
      <c r="F17" s="543">
        <f>E17+1</f>
        <v>1</v>
      </c>
      <c r="G17" s="543">
        <f t="shared" ref="G17:Z17" si="27">F17+1</f>
        <v>2</v>
      </c>
      <c r="H17" s="543">
        <f t="shared" si="27"/>
        <v>3</v>
      </c>
      <c r="I17" s="543">
        <f t="shared" si="27"/>
        <v>4</v>
      </c>
      <c r="J17" s="543">
        <f t="shared" si="27"/>
        <v>5</v>
      </c>
      <c r="K17" s="543">
        <f t="shared" si="27"/>
        <v>6</v>
      </c>
      <c r="L17" s="543">
        <f t="shared" si="27"/>
        <v>7</v>
      </c>
      <c r="M17" s="543">
        <f t="shared" si="27"/>
        <v>8</v>
      </c>
      <c r="N17" s="543">
        <f t="shared" si="27"/>
        <v>9</v>
      </c>
      <c r="O17" s="543">
        <f t="shared" si="27"/>
        <v>10</v>
      </c>
      <c r="P17" s="543">
        <f t="shared" si="27"/>
        <v>11</v>
      </c>
      <c r="Q17" s="544">
        <f t="shared" si="27"/>
        <v>12</v>
      </c>
      <c r="R17" s="543">
        <f t="shared" si="27"/>
        <v>13</v>
      </c>
      <c r="S17" s="545">
        <f t="shared" si="27"/>
        <v>14</v>
      </c>
      <c r="T17" s="543">
        <f t="shared" si="27"/>
        <v>15</v>
      </c>
      <c r="U17" s="543">
        <f t="shared" si="27"/>
        <v>16</v>
      </c>
      <c r="V17" s="543">
        <f t="shared" si="27"/>
        <v>17</v>
      </c>
      <c r="W17" s="543">
        <f t="shared" si="27"/>
        <v>18</v>
      </c>
      <c r="X17" s="543">
        <f t="shared" si="27"/>
        <v>19</v>
      </c>
      <c r="Y17" s="543">
        <f t="shared" si="27"/>
        <v>20</v>
      </c>
      <c r="Z17" s="543">
        <f t="shared" si="27"/>
        <v>21</v>
      </c>
      <c r="AA17" s="543">
        <f>Z17+1</f>
        <v>22</v>
      </c>
      <c r="AB17" s="543">
        <f t="shared" ref="AB17:CM17" si="28">AA17+1</f>
        <v>23</v>
      </c>
      <c r="AC17" s="543">
        <f t="shared" si="28"/>
        <v>24</v>
      </c>
      <c r="AD17" s="543">
        <f t="shared" si="28"/>
        <v>25</v>
      </c>
      <c r="AE17" s="543">
        <f t="shared" si="28"/>
        <v>26</v>
      </c>
      <c r="AF17" s="543">
        <f t="shared" si="28"/>
        <v>27</v>
      </c>
      <c r="AG17" s="543">
        <f t="shared" si="28"/>
        <v>28</v>
      </c>
      <c r="AH17" s="543">
        <f t="shared" si="28"/>
        <v>29</v>
      </c>
      <c r="AI17" s="543">
        <f t="shared" si="28"/>
        <v>30</v>
      </c>
      <c r="AJ17" s="543">
        <f t="shared" si="28"/>
        <v>31</v>
      </c>
      <c r="AK17" s="543">
        <f t="shared" si="28"/>
        <v>32</v>
      </c>
      <c r="AL17" s="543">
        <f t="shared" si="28"/>
        <v>33</v>
      </c>
      <c r="AM17" s="543">
        <f t="shared" si="28"/>
        <v>34</v>
      </c>
      <c r="AN17" s="543">
        <f t="shared" si="28"/>
        <v>35</v>
      </c>
      <c r="AO17" s="543">
        <f t="shared" si="28"/>
        <v>36</v>
      </c>
      <c r="AP17" s="543">
        <f t="shared" si="28"/>
        <v>37</v>
      </c>
      <c r="AQ17" s="543">
        <f t="shared" si="28"/>
        <v>38</v>
      </c>
      <c r="AR17" s="543">
        <f t="shared" si="28"/>
        <v>39</v>
      </c>
      <c r="AS17" s="543">
        <f t="shared" si="28"/>
        <v>40</v>
      </c>
      <c r="AT17" s="543">
        <f t="shared" si="28"/>
        <v>41</v>
      </c>
      <c r="AU17" s="543">
        <f t="shared" si="28"/>
        <v>42</v>
      </c>
      <c r="AV17" s="543">
        <f t="shared" si="28"/>
        <v>43</v>
      </c>
      <c r="AW17" s="543">
        <f t="shared" si="28"/>
        <v>44</v>
      </c>
      <c r="AX17" s="543">
        <f t="shared" si="28"/>
        <v>45</v>
      </c>
      <c r="AY17" s="543">
        <f t="shared" si="28"/>
        <v>46</v>
      </c>
      <c r="AZ17" s="543">
        <f t="shared" si="28"/>
        <v>47</v>
      </c>
      <c r="BA17" s="543">
        <f t="shared" si="28"/>
        <v>48</v>
      </c>
      <c r="BB17" s="543">
        <f t="shared" si="28"/>
        <v>49</v>
      </c>
      <c r="BC17" s="543">
        <f t="shared" si="28"/>
        <v>50</v>
      </c>
      <c r="BD17" s="543">
        <f t="shared" si="28"/>
        <v>51</v>
      </c>
      <c r="BE17" s="543">
        <f t="shared" si="28"/>
        <v>52</v>
      </c>
      <c r="BF17" s="543">
        <f t="shared" si="28"/>
        <v>53</v>
      </c>
      <c r="BG17" s="543">
        <f t="shared" si="28"/>
        <v>54</v>
      </c>
      <c r="BH17" s="543">
        <f t="shared" si="28"/>
        <v>55</v>
      </c>
      <c r="BI17" s="543">
        <f t="shared" si="28"/>
        <v>56</v>
      </c>
      <c r="BJ17" s="543">
        <f t="shared" si="28"/>
        <v>57</v>
      </c>
      <c r="BK17" s="543">
        <f t="shared" si="28"/>
        <v>58</v>
      </c>
      <c r="BL17" s="543">
        <f t="shared" si="28"/>
        <v>59</v>
      </c>
      <c r="BM17" s="543">
        <f t="shared" si="28"/>
        <v>60</v>
      </c>
      <c r="BN17" s="543">
        <f t="shared" si="28"/>
        <v>61</v>
      </c>
      <c r="BO17" s="543">
        <f t="shared" si="28"/>
        <v>62</v>
      </c>
      <c r="BP17" s="543">
        <f t="shared" si="28"/>
        <v>63</v>
      </c>
      <c r="BQ17" s="543">
        <f t="shared" si="28"/>
        <v>64</v>
      </c>
      <c r="BR17" s="543">
        <f t="shared" si="28"/>
        <v>65</v>
      </c>
      <c r="BS17" s="543">
        <f t="shared" si="28"/>
        <v>66</v>
      </c>
      <c r="BT17" s="543">
        <f t="shared" si="28"/>
        <v>67</v>
      </c>
      <c r="BU17" s="543">
        <f t="shared" si="28"/>
        <v>68</v>
      </c>
      <c r="BV17" s="543">
        <f t="shared" si="28"/>
        <v>69</v>
      </c>
      <c r="BW17" s="543">
        <f t="shared" si="28"/>
        <v>70</v>
      </c>
      <c r="BX17" s="543">
        <f t="shared" si="28"/>
        <v>71</v>
      </c>
      <c r="BY17" s="543">
        <f t="shared" si="28"/>
        <v>72</v>
      </c>
      <c r="BZ17" s="543">
        <f t="shared" si="28"/>
        <v>73</v>
      </c>
      <c r="CA17" s="543">
        <f t="shared" si="28"/>
        <v>74</v>
      </c>
      <c r="CB17" s="543">
        <f t="shared" si="28"/>
        <v>75</v>
      </c>
      <c r="CC17" s="543">
        <f t="shared" si="28"/>
        <v>76</v>
      </c>
      <c r="CD17" s="543">
        <f t="shared" si="28"/>
        <v>77</v>
      </c>
      <c r="CE17" s="543">
        <f t="shared" si="28"/>
        <v>78</v>
      </c>
      <c r="CF17" s="543">
        <f t="shared" si="28"/>
        <v>79</v>
      </c>
      <c r="CG17" s="543">
        <f t="shared" si="28"/>
        <v>80</v>
      </c>
      <c r="CH17" s="543">
        <f t="shared" si="28"/>
        <v>81</v>
      </c>
      <c r="CI17" s="543">
        <f t="shared" si="28"/>
        <v>82</v>
      </c>
      <c r="CJ17" s="543">
        <f t="shared" si="28"/>
        <v>83</v>
      </c>
      <c r="CK17" s="543">
        <f t="shared" si="28"/>
        <v>84</v>
      </c>
      <c r="CL17" s="543">
        <f t="shared" si="28"/>
        <v>85</v>
      </c>
      <c r="CM17" s="543">
        <f t="shared" si="28"/>
        <v>86</v>
      </c>
      <c r="CN17" s="543">
        <f t="shared" ref="CN17:EY17" si="29">CM17+1</f>
        <v>87</v>
      </c>
      <c r="CO17" s="543">
        <f t="shared" si="29"/>
        <v>88</v>
      </c>
      <c r="CP17" s="543">
        <f t="shared" si="29"/>
        <v>89</v>
      </c>
      <c r="CQ17" s="543">
        <f t="shared" si="29"/>
        <v>90</v>
      </c>
      <c r="CR17" s="543">
        <f t="shared" si="29"/>
        <v>91</v>
      </c>
      <c r="CS17" s="543">
        <f t="shared" si="29"/>
        <v>92</v>
      </c>
      <c r="CT17" s="543">
        <f t="shared" si="29"/>
        <v>93</v>
      </c>
      <c r="CU17" s="543">
        <f t="shared" si="29"/>
        <v>94</v>
      </c>
      <c r="CV17" s="543">
        <f t="shared" si="29"/>
        <v>95</v>
      </c>
      <c r="CW17" s="543">
        <f t="shared" si="29"/>
        <v>96</v>
      </c>
      <c r="CX17" s="543">
        <f t="shared" si="29"/>
        <v>97</v>
      </c>
      <c r="CY17" s="543">
        <f t="shared" si="29"/>
        <v>98</v>
      </c>
      <c r="CZ17" s="543">
        <f t="shared" si="29"/>
        <v>99</v>
      </c>
      <c r="DA17" s="543">
        <f t="shared" si="29"/>
        <v>100</v>
      </c>
      <c r="DB17" s="543">
        <f t="shared" si="29"/>
        <v>101</v>
      </c>
      <c r="DC17" s="543">
        <f t="shared" si="29"/>
        <v>102</v>
      </c>
      <c r="DD17" s="543">
        <f t="shared" si="29"/>
        <v>103</v>
      </c>
      <c r="DE17" s="543">
        <f t="shared" si="29"/>
        <v>104</v>
      </c>
      <c r="DF17" s="543">
        <f t="shared" si="29"/>
        <v>105</v>
      </c>
      <c r="DG17" s="543">
        <f t="shared" si="29"/>
        <v>106</v>
      </c>
      <c r="DH17" s="543">
        <f t="shared" si="29"/>
        <v>107</v>
      </c>
      <c r="DI17" s="543">
        <f t="shared" si="29"/>
        <v>108</v>
      </c>
      <c r="DJ17" s="543">
        <f t="shared" si="29"/>
        <v>109</v>
      </c>
      <c r="DK17" s="543">
        <f t="shared" si="29"/>
        <v>110</v>
      </c>
      <c r="DL17" s="543">
        <f t="shared" si="29"/>
        <v>111</v>
      </c>
      <c r="DM17" s="543">
        <f t="shared" si="29"/>
        <v>112</v>
      </c>
      <c r="DN17" s="543">
        <f t="shared" si="29"/>
        <v>113</v>
      </c>
      <c r="DO17" s="543">
        <f t="shared" si="29"/>
        <v>114</v>
      </c>
      <c r="DP17" s="543">
        <f t="shared" si="29"/>
        <v>115</v>
      </c>
      <c r="DQ17" s="543">
        <f t="shared" si="29"/>
        <v>116</v>
      </c>
      <c r="DR17" s="543">
        <f t="shared" si="29"/>
        <v>117</v>
      </c>
      <c r="DS17" s="543">
        <f t="shared" si="29"/>
        <v>118</v>
      </c>
      <c r="DT17" s="543">
        <f t="shared" si="29"/>
        <v>119</v>
      </c>
      <c r="DU17" s="543">
        <f t="shared" si="29"/>
        <v>120</v>
      </c>
      <c r="DV17" s="543">
        <f t="shared" si="29"/>
        <v>121</v>
      </c>
      <c r="DW17" s="543">
        <f t="shared" si="29"/>
        <v>122</v>
      </c>
      <c r="DX17" s="543">
        <f t="shared" si="29"/>
        <v>123</v>
      </c>
      <c r="DY17" s="543">
        <f t="shared" si="29"/>
        <v>124</v>
      </c>
      <c r="DZ17" s="543">
        <f t="shared" si="29"/>
        <v>125</v>
      </c>
      <c r="EA17" s="543">
        <f t="shared" si="29"/>
        <v>126</v>
      </c>
      <c r="EB17" s="543">
        <f t="shared" si="29"/>
        <v>127</v>
      </c>
      <c r="EC17" s="543">
        <f t="shared" si="29"/>
        <v>128</v>
      </c>
      <c r="ED17" s="543">
        <f t="shared" si="29"/>
        <v>129</v>
      </c>
      <c r="EE17" s="543">
        <f t="shared" si="29"/>
        <v>130</v>
      </c>
      <c r="EF17" s="543">
        <f t="shared" si="29"/>
        <v>131</v>
      </c>
      <c r="EG17" s="543">
        <f t="shared" si="29"/>
        <v>132</v>
      </c>
      <c r="EH17" s="543">
        <f t="shared" si="29"/>
        <v>133</v>
      </c>
      <c r="EI17" s="543">
        <f t="shared" si="29"/>
        <v>134</v>
      </c>
      <c r="EJ17" s="543">
        <f t="shared" si="29"/>
        <v>135</v>
      </c>
      <c r="EK17" s="543">
        <f t="shared" si="29"/>
        <v>136</v>
      </c>
      <c r="EL17" s="543">
        <f t="shared" si="29"/>
        <v>137</v>
      </c>
      <c r="EM17" s="543">
        <f t="shared" si="29"/>
        <v>138</v>
      </c>
      <c r="EN17" s="543">
        <f t="shared" si="29"/>
        <v>139</v>
      </c>
      <c r="EO17" s="543">
        <f t="shared" si="29"/>
        <v>140</v>
      </c>
      <c r="EP17" s="543">
        <f t="shared" si="29"/>
        <v>141</v>
      </c>
      <c r="EQ17" s="543">
        <f t="shared" si="29"/>
        <v>142</v>
      </c>
      <c r="ER17" s="543">
        <f t="shared" si="29"/>
        <v>143</v>
      </c>
      <c r="ES17" s="543">
        <f t="shared" si="29"/>
        <v>144</v>
      </c>
      <c r="ET17" s="543">
        <f t="shared" si="29"/>
        <v>145</v>
      </c>
      <c r="EU17" s="543">
        <f t="shared" si="29"/>
        <v>146</v>
      </c>
      <c r="EV17" s="543">
        <f t="shared" si="29"/>
        <v>147</v>
      </c>
      <c r="EW17" s="543">
        <f t="shared" si="29"/>
        <v>148</v>
      </c>
      <c r="EX17" s="543">
        <f t="shared" si="29"/>
        <v>149</v>
      </c>
      <c r="EY17" s="543">
        <f t="shared" si="29"/>
        <v>150</v>
      </c>
      <c r="EZ17" s="543">
        <f t="shared" ref="EZ17:FS17" si="30">EY17+1</f>
        <v>151</v>
      </c>
      <c r="FA17" s="543">
        <f t="shared" si="30"/>
        <v>152</v>
      </c>
      <c r="FB17" s="543">
        <f t="shared" si="30"/>
        <v>153</v>
      </c>
      <c r="FC17" s="543">
        <f t="shared" si="30"/>
        <v>154</v>
      </c>
      <c r="FD17" s="543">
        <f t="shared" si="30"/>
        <v>155</v>
      </c>
      <c r="FE17" s="543">
        <f t="shared" si="30"/>
        <v>156</v>
      </c>
      <c r="FF17" s="543">
        <f t="shared" si="30"/>
        <v>157</v>
      </c>
      <c r="FG17" s="543">
        <f t="shared" si="30"/>
        <v>158</v>
      </c>
      <c r="FH17" s="543">
        <f t="shared" si="30"/>
        <v>159</v>
      </c>
      <c r="FI17" s="543">
        <f t="shared" si="30"/>
        <v>160</v>
      </c>
      <c r="FJ17" s="543">
        <f t="shared" si="30"/>
        <v>161</v>
      </c>
      <c r="FK17" s="543">
        <f t="shared" si="30"/>
        <v>162</v>
      </c>
      <c r="FL17" s="543">
        <f t="shared" si="30"/>
        <v>163</v>
      </c>
      <c r="FM17" s="543">
        <f t="shared" si="30"/>
        <v>164</v>
      </c>
      <c r="FN17" s="543">
        <f t="shared" si="30"/>
        <v>165</v>
      </c>
      <c r="FO17" s="543">
        <f t="shared" si="30"/>
        <v>166</v>
      </c>
      <c r="FP17" s="543">
        <f t="shared" si="30"/>
        <v>167</v>
      </c>
      <c r="FQ17" s="543">
        <f t="shared" si="30"/>
        <v>168</v>
      </c>
      <c r="FR17" s="543">
        <f t="shared" si="30"/>
        <v>169</v>
      </c>
      <c r="FS17" s="543">
        <f t="shared" si="30"/>
        <v>170</v>
      </c>
      <c r="FT17" s="543" t="s">
        <v>285</v>
      </c>
      <c r="FU17" s="543" t="s">
        <v>286</v>
      </c>
      <c r="FV17" s="543" t="s">
        <v>287</v>
      </c>
      <c r="FW17" s="543" t="s">
        <v>288</v>
      </c>
      <c r="FX17" s="543" t="s">
        <v>289</v>
      </c>
      <c r="FZ17" s="546"/>
      <c r="GA17" s="547"/>
      <c r="GB17" s="548"/>
      <c r="GD17" s="546"/>
      <c r="GE17" s="549"/>
    </row>
    <row r="18" spans="2:187" ht="15.75" customHeight="1">
      <c r="B18" s="550" t="s">
        <v>290</v>
      </c>
      <c r="C18" s="551"/>
      <c r="D18" s="552"/>
      <c r="E18" s="553">
        <f>288/12</f>
        <v>24</v>
      </c>
      <c r="F18" s="553">
        <f>288/12</f>
        <v>24</v>
      </c>
      <c r="G18" s="553">
        <f t="shared" ref="G18:P18" si="31">288/12</f>
        <v>24</v>
      </c>
      <c r="H18" s="553">
        <f t="shared" si="31"/>
        <v>24</v>
      </c>
      <c r="I18" s="553">
        <f t="shared" si="31"/>
        <v>24</v>
      </c>
      <c r="J18" s="553">
        <f t="shared" si="31"/>
        <v>24</v>
      </c>
      <c r="K18" s="553">
        <f t="shared" si="31"/>
        <v>24</v>
      </c>
      <c r="L18" s="553">
        <f t="shared" si="31"/>
        <v>24</v>
      </c>
      <c r="M18" s="553">
        <f t="shared" si="31"/>
        <v>24</v>
      </c>
      <c r="N18" s="553">
        <f t="shared" si="31"/>
        <v>24</v>
      </c>
      <c r="O18" s="553">
        <f t="shared" si="31"/>
        <v>24</v>
      </c>
      <c r="P18" s="553">
        <f t="shared" si="31"/>
        <v>24</v>
      </c>
      <c r="Q18" s="553">
        <v>15</v>
      </c>
      <c r="R18" s="553">
        <v>20</v>
      </c>
      <c r="S18" s="553">
        <v>25</v>
      </c>
      <c r="T18" s="553">
        <v>25</v>
      </c>
      <c r="U18" s="553">
        <v>25</v>
      </c>
      <c r="V18" s="553">
        <v>25</v>
      </c>
      <c r="W18" s="553">
        <v>25.040393905991074</v>
      </c>
      <c r="X18" s="553">
        <v>22.285725588595366</v>
      </c>
      <c r="Y18" s="553">
        <v>20.597371429727733</v>
      </c>
      <c r="Z18" s="553">
        <f t="shared" ref="Z18:CK18" si="32">M22+M21</f>
        <v>24</v>
      </c>
      <c r="AA18" s="553">
        <f t="shared" si="32"/>
        <v>24</v>
      </c>
      <c r="AB18" s="553">
        <f t="shared" si="32"/>
        <v>24</v>
      </c>
      <c r="AC18" s="553">
        <f t="shared" si="32"/>
        <v>24</v>
      </c>
      <c r="AD18" s="553">
        <f t="shared" si="32"/>
        <v>15</v>
      </c>
      <c r="AE18" s="553">
        <f t="shared" si="32"/>
        <v>20</v>
      </c>
      <c r="AF18" s="553">
        <f t="shared" si="32"/>
        <v>25</v>
      </c>
      <c r="AG18" s="553">
        <f t="shared" si="32"/>
        <v>25</v>
      </c>
      <c r="AH18" s="553">
        <f t="shared" si="32"/>
        <v>25</v>
      </c>
      <c r="AI18" s="553">
        <f t="shared" si="32"/>
        <v>25</v>
      </c>
      <c r="AJ18" s="553">
        <f t="shared" si="32"/>
        <v>25.040393905991074</v>
      </c>
      <c r="AK18" s="553">
        <f t="shared" si="32"/>
        <v>22.285725588595366</v>
      </c>
      <c r="AL18" s="553">
        <f t="shared" si="32"/>
        <v>20.597371429727733</v>
      </c>
      <c r="AM18" s="553">
        <f t="shared" si="32"/>
        <v>24</v>
      </c>
      <c r="AN18" s="553">
        <f t="shared" si="32"/>
        <v>24</v>
      </c>
      <c r="AO18" s="553">
        <f t="shared" si="32"/>
        <v>24</v>
      </c>
      <c r="AP18" s="553">
        <f t="shared" si="32"/>
        <v>24</v>
      </c>
      <c r="AQ18" s="553">
        <f t="shared" si="32"/>
        <v>15</v>
      </c>
      <c r="AR18" s="553">
        <f t="shared" si="32"/>
        <v>20</v>
      </c>
      <c r="AS18" s="553">
        <f t="shared" si="32"/>
        <v>25</v>
      </c>
      <c r="AT18" s="553">
        <f t="shared" si="32"/>
        <v>25</v>
      </c>
      <c r="AU18" s="553">
        <f t="shared" si="32"/>
        <v>25</v>
      </c>
      <c r="AV18" s="553">
        <f t="shared" si="32"/>
        <v>25</v>
      </c>
      <c r="AW18" s="553">
        <f t="shared" si="32"/>
        <v>25.040393905991074</v>
      </c>
      <c r="AX18" s="553">
        <f t="shared" si="32"/>
        <v>22.285725588595366</v>
      </c>
      <c r="AY18" s="553">
        <f t="shared" si="32"/>
        <v>20.597371429727733</v>
      </c>
      <c r="AZ18" s="553">
        <f t="shared" si="32"/>
        <v>24</v>
      </c>
      <c r="BA18" s="553">
        <f t="shared" si="32"/>
        <v>24</v>
      </c>
      <c r="BB18" s="553">
        <f t="shared" si="32"/>
        <v>24</v>
      </c>
      <c r="BC18" s="553">
        <f t="shared" si="32"/>
        <v>24</v>
      </c>
      <c r="BD18" s="553">
        <f t="shared" si="32"/>
        <v>15</v>
      </c>
      <c r="BE18" s="553">
        <f t="shared" si="32"/>
        <v>20</v>
      </c>
      <c r="BF18" s="553">
        <f t="shared" si="32"/>
        <v>25</v>
      </c>
      <c r="BG18" s="553">
        <f t="shared" si="32"/>
        <v>25</v>
      </c>
      <c r="BH18" s="553">
        <f t="shared" si="32"/>
        <v>25</v>
      </c>
      <c r="BI18" s="553">
        <f t="shared" si="32"/>
        <v>25</v>
      </c>
      <c r="BJ18" s="553">
        <f t="shared" si="32"/>
        <v>25.040393905991074</v>
      </c>
      <c r="BK18" s="553">
        <f t="shared" si="32"/>
        <v>22.285725588595366</v>
      </c>
      <c r="BL18" s="553">
        <f t="shared" si="32"/>
        <v>20.597371429727733</v>
      </c>
      <c r="BM18" s="553">
        <f t="shared" si="32"/>
        <v>24</v>
      </c>
      <c r="BN18" s="553">
        <f t="shared" si="32"/>
        <v>24</v>
      </c>
      <c r="BO18" s="553">
        <f t="shared" si="32"/>
        <v>24</v>
      </c>
      <c r="BP18" s="553">
        <f t="shared" si="32"/>
        <v>24</v>
      </c>
      <c r="BQ18" s="553">
        <f t="shared" si="32"/>
        <v>15</v>
      </c>
      <c r="BR18" s="553">
        <f t="shared" si="32"/>
        <v>20</v>
      </c>
      <c r="BS18" s="553">
        <f t="shared" si="32"/>
        <v>25</v>
      </c>
      <c r="BT18" s="553">
        <f t="shared" si="32"/>
        <v>25</v>
      </c>
      <c r="BU18" s="553">
        <f t="shared" si="32"/>
        <v>25</v>
      </c>
      <c r="BV18" s="553">
        <f t="shared" si="32"/>
        <v>25</v>
      </c>
      <c r="BW18" s="553">
        <f t="shared" si="32"/>
        <v>25.040393905991074</v>
      </c>
      <c r="BX18" s="553">
        <f t="shared" si="32"/>
        <v>22.285725588595366</v>
      </c>
      <c r="BY18" s="553">
        <f t="shared" si="32"/>
        <v>20.597371429727733</v>
      </c>
      <c r="BZ18" s="553">
        <f t="shared" si="32"/>
        <v>24</v>
      </c>
      <c r="CA18" s="553">
        <f t="shared" si="32"/>
        <v>24</v>
      </c>
      <c r="CB18" s="553">
        <f t="shared" si="32"/>
        <v>24</v>
      </c>
      <c r="CC18" s="553">
        <f t="shared" si="32"/>
        <v>24</v>
      </c>
      <c r="CD18" s="553">
        <f t="shared" si="32"/>
        <v>15</v>
      </c>
      <c r="CE18" s="553">
        <f t="shared" si="32"/>
        <v>20</v>
      </c>
      <c r="CF18" s="553">
        <f t="shared" si="32"/>
        <v>25</v>
      </c>
      <c r="CG18" s="553">
        <f t="shared" si="32"/>
        <v>25</v>
      </c>
      <c r="CH18" s="553">
        <f t="shared" si="32"/>
        <v>25</v>
      </c>
      <c r="CI18" s="553">
        <f t="shared" si="32"/>
        <v>25</v>
      </c>
      <c r="CJ18" s="553">
        <f t="shared" si="32"/>
        <v>25.040393905991074</v>
      </c>
      <c r="CK18" s="553">
        <f t="shared" si="32"/>
        <v>22.285725588595366</v>
      </c>
      <c r="CL18" s="553">
        <f t="shared" ref="CL18:EW18" si="33">BY22+BY21</f>
        <v>20.597371429727733</v>
      </c>
      <c r="CM18" s="553">
        <f t="shared" si="33"/>
        <v>24</v>
      </c>
      <c r="CN18" s="553">
        <f t="shared" si="33"/>
        <v>24</v>
      </c>
      <c r="CO18" s="553">
        <f t="shared" si="33"/>
        <v>24</v>
      </c>
      <c r="CP18" s="553">
        <f t="shared" si="33"/>
        <v>24</v>
      </c>
      <c r="CQ18" s="553">
        <f t="shared" si="33"/>
        <v>15</v>
      </c>
      <c r="CR18" s="553">
        <f t="shared" si="33"/>
        <v>20</v>
      </c>
      <c r="CS18" s="553">
        <f t="shared" si="33"/>
        <v>25</v>
      </c>
      <c r="CT18" s="553">
        <f t="shared" si="33"/>
        <v>25</v>
      </c>
      <c r="CU18" s="553">
        <f t="shared" si="33"/>
        <v>25</v>
      </c>
      <c r="CV18" s="553">
        <f t="shared" si="33"/>
        <v>25</v>
      </c>
      <c r="CW18" s="553">
        <f t="shared" si="33"/>
        <v>25.040393905991074</v>
      </c>
      <c r="CX18" s="553">
        <f t="shared" si="33"/>
        <v>22.285725588595366</v>
      </c>
      <c r="CY18" s="553">
        <f t="shared" si="33"/>
        <v>20.597371429727733</v>
      </c>
      <c r="CZ18" s="553">
        <f t="shared" si="33"/>
        <v>24</v>
      </c>
      <c r="DA18" s="553">
        <f t="shared" si="33"/>
        <v>24</v>
      </c>
      <c r="DB18" s="553">
        <f t="shared" si="33"/>
        <v>24</v>
      </c>
      <c r="DC18" s="553">
        <f t="shared" si="33"/>
        <v>24</v>
      </c>
      <c r="DD18" s="553">
        <f t="shared" si="33"/>
        <v>15</v>
      </c>
      <c r="DE18" s="553">
        <f t="shared" si="33"/>
        <v>20</v>
      </c>
      <c r="DF18" s="553">
        <f t="shared" si="33"/>
        <v>25</v>
      </c>
      <c r="DG18" s="553">
        <f t="shared" si="33"/>
        <v>25</v>
      </c>
      <c r="DH18" s="553">
        <f t="shared" si="33"/>
        <v>25</v>
      </c>
      <c r="DI18" s="553">
        <f t="shared" si="33"/>
        <v>25</v>
      </c>
      <c r="DJ18" s="553">
        <f t="shared" si="33"/>
        <v>25.040393905991074</v>
      </c>
      <c r="DK18" s="553">
        <f t="shared" si="33"/>
        <v>22.285725588595366</v>
      </c>
      <c r="DL18" s="553">
        <f t="shared" si="33"/>
        <v>20.597371429727733</v>
      </c>
      <c r="DM18" s="553">
        <f t="shared" si="33"/>
        <v>24</v>
      </c>
      <c r="DN18" s="553">
        <f t="shared" si="33"/>
        <v>24</v>
      </c>
      <c r="DO18" s="553">
        <f t="shared" si="33"/>
        <v>24</v>
      </c>
      <c r="DP18" s="553">
        <f t="shared" si="33"/>
        <v>24</v>
      </c>
      <c r="DQ18" s="553">
        <f t="shared" si="33"/>
        <v>15</v>
      </c>
      <c r="DR18" s="553">
        <f t="shared" si="33"/>
        <v>20</v>
      </c>
      <c r="DS18" s="553">
        <f t="shared" si="33"/>
        <v>25</v>
      </c>
      <c r="DT18" s="553">
        <f t="shared" si="33"/>
        <v>25</v>
      </c>
      <c r="DU18" s="553">
        <f t="shared" si="33"/>
        <v>25</v>
      </c>
      <c r="DV18" s="553">
        <f t="shared" si="33"/>
        <v>25</v>
      </c>
      <c r="DW18" s="553">
        <f t="shared" si="33"/>
        <v>25.040393905991074</v>
      </c>
      <c r="DX18" s="553">
        <f t="shared" si="33"/>
        <v>22.285725588595366</v>
      </c>
      <c r="DY18" s="553">
        <f t="shared" si="33"/>
        <v>20.597371429727733</v>
      </c>
      <c r="DZ18" s="553">
        <f t="shared" si="33"/>
        <v>24</v>
      </c>
      <c r="EA18" s="553">
        <f t="shared" si="33"/>
        <v>24</v>
      </c>
      <c r="EB18" s="553">
        <f t="shared" si="33"/>
        <v>24</v>
      </c>
      <c r="EC18" s="553">
        <f t="shared" si="33"/>
        <v>24</v>
      </c>
      <c r="ED18" s="553">
        <f t="shared" si="33"/>
        <v>15</v>
      </c>
      <c r="EE18" s="553">
        <f t="shared" si="33"/>
        <v>20</v>
      </c>
      <c r="EF18" s="553">
        <f t="shared" si="33"/>
        <v>25</v>
      </c>
      <c r="EG18" s="553">
        <f t="shared" si="33"/>
        <v>25</v>
      </c>
      <c r="EH18" s="553">
        <f t="shared" si="33"/>
        <v>25</v>
      </c>
      <c r="EI18" s="553">
        <f t="shared" si="33"/>
        <v>25</v>
      </c>
      <c r="EJ18" s="553">
        <f t="shared" si="33"/>
        <v>25.040393905991074</v>
      </c>
      <c r="EK18" s="553">
        <f t="shared" si="33"/>
        <v>22.285725588595366</v>
      </c>
      <c r="EL18" s="553">
        <f t="shared" si="33"/>
        <v>20.597371429727733</v>
      </c>
      <c r="EM18" s="553">
        <f t="shared" si="33"/>
        <v>24</v>
      </c>
      <c r="EN18" s="553">
        <f t="shared" si="33"/>
        <v>24</v>
      </c>
      <c r="EO18" s="553">
        <f t="shared" si="33"/>
        <v>24</v>
      </c>
      <c r="EP18" s="553">
        <f t="shared" si="33"/>
        <v>24</v>
      </c>
      <c r="EQ18" s="553">
        <f t="shared" si="33"/>
        <v>15</v>
      </c>
      <c r="ER18" s="553">
        <f t="shared" si="33"/>
        <v>20</v>
      </c>
      <c r="ES18" s="553">
        <f t="shared" si="33"/>
        <v>25</v>
      </c>
      <c r="ET18" s="553">
        <f t="shared" si="33"/>
        <v>25</v>
      </c>
      <c r="EU18" s="553">
        <f t="shared" si="33"/>
        <v>25</v>
      </c>
      <c r="EV18" s="553">
        <f t="shared" si="33"/>
        <v>25</v>
      </c>
      <c r="EW18" s="553">
        <f t="shared" si="33"/>
        <v>25.040393905991074</v>
      </c>
      <c r="EX18" s="553">
        <f t="shared" ref="EX18:FS18" si="34">EK22+EK21</f>
        <v>22.285725588595366</v>
      </c>
      <c r="EY18" s="553">
        <f t="shared" si="34"/>
        <v>20.597371429727733</v>
      </c>
      <c r="EZ18" s="553">
        <f t="shared" si="34"/>
        <v>24</v>
      </c>
      <c r="FA18" s="553">
        <f t="shared" si="34"/>
        <v>24</v>
      </c>
      <c r="FB18" s="553">
        <f t="shared" si="34"/>
        <v>24</v>
      </c>
      <c r="FC18" s="553">
        <f t="shared" si="34"/>
        <v>24</v>
      </c>
      <c r="FD18" s="553">
        <f t="shared" si="34"/>
        <v>15</v>
      </c>
      <c r="FE18" s="553">
        <f t="shared" si="34"/>
        <v>20</v>
      </c>
      <c r="FF18" s="553">
        <f t="shared" si="34"/>
        <v>25</v>
      </c>
      <c r="FG18" s="553">
        <f t="shared" si="34"/>
        <v>25</v>
      </c>
      <c r="FH18" s="553">
        <f t="shared" si="34"/>
        <v>25</v>
      </c>
      <c r="FI18" s="553">
        <f t="shared" si="34"/>
        <v>25</v>
      </c>
      <c r="FJ18" s="553">
        <f t="shared" si="34"/>
        <v>25.040393905991074</v>
      </c>
      <c r="FK18" s="553">
        <f t="shared" si="34"/>
        <v>22.285725588595366</v>
      </c>
      <c r="FL18" s="553">
        <f t="shared" si="34"/>
        <v>20.597371429727733</v>
      </c>
      <c r="FM18" s="553">
        <f t="shared" si="34"/>
        <v>24</v>
      </c>
      <c r="FN18" s="553">
        <f t="shared" si="34"/>
        <v>24</v>
      </c>
      <c r="FO18" s="553">
        <f t="shared" si="34"/>
        <v>24</v>
      </c>
      <c r="FP18" s="553">
        <f t="shared" si="34"/>
        <v>24</v>
      </c>
      <c r="FQ18" s="553">
        <f t="shared" si="34"/>
        <v>15</v>
      </c>
      <c r="FR18" s="553">
        <f t="shared" si="34"/>
        <v>20</v>
      </c>
      <c r="FS18" s="553">
        <f t="shared" si="34"/>
        <v>25</v>
      </c>
      <c r="FT18" s="554"/>
      <c r="FU18" s="554"/>
      <c r="FV18" s="554"/>
      <c r="FW18" s="554"/>
      <c r="FX18" s="554"/>
      <c r="FZ18" s="555"/>
      <c r="GB18" s="556"/>
      <c r="GD18" s="555"/>
      <c r="GE18" s="557"/>
    </row>
    <row r="19" spans="2:187" ht="15.75" customHeight="1">
      <c r="B19" s="550" t="s">
        <v>291</v>
      </c>
      <c r="C19" s="558">
        <v>0.4</v>
      </c>
      <c r="D19" s="552"/>
      <c r="E19" s="553">
        <f t="shared" ref="E19" si="35">E18*$C$19</f>
        <v>9.6000000000000014</v>
      </c>
      <c r="F19" s="553">
        <f t="shared" ref="F19:P19" si="36">F18*$C$19</f>
        <v>9.6000000000000014</v>
      </c>
      <c r="G19" s="553">
        <f t="shared" si="36"/>
        <v>9.6000000000000014</v>
      </c>
      <c r="H19" s="553">
        <f t="shared" si="36"/>
        <v>9.6000000000000014</v>
      </c>
      <c r="I19" s="553">
        <f t="shared" si="36"/>
        <v>9.6000000000000014</v>
      </c>
      <c r="J19" s="553">
        <f t="shared" si="36"/>
        <v>9.6000000000000014</v>
      </c>
      <c r="K19" s="553">
        <f t="shared" si="36"/>
        <v>9.6000000000000014</v>
      </c>
      <c r="L19" s="553">
        <f t="shared" si="36"/>
        <v>9.6000000000000014</v>
      </c>
      <c r="M19" s="553">
        <f t="shared" si="36"/>
        <v>9.6000000000000014</v>
      </c>
      <c r="N19" s="553">
        <f t="shared" si="36"/>
        <v>9.6000000000000014</v>
      </c>
      <c r="O19" s="553">
        <f t="shared" si="36"/>
        <v>9.6000000000000014</v>
      </c>
      <c r="P19" s="553">
        <f t="shared" si="36"/>
        <v>9.6000000000000014</v>
      </c>
      <c r="Q19" s="553">
        <f t="shared" ref="Q19:BP19" si="37">Q18*$C$19</f>
        <v>6</v>
      </c>
      <c r="R19" s="553">
        <f t="shared" si="37"/>
        <v>8</v>
      </c>
      <c r="S19" s="553">
        <f t="shared" si="37"/>
        <v>10</v>
      </c>
      <c r="T19" s="553">
        <f t="shared" si="37"/>
        <v>10</v>
      </c>
      <c r="U19" s="553">
        <f t="shared" si="37"/>
        <v>10</v>
      </c>
      <c r="V19" s="553">
        <f t="shared" si="37"/>
        <v>10</v>
      </c>
      <c r="W19" s="553">
        <f t="shared" si="37"/>
        <v>10.01615756239643</v>
      </c>
      <c r="X19" s="553">
        <f t="shared" si="37"/>
        <v>8.9142902354381466</v>
      </c>
      <c r="Y19" s="553">
        <f t="shared" si="37"/>
        <v>8.2389485718910933</v>
      </c>
      <c r="Z19" s="553">
        <f t="shared" si="37"/>
        <v>9.6000000000000014</v>
      </c>
      <c r="AA19" s="553">
        <f t="shared" si="37"/>
        <v>9.6000000000000014</v>
      </c>
      <c r="AB19" s="553">
        <f t="shared" si="37"/>
        <v>9.6000000000000014</v>
      </c>
      <c r="AC19" s="553">
        <f t="shared" si="37"/>
        <v>9.6000000000000014</v>
      </c>
      <c r="AD19" s="553">
        <f t="shared" si="37"/>
        <v>6</v>
      </c>
      <c r="AE19" s="553">
        <f t="shared" si="37"/>
        <v>8</v>
      </c>
      <c r="AF19" s="553">
        <f t="shared" si="37"/>
        <v>10</v>
      </c>
      <c r="AG19" s="553">
        <f t="shared" si="37"/>
        <v>10</v>
      </c>
      <c r="AH19" s="553">
        <f t="shared" si="37"/>
        <v>10</v>
      </c>
      <c r="AI19" s="553">
        <f t="shared" si="37"/>
        <v>10</v>
      </c>
      <c r="AJ19" s="553">
        <f t="shared" si="37"/>
        <v>10.01615756239643</v>
      </c>
      <c r="AK19" s="553">
        <f t="shared" si="37"/>
        <v>8.9142902354381466</v>
      </c>
      <c r="AL19" s="553">
        <f t="shared" si="37"/>
        <v>8.2389485718910933</v>
      </c>
      <c r="AM19" s="553">
        <f t="shared" si="37"/>
        <v>9.6000000000000014</v>
      </c>
      <c r="AN19" s="553">
        <f t="shared" si="37"/>
        <v>9.6000000000000014</v>
      </c>
      <c r="AO19" s="553">
        <f t="shared" si="37"/>
        <v>9.6000000000000014</v>
      </c>
      <c r="AP19" s="553">
        <f t="shared" si="37"/>
        <v>9.6000000000000014</v>
      </c>
      <c r="AQ19" s="553">
        <f t="shared" si="37"/>
        <v>6</v>
      </c>
      <c r="AR19" s="553">
        <f t="shared" si="37"/>
        <v>8</v>
      </c>
      <c r="AS19" s="553">
        <f t="shared" si="37"/>
        <v>10</v>
      </c>
      <c r="AT19" s="553">
        <f t="shared" si="37"/>
        <v>10</v>
      </c>
      <c r="AU19" s="553">
        <f t="shared" si="37"/>
        <v>10</v>
      </c>
      <c r="AV19" s="553">
        <f t="shared" si="37"/>
        <v>10</v>
      </c>
      <c r="AW19" s="553">
        <f t="shared" si="37"/>
        <v>10.01615756239643</v>
      </c>
      <c r="AX19" s="553">
        <f t="shared" si="37"/>
        <v>8.9142902354381466</v>
      </c>
      <c r="AY19" s="553">
        <f t="shared" si="37"/>
        <v>8.2389485718910933</v>
      </c>
      <c r="AZ19" s="553">
        <f t="shared" si="37"/>
        <v>9.6000000000000014</v>
      </c>
      <c r="BA19" s="553">
        <f t="shared" si="37"/>
        <v>9.6000000000000014</v>
      </c>
      <c r="BB19" s="553">
        <f t="shared" si="37"/>
        <v>9.6000000000000014</v>
      </c>
      <c r="BC19" s="553">
        <f t="shared" si="37"/>
        <v>9.6000000000000014</v>
      </c>
      <c r="BD19" s="553">
        <f t="shared" si="37"/>
        <v>6</v>
      </c>
      <c r="BE19" s="553">
        <f t="shared" si="37"/>
        <v>8</v>
      </c>
      <c r="BF19" s="553">
        <f t="shared" si="37"/>
        <v>10</v>
      </c>
      <c r="BG19" s="553">
        <f t="shared" si="37"/>
        <v>10</v>
      </c>
      <c r="BH19" s="553">
        <f t="shared" si="37"/>
        <v>10</v>
      </c>
      <c r="BI19" s="553">
        <f t="shared" si="37"/>
        <v>10</v>
      </c>
      <c r="BJ19" s="553">
        <f t="shared" si="37"/>
        <v>10.01615756239643</v>
      </c>
      <c r="BK19" s="553">
        <f t="shared" si="37"/>
        <v>8.9142902354381466</v>
      </c>
      <c r="BL19" s="553">
        <f t="shared" si="37"/>
        <v>8.2389485718910933</v>
      </c>
      <c r="BM19" s="553">
        <f t="shared" si="37"/>
        <v>9.6000000000000014</v>
      </c>
      <c r="BN19" s="553">
        <f t="shared" si="37"/>
        <v>9.6000000000000014</v>
      </c>
      <c r="BO19" s="553">
        <f t="shared" si="37"/>
        <v>9.6000000000000014</v>
      </c>
      <c r="BP19" s="553">
        <f t="shared" si="37"/>
        <v>9.6000000000000014</v>
      </c>
      <c r="BQ19" s="553">
        <f t="shared" ref="BQ19:EB19" si="38">BQ18*$C$19</f>
        <v>6</v>
      </c>
      <c r="BR19" s="553">
        <f t="shared" si="38"/>
        <v>8</v>
      </c>
      <c r="BS19" s="553">
        <f t="shared" si="38"/>
        <v>10</v>
      </c>
      <c r="BT19" s="553">
        <f t="shared" si="38"/>
        <v>10</v>
      </c>
      <c r="BU19" s="553">
        <f t="shared" si="38"/>
        <v>10</v>
      </c>
      <c r="BV19" s="553">
        <f t="shared" si="38"/>
        <v>10</v>
      </c>
      <c r="BW19" s="553">
        <f t="shared" si="38"/>
        <v>10.01615756239643</v>
      </c>
      <c r="BX19" s="553">
        <f t="shared" si="38"/>
        <v>8.9142902354381466</v>
      </c>
      <c r="BY19" s="553">
        <f t="shared" si="38"/>
        <v>8.2389485718910933</v>
      </c>
      <c r="BZ19" s="553">
        <f t="shared" si="38"/>
        <v>9.6000000000000014</v>
      </c>
      <c r="CA19" s="553">
        <f t="shared" si="38"/>
        <v>9.6000000000000014</v>
      </c>
      <c r="CB19" s="553">
        <f t="shared" si="38"/>
        <v>9.6000000000000014</v>
      </c>
      <c r="CC19" s="553">
        <f t="shared" si="38"/>
        <v>9.6000000000000014</v>
      </c>
      <c r="CD19" s="553">
        <f t="shared" si="38"/>
        <v>6</v>
      </c>
      <c r="CE19" s="553">
        <f t="shared" si="38"/>
        <v>8</v>
      </c>
      <c r="CF19" s="553">
        <f t="shared" si="38"/>
        <v>10</v>
      </c>
      <c r="CG19" s="553">
        <f t="shared" si="38"/>
        <v>10</v>
      </c>
      <c r="CH19" s="553">
        <f t="shared" si="38"/>
        <v>10</v>
      </c>
      <c r="CI19" s="553">
        <f t="shared" si="38"/>
        <v>10</v>
      </c>
      <c r="CJ19" s="553">
        <f t="shared" si="38"/>
        <v>10.01615756239643</v>
      </c>
      <c r="CK19" s="553">
        <f t="shared" si="38"/>
        <v>8.9142902354381466</v>
      </c>
      <c r="CL19" s="553">
        <f t="shared" si="38"/>
        <v>8.2389485718910933</v>
      </c>
      <c r="CM19" s="553">
        <f t="shared" si="38"/>
        <v>9.6000000000000014</v>
      </c>
      <c r="CN19" s="553">
        <f t="shared" si="38"/>
        <v>9.6000000000000014</v>
      </c>
      <c r="CO19" s="553">
        <f t="shared" si="38"/>
        <v>9.6000000000000014</v>
      </c>
      <c r="CP19" s="553">
        <f t="shared" si="38"/>
        <v>9.6000000000000014</v>
      </c>
      <c r="CQ19" s="553">
        <f t="shared" si="38"/>
        <v>6</v>
      </c>
      <c r="CR19" s="553">
        <f t="shared" si="38"/>
        <v>8</v>
      </c>
      <c r="CS19" s="553">
        <f t="shared" si="38"/>
        <v>10</v>
      </c>
      <c r="CT19" s="553">
        <f t="shared" si="38"/>
        <v>10</v>
      </c>
      <c r="CU19" s="553">
        <f t="shared" si="38"/>
        <v>10</v>
      </c>
      <c r="CV19" s="553">
        <f t="shared" si="38"/>
        <v>10</v>
      </c>
      <c r="CW19" s="553">
        <f t="shared" si="38"/>
        <v>10.01615756239643</v>
      </c>
      <c r="CX19" s="553">
        <f t="shared" si="38"/>
        <v>8.9142902354381466</v>
      </c>
      <c r="CY19" s="553">
        <f t="shared" si="38"/>
        <v>8.2389485718910933</v>
      </c>
      <c r="CZ19" s="553">
        <f t="shared" si="38"/>
        <v>9.6000000000000014</v>
      </c>
      <c r="DA19" s="553">
        <f t="shared" si="38"/>
        <v>9.6000000000000014</v>
      </c>
      <c r="DB19" s="553">
        <f t="shared" si="38"/>
        <v>9.6000000000000014</v>
      </c>
      <c r="DC19" s="553">
        <f t="shared" si="38"/>
        <v>9.6000000000000014</v>
      </c>
      <c r="DD19" s="553">
        <f t="shared" si="38"/>
        <v>6</v>
      </c>
      <c r="DE19" s="553">
        <f t="shared" si="38"/>
        <v>8</v>
      </c>
      <c r="DF19" s="553">
        <f t="shared" si="38"/>
        <v>10</v>
      </c>
      <c r="DG19" s="553">
        <f t="shared" si="38"/>
        <v>10</v>
      </c>
      <c r="DH19" s="553">
        <f t="shared" si="38"/>
        <v>10</v>
      </c>
      <c r="DI19" s="553">
        <f t="shared" si="38"/>
        <v>10</v>
      </c>
      <c r="DJ19" s="553">
        <f t="shared" si="38"/>
        <v>10.01615756239643</v>
      </c>
      <c r="DK19" s="553">
        <f t="shared" si="38"/>
        <v>8.9142902354381466</v>
      </c>
      <c r="DL19" s="553">
        <f t="shared" si="38"/>
        <v>8.2389485718910933</v>
      </c>
      <c r="DM19" s="553">
        <f t="shared" si="38"/>
        <v>9.6000000000000014</v>
      </c>
      <c r="DN19" s="553">
        <f t="shared" si="38"/>
        <v>9.6000000000000014</v>
      </c>
      <c r="DO19" s="553">
        <f t="shared" si="38"/>
        <v>9.6000000000000014</v>
      </c>
      <c r="DP19" s="553">
        <f t="shared" si="38"/>
        <v>9.6000000000000014</v>
      </c>
      <c r="DQ19" s="553">
        <f t="shared" si="38"/>
        <v>6</v>
      </c>
      <c r="DR19" s="553">
        <f t="shared" si="38"/>
        <v>8</v>
      </c>
      <c r="DS19" s="553">
        <f t="shared" si="38"/>
        <v>10</v>
      </c>
      <c r="DT19" s="553">
        <f t="shared" si="38"/>
        <v>10</v>
      </c>
      <c r="DU19" s="553">
        <f t="shared" si="38"/>
        <v>10</v>
      </c>
      <c r="DV19" s="553">
        <f t="shared" si="38"/>
        <v>10</v>
      </c>
      <c r="DW19" s="553">
        <f t="shared" si="38"/>
        <v>10.01615756239643</v>
      </c>
      <c r="DX19" s="553">
        <f t="shared" si="38"/>
        <v>8.9142902354381466</v>
      </c>
      <c r="DY19" s="553">
        <f t="shared" si="38"/>
        <v>8.2389485718910933</v>
      </c>
      <c r="DZ19" s="553">
        <f t="shared" si="38"/>
        <v>9.6000000000000014</v>
      </c>
      <c r="EA19" s="553">
        <f t="shared" si="38"/>
        <v>9.6000000000000014</v>
      </c>
      <c r="EB19" s="553">
        <f t="shared" si="38"/>
        <v>9.6000000000000014</v>
      </c>
      <c r="EC19" s="553">
        <f t="shared" ref="EC19:FS19" si="39">EC18*$C$19</f>
        <v>9.6000000000000014</v>
      </c>
      <c r="ED19" s="553">
        <f t="shared" si="39"/>
        <v>6</v>
      </c>
      <c r="EE19" s="553">
        <f t="shared" si="39"/>
        <v>8</v>
      </c>
      <c r="EF19" s="553">
        <f t="shared" si="39"/>
        <v>10</v>
      </c>
      <c r="EG19" s="553">
        <f t="shared" si="39"/>
        <v>10</v>
      </c>
      <c r="EH19" s="553">
        <f t="shared" si="39"/>
        <v>10</v>
      </c>
      <c r="EI19" s="553">
        <f t="shared" si="39"/>
        <v>10</v>
      </c>
      <c r="EJ19" s="553">
        <f t="shared" si="39"/>
        <v>10.01615756239643</v>
      </c>
      <c r="EK19" s="553">
        <f t="shared" si="39"/>
        <v>8.9142902354381466</v>
      </c>
      <c r="EL19" s="553">
        <f t="shared" si="39"/>
        <v>8.2389485718910933</v>
      </c>
      <c r="EM19" s="553">
        <f t="shared" si="39"/>
        <v>9.6000000000000014</v>
      </c>
      <c r="EN19" s="553">
        <f t="shared" si="39"/>
        <v>9.6000000000000014</v>
      </c>
      <c r="EO19" s="553">
        <f t="shared" si="39"/>
        <v>9.6000000000000014</v>
      </c>
      <c r="EP19" s="553">
        <f t="shared" si="39"/>
        <v>9.6000000000000014</v>
      </c>
      <c r="EQ19" s="553">
        <f t="shared" si="39"/>
        <v>6</v>
      </c>
      <c r="ER19" s="553">
        <f t="shared" si="39"/>
        <v>8</v>
      </c>
      <c r="ES19" s="553">
        <f t="shared" si="39"/>
        <v>10</v>
      </c>
      <c r="ET19" s="553">
        <f t="shared" si="39"/>
        <v>10</v>
      </c>
      <c r="EU19" s="553">
        <f t="shared" si="39"/>
        <v>10</v>
      </c>
      <c r="EV19" s="553">
        <f t="shared" si="39"/>
        <v>10</v>
      </c>
      <c r="EW19" s="553">
        <f t="shared" si="39"/>
        <v>10.01615756239643</v>
      </c>
      <c r="EX19" s="553">
        <f t="shared" si="39"/>
        <v>8.9142902354381466</v>
      </c>
      <c r="EY19" s="553">
        <f t="shared" si="39"/>
        <v>8.2389485718910933</v>
      </c>
      <c r="EZ19" s="553">
        <f t="shared" si="39"/>
        <v>9.6000000000000014</v>
      </c>
      <c r="FA19" s="553">
        <f t="shared" si="39"/>
        <v>9.6000000000000014</v>
      </c>
      <c r="FB19" s="553">
        <f t="shared" si="39"/>
        <v>9.6000000000000014</v>
      </c>
      <c r="FC19" s="553">
        <f t="shared" si="39"/>
        <v>9.6000000000000014</v>
      </c>
      <c r="FD19" s="553">
        <f t="shared" si="39"/>
        <v>6</v>
      </c>
      <c r="FE19" s="553">
        <f t="shared" si="39"/>
        <v>8</v>
      </c>
      <c r="FF19" s="553">
        <f t="shared" si="39"/>
        <v>10</v>
      </c>
      <c r="FG19" s="553">
        <f t="shared" si="39"/>
        <v>10</v>
      </c>
      <c r="FH19" s="553">
        <f t="shared" si="39"/>
        <v>10</v>
      </c>
      <c r="FI19" s="553">
        <f t="shared" si="39"/>
        <v>10</v>
      </c>
      <c r="FJ19" s="553">
        <f t="shared" si="39"/>
        <v>10.01615756239643</v>
      </c>
      <c r="FK19" s="553">
        <f t="shared" si="39"/>
        <v>8.9142902354381466</v>
      </c>
      <c r="FL19" s="553">
        <f t="shared" si="39"/>
        <v>8.2389485718910933</v>
      </c>
      <c r="FM19" s="553">
        <f t="shared" si="39"/>
        <v>9.6000000000000014</v>
      </c>
      <c r="FN19" s="553">
        <f t="shared" si="39"/>
        <v>9.6000000000000014</v>
      </c>
      <c r="FO19" s="553">
        <f t="shared" si="39"/>
        <v>9.6000000000000014</v>
      </c>
      <c r="FP19" s="553">
        <f t="shared" si="39"/>
        <v>9.6000000000000014</v>
      </c>
      <c r="FQ19" s="553">
        <f t="shared" si="39"/>
        <v>6</v>
      </c>
      <c r="FR19" s="553">
        <f t="shared" si="39"/>
        <v>8</v>
      </c>
      <c r="FS19" s="553">
        <f t="shared" si="39"/>
        <v>10</v>
      </c>
      <c r="FT19" s="554"/>
      <c r="FU19" s="554"/>
      <c r="FV19" s="554"/>
      <c r="FW19" s="554"/>
      <c r="FX19" s="554"/>
      <c r="FZ19" s="555"/>
      <c r="GB19" s="556"/>
      <c r="GD19" s="555"/>
      <c r="GE19" s="557"/>
    </row>
    <row r="20" spans="2:187" ht="15.75" customHeight="1">
      <c r="B20" s="550"/>
      <c r="C20" s="551"/>
      <c r="D20" s="552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553"/>
      <c r="AB20" s="553"/>
      <c r="AC20" s="553"/>
      <c r="AD20" s="553"/>
      <c r="AE20" s="553"/>
      <c r="AF20" s="553"/>
      <c r="AG20" s="553"/>
      <c r="AH20" s="553"/>
      <c r="AI20" s="553"/>
      <c r="AJ20" s="553"/>
      <c r="AK20" s="553"/>
      <c r="AL20" s="553"/>
      <c r="AM20" s="553"/>
      <c r="AN20" s="553"/>
      <c r="AO20" s="553"/>
      <c r="AP20" s="553"/>
      <c r="AQ20" s="553"/>
      <c r="AR20" s="553"/>
      <c r="AS20" s="553"/>
      <c r="AT20" s="553"/>
      <c r="AU20" s="553"/>
      <c r="AV20" s="553"/>
      <c r="AW20" s="553"/>
      <c r="AX20" s="553"/>
      <c r="AY20" s="553"/>
      <c r="AZ20" s="553"/>
      <c r="BA20" s="553"/>
      <c r="BB20" s="553"/>
      <c r="BC20" s="553"/>
      <c r="BD20" s="553"/>
      <c r="BE20" s="553"/>
      <c r="BF20" s="553"/>
      <c r="BG20" s="553"/>
      <c r="BH20" s="553"/>
      <c r="BI20" s="553"/>
      <c r="BJ20" s="553"/>
      <c r="BK20" s="553"/>
      <c r="BL20" s="553"/>
      <c r="BM20" s="553"/>
      <c r="BN20" s="553"/>
      <c r="BO20" s="553"/>
      <c r="BP20" s="553"/>
      <c r="BQ20" s="553"/>
      <c r="BR20" s="553"/>
      <c r="BS20" s="553"/>
      <c r="BT20" s="553"/>
      <c r="BU20" s="553"/>
      <c r="BV20" s="553"/>
      <c r="BW20" s="553"/>
      <c r="BX20" s="553"/>
      <c r="BY20" s="553"/>
      <c r="BZ20" s="553"/>
      <c r="CA20" s="553"/>
      <c r="CB20" s="553"/>
      <c r="CC20" s="553"/>
      <c r="CD20" s="553"/>
      <c r="CE20" s="553"/>
      <c r="CF20" s="553"/>
      <c r="CG20" s="553"/>
      <c r="CH20" s="553"/>
      <c r="CI20" s="553"/>
      <c r="CJ20" s="553"/>
      <c r="CK20" s="553"/>
      <c r="CL20" s="553"/>
      <c r="CM20" s="553"/>
      <c r="CN20" s="553"/>
      <c r="CO20" s="553"/>
      <c r="CP20" s="553"/>
      <c r="CQ20" s="553"/>
      <c r="CR20" s="553"/>
      <c r="CS20" s="553"/>
      <c r="CT20" s="553"/>
      <c r="CU20" s="553"/>
      <c r="CV20" s="553"/>
      <c r="CW20" s="553"/>
      <c r="CX20" s="553"/>
      <c r="CY20" s="553"/>
      <c r="CZ20" s="553"/>
      <c r="DA20" s="553"/>
      <c r="DB20" s="553"/>
      <c r="DC20" s="553"/>
      <c r="DD20" s="553"/>
      <c r="DE20" s="553"/>
      <c r="DF20" s="553"/>
      <c r="DG20" s="553"/>
      <c r="DH20" s="553"/>
      <c r="DI20" s="553"/>
      <c r="DJ20" s="553"/>
      <c r="DK20" s="553"/>
      <c r="DL20" s="553"/>
      <c r="DM20" s="553"/>
      <c r="DN20" s="553"/>
      <c r="DO20" s="553"/>
      <c r="DP20" s="553"/>
      <c r="DQ20" s="553"/>
      <c r="DR20" s="553"/>
      <c r="DS20" s="553"/>
      <c r="DT20" s="553"/>
      <c r="DU20" s="553"/>
      <c r="DV20" s="553"/>
      <c r="DW20" s="553"/>
      <c r="DX20" s="553"/>
      <c r="DY20" s="553"/>
      <c r="DZ20" s="553"/>
      <c r="EA20" s="553"/>
      <c r="EB20" s="553"/>
      <c r="EC20" s="553"/>
      <c r="ED20" s="553"/>
      <c r="EE20" s="553"/>
      <c r="EF20" s="553"/>
      <c r="EG20" s="553"/>
      <c r="EH20" s="553"/>
      <c r="EI20" s="553"/>
      <c r="EJ20" s="553"/>
      <c r="EK20" s="553"/>
      <c r="EL20" s="553"/>
      <c r="EM20" s="553"/>
      <c r="EN20" s="553"/>
      <c r="EO20" s="553"/>
      <c r="EP20" s="553"/>
      <c r="EQ20" s="553"/>
      <c r="ER20" s="553"/>
      <c r="ES20" s="553"/>
      <c r="ET20" s="553"/>
      <c r="EU20" s="553"/>
      <c r="EV20" s="553"/>
      <c r="EW20" s="553"/>
      <c r="EX20" s="553"/>
      <c r="EY20" s="553"/>
      <c r="EZ20" s="553"/>
      <c r="FA20" s="553"/>
      <c r="FB20" s="553"/>
      <c r="FC20" s="553"/>
      <c r="FD20" s="553"/>
      <c r="FE20" s="553"/>
      <c r="FF20" s="553"/>
      <c r="FG20" s="553"/>
      <c r="FH20" s="553"/>
      <c r="FI20" s="553"/>
      <c r="FJ20" s="553"/>
      <c r="FK20" s="553"/>
      <c r="FL20" s="553"/>
      <c r="FM20" s="553"/>
      <c r="FN20" s="553"/>
      <c r="FO20" s="553"/>
      <c r="FP20" s="553"/>
      <c r="FQ20" s="553"/>
      <c r="FR20" s="553"/>
      <c r="FS20" s="553"/>
      <c r="FT20" s="554"/>
      <c r="FU20" s="554"/>
      <c r="FV20" s="554"/>
      <c r="FW20" s="554"/>
      <c r="FX20" s="554"/>
      <c r="FZ20" s="555"/>
      <c r="GB20" s="556"/>
      <c r="GD20" s="555"/>
      <c r="GE20" s="557"/>
    </row>
    <row r="21" spans="2:187" ht="15.75" customHeight="1">
      <c r="B21" s="550" t="s">
        <v>292</v>
      </c>
      <c r="C21" s="551"/>
      <c r="D21" s="552"/>
      <c r="E21" s="553">
        <f t="shared" ref="E21" si="40">E18-E19</f>
        <v>14.399999999999999</v>
      </c>
      <c r="F21" s="553">
        <f t="shared" ref="F21:P21" si="41">F18-F19</f>
        <v>14.399999999999999</v>
      </c>
      <c r="G21" s="553">
        <f t="shared" si="41"/>
        <v>14.399999999999999</v>
      </c>
      <c r="H21" s="553">
        <f t="shared" si="41"/>
        <v>14.399999999999999</v>
      </c>
      <c r="I21" s="553">
        <f t="shared" si="41"/>
        <v>14.399999999999999</v>
      </c>
      <c r="J21" s="553">
        <f t="shared" si="41"/>
        <v>14.399999999999999</v>
      </c>
      <c r="K21" s="553">
        <f t="shared" si="41"/>
        <v>14.399999999999999</v>
      </c>
      <c r="L21" s="553">
        <f t="shared" si="41"/>
        <v>14.399999999999999</v>
      </c>
      <c r="M21" s="553">
        <f t="shared" si="41"/>
        <v>14.399999999999999</v>
      </c>
      <c r="N21" s="553">
        <f t="shared" si="41"/>
        <v>14.399999999999999</v>
      </c>
      <c r="O21" s="553">
        <f t="shared" si="41"/>
        <v>14.399999999999999</v>
      </c>
      <c r="P21" s="553">
        <f t="shared" si="41"/>
        <v>14.399999999999999</v>
      </c>
      <c r="Q21" s="553">
        <f t="shared" ref="Q21:BP21" si="42">Q18-Q19</f>
        <v>9</v>
      </c>
      <c r="R21" s="553">
        <f t="shared" si="42"/>
        <v>12</v>
      </c>
      <c r="S21" s="553">
        <f t="shared" si="42"/>
        <v>15</v>
      </c>
      <c r="T21" s="553">
        <f t="shared" si="42"/>
        <v>15</v>
      </c>
      <c r="U21" s="553">
        <f t="shared" si="42"/>
        <v>15</v>
      </c>
      <c r="V21" s="553">
        <f t="shared" si="42"/>
        <v>15</v>
      </c>
      <c r="W21" s="553">
        <f t="shared" si="42"/>
        <v>15.024236343594644</v>
      </c>
      <c r="X21" s="553">
        <f t="shared" si="42"/>
        <v>13.371435353157219</v>
      </c>
      <c r="Y21" s="553">
        <f t="shared" si="42"/>
        <v>12.35842285783664</v>
      </c>
      <c r="Z21" s="553">
        <f t="shared" si="42"/>
        <v>14.399999999999999</v>
      </c>
      <c r="AA21" s="553">
        <f t="shared" si="42"/>
        <v>14.399999999999999</v>
      </c>
      <c r="AB21" s="553">
        <f t="shared" si="42"/>
        <v>14.399999999999999</v>
      </c>
      <c r="AC21" s="553">
        <f t="shared" si="42"/>
        <v>14.399999999999999</v>
      </c>
      <c r="AD21" s="553">
        <f t="shared" si="42"/>
        <v>9</v>
      </c>
      <c r="AE21" s="553">
        <f t="shared" si="42"/>
        <v>12</v>
      </c>
      <c r="AF21" s="553">
        <f t="shared" si="42"/>
        <v>15</v>
      </c>
      <c r="AG21" s="553">
        <f t="shared" si="42"/>
        <v>15</v>
      </c>
      <c r="AH21" s="553">
        <f t="shared" si="42"/>
        <v>15</v>
      </c>
      <c r="AI21" s="553">
        <f t="shared" si="42"/>
        <v>15</v>
      </c>
      <c r="AJ21" s="553">
        <f t="shared" si="42"/>
        <v>15.024236343594644</v>
      </c>
      <c r="AK21" s="553">
        <f t="shared" si="42"/>
        <v>13.371435353157219</v>
      </c>
      <c r="AL21" s="553">
        <f t="shared" si="42"/>
        <v>12.35842285783664</v>
      </c>
      <c r="AM21" s="553">
        <f t="shared" si="42"/>
        <v>14.399999999999999</v>
      </c>
      <c r="AN21" s="553">
        <f t="shared" si="42"/>
        <v>14.399999999999999</v>
      </c>
      <c r="AO21" s="553">
        <f t="shared" si="42"/>
        <v>14.399999999999999</v>
      </c>
      <c r="AP21" s="553">
        <f t="shared" si="42"/>
        <v>14.399999999999999</v>
      </c>
      <c r="AQ21" s="553">
        <f t="shared" si="42"/>
        <v>9</v>
      </c>
      <c r="AR21" s="553">
        <f t="shared" si="42"/>
        <v>12</v>
      </c>
      <c r="AS21" s="553">
        <f t="shared" si="42"/>
        <v>15</v>
      </c>
      <c r="AT21" s="553">
        <f t="shared" si="42"/>
        <v>15</v>
      </c>
      <c r="AU21" s="553">
        <f t="shared" si="42"/>
        <v>15</v>
      </c>
      <c r="AV21" s="553">
        <f t="shared" si="42"/>
        <v>15</v>
      </c>
      <c r="AW21" s="553">
        <f t="shared" si="42"/>
        <v>15.024236343594644</v>
      </c>
      <c r="AX21" s="553">
        <f t="shared" si="42"/>
        <v>13.371435353157219</v>
      </c>
      <c r="AY21" s="553">
        <f t="shared" si="42"/>
        <v>12.35842285783664</v>
      </c>
      <c r="AZ21" s="553">
        <f t="shared" si="42"/>
        <v>14.399999999999999</v>
      </c>
      <c r="BA21" s="553">
        <f t="shared" si="42"/>
        <v>14.399999999999999</v>
      </c>
      <c r="BB21" s="553">
        <f t="shared" si="42"/>
        <v>14.399999999999999</v>
      </c>
      <c r="BC21" s="553">
        <f t="shared" si="42"/>
        <v>14.399999999999999</v>
      </c>
      <c r="BD21" s="553">
        <f t="shared" si="42"/>
        <v>9</v>
      </c>
      <c r="BE21" s="553">
        <f t="shared" si="42"/>
        <v>12</v>
      </c>
      <c r="BF21" s="553">
        <f t="shared" si="42"/>
        <v>15</v>
      </c>
      <c r="BG21" s="553">
        <f t="shared" si="42"/>
        <v>15</v>
      </c>
      <c r="BH21" s="553">
        <f t="shared" si="42"/>
        <v>15</v>
      </c>
      <c r="BI21" s="553">
        <f t="shared" si="42"/>
        <v>15</v>
      </c>
      <c r="BJ21" s="553">
        <f t="shared" si="42"/>
        <v>15.024236343594644</v>
      </c>
      <c r="BK21" s="553">
        <f t="shared" si="42"/>
        <v>13.371435353157219</v>
      </c>
      <c r="BL21" s="553">
        <f t="shared" si="42"/>
        <v>12.35842285783664</v>
      </c>
      <c r="BM21" s="553">
        <f t="shared" si="42"/>
        <v>14.399999999999999</v>
      </c>
      <c r="BN21" s="553">
        <f t="shared" si="42"/>
        <v>14.399999999999999</v>
      </c>
      <c r="BO21" s="553">
        <f t="shared" si="42"/>
        <v>14.399999999999999</v>
      </c>
      <c r="BP21" s="553">
        <f t="shared" si="42"/>
        <v>14.399999999999999</v>
      </c>
      <c r="BQ21" s="553">
        <f t="shared" ref="BQ21:EB21" si="43">BQ18-BQ19</f>
        <v>9</v>
      </c>
      <c r="BR21" s="553">
        <f t="shared" si="43"/>
        <v>12</v>
      </c>
      <c r="BS21" s="553">
        <f t="shared" si="43"/>
        <v>15</v>
      </c>
      <c r="BT21" s="553">
        <f t="shared" si="43"/>
        <v>15</v>
      </c>
      <c r="BU21" s="553">
        <f t="shared" si="43"/>
        <v>15</v>
      </c>
      <c r="BV21" s="553">
        <f t="shared" si="43"/>
        <v>15</v>
      </c>
      <c r="BW21" s="553">
        <f t="shared" si="43"/>
        <v>15.024236343594644</v>
      </c>
      <c r="BX21" s="553">
        <f t="shared" si="43"/>
        <v>13.371435353157219</v>
      </c>
      <c r="BY21" s="553">
        <f t="shared" si="43"/>
        <v>12.35842285783664</v>
      </c>
      <c r="BZ21" s="553">
        <f t="shared" si="43"/>
        <v>14.399999999999999</v>
      </c>
      <c r="CA21" s="553">
        <f t="shared" si="43"/>
        <v>14.399999999999999</v>
      </c>
      <c r="CB21" s="553">
        <f t="shared" si="43"/>
        <v>14.399999999999999</v>
      </c>
      <c r="CC21" s="553">
        <f t="shared" si="43"/>
        <v>14.399999999999999</v>
      </c>
      <c r="CD21" s="553">
        <f t="shared" si="43"/>
        <v>9</v>
      </c>
      <c r="CE21" s="553">
        <f t="shared" si="43"/>
        <v>12</v>
      </c>
      <c r="CF21" s="553">
        <f t="shared" si="43"/>
        <v>15</v>
      </c>
      <c r="CG21" s="553">
        <f t="shared" si="43"/>
        <v>15</v>
      </c>
      <c r="CH21" s="553">
        <f t="shared" si="43"/>
        <v>15</v>
      </c>
      <c r="CI21" s="553">
        <f t="shared" si="43"/>
        <v>15</v>
      </c>
      <c r="CJ21" s="553">
        <f t="shared" si="43"/>
        <v>15.024236343594644</v>
      </c>
      <c r="CK21" s="553">
        <f t="shared" si="43"/>
        <v>13.371435353157219</v>
      </c>
      <c r="CL21" s="553">
        <f t="shared" si="43"/>
        <v>12.35842285783664</v>
      </c>
      <c r="CM21" s="553">
        <f t="shared" si="43"/>
        <v>14.399999999999999</v>
      </c>
      <c r="CN21" s="553">
        <f t="shared" si="43"/>
        <v>14.399999999999999</v>
      </c>
      <c r="CO21" s="553">
        <f t="shared" si="43"/>
        <v>14.399999999999999</v>
      </c>
      <c r="CP21" s="553">
        <f t="shared" si="43"/>
        <v>14.399999999999999</v>
      </c>
      <c r="CQ21" s="553">
        <f t="shared" si="43"/>
        <v>9</v>
      </c>
      <c r="CR21" s="553">
        <f t="shared" si="43"/>
        <v>12</v>
      </c>
      <c r="CS21" s="553">
        <f t="shared" si="43"/>
        <v>15</v>
      </c>
      <c r="CT21" s="553">
        <f t="shared" si="43"/>
        <v>15</v>
      </c>
      <c r="CU21" s="553">
        <f t="shared" si="43"/>
        <v>15</v>
      </c>
      <c r="CV21" s="553">
        <f t="shared" si="43"/>
        <v>15</v>
      </c>
      <c r="CW21" s="553">
        <f t="shared" si="43"/>
        <v>15.024236343594644</v>
      </c>
      <c r="CX21" s="553">
        <f t="shared" si="43"/>
        <v>13.371435353157219</v>
      </c>
      <c r="CY21" s="553">
        <f t="shared" si="43"/>
        <v>12.35842285783664</v>
      </c>
      <c r="CZ21" s="553">
        <f t="shared" si="43"/>
        <v>14.399999999999999</v>
      </c>
      <c r="DA21" s="553">
        <f t="shared" si="43"/>
        <v>14.399999999999999</v>
      </c>
      <c r="DB21" s="553">
        <f t="shared" si="43"/>
        <v>14.399999999999999</v>
      </c>
      <c r="DC21" s="553">
        <f t="shared" si="43"/>
        <v>14.399999999999999</v>
      </c>
      <c r="DD21" s="553">
        <f t="shared" si="43"/>
        <v>9</v>
      </c>
      <c r="DE21" s="553">
        <f t="shared" si="43"/>
        <v>12</v>
      </c>
      <c r="DF21" s="553">
        <f t="shared" si="43"/>
        <v>15</v>
      </c>
      <c r="DG21" s="553">
        <f t="shared" si="43"/>
        <v>15</v>
      </c>
      <c r="DH21" s="553">
        <f t="shared" si="43"/>
        <v>15</v>
      </c>
      <c r="DI21" s="553">
        <f t="shared" si="43"/>
        <v>15</v>
      </c>
      <c r="DJ21" s="553">
        <f t="shared" si="43"/>
        <v>15.024236343594644</v>
      </c>
      <c r="DK21" s="553">
        <f t="shared" si="43"/>
        <v>13.371435353157219</v>
      </c>
      <c r="DL21" s="553">
        <f t="shared" si="43"/>
        <v>12.35842285783664</v>
      </c>
      <c r="DM21" s="553">
        <f t="shared" si="43"/>
        <v>14.399999999999999</v>
      </c>
      <c r="DN21" s="553">
        <f t="shared" si="43"/>
        <v>14.399999999999999</v>
      </c>
      <c r="DO21" s="553">
        <f t="shared" si="43"/>
        <v>14.399999999999999</v>
      </c>
      <c r="DP21" s="553">
        <f t="shared" si="43"/>
        <v>14.399999999999999</v>
      </c>
      <c r="DQ21" s="553">
        <f t="shared" si="43"/>
        <v>9</v>
      </c>
      <c r="DR21" s="553">
        <f t="shared" si="43"/>
        <v>12</v>
      </c>
      <c r="DS21" s="553">
        <f t="shared" si="43"/>
        <v>15</v>
      </c>
      <c r="DT21" s="553">
        <f t="shared" si="43"/>
        <v>15</v>
      </c>
      <c r="DU21" s="553">
        <f t="shared" si="43"/>
        <v>15</v>
      </c>
      <c r="DV21" s="553">
        <f t="shared" si="43"/>
        <v>15</v>
      </c>
      <c r="DW21" s="553">
        <f t="shared" si="43"/>
        <v>15.024236343594644</v>
      </c>
      <c r="DX21" s="553">
        <f t="shared" si="43"/>
        <v>13.371435353157219</v>
      </c>
      <c r="DY21" s="553">
        <f t="shared" si="43"/>
        <v>12.35842285783664</v>
      </c>
      <c r="DZ21" s="553">
        <f t="shared" si="43"/>
        <v>14.399999999999999</v>
      </c>
      <c r="EA21" s="553">
        <f t="shared" si="43"/>
        <v>14.399999999999999</v>
      </c>
      <c r="EB21" s="553">
        <f t="shared" si="43"/>
        <v>14.399999999999999</v>
      </c>
      <c r="EC21" s="553">
        <f t="shared" ref="EC21:FS21" si="44">EC18-EC19</f>
        <v>14.399999999999999</v>
      </c>
      <c r="ED21" s="553">
        <f t="shared" si="44"/>
        <v>9</v>
      </c>
      <c r="EE21" s="553">
        <f t="shared" si="44"/>
        <v>12</v>
      </c>
      <c r="EF21" s="553">
        <f t="shared" si="44"/>
        <v>15</v>
      </c>
      <c r="EG21" s="553">
        <f t="shared" si="44"/>
        <v>15</v>
      </c>
      <c r="EH21" s="553">
        <f t="shared" si="44"/>
        <v>15</v>
      </c>
      <c r="EI21" s="553">
        <f t="shared" si="44"/>
        <v>15</v>
      </c>
      <c r="EJ21" s="553">
        <f t="shared" si="44"/>
        <v>15.024236343594644</v>
      </c>
      <c r="EK21" s="553">
        <f t="shared" si="44"/>
        <v>13.371435353157219</v>
      </c>
      <c r="EL21" s="553">
        <f t="shared" si="44"/>
        <v>12.35842285783664</v>
      </c>
      <c r="EM21" s="553">
        <f t="shared" si="44"/>
        <v>14.399999999999999</v>
      </c>
      <c r="EN21" s="553">
        <f t="shared" si="44"/>
        <v>14.399999999999999</v>
      </c>
      <c r="EO21" s="553">
        <f t="shared" si="44"/>
        <v>14.399999999999999</v>
      </c>
      <c r="EP21" s="553">
        <f t="shared" si="44"/>
        <v>14.399999999999999</v>
      </c>
      <c r="EQ21" s="553">
        <f t="shared" si="44"/>
        <v>9</v>
      </c>
      <c r="ER21" s="553">
        <f t="shared" si="44"/>
        <v>12</v>
      </c>
      <c r="ES21" s="553">
        <f t="shared" si="44"/>
        <v>15</v>
      </c>
      <c r="ET21" s="553">
        <f t="shared" si="44"/>
        <v>15</v>
      </c>
      <c r="EU21" s="553">
        <f t="shared" si="44"/>
        <v>15</v>
      </c>
      <c r="EV21" s="553">
        <f t="shared" si="44"/>
        <v>15</v>
      </c>
      <c r="EW21" s="553">
        <f t="shared" si="44"/>
        <v>15.024236343594644</v>
      </c>
      <c r="EX21" s="553">
        <f t="shared" si="44"/>
        <v>13.371435353157219</v>
      </c>
      <c r="EY21" s="553">
        <f t="shared" si="44"/>
        <v>12.35842285783664</v>
      </c>
      <c r="EZ21" s="553">
        <f t="shared" si="44"/>
        <v>14.399999999999999</v>
      </c>
      <c r="FA21" s="553">
        <f t="shared" si="44"/>
        <v>14.399999999999999</v>
      </c>
      <c r="FB21" s="553">
        <f t="shared" si="44"/>
        <v>14.399999999999999</v>
      </c>
      <c r="FC21" s="553">
        <f t="shared" si="44"/>
        <v>14.399999999999999</v>
      </c>
      <c r="FD21" s="553">
        <f t="shared" si="44"/>
        <v>9</v>
      </c>
      <c r="FE21" s="553">
        <f t="shared" si="44"/>
        <v>12</v>
      </c>
      <c r="FF21" s="553">
        <f t="shared" si="44"/>
        <v>15</v>
      </c>
      <c r="FG21" s="553">
        <f t="shared" si="44"/>
        <v>15</v>
      </c>
      <c r="FH21" s="553">
        <f t="shared" si="44"/>
        <v>15</v>
      </c>
      <c r="FI21" s="553">
        <f t="shared" si="44"/>
        <v>15</v>
      </c>
      <c r="FJ21" s="553">
        <f t="shared" si="44"/>
        <v>15.024236343594644</v>
      </c>
      <c r="FK21" s="553">
        <f t="shared" si="44"/>
        <v>13.371435353157219</v>
      </c>
      <c r="FL21" s="553">
        <f t="shared" si="44"/>
        <v>12.35842285783664</v>
      </c>
      <c r="FM21" s="553">
        <f t="shared" si="44"/>
        <v>14.399999999999999</v>
      </c>
      <c r="FN21" s="553">
        <f t="shared" si="44"/>
        <v>14.399999999999999</v>
      </c>
      <c r="FO21" s="553">
        <f t="shared" si="44"/>
        <v>14.399999999999999</v>
      </c>
      <c r="FP21" s="553">
        <f t="shared" si="44"/>
        <v>14.399999999999999</v>
      </c>
      <c r="FQ21" s="553">
        <f t="shared" si="44"/>
        <v>9</v>
      </c>
      <c r="FR21" s="553">
        <f t="shared" si="44"/>
        <v>12</v>
      </c>
      <c r="FS21" s="553">
        <f t="shared" si="44"/>
        <v>15</v>
      </c>
      <c r="FT21" s="554"/>
      <c r="FU21" s="554"/>
      <c r="FV21" s="554"/>
      <c r="FW21" s="554"/>
      <c r="FX21" s="554"/>
      <c r="FZ21" s="555"/>
      <c r="GB21" s="556"/>
      <c r="GD21" s="555"/>
      <c r="GE21" s="557"/>
    </row>
    <row r="22" spans="2:187" ht="15.75" customHeight="1">
      <c r="B22" s="550" t="s">
        <v>293</v>
      </c>
      <c r="C22" s="551"/>
      <c r="D22" s="552"/>
      <c r="E22" s="553">
        <f>E19</f>
        <v>9.6000000000000014</v>
      </c>
      <c r="F22" s="553">
        <f>F19</f>
        <v>9.6000000000000014</v>
      </c>
      <c r="G22" s="553">
        <f t="shared" ref="G22:Q22" si="45">G19</f>
        <v>9.6000000000000014</v>
      </c>
      <c r="H22" s="553">
        <f t="shared" si="45"/>
        <v>9.6000000000000014</v>
      </c>
      <c r="I22" s="553">
        <f t="shared" si="45"/>
        <v>9.6000000000000014</v>
      </c>
      <c r="J22" s="553">
        <f t="shared" si="45"/>
        <v>9.6000000000000014</v>
      </c>
      <c r="K22" s="553">
        <f t="shared" si="45"/>
        <v>9.6000000000000014</v>
      </c>
      <c r="L22" s="553">
        <f t="shared" si="45"/>
        <v>9.6000000000000014</v>
      </c>
      <c r="M22" s="553">
        <f t="shared" si="45"/>
        <v>9.6000000000000014</v>
      </c>
      <c r="N22" s="553">
        <f t="shared" si="45"/>
        <v>9.6000000000000014</v>
      </c>
      <c r="O22" s="553">
        <f t="shared" si="45"/>
        <v>9.6000000000000014</v>
      </c>
      <c r="P22" s="553">
        <f t="shared" si="45"/>
        <v>9.6000000000000014</v>
      </c>
      <c r="Q22" s="553">
        <f t="shared" si="45"/>
        <v>6</v>
      </c>
      <c r="R22" s="553">
        <f t="shared" ref="R22:BP22" si="46">R19</f>
        <v>8</v>
      </c>
      <c r="S22" s="553">
        <f t="shared" si="46"/>
        <v>10</v>
      </c>
      <c r="T22" s="553">
        <f t="shared" si="46"/>
        <v>10</v>
      </c>
      <c r="U22" s="553">
        <f t="shared" si="46"/>
        <v>10</v>
      </c>
      <c r="V22" s="553">
        <f t="shared" si="46"/>
        <v>10</v>
      </c>
      <c r="W22" s="553">
        <f t="shared" si="46"/>
        <v>10.01615756239643</v>
      </c>
      <c r="X22" s="553">
        <f t="shared" si="46"/>
        <v>8.9142902354381466</v>
      </c>
      <c r="Y22" s="553">
        <f t="shared" si="46"/>
        <v>8.2389485718910933</v>
      </c>
      <c r="Z22" s="553">
        <f t="shared" si="46"/>
        <v>9.6000000000000014</v>
      </c>
      <c r="AA22" s="553">
        <f t="shared" si="46"/>
        <v>9.6000000000000014</v>
      </c>
      <c r="AB22" s="553">
        <f t="shared" si="46"/>
        <v>9.6000000000000014</v>
      </c>
      <c r="AC22" s="553">
        <f t="shared" si="46"/>
        <v>9.6000000000000014</v>
      </c>
      <c r="AD22" s="553">
        <f t="shared" si="46"/>
        <v>6</v>
      </c>
      <c r="AE22" s="553">
        <f t="shared" si="46"/>
        <v>8</v>
      </c>
      <c r="AF22" s="553">
        <f t="shared" si="46"/>
        <v>10</v>
      </c>
      <c r="AG22" s="553">
        <f t="shared" si="46"/>
        <v>10</v>
      </c>
      <c r="AH22" s="553">
        <f t="shared" si="46"/>
        <v>10</v>
      </c>
      <c r="AI22" s="553">
        <f t="shared" si="46"/>
        <v>10</v>
      </c>
      <c r="AJ22" s="553">
        <f t="shared" si="46"/>
        <v>10.01615756239643</v>
      </c>
      <c r="AK22" s="553">
        <f t="shared" si="46"/>
        <v>8.9142902354381466</v>
      </c>
      <c r="AL22" s="553">
        <f t="shared" si="46"/>
        <v>8.2389485718910933</v>
      </c>
      <c r="AM22" s="553">
        <f t="shared" si="46"/>
        <v>9.6000000000000014</v>
      </c>
      <c r="AN22" s="553">
        <f t="shared" si="46"/>
        <v>9.6000000000000014</v>
      </c>
      <c r="AO22" s="553">
        <f t="shared" si="46"/>
        <v>9.6000000000000014</v>
      </c>
      <c r="AP22" s="553">
        <f t="shared" si="46"/>
        <v>9.6000000000000014</v>
      </c>
      <c r="AQ22" s="553">
        <f t="shared" si="46"/>
        <v>6</v>
      </c>
      <c r="AR22" s="553">
        <f t="shared" si="46"/>
        <v>8</v>
      </c>
      <c r="AS22" s="553">
        <f t="shared" si="46"/>
        <v>10</v>
      </c>
      <c r="AT22" s="553">
        <f t="shared" si="46"/>
        <v>10</v>
      </c>
      <c r="AU22" s="553">
        <f t="shared" si="46"/>
        <v>10</v>
      </c>
      <c r="AV22" s="553">
        <f t="shared" si="46"/>
        <v>10</v>
      </c>
      <c r="AW22" s="553">
        <f t="shared" si="46"/>
        <v>10.01615756239643</v>
      </c>
      <c r="AX22" s="553">
        <f t="shared" si="46"/>
        <v>8.9142902354381466</v>
      </c>
      <c r="AY22" s="553">
        <f t="shared" si="46"/>
        <v>8.2389485718910933</v>
      </c>
      <c r="AZ22" s="553">
        <f t="shared" si="46"/>
        <v>9.6000000000000014</v>
      </c>
      <c r="BA22" s="553">
        <f t="shared" si="46"/>
        <v>9.6000000000000014</v>
      </c>
      <c r="BB22" s="553">
        <f t="shared" si="46"/>
        <v>9.6000000000000014</v>
      </c>
      <c r="BC22" s="553">
        <f t="shared" si="46"/>
        <v>9.6000000000000014</v>
      </c>
      <c r="BD22" s="553">
        <f t="shared" si="46"/>
        <v>6</v>
      </c>
      <c r="BE22" s="553">
        <f t="shared" si="46"/>
        <v>8</v>
      </c>
      <c r="BF22" s="553">
        <f t="shared" si="46"/>
        <v>10</v>
      </c>
      <c r="BG22" s="553">
        <f t="shared" si="46"/>
        <v>10</v>
      </c>
      <c r="BH22" s="553">
        <f t="shared" si="46"/>
        <v>10</v>
      </c>
      <c r="BI22" s="553">
        <f t="shared" si="46"/>
        <v>10</v>
      </c>
      <c r="BJ22" s="553">
        <f t="shared" si="46"/>
        <v>10.01615756239643</v>
      </c>
      <c r="BK22" s="553">
        <f t="shared" si="46"/>
        <v>8.9142902354381466</v>
      </c>
      <c r="BL22" s="553">
        <f t="shared" si="46"/>
        <v>8.2389485718910933</v>
      </c>
      <c r="BM22" s="553">
        <f t="shared" si="46"/>
        <v>9.6000000000000014</v>
      </c>
      <c r="BN22" s="553">
        <f t="shared" si="46"/>
        <v>9.6000000000000014</v>
      </c>
      <c r="BO22" s="553">
        <f t="shared" si="46"/>
        <v>9.6000000000000014</v>
      </c>
      <c r="BP22" s="553">
        <f t="shared" si="46"/>
        <v>9.6000000000000014</v>
      </c>
      <c r="BQ22" s="553">
        <f t="shared" ref="BQ22:EB22" si="47">BQ19</f>
        <v>6</v>
      </c>
      <c r="BR22" s="553">
        <f t="shared" si="47"/>
        <v>8</v>
      </c>
      <c r="BS22" s="553">
        <f t="shared" si="47"/>
        <v>10</v>
      </c>
      <c r="BT22" s="553">
        <f t="shared" si="47"/>
        <v>10</v>
      </c>
      <c r="BU22" s="553">
        <f t="shared" si="47"/>
        <v>10</v>
      </c>
      <c r="BV22" s="553">
        <f t="shared" si="47"/>
        <v>10</v>
      </c>
      <c r="BW22" s="553">
        <f t="shared" si="47"/>
        <v>10.01615756239643</v>
      </c>
      <c r="BX22" s="553">
        <f t="shared" si="47"/>
        <v>8.9142902354381466</v>
      </c>
      <c r="BY22" s="553">
        <f t="shared" si="47"/>
        <v>8.2389485718910933</v>
      </c>
      <c r="BZ22" s="553">
        <f t="shared" si="47"/>
        <v>9.6000000000000014</v>
      </c>
      <c r="CA22" s="553">
        <f t="shared" si="47"/>
        <v>9.6000000000000014</v>
      </c>
      <c r="CB22" s="553">
        <f t="shared" si="47"/>
        <v>9.6000000000000014</v>
      </c>
      <c r="CC22" s="553">
        <f t="shared" si="47"/>
        <v>9.6000000000000014</v>
      </c>
      <c r="CD22" s="553">
        <f t="shared" si="47"/>
        <v>6</v>
      </c>
      <c r="CE22" s="553">
        <f t="shared" si="47"/>
        <v>8</v>
      </c>
      <c r="CF22" s="553">
        <f t="shared" si="47"/>
        <v>10</v>
      </c>
      <c r="CG22" s="553">
        <f t="shared" si="47"/>
        <v>10</v>
      </c>
      <c r="CH22" s="553">
        <f t="shared" si="47"/>
        <v>10</v>
      </c>
      <c r="CI22" s="553">
        <f t="shared" si="47"/>
        <v>10</v>
      </c>
      <c r="CJ22" s="553">
        <f t="shared" si="47"/>
        <v>10.01615756239643</v>
      </c>
      <c r="CK22" s="553">
        <f t="shared" si="47"/>
        <v>8.9142902354381466</v>
      </c>
      <c r="CL22" s="553">
        <f t="shared" si="47"/>
        <v>8.2389485718910933</v>
      </c>
      <c r="CM22" s="553">
        <f t="shared" si="47"/>
        <v>9.6000000000000014</v>
      </c>
      <c r="CN22" s="553">
        <f t="shared" si="47"/>
        <v>9.6000000000000014</v>
      </c>
      <c r="CO22" s="553">
        <f t="shared" si="47"/>
        <v>9.6000000000000014</v>
      </c>
      <c r="CP22" s="553">
        <f t="shared" si="47"/>
        <v>9.6000000000000014</v>
      </c>
      <c r="CQ22" s="553">
        <f t="shared" si="47"/>
        <v>6</v>
      </c>
      <c r="CR22" s="553">
        <f t="shared" si="47"/>
        <v>8</v>
      </c>
      <c r="CS22" s="553">
        <f t="shared" si="47"/>
        <v>10</v>
      </c>
      <c r="CT22" s="553">
        <f t="shared" si="47"/>
        <v>10</v>
      </c>
      <c r="CU22" s="553">
        <f t="shared" si="47"/>
        <v>10</v>
      </c>
      <c r="CV22" s="553">
        <f t="shared" si="47"/>
        <v>10</v>
      </c>
      <c r="CW22" s="553">
        <f t="shared" si="47"/>
        <v>10.01615756239643</v>
      </c>
      <c r="CX22" s="553">
        <f t="shared" si="47"/>
        <v>8.9142902354381466</v>
      </c>
      <c r="CY22" s="553">
        <f t="shared" si="47"/>
        <v>8.2389485718910933</v>
      </c>
      <c r="CZ22" s="553">
        <f t="shared" si="47"/>
        <v>9.6000000000000014</v>
      </c>
      <c r="DA22" s="553">
        <f t="shared" si="47"/>
        <v>9.6000000000000014</v>
      </c>
      <c r="DB22" s="553">
        <f t="shared" si="47"/>
        <v>9.6000000000000014</v>
      </c>
      <c r="DC22" s="553">
        <f t="shared" si="47"/>
        <v>9.6000000000000014</v>
      </c>
      <c r="DD22" s="553">
        <f t="shared" si="47"/>
        <v>6</v>
      </c>
      <c r="DE22" s="553">
        <f t="shared" si="47"/>
        <v>8</v>
      </c>
      <c r="DF22" s="553">
        <f t="shared" si="47"/>
        <v>10</v>
      </c>
      <c r="DG22" s="553">
        <f t="shared" si="47"/>
        <v>10</v>
      </c>
      <c r="DH22" s="553">
        <f t="shared" si="47"/>
        <v>10</v>
      </c>
      <c r="DI22" s="553">
        <f t="shared" si="47"/>
        <v>10</v>
      </c>
      <c r="DJ22" s="553">
        <f t="shared" si="47"/>
        <v>10.01615756239643</v>
      </c>
      <c r="DK22" s="553">
        <f t="shared" si="47"/>
        <v>8.9142902354381466</v>
      </c>
      <c r="DL22" s="553">
        <f t="shared" si="47"/>
        <v>8.2389485718910933</v>
      </c>
      <c r="DM22" s="553">
        <f t="shared" si="47"/>
        <v>9.6000000000000014</v>
      </c>
      <c r="DN22" s="553">
        <f t="shared" si="47"/>
        <v>9.6000000000000014</v>
      </c>
      <c r="DO22" s="553">
        <f t="shared" si="47"/>
        <v>9.6000000000000014</v>
      </c>
      <c r="DP22" s="553">
        <f t="shared" si="47"/>
        <v>9.6000000000000014</v>
      </c>
      <c r="DQ22" s="553">
        <f t="shared" si="47"/>
        <v>6</v>
      </c>
      <c r="DR22" s="553">
        <f t="shared" si="47"/>
        <v>8</v>
      </c>
      <c r="DS22" s="553">
        <f t="shared" si="47"/>
        <v>10</v>
      </c>
      <c r="DT22" s="553">
        <f t="shared" si="47"/>
        <v>10</v>
      </c>
      <c r="DU22" s="553">
        <f t="shared" si="47"/>
        <v>10</v>
      </c>
      <c r="DV22" s="553">
        <f t="shared" si="47"/>
        <v>10</v>
      </c>
      <c r="DW22" s="553">
        <f t="shared" si="47"/>
        <v>10.01615756239643</v>
      </c>
      <c r="DX22" s="553">
        <f t="shared" si="47"/>
        <v>8.9142902354381466</v>
      </c>
      <c r="DY22" s="553">
        <f t="shared" si="47"/>
        <v>8.2389485718910933</v>
      </c>
      <c r="DZ22" s="553">
        <f t="shared" si="47"/>
        <v>9.6000000000000014</v>
      </c>
      <c r="EA22" s="553">
        <f t="shared" si="47"/>
        <v>9.6000000000000014</v>
      </c>
      <c r="EB22" s="553">
        <f t="shared" si="47"/>
        <v>9.6000000000000014</v>
      </c>
      <c r="EC22" s="553">
        <f t="shared" ref="EC22:FS22" si="48">EC19</f>
        <v>9.6000000000000014</v>
      </c>
      <c r="ED22" s="553">
        <f t="shared" si="48"/>
        <v>6</v>
      </c>
      <c r="EE22" s="553">
        <f t="shared" si="48"/>
        <v>8</v>
      </c>
      <c r="EF22" s="553">
        <f t="shared" si="48"/>
        <v>10</v>
      </c>
      <c r="EG22" s="553">
        <f t="shared" si="48"/>
        <v>10</v>
      </c>
      <c r="EH22" s="553">
        <f t="shared" si="48"/>
        <v>10</v>
      </c>
      <c r="EI22" s="553">
        <f t="shared" si="48"/>
        <v>10</v>
      </c>
      <c r="EJ22" s="553">
        <f t="shared" si="48"/>
        <v>10.01615756239643</v>
      </c>
      <c r="EK22" s="553">
        <f t="shared" si="48"/>
        <v>8.9142902354381466</v>
      </c>
      <c r="EL22" s="553">
        <f t="shared" si="48"/>
        <v>8.2389485718910933</v>
      </c>
      <c r="EM22" s="553">
        <f t="shared" si="48"/>
        <v>9.6000000000000014</v>
      </c>
      <c r="EN22" s="553">
        <f t="shared" si="48"/>
        <v>9.6000000000000014</v>
      </c>
      <c r="EO22" s="553">
        <f t="shared" si="48"/>
        <v>9.6000000000000014</v>
      </c>
      <c r="EP22" s="553">
        <f t="shared" si="48"/>
        <v>9.6000000000000014</v>
      </c>
      <c r="EQ22" s="553">
        <f t="shared" si="48"/>
        <v>6</v>
      </c>
      <c r="ER22" s="553">
        <f t="shared" si="48"/>
        <v>8</v>
      </c>
      <c r="ES22" s="553">
        <f t="shared" si="48"/>
        <v>10</v>
      </c>
      <c r="ET22" s="553">
        <f t="shared" si="48"/>
        <v>10</v>
      </c>
      <c r="EU22" s="553">
        <f t="shared" si="48"/>
        <v>10</v>
      </c>
      <c r="EV22" s="553">
        <f t="shared" si="48"/>
        <v>10</v>
      </c>
      <c r="EW22" s="553">
        <f t="shared" si="48"/>
        <v>10.01615756239643</v>
      </c>
      <c r="EX22" s="553">
        <f t="shared" si="48"/>
        <v>8.9142902354381466</v>
      </c>
      <c r="EY22" s="553">
        <f t="shared" si="48"/>
        <v>8.2389485718910933</v>
      </c>
      <c r="EZ22" s="553">
        <f t="shared" si="48"/>
        <v>9.6000000000000014</v>
      </c>
      <c r="FA22" s="553">
        <f t="shared" si="48"/>
        <v>9.6000000000000014</v>
      </c>
      <c r="FB22" s="553">
        <f t="shared" si="48"/>
        <v>9.6000000000000014</v>
      </c>
      <c r="FC22" s="553">
        <f t="shared" si="48"/>
        <v>9.6000000000000014</v>
      </c>
      <c r="FD22" s="553">
        <f t="shared" si="48"/>
        <v>6</v>
      </c>
      <c r="FE22" s="553">
        <f t="shared" si="48"/>
        <v>8</v>
      </c>
      <c r="FF22" s="553">
        <f t="shared" si="48"/>
        <v>10</v>
      </c>
      <c r="FG22" s="553">
        <f t="shared" si="48"/>
        <v>10</v>
      </c>
      <c r="FH22" s="553">
        <f t="shared" si="48"/>
        <v>10</v>
      </c>
      <c r="FI22" s="553">
        <f t="shared" si="48"/>
        <v>10</v>
      </c>
      <c r="FJ22" s="553">
        <f t="shared" si="48"/>
        <v>10.01615756239643</v>
      </c>
      <c r="FK22" s="553">
        <f t="shared" si="48"/>
        <v>8.9142902354381466</v>
      </c>
      <c r="FL22" s="553">
        <f t="shared" si="48"/>
        <v>8.2389485718910933</v>
      </c>
      <c r="FM22" s="553">
        <f t="shared" si="48"/>
        <v>9.6000000000000014</v>
      </c>
      <c r="FN22" s="553">
        <f t="shared" si="48"/>
        <v>9.6000000000000014</v>
      </c>
      <c r="FO22" s="553">
        <f t="shared" si="48"/>
        <v>9.6000000000000014</v>
      </c>
      <c r="FP22" s="553">
        <f t="shared" si="48"/>
        <v>9.6000000000000014</v>
      </c>
      <c r="FQ22" s="553">
        <f t="shared" si="48"/>
        <v>6</v>
      </c>
      <c r="FR22" s="553">
        <f t="shared" si="48"/>
        <v>8</v>
      </c>
      <c r="FS22" s="553">
        <f t="shared" si="48"/>
        <v>10</v>
      </c>
      <c r="FT22" s="554"/>
      <c r="FU22" s="554"/>
      <c r="FV22" s="554"/>
      <c r="FW22" s="554"/>
      <c r="FX22" s="554"/>
      <c r="FZ22" s="555"/>
      <c r="GB22" s="556"/>
      <c r="GD22" s="555"/>
      <c r="GE22" s="557"/>
    </row>
    <row r="23" spans="2:187" ht="15.75" customHeight="1">
      <c r="B23" s="550" t="s">
        <v>294</v>
      </c>
      <c r="C23" s="551"/>
      <c r="D23" s="552"/>
      <c r="E23" s="560">
        <f>Detail!C8*Detail!F34</f>
        <v>273.59999999999997</v>
      </c>
      <c r="F23" s="560">
        <f t="shared" ref="F23" si="49">F22+F21-F18+E23</f>
        <v>273.59999999999997</v>
      </c>
      <c r="G23" s="560">
        <f t="shared" ref="G23" si="50">G22+G21-G18+F23</f>
        <v>273.59999999999997</v>
      </c>
      <c r="H23" s="560">
        <f t="shared" ref="H23" si="51">H22+H21-H18+G23</f>
        <v>273.59999999999997</v>
      </c>
      <c r="I23" s="560">
        <f t="shared" ref="I23" si="52">I22+I21-I18+H23</f>
        <v>273.59999999999997</v>
      </c>
      <c r="J23" s="560">
        <f t="shared" ref="J23" si="53">J22+J21-J18+I23</f>
        <v>273.59999999999997</v>
      </c>
      <c r="K23" s="560">
        <f t="shared" ref="K23" si="54">K22+K21-K18+J23</f>
        <v>273.59999999999997</v>
      </c>
      <c r="L23" s="560">
        <f t="shared" ref="L23" si="55">L22+L21-L18+K23</f>
        <v>273.59999999999997</v>
      </c>
      <c r="M23" s="560">
        <f t="shared" ref="M23" si="56">M22+M21-M18+L23</f>
        <v>273.59999999999997</v>
      </c>
      <c r="N23" s="560">
        <f t="shared" ref="N23" si="57">N22+N21-N18+M23</f>
        <v>273.59999999999997</v>
      </c>
      <c r="O23" s="560">
        <f t="shared" ref="O23" si="58">O22+O21-O18+N23</f>
        <v>273.59999999999997</v>
      </c>
      <c r="P23" s="560">
        <f t="shared" ref="P23" si="59">P22+P21-P18+O23</f>
        <v>273.59999999999997</v>
      </c>
      <c r="Q23" s="560">
        <f t="shared" ref="Q23:CB23" si="60">Q22+Q21-Q18+P23</f>
        <v>273.59999999999997</v>
      </c>
      <c r="R23" s="560">
        <f t="shared" si="60"/>
        <v>273.59999999999997</v>
      </c>
      <c r="S23" s="560">
        <f t="shared" si="60"/>
        <v>273.59999999999997</v>
      </c>
      <c r="T23" s="560">
        <f t="shared" si="60"/>
        <v>273.59999999999997</v>
      </c>
      <c r="U23" s="560">
        <f t="shared" si="60"/>
        <v>273.59999999999997</v>
      </c>
      <c r="V23" s="560">
        <f t="shared" si="60"/>
        <v>273.59999999999997</v>
      </c>
      <c r="W23" s="560">
        <f t="shared" si="60"/>
        <v>273.59999999999997</v>
      </c>
      <c r="X23" s="560">
        <f t="shared" si="60"/>
        <v>273.59999999999997</v>
      </c>
      <c r="Y23" s="560">
        <f t="shared" si="60"/>
        <v>273.59999999999997</v>
      </c>
      <c r="Z23" s="560">
        <f t="shared" si="60"/>
        <v>273.59999999999997</v>
      </c>
      <c r="AA23" s="560">
        <f t="shared" si="60"/>
        <v>273.59999999999997</v>
      </c>
      <c r="AB23" s="560">
        <f t="shared" si="60"/>
        <v>273.59999999999997</v>
      </c>
      <c r="AC23" s="560">
        <f t="shared" si="60"/>
        <v>273.59999999999997</v>
      </c>
      <c r="AD23" s="560">
        <f t="shared" si="60"/>
        <v>273.59999999999997</v>
      </c>
      <c r="AE23" s="560">
        <f t="shared" si="60"/>
        <v>273.59999999999997</v>
      </c>
      <c r="AF23" s="560">
        <f t="shared" si="60"/>
        <v>273.59999999999997</v>
      </c>
      <c r="AG23" s="560">
        <f t="shared" si="60"/>
        <v>273.59999999999997</v>
      </c>
      <c r="AH23" s="560">
        <f t="shared" si="60"/>
        <v>273.59999999999997</v>
      </c>
      <c r="AI23" s="560">
        <f t="shared" si="60"/>
        <v>273.59999999999997</v>
      </c>
      <c r="AJ23" s="560">
        <f t="shared" si="60"/>
        <v>273.59999999999997</v>
      </c>
      <c r="AK23" s="560">
        <f t="shared" si="60"/>
        <v>273.59999999999997</v>
      </c>
      <c r="AL23" s="560">
        <f t="shared" si="60"/>
        <v>273.59999999999997</v>
      </c>
      <c r="AM23" s="560">
        <f t="shared" si="60"/>
        <v>273.59999999999997</v>
      </c>
      <c r="AN23" s="560">
        <f t="shared" si="60"/>
        <v>273.59999999999997</v>
      </c>
      <c r="AO23" s="560">
        <f t="shared" si="60"/>
        <v>273.59999999999997</v>
      </c>
      <c r="AP23" s="560">
        <f t="shared" si="60"/>
        <v>273.59999999999997</v>
      </c>
      <c r="AQ23" s="560">
        <f t="shared" si="60"/>
        <v>273.59999999999997</v>
      </c>
      <c r="AR23" s="560">
        <f t="shared" si="60"/>
        <v>273.59999999999997</v>
      </c>
      <c r="AS23" s="560">
        <f t="shared" si="60"/>
        <v>273.59999999999997</v>
      </c>
      <c r="AT23" s="560">
        <f t="shared" si="60"/>
        <v>273.59999999999997</v>
      </c>
      <c r="AU23" s="560">
        <f t="shared" si="60"/>
        <v>273.59999999999997</v>
      </c>
      <c r="AV23" s="560">
        <f t="shared" si="60"/>
        <v>273.59999999999997</v>
      </c>
      <c r="AW23" s="560">
        <f t="shared" si="60"/>
        <v>273.59999999999997</v>
      </c>
      <c r="AX23" s="560">
        <f t="shared" si="60"/>
        <v>273.59999999999997</v>
      </c>
      <c r="AY23" s="560">
        <f t="shared" si="60"/>
        <v>273.59999999999997</v>
      </c>
      <c r="AZ23" s="560">
        <f t="shared" si="60"/>
        <v>273.59999999999997</v>
      </c>
      <c r="BA23" s="560">
        <f t="shared" si="60"/>
        <v>273.59999999999997</v>
      </c>
      <c r="BB23" s="560">
        <f t="shared" si="60"/>
        <v>273.59999999999997</v>
      </c>
      <c r="BC23" s="560">
        <f t="shared" si="60"/>
        <v>273.59999999999997</v>
      </c>
      <c r="BD23" s="560">
        <f t="shared" si="60"/>
        <v>273.59999999999997</v>
      </c>
      <c r="BE23" s="560">
        <f t="shared" si="60"/>
        <v>273.59999999999997</v>
      </c>
      <c r="BF23" s="560">
        <f t="shared" si="60"/>
        <v>273.59999999999997</v>
      </c>
      <c r="BG23" s="560">
        <f t="shared" si="60"/>
        <v>273.59999999999997</v>
      </c>
      <c r="BH23" s="560">
        <f t="shared" si="60"/>
        <v>273.59999999999997</v>
      </c>
      <c r="BI23" s="560">
        <f t="shared" si="60"/>
        <v>273.59999999999997</v>
      </c>
      <c r="BJ23" s="560">
        <f t="shared" si="60"/>
        <v>273.59999999999997</v>
      </c>
      <c r="BK23" s="560">
        <f t="shared" si="60"/>
        <v>273.59999999999997</v>
      </c>
      <c r="BL23" s="560">
        <f t="shared" si="60"/>
        <v>273.59999999999997</v>
      </c>
      <c r="BM23" s="560">
        <f t="shared" si="60"/>
        <v>273.59999999999997</v>
      </c>
      <c r="BN23" s="560">
        <f t="shared" si="60"/>
        <v>273.59999999999997</v>
      </c>
      <c r="BO23" s="560">
        <f t="shared" si="60"/>
        <v>273.59999999999997</v>
      </c>
      <c r="BP23" s="560">
        <f t="shared" si="60"/>
        <v>273.59999999999997</v>
      </c>
      <c r="BQ23" s="560">
        <f t="shared" si="60"/>
        <v>273.59999999999997</v>
      </c>
      <c r="BR23" s="560">
        <f t="shared" si="60"/>
        <v>273.59999999999997</v>
      </c>
      <c r="BS23" s="560">
        <f t="shared" si="60"/>
        <v>273.59999999999997</v>
      </c>
      <c r="BT23" s="560">
        <f t="shared" si="60"/>
        <v>273.59999999999997</v>
      </c>
      <c r="BU23" s="560">
        <f t="shared" si="60"/>
        <v>273.59999999999997</v>
      </c>
      <c r="BV23" s="560">
        <f t="shared" si="60"/>
        <v>273.59999999999997</v>
      </c>
      <c r="BW23" s="560">
        <f t="shared" si="60"/>
        <v>273.59999999999997</v>
      </c>
      <c r="BX23" s="560">
        <f t="shared" si="60"/>
        <v>273.59999999999997</v>
      </c>
      <c r="BY23" s="560">
        <f t="shared" si="60"/>
        <v>273.59999999999997</v>
      </c>
      <c r="BZ23" s="560">
        <f t="shared" si="60"/>
        <v>273.59999999999997</v>
      </c>
      <c r="CA23" s="560">
        <f t="shared" si="60"/>
        <v>273.59999999999997</v>
      </c>
      <c r="CB23" s="560">
        <f t="shared" si="60"/>
        <v>273.59999999999997</v>
      </c>
      <c r="CC23" s="560">
        <f t="shared" ref="CC23:EN23" si="61">CC22+CC21-CC18+CB23</f>
        <v>273.59999999999997</v>
      </c>
      <c r="CD23" s="560">
        <f t="shared" si="61"/>
        <v>273.59999999999997</v>
      </c>
      <c r="CE23" s="560">
        <f t="shared" si="61"/>
        <v>273.59999999999997</v>
      </c>
      <c r="CF23" s="560">
        <f t="shared" si="61"/>
        <v>273.59999999999997</v>
      </c>
      <c r="CG23" s="560">
        <f t="shared" si="61"/>
        <v>273.59999999999997</v>
      </c>
      <c r="CH23" s="560">
        <f t="shared" si="61"/>
        <v>273.59999999999997</v>
      </c>
      <c r="CI23" s="560">
        <f t="shared" si="61"/>
        <v>273.59999999999997</v>
      </c>
      <c r="CJ23" s="560">
        <f t="shared" si="61"/>
        <v>273.59999999999997</v>
      </c>
      <c r="CK23" s="560">
        <f t="shared" si="61"/>
        <v>273.59999999999997</v>
      </c>
      <c r="CL23" s="560">
        <f t="shared" si="61"/>
        <v>273.59999999999997</v>
      </c>
      <c r="CM23" s="560">
        <f t="shared" si="61"/>
        <v>273.59999999999997</v>
      </c>
      <c r="CN23" s="560">
        <f t="shared" si="61"/>
        <v>273.59999999999997</v>
      </c>
      <c r="CO23" s="560">
        <f t="shared" si="61"/>
        <v>273.59999999999997</v>
      </c>
      <c r="CP23" s="560">
        <f t="shared" si="61"/>
        <v>273.59999999999997</v>
      </c>
      <c r="CQ23" s="560">
        <f t="shared" si="61"/>
        <v>273.59999999999997</v>
      </c>
      <c r="CR23" s="560">
        <f t="shared" si="61"/>
        <v>273.59999999999997</v>
      </c>
      <c r="CS23" s="560">
        <f t="shared" si="61"/>
        <v>273.59999999999997</v>
      </c>
      <c r="CT23" s="560">
        <f t="shared" si="61"/>
        <v>273.59999999999997</v>
      </c>
      <c r="CU23" s="560">
        <f t="shared" si="61"/>
        <v>273.59999999999997</v>
      </c>
      <c r="CV23" s="560">
        <f t="shared" si="61"/>
        <v>273.59999999999997</v>
      </c>
      <c r="CW23" s="560">
        <f t="shared" si="61"/>
        <v>273.59999999999997</v>
      </c>
      <c r="CX23" s="560">
        <f t="shared" si="61"/>
        <v>273.59999999999997</v>
      </c>
      <c r="CY23" s="560">
        <f t="shared" si="61"/>
        <v>273.59999999999997</v>
      </c>
      <c r="CZ23" s="560">
        <f t="shared" si="61"/>
        <v>273.59999999999997</v>
      </c>
      <c r="DA23" s="560">
        <f t="shared" si="61"/>
        <v>273.59999999999997</v>
      </c>
      <c r="DB23" s="560">
        <f t="shared" si="61"/>
        <v>273.59999999999997</v>
      </c>
      <c r="DC23" s="560">
        <f t="shared" si="61"/>
        <v>273.59999999999997</v>
      </c>
      <c r="DD23" s="560">
        <f t="shared" si="61"/>
        <v>273.59999999999997</v>
      </c>
      <c r="DE23" s="560">
        <f t="shared" si="61"/>
        <v>273.59999999999997</v>
      </c>
      <c r="DF23" s="560">
        <f t="shared" si="61"/>
        <v>273.59999999999997</v>
      </c>
      <c r="DG23" s="560">
        <f t="shared" si="61"/>
        <v>273.59999999999997</v>
      </c>
      <c r="DH23" s="560">
        <f t="shared" si="61"/>
        <v>273.59999999999997</v>
      </c>
      <c r="DI23" s="560">
        <f t="shared" si="61"/>
        <v>273.59999999999997</v>
      </c>
      <c r="DJ23" s="560">
        <f t="shared" si="61"/>
        <v>273.59999999999997</v>
      </c>
      <c r="DK23" s="560">
        <f t="shared" si="61"/>
        <v>273.59999999999997</v>
      </c>
      <c r="DL23" s="560">
        <f t="shared" si="61"/>
        <v>273.59999999999997</v>
      </c>
      <c r="DM23" s="560">
        <f t="shared" si="61"/>
        <v>273.59999999999997</v>
      </c>
      <c r="DN23" s="560">
        <f t="shared" si="61"/>
        <v>273.59999999999997</v>
      </c>
      <c r="DO23" s="560">
        <f t="shared" si="61"/>
        <v>273.59999999999997</v>
      </c>
      <c r="DP23" s="560">
        <f t="shared" si="61"/>
        <v>273.59999999999997</v>
      </c>
      <c r="DQ23" s="560">
        <f t="shared" si="61"/>
        <v>273.59999999999997</v>
      </c>
      <c r="DR23" s="560">
        <f t="shared" si="61"/>
        <v>273.59999999999997</v>
      </c>
      <c r="DS23" s="560">
        <f t="shared" si="61"/>
        <v>273.59999999999997</v>
      </c>
      <c r="DT23" s="560">
        <f t="shared" si="61"/>
        <v>273.59999999999997</v>
      </c>
      <c r="DU23" s="560">
        <f t="shared" si="61"/>
        <v>273.59999999999997</v>
      </c>
      <c r="DV23" s="560">
        <f t="shared" si="61"/>
        <v>273.59999999999997</v>
      </c>
      <c r="DW23" s="560">
        <f t="shared" si="61"/>
        <v>273.59999999999997</v>
      </c>
      <c r="DX23" s="560">
        <f t="shared" si="61"/>
        <v>273.59999999999997</v>
      </c>
      <c r="DY23" s="560">
        <f t="shared" si="61"/>
        <v>273.59999999999997</v>
      </c>
      <c r="DZ23" s="560">
        <f t="shared" si="61"/>
        <v>273.59999999999997</v>
      </c>
      <c r="EA23" s="560">
        <f t="shared" si="61"/>
        <v>273.59999999999997</v>
      </c>
      <c r="EB23" s="560">
        <f t="shared" si="61"/>
        <v>273.59999999999997</v>
      </c>
      <c r="EC23" s="560">
        <f t="shared" si="61"/>
        <v>273.59999999999997</v>
      </c>
      <c r="ED23" s="560">
        <f t="shared" si="61"/>
        <v>273.59999999999997</v>
      </c>
      <c r="EE23" s="560">
        <f t="shared" si="61"/>
        <v>273.59999999999997</v>
      </c>
      <c r="EF23" s="560">
        <f t="shared" si="61"/>
        <v>273.59999999999997</v>
      </c>
      <c r="EG23" s="560">
        <f t="shared" si="61"/>
        <v>273.59999999999997</v>
      </c>
      <c r="EH23" s="560">
        <f t="shared" si="61"/>
        <v>273.59999999999997</v>
      </c>
      <c r="EI23" s="560">
        <f t="shared" si="61"/>
        <v>273.59999999999997</v>
      </c>
      <c r="EJ23" s="560">
        <f t="shared" si="61"/>
        <v>273.59999999999997</v>
      </c>
      <c r="EK23" s="560">
        <f t="shared" si="61"/>
        <v>273.59999999999997</v>
      </c>
      <c r="EL23" s="560">
        <f t="shared" si="61"/>
        <v>273.59999999999997</v>
      </c>
      <c r="EM23" s="560">
        <f t="shared" si="61"/>
        <v>273.59999999999997</v>
      </c>
      <c r="EN23" s="560">
        <f t="shared" si="61"/>
        <v>273.59999999999997</v>
      </c>
      <c r="EO23" s="560">
        <f t="shared" ref="EO23:FS23" si="62">EO22+EO21-EO18+EN23</f>
        <v>273.59999999999997</v>
      </c>
      <c r="EP23" s="560">
        <f t="shared" si="62"/>
        <v>273.59999999999997</v>
      </c>
      <c r="EQ23" s="560">
        <f t="shared" si="62"/>
        <v>273.59999999999997</v>
      </c>
      <c r="ER23" s="560">
        <f t="shared" si="62"/>
        <v>273.59999999999997</v>
      </c>
      <c r="ES23" s="560">
        <f t="shared" si="62"/>
        <v>273.59999999999997</v>
      </c>
      <c r="ET23" s="560">
        <f t="shared" si="62"/>
        <v>273.59999999999997</v>
      </c>
      <c r="EU23" s="560">
        <f t="shared" si="62"/>
        <v>273.59999999999997</v>
      </c>
      <c r="EV23" s="560">
        <f t="shared" si="62"/>
        <v>273.59999999999997</v>
      </c>
      <c r="EW23" s="560">
        <f t="shared" si="62"/>
        <v>273.59999999999997</v>
      </c>
      <c r="EX23" s="560">
        <f t="shared" si="62"/>
        <v>273.59999999999997</v>
      </c>
      <c r="EY23" s="560">
        <f t="shared" si="62"/>
        <v>273.59999999999997</v>
      </c>
      <c r="EZ23" s="560">
        <f t="shared" si="62"/>
        <v>273.59999999999997</v>
      </c>
      <c r="FA23" s="560">
        <f t="shared" si="62"/>
        <v>273.59999999999997</v>
      </c>
      <c r="FB23" s="560">
        <f t="shared" si="62"/>
        <v>273.59999999999997</v>
      </c>
      <c r="FC23" s="560">
        <f t="shared" si="62"/>
        <v>273.59999999999997</v>
      </c>
      <c r="FD23" s="560">
        <f t="shared" si="62"/>
        <v>273.59999999999997</v>
      </c>
      <c r="FE23" s="560">
        <f t="shared" si="62"/>
        <v>273.59999999999997</v>
      </c>
      <c r="FF23" s="560">
        <f t="shared" si="62"/>
        <v>273.59999999999997</v>
      </c>
      <c r="FG23" s="560">
        <f t="shared" si="62"/>
        <v>273.59999999999997</v>
      </c>
      <c r="FH23" s="560">
        <f t="shared" si="62"/>
        <v>273.59999999999997</v>
      </c>
      <c r="FI23" s="560">
        <f t="shared" si="62"/>
        <v>273.59999999999997</v>
      </c>
      <c r="FJ23" s="560">
        <f t="shared" si="62"/>
        <v>273.59999999999997</v>
      </c>
      <c r="FK23" s="560">
        <f t="shared" si="62"/>
        <v>273.59999999999997</v>
      </c>
      <c r="FL23" s="560">
        <f t="shared" si="62"/>
        <v>273.59999999999997</v>
      </c>
      <c r="FM23" s="560">
        <f t="shared" si="62"/>
        <v>273.59999999999997</v>
      </c>
      <c r="FN23" s="560">
        <f t="shared" si="62"/>
        <v>273.59999999999997</v>
      </c>
      <c r="FO23" s="560">
        <f t="shared" si="62"/>
        <v>273.59999999999997</v>
      </c>
      <c r="FP23" s="560">
        <f t="shared" si="62"/>
        <v>273.59999999999997</v>
      </c>
      <c r="FQ23" s="560">
        <f t="shared" si="62"/>
        <v>273.59999999999997</v>
      </c>
      <c r="FR23" s="560">
        <f t="shared" si="62"/>
        <v>273.59999999999997</v>
      </c>
      <c r="FS23" s="560">
        <f t="shared" si="62"/>
        <v>273.59999999999997</v>
      </c>
      <c r="FT23" s="554"/>
      <c r="FU23" s="554"/>
      <c r="FV23" s="554"/>
      <c r="FW23" s="554"/>
      <c r="FX23" s="554"/>
      <c r="FZ23" s="555"/>
      <c r="GB23" s="556"/>
      <c r="GD23" s="555"/>
      <c r="GE23" s="557"/>
    </row>
    <row r="24" spans="2:187" ht="15.75" customHeight="1">
      <c r="B24" s="550"/>
      <c r="C24" s="551"/>
      <c r="D24" s="552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59"/>
      <c r="P24" s="559"/>
      <c r="Q24" s="553"/>
      <c r="R24" s="553"/>
      <c r="S24" s="553"/>
      <c r="T24" s="553"/>
      <c r="U24" s="553"/>
      <c r="V24" s="553"/>
      <c r="W24" s="553"/>
      <c r="X24" s="553"/>
      <c r="Y24" s="553"/>
      <c r="Z24" s="553"/>
      <c r="AA24" s="553"/>
      <c r="AB24" s="553"/>
      <c r="AC24" s="553"/>
      <c r="AD24" s="553"/>
      <c r="AE24" s="553"/>
      <c r="AF24" s="553"/>
      <c r="AG24" s="553"/>
      <c r="AH24" s="553"/>
      <c r="AI24" s="559"/>
      <c r="AJ24" s="559"/>
      <c r="AK24" s="559"/>
      <c r="AL24" s="559"/>
      <c r="AM24" s="559"/>
      <c r="AN24" s="559"/>
      <c r="AO24" s="559"/>
      <c r="AP24" s="559"/>
      <c r="AQ24" s="559"/>
      <c r="AR24" s="559"/>
      <c r="AS24" s="559"/>
      <c r="AT24" s="559"/>
      <c r="AU24" s="559"/>
      <c r="AV24" s="559"/>
      <c r="AW24" s="559"/>
      <c r="AX24" s="559"/>
      <c r="AY24" s="559"/>
      <c r="AZ24" s="559"/>
      <c r="BA24" s="559"/>
      <c r="BB24" s="559"/>
      <c r="BC24" s="559"/>
      <c r="BD24" s="559"/>
      <c r="BE24" s="559"/>
      <c r="BF24" s="559"/>
      <c r="BG24" s="559"/>
      <c r="BH24" s="559"/>
      <c r="BI24" s="559"/>
      <c r="BJ24" s="559"/>
      <c r="BK24" s="559"/>
      <c r="BL24" s="559"/>
      <c r="BM24" s="559"/>
      <c r="BN24" s="559"/>
      <c r="BO24" s="559"/>
      <c r="BP24" s="559"/>
      <c r="BQ24" s="559"/>
      <c r="BR24" s="559"/>
      <c r="BS24" s="559"/>
      <c r="BT24" s="559"/>
      <c r="BU24" s="559"/>
      <c r="BV24" s="559"/>
      <c r="BW24" s="559"/>
      <c r="BX24" s="559"/>
      <c r="BY24" s="559"/>
      <c r="BZ24" s="559"/>
      <c r="CA24" s="559"/>
      <c r="CB24" s="559"/>
      <c r="CC24" s="559"/>
      <c r="CD24" s="559"/>
      <c r="CE24" s="559"/>
      <c r="CF24" s="559"/>
      <c r="CG24" s="559"/>
      <c r="CH24" s="559"/>
      <c r="CI24" s="559"/>
      <c r="CJ24" s="559"/>
      <c r="CK24" s="559"/>
      <c r="CL24" s="559"/>
      <c r="CM24" s="559"/>
      <c r="CN24" s="559"/>
      <c r="CO24" s="559"/>
      <c r="CP24" s="559"/>
      <c r="CQ24" s="559"/>
      <c r="CR24" s="559"/>
      <c r="CS24" s="559"/>
      <c r="CT24" s="559"/>
      <c r="CU24" s="559"/>
      <c r="CV24" s="559"/>
      <c r="CW24" s="559"/>
      <c r="CX24" s="559"/>
      <c r="CY24" s="559"/>
      <c r="CZ24" s="559"/>
      <c r="DA24" s="559"/>
      <c r="DB24" s="559"/>
      <c r="DC24" s="559"/>
      <c r="DD24" s="559"/>
      <c r="DE24" s="559"/>
      <c r="DF24" s="559"/>
      <c r="DG24" s="559"/>
      <c r="DH24" s="559"/>
      <c r="DI24" s="559"/>
      <c r="DJ24" s="559"/>
      <c r="DK24" s="559"/>
      <c r="DL24" s="559"/>
      <c r="DM24" s="559"/>
      <c r="DN24" s="559"/>
      <c r="DO24" s="559"/>
      <c r="DP24" s="559"/>
      <c r="DQ24" s="559"/>
      <c r="DR24" s="559"/>
      <c r="DS24" s="559"/>
      <c r="DT24" s="559"/>
      <c r="DU24" s="559"/>
      <c r="DV24" s="559"/>
      <c r="DW24" s="559"/>
      <c r="DX24" s="559"/>
      <c r="DY24" s="559"/>
      <c r="DZ24" s="559"/>
      <c r="EA24" s="559"/>
      <c r="EB24" s="559"/>
      <c r="EC24" s="559"/>
      <c r="ED24" s="559"/>
      <c r="EE24" s="559"/>
      <c r="EF24" s="559"/>
      <c r="EG24" s="559"/>
      <c r="EH24" s="559"/>
      <c r="EI24" s="559"/>
      <c r="EJ24" s="559"/>
      <c r="EK24" s="559"/>
      <c r="EL24" s="559"/>
      <c r="EM24" s="559"/>
      <c r="EN24" s="559"/>
      <c r="EO24" s="559"/>
      <c r="EP24" s="559"/>
      <c r="EQ24" s="559"/>
      <c r="ER24" s="559"/>
      <c r="ES24" s="559"/>
      <c r="ET24" s="559"/>
      <c r="EU24" s="559"/>
      <c r="EV24" s="559"/>
      <c r="EW24" s="559"/>
      <c r="EX24" s="559"/>
      <c r="EY24" s="559"/>
      <c r="EZ24" s="559"/>
      <c r="FA24" s="559"/>
      <c r="FB24" s="559"/>
      <c r="FC24" s="559"/>
      <c r="FD24" s="559"/>
      <c r="FE24" s="559"/>
      <c r="FF24" s="559"/>
      <c r="FG24" s="559"/>
      <c r="FH24" s="559"/>
      <c r="FI24" s="559"/>
      <c r="FJ24" s="559"/>
      <c r="FK24" s="559"/>
      <c r="FL24" s="559"/>
      <c r="FM24" s="559"/>
      <c r="FN24" s="559"/>
      <c r="FO24" s="559"/>
      <c r="FP24" s="559"/>
      <c r="FQ24" s="559"/>
      <c r="FR24" s="559"/>
      <c r="FS24" s="559"/>
      <c r="FT24" s="554"/>
      <c r="FU24" s="554"/>
      <c r="FV24" s="554"/>
      <c r="FW24" s="554"/>
      <c r="FX24" s="554"/>
      <c r="FZ24" s="555"/>
      <c r="GB24" s="556"/>
      <c r="GD24" s="555"/>
      <c r="GE24" s="557"/>
    </row>
    <row r="25" spans="2:187" ht="15.75" customHeight="1">
      <c r="B25" s="550"/>
      <c r="C25" s="551"/>
      <c r="D25" s="552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59"/>
      <c r="P25" s="559"/>
      <c r="Q25" s="553"/>
      <c r="R25" s="553"/>
      <c r="S25" s="553"/>
      <c r="T25" s="553"/>
      <c r="U25" s="553"/>
      <c r="V25" s="553"/>
      <c r="W25" s="553"/>
      <c r="X25" s="553"/>
      <c r="Y25" s="553"/>
      <c r="Z25" s="553"/>
      <c r="AA25" s="553"/>
      <c r="AB25" s="553"/>
      <c r="AC25" s="553"/>
      <c r="AD25" s="553"/>
      <c r="AE25" s="553"/>
      <c r="AF25" s="553"/>
      <c r="AG25" s="553"/>
      <c r="AH25" s="553"/>
      <c r="AI25" s="559"/>
      <c r="AJ25" s="559"/>
      <c r="AK25" s="559"/>
      <c r="AL25" s="559"/>
      <c r="AM25" s="559"/>
      <c r="AN25" s="559"/>
      <c r="AO25" s="559"/>
      <c r="AP25" s="559"/>
      <c r="AQ25" s="559"/>
      <c r="AR25" s="559"/>
      <c r="AS25" s="559"/>
      <c r="AT25" s="559"/>
      <c r="AU25" s="559"/>
      <c r="AV25" s="559"/>
      <c r="AW25" s="559"/>
      <c r="AX25" s="559"/>
      <c r="AY25" s="559"/>
      <c r="AZ25" s="559"/>
      <c r="BA25" s="559"/>
      <c r="BB25" s="559"/>
      <c r="BC25" s="559"/>
      <c r="BD25" s="559"/>
      <c r="BE25" s="559"/>
      <c r="BF25" s="559"/>
      <c r="BG25" s="559"/>
      <c r="BH25" s="559"/>
      <c r="BI25" s="559"/>
      <c r="BJ25" s="559"/>
      <c r="BK25" s="559"/>
      <c r="BL25" s="559"/>
      <c r="BM25" s="559"/>
      <c r="BN25" s="559"/>
      <c r="BO25" s="559"/>
      <c r="BP25" s="559"/>
      <c r="BQ25" s="559"/>
      <c r="BR25" s="559"/>
      <c r="BS25" s="559"/>
      <c r="BT25" s="559"/>
      <c r="BU25" s="559"/>
      <c r="BV25" s="559"/>
      <c r="BW25" s="559"/>
      <c r="BX25" s="559"/>
      <c r="BY25" s="559"/>
      <c r="BZ25" s="559"/>
      <c r="CA25" s="559"/>
      <c r="CB25" s="559"/>
      <c r="CC25" s="559"/>
      <c r="CD25" s="559"/>
      <c r="CE25" s="559"/>
      <c r="CF25" s="559"/>
      <c r="CG25" s="559"/>
      <c r="CH25" s="559"/>
      <c r="CI25" s="559"/>
      <c r="CJ25" s="559"/>
      <c r="CK25" s="559"/>
      <c r="CL25" s="559"/>
      <c r="CM25" s="559"/>
      <c r="CN25" s="559"/>
      <c r="CO25" s="559"/>
      <c r="CP25" s="559"/>
      <c r="CQ25" s="559"/>
      <c r="CR25" s="559"/>
      <c r="CS25" s="559"/>
      <c r="CT25" s="559"/>
      <c r="CU25" s="559"/>
      <c r="CV25" s="559"/>
      <c r="CW25" s="559"/>
      <c r="CX25" s="559"/>
      <c r="CY25" s="559"/>
      <c r="CZ25" s="559"/>
      <c r="DA25" s="559"/>
      <c r="DB25" s="559"/>
      <c r="DC25" s="559"/>
      <c r="DD25" s="559"/>
      <c r="DE25" s="559"/>
      <c r="DF25" s="559"/>
      <c r="DG25" s="559"/>
      <c r="DH25" s="559"/>
      <c r="DI25" s="559"/>
      <c r="DJ25" s="559"/>
      <c r="DK25" s="559"/>
      <c r="DL25" s="559"/>
      <c r="DM25" s="559"/>
      <c r="DN25" s="559"/>
      <c r="DO25" s="559"/>
      <c r="DP25" s="559"/>
      <c r="DQ25" s="559"/>
      <c r="DR25" s="559"/>
      <c r="DS25" s="559"/>
      <c r="DT25" s="559"/>
      <c r="DU25" s="559"/>
      <c r="DV25" s="559"/>
      <c r="DW25" s="559"/>
      <c r="DX25" s="559"/>
      <c r="DY25" s="559"/>
      <c r="DZ25" s="559"/>
      <c r="EA25" s="559"/>
      <c r="EB25" s="559"/>
      <c r="EC25" s="559"/>
      <c r="ED25" s="559"/>
      <c r="EE25" s="559"/>
      <c r="EF25" s="559"/>
      <c r="EG25" s="559"/>
      <c r="EH25" s="559"/>
      <c r="EI25" s="559"/>
      <c r="EJ25" s="559"/>
      <c r="EK25" s="559"/>
      <c r="EL25" s="559"/>
      <c r="EM25" s="559"/>
      <c r="EN25" s="559"/>
      <c r="EO25" s="559"/>
      <c r="EP25" s="559"/>
      <c r="EQ25" s="559"/>
      <c r="ER25" s="559"/>
      <c r="ES25" s="559"/>
      <c r="ET25" s="559"/>
      <c r="EU25" s="559"/>
      <c r="EV25" s="559"/>
      <c r="EW25" s="559"/>
      <c r="EX25" s="559"/>
      <c r="EY25" s="559"/>
      <c r="EZ25" s="559"/>
      <c r="FA25" s="559"/>
      <c r="FB25" s="559"/>
      <c r="FC25" s="559"/>
      <c r="FD25" s="559"/>
      <c r="FE25" s="559"/>
      <c r="FF25" s="559"/>
      <c r="FG25" s="559"/>
      <c r="FH25" s="559"/>
      <c r="FI25" s="559"/>
      <c r="FJ25" s="559"/>
      <c r="FK25" s="559"/>
      <c r="FL25" s="559"/>
      <c r="FM25" s="559"/>
      <c r="FN25" s="559"/>
      <c r="FO25" s="559"/>
      <c r="FP25" s="559"/>
      <c r="FQ25" s="559"/>
      <c r="FR25" s="559"/>
      <c r="FS25" s="559"/>
      <c r="FT25" s="554"/>
      <c r="FU25" s="554"/>
      <c r="FV25" s="554"/>
      <c r="FW25" s="554"/>
      <c r="FX25" s="554"/>
      <c r="FZ25" s="555"/>
      <c r="GB25" s="556"/>
      <c r="GD25" s="555"/>
      <c r="GE25" s="557"/>
    </row>
    <row r="26" spans="2:187" ht="15.75" customHeight="1">
      <c r="B26" s="550"/>
      <c r="C26" s="551"/>
      <c r="D26" s="552"/>
      <c r="E26" s="561"/>
      <c r="F26" s="561"/>
      <c r="G26" s="561"/>
      <c r="H26" s="561"/>
      <c r="I26" s="561"/>
      <c r="J26" s="561"/>
      <c r="K26" s="561"/>
      <c r="L26" s="561"/>
      <c r="M26" s="561"/>
      <c r="N26" s="561"/>
      <c r="O26" s="561"/>
      <c r="P26" s="561"/>
      <c r="Q26" s="561"/>
      <c r="R26" s="561"/>
      <c r="S26" s="561"/>
      <c r="T26" s="561"/>
      <c r="U26" s="561"/>
      <c r="V26" s="561"/>
      <c r="W26" s="561"/>
      <c r="X26" s="561"/>
      <c r="Y26" s="561"/>
      <c r="Z26" s="561"/>
      <c r="AA26" s="561"/>
      <c r="AB26" s="561"/>
      <c r="AC26" s="561"/>
      <c r="AD26" s="561"/>
      <c r="AE26" s="561"/>
      <c r="AF26" s="561"/>
      <c r="AG26" s="561"/>
      <c r="AH26" s="561"/>
      <c r="AI26" s="561"/>
      <c r="AJ26" s="561"/>
      <c r="AK26" s="561"/>
      <c r="AL26" s="561"/>
      <c r="AM26" s="561"/>
      <c r="AN26" s="561"/>
      <c r="AO26" s="561"/>
      <c r="AP26" s="561"/>
      <c r="AQ26" s="561"/>
      <c r="AR26" s="561"/>
      <c r="AS26" s="561"/>
      <c r="AT26" s="561"/>
      <c r="AU26" s="561"/>
      <c r="AV26" s="561"/>
      <c r="AW26" s="561"/>
      <c r="AX26" s="561"/>
      <c r="AY26" s="561"/>
      <c r="AZ26" s="561"/>
      <c r="BA26" s="561"/>
      <c r="BB26" s="561"/>
      <c r="BC26" s="561"/>
      <c r="BD26" s="561"/>
      <c r="BE26" s="561"/>
      <c r="BF26" s="561"/>
      <c r="BG26" s="561"/>
      <c r="BH26" s="561"/>
      <c r="BI26" s="561"/>
      <c r="BJ26" s="561"/>
      <c r="BK26" s="561"/>
      <c r="BL26" s="561"/>
      <c r="BM26" s="561"/>
      <c r="BN26" s="561"/>
      <c r="BO26" s="561"/>
      <c r="BP26" s="561"/>
      <c r="BQ26" s="561"/>
      <c r="BR26" s="561"/>
      <c r="BS26" s="561"/>
      <c r="BT26" s="561"/>
      <c r="BU26" s="561"/>
      <c r="BV26" s="561"/>
      <c r="BW26" s="561"/>
      <c r="BX26" s="561"/>
      <c r="BY26" s="561"/>
      <c r="BZ26" s="561"/>
      <c r="CA26" s="561"/>
      <c r="CB26" s="561"/>
      <c r="CC26" s="561"/>
      <c r="CD26" s="561"/>
      <c r="CE26" s="561"/>
      <c r="CF26" s="561"/>
      <c r="CG26" s="561"/>
      <c r="CH26" s="561"/>
      <c r="CI26" s="561"/>
      <c r="CJ26" s="561"/>
      <c r="CK26" s="561"/>
      <c r="CL26" s="561"/>
      <c r="CM26" s="561"/>
      <c r="CN26" s="561"/>
      <c r="CO26" s="561"/>
      <c r="CP26" s="561"/>
      <c r="CQ26" s="561"/>
      <c r="CR26" s="561"/>
      <c r="CS26" s="561"/>
      <c r="CT26" s="561"/>
      <c r="CU26" s="561"/>
      <c r="CV26" s="561"/>
      <c r="CW26" s="561"/>
      <c r="CX26" s="561"/>
      <c r="CY26" s="561"/>
      <c r="CZ26" s="561"/>
      <c r="DA26" s="561"/>
      <c r="DB26" s="561"/>
      <c r="DC26" s="561"/>
      <c r="DD26" s="561"/>
      <c r="DE26" s="561"/>
      <c r="DF26" s="561"/>
      <c r="DG26" s="561"/>
      <c r="DH26" s="561"/>
      <c r="DI26" s="561"/>
      <c r="DJ26" s="561"/>
      <c r="DK26" s="561"/>
      <c r="DL26" s="561"/>
      <c r="DM26" s="561"/>
      <c r="DN26" s="561"/>
      <c r="DO26" s="561"/>
      <c r="DP26" s="561"/>
      <c r="DQ26" s="561"/>
      <c r="DR26" s="561"/>
      <c r="DS26" s="561"/>
      <c r="DT26" s="561"/>
      <c r="DU26" s="561"/>
      <c r="DV26" s="561"/>
      <c r="DW26" s="561"/>
      <c r="DX26" s="561"/>
      <c r="DY26" s="561"/>
      <c r="DZ26" s="561"/>
      <c r="EA26" s="561"/>
      <c r="EB26" s="561"/>
      <c r="EC26" s="561"/>
      <c r="ED26" s="561"/>
      <c r="EE26" s="561"/>
      <c r="EF26" s="561"/>
      <c r="EG26" s="561"/>
      <c r="EH26" s="561"/>
      <c r="EI26" s="561"/>
      <c r="EJ26" s="561"/>
      <c r="EK26" s="561"/>
      <c r="EL26" s="561"/>
      <c r="EM26" s="561"/>
      <c r="EN26" s="561"/>
      <c r="EO26" s="561"/>
      <c r="EP26" s="561"/>
      <c r="EQ26" s="561"/>
      <c r="ER26" s="561"/>
      <c r="ES26" s="561"/>
      <c r="ET26" s="561"/>
      <c r="EU26" s="561"/>
      <c r="EV26" s="561"/>
      <c r="EW26" s="561"/>
      <c r="EX26" s="561"/>
      <c r="EY26" s="561"/>
      <c r="EZ26" s="561"/>
      <c r="FA26" s="561"/>
      <c r="FB26" s="561"/>
      <c r="FC26" s="561"/>
      <c r="FD26" s="561"/>
      <c r="FE26" s="561"/>
      <c r="FF26" s="561"/>
      <c r="FG26" s="561"/>
      <c r="FH26" s="561"/>
      <c r="FI26" s="561"/>
      <c r="FJ26" s="561"/>
      <c r="FK26" s="561"/>
      <c r="FL26" s="561"/>
      <c r="FM26" s="561"/>
      <c r="FN26" s="561"/>
      <c r="FO26" s="561"/>
      <c r="FP26" s="561"/>
      <c r="FQ26" s="561"/>
      <c r="FR26" s="561"/>
      <c r="FS26" s="561"/>
      <c r="FT26" s="554"/>
      <c r="FU26" s="554"/>
      <c r="FV26" s="554"/>
      <c r="FW26" s="554"/>
      <c r="FX26" s="554"/>
      <c r="FZ26" s="555"/>
      <c r="GB26" s="556"/>
      <c r="GD26" s="555"/>
      <c r="GE26" s="562"/>
    </row>
    <row r="27" spans="2:187" ht="15.75" customHeight="1">
      <c r="B27" s="550" t="s">
        <v>295</v>
      </c>
      <c r="C27" s="551"/>
      <c r="D27" s="552"/>
      <c r="E27" s="561">
        <f>Detail!$H$67*E125</f>
        <v>1910.2960416666667</v>
      </c>
      <c r="F27" s="561">
        <f>Detail!$H$67*F125</f>
        <v>1910.2960416666667</v>
      </c>
      <c r="G27" s="561">
        <f>Detail!$H$67*G125</f>
        <v>1910.2960416666667</v>
      </c>
      <c r="H27" s="561">
        <f>Detail!$H$67*H125</f>
        <v>1910.2960416666667</v>
      </c>
      <c r="I27" s="561">
        <f>Detail!$H$67*I125</f>
        <v>1910.2960416666667</v>
      </c>
      <c r="J27" s="561">
        <f>Detail!$H$67*J125</f>
        <v>1910.2960416666667</v>
      </c>
      <c r="K27" s="561">
        <f>Detail!$H$67*K125</f>
        <v>1910.2960416666667</v>
      </c>
      <c r="L27" s="561">
        <f>Detail!$H$67*L125</f>
        <v>1915.0717817708332</v>
      </c>
      <c r="M27" s="561">
        <f>Detail!$H$67*M125</f>
        <v>1919.8594612252602</v>
      </c>
      <c r="N27" s="561">
        <f>Detail!$H$67*N125</f>
        <v>1924.6591098783231</v>
      </c>
      <c r="O27" s="561">
        <f>Detail!$H$67*O125</f>
        <v>1929.4707576530191</v>
      </c>
      <c r="P27" s="561">
        <f>Detail!$H$67*P125</f>
        <v>1934.2944345471517</v>
      </c>
      <c r="Q27" s="561">
        <f>Detail!$H$67*Q125</f>
        <v>1939.1301706335191</v>
      </c>
      <c r="R27" s="561">
        <f>Detail!$H$67*R125</f>
        <v>1943.9779960601029</v>
      </c>
      <c r="S27" s="561">
        <f>Detail!$H$67*S125</f>
        <v>1948.8379410502532</v>
      </c>
      <c r="T27" s="561">
        <f>Detail!$H$67*T125</f>
        <v>1953.7100359028789</v>
      </c>
      <c r="U27" s="561">
        <f>Detail!$H$67*U125</f>
        <v>1958.5943109926357</v>
      </c>
      <c r="V27" s="561">
        <f>Detail!$H$67*V125</f>
        <v>1963.490796770117</v>
      </c>
      <c r="W27" s="561">
        <f>Detail!$H$67*W125</f>
        <v>1968.3995237620425</v>
      </c>
      <c r="X27" s="561">
        <f>Detail!$H$67*X125</f>
        <v>1973.3205225714478</v>
      </c>
      <c r="Y27" s="561">
        <f>Detail!$H$67*Y125</f>
        <v>1978.2538238778759</v>
      </c>
      <c r="Z27" s="561">
        <f>Detail!$H$67*Z125</f>
        <v>1983.1994584375705</v>
      </c>
      <c r="AA27" s="561">
        <f>Detail!$H$67*AA125</f>
        <v>1988.1574570836647</v>
      </c>
      <c r="AB27" s="561">
        <f>Detail!$H$67*AB125</f>
        <v>1993.1278507263735</v>
      </c>
      <c r="AC27" s="561">
        <f>Detail!$H$67*AC125</f>
        <v>1998.1106703531896</v>
      </c>
      <c r="AD27" s="561">
        <f>Detail!$H$67*AD125</f>
        <v>2003.1059470290722</v>
      </c>
      <c r="AE27" s="561">
        <f>Detail!$H$67*AE125</f>
        <v>2008.1137118966451</v>
      </c>
      <c r="AF27" s="561">
        <f>Detail!$H$67*AF125</f>
        <v>2013.1339961763865</v>
      </c>
      <c r="AG27" s="561">
        <f>Detail!$H$67*AG125</f>
        <v>2018.166831166827</v>
      </c>
      <c r="AH27" s="561">
        <f>Detail!$H$67*AH125</f>
        <v>2023.2122482447442</v>
      </c>
      <c r="AI27" s="561">
        <f>Detail!$H$67*AI125</f>
        <v>2028.2702788653557</v>
      </c>
      <c r="AJ27" s="561">
        <f>Detail!$H$67*AJ125</f>
        <v>2033.3409545625195</v>
      </c>
      <c r="AK27" s="561">
        <f>Detail!$H$67*AK125</f>
        <v>2038.4243069489257</v>
      </c>
      <c r="AL27" s="561">
        <f>Detail!$H$67*AL125</f>
        <v>2043.5203677162976</v>
      </c>
      <c r="AM27" s="561">
        <f>Detail!$H$67*AM125</f>
        <v>2048.6291686355885</v>
      </c>
      <c r="AN27" s="561">
        <f>Detail!$H$67*AN125</f>
        <v>2053.7507415571777</v>
      </c>
      <c r="AO27" s="561">
        <f>Detail!$H$67*AO125</f>
        <v>2058.8851184110699</v>
      </c>
      <c r="AP27" s="561">
        <f>Detail!$H$67*AP125</f>
        <v>2064.0323312070973</v>
      </c>
      <c r="AQ27" s="561">
        <f>Detail!$H$67*AQ125</f>
        <v>2069.1924120351155</v>
      </c>
      <c r="AR27" s="561">
        <f>Detail!$H$67*AR125</f>
        <v>2074.3653930652035</v>
      </c>
      <c r="AS27" s="561">
        <f>Detail!$H$67*AS125</f>
        <v>2079.5513065478658</v>
      </c>
      <c r="AT27" s="561">
        <f>Detail!$H$67*AT125</f>
        <v>2084.7501848142356</v>
      </c>
      <c r="AU27" s="561">
        <f>Detail!$H$67*AU125</f>
        <v>2089.9620602762711</v>
      </c>
      <c r="AV27" s="561">
        <f>Detail!$H$67*AV125</f>
        <v>2095.1869654269622</v>
      </c>
      <c r="AW27" s="561">
        <f>Detail!$H$67*AW125</f>
        <v>2100.424932840529</v>
      </c>
      <c r="AX27" s="561">
        <f>Detail!$H$67*AX125</f>
        <v>2105.6759951726303</v>
      </c>
      <c r="AY27" s="561">
        <f>Detail!$H$67*AY125</f>
        <v>2110.9401851605617</v>
      </c>
      <c r="AZ27" s="561">
        <f>Detail!$H$67*AZ125</f>
        <v>2116.2175356234629</v>
      </c>
      <c r="BA27" s="561">
        <f>Detail!$H$67*BA125</f>
        <v>2121.5080794625214</v>
      </c>
      <c r="BB27" s="561">
        <f>Detail!$H$67*BB125</f>
        <v>2126.8118496611773</v>
      </c>
      <c r="BC27" s="561">
        <f>Detail!$H$67*BC125</f>
        <v>2132.1288792853306</v>
      </c>
      <c r="BD27" s="561">
        <f>Detail!$H$67*BD125</f>
        <v>2137.4592014835439</v>
      </c>
      <c r="BE27" s="561">
        <f>Detail!$H$67*BE125</f>
        <v>2142.8028494872524</v>
      </c>
      <c r="BF27" s="561">
        <f>Detail!$H$67*BF125</f>
        <v>2148.1598566109701</v>
      </c>
      <c r="BG27" s="561">
        <f>Detail!$H$67*BG125</f>
        <v>2153.5302562524985</v>
      </c>
      <c r="BH27" s="561">
        <f>Detail!$H$67*BH125</f>
        <v>2158.9140818931292</v>
      </c>
      <c r="BI27" s="561">
        <f>Detail!$H$67*BI125</f>
        <v>2164.3113670978623</v>
      </c>
      <c r="BJ27" s="561">
        <f>Detail!$H$67*BJ125</f>
        <v>2169.7221455156064</v>
      </c>
      <c r="BK27" s="561">
        <f>Detail!$H$67*BK125</f>
        <v>2175.1464508793956</v>
      </c>
      <c r="BL27" s="561">
        <f>Detail!$H$67*BL125</f>
        <v>2180.5843170065937</v>
      </c>
      <c r="BM27" s="561">
        <f>Detail!$H$67*BM125</f>
        <v>2186.0357777991098</v>
      </c>
      <c r="BN27" s="561">
        <f>Detail!$H$67*BN125</f>
        <v>2191.5008672436079</v>
      </c>
      <c r="BO27" s="561">
        <f>Detail!$H$67*BO125</f>
        <v>2196.9796194117162</v>
      </c>
      <c r="BP27" s="561">
        <f>Detail!$H$67*BP125</f>
        <v>2202.4720684602457</v>
      </c>
      <c r="BQ27" s="561">
        <f>Detail!$H$67*BQ125</f>
        <v>2207.9782486313966</v>
      </c>
      <c r="BR27" s="561">
        <f>Detail!$H$67*BR125</f>
        <v>2213.4981942529748</v>
      </c>
      <c r="BS27" s="561">
        <f>Detail!$H$67*BS125</f>
        <v>2219.031939738607</v>
      </c>
      <c r="BT27" s="561">
        <f>Detail!$H$67*BT125</f>
        <v>2224.5795195879541</v>
      </c>
      <c r="BU27" s="561">
        <f>Detail!$H$67*BU125</f>
        <v>2230.1409683869233</v>
      </c>
      <c r="BV27" s="561">
        <f>Detail!$H$67*BV125</f>
        <v>2235.71632080789</v>
      </c>
      <c r="BW27" s="561">
        <f>Detail!$H$67*BW125</f>
        <v>2241.3056116099101</v>
      </c>
      <c r="BX27" s="561">
        <f>Detail!$H$67*BX125</f>
        <v>2246.9088756389351</v>
      </c>
      <c r="BY27" s="561">
        <f>Detail!$H$67*BY125</f>
        <v>2252.5261478280322</v>
      </c>
      <c r="BZ27" s="561">
        <f>Detail!$H$67*BZ125</f>
        <v>2258.1574631976018</v>
      </c>
      <c r="CA27" s="561">
        <f>Detail!$H$67*CA125</f>
        <v>2263.802856855596</v>
      </c>
      <c r="CB27" s="561">
        <f>Detail!$H$67*CB125</f>
        <v>2269.4623639977349</v>
      </c>
      <c r="CC27" s="561">
        <f>Detail!$H$67*CC125</f>
        <v>2275.136019907729</v>
      </c>
      <c r="CD27" s="561">
        <f>Detail!$H$67*CD125</f>
        <v>2280.8238599574979</v>
      </c>
      <c r="CE27" s="561">
        <f>Detail!$H$67*CE125</f>
        <v>2286.5259196073916</v>
      </c>
      <c r="CF27" s="561">
        <f>Detail!$H$67*CF125</f>
        <v>2292.2422344064103</v>
      </c>
      <c r="CG27" s="561">
        <f>Detail!$H$67*CG125</f>
        <v>2297.9728399924261</v>
      </c>
      <c r="CH27" s="561">
        <f>Detail!$H$67*CH125</f>
        <v>2303.7177720924069</v>
      </c>
      <c r="CI27" s="561">
        <f>Detail!$H$67*CI125</f>
        <v>2309.4770665226379</v>
      </c>
      <c r="CJ27" s="561">
        <f>Detail!$H$67*CJ125</f>
        <v>2315.2507591889448</v>
      </c>
      <c r="CK27" s="561">
        <f>Detail!$H$67*CK125</f>
        <v>2321.0388860869166</v>
      </c>
      <c r="CL27" s="561">
        <f>Detail!$H$67*CL125</f>
        <v>2326.8414833021338</v>
      </c>
      <c r="CM27" s="561">
        <f>Detail!$H$67*CM125</f>
        <v>2332.6585870103895</v>
      </c>
      <c r="CN27" s="561">
        <f>Detail!$H$67*CN125</f>
        <v>2338.4902334779149</v>
      </c>
      <c r="CO27" s="561">
        <f>Detail!$H$67*CO125</f>
        <v>2344.3364590616102</v>
      </c>
      <c r="CP27" s="561">
        <f>Detail!$H$67*CP125</f>
        <v>2350.1973002092641</v>
      </c>
      <c r="CQ27" s="561">
        <f>Detail!$H$67*CQ125</f>
        <v>2356.0727934597867</v>
      </c>
      <c r="CR27" s="561">
        <f>Detail!$H$67*CR125</f>
        <v>2361.9629754434363</v>
      </c>
      <c r="CS27" s="561">
        <f>Detail!$H$67*CS125</f>
        <v>2367.8678828820443</v>
      </c>
      <c r="CT27" s="561">
        <f>Detail!$H$67*CT125</f>
        <v>2373.7875525892496</v>
      </c>
      <c r="CU27" s="561">
        <f>Detail!$H$67*CU125</f>
        <v>2379.7220214707227</v>
      </c>
      <c r="CV27" s="561">
        <f>Detail!$H$67*CV125</f>
        <v>2385.6713265243993</v>
      </c>
      <c r="CW27" s="561">
        <f>Detail!$H$67*CW125</f>
        <v>2391.6355048407104</v>
      </c>
      <c r="CX27" s="561">
        <f>Detail!$H$67*CX125</f>
        <v>2397.614593602812</v>
      </c>
      <c r="CY27" s="561">
        <f>Detail!$H$67*CY125</f>
        <v>2403.6086300868187</v>
      </c>
      <c r="CZ27" s="561">
        <f>Detail!$H$67*CZ125</f>
        <v>2409.6176516620367</v>
      </c>
      <c r="DA27" s="561">
        <f>Detail!$H$67*DA125</f>
        <v>2415.6416957911906</v>
      </c>
      <c r="DB27" s="561">
        <f>Detail!$H$67*DB125</f>
        <v>2421.6808000306683</v>
      </c>
      <c r="DC27" s="561">
        <f>Detail!$H$67*DC125</f>
        <v>2427.7350020307454</v>
      </c>
      <c r="DD27" s="561">
        <f>Detail!$H$67*DD125</f>
        <v>2433.8043395358222</v>
      </c>
      <c r="DE27" s="561">
        <f>Detail!$H$67*DE125</f>
        <v>2439.8888503846615</v>
      </c>
      <c r="DF27" s="561">
        <f>Detail!$H$67*DF125</f>
        <v>2445.9885725106228</v>
      </c>
      <c r="DG27" s="561">
        <f>Detail!$H$67*DG125</f>
        <v>2452.1035439418997</v>
      </c>
      <c r="DH27" s="561">
        <f>Detail!$H$67*DH125</f>
        <v>2458.2338028017548</v>
      </c>
      <c r="DI27" s="561">
        <f>Detail!$H$67*DI125</f>
        <v>2464.3793873087579</v>
      </c>
      <c r="DJ27" s="561">
        <f>Detail!$H$67*DJ125</f>
        <v>2470.5403357770301</v>
      </c>
      <c r="DK27" s="561">
        <f>Detail!$H$67*DK125</f>
        <v>2476.716686616473</v>
      </c>
      <c r="DL27" s="561">
        <f>Detail!$H$67*DL125</f>
        <v>2482.9084783330136</v>
      </c>
      <c r="DM27" s="561">
        <f>Detail!$H$67*DM125</f>
        <v>2489.1157495288462</v>
      </c>
      <c r="DN27" s="561">
        <f>Detail!$H$67*DN125</f>
        <v>2495.338538902668</v>
      </c>
      <c r="DO27" s="561">
        <f>Detail!$H$67*DO125</f>
        <v>2501.5768852499245</v>
      </c>
      <c r="DP27" s="561">
        <f>Detail!$H$67*DP125</f>
        <v>2507.8308274630499</v>
      </c>
      <c r="DQ27" s="561">
        <f>Detail!$H$67*DQ125</f>
        <v>2514.1004045317063</v>
      </c>
      <c r="DR27" s="561">
        <f>Detail!$H$67*DR125</f>
        <v>2520.3856555430357</v>
      </c>
      <c r="DS27" s="561">
        <f>Detail!$H$67*DS125</f>
        <v>2526.6866196818942</v>
      </c>
      <c r="DT27" s="561">
        <f>Detail!$H$67*DT125</f>
        <v>2533.0033362310978</v>
      </c>
      <c r="DU27" s="561">
        <f>Detail!$H$67*DU125</f>
        <v>2539.3358445716763</v>
      </c>
      <c r="DV27" s="561">
        <f>Detail!$H$67*DV125</f>
        <v>2545.6841841831047</v>
      </c>
      <c r="DW27" s="561">
        <f>Detail!$H$67*DW125</f>
        <v>2552.0483946435625</v>
      </c>
      <c r="DX27" s="561">
        <f>Detail!$H$67*DX125</f>
        <v>2558.4285156301712</v>
      </c>
      <c r="DY27" s="561">
        <f>Detail!$H$67*DY125</f>
        <v>2564.824586919246</v>
      </c>
      <c r="DZ27" s="561">
        <f>Detail!$H$67*DZ125</f>
        <v>2571.2366483865444</v>
      </c>
      <c r="EA27" s="561">
        <f>Detail!$H$67*EA125</f>
        <v>2577.6647400075103</v>
      </c>
      <c r="EB27" s="561">
        <f>Detail!$H$67*EB125</f>
        <v>2584.1089018575294</v>
      </c>
      <c r="EC27" s="561">
        <f>Detail!$H$67*EC125</f>
        <v>2590.5691741121732</v>
      </c>
      <c r="ED27" s="561">
        <f>Detail!$H$67*ED125</f>
        <v>2597.0455970474536</v>
      </c>
      <c r="EE27" s="561">
        <f>Detail!$H$67*EE125</f>
        <v>2603.5382110400719</v>
      </c>
      <c r="EF27" s="561">
        <f>Detail!$H$67*EF125</f>
        <v>2610.0470565676728</v>
      </c>
      <c r="EG27" s="561">
        <f>Detail!$H$67*EG125</f>
        <v>2616.5721742090914</v>
      </c>
      <c r="EH27" s="561">
        <f>Detail!$H$67*EH125</f>
        <v>2623.1136046446131</v>
      </c>
      <c r="EI27" s="561">
        <f>Detail!$H$67*EI125</f>
        <v>2629.6713886562252</v>
      </c>
      <c r="EJ27" s="561">
        <f>Detail!$H$67*EJ125</f>
        <v>2636.2455671278658</v>
      </c>
      <c r="EK27" s="561">
        <f>Detail!$H$67*EK125</f>
        <v>2642.836181045685</v>
      </c>
      <c r="EL27" s="561">
        <f>Detail!$H$67*EL125</f>
        <v>2649.4432714982991</v>
      </c>
      <c r="EM27" s="561">
        <f>Detail!$H$67*EM125</f>
        <v>2656.0668796770447</v>
      </c>
      <c r="EN27" s="561">
        <f>Detail!$H$67*EN125</f>
        <v>2662.7070468762372</v>
      </c>
      <c r="EO27" s="561">
        <f>Detail!$H$67*EO125</f>
        <v>2669.3638144934275</v>
      </c>
      <c r="EP27" s="561">
        <f>Detail!$H$67*EP125</f>
        <v>2676.037224029661</v>
      </c>
      <c r="EQ27" s="561">
        <f>Detail!$H$67*EQ125</f>
        <v>2682.7273170897356</v>
      </c>
      <c r="ER27" s="561">
        <f>Detail!$H$67*ER125</f>
        <v>2689.4341353824598</v>
      </c>
      <c r="ES27" s="561">
        <f>Detail!$H$67*ES125</f>
        <v>2696.1577207209157</v>
      </c>
      <c r="ET27" s="561">
        <f>Detail!$H$67*ET125</f>
        <v>2702.8981150227173</v>
      </c>
      <c r="EU27" s="561">
        <f>Detail!$H$67*EU125</f>
        <v>2709.6553603102743</v>
      </c>
      <c r="EV27" s="561">
        <f>Detail!$H$67*EV125</f>
        <v>2716.4294987110502</v>
      </c>
      <c r="EW27" s="561">
        <f>Detail!$H$67*EW125</f>
        <v>2723.2205724578271</v>
      </c>
      <c r="EX27" s="561">
        <f>Detail!$H$67*EX125</f>
        <v>2730.0286238889712</v>
      </c>
      <c r="EY27" s="561">
        <f>Detail!$H$67*EY125</f>
        <v>2736.853695448694</v>
      </c>
      <c r="EZ27" s="561">
        <f>Detail!$H$67*EZ125</f>
        <v>2743.6958296873158</v>
      </c>
      <c r="FA27" s="561">
        <f>Detail!$H$67*FA125</f>
        <v>2750.5550692615343</v>
      </c>
      <c r="FB27" s="561">
        <f>Detail!$H$67*FB125</f>
        <v>2757.4314569346875</v>
      </c>
      <c r="FC27" s="561">
        <f>Detail!$H$67*FC125</f>
        <v>2764.3250355770247</v>
      </c>
      <c r="FD27" s="561">
        <f>Detail!$H$67*FD125</f>
        <v>2771.2358481659667</v>
      </c>
      <c r="FE27" s="561">
        <f>Detail!$H$67*FE125</f>
        <v>2778.1639377863808</v>
      </c>
      <c r="FF27" s="561">
        <f>Detail!$H$67*FF125</f>
        <v>2785.109347630847</v>
      </c>
      <c r="FG27" s="561">
        <f>Detail!$H$67*FG125</f>
        <v>2792.0721209999238</v>
      </c>
      <c r="FH27" s="561">
        <f>Detail!$H$67*FH125</f>
        <v>2799.052301302424</v>
      </c>
      <c r="FI27" s="561">
        <f>Detail!$H$67*FI125</f>
        <v>2806.0499320556801</v>
      </c>
      <c r="FJ27" s="561">
        <f>Detail!$H$67*FJ125</f>
        <v>2813.0650568858191</v>
      </c>
      <c r="FK27" s="561">
        <f>Detail!$H$67*FK125</f>
        <v>2820.0977195280334</v>
      </c>
      <c r="FL27" s="561">
        <f>Detail!$H$67*FL125</f>
        <v>2827.1479638268538</v>
      </c>
      <c r="FM27" s="561">
        <f>Detail!$H$67*FM125</f>
        <v>2834.2158337364203</v>
      </c>
      <c r="FN27" s="561">
        <f>Detail!$H$67*FN125</f>
        <v>2841.3013733207608</v>
      </c>
      <c r="FO27" s="561">
        <f>Detail!$H$67*FO125</f>
        <v>2848.4046267540634</v>
      </c>
      <c r="FP27" s="561">
        <f>Detail!$H$67*FP125</f>
        <v>2855.5256383209485</v>
      </c>
      <c r="FQ27" s="561">
        <f>Detail!$H$67*FQ125</f>
        <v>2862.66445241675</v>
      </c>
      <c r="FR27" s="561">
        <f>Detail!$H$67*FR125</f>
        <v>2869.8211135477918</v>
      </c>
      <c r="FS27" s="561">
        <f>Detail!$H$67*FS125</f>
        <v>2876.9956663316621</v>
      </c>
      <c r="FT27" s="554"/>
      <c r="FU27" s="554"/>
      <c r="FV27" s="554"/>
      <c r="FW27" s="554"/>
      <c r="FX27" s="554"/>
      <c r="FZ27" s="555"/>
      <c r="GB27" s="556"/>
      <c r="GD27" s="555"/>
      <c r="GE27" s="562"/>
    </row>
    <row r="28" spans="2:187" ht="15.75" customHeight="1">
      <c r="B28" s="550" t="s">
        <v>296</v>
      </c>
      <c r="C28" s="551"/>
      <c r="D28" s="552"/>
      <c r="E28" s="563">
        <f>E27/Detail!$F$67</f>
        <v>1.8713104081632652</v>
      </c>
      <c r="F28" s="563">
        <f>F27/Detail!$F$67</f>
        <v>1.8713104081632652</v>
      </c>
      <c r="G28" s="563">
        <f>G27/Detail!$F$67</f>
        <v>1.8713104081632652</v>
      </c>
      <c r="H28" s="563">
        <f>H27/Detail!$F$67</f>
        <v>1.8713104081632652</v>
      </c>
      <c r="I28" s="563">
        <f>I27/Detail!$F$67</f>
        <v>1.8713104081632652</v>
      </c>
      <c r="J28" s="563">
        <f>J27/Detail!$F$67</f>
        <v>1.8713104081632652</v>
      </c>
      <c r="K28" s="563">
        <f>K27/Detail!$F$67</f>
        <v>1.8713104081632652</v>
      </c>
      <c r="L28" s="563">
        <f>L27/Detail!$F$67</f>
        <v>1.8759886841836733</v>
      </c>
      <c r="M28" s="563">
        <f>M27/Detail!$F$67</f>
        <v>1.8806786558941324</v>
      </c>
      <c r="N28" s="563">
        <f>N27/Detail!$F$67</f>
        <v>1.8853803525338675</v>
      </c>
      <c r="O28" s="563">
        <f>O27/Detail!$F$67</f>
        <v>1.8900938034152022</v>
      </c>
      <c r="P28" s="563">
        <f>P27/Detail!$F$67</f>
        <v>1.8948190379237404</v>
      </c>
      <c r="Q28" s="563">
        <f>Q27/Detail!$F$67</f>
        <v>1.8995560855185494</v>
      </c>
      <c r="R28" s="563">
        <f>R27/Detail!$F$67</f>
        <v>1.9043049757323456</v>
      </c>
      <c r="S28" s="563">
        <f>S27/Detail!$F$67</f>
        <v>1.9090657381716765</v>
      </c>
      <c r="T28" s="563">
        <f>T27/Detail!$F$67</f>
        <v>1.9138384025171058</v>
      </c>
      <c r="U28" s="563">
        <f>U27/Detail!$F$67</f>
        <v>1.918622998523398</v>
      </c>
      <c r="V28" s="563">
        <f>V27/Detail!$F$67</f>
        <v>1.9234195560197063</v>
      </c>
      <c r="W28" s="563">
        <f>W27/Detail!$F$67</f>
        <v>1.9282281049097558</v>
      </c>
      <c r="X28" s="563">
        <f>X27/Detail!$F$67</f>
        <v>1.9330486751720304</v>
      </c>
      <c r="Y28" s="563">
        <f>Y27/Detail!$F$67</f>
        <v>1.9378812968599599</v>
      </c>
      <c r="Z28" s="563">
        <f>Z27/Detail!$F$67</f>
        <v>1.9427260001021098</v>
      </c>
      <c r="AA28" s="563">
        <f>AA27/Detail!$F$67</f>
        <v>1.9475828151023653</v>
      </c>
      <c r="AB28" s="563">
        <f>AB27/Detail!$F$67</f>
        <v>1.9524517721401209</v>
      </c>
      <c r="AC28" s="563">
        <f>AC27/Detail!$F$67</f>
        <v>1.9573329015704712</v>
      </c>
      <c r="AD28" s="563">
        <f>AD27/Detail!$F$67</f>
        <v>1.9622262338243972</v>
      </c>
      <c r="AE28" s="563">
        <f>AE27/Detail!$F$67</f>
        <v>1.9671317994089583</v>
      </c>
      <c r="AF28" s="563">
        <f>AF27/Detail!$F$67</f>
        <v>1.9720496289074807</v>
      </c>
      <c r="AG28" s="563">
        <f>AG27/Detail!$F$67</f>
        <v>1.9769797529797488</v>
      </c>
      <c r="AH28" s="563">
        <f>AH27/Detail!$F$67</f>
        <v>1.9819222023621983</v>
      </c>
      <c r="AI28" s="563">
        <f>AI27/Detail!$F$67</f>
        <v>1.9868770078681035</v>
      </c>
      <c r="AJ28" s="563">
        <f>AJ27/Detail!$F$67</f>
        <v>1.9918442003877741</v>
      </c>
      <c r="AK28" s="563">
        <f>AK27/Detail!$F$67</f>
        <v>1.9968238108887435</v>
      </c>
      <c r="AL28" s="563">
        <f>AL27/Detail!$F$67</f>
        <v>2.0018158704159648</v>
      </c>
      <c r="AM28" s="563">
        <f>AM27/Detail!$F$67</f>
        <v>2.0068204100920051</v>
      </c>
      <c r="AN28" s="563">
        <f>AN27/Detail!$F$67</f>
        <v>2.0118374611172354</v>
      </c>
      <c r="AO28" s="563">
        <f>AO27/Detail!$F$67</f>
        <v>2.0168670547700276</v>
      </c>
      <c r="AP28" s="563">
        <f>AP27/Detail!$F$67</f>
        <v>2.0219092224069524</v>
      </c>
      <c r="AQ28" s="563">
        <f>AQ27/Detail!$F$67</f>
        <v>2.0269639954629701</v>
      </c>
      <c r="AR28" s="563">
        <f>AR27/Detail!$F$67</f>
        <v>2.0320314054516277</v>
      </c>
      <c r="AS28" s="563">
        <f>AS27/Detail!$F$67</f>
        <v>2.0371114839652562</v>
      </c>
      <c r="AT28" s="563">
        <f>AT27/Detail!$F$67</f>
        <v>2.0422042626751695</v>
      </c>
      <c r="AU28" s="563">
        <f>AU27/Detail!$F$67</f>
        <v>2.0473097733318575</v>
      </c>
      <c r="AV28" s="563">
        <f>AV27/Detail!$F$67</f>
        <v>2.0524280477651873</v>
      </c>
      <c r="AW28" s="563">
        <f>AW27/Detail!$F$67</f>
        <v>2.0575591178845998</v>
      </c>
      <c r="AX28" s="563">
        <f>AX27/Detail!$F$67</f>
        <v>2.0627030156793111</v>
      </c>
      <c r="AY28" s="563">
        <f>AY27/Detail!$F$67</f>
        <v>2.0678597732185091</v>
      </c>
      <c r="AZ28" s="563">
        <f>AZ27/Detail!$F$67</f>
        <v>2.0730294226515555</v>
      </c>
      <c r="BA28" s="563">
        <f>BA27/Detail!$F$67</f>
        <v>2.078211996208184</v>
      </c>
      <c r="BB28" s="563">
        <f>BB27/Detail!$F$67</f>
        <v>2.0834075261987044</v>
      </c>
      <c r="BC28" s="563">
        <f>BC27/Detail!$F$67</f>
        <v>2.0886160450142013</v>
      </c>
      <c r="BD28" s="563">
        <f>BD27/Detail!$F$67</f>
        <v>2.093837585126737</v>
      </c>
      <c r="BE28" s="563">
        <f>BE27/Detail!$F$67</f>
        <v>2.0990721790895535</v>
      </c>
      <c r="BF28" s="563">
        <f>BF27/Detail!$F$67</f>
        <v>2.1043198595372767</v>
      </c>
      <c r="BG28" s="563">
        <f>BG27/Detail!$F$67</f>
        <v>2.109580659186121</v>
      </c>
      <c r="BH28" s="563">
        <f>BH27/Detail!$F$67</f>
        <v>2.1148546108340858</v>
      </c>
      <c r="BI28" s="563">
        <f>BI27/Detail!$F$67</f>
        <v>2.120141747361171</v>
      </c>
      <c r="BJ28" s="563">
        <f>BJ27/Detail!$F$67</f>
        <v>2.1254421017295737</v>
      </c>
      <c r="BK28" s="563">
        <f>BK27/Detail!$F$67</f>
        <v>2.1307557069838978</v>
      </c>
      <c r="BL28" s="563">
        <f>BL27/Detail!$F$67</f>
        <v>2.1360825962513568</v>
      </c>
      <c r="BM28" s="563">
        <f>BM27/Detail!$F$67</f>
        <v>2.1414228027419853</v>
      </c>
      <c r="BN28" s="563">
        <f>BN27/Detail!$F$67</f>
        <v>2.1467763597488405</v>
      </c>
      <c r="BO28" s="563">
        <f>BO27/Detail!$F$67</f>
        <v>2.1521433006482118</v>
      </c>
      <c r="BP28" s="563">
        <f>BP27/Detail!$F$67</f>
        <v>2.1575236588998323</v>
      </c>
      <c r="BQ28" s="563">
        <f>BQ27/Detail!$F$67</f>
        <v>2.1629174680470822</v>
      </c>
      <c r="BR28" s="563">
        <f>BR27/Detail!$F$67</f>
        <v>2.1683247617171997</v>
      </c>
      <c r="BS28" s="563">
        <f>BS27/Detail!$F$67</f>
        <v>2.1737455736214923</v>
      </c>
      <c r="BT28" s="563">
        <f>BT27/Detail!$F$67</f>
        <v>2.179179937555547</v>
      </c>
      <c r="BU28" s="563">
        <f>BU27/Detail!$F$67</f>
        <v>2.1846278873994351</v>
      </c>
      <c r="BV28" s="563">
        <f>BV27/Detail!$F$67</f>
        <v>2.1900894571179332</v>
      </c>
      <c r="BW28" s="563">
        <f>BW27/Detail!$F$67</f>
        <v>2.1955646807607283</v>
      </c>
      <c r="BX28" s="563">
        <f>BX27/Detail!$F$67</f>
        <v>2.2010535924626304</v>
      </c>
      <c r="BY28" s="563">
        <f>BY27/Detail!$F$67</f>
        <v>2.2065562264437864</v>
      </c>
      <c r="BZ28" s="563">
        <f>BZ27/Detail!$F$67</f>
        <v>2.2120726170098957</v>
      </c>
      <c r="CA28" s="563">
        <f>CA27/Detail!$F$67</f>
        <v>2.2176027985524205</v>
      </c>
      <c r="CB28" s="563">
        <f>CB27/Detail!$F$67</f>
        <v>2.2231468055488013</v>
      </c>
      <c r="CC28" s="563">
        <f>CC27/Detail!$F$67</f>
        <v>2.2287046725626731</v>
      </c>
      <c r="CD28" s="563">
        <f>CD27/Detail!$F$67</f>
        <v>2.2342764342440793</v>
      </c>
      <c r="CE28" s="563">
        <f>CE27/Detail!$F$67</f>
        <v>2.2398621253296898</v>
      </c>
      <c r="CF28" s="563">
        <f>CF27/Detail!$F$67</f>
        <v>2.2454617806430139</v>
      </c>
      <c r="CG28" s="563">
        <f>CG27/Detail!$F$67</f>
        <v>2.2510754350946214</v>
      </c>
      <c r="CH28" s="563">
        <f>CH27/Detail!$F$67</f>
        <v>2.2567031236823576</v>
      </c>
      <c r="CI28" s="563">
        <f>CI27/Detail!$F$67</f>
        <v>2.2623448814915634</v>
      </c>
      <c r="CJ28" s="563">
        <f>CJ27/Detail!$F$67</f>
        <v>2.2680007436952927</v>
      </c>
      <c r="CK28" s="563">
        <f>CK27/Detail!$F$67</f>
        <v>2.2736707455545306</v>
      </c>
      <c r="CL28" s="563">
        <f>CL27/Detail!$F$67</f>
        <v>2.2793549224184169</v>
      </c>
      <c r="CM28" s="563">
        <f>CM27/Detail!$F$67</f>
        <v>2.285053309724463</v>
      </c>
      <c r="CN28" s="563">
        <f>CN27/Detail!$F$67</f>
        <v>2.2907659429987737</v>
      </c>
      <c r="CO28" s="563">
        <f>CO27/Detail!$F$67</f>
        <v>2.2964928578562711</v>
      </c>
      <c r="CP28" s="563">
        <f>CP27/Detail!$F$67</f>
        <v>2.3022340900009115</v>
      </c>
      <c r="CQ28" s="563">
        <f>CQ27/Detail!$F$67</f>
        <v>2.3079896752259135</v>
      </c>
      <c r="CR28" s="563">
        <f>CR27/Detail!$F$67</f>
        <v>2.3137596494139783</v>
      </c>
      <c r="CS28" s="563">
        <f>CS27/Detail!$F$67</f>
        <v>2.3195440485375127</v>
      </c>
      <c r="CT28" s="563">
        <f>CT27/Detail!$F$67</f>
        <v>2.3253429086588566</v>
      </c>
      <c r="CU28" s="563">
        <f>CU27/Detail!$F$67</f>
        <v>2.3311562659305038</v>
      </c>
      <c r="CV28" s="563">
        <f>CV27/Detail!$F$67</f>
        <v>2.3369841565953298</v>
      </c>
      <c r="CW28" s="563">
        <f>CW27/Detail!$F$67</f>
        <v>2.3428266169868182</v>
      </c>
      <c r="CX28" s="563">
        <f>CX27/Detail!$F$67</f>
        <v>2.348683683529285</v>
      </c>
      <c r="CY28" s="563">
        <f>CY27/Detail!$F$67</f>
        <v>2.3545553927381082</v>
      </c>
      <c r="CZ28" s="563">
        <f>CZ27/Detail!$F$67</f>
        <v>2.3604417812199543</v>
      </c>
      <c r="DA28" s="563">
        <f>DA27/Detail!$F$67</f>
        <v>2.3663428856730029</v>
      </c>
      <c r="DB28" s="563">
        <f>DB27/Detail!$F$67</f>
        <v>2.3722587428871851</v>
      </c>
      <c r="DC28" s="563">
        <f>DC27/Detail!$F$67</f>
        <v>2.3781893897444037</v>
      </c>
      <c r="DD28" s="563">
        <f>DD27/Detail!$F$67</f>
        <v>2.3841348632187644</v>
      </c>
      <c r="DE28" s="563">
        <f>DE27/Detail!$F$67</f>
        <v>2.3900952003768112</v>
      </c>
      <c r="DF28" s="563">
        <f>DF27/Detail!$F$67</f>
        <v>2.3960704383777527</v>
      </c>
      <c r="DG28" s="563">
        <f>DG27/Detail!$F$67</f>
        <v>2.4020606144736978</v>
      </c>
      <c r="DH28" s="563">
        <f>DH27/Detail!$F$67</f>
        <v>2.4080657660098823</v>
      </c>
      <c r="DI28" s="563">
        <f>DI27/Detail!$F$67</f>
        <v>2.4140859304249056</v>
      </c>
      <c r="DJ28" s="563">
        <f>DJ27/Detail!$F$67</f>
        <v>2.4201211452509681</v>
      </c>
      <c r="DK28" s="563">
        <f>DK27/Detail!$F$67</f>
        <v>2.4261714481140961</v>
      </c>
      <c r="DL28" s="563">
        <f>DL27/Detail!$F$67</f>
        <v>2.4322368767343807</v>
      </c>
      <c r="DM28" s="563">
        <f>DM27/Detail!$F$67</f>
        <v>2.4383174689262166</v>
      </c>
      <c r="DN28" s="563">
        <f>DN27/Detail!$F$67</f>
        <v>2.4444132625985318</v>
      </c>
      <c r="DO28" s="563">
        <f>DO27/Detail!$F$67</f>
        <v>2.4505242957550282</v>
      </c>
      <c r="DP28" s="563">
        <f>DP27/Detail!$F$67</f>
        <v>2.4566506064944162</v>
      </c>
      <c r="DQ28" s="563">
        <f>DQ27/Detail!$F$67</f>
        <v>2.4627922330106511</v>
      </c>
      <c r="DR28" s="563">
        <f>DR27/Detail!$F$67</f>
        <v>2.4689492135931776</v>
      </c>
      <c r="DS28" s="563">
        <f>DS27/Detail!$F$67</f>
        <v>2.4751215866271616</v>
      </c>
      <c r="DT28" s="563">
        <f>DT27/Detail!$F$67</f>
        <v>2.4813093905937285</v>
      </c>
      <c r="DU28" s="563">
        <f>DU27/Detail!$F$67</f>
        <v>2.4875126640702132</v>
      </c>
      <c r="DV28" s="563">
        <f>DV27/Detail!$F$67</f>
        <v>2.4937314457303881</v>
      </c>
      <c r="DW28" s="563">
        <f>DW27/Detail!$F$67</f>
        <v>2.4999657743447141</v>
      </c>
      <c r="DX28" s="563">
        <f>DX27/Detail!$F$67</f>
        <v>2.5062156887805758</v>
      </c>
      <c r="DY28" s="563">
        <f>DY27/Detail!$F$67</f>
        <v>2.5124812280025268</v>
      </c>
      <c r="DZ28" s="563">
        <f>DZ27/Detail!$F$67</f>
        <v>2.5187624310725334</v>
      </c>
      <c r="EA28" s="563">
        <f>EA27/Detail!$F$67</f>
        <v>2.5250593371502141</v>
      </c>
      <c r="EB28" s="563">
        <f>EB27/Detail!$F$67</f>
        <v>2.5313719854930898</v>
      </c>
      <c r="EC28" s="563">
        <f>EC27/Detail!$F$67</f>
        <v>2.5377004154568228</v>
      </c>
      <c r="ED28" s="563">
        <f>ED27/Detail!$F$67</f>
        <v>2.5440446664954646</v>
      </c>
      <c r="EE28" s="563">
        <f>EE27/Detail!$F$67</f>
        <v>2.550404778161703</v>
      </c>
      <c r="EF28" s="563">
        <f>EF27/Detail!$F$67</f>
        <v>2.556780790107108</v>
      </c>
      <c r="EG28" s="563">
        <f>EG27/Detail!$F$67</f>
        <v>2.5631727420823753</v>
      </c>
      <c r="EH28" s="563">
        <f>EH27/Detail!$F$67</f>
        <v>2.5695806739375802</v>
      </c>
      <c r="EI28" s="563">
        <f>EI27/Detail!$F$67</f>
        <v>2.5760046256224247</v>
      </c>
      <c r="EJ28" s="563">
        <f>EJ27/Detail!$F$67</f>
        <v>2.5824446371864807</v>
      </c>
      <c r="EK28" s="563">
        <f>EK27/Detail!$F$67</f>
        <v>2.5889007487794462</v>
      </c>
      <c r="EL28" s="563">
        <f>EL27/Detail!$F$67</f>
        <v>2.5953730006513949</v>
      </c>
      <c r="EM28" s="563">
        <f>EM27/Detail!$F$67</f>
        <v>2.6018614331530232</v>
      </c>
      <c r="EN28" s="563">
        <f>EN27/Detail!$F$67</f>
        <v>2.6083660867359058</v>
      </c>
      <c r="EO28" s="563">
        <f>EO27/Detail!$F$67</f>
        <v>2.614887001952745</v>
      </c>
      <c r="EP28" s="563">
        <f>EP27/Detail!$F$67</f>
        <v>2.6214242194576269</v>
      </c>
      <c r="EQ28" s="563">
        <f>EQ27/Detail!$F$67</f>
        <v>2.6279777800062716</v>
      </c>
      <c r="ER28" s="563">
        <f>ER27/Detail!$F$67</f>
        <v>2.6345477244562869</v>
      </c>
      <c r="ES28" s="563">
        <f>ES27/Detail!$F$67</f>
        <v>2.6411340937674277</v>
      </c>
      <c r="ET28" s="563">
        <f>ET27/Detail!$F$67</f>
        <v>2.6477369290018453</v>
      </c>
      <c r="EU28" s="563">
        <f>EU27/Detail!$F$67</f>
        <v>2.65435627132435</v>
      </c>
      <c r="EV28" s="563">
        <f>EV27/Detail!$F$67</f>
        <v>2.6609921620026613</v>
      </c>
      <c r="EW28" s="563">
        <f>EW27/Detail!$F$67</f>
        <v>2.6676446424076672</v>
      </c>
      <c r="EX28" s="563">
        <f>EX27/Detail!$F$67</f>
        <v>2.6743137540136859</v>
      </c>
      <c r="EY28" s="563">
        <f>EY27/Detail!$F$67</f>
        <v>2.6809995383987206</v>
      </c>
      <c r="EZ28" s="563">
        <f>EZ27/Detail!$F$67</f>
        <v>2.6877020372447173</v>
      </c>
      <c r="FA28" s="563">
        <f>FA27/Detail!$F$67</f>
        <v>2.6944212923378292</v>
      </c>
      <c r="FB28" s="563">
        <f>FB27/Detail!$F$67</f>
        <v>2.7011573455686735</v>
      </c>
      <c r="FC28" s="563">
        <f>FC27/Detail!$F$67</f>
        <v>2.7079102389325955</v>
      </c>
      <c r="FD28" s="563">
        <f>FD27/Detail!$F$67</f>
        <v>2.7146800145299266</v>
      </c>
      <c r="FE28" s="563">
        <f>FE27/Detail!$F$67</f>
        <v>2.7214667145662506</v>
      </c>
      <c r="FF28" s="563">
        <f>FF27/Detail!$F$67</f>
        <v>2.7282703813526665</v>
      </c>
      <c r="FG28" s="563">
        <f>FG27/Detail!$F$67</f>
        <v>2.7350910573060476</v>
      </c>
      <c r="FH28" s="563">
        <f>FH27/Detail!$F$67</f>
        <v>2.7419287849493132</v>
      </c>
      <c r="FI28" s="563">
        <f>FI27/Detail!$F$67</f>
        <v>2.7487836069116867</v>
      </c>
      <c r="FJ28" s="563">
        <f>FJ27/Detail!$F$67</f>
        <v>2.7556555659289654</v>
      </c>
      <c r="FK28" s="563">
        <f>FK27/Detail!$F$67</f>
        <v>2.7625447048437879</v>
      </c>
      <c r="FL28" s="563">
        <f>FL27/Detail!$F$67</f>
        <v>2.7694510666058973</v>
      </c>
      <c r="FM28" s="563">
        <f>FM27/Detail!$F$67</f>
        <v>2.7763746942724117</v>
      </c>
      <c r="FN28" s="563">
        <f>FN27/Detail!$F$67</f>
        <v>2.783315631008092</v>
      </c>
      <c r="FO28" s="563">
        <f>FO27/Detail!$F$67</f>
        <v>2.790273920085613</v>
      </c>
      <c r="FP28" s="563">
        <f>FP27/Detail!$F$67</f>
        <v>2.7972496048858271</v>
      </c>
      <c r="FQ28" s="563">
        <f>FQ27/Detail!$F$67</f>
        <v>2.8042427288980409</v>
      </c>
      <c r="FR28" s="563">
        <f>FR27/Detail!$F$67</f>
        <v>2.8112533357202856</v>
      </c>
      <c r="FS28" s="563">
        <f>FS27/Detail!$F$67</f>
        <v>2.8182814690595874</v>
      </c>
      <c r="FT28" s="554"/>
      <c r="FU28" s="554"/>
      <c r="FV28" s="554"/>
      <c r="FW28" s="554"/>
      <c r="FX28" s="554"/>
      <c r="FZ28" s="555"/>
      <c r="GB28" s="556"/>
      <c r="GD28" s="555"/>
      <c r="GE28" s="562"/>
    </row>
    <row r="29" spans="2:187" ht="15.75" customHeight="1">
      <c r="B29" s="550" t="s">
        <v>297</v>
      </c>
      <c r="C29" s="551"/>
      <c r="D29" s="552"/>
      <c r="E29" s="564">
        <f>(E39+E40)/Detail!$C$8</f>
        <v>1887.4314583333335</v>
      </c>
      <c r="F29" s="564">
        <f>(F39+F40)/Detail!$C$8</f>
        <v>1888.1936111111111</v>
      </c>
      <c r="G29" s="564">
        <f>(G39+G40)/Detail!$C$8</f>
        <v>1888.9303587962963</v>
      </c>
      <c r="H29" s="564">
        <f>(H39+H40)/Detail!$C$8</f>
        <v>1889.6425482253087</v>
      </c>
      <c r="I29" s="564">
        <f>(I39+I40)/Detail!$C$8</f>
        <v>1890.3309980066874</v>
      </c>
      <c r="J29" s="564">
        <f>(J39+J40)/Detail!$C$8</f>
        <v>1890.99649946202</v>
      </c>
      <c r="K29" s="564">
        <f>(K39+K40)/Detail!$C$8</f>
        <v>1891.6398175355082</v>
      </c>
      <c r="L29" s="564">
        <f>(L39+L40)/Detail!$C$8</f>
        <v>1892.6596700152274</v>
      </c>
      <c r="M29" s="564">
        <f>(M39+M40)/Detail!$C$8</f>
        <v>1893.8057136949501</v>
      </c>
      <c r="N29" s="564">
        <f>(N39+N40)/Detail!$C$8</f>
        <v>1895.074142667049</v>
      </c>
      <c r="O29" s="564">
        <f>(O39+O40)/Detail!$C$8</f>
        <v>1896.4612788886495</v>
      </c>
      <c r="P29" s="564">
        <f>(P39+P40)/Detail!$C$8</f>
        <v>1897.963567921973</v>
      </c>
      <c r="Q29" s="564">
        <f>(Q39+Q40)/Detail!$C$8</f>
        <v>1900.7828350600523</v>
      </c>
      <c r="R29" s="564">
        <f>(R39+R40)/Detail!$C$8</f>
        <v>1904.7507123073131</v>
      </c>
      <c r="S29" s="564">
        <f>(S39+S40)/Detail!$C$8</f>
        <v>1910.0146680280216</v>
      </c>
      <c r="T29" s="564">
        <f>(T39+T40)/Detail!$C$8</f>
        <v>1915.6463125594871</v>
      </c>
      <c r="U29" s="564">
        <f>(U39+U40)/Detail!$C$8</f>
        <v>1921.6140194543748</v>
      </c>
      <c r="V29" s="564">
        <f>(V39+V40)/Detail!$C$8</f>
        <v>1927.9078960935237</v>
      </c>
      <c r="W29" s="564">
        <f>(W39+W40)/Detail!$C$8</f>
        <v>1934.5286672553614</v>
      </c>
      <c r="X29" s="564">
        <f>(X39+X40)/Detail!$C$8</f>
        <v>1940.7221616877132</v>
      </c>
      <c r="Y29" s="564">
        <f>(Y39+Y40)/Detail!$C$8</f>
        <v>1946.7110775311999</v>
      </c>
      <c r="Z29" s="564">
        <f>(Z39+Z40)/Detail!$C$8</f>
        <v>1953.8264112073111</v>
      </c>
      <c r="AA29" s="564">
        <f>(AA39+AA40)/Detail!$C$8</f>
        <v>1961.0248732043115</v>
      </c>
      <c r="AB29" s="564">
        <f>(AB39+AB40)/Detail!$C$8</f>
        <v>1968.1994914446429</v>
      </c>
      <c r="AC29" s="564">
        <f>(AC39+AC40)/Detail!$C$8</f>
        <v>1975.3206622421251</v>
      </c>
      <c r="AD29" s="564">
        <f>(AD39+AD40)/Detail!$C$8</f>
        <v>1979.8147973037683</v>
      </c>
      <c r="AE29" s="564">
        <f>(AE39+AE40)/Detail!$C$8</f>
        <v>1985.635033866808</v>
      </c>
      <c r="AF29" s="564">
        <f>(AF39+AF40)/Detail!$C$8</f>
        <v>1992.709427327412</v>
      </c>
      <c r="AG29" s="564">
        <f>(AG39+AG40)/Detail!$C$8</f>
        <v>1999.6836966358849</v>
      </c>
      <c r="AH29" s="564">
        <f>(AH39+AH40)/Detail!$C$8</f>
        <v>2006.5766941142201</v>
      </c>
      <c r="AI29" s="564">
        <f>(AI39+AI40)/Detail!$C$8</f>
        <v>2013.2917369350116</v>
      </c>
      <c r="AJ29" s="564">
        <f>(AJ39+AJ40)/Detail!$C$8</f>
        <v>2019.8328511467703</v>
      </c>
      <c r="AK29" s="564">
        <f>(AK39+AK40)/Detail!$C$8</f>
        <v>2025.5210846266398</v>
      </c>
      <c r="AL29" s="564">
        <f>(AL39+AL40)/Detail!$C$8</f>
        <v>2030.6534385853192</v>
      </c>
      <c r="AM29" s="564">
        <f>(AM39+AM40)/Detail!$C$8</f>
        <v>2036.6434095756017</v>
      </c>
      <c r="AN29" s="564">
        <f>(AN39+AN40)/Detail!$C$8</f>
        <v>2042.575797195879</v>
      </c>
      <c r="AO29" s="564">
        <f>(AO39+AO40)/Detail!$C$8</f>
        <v>2048.3471569622116</v>
      </c>
      <c r="AP29" s="564">
        <f>(AP39+AP40)/Detail!$C$8</f>
        <v>2053.966903816281</v>
      </c>
      <c r="AQ29" s="564">
        <f>(AQ39+AQ40)/Detail!$C$8</f>
        <v>2057.4861431660615</v>
      </c>
      <c r="AR29" s="564">
        <f>(AR39+AR40)/Detail!$C$8</f>
        <v>2061.9860183377186</v>
      </c>
      <c r="AS29" s="564">
        <f>(AS39+AS40)/Detail!$C$8</f>
        <v>2067.4292077098635</v>
      </c>
      <c r="AT29" s="564">
        <f>(AT39+AT40)/Detail!$C$8</f>
        <v>2072.8305665700218</v>
      </c>
      <c r="AU29" s="564">
        <f>(AU39+AU40)/Detail!$C$8</f>
        <v>2078.2394781982412</v>
      </c>
      <c r="AV29" s="564">
        <f>(AV39+AV40)/Detail!$C$8</f>
        <v>2083.5826293456503</v>
      </c>
      <c r="AW29" s="564">
        <f>(AW39+AW40)/Detail!$C$8</f>
        <v>2088.8742677984924</v>
      </c>
      <c r="AX29" s="564">
        <f>(AX39+AX40)/Detail!$C$8</f>
        <v>2093.5729832646475</v>
      </c>
      <c r="AY29" s="564">
        <f>(AY39+AY40)/Detail!$C$8</f>
        <v>2097.910844977303</v>
      </c>
      <c r="AZ29" s="564">
        <f>(AZ39+AZ40)/Detail!$C$8</f>
        <v>2103.0689952052312</v>
      </c>
      <c r="BA29" s="564">
        <f>(BA39+BA40)/Detail!$C$8</f>
        <v>2108.2936941575845</v>
      </c>
      <c r="BB29" s="564">
        <f>(BB39+BB40)/Detail!$C$8</f>
        <v>2113.5074361634597</v>
      </c>
      <c r="BC29" s="564">
        <f>(BC39+BC40)/Detail!$C$8</f>
        <v>2118.7148137042764</v>
      </c>
      <c r="BD29" s="564">
        <f>(BD39+BD40)/Detail!$C$8</f>
        <v>2122.0656904019629</v>
      </c>
      <c r="BE29" s="564">
        <f>(BE39+BE40)/Detail!$C$8</f>
        <v>2126.4453880897595</v>
      </c>
      <c r="BF29" s="564">
        <f>(BF39+BF40)/Detail!$C$8</f>
        <v>2131.8595569192507</v>
      </c>
      <c r="BG29" s="564">
        <f>(BG39+BG40)/Detail!$C$8</f>
        <v>2137.3327012926334</v>
      </c>
      <c r="BH29" s="564">
        <f>(BH39+BH40)/Detail!$C$8</f>
        <v>2142.8973124458303</v>
      </c>
      <c r="BI29" s="564">
        <f>(BI39+BI40)/Detail!$C$8</f>
        <v>2148.4833548217471</v>
      </c>
      <c r="BJ29" s="564">
        <f>(BJ39+BJ40)/Detail!$C$8</f>
        <v>2154.0948403365228</v>
      </c>
      <c r="BK29" s="564">
        <f>(BK39+BK40)/Detail!$C$8</f>
        <v>2159.1357436863468</v>
      </c>
      <c r="BL29" s="564">
        <f>(BL39+BL40)/Detail!$C$8</f>
        <v>2163.8324603944102</v>
      </c>
      <c r="BM29" s="564">
        <f>(BM39+BM40)/Detail!$C$8</f>
        <v>2169.4358740504649</v>
      </c>
      <c r="BN29" s="564">
        <f>(BN39+BN40)/Detail!$C$8</f>
        <v>2175.1304184521773</v>
      </c>
      <c r="BO29" s="564">
        <f>(BO39+BO40)/Detail!$C$8</f>
        <v>2180.8310279349553</v>
      </c>
      <c r="BP29" s="564">
        <f>(BP39+BP40)/Detail!$C$8</f>
        <v>2186.5339309846827</v>
      </c>
      <c r="BQ29" s="564">
        <f>(BQ39+BQ40)/Detail!$C$8</f>
        <v>2190.1988720862382</v>
      </c>
      <c r="BR29" s="564">
        <f>(BR39+BR40)/Detail!$C$8</f>
        <v>2194.9897887722636</v>
      </c>
      <c r="BS29" s="564">
        <f>(BS39+BS40)/Detail!$C$8</f>
        <v>2200.9033770363094</v>
      </c>
      <c r="BT29" s="564">
        <f>(BT39+BT40)/Detail!$C$8</f>
        <v>2206.861639353569</v>
      </c>
      <c r="BU29" s="564">
        <f>(BU39+BU40)/Detail!$C$8</f>
        <v>2212.8956586678678</v>
      </c>
      <c r="BV29" s="564">
        <f>(BV39+BV40)/Detail!$C$8</f>
        <v>2218.9279372921651</v>
      </c>
      <c r="BW29" s="564">
        <f>(BW39+BW40)/Detail!$C$8</f>
        <v>2224.9610577471085</v>
      </c>
      <c r="BX29" s="564">
        <f>(BX39+BX40)/Detail!$C$8</f>
        <v>2230.3543903284758</v>
      </c>
      <c r="BY29" s="564">
        <f>(BY39+BY40)/Detail!$C$8</f>
        <v>2235.3549282497138</v>
      </c>
      <c r="BZ29" s="564">
        <f>(BZ39+BZ40)/Detail!$C$8</f>
        <v>2241.2997099441395</v>
      </c>
      <c r="CA29" s="564">
        <f>(CA39+CA40)/Detail!$C$8</f>
        <v>2247.3164019673168</v>
      </c>
      <c r="CB29" s="564">
        <f>(CB39+CB40)/Detail!$C$8</f>
        <v>2253.312626237876</v>
      </c>
      <c r="CC29" s="564">
        <f>(CC39+CC40)/Detail!$C$8</f>
        <v>2259.2858407462222</v>
      </c>
      <c r="CD29" s="564">
        <f>(CD39+CD40)/Detail!$C$8</f>
        <v>2263.1081598992123</v>
      </c>
      <c r="CE29" s="564">
        <f>(CE39+CE40)/Detail!$C$8</f>
        <v>2268.0875672091533</v>
      </c>
      <c r="CF29" s="564">
        <f>(CF39+CF40)/Detail!$C$8</f>
        <v>2274.2137628674463</v>
      </c>
      <c r="CG29" s="564">
        <f>(CG39+CG40)/Detail!$C$8</f>
        <v>2280.3699502356321</v>
      </c>
      <c r="CH29" s="564">
        <f>(CH39+CH40)/Detail!$C$8</f>
        <v>2286.5914714797536</v>
      </c>
      <c r="CI29" s="564">
        <f>(CI39+CI40)/Detail!$C$8</f>
        <v>2292.7976095153708</v>
      </c>
      <c r="CJ29" s="564">
        <f>(CJ39+CJ40)/Detail!$C$8</f>
        <v>2298.9929020118111</v>
      </c>
      <c r="CK29" s="564">
        <f>(CK39+CK40)/Detail!$C$8</f>
        <v>2304.5230335030205</v>
      </c>
      <c r="CL29" s="564">
        <f>(CL39+CL40)/Detail!$C$8</f>
        <v>2309.6446517731497</v>
      </c>
      <c r="CM29" s="564">
        <f>(CM39+CM40)/Detail!$C$8</f>
        <v>2315.7313758844939</v>
      </c>
      <c r="CN29" s="564">
        <f>(CN39+CN40)/Detail!$C$8</f>
        <v>2321.8898470636</v>
      </c>
      <c r="CO29" s="564">
        <f>(CO39+CO40)/Detail!$C$8</f>
        <v>2328.0257163589654</v>
      </c>
      <c r="CP29" s="564">
        <f>(CP39+CP40)/Detail!$C$8</f>
        <v>2334.1377042474846</v>
      </c>
      <c r="CQ29" s="564">
        <f>(CQ39+CQ40)/Detail!$C$8</f>
        <v>2338.0502977631372</v>
      </c>
      <c r="CR29" s="564">
        <f>(CR39+CR40)/Detail!$C$8</f>
        <v>2343.1479572739904</v>
      </c>
      <c r="CS29" s="564">
        <f>(CS39+CS40)/Detail!$C$8</f>
        <v>2349.42193362424</v>
      </c>
      <c r="CT29" s="564">
        <f>(CT39+CT40)/Detail!$C$8</f>
        <v>2355.7304621691687</v>
      </c>
      <c r="CU29" s="564">
        <f>(CU39+CU40)/Detail!$C$8</f>
        <v>2362.110290621712</v>
      </c>
      <c r="CV29" s="564">
        <f>(CV39+CV40)/Detail!$C$8</f>
        <v>2368.4789321452213</v>
      </c>
      <c r="CW29" s="564">
        <f>(CW39+CW40)/Detail!$C$8</f>
        <v>2374.8412339220486</v>
      </c>
      <c r="CX29" s="564">
        <f>(CX39+CX40)/Detail!$C$8</f>
        <v>2380.5250446874966</v>
      </c>
      <c r="CY29" s="564">
        <f>(CY39+CY40)/Detail!$C$8</f>
        <v>2385.7932133973909</v>
      </c>
      <c r="CZ29" s="564">
        <f>(CZ39+CZ40)/Detail!$C$8</f>
        <v>2392.0576106343933</v>
      </c>
      <c r="DA29" s="564">
        <f>(DA39+DA40)/Detail!$C$8</f>
        <v>2398.3999577172849</v>
      </c>
      <c r="DB29" s="564">
        <f>(DB39+DB40)/Detail!$C$8</f>
        <v>2404.7234851297944</v>
      </c>
      <c r="DC29" s="564">
        <f>(DC39+DC40)/Detail!$C$8</f>
        <v>2411.0265735515964</v>
      </c>
      <c r="DD29" s="564">
        <f>(DD39+DD40)/Detail!$C$8</f>
        <v>2415.0641054744606</v>
      </c>
      <c r="DE29" s="564">
        <f>(DE39+DE40)/Detail!$C$8</f>
        <v>2420.3273531168634</v>
      </c>
      <c r="DF29" s="564">
        <f>(DF39+DF40)/Detail!$C$8</f>
        <v>2426.8083234756418</v>
      </c>
      <c r="DG29" s="564">
        <f>(DG39+DG40)/Detail!$C$8</f>
        <v>2433.3274834408166</v>
      </c>
      <c r="DH29" s="564">
        <f>(DH39+DH40)/Detail!$C$8</f>
        <v>2439.9222419918278</v>
      </c>
      <c r="DI29" s="564">
        <f>(DI39+DI40)/Detail!$C$8</f>
        <v>2446.5074532201611</v>
      </c>
      <c r="DJ29" s="564">
        <f>(DJ39+DJ40)/Detail!$C$8</f>
        <v>2453.087804404488</v>
      </c>
      <c r="DK29" s="564">
        <f>(DK39+DK40)/Detail!$C$8</f>
        <v>2458.9675272679065</v>
      </c>
      <c r="DL29" s="564">
        <f>(DL39+DL40)/Detail!$C$8</f>
        <v>2464.4180137004673</v>
      </c>
      <c r="DM29" s="564">
        <f>(DM39+DM40)/Detail!$C$8</f>
        <v>2470.8993475981238</v>
      </c>
      <c r="DN29" s="564">
        <f>(DN39+DN40)/Detail!$C$8</f>
        <v>2477.4614192156318</v>
      </c>
      <c r="DO29" s="564">
        <f>(DO39+DO40)/Detail!$C$8</f>
        <v>2484.0040500141849</v>
      </c>
      <c r="DP29" s="564">
        <f>(DP39+DP40)/Detail!$C$8</f>
        <v>2490.5253591266937</v>
      </c>
      <c r="DQ29" s="564">
        <f>(DQ39+DQ40)/Detail!$C$8</f>
        <v>2494.702283945745</v>
      </c>
      <c r="DR29" s="564">
        <f>(DR39+DR40)/Detail!$C$8</f>
        <v>2500.1469772131777</v>
      </c>
      <c r="DS29" s="564">
        <f>(DS39+DS40)/Detail!$C$8</f>
        <v>2506.8508114685064</v>
      </c>
      <c r="DT29" s="564">
        <f>(DT39+DT40)/Detail!$C$8</f>
        <v>2513.5933668240218</v>
      </c>
      <c r="DU29" s="564">
        <f>(DU39+DU40)/Detail!$C$8</f>
        <v>2520.4132761708429</v>
      </c>
      <c r="DV29" s="564">
        <f>(DV39+DV40)/Detail!$C$8</f>
        <v>2527.2224324383051</v>
      </c>
      <c r="DW29" s="564">
        <f>(DW39+DW40)/Detail!$C$8</f>
        <v>2534.0256681174806</v>
      </c>
      <c r="DX29" s="564">
        <f>(DX39+DX40)/Detail!$C$8</f>
        <v>2540.1037131174908</v>
      </c>
      <c r="DY29" s="564">
        <f>(DY39+DY40)/Detail!$C$8</f>
        <v>2545.7372972089761</v>
      </c>
      <c r="DZ29" s="564">
        <f>(DZ39+DZ40)/Detail!$C$8</f>
        <v>2552.4357639857408</v>
      </c>
      <c r="EA29" s="564">
        <f>(EA39+EA40)/Detail!$C$8</f>
        <v>2559.2169821329835</v>
      </c>
      <c r="EB29" s="564">
        <f>(EB39+EB40)/Detail!$C$8</f>
        <v>2565.9773644245702</v>
      </c>
      <c r="EC29" s="564">
        <f>(EC39+EC40)/Detail!$C$8</f>
        <v>2572.7150286446481</v>
      </c>
      <c r="ED29" s="564">
        <f>(ED39+ED40)/Detail!$C$8</f>
        <v>2577.0301165037354</v>
      </c>
      <c r="EE29" s="564">
        <f>(EE39+EE40)/Detail!$C$8</f>
        <v>2582.6544540507111</v>
      </c>
      <c r="EF29" s="564">
        <f>(EF39+EF40)/Detail!$C$8</f>
        <v>2589.578975185615</v>
      </c>
      <c r="EG29" s="564">
        <f>(EG39+EG40)/Detail!$C$8</f>
        <v>2596.5431183152209</v>
      </c>
      <c r="EH29" s="564">
        <f>(EH39+EH40)/Detail!$C$8</f>
        <v>2603.5868831907846</v>
      </c>
      <c r="EI29" s="564">
        <f>(EI39+EI40)/Detail!$C$8</f>
        <v>2610.6192536995673</v>
      </c>
      <c r="EJ29" s="564">
        <f>(EJ39+EJ40)/Detail!$C$8</f>
        <v>2617.6452755061109</v>
      </c>
      <c r="EK29" s="564">
        <f>(EK39+EK40)/Detail!$C$8</f>
        <v>2623.9222176474268</v>
      </c>
      <c r="EL29" s="564">
        <f>(EL39+EL40)/Detail!$C$8</f>
        <v>2629.7400725770258</v>
      </c>
      <c r="EM29" s="564">
        <f>(EM39+EM40)/Detail!$C$8</f>
        <v>2636.6576499170724</v>
      </c>
      <c r="EN29" s="564">
        <f>(EN39+EN40)/Detail!$C$8</f>
        <v>2643.6607076791593</v>
      </c>
      <c r="EO29" s="564">
        <f>(EO39+EO40)/Detail!$C$8</f>
        <v>2650.6422826690027</v>
      </c>
      <c r="EP29" s="564">
        <f>(EP39+EP40)/Detail!$C$8</f>
        <v>2657.6004619553514</v>
      </c>
      <c r="EQ29" s="564">
        <f>(EQ39+EQ40)/Detail!$C$8</f>
        <v>2662.0568642072585</v>
      </c>
      <c r="ER29" s="564">
        <f>(ER39+ER40)/Detail!$C$8</f>
        <v>2667.8654607943176</v>
      </c>
      <c r="ES29" s="564">
        <f>(ES39+ES40)/Detail!$C$8</f>
        <v>2675.0169564861371</v>
      </c>
      <c r="ET29" s="564">
        <f>(ET39+ET40)/Detail!$C$8</f>
        <v>2682.2095228483872</v>
      </c>
      <c r="EU29" s="564">
        <f>(EU39+EU40)/Detail!$C$8</f>
        <v>2689.4844760618316</v>
      </c>
      <c r="EV29" s="564">
        <f>(EV39+EV40)/Detail!$C$8</f>
        <v>2696.7478226341254</v>
      </c>
      <c r="EW29" s="564">
        <f>(EW39+EW40)/Detail!$C$8</f>
        <v>2704.0047733810661</v>
      </c>
      <c r="EX29" s="564">
        <f>(EX39+EX40)/Detail!$C$8</f>
        <v>2710.4881697578694</v>
      </c>
      <c r="EY29" s="564">
        <f>(EY39+EY40)/Detail!$C$8</f>
        <v>2716.4975076666515</v>
      </c>
      <c r="EZ29" s="564">
        <f>(EZ39+EZ40)/Detail!$C$8</f>
        <v>2723.6428615019208</v>
      </c>
      <c r="FA29" s="564">
        <f>(FA39+FA40)/Detail!$C$8</f>
        <v>2730.8766241862336</v>
      </c>
      <c r="FB29" s="564">
        <f>(FB39+FB40)/Detail!$C$8</f>
        <v>2738.0883186072697</v>
      </c>
      <c r="FC29" s="564">
        <f>(FC39+FC40)/Detail!$C$8</f>
        <v>2745.2759569334398</v>
      </c>
      <c r="FD29" s="564">
        <f>(FD39+FD40)/Detail!$C$8</f>
        <v>2749.879381526644</v>
      </c>
      <c r="FE29" s="564">
        <f>(FE39+FE40)/Detail!$C$8</f>
        <v>2755.8796828932373</v>
      </c>
      <c r="FF29" s="564">
        <f>(FF39+FF40)/Detail!$C$8</f>
        <v>2763.2672810113095</v>
      </c>
      <c r="FG29" s="564">
        <f>(FG39+FG40)/Detail!$C$8</f>
        <v>2770.6973598917475</v>
      </c>
      <c r="FH29" s="564">
        <f>(FH39+FH40)/Detail!$C$8</f>
        <v>2778.2125836321993</v>
      </c>
      <c r="FI29" s="564">
        <f>(FI39+FI40)/Detail!$C$8</f>
        <v>2785.7158567109873</v>
      </c>
      <c r="FJ29" s="564">
        <f>(FJ39+FJ40)/Detail!$C$8</f>
        <v>2793.2125529848331</v>
      </c>
      <c r="FK29" s="564">
        <f>(FK39+FK40)/Detail!$C$8</f>
        <v>2799.9101548829344</v>
      </c>
      <c r="FL29" s="564">
        <f>(FL39+FL40)/Detail!$C$8</f>
        <v>2806.1180425689899</v>
      </c>
      <c r="FM29" s="564">
        <f>(FM39+FM40)/Detail!$C$8</f>
        <v>2813.4994737486159</v>
      </c>
      <c r="FN29" s="564">
        <f>(FN39+FN40)/Detail!$C$8</f>
        <v>2820.9722249301262</v>
      </c>
      <c r="FO29" s="564">
        <f>(FO39+FO40)/Detail!$C$8</f>
        <v>2828.4221664136876</v>
      </c>
      <c r="FP29" s="564">
        <f>(FP39+FP40)/Detail!$C$8</f>
        <v>2835.8472401944655</v>
      </c>
      <c r="FQ29" s="564">
        <f>(FQ39+FQ40)/Detail!$C$8</f>
        <v>2840.6027157317844</v>
      </c>
      <c r="FR29" s="564">
        <f>(FR39+FR40)/Detail!$C$8</f>
        <v>2846.8011916242253</v>
      </c>
      <c r="FS29" s="564">
        <f>(FS39+FS40)/Detail!$C$8</f>
        <v>2854.4327589636646</v>
      </c>
      <c r="FT29" s="554"/>
      <c r="FU29" s="554"/>
      <c r="FV29" s="554"/>
      <c r="FW29" s="554"/>
      <c r="FX29" s="554"/>
      <c r="FZ29" s="565"/>
      <c r="GA29" s="523"/>
      <c r="GB29" s="566"/>
      <c r="GD29" s="565"/>
      <c r="GE29" s="567"/>
    </row>
    <row r="30" spans="2:187" ht="15.75" customHeight="1">
      <c r="B30" s="550" t="s">
        <v>298</v>
      </c>
      <c r="C30" s="551"/>
      <c r="D30" s="552"/>
      <c r="E30" s="563">
        <f>E29/Detail!$F$67</f>
        <v>1.8489124489795918</v>
      </c>
      <c r="F30" s="563">
        <f>+F29/Detail!$F$67</f>
        <v>1.8496590476190475</v>
      </c>
      <c r="G30" s="563">
        <f>+G29/Detail!$F$67</f>
        <v>1.8503807596371882</v>
      </c>
      <c r="H30" s="563">
        <f>+H29/Detail!$F$67</f>
        <v>1.8510784145880574</v>
      </c>
      <c r="I30" s="563">
        <f>+I29/Detail!$F$67</f>
        <v>1.8517528143738977</v>
      </c>
      <c r="J30" s="563">
        <f>+J29/Detail!$F$67</f>
        <v>1.8524047341668766</v>
      </c>
      <c r="K30" s="563">
        <f>+K29/Detail!$F$67</f>
        <v>1.8530349233000896</v>
      </c>
      <c r="L30" s="563">
        <f>+L29/Detail!$F$67</f>
        <v>1.8540339624638962</v>
      </c>
      <c r="M30" s="563">
        <f>+M29/Detail!$F$67</f>
        <v>1.8551566174970939</v>
      </c>
      <c r="N30" s="563">
        <f>+N29/Detail!$F$67</f>
        <v>1.8563991601636398</v>
      </c>
      <c r="O30" s="563">
        <f>+O29/Detail!$F$67</f>
        <v>1.8577579874827586</v>
      </c>
      <c r="P30" s="563">
        <f>+P29/Detail!$F$67</f>
        <v>1.8592296175562184</v>
      </c>
      <c r="Q30" s="563">
        <f>+Q29/Detail!$F$67</f>
        <v>1.8619913486302553</v>
      </c>
      <c r="R30" s="563">
        <f>+R29/Detail!$F$67</f>
        <v>1.8658782487908372</v>
      </c>
      <c r="S30" s="563">
        <f>+S29/Detail!$F$67</f>
        <v>1.8710347768437761</v>
      </c>
      <c r="T30" s="563">
        <f>+T29/Detail!$F$67</f>
        <v>1.8765514898541913</v>
      </c>
      <c r="U30" s="563">
        <f>+U29/Detail!$F$67</f>
        <v>1.8823974068124487</v>
      </c>
      <c r="V30" s="563">
        <f>+V29/Detail!$F$67</f>
        <v>1.8885628369895742</v>
      </c>
      <c r="W30" s="563">
        <f>+W29/Detail!$F$67</f>
        <v>1.8950484903725988</v>
      </c>
      <c r="X30" s="563">
        <f>+X29/Detail!$F$67</f>
        <v>1.9011155869593925</v>
      </c>
      <c r="Y30" s="563">
        <f>+Y29/Detail!$F$67</f>
        <v>1.9069822800305631</v>
      </c>
      <c r="Z30" s="563">
        <f>+Z29/Detail!$F$67</f>
        <v>1.9139524028153252</v>
      </c>
      <c r="AA30" s="563">
        <f>+AA29/Detail!$F$67</f>
        <v>1.9210039574246316</v>
      </c>
      <c r="AB30" s="563">
        <f>+AB29/Detail!$F$67</f>
        <v>1.928032154884548</v>
      </c>
      <c r="AC30" s="563">
        <f>+AC29/Detail!$F$67</f>
        <v>1.9350079956657551</v>
      </c>
      <c r="AD30" s="563">
        <f>+AD29/Detail!$F$67</f>
        <v>1.9394104136853239</v>
      </c>
      <c r="AE30" s="563">
        <f>+AE29/Detail!$F$67</f>
        <v>1.9451118699103425</v>
      </c>
      <c r="AF30" s="563">
        <f>+AF29/Detail!$F$67</f>
        <v>1.9520418879941994</v>
      </c>
      <c r="AG30" s="563">
        <f>+AG29/Detail!$F$67</f>
        <v>1.9588738252759688</v>
      </c>
      <c r="AH30" s="563">
        <f>+AH29/Detail!$F$67</f>
        <v>1.9656261493363789</v>
      </c>
      <c r="AI30" s="563">
        <f>+AI29/Detail!$F$67</f>
        <v>1.9722041504669501</v>
      </c>
      <c r="AJ30" s="563">
        <f>+AJ29/Detail!$F$67</f>
        <v>1.9786117725519381</v>
      </c>
      <c r="AK30" s="563">
        <f>+AK29/Detail!$F$67</f>
        <v>1.9841839196342592</v>
      </c>
      <c r="AL30" s="563">
        <f>+AL29/Detail!$F$67</f>
        <v>1.9892115316754146</v>
      </c>
      <c r="AM30" s="563">
        <f>+AM29/Detail!$F$67</f>
        <v>1.995079258359773</v>
      </c>
      <c r="AN30" s="563">
        <f>+AN29/Detail!$F$67</f>
        <v>2.0008905768449425</v>
      </c>
      <c r="AO30" s="563">
        <f>+AO29/Detail!$F$67</f>
        <v>2.0065441537589011</v>
      </c>
      <c r="AP30" s="563">
        <f>+AP29/Detail!$F$67</f>
        <v>2.0120492119016631</v>
      </c>
      <c r="AQ30" s="563">
        <f>+AQ29/Detail!$F$67</f>
        <v>2.0154966300402233</v>
      </c>
      <c r="AR30" s="563">
        <f>+AR29/Detail!$F$67</f>
        <v>2.0199046710247037</v>
      </c>
      <c r="AS30" s="563">
        <f>+AS29/Detail!$F$67</f>
        <v>2.025236774899458</v>
      </c>
      <c r="AT30" s="563">
        <f>+AT29/Detail!$F$67</f>
        <v>2.0305279019461437</v>
      </c>
      <c r="AU30" s="563">
        <f>+AU29/Detail!$F$67</f>
        <v>2.0358264276227667</v>
      </c>
      <c r="AV30" s="563">
        <f>+AV29/Detail!$F$67</f>
        <v>2.0410605348692084</v>
      </c>
      <c r="AW30" s="563">
        <f>+AW29/Detail!$F$67</f>
        <v>2.046244180700564</v>
      </c>
      <c r="AX30" s="563">
        <f>+AX29/Detail!$F$67</f>
        <v>2.0508470040143485</v>
      </c>
      <c r="AY30" s="563">
        <f>+AY29/Detail!$F$67</f>
        <v>2.0550963379369498</v>
      </c>
      <c r="AZ30" s="563">
        <f>+AZ29/Detail!$F$67</f>
        <v>2.0601492197928795</v>
      </c>
      <c r="BA30" s="563">
        <f>+BA29/Detail!$F$67</f>
        <v>2.0652672922360011</v>
      </c>
      <c r="BB30" s="563">
        <f>+BB29/Detail!$F$67</f>
        <v>2.0703746313437974</v>
      </c>
      <c r="BC30" s="563">
        <f>+BC29/Detail!$F$67</f>
        <v>2.0754757358735767</v>
      </c>
      <c r="BD30" s="563">
        <f>+BD29/Detail!$F$67</f>
        <v>2.0787582273325351</v>
      </c>
      <c r="BE30" s="563">
        <f>+BE29/Detail!$F$67</f>
        <v>2.0830485434348662</v>
      </c>
      <c r="BF30" s="563">
        <f>+BF29/Detail!$F$67</f>
        <v>2.0883522190229393</v>
      </c>
      <c r="BG30" s="563">
        <f>+BG29/Detail!$F$67</f>
        <v>2.0937136665723757</v>
      </c>
      <c r="BH30" s="563">
        <f>+BH29/Detail!$F$67</f>
        <v>2.0991647142326499</v>
      </c>
      <c r="BI30" s="563">
        <f>+BI29/Detail!$F$67</f>
        <v>2.1046367557437522</v>
      </c>
      <c r="BJ30" s="563">
        <f>+BJ29/Detail!$F$67</f>
        <v>2.1101337211459814</v>
      </c>
      <c r="BK30" s="563">
        <f>+BK29/Detail!$F$67</f>
        <v>2.1150717489172375</v>
      </c>
      <c r="BL30" s="563">
        <f>+BL29/Detail!$F$67</f>
        <v>2.1196726142639117</v>
      </c>
      <c r="BM30" s="563">
        <f>+BM29/Detail!$F$67</f>
        <v>2.1251616725392308</v>
      </c>
      <c r="BN30" s="563">
        <f>+BN29/Detail!$F$67</f>
        <v>2.1307400017490714</v>
      </c>
      <c r="BO30" s="563">
        <f>+BO29/Detail!$F$67</f>
        <v>2.1363242722628133</v>
      </c>
      <c r="BP30" s="563">
        <f>+BP29/Detail!$F$67</f>
        <v>2.1419107895360154</v>
      </c>
      <c r="BQ30" s="563">
        <f>+BQ29/Detail!$F$67</f>
        <v>2.1455009359212127</v>
      </c>
      <c r="BR30" s="563">
        <f>+BR29/Detail!$F$67</f>
        <v>2.1501940787973193</v>
      </c>
      <c r="BS30" s="563">
        <f>+BS29/Detail!$F$67</f>
        <v>2.1559869815865889</v>
      </c>
      <c r="BT30" s="563">
        <f>+BT29/Detail!$F$67</f>
        <v>2.1618236467137</v>
      </c>
      <c r="BU30" s="563">
        <f>+BU29/Detail!$F$67</f>
        <v>2.1677345227766867</v>
      </c>
      <c r="BV30" s="563">
        <f>+BV29/Detail!$F$67</f>
        <v>2.1736436936739576</v>
      </c>
      <c r="BW30" s="563">
        <f>+BW29/Detail!$F$67</f>
        <v>2.1795536892216574</v>
      </c>
      <c r="BX30" s="563">
        <f>+BX29/Detail!$F$67</f>
        <v>2.1848369537911601</v>
      </c>
      <c r="BY30" s="563">
        <f>+BY29/Detail!$F$67</f>
        <v>2.1897354399180871</v>
      </c>
      <c r="BZ30" s="563">
        <f>+BZ29/Detail!$F$67</f>
        <v>2.195558899537116</v>
      </c>
      <c r="CA30" s="563">
        <f>+CA29/Detail!$F$67</f>
        <v>2.2014528019271675</v>
      </c>
      <c r="CB30" s="563">
        <f>+CB29/Detail!$F$67</f>
        <v>2.2073266542738375</v>
      </c>
      <c r="CC30" s="563">
        <f>+CC29/Detail!$F$67</f>
        <v>2.2131779664452789</v>
      </c>
      <c r="CD30" s="563">
        <f>+CD29/Detail!$F$67</f>
        <v>2.2169222790849425</v>
      </c>
      <c r="CE30" s="563">
        <f>+CE29/Detail!$F$67</f>
        <v>2.2218000658375381</v>
      </c>
      <c r="CF30" s="563">
        <f>+CF29/Detail!$F$67</f>
        <v>2.2278012370946412</v>
      </c>
      <c r="CG30" s="563">
        <f>+CG29/Detail!$F$67</f>
        <v>2.2338317879859253</v>
      </c>
      <c r="CH30" s="563">
        <f>+CH29/Detail!$F$67</f>
        <v>2.2399263394087381</v>
      </c>
      <c r="CI30" s="563">
        <f>+CI29/Detail!$F$67</f>
        <v>2.2460058215660776</v>
      </c>
      <c r="CJ30" s="563">
        <f>+CJ29/Detail!$F$67</f>
        <v>2.2520746795217739</v>
      </c>
      <c r="CK30" s="563">
        <f>+CK29/Detail!$F$67</f>
        <v>2.2574919511866325</v>
      </c>
      <c r="CL30" s="563">
        <f>+CL29/Detail!$F$67</f>
        <v>2.2625090466349222</v>
      </c>
      <c r="CM30" s="563">
        <f>+CM29/Detail!$F$67</f>
        <v>2.2684715518868512</v>
      </c>
      <c r="CN30" s="563">
        <f>+CN29/Detail!$F$67</f>
        <v>2.2745043399806693</v>
      </c>
      <c r="CO30" s="563">
        <f>+CO29/Detail!$F$67</f>
        <v>2.2805149874536803</v>
      </c>
      <c r="CP30" s="563">
        <f>+CP29/Detail!$F$67</f>
        <v>2.2865022408954951</v>
      </c>
      <c r="CQ30" s="563">
        <f>+CQ29/Detail!$F$67</f>
        <v>2.2903349855638893</v>
      </c>
      <c r="CR30" s="563">
        <f>+CR29/Detail!$F$67</f>
        <v>2.2953286112071742</v>
      </c>
      <c r="CS30" s="563">
        <f>+CS29/Detail!$F$67</f>
        <v>2.3014745472237452</v>
      </c>
      <c r="CT30" s="563">
        <f>+CT29/Detail!$F$67</f>
        <v>2.3076543302881651</v>
      </c>
      <c r="CU30" s="563">
        <f>+CU29/Detail!$F$67</f>
        <v>2.3139039581600445</v>
      </c>
      <c r="CV30" s="563">
        <f>+CV29/Detail!$F$67</f>
        <v>2.3201426274075638</v>
      </c>
      <c r="CW30" s="563">
        <f>+CW29/Detail!$F$67</f>
        <v>2.3263750862909864</v>
      </c>
      <c r="CX30" s="563">
        <f>+CX29/Detail!$F$67</f>
        <v>2.3319429009183641</v>
      </c>
      <c r="CY30" s="563">
        <f>+CY29/Detail!$F$67</f>
        <v>2.3371035559811175</v>
      </c>
      <c r="CZ30" s="563">
        <f>+CZ29/Detail!$F$67</f>
        <v>2.3432401083765484</v>
      </c>
      <c r="DA30" s="563">
        <f>+DA29/Detail!$F$67</f>
        <v>2.3494530198046872</v>
      </c>
      <c r="DB30" s="563">
        <f>+DB29/Detail!$F$67</f>
        <v>2.3556474956373497</v>
      </c>
      <c r="DC30" s="563">
        <f>+DC29/Detail!$F$67</f>
        <v>2.3618219496015636</v>
      </c>
      <c r="DD30" s="563">
        <f>+DD29/Detail!$F$67</f>
        <v>2.3657770829137572</v>
      </c>
      <c r="DE30" s="563">
        <f>+DE29/Detail!$F$67</f>
        <v>2.3709329173389682</v>
      </c>
      <c r="DF30" s="563">
        <f>+DF29/Detail!$F$67</f>
        <v>2.3772816229965472</v>
      </c>
      <c r="DG30" s="563">
        <f>+DG29/Detail!$F$67</f>
        <v>2.3836677388808001</v>
      </c>
      <c r="DH30" s="563">
        <f>+DH29/Detail!$F$67</f>
        <v>2.3901279105226068</v>
      </c>
      <c r="DI30" s="563">
        <f>+DI29/Detail!$F$67</f>
        <v>2.3965787296850558</v>
      </c>
      <c r="DJ30" s="563">
        <f>+DJ29/Detail!$F$67</f>
        <v>2.4030247879880697</v>
      </c>
      <c r="DK30" s="563">
        <f>+DK29/Detail!$F$67</f>
        <v>2.4087845165073367</v>
      </c>
      <c r="DL30" s="563">
        <f>+DL29/Detail!$F$67</f>
        <v>2.4141237685229067</v>
      </c>
      <c r="DM30" s="563">
        <f>+DM29/Detail!$F$67</f>
        <v>2.420472830300203</v>
      </c>
      <c r="DN30" s="563">
        <f>+DN29/Detail!$F$67</f>
        <v>2.4269009820887821</v>
      </c>
      <c r="DO30" s="563">
        <f>+DO29/Detail!$F$67</f>
        <v>2.4333100898098139</v>
      </c>
      <c r="DP30" s="563">
        <f>+DP29/Detail!$F$67</f>
        <v>2.4396983109812509</v>
      </c>
      <c r="DQ30" s="563">
        <f>+DQ29/Detail!$F$67</f>
        <v>2.4437899924366482</v>
      </c>
      <c r="DR30" s="563">
        <f>+DR29/Detail!$F$67</f>
        <v>2.4491235695149496</v>
      </c>
      <c r="DS30" s="563">
        <f>+DS29/Detail!$F$67</f>
        <v>2.455690590826292</v>
      </c>
      <c r="DT30" s="563">
        <f>+DT29/Detail!$F$67</f>
        <v>2.4622955430112867</v>
      </c>
      <c r="DU30" s="563">
        <f>+DU29/Detail!$F$67</f>
        <v>2.4689762705347031</v>
      </c>
      <c r="DV30" s="563">
        <f>+DV29/Detail!$F$67</f>
        <v>2.4756464644293601</v>
      </c>
      <c r="DW30" s="563">
        <f>+DW29/Detail!$F$67</f>
        <v>2.4823108585640625</v>
      </c>
      <c r="DX30" s="563">
        <f>+DX29/Detail!$F$67</f>
        <v>2.4882648618293786</v>
      </c>
      <c r="DY30" s="563">
        <f>+DY29/Detail!$F$67</f>
        <v>2.4937834748169561</v>
      </c>
      <c r="DZ30" s="563">
        <f>+DZ29/Detail!$F$67</f>
        <v>2.5003452381901132</v>
      </c>
      <c r="EA30" s="563">
        <f>+EA29/Detail!$F$67</f>
        <v>2.5069880641302693</v>
      </c>
      <c r="EB30" s="563">
        <f>+EB29/Detail!$F$67</f>
        <v>2.5136104794363137</v>
      </c>
      <c r="EC30" s="563">
        <f>+EC29/Detail!$F$67</f>
        <v>2.5202106403049611</v>
      </c>
      <c r="ED30" s="563">
        <f>+ED29/Detail!$F$67</f>
        <v>2.5244376651465164</v>
      </c>
      <c r="EE30" s="563">
        <f>+EE29/Detail!$F$67</f>
        <v>2.5299472202945741</v>
      </c>
      <c r="EF30" s="563">
        <f>+EF29/Detail!$F$67</f>
        <v>2.5367304246716227</v>
      </c>
      <c r="EG30" s="563">
        <f>+EG29/Detail!$F$67</f>
        <v>2.5435524424312366</v>
      </c>
      <c r="EH30" s="563">
        <f>+EH29/Detail!$F$67</f>
        <v>2.5504524570032174</v>
      </c>
      <c r="EI30" s="563">
        <f>+EI29/Detail!$F$67</f>
        <v>2.5573413097465147</v>
      </c>
      <c r="EJ30" s="563">
        <f>+EJ29/Detail!$F$67</f>
        <v>2.5642239433529248</v>
      </c>
      <c r="EK30" s="563">
        <f>+EK29/Detail!$F$67</f>
        <v>2.5703727846342139</v>
      </c>
      <c r="EL30" s="563">
        <f>+EL29/Detail!$F$67</f>
        <v>2.5760719078305558</v>
      </c>
      <c r="EM30" s="563">
        <f>+EM29/Detail!$F$67</f>
        <v>2.5828483101228463</v>
      </c>
      <c r="EN30" s="563">
        <f>+EN29/Detail!$F$67</f>
        <v>2.5897084483387682</v>
      </c>
      <c r="EO30" s="563">
        <f>+EO29/Detail!$F$67</f>
        <v>2.5965475422063697</v>
      </c>
      <c r="EP30" s="563">
        <f>+EP29/Detail!$F$67</f>
        <v>2.6033637178338136</v>
      </c>
      <c r="EQ30" s="563">
        <f>+EQ29/Detail!$F$67</f>
        <v>2.6077291731009877</v>
      </c>
      <c r="ER30" s="563">
        <f>+ER29/Detail!$F$67</f>
        <v>2.6134192269005561</v>
      </c>
      <c r="ES30" s="563">
        <f>+ES29/Detail!$F$67</f>
        <v>2.6204247737007056</v>
      </c>
      <c r="ET30" s="563">
        <f>+ET29/Detail!$F$67</f>
        <v>2.6274705529943385</v>
      </c>
      <c r="EU30" s="563">
        <f>+EU29/Detail!$F$67</f>
        <v>2.6345970377748555</v>
      </c>
      <c r="EV30" s="563">
        <f>+EV29/Detail!$F$67</f>
        <v>2.6417121527844492</v>
      </c>
      <c r="EW30" s="563">
        <f>+EW29/Detail!$F$67</f>
        <v>2.6488210024957382</v>
      </c>
      <c r="EX30" s="563">
        <f>+EX29/Detail!$F$67</f>
        <v>2.6551720846607698</v>
      </c>
      <c r="EY30" s="563">
        <f>+EY29/Detail!$F$67</f>
        <v>2.6610587830203931</v>
      </c>
      <c r="EZ30" s="563">
        <f>+EZ29/Detail!$F$67</f>
        <v>2.6680583133080038</v>
      </c>
      <c r="FA30" s="563">
        <f>+FA29/Detail!$F$67</f>
        <v>2.6751444481824329</v>
      </c>
      <c r="FB30" s="563">
        <f>+FB29/Detail!$F$67</f>
        <v>2.6822089651663048</v>
      </c>
      <c r="FC30" s="563">
        <f>+FC29/Detail!$F$67</f>
        <v>2.6892499169960224</v>
      </c>
      <c r="FD30" s="563">
        <f>+FD29/Detail!$F$67</f>
        <v>2.6937593941485489</v>
      </c>
      <c r="FE30" s="563">
        <f>+FE29/Detail!$F$67</f>
        <v>2.6996372403852118</v>
      </c>
      <c r="FF30" s="563">
        <f>+FF29/Detail!$F$67</f>
        <v>2.7068740711947519</v>
      </c>
      <c r="FG30" s="563">
        <f>+FG29/Detail!$F$67</f>
        <v>2.7141525158123239</v>
      </c>
      <c r="FH30" s="563">
        <f>+FH29/Detail!$F$67</f>
        <v>2.7215143676397053</v>
      </c>
      <c r="FI30" s="563">
        <f>+FI29/Detail!$F$67</f>
        <v>2.7288645126964775</v>
      </c>
      <c r="FJ30" s="563">
        <f>+FJ29/Detail!$F$67</f>
        <v>2.7362082151688161</v>
      </c>
      <c r="FK30" s="563">
        <f>+FK29/Detail!$F$67</f>
        <v>2.7427691313138949</v>
      </c>
      <c r="FL30" s="563">
        <f>+FL29/Detail!$F$67</f>
        <v>2.7488503274145208</v>
      </c>
      <c r="FM30" s="563">
        <f>+FM29/Detail!$F$67</f>
        <v>2.7560811171415009</v>
      </c>
      <c r="FN30" s="563">
        <f>+FN29/Detail!$F$67</f>
        <v>2.7634013631968584</v>
      </c>
      <c r="FO30" s="563">
        <f>+FO29/Detail!$F$67</f>
        <v>2.770699265058306</v>
      </c>
      <c r="FP30" s="563">
        <f>+FP29/Detail!$F$67</f>
        <v>2.7779728067211091</v>
      </c>
      <c r="FQ30" s="563">
        <f>+FQ29/Detail!$F$67</f>
        <v>2.7826312317372581</v>
      </c>
      <c r="FR30" s="563">
        <f>+FR29/Detail!$F$67</f>
        <v>2.78870320812169</v>
      </c>
      <c r="FS30" s="563">
        <f>+FS29/Detail!$F$67</f>
        <v>2.7961790291888957</v>
      </c>
      <c r="FT30" s="554"/>
      <c r="FU30" s="554"/>
      <c r="FV30" s="554"/>
      <c r="FW30" s="554"/>
      <c r="FX30" s="554"/>
    </row>
    <row r="31" spans="2:187" s="572" customFormat="1" ht="24" customHeight="1">
      <c r="B31" s="568" t="s">
        <v>299</v>
      </c>
      <c r="C31" s="569"/>
      <c r="D31" s="569"/>
      <c r="E31" s="570">
        <f>1+E41/(E39+E40)</f>
        <v>0.94939429367799322</v>
      </c>
      <c r="F31" s="570">
        <f t="shared" ref="F31:P31" si="63">1+F41/(F39+F40)</f>
        <v>0.94941472022716589</v>
      </c>
      <c r="G31" s="570">
        <f t="shared" si="63"/>
        <v>0.94943445022282369</v>
      </c>
      <c r="H31" s="570">
        <f t="shared" si="63"/>
        <v>0.94945350792770944</v>
      </c>
      <c r="I31" s="570">
        <f t="shared" si="63"/>
        <v>0.94947191672566777</v>
      </c>
      <c r="J31" s="570">
        <f t="shared" si="63"/>
        <v>0.94948969915570591</v>
      </c>
      <c r="K31" s="570">
        <f t="shared" si="63"/>
        <v>0.94950687694459013</v>
      </c>
      <c r="L31" s="570">
        <f t="shared" si="63"/>
        <v>0.94940792018473585</v>
      </c>
      <c r="M31" s="570">
        <f t="shared" si="63"/>
        <v>0.94931213251333257</v>
      </c>
      <c r="N31" s="570">
        <f t="shared" si="63"/>
        <v>0.94921942454532038</v>
      </c>
      <c r="O31" s="570">
        <f t="shared" si="63"/>
        <v>0.94912970860170376</v>
      </c>
      <c r="P31" s="570">
        <f t="shared" si="63"/>
        <v>0.94904289873527548</v>
      </c>
      <c r="Q31" s="570">
        <f>Q23/Detail!$D$67</f>
        <v>0.94999999999999984</v>
      </c>
      <c r="R31" s="570">
        <f>R23/Detail!$D$67</f>
        <v>0.94999999999999984</v>
      </c>
      <c r="S31" s="570">
        <f>S23/Detail!$D$67</f>
        <v>0.94999999999999984</v>
      </c>
      <c r="T31" s="570">
        <f>T23/Detail!$D$67</f>
        <v>0.94999999999999984</v>
      </c>
      <c r="U31" s="570">
        <f>U23/Detail!$D$67</f>
        <v>0.94999999999999984</v>
      </c>
      <c r="V31" s="570">
        <f>V23/Detail!$D$67</f>
        <v>0.94999999999999984</v>
      </c>
      <c r="W31" s="570">
        <f>W23/Detail!$D$67</f>
        <v>0.94999999999999984</v>
      </c>
      <c r="X31" s="570">
        <f>X23/Detail!$D$67</f>
        <v>0.94999999999999984</v>
      </c>
      <c r="Y31" s="570">
        <f>Y23/Detail!$D$67</f>
        <v>0.94999999999999984</v>
      </c>
      <c r="Z31" s="570">
        <f>Z23/Detail!$D$67</f>
        <v>0.94999999999999984</v>
      </c>
      <c r="AA31" s="570">
        <f>AA23/Detail!$D$67</f>
        <v>0.94999999999999984</v>
      </c>
      <c r="AB31" s="570">
        <f>AB23/Detail!$D$67</f>
        <v>0.94999999999999984</v>
      </c>
      <c r="AC31" s="570">
        <f>AC23/Detail!$D$67</f>
        <v>0.94999999999999984</v>
      </c>
      <c r="AD31" s="570">
        <f>AD23/Detail!$D$67</f>
        <v>0.94999999999999984</v>
      </c>
      <c r="AE31" s="570">
        <f>AE23/Detail!$D$67</f>
        <v>0.94999999999999984</v>
      </c>
      <c r="AF31" s="570">
        <f>AF23/Detail!$D$67</f>
        <v>0.94999999999999984</v>
      </c>
      <c r="AG31" s="570">
        <f>AG23/Detail!$D$67</f>
        <v>0.94999999999999984</v>
      </c>
      <c r="AH31" s="570">
        <f>AH23/Detail!$D$67</f>
        <v>0.94999999999999984</v>
      </c>
      <c r="AI31" s="570">
        <f>AI23/Detail!$D$67</f>
        <v>0.94999999999999984</v>
      </c>
      <c r="AJ31" s="570">
        <f>AJ23/Detail!$D$67</f>
        <v>0.94999999999999984</v>
      </c>
      <c r="AK31" s="570">
        <f>AK23/Detail!$D$67</f>
        <v>0.94999999999999984</v>
      </c>
      <c r="AL31" s="570">
        <f>AL23/Detail!$D$67</f>
        <v>0.94999999999999984</v>
      </c>
      <c r="AM31" s="570">
        <f>AM23/Detail!$D$67</f>
        <v>0.94999999999999984</v>
      </c>
      <c r="AN31" s="570">
        <f>AN23/Detail!$D$67</f>
        <v>0.94999999999999984</v>
      </c>
      <c r="AO31" s="570">
        <f>AO23/Detail!$D$67</f>
        <v>0.94999999999999984</v>
      </c>
      <c r="AP31" s="570">
        <f>AP23/Detail!$D$67</f>
        <v>0.94999999999999984</v>
      </c>
      <c r="AQ31" s="570">
        <f>AQ23/Detail!$D$67</f>
        <v>0.94999999999999984</v>
      </c>
      <c r="AR31" s="570">
        <f>AR23/Detail!$D$67</f>
        <v>0.94999999999999984</v>
      </c>
      <c r="AS31" s="570">
        <f>AS23/Detail!$D$67</f>
        <v>0.94999999999999984</v>
      </c>
      <c r="AT31" s="570">
        <f>AT23/Detail!$D$67</f>
        <v>0.94999999999999984</v>
      </c>
      <c r="AU31" s="570">
        <f>AU23/Detail!$D$67</f>
        <v>0.94999999999999984</v>
      </c>
      <c r="AV31" s="570">
        <f>AV23/Detail!$D$67</f>
        <v>0.94999999999999984</v>
      </c>
      <c r="AW31" s="570">
        <f>AW23/Detail!$D$67</f>
        <v>0.94999999999999984</v>
      </c>
      <c r="AX31" s="570">
        <f>AX23/Detail!$D$67</f>
        <v>0.94999999999999984</v>
      </c>
      <c r="AY31" s="570">
        <f>AY23/Detail!$D$67</f>
        <v>0.94999999999999984</v>
      </c>
      <c r="AZ31" s="570">
        <f>AZ23/Detail!$D$67</f>
        <v>0.94999999999999984</v>
      </c>
      <c r="BA31" s="570">
        <f>BA23/Detail!$D$67</f>
        <v>0.94999999999999984</v>
      </c>
      <c r="BB31" s="570">
        <f>BB23/Detail!$D$67</f>
        <v>0.94999999999999984</v>
      </c>
      <c r="BC31" s="570">
        <f>BC23/Detail!$D$67</f>
        <v>0.94999999999999984</v>
      </c>
      <c r="BD31" s="570">
        <f>BD23/Detail!$D$67</f>
        <v>0.94999999999999984</v>
      </c>
      <c r="BE31" s="570">
        <f>BE23/Detail!$D$67</f>
        <v>0.94999999999999984</v>
      </c>
      <c r="BF31" s="570">
        <f>BF23/Detail!$D$67</f>
        <v>0.94999999999999984</v>
      </c>
      <c r="BG31" s="570">
        <f>BG23/Detail!$D$67</f>
        <v>0.94999999999999984</v>
      </c>
      <c r="BH31" s="570">
        <f>BH23/Detail!$D$67</f>
        <v>0.94999999999999984</v>
      </c>
      <c r="BI31" s="570">
        <f>BI23/Detail!$D$67</f>
        <v>0.94999999999999984</v>
      </c>
      <c r="BJ31" s="570">
        <f>BJ23/Detail!$D$67</f>
        <v>0.94999999999999984</v>
      </c>
      <c r="BK31" s="570">
        <f>BK23/Detail!$D$67</f>
        <v>0.94999999999999984</v>
      </c>
      <c r="BL31" s="570">
        <f>BL23/Detail!$D$67</f>
        <v>0.94999999999999984</v>
      </c>
      <c r="BM31" s="570">
        <f>BM23/Detail!$D$67</f>
        <v>0.94999999999999984</v>
      </c>
      <c r="BN31" s="570">
        <f>BN23/Detail!$D$67</f>
        <v>0.94999999999999984</v>
      </c>
      <c r="BO31" s="570">
        <f>BO23/Detail!$D$67</f>
        <v>0.94999999999999984</v>
      </c>
      <c r="BP31" s="570">
        <f>BP23/Detail!$D$67</f>
        <v>0.94999999999999984</v>
      </c>
      <c r="BQ31" s="570">
        <f>BQ23/Detail!$D$67</f>
        <v>0.94999999999999984</v>
      </c>
      <c r="BR31" s="570">
        <f>BR23/Detail!$D$67</f>
        <v>0.94999999999999984</v>
      </c>
      <c r="BS31" s="570">
        <f>BS23/Detail!$D$67</f>
        <v>0.94999999999999984</v>
      </c>
      <c r="BT31" s="570">
        <f>BT23/Detail!$D$67</f>
        <v>0.94999999999999984</v>
      </c>
      <c r="BU31" s="570">
        <f>BU23/Detail!$D$67</f>
        <v>0.94999999999999984</v>
      </c>
      <c r="BV31" s="570">
        <f>BV23/Detail!$D$67</f>
        <v>0.94999999999999984</v>
      </c>
      <c r="BW31" s="570">
        <f>BW23/Detail!$D$67</f>
        <v>0.94999999999999984</v>
      </c>
      <c r="BX31" s="570">
        <f>BX23/Detail!$D$67</f>
        <v>0.94999999999999984</v>
      </c>
      <c r="BY31" s="570">
        <f>BY23/Detail!$D$67</f>
        <v>0.94999999999999984</v>
      </c>
      <c r="BZ31" s="570">
        <f>BZ23/Detail!$D$67</f>
        <v>0.94999999999999984</v>
      </c>
      <c r="CA31" s="570">
        <f>CA23/Detail!$D$67</f>
        <v>0.94999999999999984</v>
      </c>
      <c r="CB31" s="570">
        <f>CB23/Detail!$D$67</f>
        <v>0.94999999999999984</v>
      </c>
      <c r="CC31" s="570">
        <f>CC23/Detail!$D$67</f>
        <v>0.94999999999999984</v>
      </c>
      <c r="CD31" s="570">
        <f>CD23/Detail!$D$67</f>
        <v>0.94999999999999984</v>
      </c>
      <c r="CE31" s="570">
        <f>CE23/Detail!$D$67</f>
        <v>0.94999999999999984</v>
      </c>
      <c r="CF31" s="570">
        <f>CF23/Detail!$D$67</f>
        <v>0.94999999999999984</v>
      </c>
      <c r="CG31" s="570">
        <f>CG23/Detail!$D$67</f>
        <v>0.94999999999999984</v>
      </c>
      <c r="CH31" s="570">
        <f>CH23/Detail!$D$67</f>
        <v>0.94999999999999984</v>
      </c>
      <c r="CI31" s="570">
        <f>CI23/Detail!$D$67</f>
        <v>0.94999999999999984</v>
      </c>
      <c r="CJ31" s="570">
        <f>CJ23/Detail!$D$67</f>
        <v>0.94999999999999984</v>
      </c>
      <c r="CK31" s="570">
        <f>CK23/Detail!$D$67</f>
        <v>0.94999999999999984</v>
      </c>
      <c r="CL31" s="570">
        <f>CL23/Detail!$D$67</f>
        <v>0.94999999999999984</v>
      </c>
      <c r="CM31" s="570">
        <f>CM23/Detail!$D$67</f>
        <v>0.94999999999999984</v>
      </c>
      <c r="CN31" s="570">
        <f>CN23/Detail!$D$67</f>
        <v>0.94999999999999984</v>
      </c>
      <c r="CO31" s="570">
        <f>CO23/Detail!$D$67</f>
        <v>0.94999999999999984</v>
      </c>
      <c r="CP31" s="570">
        <f>CP23/Detail!$D$67</f>
        <v>0.94999999999999984</v>
      </c>
      <c r="CQ31" s="570">
        <f>CQ23/Detail!$D$67</f>
        <v>0.94999999999999984</v>
      </c>
      <c r="CR31" s="570">
        <f>CR23/Detail!$D$67</f>
        <v>0.94999999999999984</v>
      </c>
      <c r="CS31" s="570">
        <f>CS23/Detail!$D$67</f>
        <v>0.94999999999999984</v>
      </c>
      <c r="CT31" s="570">
        <f>CT23/Detail!$D$67</f>
        <v>0.94999999999999984</v>
      </c>
      <c r="CU31" s="570">
        <f>CU23/Detail!$D$67</f>
        <v>0.94999999999999984</v>
      </c>
      <c r="CV31" s="570">
        <f>CV23/Detail!$D$67</f>
        <v>0.94999999999999984</v>
      </c>
      <c r="CW31" s="570">
        <f>CW23/Detail!$D$67</f>
        <v>0.94999999999999984</v>
      </c>
      <c r="CX31" s="570">
        <f>CX23/Detail!$D$67</f>
        <v>0.94999999999999984</v>
      </c>
      <c r="CY31" s="570">
        <f>CY23/Detail!$D$67</f>
        <v>0.94999999999999984</v>
      </c>
      <c r="CZ31" s="570">
        <f>CZ23/Detail!$D$67</f>
        <v>0.94999999999999984</v>
      </c>
      <c r="DA31" s="570">
        <f>DA23/Detail!$D$67</f>
        <v>0.94999999999999984</v>
      </c>
      <c r="DB31" s="570">
        <f>DB23/Detail!$D$67</f>
        <v>0.94999999999999984</v>
      </c>
      <c r="DC31" s="570">
        <f>DC23/Detail!$D$67</f>
        <v>0.94999999999999984</v>
      </c>
      <c r="DD31" s="570">
        <f>DD23/Detail!$D$67</f>
        <v>0.94999999999999984</v>
      </c>
      <c r="DE31" s="570">
        <f>DE23/Detail!$D$67</f>
        <v>0.94999999999999984</v>
      </c>
      <c r="DF31" s="570">
        <f>DF23/Detail!$D$67</f>
        <v>0.94999999999999984</v>
      </c>
      <c r="DG31" s="570">
        <f>DG23/Detail!$D$67</f>
        <v>0.94999999999999984</v>
      </c>
      <c r="DH31" s="570">
        <f>DH23/Detail!$D$67</f>
        <v>0.94999999999999984</v>
      </c>
      <c r="DI31" s="570">
        <f>DI23/Detail!$D$67</f>
        <v>0.94999999999999984</v>
      </c>
      <c r="DJ31" s="570">
        <f>DJ23/Detail!$D$67</f>
        <v>0.94999999999999984</v>
      </c>
      <c r="DK31" s="570">
        <f>DK23/Detail!$D$67</f>
        <v>0.94999999999999984</v>
      </c>
      <c r="DL31" s="570">
        <f>DL23/Detail!$D$67</f>
        <v>0.94999999999999984</v>
      </c>
      <c r="DM31" s="570">
        <f>DM23/Detail!$D$67</f>
        <v>0.94999999999999984</v>
      </c>
      <c r="DN31" s="570">
        <f>DN23/Detail!$D$67</f>
        <v>0.94999999999999984</v>
      </c>
      <c r="DO31" s="570">
        <f>DO23/Detail!$D$67</f>
        <v>0.94999999999999984</v>
      </c>
      <c r="DP31" s="570">
        <f>DP23/Detail!$D$67</f>
        <v>0.94999999999999984</v>
      </c>
      <c r="DQ31" s="570">
        <f>DQ23/Detail!$D$67</f>
        <v>0.94999999999999984</v>
      </c>
      <c r="DR31" s="570">
        <f>DR23/Detail!$D$67</f>
        <v>0.94999999999999984</v>
      </c>
      <c r="DS31" s="570">
        <f>DS23/Detail!$D$67</f>
        <v>0.94999999999999984</v>
      </c>
      <c r="DT31" s="570">
        <f>DT23/Detail!$D$67</f>
        <v>0.94999999999999984</v>
      </c>
      <c r="DU31" s="570">
        <f>DU23/Detail!$D$67</f>
        <v>0.94999999999999984</v>
      </c>
      <c r="DV31" s="570">
        <f>DV23/Detail!$D$67</f>
        <v>0.94999999999999984</v>
      </c>
      <c r="DW31" s="570">
        <f>DW23/Detail!$D$67</f>
        <v>0.94999999999999984</v>
      </c>
      <c r="DX31" s="570">
        <f>DX23/Detail!$D$67</f>
        <v>0.94999999999999984</v>
      </c>
      <c r="DY31" s="570">
        <f>DY23/Detail!$D$67</f>
        <v>0.94999999999999984</v>
      </c>
      <c r="DZ31" s="570">
        <f>DZ23/Detail!$D$67</f>
        <v>0.94999999999999984</v>
      </c>
      <c r="EA31" s="570">
        <f>EA23/Detail!$D$67</f>
        <v>0.94999999999999984</v>
      </c>
      <c r="EB31" s="570">
        <f>EB23/Detail!$D$67</f>
        <v>0.94999999999999984</v>
      </c>
      <c r="EC31" s="570">
        <f>EC23/Detail!$D$67</f>
        <v>0.94999999999999984</v>
      </c>
      <c r="ED31" s="570">
        <f>ED23/Detail!$D$67</f>
        <v>0.94999999999999984</v>
      </c>
      <c r="EE31" s="570">
        <f>EE23/Detail!$D$67</f>
        <v>0.94999999999999984</v>
      </c>
      <c r="EF31" s="570">
        <f>EF23/Detail!$D$67</f>
        <v>0.94999999999999984</v>
      </c>
      <c r="EG31" s="570">
        <f>EG23/Detail!$D$67</f>
        <v>0.94999999999999984</v>
      </c>
      <c r="EH31" s="570">
        <f>EH23/Detail!$D$67</f>
        <v>0.94999999999999984</v>
      </c>
      <c r="EI31" s="570">
        <f>EI23/Detail!$D$67</f>
        <v>0.94999999999999984</v>
      </c>
      <c r="EJ31" s="570">
        <f>EJ23/Detail!$D$67</f>
        <v>0.94999999999999984</v>
      </c>
      <c r="EK31" s="570">
        <f>EK23/Detail!$D$67</f>
        <v>0.94999999999999984</v>
      </c>
      <c r="EL31" s="570">
        <f>EL23/Detail!$D$67</f>
        <v>0.94999999999999984</v>
      </c>
      <c r="EM31" s="570">
        <f>EM23/Detail!$D$67</f>
        <v>0.94999999999999984</v>
      </c>
      <c r="EN31" s="570">
        <f>EN23/Detail!$D$67</f>
        <v>0.94999999999999984</v>
      </c>
      <c r="EO31" s="570">
        <f>EO23/Detail!$D$67</f>
        <v>0.94999999999999984</v>
      </c>
      <c r="EP31" s="570">
        <f>EP23/Detail!$D$67</f>
        <v>0.94999999999999984</v>
      </c>
      <c r="EQ31" s="570">
        <f>EQ23/Detail!$D$67</f>
        <v>0.94999999999999984</v>
      </c>
      <c r="ER31" s="570">
        <f>ER23/Detail!$D$67</f>
        <v>0.94999999999999984</v>
      </c>
      <c r="ES31" s="570">
        <f>ES23/Detail!$D$67</f>
        <v>0.94999999999999984</v>
      </c>
      <c r="ET31" s="570">
        <f>ET23/Detail!$D$67</f>
        <v>0.94999999999999984</v>
      </c>
      <c r="EU31" s="570">
        <f>EU23/Detail!$D$67</f>
        <v>0.94999999999999984</v>
      </c>
      <c r="EV31" s="570">
        <f>EV23/Detail!$D$67</f>
        <v>0.94999999999999984</v>
      </c>
      <c r="EW31" s="570">
        <f>EW23/Detail!$D$67</f>
        <v>0.94999999999999984</v>
      </c>
      <c r="EX31" s="570">
        <f>EX23/Detail!$D$67</f>
        <v>0.94999999999999984</v>
      </c>
      <c r="EY31" s="570">
        <f>EY23/Detail!$D$67</f>
        <v>0.94999999999999984</v>
      </c>
      <c r="EZ31" s="570">
        <f>EZ23/Detail!$D$67</f>
        <v>0.94999999999999984</v>
      </c>
      <c r="FA31" s="570">
        <f>FA23/Detail!$D$67</f>
        <v>0.94999999999999984</v>
      </c>
      <c r="FB31" s="570">
        <f>FB23/Detail!$D$67</f>
        <v>0.94999999999999984</v>
      </c>
      <c r="FC31" s="570">
        <f>FC23/Detail!$D$67</f>
        <v>0.94999999999999984</v>
      </c>
      <c r="FD31" s="570">
        <f>FD23/Detail!$D$67</f>
        <v>0.94999999999999984</v>
      </c>
      <c r="FE31" s="570">
        <f>FE23/Detail!$D$67</f>
        <v>0.94999999999999984</v>
      </c>
      <c r="FF31" s="570">
        <f>FF23/Detail!$D$67</f>
        <v>0.94999999999999984</v>
      </c>
      <c r="FG31" s="570">
        <f>FG23/Detail!$D$67</f>
        <v>0.94999999999999984</v>
      </c>
      <c r="FH31" s="570">
        <f>FH23/Detail!$D$67</f>
        <v>0.94999999999999984</v>
      </c>
      <c r="FI31" s="570">
        <f>FI23/Detail!$D$67</f>
        <v>0.94999999999999984</v>
      </c>
      <c r="FJ31" s="570">
        <f>FJ23/Detail!$D$67</f>
        <v>0.94999999999999984</v>
      </c>
      <c r="FK31" s="570">
        <f>FK23/Detail!$D$67</f>
        <v>0.94999999999999984</v>
      </c>
      <c r="FL31" s="570">
        <f>FL23/Detail!$D$67</f>
        <v>0.94999999999999984</v>
      </c>
      <c r="FM31" s="570">
        <f>FM23/Detail!$D$67</f>
        <v>0.94999999999999984</v>
      </c>
      <c r="FN31" s="570">
        <f>FN23/Detail!$D$67</f>
        <v>0.94999999999999984</v>
      </c>
      <c r="FO31" s="570">
        <f>FO23/Detail!$D$67</f>
        <v>0.94999999999999984</v>
      </c>
      <c r="FP31" s="570">
        <f>FP23/Detail!$D$67</f>
        <v>0.94999999999999984</v>
      </c>
      <c r="FQ31" s="570">
        <f>FQ23/Detail!$D$67</f>
        <v>0.94999999999999984</v>
      </c>
      <c r="FR31" s="570">
        <f>FR23/Detail!$D$67</f>
        <v>0.94999999999999984</v>
      </c>
      <c r="FS31" s="570">
        <f>FS23/Detail!$D$67</f>
        <v>0.94999999999999984</v>
      </c>
      <c r="FT31" s="571"/>
      <c r="FU31" s="571"/>
      <c r="FV31" s="571"/>
      <c r="FW31" s="571"/>
      <c r="FX31" s="571"/>
      <c r="FZ31" s="573"/>
      <c r="GA31" s="573"/>
      <c r="GB31" s="573"/>
      <c r="GD31" s="546"/>
      <c r="GE31" s="549"/>
    </row>
    <row r="32" spans="2:187" ht="12.75" customHeight="1" outlineLevel="1">
      <c r="B32" s="574"/>
      <c r="C32" s="575"/>
      <c r="D32" s="575"/>
      <c r="E32" s="576"/>
      <c r="F32" s="576"/>
      <c r="G32" s="576"/>
      <c r="H32" s="576"/>
      <c r="I32" s="576"/>
      <c r="J32" s="576"/>
      <c r="K32" s="576"/>
      <c r="L32" s="576"/>
      <c r="M32" s="576"/>
      <c r="N32" s="576"/>
      <c r="O32" s="576"/>
      <c r="P32" s="576"/>
      <c r="Q32" s="576"/>
      <c r="R32" s="576"/>
      <c r="S32" s="576"/>
      <c r="T32" s="576"/>
      <c r="U32" s="576"/>
      <c r="V32" s="576"/>
      <c r="W32" s="576"/>
      <c r="X32" s="576"/>
      <c r="Y32" s="576"/>
      <c r="Z32" s="576"/>
      <c r="AA32" s="576"/>
      <c r="AB32" s="576"/>
      <c r="AC32" s="576"/>
      <c r="AD32" s="576"/>
      <c r="AE32" s="576"/>
      <c r="AF32" s="576"/>
      <c r="AG32" s="576"/>
      <c r="AH32" s="576"/>
      <c r="AI32" s="576"/>
      <c r="AJ32" s="576"/>
      <c r="AK32" s="576"/>
      <c r="AL32" s="576"/>
      <c r="AM32" s="576"/>
      <c r="AN32" s="576"/>
      <c r="AO32" s="576"/>
      <c r="AP32" s="576"/>
      <c r="AQ32" s="576"/>
      <c r="AR32" s="576"/>
      <c r="AS32" s="576"/>
      <c r="AT32" s="576"/>
      <c r="AU32" s="576"/>
      <c r="AV32" s="576"/>
      <c r="AW32" s="576"/>
      <c r="AX32" s="576"/>
      <c r="AY32" s="576"/>
      <c r="AZ32" s="576"/>
      <c r="BA32" s="576"/>
      <c r="BB32" s="576"/>
      <c r="BC32" s="576"/>
      <c r="BD32" s="576"/>
      <c r="BE32" s="576"/>
      <c r="BF32" s="576"/>
      <c r="BG32" s="576"/>
      <c r="BH32" s="576"/>
      <c r="BI32" s="576"/>
      <c r="BJ32" s="576"/>
      <c r="BK32" s="576"/>
      <c r="BL32" s="576"/>
      <c r="BM32" s="576"/>
      <c r="BN32" s="576"/>
      <c r="BO32" s="576"/>
      <c r="BP32" s="576"/>
      <c r="BQ32" s="576"/>
      <c r="BR32" s="576"/>
      <c r="BS32" s="576"/>
      <c r="BT32" s="576"/>
      <c r="BU32" s="576"/>
      <c r="BV32" s="576"/>
      <c r="BW32" s="576"/>
      <c r="BX32" s="576"/>
      <c r="BY32" s="576"/>
      <c r="BZ32" s="576"/>
      <c r="CA32" s="576"/>
      <c r="CB32" s="576"/>
      <c r="CC32" s="576"/>
      <c r="CD32" s="576"/>
      <c r="CE32" s="576"/>
      <c r="CF32" s="576"/>
      <c r="CG32" s="576"/>
      <c r="CH32" s="576"/>
      <c r="CI32" s="576"/>
      <c r="CJ32" s="576"/>
      <c r="CK32" s="576"/>
      <c r="CL32" s="576"/>
      <c r="CM32" s="576"/>
      <c r="CN32" s="576"/>
      <c r="CO32" s="576"/>
      <c r="CP32" s="576"/>
      <c r="CQ32" s="576"/>
      <c r="CR32" s="576"/>
      <c r="CS32" s="576"/>
      <c r="CT32" s="576"/>
      <c r="CU32" s="576"/>
      <c r="CV32" s="576"/>
      <c r="CW32" s="576"/>
      <c r="CX32" s="576"/>
      <c r="CY32" s="576"/>
      <c r="CZ32" s="576"/>
      <c r="DA32" s="576"/>
      <c r="DB32" s="576"/>
      <c r="DC32" s="576"/>
      <c r="DD32" s="576"/>
      <c r="DE32" s="576"/>
      <c r="DF32" s="576"/>
      <c r="DG32" s="576"/>
      <c r="DH32" s="576"/>
      <c r="DI32" s="576"/>
      <c r="DJ32" s="576"/>
      <c r="DK32" s="576"/>
      <c r="DL32" s="576"/>
      <c r="DM32" s="576"/>
      <c r="DN32" s="576"/>
      <c r="DO32" s="576"/>
      <c r="DP32" s="576"/>
      <c r="DQ32" s="576"/>
      <c r="DR32" s="576"/>
      <c r="DS32" s="576"/>
      <c r="DT32" s="576"/>
      <c r="DU32" s="576"/>
      <c r="DV32" s="576"/>
      <c r="DW32" s="576"/>
      <c r="DX32" s="576"/>
      <c r="DY32" s="576"/>
      <c r="DZ32" s="576"/>
      <c r="EA32" s="576"/>
      <c r="EB32" s="576"/>
      <c r="EC32" s="576"/>
      <c r="ED32" s="576"/>
      <c r="EE32" s="576"/>
      <c r="EF32" s="576"/>
      <c r="EG32" s="576"/>
      <c r="EH32" s="576"/>
      <c r="EI32" s="576"/>
      <c r="EJ32" s="576"/>
      <c r="EK32" s="576"/>
      <c r="EL32" s="576"/>
      <c r="EM32" s="576"/>
      <c r="EN32" s="576"/>
      <c r="EO32" s="576"/>
      <c r="EP32" s="576"/>
      <c r="EQ32" s="576"/>
      <c r="ER32" s="576"/>
      <c r="ES32" s="576"/>
      <c r="ET32" s="576"/>
      <c r="EU32" s="576"/>
      <c r="EV32" s="576"/>
      <c r="EW32" s="576"/>
      <c r="EX32" s="576"/>
      <c r="EY32" s="576"/>
      <c r="EZ32" s="576"/>
      <c r="FA32" s="576"/>
      <c r="FB32" s="576"/>
      <c r="FC32" s="576"/>
      <c r="FD32" s="576"/>
      <c r="FE32" s="576"/>
      <c r="FF32" s="576"/>
      <c r="FG32" s="576"/>
      <c r="FH32" s="576"/>
      <c r="FI32" s="576"/>
      <c r="FJ32" s="576"/>
      <c r="FK32" s="576"/>
      <c r="FL32" s="576"/>
      <c r="FM32" s="576"/>
      <c r="FN32" s="576"/>
      <c r="FO32" s="576"/>
      <c r="FP32" s="576"/>
      <c r="FQ32" s="576"/>
      <c r="FR32" s="576"/>
      <c r="FS32" s="576"/>
      <c r="FT32" s="577"/>
      <c r="FU32" s="577"/>
      <c r="FV32" s="577"/>
      <c r="FW32" s="577"/>
      <c r="FX32" s="578"/>
      <c r="FZ32" s="579"/>
      <c r="GA32" s="580"/>
      <c r="GB32" s="580"/>
      <c r="GD32" s="555"/>
      <c r="GE32" s="562"/>
    </row>
    <row r="33" spans="2:187" ht="12.75" customHeight="1" outlineLevel="1">
      <c r="B33" s="574" t="s">
        <v>300</v>
      </c>
      <c r="C33" s="575"/>
      <c r="D33" s="575"/>
      <c r="E33" s="576">
        <f>Detail!L67*(1-Detail!F33)</f>
        <v>522656.99699999997</v>
      </c>
      <c r="F33" s="576">
        <f t="shared" ref="F33:K33" si="64">SUM(E39:E41)</f>
        <v>516071.99699999997</v>
      </c>
      <c r="G33" s="576">
        <f t="shared" si="64"/>
        <v>516291.49699999997</v>
      </c>
      <c r="H33" s="576">
        <f t="shared" si="64"/>
        <v>516503.68033333332</v>
      </c>
      <c r="I33" s="576">
        <f t="shared" si="64"/>
        <v>516708.79088888888</v>
      </c>
      <c r="J33" s="576">
        <f t="shared" si="64"/>
        <v>516907.06442592596</v>
      </c>
      <c r="K33" s="576">
        <f t="shared" si="64"/>
        <v>517098.72884506173</v>
      </c>
      <c r="L33" s="576">
        <f>SUM(K39:K41)</f>
        <v>517284.00445022632</v>
      </c>
      <c r="M33" s="576">
        <f t="shared" ref="M33:BX33" si="65">SUM(L39:L41)</f>
        <v>517508.95130688546</v>
      </c>
      <c r="N33" s="576">
        <f t="shared" si="65"/>
        <v>517770.0693025018</v>
      </c>
      <c r="O33" s="576">
        <f t="shared" si="65"/>
        <v>518066.26190586219</v>
      </c>
      <c r="P33" s="576">
        <f t="shared" si="65"/>
        <v>518396.46940972755</v>
      </c>
      <c r="Q33" s="576">
        <f t="shared" si="65"/>
        <v>518759.66770404921</v>
      </c>
      <c r="R33" s="576">
        <f t="shared" si="65"/>
        <v>519501.98204017233</v>
      </c>
      <c r="S33" s="576">
        <f t="shared" si="65"/>
        <v>520574.92200124066</v>
      </c>
      <c r="T33" s="576">
        <f t="shared" si="65"/>
        <v>522020.95804094651</v>
      </c>
      <c r="U33" s="576">
        <f t="shared" si="65"/>
        <v>523572.71350013075</v>
      </c>
      <c r="V33" s="576">
        <f t="shared" si="65"/>
        <v>525221.07952456595</v>
      </c>
      <c r="W33" s="576">
        <f t="shared" si="65"/>
        <v>526963.2066014451</v>
      </c>
      <c r="X33" s="576">
        <f t="shared" si="65"/>
        <v>528799.3030273706</v>
      </c>
      <c r="Y33" s="576">
        <f t="shared" si="65"/>
        <v>530512.16704103246</v>
      </c>
      <c r="Z33" s="576">
        <f t="shared" si="65"/>
        <v>532165.9352651441</v>
      </c>
      <c r="AA33" s="576">
        <f t="shared" si="65"/>
        <v>534143.93422620452</v>
      </c>
      <c r="AB33" s="576">
        <f t="shared" si="65"/>
        <v>536145.69610083685</v>
      </c>
      <c r="AC33" s="576">
        <f t="shared" si="65"/>
        <v>538140.41248559731</v>
      </c>
      <c r="AD33" s="576">
        <f t="shared" si="65"/>
        <v>540119.5570726461</v>
      </c>
      <c r="AE33" s="576">
        <f t="shared" si="65"/>
        <v>541341.93598626659</v>
      </c>
      <c r="AF33" s="576">
        <f t="shared" si="65"/>
        <v>542946.05230232899</v>
      </c>
      <c r="AG33" s="576">
        <f t="shared" si="65"/>
        <v>544911.18552535458</v>
      </c>
      <c r="AH33" s="576">
        <f t="shared" si="65"/>
        <v>546847.30226233241</v>
      </c>
      <c r="AI33" s="576">
        <f t="shared" si="65"/>
        <v>548759.83153017098</v>
      </c>
      <c r="AJ33" s="576">
        <f t="shared" si="65"/>
        <v>550620.92822162213</v>
      </c>
      <c r="AK33" s="576">
        <f t="shared" si="65"/>
        <v>552431.75138456945</v>
      </c>
      <c r="AL33" s="576">
        <f t="shared" si="65"/>
        <v>553996.76235240768</v>
      </c>
      <c r="AM33" s="576">
        <f t="shared" si="65"/>
        <v>555401.49701745715</v>
      </c>
      <c r="AN33" s="576">
        <f t="shared" si="65"/>
        <v>557053.04192942078</v>
      </c>
      <c r="AO33" s="576">
        <f t="shared" si="65"/>
        <v>558687.8189139897</v>
      </c>
      <c r="AP33" s="576">
        <f t="shared" si="65"/>
        <v>560276.03549999744</v>
      </c>
      <c r="AQ33" s="576">
        <f t="shared" si="65"/>
        <v>561820.40272970661</v>
      </c>
      <c r="AR33" s="576">
        <f t="shared" si="65"/>
        <v>562759.63849852001</v>
      </c>
      <c r="AS33" s="576">
        <f t="shared" si="65"/>
        <v>563981.11162112386</v>
      </c>
      <c r="AT33" s="576">
        <f t="shared" si="65"/>
        <v>565474.07300615124</v>
      </c>
      <c r="AU33" s="576">
        <f t="shared" si="65"/>
        <v>566954.80051084119</v>
      </c>
      <c r="AV33" s="576">
        <f t="shared" si="65"/>
        <v>568437.51605311502</v>
      </c>
      <c r="AW33" s="576">
        <f t="shared" si="65"/>
        <v>569901.10494939901</v>
      </c>
      <c r="AX33" s="576">
        <f t="shared" si="65"/>
        <v>571349.6700930621</v>
      </c>
      <c r="AY33" s="576">
        <f t="shared" si="65"/>
        <v>572627.28484973253</v>
      </c>
      <c r="AZ33" s="576">
        <f t="shared" si="65"/>
        <v>573800.78468715108</v>
      </c>
      <c r="BA33" s="576">
        <f t="shared" si="65"/>
        <v>575210.33810612862</v>
      </c>
      <c r="BB33" s="576">
        <f t="shared" si="65"/>
        <v>576638.86757312389</v>
      </c>
      <c r="BC33" s="576">
        <f t="shared" si="65"/>
        <v>578064.05097995535</v>
      </c>
      <c r="BD33" s="576">
        <f t="shared" si="65"/>
        <v>579487.21048512275</v>
      </c>
      <c r="BE33" s="576">
        <f t="shared" si="65"/>
        <v>580375.50633440225</v>
      </c>
      <c r="BF33" s="576">
        <f t="shared" si="65"/>
        <v>581559.91073723428</v>
      </c>
      <c r="BG33" s="576">
        <f t="shared" si="65"/>
        <v>583042.05045754614</v>
      </c>
      <c r="BH33" s="576">
        <f t="shared" si="65"/>
        <v>584540.98228224239</v>
      </c>
      <c r="BI33" s="576">
        <f t="shared" si="65"/>
        <v>586066.06320513808</v>
      </c>
      <c r="BJ33" s="576">
        <f t="shared" si="65"/>
        <v>587597.12250245386</v>
      </c>
      <c r="BK33" s="576">
        <f t="shared" si="65"/>
        <v>589135.31512149377</v>
      </c>
      <c r="BL33" s="576">
        <f t="shared" si="65"/>
        <v>590508.98528900451</v>
      </c>
      <c r="BM33" s="576">
        <f t="shared" si="65"/>
        <v>591783.33442869503</v>
      </c>
      <c r="BN33" s="576">
        <f t="shared" si="65"/>
        <v>593318.61652622663</v>
      </c>
      <c r="BO33" s="576">
        <f t="shared" si="65"/>
        <v>594879.94802591903</v>
      </c>
      <c r="BP33" s="576">
        <f t="shared" si="65"/>
        <v>596442.82952573826</v>
      </c>
      <c r="BQ33" s="576">
        <f t="shared" si="65"/>
        <v>598006.17433776101</v>
      </c>
      <c r="BR33" s="576">
        <f t="shared" si="65"/>
        <v>598982.38838054449</v>
      </c>
      <c r="BS33" s="576">
        <f t="shared" si="65"/>
        <v>600282.68516916898</v>
      </c>
      <c r="BT33" s="576">
        <f t="shared" si="65"/>
        <v>601906.11265422113</v>
      </c>
      <c r="BU33" s="576">
        <f t="shared" si="65"/>
        <v>603542.20705176133</v>
      </c>
      <c r="BV33" s="576">
        <f t="shared" si="65"/>
        <v>605199.91975157417</v>
      </c>
      <c r="BW33" s="576">
        <f t="shared" si="65"/>
        <v>606856.93092050985</v>
      </c>
      <c r="BX33" s="576">
        <f t="shared" si="65"/>
        <v>608513.98382398451</v>
      </c>
      <c r="BY33" s="576">
        <f t="shared" ref="BY33:EJ33" si="66">SUM(BX39:BX41)</f>
        <v>609986.5766054003</v>
      </c>
      <c r="BZ33" s="576">
        <f t="shared" si="66"/>
        <v>611345.84280719387</v>
      </c>
      <c r="CA33" s="576">
        <f t="shared" si="66"/>
        <v>612976.84899386659</v>
      </c>
      <c r="CB33" s="576">
        <f t="shared" si="66"/>
        <v>614628.36262786656</v>
      </c>
      <c r="CC33" s="576">
        <f t="shared" si="66"/>
        <v>616273.77831494086</v>
      </c>
      <c r="CD33" s="576">
        <f t="shared" si="66"/>
        <v>617912.36344824068</v>
      </c>
      <c r="CE33" s="576">
        <f t="shared" si="66"/>
        <v>618931.28646758513</v>
      </c>
      <c r="CF33" s="576">
        <f t="shared" si="66"/>
        <v>620283.24611388962</v>
      </c>
      <c r="CG33" s="576">
        <f t="shared" si="66"/>
        <v>621965.27553037216</v>
      </c>
      <c r="CH33" s="576">
        <f t="shared" si="66"/>
        <v>623655.73677197099</v>
      </c>
      <c r="CI33" s="576">
        <f t="shared" si="66"/>
        <v>625364.8078680383</v>
      </c>
      <c r="CJ33" s="576">
        <f t="shared" si="66"/>
        <v>627069.24178250076</v>
      </c>
      <c r="CK33" s="576">
        <f t="shared" si="66"/>
        <v>628770.34484708065</v>
      </c>
      <c r="CL33" s="576">
        <f t="shared" si="66"/>
        <v>630279.67368921824</v>
      </c>
      <c r="CM33" s="576">
        <f t="shared" si="66"/>
        <v>631671.14235111629</v>
      </c>
      <c r="CN33" s="576">
        <f t="shared" si="66"/>
        <v>633340.35260178451</v>
      </c>
      <c r="CO33" s="576">
        <f t="shared" si="66"/>
        <v>635030.01659223484</v>
      </c>
      <c r="CP33" s="576">
        <f t="shared" si="66"/>
        <v>636712.96130089485</v>
      </c>
      <c r="CQ33" s="576">
        <f t="shared" si="66"/>
        <v>638388.81770026207</v>
      </c>
      <c r="CR33" s="576">
        <f t="shared" si="66"/>
        <v>639431.03752996249</v>
      </c>
      <c r="CS33" s="576">
        <f t="shared" si="66"/>
        <v>640814.34484852373</v>
      </c>
      <c r="CT33" s="576">
        <f t="shared" si="66"/>
        <v>642536.21937027958</v>
      </c>
      <c r="CU33" s="576">
        <f t="shared" si="66"/>
        <v>644267.83234743529</v>
      </c>
      <c r="CV33" s="576">
        <f t="shared" si="66"/>
        <v>646019.76658987463</v>
      </c>
      <c r="CW33" s="576">
        <f t="shared" si="66"/>
        <v>647768.26535587234</v>
      </c>
      <c r="CX33" s="576">
        <f t="shared" si="66"/>
        <v>649514.72409984365</v>
      </c>
      <c r="CY33" s="576">
        <f t="shared" si="66"/>
        <v>651065.56272211845</v>
      </c>
      <c r="CZ33" s="576">
        <f t="shared" si="66"/>
        <v>652496.4811851983</v>
      </c>
      <c r="DA33" s="576">
        <f t="shared" si="66"/>
        <v>654214.09767877194</v>
      </c>
      <c r="DB33" s="576">
        <f t="shared" si="66"/>
        <v>655953.94740318484</v>
      </c>
      <c r="DC33" s="576">
        <f t="shared" si="66"/>
        <v>657688.16019693913</v>
      </c>
      <c r="DD33" s="576">
        <f t="shared" si="66"/>
        <v>659416.26915361697</v>
      </c>
      <c r="DE33" s="576">
        <f t="shared" si="66"/>
        <v>660491.67988732865</v>
      </c>
      <c r="DF33" s="576">
        <f t="shared" si="66"/>
        <v>661919.87825211743</v>
      </c>
      <c r="DG33" s="576">
        <f t="shared" si="66"/>
        <v>663698.56171683175</v>
      </c>
      <c r="DH33" s="576">
        <f t="shared" si="66"/>
        <v>665488.02419819182</v>
      </c>
      <c r="DI33" s="576">
        <f t="shared" si="66"/>
        <v>667299.038933301</v>
      </c>
      <c r="DJ33" s="576">
        <f t="shared" si="66"/>
        <v>669107.08335016016</v>
      </c>
      <c r="DK33" s="576">
        <f t="shared" si="66"/>
        <v>670913.50683330325</v>
      </c>
      <c r="DL33" s="576">
        <f t="shared" si="66"/>
        <v>672517.92756587977</v>
      </c>
      <c r="DM33" s="576">
        <f t="shared" si="66"/>
        <v>673998.50585773902</v>
      </c>
      <c r="DN33" s="576">
        <f t="shared" si="66"/>
        <v>675775.74531504419</v>
      </c>
      <c r="DO33" s="576">
        <f t="shared" si="66"/>
        <v>677576.01377390348</v>
      </c>
      <c r="DP33" s="576">
        <f t="shared" si="66"/>
        <v>679370.45925648627</v>
      </c>
      <c r="DQ33" s="576">
        <f t="shared" si="66"/>
        <v>681158.53951301984</v>
      </c>
      <c r="DR33" s="576">
        <f t="shared" si="66"/>
        <v>682271.21195111796</v>
      </c>
      <c r="DS33" s="576">
        <f t="shared" si="66"/>
        <v>683748.77599757537</v>
      </c>
      <c r="DT33" s="576">
        <f t="shared" si="66"/>
        <v>685588.7463795105</v>
      </c>
      <c r="DU33" s="576">
        <f t="shared" si="66"/>
        <v>687439.64160359034</v>
      </c>
      <c r="DV33" s="576">
        <f t="shared" si="66"/>
        <v>689312.58737537055</v>
      </c>
      <c r="DW33" s="576">
        <f t="shared" si="66"/>
        <v>691182.20828999509</v>
      </c>
      <c r="DX33" s="576">
        <f t="shared" si="66"/>
        <v>693049.89553496696</v>
      </c>
      <c r="DY33" s="576">
        <f t="shared" si="66"/>
        <v>694708.49875276268</v>
      </c>
      <c r="DZ33" s="576">
        <f t="shared" si="66"/>
        <v>696238.86754454789</v>
      </c>
      <c r="EA33" s="576">
        <f t="shared" si="66"/>
        <v>698075.69229112705</v>
      </c>
      <c r="EB33" s="576">
        <f t="shared" si="66"/>
        <v>699936.11859819107</v>
      </c>
      <c r="EC33" s="576">
        <f t="shared" si="66"/>
        <v>701790.31276752765</v>
      </c>
      <c r="ED33" s="576">
        <f t="shared" si="66"/>
        <v>703637.7321424433</v>
      </c>
      <c r="EE33" s="576">
        <f t="shared" si="66"/>
        <v>704787.21695559239</v>
      </c>
      <c r="EF33" s="576">
        <f t="shared" si="66"/>
        <v>706313.53252762766</v>
      </c>
      <c r="EG33" s="576">
        <f t="shared" si="66"/>
        <v>708214.06723888253</v>
      </c>
      <c r="EH33" s="576">
        <f t="shared" si="66"/>
        <v>710125.77876617259</v>
      </c>
      <c r="EI33" s="576">
        <f t="shared" si="66"/>
        <v>712060.1864520635</v>
      </c>
      <c r="EJ33" s="576">
        <f t="shared" si="66"/>
        <v>713991.0770688256</v>
      </c>
      <c r="EK33" s="576">
        <f t="shared" ref="EK33:FS33" si="67">SUM(EJ39:EJ41)</f>
        <v>715919.90317911864</v>
      </c>
      <c r="EL33" s="576">
        <f t="shared" si="67"/>
        <v>717632.75767540094</v>
      </c>
      <c r="EM33" s="576">
        <f t="shared" si="67"/>
        <v>719213.1577926079</v>
      </c>
      <c r="EN33" s="576">
        <f t="shared" si="67"/>
        <v>721110.04010876734</v>
      </c>
      <c r="EO33" s="576">
        <f t="shared" si="67"/>
        <v>723031.30233657989</v>
      </c>
      <c r="EP33" s="576">
        <f t="shared" si="67"/>
        <v>724946.13847996737</v>
      </c>
      <c r="EQ33" s="576">
        <f t="shared" si="67"/>
        <v>726853.99701711396</v>
      </c>
      <c r="ER33" s="576">
        <f t="shared" si="67"/>
        <v>728041.10352559818</v>
      </c>
      <c r="ES33" s="576">
        <f t="shared" si="67"/>
        <v>729617.401159256</v>
      </c>
      <c r="ET33" s="576">
        <f t="shared" si="67"/>
        <v>731580.21228962613</v>
      </c>
      <c r="EU33" s="576">
        <f t="shared" si="67"/>
        <v>733554.60972400836</v>
      </c>
      <c r="EV33" s="576">
        <f t="shared" si="67"/>
        <v>735552.4919173395</v>
      </c>
      <c r="EW33" s="576">
        <f t="shared" si="67"/>
        <v>737546.78813718888</v>
      </c>
      <c r="EX33" s="576">
        <f t="shared" si="67"/>
        <v>739538.99849035416</v>
      </c>
      <c r="EY33" s="576">
        <f t="shared" si="67"/>
        <v>741308.18070626503</v>
      </c>
      <c r="EZ33" s="576">
        <f t="shared" si="67"/>
        <v>742940.58899353433</v>
      </c>
      <c r="FA33" s="576">
        <f t="shared" si="67"/>
        <v>744899.92416505574</v>
      </c>
      <c r="FB33" s="576">
        <f t="shared" si="67"/>
        <v>746884.47476826899</v>
      </c>
      <c r="FC33" s="576">
        <f t="shared" si="67"/>
        <v>748862.42277903412</v>
      </c>
      <c r="FD33" s="576">
        <f t="shared" si="67"/>
        <v>750833.19508452143</v>
      </c>
      <c r="FE33" s="576">
        <f t="shared" si="67"/>
        <v>752059.46566608339</v>
      </c>
      <c r="FF33" s="576">
        <f t="shared" si="67"/>
        <v>753687.78796912846</v>
      </c>
      <c r="FG33" s="576">
        <f t="shared" si="67"/>
        <v>755715.40232537291</v>
      </c>
      <c r="FH33" s="576">
        <f t="shared" si="67"/>
        <v>757755.00110642426</v>
      </c>
      <c r="FI33" s="576">
        <f t="shared" si="67"/>
        <v>759818.8709473185</v>
      </c>
      <c r="FJ33" s="576">
        <f t="shared" si="67"/>
        <v>761879.04771116248</v>
      </c>
      <c r="FK33" s="576">
        <f t="shared" si="67"/>
        <v>763937.07844047609</v>
      </c>
      <c r="FL33" s="576">
        <f t="shared" si="67"/>
        <v>765764.71744508133</v>
      </c>
      <c r="FM33" s="576">
        <f t="shared" si="67"/>
        <v>767451.06558076222</v>
      </c>
      <c r="FN33" s="576">
        <f t="shared" si="67"/>
        <v>769475.1404337968</v>
      </c>
      <c r="FO33" s="576">
        <f t="shared" si="67"/>
        <v>771525.26100405736</v>
      </c>
      <c r="FP33" s="576">
        <f t="shared" si="67"/>
        <v>773568.55730188347</v>
      </c>
      <c r="FQ33" s="576">
        <f t="shared" si="67"/>
        <v>775604.43598418427</v>
      </c>
      <c r="FR33" s="576">
        <f t="shared" si="67"/>
        <v>776871.21401595254</v>
      </c>
      <c r="FS33" s="576">
        <f t="shared" si="67"/>
        <v>778553.31915268861</v>
      </c>
      <c r="FT33" s="577"/>
      <c r="FU33" s="577"/>
      <c r="FV33" s="577"/>
      <c r="FW33" s="577"/>
      <c r="FX33" s="578"/>
      <c r="FZ33" s="579"/>
      <c r="GA33" s="580"/>
      <c r="GB33" s="580"/>
      <c r="GD33" s="555"/>
      <c r="GE33" s="562"/>
    </row>
    <row r="34" spans="2:187" ht="12.75" customHeight="1" outlineLevel="1">
      <c r="B34" s="574" t="s">
        <v>301</v>
      </c>
      <c r="C34" s="575"/>
      <c r="D34" s="575"/>
      <c r="E34" s="576">
        <v>0</v>
      </c>
      <c r="F34" s="576">
        <f t="shared" ref="F34:P34" si="68">F27*F22</f>
        <v>18338.842000000004</v>
      </c>
      <c r="G34" s="576">
        <f t="shared" si="68"/>
        <v>18338.842000000004</v>
      </c>
      <c r="H34" s="576">
        <f t="shared" si="68"/>
        <v>18338.842000000004</v>
      </c>
      <c r="I34" s="576">
        <f t="shared" si="68"/>
        <v>18338.842000000004</v>
      </c>
      <c r="J34" s="576">
        <f t="shared" si="68"/>
        <v>18338.842000000004</v>
      </c>
      <c r="K34" s="576">
        <f t="shared" si="68"/>
        <v>18338.842000000004</v>
      </c>
      <c r="L34" s="576">
        <f t="shared" si="68"/>
        <v>18384.689105000001</v>
      </c>
      <c r="M34" s="576">
        <f t="shared" si="68"/>
        <v>18430.6508277625</v>
      </c>
      <c r="N34" s="576">
        <f t="shared" si="68"/>
        <v>18476.727454831904</v>
      </c>
      <c r="O34" s="576">
        <f t="shared" si="68"/>
        <v>18522.919273468986</v>
      </c>
      <c r="P34" s="576">
        <f t="shared" si="68"/>
        <v>18569.22657165266</v>
      </c>
      <c r="Q34" s="576">
        <f>Q27*(Q22+Q21)</f>
        <v>29086.952559502788</v>
      </c>
      <c r="R34" s="576">
        <f t="shared" ref="R34:CC34" si="69">R27*(R22+R21)</f>
        <v>38879.559921202061</v>
      </c>
      <c r="S34" s="576">
        <f t="shared" si="69"/>
        <v>48720.948526256332</v>
      </c>
      <c r="T34" s="576">
        <f t="shared" si="69"/>
        <v>48842.750897571968</v>
      </c>
      <c r="U34" s="576">
        <f t="shared" si="69"/>
        <v>48964.857774815893</v>
      </c>
      <c r="V34" s="576">
        <f t="shared" si="69"/>
        <v>49087.269919252925</v>
      </c>
      <c r="W34" s="576">
        <f t="shared" si="69"/>
        <v>49289.49943936678</v>
      </c>
      <c r="X34" s="576">
        <f t="shared" si="69"/>
        <v>43976.879664370892</v>
      </c>
      <c r="Y34" s="576">
        <f t="shared" si="69"/>
        <v>40746.828792691798</v>
      </c>
      <c r="Z34" s="576">
        <f t="shared" si="69"/>
        <v>47596.787002501689</v>
      </c>
      <c r="AA34" s="576">
        <f t="shared" si="69"/>
        <v>47715.778970007952</v>
      </c>
      <c r="AB34" s="576">
        <f t="shared" si="69"/>
        <v>47835.068417432965</v>
      </c>
      <c r="AC34" s="576">
        <f t="shared" si="69"/>
        <v>47954.656088476549</v>
      </c>
      <c r="AD34" s="576">
        <f t="shared" si="69"/>
        <v>30046.589205436085</v>
      </c>
      <c r="AE34" s="576">
        <f t="shared" si="69"/>
        <v>40162.274237932899</v>
      </c>
      <c r="AF34" s="576">
        <f t="shared" si="69"/>
        <v>50328.349904409661</v>
      </c>
      <c r="AG34" s="576">
        <f t="shared" si="69"/>
        <v>50454.170779170672</v>
      </c>
      <c r="AH34" s="576">
        <f t="shared" si="69"/>
        <v>50580.306206118606</v>
      </c>
      <c r="AI34" s="576">
        <f t="shared" si="69"/>
        <v>50706.756971633891</v>
      </c>
      <c r="AJ34" s="576">
        <f t="shared" si="69"/>
        <v>50915.658447429385</v>
      </c>
      <c r="AK34" s="576">
        <f t="shared" si="69"/>
        <v>45427.764737786449</v>
      </c>
      <c r="AL34" s="576">
        <f t="shared" si="69"/>
        <v>42091.148038066378</v>
      </c>
      <c r="AM34" s="576">
        <f t="shared" si="69"/>
        <v>49167.10004725412</v>
      </c>
      <c r="AN34" s="576">
        <f t="shared" si="69"/>
        <v>49290.01779737226</v>
      </c>
      <c r="AO34" s="576">
        <f t="shared" si="69"/>
        <v>49413.242841865678</v>
      </c>
      <c r="AP34" s="576">
        <f t="shared" si="69"/>
        <v>49536.775948970331</v>
      </c>
      <c r="AQ34" s="576">
        <f t="shared" si="69"/>
        <v>31037.886180526733</v>
      </c>
      <c r="AR34" s="576">
        <f t="shared" si="69"/>
        <v>41487.307861304071</v>
      </c>
      <c r="AS34" s="576">
        <f t="shared" si="69"/>
        <v>51988.782663696642</v>
      </c>
      <c r="AT34" s="576">
        <f t="shared" si="69"/>
        <v>52118.754620355889</v>
      </c>
      <c r="AU34" s="576">
        <f t="shared" si="69"/>
        <v>52249.051506906777</v>
      </c>
      <c r="AV34" s="576">
        <f t="shared" si="69"/>
        <v>52379.674135674053</v>
      </c>
      <c r="AW34" s="576">
        <f t="shared" si="69"/>
        <v>52595.46768829169</v>
      </c>
      <c r="AX34" s="576">
        <f t="shared" si="69"/>
        <v>46926.517406909697</v>
      </c>
      <c r="AY34" s="576">
        <f t="shared" si="69"/>
        <v>43479.819059690322</v>
      </c>
      <c r="AZ34" s="576">
        <f t="shared" si="69"/>
        <v>50789.22085496311</v>
      </c>
      <c r="BA34" s="576">
        <f t="shared" si="69"/>
        <v>50916.193907100518</v>
      </c>
      <c r="BB34" s="576">
        <f t="shared" si="69"/>
        <v>51043.48439186826</v>
      </c>
      <c r="BC34" s="576">
        <f t="shared" si="69"/>
        <v>51171.093102847939</v>
      </c>
      <c r="BD34" s="576">
        <f t="shared" si="69"/>
        <v>32061.888022253159</v>
      </c>
      <c r="BE34" s="576">
        <f t="shared" si="69"/>
        <v>42856.056989745048</v>
      </c>
      <c r="BF34" s="576">
        <f t="shared" si="69"/>
        <v>53703.996415274254</v>
      </c>
      <c r="BG34" s="576">
        <f t="shared" si="69"/>
        <v>53838.256406312459</v>
      </c>
      <c r="BH34" s="576">
        <f t="shared" si="69"/>
        <v>53972.852047328226</v>
      </c>
      <c r="BI34" s="576">
        <f t="shared" si="69"/>
        <v>54107.784177446556</v>
      </c>
      <c r="BJ34" s="576">
        <f t="shared" si="69"/>
        <v>54330.697190262865</v>
      </c>
      <c r="BK34" s="576">
        <f t="shared" si="69"/>
        <v>48474.716919305341</v>
      </c>
      <c r="BL34" s="576">
        <f t="shared" si="69"/>
        <v>44914.305111223977</v>
      </c>
      <c r="BM34" s="576">
        <f t="shared" si="69"/>
        <v>52464.858667178632</v>
      </c>
      <c r="BN34" s="576">
        <f t="shared" si="69"/>
        <v>52596.02081384659</v>
      </c>
      <c r="BO34" s="576">
        <f t="shared" si="69"/>
        <v>52727.510865881188</v>
      </c>
      <c r="BP34" s="576">
        <f t="shared" si="69"/>
        <v>52859.329643045901</v>
      </c>
      <c r="BQ34" s="576">
        <f t="shared" si="69"/>
        <v>33119.673729470946</v>
      </c>
      <c r="BR34" s="576">
        <f t="shared" si="69"/>
        <v>44269.963885059493</v>
      </c>
      <c r="BS34" s="576">
        <f t="shared" si="69"/>
        <v>55475.798493465176</v>
      </c>
      <c r="BT34" s="576">
        <f t="shared" si="69"/>
        <v>55614.48798969885</v>
      </c>
      <c r="BU34" s="576">
        <f t="shared" si="69"/>
        <v>55753.52420967308</v>
      </c>
      <c r="BV34" s="576">
        <f t="shared" si="69"/>
        <v>55892.908020197254</v>
      </c>
      <c r="BW34" s="576">
        <f t="shared" si="69"/>
        <v>56123.17537842039</v>
      </c>
      <c r="BX34" s="576">
        <f t="shared" si="69"/>
        <v>50073.994625068655</v>
      </c>
      <c r="BY34" s="576">
        <f t="shared" si="69"/>
        <v>46396.117721987779</v>
      </c>
      <c r="BZ34" s="576">
        <f t="shared" si="69"/>
        <v>54195.779116742444</v>
      </c>
      <c r="CA34" s="576">
        <f t="shared" si="69"/>
        <v>54331.268564534301</v>
      </c>
      <c r="CB34" s="576">
        <f t="shared" si="69"/>
        <v>54467.096735945641</v>
      </c>
      <c r="CC34" s="576">
        <f t="shared" si="69"/>
        <v>54603.264477785495</v>
      </c>
      <c r="CD34" s="576">
        <f t="shared" ref="CD34:EO34" si="70">CD27*(CD22+CD21)</f>
        <v>34212.357899362469</v>
      </c>
      <c r="CE34" s="576">
        <f t="shared" si="70"/>
        <v>45730.518392147831</v>
      </c>
      <c r="CF34" s="576">
        <f t="shared" si="70"/>
        <v>57306.055860160253</v>
      </c>
      <c r="CG34" s="576">
        <f t="shared" si="70"/>
        <v>57449.320999810654</v>
      </c>
      <c r="CH34" s="576">
        <f t="shared" si="70"/>
        <v>57592.94430231017</v>
      </c>
      <c r="CI34" s="576">
        <f t="shared" si="70"/>
        <v>57736.926663065948</v>
      </c>
      <c r="CJ34" s="576">
        <f t="shared" si="70"/>
        <v>57974.791001236059</v>
      </c>
      <c r="CK34" s="576">
        <f t="shared" si="70"/>
        <v>51726.035695792081</v>
      </c>
      <c r="CL34" s="576">
        <f t="shared" si="70"/>
        <v>47926.818289672672</v>
      </c>
      <c r="CM34" s="576">
        <f t="shared" si="70"/>
        <v>55983.806088249345</v>
      </c>
      <c r="CN34" s="576">
        <f t="shared" si="70"/>
        <v>56123.765603469961</v>
      </c>
      <c r="CO34" s="576">
        <f t="shared" si="70"/>
        <v>56264.075017478644</v>
      </c>
      <c r="CP34" s="576">
        <f t="shared" si="70"/>
        <v>56404.735205022342</v>
      </c>
      <c r="CQ34" s="576">
        <f t="shared" si="70"/>
        <v>35341.091901896798</v>
      </c>
      <c r="CR34" s="576">
        <f t="shared" si="70"/>
        <v>47239.259508868723</v>
      </c>
      <c r="CS34" s="576">
        <f t="shared" si="70"/>
        <v>59196.697072051109</v>
      </c>
      <c r="CT34" s="576">
        <f t="shared" si="70"/>
        <v>59344.688814731242</v>
      </c>
      <c r="CU34" s="576">
        <f t="shared" si="70"/>
        <v>59493.050536768067</v>
      </c>
      <c r="CV34" s="576">
        <f t="shared" si="70"/>
        <v>59641.783163109983</v>
      </c>
      <c r="CW34" s="576">
        <f t="shared" si="70"/>
        <v>59887.495120765212</v>
      </c>
      <c r="CX34" s="576">
        <f t="shared" si="70"/>
        <v>53432.580900243862</v>
      </c>
      <c r="CY34" s="576">
        <f t="shared" si="70"/>
        <v>49508.019725597253</v>
      </c>
      <c r="CZ34" s="576">
        <f t="shared" si="70"/>
        <v>57830.823639888884</v>
      </c>
      <c r="DA34" s="576">
        <f t="shared" si="70"/>
        <v>57975.400698988575</v>
      </c>
      <c r="DB34" s="576">
        <f t="shared" si="70"/>
        <v>58120.339200736038</v>
      </c>
      <c r="DC34" s="576">
        <f t="shared" si="70"/>
        <v>58265.640048737885</v>
      </c>
      <c r="DD34" s="576">
        <f t="shared" si="70"/>
        <v>36507.06509303733</v>
      </c>
      <c r="DE34" s="576">
        <f t="shared" si="70"/>
        <v>48797.777007693228</v>
      </c>
      <c r="DF34" s="576">
        <f t="shared" si="70"/>
        <v>61149.714312765573</v>
      </c>
      <c r="DG34" s="576">
        <f t="shared" si="70"/>
        <v>61302.588598547496</v>
      </c>
      <c r="DH34" s="576">
        <f t="shared" si="70"/>
        <v>61455.84507004387</v>
      </c>
      <c r="DI34" s="576">
        <f t="shared" si="70"/>
        <v>61609.484682718947</v>
      </c>
      <c r="DJ34" s="576">
        <f t="shared" si="70"/>
        <v>61863.303168496284</v>
      </c>
      <c r="DK34" s="576">
        <f t="shared" si="70"/>
        <v>55195.42843862986</v>
      </c>
      <c r="DL34" s="576">
        <f t="shared" si="70"/>
        <v>51141.388154245178</v>
      </c>
      <c r="DM34" s="576">
        <f t="shared" si="70"/>
        <v>59738.777988692309</v>
      </c>
      <c r="DN34" s="576">
        <f t="shared" si="70"/>
        <v>59888.124933664032</v>
      </c>
      <c r="DO34" s="576">
        <f t="shared" si="70"/>
        <v>60037.845245998193</v>
      </c>
      <c r="DP34" s="576">
        <f t="shared" si="70"/>
        <v>60187.939859113198</v>
      </c>
      <c r="DQ34" s="576">
        <f t="shared" si="70"/>
        <v>37711.506067975592</v>
      </c>
      <c r="DR34" s="576">
        <f t="shared" si="70"/>
        <v>50407.713110860714</v>
      </c>
      <c r="DS34" s="576">
        <f t="shared" si="70"/>
        <v>63167.165492047352</v>
      </c>
      <c r="DT34" s="576">
        <f t="shared" si="70"/>
        <v>63325.083405777448</v>
      </c>
      <c r="DU34" s="576">
        <f t="shared" si="70"/>
        <v>63483.396114291907</v>
      </c>
      <c r="DV34" s="576">
        <f t="shared" si="70"/>
        <v>63642.104604577617</v>
      </c>
      <c r="DW34" s="576">
        <f t="shared" si="70"/>
        <v>63904.297069026965</v>
      </c>
      <c r="DX34" s="576">
        <f t="shared" si="70"/>
        <v>57016.435837371362</v>
      </c>
      <c r="DY34" s="576">
        <f t="shared" si="70"/>
        <v>52828.644668873712</v>
      </c>
      <c r="DZ34" s="576">
        <f t="shared" si="70"/>
        <v>61709.679561277066</v>
      </c>
      <c r="EA34" s="576">
        <f t="shared" si="70"/>
        <v>61863.953760180244</v>
      </c>
      <c r="EB34" s="576">
        <f t="shared" si="70"/>
        <v>62018.613644580706</v>
      </c>
      <c r="EC34" s="576">
        <f t="shared" si="70"/>
        <v>62173.660178692153</v>
      </c>
      <c r="ED34" s="576">
        <f t="shared" si="70"/>
        <v>38955.683955711807</v>
      </c>
      <c r="EE34" s="576">
        <f t="shared" si="70"/>
        <v>52070.764220801437</v>
      </c>
      <c r="EF34" s="576">
        <f t="shared" si="70"/>
        <v>65251.176414191817</v>
      </c>
      <c r="EG34" s="576">
        <f t="shared" si="70"/>
        <v>65414.304355227287</v>
      </c>
      <c r="EH34" s="576">
        <f t="shared" si="70"/>
        <v>65577.840116115331</v>
      </c>
      <c r="EI34" s="576">
        <f t="shared" si="70"/>
        <v>65741.784716405629</v>
      </c>
      <c r="EJ34" s="576">
        <f t="shared" si="70"/>
        <v>66012.627433804591</v>
      </c>
      <c r="EK34" s="576">
        <f t="shared" si="70"/>
        <v>58897.521906395472</v>
      </c>
      <c r="EL34" s="576">
        <f t="shared" si="70"/>
        <v>54571.567145043446</v>
      </c>
      <c r="EM34" s="576">
        <f t="shared" si="70"/>
        <v>63745.605112249075</v>
      </c>
      <c r="EN34" s="576">
        <f t="shared" si="70"/>
        <v>63904.969125029689</v>
      </c>
      <c r="EO34" s="576">
        <f t="shared" si="70"/>
        <v>64064.731547842261</v>
      </c>
      <c r="EP34" s="576">
        <f t="shared" ref="EP34:FS34" si="71">EP27*(EP22+EP21)</f>
        <v>64224.893376711865</v>
      </c>
      <c r="EQ34" s="576">
        <f t="shared" si="71"/>
        <v>40240.909756346031</v>
      </c>
      <c r="ER34" s="576">
        <f t="shared" si="71"/>
        <v>53788.682707649197</v>
      </c>
      <c r="ES34" s="576">
        <f t="shared" si="71"/>
        <v>67403.943018022896</v>
      </c>
      <c r="ET34" s="576">
        <f t="shared" si="71"/>
        <v>67572.452875567935</v>
      </c>
      <c r="EU34" s="576">
        <f t="shared" si="71"/>
        <v>67741.38400775686</v>
      </c>
      <c r="EV34" s="576">
        <f t="shared" si="71"/>
        <v>67910.737467776256</v>
      </c>
      <c r="EW34" s="576">
        <f t="shared" si="71"/>
        <v>68190.515827242503</v>
      </c>
      <c r="EX34" s="576">
        <f t="shared" si="71"/>
        <v>60840.668761000241</v>
      </c>
      <c r="EY34" s="576">
        <f t="shared" si="71"/>
        <v>56371.992113979693</v>
      </c>
      <c r="EZ34" s="576">
        <f t="shared" si="71"/>
        <v>65848.699912495576</v>
      </c>
      <c r="FA34" s="576">
        <f t="shared" si="71"/>
        <v>66013.321662276823</v>
      </c>
      <c r="FB34" s="576">
        <f t="shared" si="71"/>
        <v>66178.354966432496</v>
      </c>
      <c r="FC34" s="576">
        <f t="shared" si="71"/>
        <v>66343.800853848588</v>
      </c>
      <c r="FD34" s="576">
        <f t="shared" si="71"/>
        <v>41568.537722489498</v>
      </c>
      <c r="FE34" s="576">
        <f t="shared" si="71"/>
        <v>55563.278755727617</v>
      </c>
      <c r="FF34" s="576">
        <f t="shared" si="71"/>
        <v>69627.733690771172</v>
      </c>
      <c r="FG34" s="576">
        <f t="shared" si="71"/>
        <v>69801.803024998095</v>
      </c>
      <c r="FH34" s="576">
        <f t="shared" si="71"/>
        <v>69976.307532560604</v>
      </c>
      <c r="FI34" s="576">
        <f t="shared" si="71"/>
        <v>70151.248301391999</v>
      </c>
      <c r="FJ34" s="576">
        <f t="shared" si="71"/>
        <v>70440.257107600104</v>
      </c>
      <c r="FK34" s="576">
        <f t="shared" si="71"/>
        <v>62847.923910425328</v>
      </c>
      <c r="FL34" s="576">
        <f t="shared" si="71"/>
        <v>58231.816697740171</v>
      </c>
      <c r="FM34" s="576">
        <f t="shared" si="71"/>
        <v>68021.180009674092</v>
      </c>
      <c r="FN34" s="576">
        <f t="shared" si="71"/>
        <v>68191.23295969826</v>
      </c>
      <c r="FO34" s="576">
        <f t="shared" si="71"/>
        <v>68361.711042097522</v>
      </c>
      <c r="FP34" s="576">
        <f t="shared" si="71"/>
        <v>68532.61531970276</v>
      </c>
      <c r="FQ34" s="576">
        <f t="shared" si="71"/>
        <v>42939.966786251251</v>
      </c>
      <c r="FR34" s="576">
        <f t="shared" si="71"/>
        <v>57396.422270955838</v>
      </c>
      <c r="FS34" s="576">
        <f t="shared" si="71"/>
        <v>71924.891658291555</v>
      </c>
      <c r="FT34" s="577"/>
      <c r="FU34" s="577"/>
      <c r="FV34" s="577"/>
      <c r="FW34" s="577"/>
      <c r="FX34" s="578"/>
      <c r="FZ34" s="579"/>
      <c r="GA34" s="580"/>
      <c r="GB34" s="580"/>
      <c r="GD34" s="555"/>
      <c r="GE34" s="562"/>
    </row>
    <row r="35" spans="2:187" ht="12.75" customHeight="1" outlineLevel="1">
      <c r="B35" s="574" t="s">
        <v>302</v>
      </c>
      <c r="C35" s="575"/>
      <c r="D35" s="575"/>
      <c r="E35" s="576">
        <f t="shared" ref="E35:P35" si="72">-D29*E19</f>
        <v>0</v>
      </c>
      <c r="F35" s="576">
        <f t="shared" si="72"/>
        <v>-18119.342000000004</v>
      </c>
      <c r="G35" s="576">
        <f t="shared" si="72"/>
        <v>-18126.65866666667</v>
      </c>
      <c r="H35" s="576">
        <f t="shared" si="72"/>
        <v>-18133.731444444449</v>
      </c>
      <c r="I35" s="576">
        <f t="shared" si="72"/>
        <v>-18140.568462962965</v>
      </c>
      <c r="J35" s="576">
        <f t="shared" si="72"/>
        <v>-18147.177580864201</v>
      </c>
      <c r="K35" s="576">
        <f t="shared" si="72"/>
        <v>-18153.566394835394</v>
      </c>
      <c r="L35" s="576">
        <f t="shared" si="72"/>
        <v>-18159.742248340881</v>
      </c>
      <c r="M35" s="576">
        <f t="shared" si="72"/>
        <v>-18169.532832146186</v>
      </c>
      <c r="N35" s="576">
        <f t="shared" si="72"/>
        <v>-18180.534851471522</v>
      </c>
      <c r="O35" s="576">
        <f t="shared" si="72"/>
        <v>-18192.711769603673</v>
      </c>
      <c r="P35" s="576">
        <f t="shared" si="72"/>
        <v>-18206.028277331039</v>
      </c>
      <c r="Q35" s="576">
        <f>-H29*Q18</f>
        <v>-28344.638223379632</v>
      </c>
      <c r="R35" s="576">
        <f t="shared" ref="R35:CC35" si="73">-I29*R18</f>
        <v>-37806.61996013375</v>
      </c>
      <c r="S35" s="576">
        <f t="shared" si="73"/>
        <v>-47274.9124865505</v>
      </c>
      <c r="T35" s="576">
        <f t="shared" si="73"/>
        <v>-47290.995438387705</v>
      </c>
      <c r="U35" s="576">
        <f t="shared" si="73"/>
        <v>-47316.491750380686</v>
      </c>
      <c r="V35" s="576">
        <f t="shared" si="73"/>
        <v>-47345.142842373753</v>
      </c>
      <c r="W35" s="576">
        <f t="shared" si="73"/>
        <v>-47453.403013441231</v>
      </c>
      <c r="X35" s="576">
        <f t="shared" si="73"/>
        <v>-42264.015650709072</v>
      </c>
      <c r="Y35" s="576">
        <f t="shared" si="73"/>
        <v>-39093.060568580157</v>
      </c>
      <c r="Z35" s="576">
        <f t="shared" si="73"/>
        <v>-45618.788041441258</v>
      </c>
      <c r="AA35" s="576">
        <f t="shared" si="73"/>
        <v>-45714.017095375515</v>
      </c>
      <c r="AB35" s="576">
        <f t="shared" si="73"/>
        <v>-45840.352032672519</v>
      </c>
      <c r="AC35" s="576">
        <f t="shared" si="73"/>
        <v>-45975.511501427689</v>
      </c>
      <c r="AD35" s="576">
        <f t="shared" si="73"/>
        <v>-28824.210291815623</v>
      </c>
      <c r="AE35" s="576">
        <f t="shared" si="73"/>
        <v>-38558.157921870472</v>
      </c>
      <c r="AF35" s="576">
        <f t="shared" si="73"/>
        <v>-48363.216681384038</v>
      </c>
      <c r="AG35" s="576">
        <f t="shared" si="73"/>
        <v>-48518.054042192831</v>
      </c>
      <c r="AH35" s="576">
        <f t="shared" si="73"/>
        <v>-48667.776938279996</v>
      </c>
      <c r="AI35" s="576">
        <f t="shared" si="73"/>
        <v>-48845.660280182776</v>
      </c>
      <c r="AJ35" s="576">
        <f t="shared" si="73"/>
        <v>-49104.835284482157</v>
      </c>
      <c r="AK35" s="576">
        <f t="shared" si="73"/>
        <v>-43862.753769948264</v>
      </c>
      <c r="AL35" s="576">
        <f t="shared" si="73"/>
        <v>-40686.413373016811</v>
      </c>
      <c r="AM35" s="576">
        <f t="shared" si="73"/>
        <v>-47515.555135290437</v>
      </c>
      <c r="AN35" s="576">
        <f t="shared" si="73"/>
        <v>-47655.240812803393</v>
      </c>
      <c r="AO35" s="576">
        <f t="shared" si="73"/>
        <v>-47825.026255857883</v>
      </c>
      <c r="AP35" s="576">
        <f t="shared" si="73"/>
        <v>-47992.408719261235</v>
      </c>
      <c r="AQ35" s="576">
        <f t="shared" si="73"/>
        <v>-30098.650411713301</v>
      </c>
      <c r="AR35" s="576">
        <f t="shared" si="73"/>
        <v>-40265.834738700229</v>
      </c>
      <c r="AS35" s="576">
        <f t="shared" si="73"/>
        <v>-50495.82127866926</v>
      </c>
      <c r="AT35" s="576">
        <f t="shared" si="73"/>
        <v>-50638.027115665995</v>
      </c>
      <c r="AU35" s="576">
        <f t="shared" si="73"/>
        <v>-50766.335964632977</v>
      </c>
      <c r="AV35" s="576">
        <f t="shared" si="73"/>
        <v>-50916.085239390042</v>
      </c>
      <c r="AW35" s="576">
        <f t="shared" si="73"/>
        <v>-51146.902544628545</v>
      </c>
      <c r="AX35" s="576">
        <f t="shared" si="73"/>
        <v>-45648.902650239324</v>
      </c>
      <c r="AY35" s="576">
        <f t="shared" si="73"/>
        <v>-42306.319222271799</v>
      </c>
      <c r="AZ35" s="576">
        <f t="shared" si="73"/>
        <v>-49379.667435985481</v>
      </c>
      <c r="BA35" s="576">
        <f t="shared" si="73"/>
        <v>-49487.664440105247</v>
      </c>
      <c r="BB35" s="576">
        <f t="shared" si="73"/>
        <v>-49618.300985036723</v>
      </c>
      <c r="BC35" s="576">
        <f t="shared" si="73"/>
        <v>-49747.933597680523</v>
      </c>
      <c r="BD35" s="576">
        <f t="shared" si="73"/>
        <v>-31173.592172973618</v>
      </c>
      <c r="BE35" s="576">
        <f t="shared" si="73"/>
        <v>-41671.652586913006</v>
      </c>
      <c r="BF35" s="576">
        <f t="shared" si="73"/>
        <v>-52221.856694962313</v>
      </c>
      <c r="BG35" s="576">
        <f t="shared" si="73"/>
        <v>-52339.324581616187</v>
      </c>
      <c r="BH35" s="576">
        <f t="shared" si="73"/>
        <v>-52447.771124432576</v>
      </c>
      <c r="BI35" s="576">
        <f t="shared" si="73"/>
        <v>-52576.72488013078</v>
      </c>
      <c r="BJ35" s="576">
        <f t="shared" si="73"/>
        <v>-52792.504571222984</v>
      </c>
      <c r="BK35" s="576">
        <f t="shared" si="73"/>
        <v>-47101.046751794602</v>
      </c>
      <c r="BL35" s="576">
        <f t="shared" si="73"/>
        <v>-43639.955971533382</v>
      </c>
      <c r="BM35" s="576">
        <f t="shared" si="73"/>
        <v>-50929.576569647106</v>
      </c>
      <c r="BN35" s="576">
        <f t="shared" si="73"/>
        <v>-51034.689314154224</v>
      </c>
      <c r="BO35" s="576">
        <f t="shared" si="73"/>
        <v>-51164.629366062014</v>
      </c>
      <c r="BP35" s="576">
        <f t="shared" si="73"/>
        <v>-51295.984831023205</v>
      </c>
      <c r="BQ35" s="576">
        <f t="shared" si="73"/>
        <v>-32143.459686687453</v>
      </c>
      <c r="BR35" s="576">
        <f t="shared" si="73"/>
        <v>-42969.66709643494</v>
      </c>
      <c r="BS35" s="576">
        <f t="shared" si="73"/>
        <v>-53852.371008413073</v>
      </c>
      <c r="BT35" s="576">
        <f t="shared" si="73"/>
        <v>-53978.393592158667</v>
      </c>
      <c r="BU35" s="576">
        <f t="shared" si="73"/>
        <v>-54095.811509860258</v>
      </c>
      <c r="BV35" s="576">
        <f t="shared" si="73"/>
        <v>-54235.896851261627</v>
      </c>
      <c r="BW35" s="576">
        <f t="shared" si="73"/>
        <v>-54466.122474945718</v>
      </c>
      <c r="BX35" s="576">
        <f t="shared" si="73"/>
        <v>-48601.401843652769</v>
      </c>
      <c r="BY35" s="576">
        <f t="shared" si="73"/>
        <v>-45036.851520194177</v>
      </c>
      <c r="BZ35" s="576">
        <f t="shared" si="73"/>
        <v>-52564.772930069717</v>
      </c>
      <c r="CA35" s="576">
        <f t="shared" si="73"/>
        <v>-52679.754930534327</v>
      </c>
      <c r="CB35" s="576">
        <f t="shared" si="73"/>
        <v>-52821.681048871425</v>
      </c>
      <c r="CC35" s="576">
        <f t="shared" si="73"/>
        <v>-52964.679344485659</v>
      </c>
      <c r="CD35" s="576">
        <f t="shared" ref="CD35:EO35" si="74">-BU29*CD18</f>
        <v>-33193.434880018016</v>
      </c>
      <c r="CE35" s="576">
        <f t="shared" si="74"/>
        <v>-44378.5587458433</v>
      </c>
      <c r="CF35" s="576">
        <f t="shared" si="74"/>
        <v>-55624.026443677714</v>
      </c>
      <c r="CG35" s="576">
        <f t="shared" si="74"/>
        <v>-55758.859758211896</v>
      </c>
      <c r="CH35" s="576">
        <f t="shared" si="74"/>
        <v>-55883.873206242846</v>
      </c>
      <c r="CI35" s="576">
        <f t="shared" si="74"/>
        <v>-56032.492748603487</v>
      </c>
      <c r="CJ35" s="576">
        <f t="shared" si="74"/>
        <v>-56273.687936656184</v>
      </c>
      <c r="CK35" s="576">
        <f t="shared" si="74"/>
        <v>-50216.706853654461</v>
      </c>
      <c r="CL35" s="576">
        <f t="shared" si="74"/>
        <v>-46535.349627774638</v>
      </c>
      <c r="CM35" s="576">
        <f t="shared" si="74"/>
        <v>-54314.595837581095</v>
      </c>
      <c r="CN35" s="576">
        <f t="shared" si="74"/>
        <v>-54434.10161301968</v>
      </c>
      <c r="CO35" s="576">
        <f t="shared" si="74"/>
        <v>-54581.130308818712</v>
      </c>
      <c r="CP35" s="576">
        <f t="shared" si="74"/>
        <v>-54728.878805655171</v>
      </c>
      <c r="CQ35" s="576">
        <f t="shared" si="74"/>
        <v>-34298.872072196304</v>
      </c>
      <c r="CR35" s="576">
        <f t="shared" si="74"/>
        <v>-45855.95219030742</v>
      </c>
      <c r="CS35" s="576">
        <f t="shared" si="74"/>
        <v>-57474.822550295277</v>
      </c>
      <c r="CT35" s="576">
        <f t="shared" si="74"/>
        <v>-57613.07583757551</v>
      </c>
      <c r="CU35" s="576">
        <f t="shared" si="74"/>
        <v>-57741.116294328742</v>
      </c>
      <c r="CV35" s="576">
        <f t="shared" si="74"/>
        <v>-57893.284397112351</v>
      </c>
      <c r="CW35" s="576">
        <f t="shared" si="74"/>
        <v>-58141.036376793912</v>
      </c>
      <c r="CX35" s="576">
        <f t="shared" si="74"/>
        <v>-51881.742277969053</v>
      </c>
      <c r="CY35" s="576">
        <f t="shared" si="74"/>
        <v>-48077.101262517419</v>
      </c>
      <c r="CZ35" s="576">
        <f t="shared" si="74"/>
        <v>-56113.207146315297</v>
      </c>
      <c r="DA35" s="576">
        <f t="shared" si="74"/>
        <v>-56235.550974575774</v>
      </c>
      <c r="DB35" s="576">
        <f t="shared" si="74"/>
        <v>-56386.126406981755</v>
      </c>
      <c r="DC35" s="576">
        <f t="shared" si="74"/>
        <v>-56537.531092060046</v>
      </c>
      <c r="DD35" s="576">
        <f t="shared" si="74"/>
        <v>-35431.654359325679</v>
      </c>
      <c r="DE35" s="576">
        <f t="shared" si="74"/>
        <v>-47369.578642904424</v>
      </c>
      <c r="DF35" s="576">
        <f t="shared" si="74"/>
        <v>-59371.030848051218</v>
      </c>
      <c r="DG35" s="576">
        <f t="shared" si="74"/>
        <v>-59513.126117187414</v>
      </c>
      <c r="DH35" s="576">
        <f t="shared" si="74"/>
        <v>-59644.83033493477</v>
      </c>
      <c r="DI35" s="576">
        <f t="shared" si="74"/>
        <v>-59801.440265859834</v>
      </c>
      <c r="DJ35" s="576">
        <f t="shared" si="74"/>
        <v>-60056.879685353153</v>
      </c>
      <c r="DK35" s="576">
        <f t="shared" si="74"/>
        <v>-53591.007706053286</v>
      </c>
      <c r="DL35" s="576">
        <f t="shared" si="74"/>
        <v>-49660.809862385999</v>
      </c>
      <c r="DM35" s="576">
        <f t="shared" si="74"/>
        <v>-57961.53853138705</v>
      </c>
      <c r="DN35" s="576">
        <f t="shared" si="74"/>
        <v>-58087.856474804721</v>
      </c>
      <c r="DO35" s="576">
        <f t="shared" si="74"/>
        <v>-58243.399763415408</v>
      </c>
      <c r="DP35" s="576">
        <f t="shared" si="74"/>
        <v>-58399.8596025796</v>
      </c>
      <c r="DQ35" s="576">
        <f t="shared" si="74"/>
        <v>-36598.833629877416</v>
      </c>
      <c r="DR35" s="576">
        <f t="shared" si="74"/>
        <v>-48930.149064403224</v>
      </c>
      <c r="DS35" s="576">
        <f t="shared" si="74"/>
        <v>-61327.195110112203</v>
      </c>
      <c r="DT35" s="576">
        <f t="shared" si="74"/>
        <v>-61474.18818169766</v>
      </c>
      <c r="DU35" s="576">
        <f t="shared" si="74"/>
        <v>-61610.450342511685</v>
      </c>
      <c r="DV35" s="576">
        <f t="shared" si="74"/>
        <v>-61772.483689953093</v>
      </c>
      <c r="DW35" s="576">
        <f t="shared" si="74"/>
        <v>-62036.609824055107</v>
      </c>
      <c r="DX35" s="576">
        <f t="shared" si="74"/>
        <v>-55357.832619575645</v>
      </c>
      <c r="DY35" s="576">
        <f t="shared" si="74"/>
        <v>-51298.275877088563</v>
      </c>
      <c r="DZ35" s="576">
        <f t="shared" si="74"/>
        <v>-59872.854814697879</v>
      </c>
      <c r="EA35" s="576">
        <f t="shared" si="74"/>
        <v>-60003.527453116265</v>
      </c>
      <c r="EB35" s="576">
        <f t="shared" si="74"/>
        <v>-60164.419475244154</v>
      </c>
      <c r="EC35" s="576">
        <f t="shared" si="74"/>
        <v>-60326.240803776527</v>
      </c>
      <c r="ED35" s="576">
        <f t="shared" si="74"/>
        <v>-37806.19914256264</v>
      </c>
      <c r="EE35" s="576">
        <f t="shared" si="74"/>
        <v>-50544.448648766105</v>
      </c>
      <c r="EF35" s="576">
        <f t="shared" si="74"/>
        <v>-63350.641702937013</v>
      </c>
      <c r="EG35" s="576">
        <f t="shared" si="74"/>
        <v>-63502.592827937267</v>
      </c>
      <c r="EH35" s="576">
        <f t="shared" si="74"/>
        <v>-63643.432430224406</v>
      </c>
      <c r="EI35" s="576">
        <f t="shared" si="74"/>
        <v>-63810.894099643519</v>
      </c>
      <c r="EJ35" s="576">
        <f t="shared" si="74"/>
        <v>-64083.80132351163</v>
      </c>
      <c r="EK35" s="576">
        <f t="shared" si="74"/>
        <v>-57184.667410113136</v>
      </c>
      <c r="EL35" s="576">
        <f t="shared" si="74"/>
        <v>-52991.16702783644</v>
      </c>
      <c r="EM35" s="576">
        <f t="shared" si="74"/>
        <v>-61848.722796089649</v>
      </c>
      <c r="EN35" s="576">
        <f t="shared" si="74"/>
        <v>-61983.706897217067</v>
      </c>
      <c r="EO35" s="576">
        <f t="shared" si="74"/>
        <v>-62149.895404454757</v>
      </c>
      <c r="EP35" s="576">
        <f t="shared" ref="EP35:FS35" si="75">-EG29*EP18</f>
        <v>-62317.034839565298</v>
      </c>
      <c r="EQ35" s="576">
        <f t="shared" si="75"/>
        <v>-39053.803247861768</v>
      </c>
      <c r="ER35" s="576">
        <f t="shared" si="75"/>
        <v>-52212.385073991347</v>
      </c>
      <c r="ES35" s="576">
        <f t="shared" si="75"/>
        <v>-65441.131887652773</v>
      </c>
      <c r="ET35" s="576">
        <f t="shared" si="75"/>
        <v>-65598.055441185672</v>
      </c>
      <c r="EU35" s="576">
        <f t="shared" si="75"/>
        <v>-65743.501814425646</v>
      </c>
      <c r="EV35" s="576">
        <f t="shared" si="75"/>
        <v>-65916.441247926807</v>
      </c>
      <c r="EW35" s="576">
        <f t="shared" si="75"/>
        <v>-66198.305474077264</v>
      </c>
      <c r="EX35" s="576">
        <f t="shared" si="75"/>
        <v>-59071.486545089421</v>
      </c>
      <c r="EY35" s="576">
        <f t="shared" si="75"/>
        <v>-54739.583826710383</v>
      </c>
      <c r="EZ35" s="576">
        <f t="shared" si="75"/>
        <v>-63889.364740974204</v>
      </c>
      <c r="FA35" s="576">
        <f t="shared" si="75"/>
        <v>-64028.771059063627</v>
      </c>
      <c r="FB35" s="576">
        <f t="shared" si="75"/>
        <v>-64200.406955667291</v>
      </c>
      <c r="FC35" s="576">
        <f t="shared" si="75"/>
        <v>-64373.028548361297</v>
      </c>
      <c r="FD35" s="576">
        <f t="shared" si="75"/>
        <v>-40342.267140927477</v>
      </c>
      <c r="FE35" s="576">
        <f t="shared" si="75"/>
        <v>-53934.956452682512</v>
      </c>
      <c r="FF35" s="576">
        <f t="shared" si="75"/>
        <v>-67600.119334526651</v>
      </c>
      <c r="FG35" s="576">
        <f t="shared" si="75"/>
        <v>-67762.204243946733</v>
      </c>
      <c r="FH35" s="576">
        <f t="shared" si="75"/>
        <v>-67912.437691666288</v>
      </c>
      <c r="FI35" s="576">
        <f t="shared" si="75"/>
        <v>-68091.071537548021</v>
      </c>
      <c r="FJ35" s="576">
        <f t="shared" si="75"/>
        <v>-68382.226378286447</v>
      </c>
      <c r="FK35" s="576">
        <f t="shared" si="75"/>
        <v>-61020.284905820088</v>
      </c>
      <c r="FL35" s="576">
        <f t="shared" si="75"/>
        <v>-56545.468562059294</v>
      </c>
      <c r="FM35" s="576">
        <f t="shared" si="75"/>
        <v>-65997.10515663946</v>
      </c>
      <c r="FN35" s="576">
        <f t="shared" si="75"/>
        <v>-66141.112389437694</v>
      </c>
      <c r="FO35" s="576">
        <f t="shared" si="75"/>
        <v>-66318.414744271431</v>
      </c>
      <c r="FP35" s="576">
        <f t="shared" si="75"/>
        <v>-66496.736637401948</v>
      </c>
      <c r="FQ35" s="576">
        <f t="shared" si="75"/>
        <v>-41673.188754482988</v>
      </c>
      <c r="FR35" s="576">
        <f t="shared" si="75"/>
        <v>-55714.317134219746</v>
      </c>
      <c r="FS35" s="576">
        <f t="shared" si="75"/>
        <v>-69830.313824620825</v>
      </c>
      <c r="FT35" s="577"/>
      <c r="FU35" s="577"/>
      <c r="FV35" s="577"/>
      <c r="FW35" s="577"/>
      <c r="FX35" s="578"/>
      <c r="FZ35" s="579"/>
      <c r="GA35" s="580"/>
      <c r="GB35" s="580"/>
      <c r="GD35" s="555"/>
      <c r="GE35" s="562"/>
    </row>
    <row r="36" spans="2:187" ht="12.75" customHeight="1" outlineLevel="1">
      <c r="B36" s="574" t="s">
        <v>303</v>
      </c>
      <c r="C36" s="575"/>
      <c r="D36" s="575"/>
      <c r="E36" s="576">
        <f t="shared" ref="E36:K36" si="76">SUM(E33:E35)</f>
        <v>522656.99699999997</v>
      </c>
      <c r="F36" s="576">
        <f t="shared" si="76"/>
        <v>516291.49699999992</v>
      </c>
      <c r="G36" s="576">
        <f t="shared" si="76"/>
        <v>516503.68033333326</v>
      </c>
      <c r="H36" s="576">
        <f t="shared" si="76"/>
        <v>516708.79088888882</v>
      </c>
      <c r="I36" s="576">
        <f t="shared" si="76"/>
        <v>516907.06442592596</v>
      </c>
      <c r="J36" s="576">
        <f t="shared" si="76"/>
        <v>517098.72884506168</v>
      </c>
      <c r="K36" s="576">
        <f t="shared" si="76"/>
        <v>517284.00445022626</v>
      </c>
      <c r="L36" s="576">
        <f>SUM(L33:L35)</f>
        <v>517508.95130688546</v>
      </c>
      <c r="M36" s="576">
        <f t="shared" ref="M36:BX36" si="77">SUM(M33:M35)</f>
        <v>517770.06930250186</v>
      </c>
      <c r="N36" s="576">
        <f t="shared" si="77"/>
        <v>518066.26190586213</v>
      </c>
      <c r="O36" s="576">
        <f t="shared" si="77"/>
        <v>518396.46940972749</v>
      </c>
      <c r="P36" s="576">
        <f t="shared" si="77"/>
        <v>518759.66770404915</v>
      </c>
      <c r="Q36" s="576">
        <f t="shared" si="77"/>
        <v>519501.98204017233</v>
      </c>
      <c r="R36" s="576">
        <f t="shared" si="77"/>
        <v>520574.9220012406</v>
      </c>
      <c r="S36" s="576">
        <f t="shared" si="77"/>
        <v>522020.95804094651</v>
      </c>
      <c r="T36" s="576">
        <f t="shared" si="77"/>
        <v>523572.71350013081</v>
      </c>
      <c r="U36" s="576">
        <f t="shared" si="77"/>
        <v>525221.07952456595</v>
      </c>
      <c r="V36" s="576">
        <f t="shared" si="77"/>
        <v>526963.2066014451</v>
      </c>
      <c r="W36" s="576">
        <f t="shared" si="77"/>
        <v>528799.3030273706</v>
      </c>
      <c r="X36" s="576">
        <f t="shared" si="77"/>
        <v>530512.16704103246</v>
      </c>
      <c r="Y36" s="576">
        <f t="shared" si="77"/>
        <v>532165.9352651441</v>
      </c>
      <c r="Z36" s="576">
        <f t="shared" si="77"/>
        <v>534143.93422620452</v>
      </c>
      <c r="AA36" s="576">
        <f t="shared" si="77"/>
        <v>536145.69610083685</v>
      </c>
      <c r="AB36" s="576">
        <f t="shared" si="77"/>
        <v>538140.41248559731</v>
      </c>
      <c r="AC36" s="576">
        <f t="shared" si="77"/>
        <v>540119.5570726461</v>
      </c>
      <c r="AD36" s="576">
        <f t="shared" si="77"/>
        <v>541341.93598626659</v>
      </c>
      <c r="AE36" s="576">
        <f t="shared" si="77"/>
        <v>542946.05230232899</v>
      </c>
      <c r="AF36" s="576">
        <f t="shared" si="77"/>
        <v>544911.18552535458</v>
      </c>
      <c r="AG36" s="576">
        <f t="shared" si="77"/>
        <v>546847.30226233241</v>
      </c>
      <c r="AH36" s="576">
        <f t="shared" si="77"/>
        <v>548759.8315301711</v>
      </c>
      <c r="AI36" s="576">
        <f t="shared" si="77"/>
        <v>550620.92822162213</v>
      </c>
      <c r="AJ36" s="576">
        <f t="shared" si="77"/>
        <v>552431.75138456945</v>
      </c>
      <c r="AK36" s="576">
        <f t="shared" si="77"/>
        <v>553996.76235240768</v>
      </c>
      <c r="AL36" s="576">
        <f t="shared" si="77"/>
        <v>555401.49701745715</v>
      </c>
      <c r="AM36" s="576">
        <f t="shared" si="77"/>
        <v>557053.04192942078</v>
      </c>
      <c r="AN36" s="576">
        <f t="shared" si="77"/>
        <v>558687.8189139897</v>
      </c>
      <c r="AO36" s="576">
        <f t="shared" si="77"/>
        <v>560276.03549999744</v>
      </c>
      <c r="AP36" s="576">
        <f t="shared" si="77"/>
        <v>561820.40272970661</v>
      </c>
      <c r="AQ36" s="576">
        <f t="shared" si="77"/>
        <v>562759.63849852001</v>
      </c>
      <c r="AR36" s="576">
        <f t="shared" si="77"/>
        <v>563981.11162112386</v>
      </c>
      <c r="AS36" s="576">
        <f t="shared" si="77"/>
        <v>565474.07300615124</v>
      </c>
      <c r="AT36" s="576">
        <f t="shared" si="77"/>
        <v>566954.80051084119</v>
      </c>
      <c r="AU36" s="576">
        <f t="shared" si="77"/>
        <v>568437.51605311502</v>
      </c>
      <c r="AV36" s="576">
        <f t="shared" si="77"/>
        <v>569901.10494939901</v>
      </c>
      <c r="AW36" s="576">
        <f t="shared" si="77"/>
        <v>571349.6700930621</v>
      </c>
      <c r="AX36" s="576">
        <f t="shared" si="77"/>
        <v>572627.28484973253</v>
      </c>
      <c r="AY36" s="576">
        <f t="shared" si="77"/>
        <v>573800.78468715108</v>
      </c>
      <c r="AZ36" s="576">
        <f t="shared" si="77"/>
        <v>575210.33810612862</v>
      </c>
      <c r="BA36" s="576">
        <f t="shared" si="77"/>
        <v>576638.86757312389</v>
      </c>
      <c r="BB36" s="576">
        <f t="shared" si="77"/>
        <v>578064.05097995535</v>
      </c>
      <c r="BC36" s="576">
        <f t="shared" si="77"/>
        <v>579487.21048512275</v>
      </c>
      <c r="BD36" s="576">
        <f t="shared" si="77"/>
        <v>580375.50633440225</v>
      </c>
      <c r="BE36" s="576">
        <f t="shared" si="77"/>
        <v>581559.91073723428</v>
      </c>
      <c r="BF36" s="576">
        <f t="shared" si="77"/>
        <v>583042.05045754614</v>
      </c>
      <c r="BG36" s="576">
        <f t="shared" si="77"/>
        <v>584540.98228224239</v>
      </c>
      <c r="BH36" s="576">
        <f t="shared" si="77"/>
        <v>586066.06320513808</v>
      </c>
      <c r="BI36" s="576">
        <f t="shared" si="77"/>
        <v>587597.12250245386</v>
      </c>
      <c r="BJ36" s="576">
        <f t="shared" si="77"/>
        <v>589135.31512149377</v>
      </c>
      <c r="BK36" s="576">
        <f t="shared" si="77"/>
        <v>590508.98528900451</v>
      </c>
      <c r="BL36" s="576">
        <f t="shared" si="77"/>
        <v>591783.33442869503</v>
      </c>
      <c r="BM36" s="576">
        <f t="shared" si="77"/>
        <v>593318.61652622663</v>
      </c>
      <c r="BN36" s="576">
        <f t="shared" si="77"/>
        <v>594879.94802591903</v>
      </c>
      <c r="BO36" s="576">
        <f t="shared" si="77"/>
        <v>596442.82952573826</v>
      </c>
      <c r="BP36" s="576">
        <f t="shared" si="77"/>
        <v>598006.17433776101</v>
      </c>
      <c r="BQ36" s="576">
        <f t="shared" si="77"/>
        <v>598982.38838054449</v>
      </c>
      <c r="BR36" s="576">
        <f t="shared" si="77"/>
        <v>600282.68516916898</v>
      </c>
      <c r="BS36" s="576">
        <f t="shared" si="77"/>
        <v>601906.11265422113</v>
      </c>
      <c r="BT36" s="576">
        <f t="shared" si="77"/>
        <v>603542.20705176133</v>
      </c>
      <c r="BU36" s="576">
        <f t="shared" si="77"/>
        <v>605199.91975157417</v>
      </c>
      <c r="BV36" s="576">
        <f t="shared" si="77"/>
        <v>606856.93092050985</v>
      </c>
      <c r="BW36" s="576">
        <f t="shared" si="77"/>
        <v>608513.98382398451</v>
      </c>
      <c r="BX36" s="576">
        <f t="shared" si="77"/>
        <v>609986.5766054003</v>
      </c>
      <c r="BY36" s="576">
        <f t="shared" ref="BY36:EJ36" si="78">SUM(BY33:BY35)</f>
        <v>611345.84280719387</v>
      </c>
      <c r="BZ36" s="576">
        <f t="shared" si="78"/>
        <v>612976.84899386659</v>
      </c>
      <c r="CA36" s="576">
        <f t="shared" si="78"/>
        <v>614628.36262786656</v>
      </c>
      <c r="CB36" s="576">
        <f t="shared" si="78"/>
        <v>616273.77831494086</v>
      </c>
      <c r="CC36" s="576">
        <f t="shared" si="78"/>
        <v>617912.36344824068</v>
      </c>
      <c r="CD36" s="576">
        <f t="shared" si="78"/>
        <v>618931.28646758513</v>
      </c>
      <c r="CE36" s="576">
        <f t="shared" si="78"/>
        <v>620283.24611388962</v>
      </c>
      <c r="CF36" s="576">
        <f t="shared" si="78"/>
        <v>621965.27553037216</v>
      </c>
      <c r="CG36" s="576">
        <f t="shared" si="78"/>
        <v>623655.73677197099</v>
      </c>
      <c r="CH36" s="576">
        <f t="shared" si="78"/>
        <v>625364.8078680383</v>
      </c>
      <c r="CI36" s="576">
        <f t="shared" si="78"/>
        <v>627069.24178250076</v>
      </c>
      <c r="CJ36" s="576">
        <f t="shared" si="78"/>
        <v>628770.34484708065</v>
      </c>
      <c r="CK36" s="576">
        <f t="shared" si="78"/>
        <v>630279.67368921824</v>
      </c>
      <c r="CL36" s="576">
        <f t="shared" si="78"/>
        <v>631671.14235111629</v>
      </c>
      <c r="CM36" s="576">
        <f t="shared" si="78"/>
        <v>633340.35260178451</v>
      </c>
      <c r="CN36" s="576">
        <f t="shared" si="78"/>
        <v>635030.01659223472</v>
      </c>
      <c r="CO36" s="576">
        <f t="shared" si="78"/>
        <v>636712.96130089485</v>
      </c>
      <c r="CP36" s="576">
        <f t="shared" si="78"/>
        <v>638388.81770026207</v>
      </c>
      <c r="CQ36" s="576">
        <f t="shared" si="78"/>
        <v>639431.03752996249</v>
      </c>
      <c r="CR36" s="576">
        <f t="shared" si="78"/>
        <v>640814.34484852373</v>
      </c>
      <c r="CS36" s="576">
        <f t="shared" si="78"/>
        <v>642536.21937027958</v>
      </c>
      <c r="CT36" s="576">
        <f t="shared" si="78"/>
        <v>644267.83234743529</v>
      </c>
      <c r="CU36" s="576">
        <f t="shared" si="78"/>
        <v>646019.76658987463</v>
      </c>
      <c r="CV36" s="576">
        <f t="shared" si="78"/>
        <v>647768.26535587234</v>
      </c>
      <c r="CW36" s="576">
        <f t="shared" si="78"/>
        <v>649514.72409984365</v>
      </c>
      <c r="CX36" s="576">
        <f t="shared" si="78"/>
        <v>651065.56272211845</v>
      </c>
      <c r="CY36" s="576">
        <f t="shared" si="78"/>
        <v>652496.4811851983</v>
      </c>
      <c r="CZ36" s="576">
        <f t="shared" si="78"/>
        <v>654214.09767877194</v>
      </c>
      <c r="DA36" s="576">
        <f t="shared" si="78"/>
        <v>655953.94740318472</v>
      </c>
      <c r="DB36" s="576">
        <f t="shared" si="78"/>
        <v>657688.16019693913</v>
      </c>
      <c r="DC36" s="576">
        <f t="shared" si="78"/>
        <v>659416.26915361697</v>
      </c>
      <c r="DD36" s="576">
        <f t="shared" si="78"/>
        <v>660491.67988732865</v>
      </c>
      <c r="DE36" s="576">
        <f t="shared" si="78"/>
        <v>661919.87825211743</v>
      </c>
      <c r="DF36" s="576">
        <f t="shared" si="78"/>
        <v>663698.56171683175</v>
      </c>
      <c r="DG36" s="576">
        <f t="shared" si="78"/>
        <v>665488.02419819182</v>
      </c>
      <c r="DH36" s="576">
        <f t="shared" si="78"/>
        <v>667299.038933301</v>
      </c>
      <c r="DI36" s="576">
        <f t="shared" si="78"/>
        <v>669107.08335016016</v>
      </c>
      <c r="DJ36" s="576">
        <f t="shared" si="78"/>
        <v>670913.50683330325</v>
      </c>
      <c r="DK36" s="576">
        <f t="shared" si="78"/>
        <v>672517.92756587977</v>
      </c>
      <c r="DL36" s="576">
        <f t="shared" si="78"/>
        <v>673998.50585773902</v>
      </c>
      <c r="DM36" s="576">
        <f t="shared" si="78"/>
        <v>675775.74531504419</v>
      </c>
      <c r="DN36" s="576">
        <f t="shared" si="78"/>
        <v>677576.01377390348</v>
      </c>
      <c r="DO36" s="576">
        <f t="shared" si="78"/>
        <v>679370.45925648627</v>
      </c>
      <c r="DP36" s="576">
        <f t="shared" si="78"/>
        <v>681158.53951301984</v>
      </c>
      <c r="DQ36" s="576">
        <f t="shared" si="78"/>
        <v>682271.21195111796</v>
      </c>
      <c r="DR36" s="576">
        <f t="shared" si="78"/>
        <v>683748.77599757537</v>
      </c>
      <c r="DS36" s="576">
        <f t="shared" si="78"/>
        <v>685588.7463795105</v>
      </c>
      <c r="DT36" s="576">
        <f t="shared" si="78"/>
        <v>687439.64160359034</v>
      </c>
      <c r="DU36" s="576">
        <f t="shared" si="78"/>
        <v>689312.58737537055</v>
      </c>
      <c r="DV36" s="576">
        <f t="shared" si="78"/>
        <v>691182.20828999509</v>
      </c>
      <c r="DW36" s="576">
        <f t="shared" si="78"/>
        <v>693049.89553496696</v>
      </c>
      <c r="DX36" s="576">
        <f t="shared" si="78"/>
        <v>694708.49875276268</v>
      </c>
      <c r="DY36" s="576">
        <f t="shared" si="78"/>
        <v>696238.86754454789</v>
      </c>
      <c r="DZ36" s="576">
        <f t="shared" si="78"/>
        <v>698075.69229112705</v>
      </c>
      <c r="EA36" s="576">
        <f t="shared" si="78"/>
        <v>699936.11859819107</v>
      </c>
      <c r="EB36" s="576">
        <f t="shared" si="78"/>
        <v>701790.31276752765</v>
      </c>
      <c r="EC36" s="576">
        <f t="shared" si="78"/>
        <v>703637.7321424433</v>
      </c>
      <c r="ED36" s="576">
        <f t="shared" si="78"/>
        <v>704787.21695559239</v>
      </c>
      <c r="EE36" s="576">
        <f t="shared" si="78"/>
        <v>706313.53252762766</v>
      </c>
      <c r="EF36" s="576">
        <f t="shared" si="78"/>
        <v>708214.06723888253</v>
      </c>
      <c r="EG36" s="576">
        <f t="shared" si="78"/>
        <v>710125.77876617259</v>
      </c>
      <c r="EH36" s="576">
        <f t="shared" si="78"/>
        <v>712060.1864520635</v>
      </c>
      <c r="EI36" s="576">
        <f t="shared" si="78"/>
        <v>713991.0770688256</v>
      </c>
      <c r="EJ36" s="576">
        <f t="shared" si="78"/>
        <v>715919.90317911853</v>
      </c>
      <c r="EK36" s="576">
        <f t="shared" ref="EK36:FS36" si="79">SUM(EK33:EK35)</f>
        <v>717632.75767540094</v>
      </c>
      <c r="EL36" s="576">
        <f t="shared" si="79"/>
        <v>719213.1577926079</v>
      </c>
      <c r="EM36" s="576">
        <f t="shared" si="79"/>
        <v>721110.04010876734</v>
      </c>
      <c r="EN36" s="576">
        <f t="shared" si="79"/>
        <v>723031.30233657989</v>
      </c>
      <c r="EO36" s="576">
        <f t="shared" si="79"/>
        <v>724946.13847996737</v>
      </c>
      <c r="EP36" s="576">
        <f t="shared" si="79"/>
        <v>726853.99701711396</v>
      </c>
      <c r="EQ36" s="576">
        <f t="shared" si="79"/>
        <v>728041.10352559818</v>
      </c>
      <c r="ER36" s="576">
        <f t="shared" si="79"/>
        <v>729617.401159256</v>
      </c>
      <c r="ES36" s="576">
        <f t="shared" si="79"/>
        <v>731580.21228962613</v>
      </c>
      <c r="ET36" s="576">
        <f t="shared" si="79"/>
        <v>733554.60972400836</v>
      </c>
      <c r="EU36" s="576">
        <f t="shared" si="79"/>
        <v>735552.4919173395</v>
      </c>
      <c r="EV36" s="576">
        <f t="shared" si="79"/>
        <v>737546.788137189</v>
      </c>
      <c r="EW36" s="576">
        <f t="shared" si="79"/>
        <v>739538.99849035416</v>
      </c>
      <c r="EX36" s="576">
        <f t="shared" si="79"/>
        <v>741308.18070626503</v>
      </c>
      <c r="EY36" s="576">
        <f t="shared" si="79"/>
        <v>742940.58899353433</v>
      </c>
      <c r="EZ36" s="576">
        <f t="shared" si="79"/>
        <v>744899.92416505574</v>
      </c>
      <c r="FA36" s="576">
        <f t="shared" si="79"/>
        <v>746884.47476826899</v>
      </c>
      <c r="FB36" s="576">
        <f t="shared" si="79"/>
        <v>748862.42277903412</v>
      </c>
      <c r="FC36" s="576">
        <f t="shared" si="79"/>
        <v>750833.19508452143</v>
      </c>
      <c r="FD36" s="576">
        <f t="shared" si="79"/>
        <v>752059.46566608339</v>
      </c>
      <c r="FE36" s="576">
        <f t="shared" si="79"/>
        <v>753687.78796912846</v>
      </c>
      <c r="FF36" s="576">
        <f t="shared" si="79"/>
        <v>755715.40232537291</v>
      </c>
      <c r="FG36" s="576">
        <f t="shared" si="79"/>
        <v>757755.00110642426</v>
      </c>
      <c r="FH36" s="576">
        <f t="shared" si="79"/>
        <v>759818.8709473185</v>
      </c>
      <c r="FI36" s="576">
        <f t="shared" si="79"/>
        <v>761879.04771116248</v>
      </c>
      <c r="FJ36" s="576">
        <f t="shared" si="79"/>
        <v>763937.07844047609</v>
      </c>
      <c r="FK36" s="576">
        <f t="shared" si="79"/>
        <v>765764.71744508133</v>
      </c>
      <c r="FL36" s="576">
        <f t="shared" si="79"/>
        <v>767451.06558076222</v>
      </c>
      <c r="FM36" s="576">
        <f t="shared" si="79"/>
        <v>769475.1404337968</v>
      </c>
      <c r="FN36" s="576">
        <f t="shared" si="79"/>
        <v>771525.26100405736</v>
      </c>
      <c r="FO36" s="576">
        <f t="shared" si="79"/>
        <v>773568.55730188347</v>
      </c>
      <c r="FP36" s="576">
        <f t="shared" si="79"/>
        <v>775604.43598418427</v>
      </c>
      <c r="FQ36" s="576">
        <f t="shared" si="79"/>
        <v>776871.21401595254</v>
      </c>
      <c r="FR36" s="576">
        <f t="shared" si="79"/>
        <v>778553.31915268861</v>
      </c>
      <c r="FS36" s="576">
        <f t="shared" si="79"/>
        <v>780647.89698635938</v>
      </c>
      <c r="FT36" s="577"/>
      <c r="FU36" s="577"/>
      <c r="FV36" s="577"/>
      <c r="FW36" s="577"/>
      <c r="FX36" s="578"/>
      <c r="FZ36" s="579"/>
      <c r="GA36" s="580"/>
      <c r="GB36" s="580"/>
      <c r="GD36" s="555"/>
      <c r="GE36" s="562"/>
    </row>
    <row r="37" spans="2:187" ht="12.75" customHeight="1" outlineLevel="1">
      <c r="B37" s="574"/>
      <c r="C37" s="575"/>
      <c r="D37" s="575"/>
      <c r="E37" s="576"/>
      <c r="F37" s="576"/>
      <c r="G37" s="576"/>
      <c r="H37" s="576"/>
      <c r="I37" s="576"/>
      <c r="J37" s="576"/>
      <c r="K37" s="576"/>
      <c r="L37" s="576"/>
      <c r="M37" s="576"/>
      <c r="N37" s="576"/>
      <c r="O37" s="576"/>
      <c r="P37" s="576"/>
      <c r="Q37" s="576"/>
      <c r="R37" s="576"/>
      <c r="S37" s="576"/>
      <c r="T37" s="576"/>
      <c r="U37" s="576"/>
      <c r="V37" s="576"/>
      <c r="W37" s="576"/>
      <c r="X37" s="576"/>
      <c r="Y37" s="576"/>
      <c r="Z37" s="576"/>
      <c r="AA37" s="576"/>
      <c r="AB37" s="576"/>
      <c r="AC37" s="576"/>
      <c r="AD37" s="576"/>
      <c r="AE37" s="576"/>
      <c r="AF37" s="576"/>
      <c r="AG37" s="576"/>
      <c r="AH37" s="576"/>
      <c r="AI37" s="576"/>
      <c r="AJ37" s="576"/>
      <c r="AK37" s="576"/>
      <c r="AL37" s="576"/>
      <c r="AM37" s="576"/>
      <c r="AN37" s="576"/>
      <c r="AO37" s="576"/>
      <c r="AP37" s="576"/>
      <c r="AQ37" s="576"/>
      <c r="AR37" s="576"/>
      <c r="AS37" s="576"/>
      <c r="AT37" s="576"/>
      <c r="AU37" s="576"/>
      <c r="AV37" s="576"/>
      <c r="AW37" s="576"/>
      <c r="AX37" s="576"/>
      <c r="AY37" s="576"/>
      <c r="AZ37" s="576"/>
      <c r="BA37" s="576"/>
      <c r="BB37" s="576"/>
      <c r="BC37" s="576"/>
      <c r="BD37" s="576"/>
      <c r="BE37" s="576"/>
      <c r="BF37" s="576"/>
      <c r="BG37" s="576"/>
      <c r="BH37" s="576"/>
      <c r="BI37" s="576"/>
      <c r="BJ37" s="576"/>
      <c r="BK37" s="576"/>
      <c r="BL37" s="576"/>
      <c r="BM37" s="576"/>
      <c r="BN37" s="576"/>
      <c r="BO37" s="576"/>
      <c r="BP37" s="576"/>
      <c r="BQ37" s="576"/>
      <c r="BR37" s="576"/>
      <c r="BS37" s="576"/>
      <c r="BT37" s="576"/>
      <c r="BU37" s="576"/>
      <c r="BV37" s="576"/>
      <c r="BW37" s="576"/>
      <c r="BX37" s="576"/>
      <c r="BY37" s="576"/>
      <c r="BZ37" s="576"/>
      <c r="CA37" s="576"/>
      <c r="CB37" s="576"/>
      <c r="CC37" s="576"/>
      <c r="CD37" s="576"/>
      <c r="CE37" s="576"/>
      <c r="CF37" s="576"/>
      <c r="CG37" s="576"/>
      <c r="CH37" s="576"/>
      <c r="CI37" s="576"/>
      <c r="CJ37" s="576"/>
      <c r="CK37" s="576"/>
      <c r="CL37" s="576"/>
      <c r="CM37" s="576"/>
      <c r="CN37" s="576"/>
      <c r="CO37" s="576"/>
      <c r="CP37" s="576"/>
      <c r="CQ37" s="576"/>
      <c r="CR37" s="576"/>
      <c r="CS37" s="576"/>
      <c r="CT37" s="576"/>
      <c r="CU37" s="576"/>
      <c r="CV37" s="576"/>
      <c r="CW37" s="576"/>
      <c r="CX37" s="576"/>
      <c r="CY37" s="576"/>
      <c r="CZ37" s="576"/>
      <c r="DA37" s="576"/>
      <c r="DB37" s="576"/>
      <c r="DC37" s="576"/>
      <c r="DD37" s="576"/>
      <c r="DE37" s="576"/>
      <c r="DF37" s="576"/>
      <c r="DG37" s="576"/>
      <c r="DH37" s="576"/>
      <c r="DI37" s="576"/>
      <c r="DJ37" s="576"/>
      <c r="DK37" s="576"/>
      <c r="DL37" s="576"/>
      <c r="DM37" s="576"/>
      <c r="DN37" s="576"/>
      <c r="DO37" s="576"/>
      <c r="DP37" s="576"/>
      <c r="DQ37" s="576"/>
      <c r="DR37" s="576"/>
      <c r="DS37" s="576"/>
      <c r="DT37" s="576"/>
      <c r="DU37" s="576"/>
      <c r="DV37" s="576"/>
      <c r="DW37" s="576"/>
      <c r="DX37" s="576"/>
      <c r="DY37" s="576"/>
      <c r="DZ37" s="576"/>
      <c r="EA37" s="576"/>
      <c r="EB37" s="576"/>
      <c r="EC37" s="576"/>
      <c r="ED37" s="576"/>
      <c r="EE37" s="576"/>
      <c r="EF37" s="576"/>
      <c r="EG37" s="576"/>
      <c r="EH37" s="576"/>
      <c r="EI37" s="576"/>
      <c r="EJ37" s="576"/>
      <c r="EK37" s="576"/>
      <c r="EL37" s="576"/>
      <c r="EM37" s="576"/>
      <c r="EN37" s="576"/>
      <c r="EO37" s="576"/>
      <c r="EP37" s="576"/>
      <c r="EQ37" s="576"/>
      <c r="ER37" s="576"/>
      <c r="ES37" s="576"/>
      <c r="ET37" s="576"/>
      <c r="EU37" s="576"/>
      <c r="EV37" s="576"/>
      <c r="EW37" s="576"/>
      <c r="EX37" s="576"/>
      <c r="EY37" s="576"/>
      <c r="EZ37" s="576"/>
      <c r="FA37" s="576"/>
      <c r="FB37" s="576"/>
      <c r="FC37" s="576"/>
      <c r="FD37" s="576"/>
      <c r="FE37" s="576"/>
      <c r="FF37" s="576"/>
      <c r="FG37" s="576"/>
      <c r="FH37" s="576"/>
      <c r="FI37" s="576"/>
      <c r="FJ37" s="576"/>
      <c r="FK37" s="576"/>
      <c r="FL37" s="576"/>
      <c r="FM37" s="576"/>
      <c r="FN37" s="576"/>
      <c r="FO37" s="576"/>
      <c r="FP37" s="576"/>
      <c r="FQ37" s="576"/>
      <c r="FR37" s="576"/>
      <c r="FS37" s="576"/>
      <c r="FT37" s="577"/>
      <c r="FU37" s="577"/>
      <c r="FV37" s="577"/>
      <c r="FW37" s="577"/>
      <c r="FX37" s="578"/>
      <c r="FZ37" s="579"/>
      <c r="GA37" s="580"/>
      <c r="GB37" s="580"/>
      <c r="GD37" s="555"/>
      <c r="GE37" s="562"/>
    </row>
    <row r="38" spans="2:187" ht="12.75" customHeight="1" outlineLevel="1">
      <c r="B38" s="581" t="s">
        <v>304</v>
      </c>
      <c r="C38" s="575"/>
      <c r="D38" s="575">
        <v>0</v>
      </c>
      <c r="E38" s="582"/>
      <c r="F38" s="582"/>
      <c r="G38" s="582"/>
      <c r="H38" s="582"/>
      <c r="I38" s="582"/>
      <c r="J38" s="582"/>
      <c r="K38" s="582"/>
      <c r="L38" s="582"/>
      <c r="M38" s="582"/>
      <c r="N38" s="582"/>
      <c r="O38" s="582"/>
      <c r="P38" s="583"/>
      <c r="Q38" s="584"/>
      <c r="R38" s="584"/>
      <c r="S38" s="584"/>
      <c r="T38" s="584"/>
      <c r="U38" s="584"/>
      <c r="V38" s="584"/>
      <c r="W38" s="584"/>
      <c r="X38" s="584"/>
      <c r="Y38" s="584"/>
      <c r="Z38" s="584"/>
      <c r="AA38" s="584"/>
      <c r="AB38" s="584"/>
      <c r="AC38" s="584"/>
      <c r="AD38" s="584"/>
      <c r="AE38" s="585"/>
      <c r="AF38" s="585"/>
      <c r="AG38" s="585"/>
      <c r="AH38" s="585"/>
      <c r="AI38" s="585"/>
      <c r="AJ38" s="585"/>
      <c r="AK38" s="585"/>
      <c r="AL38" s="585"/>
      <c r="AM38" s="585"/>
      <c r="AN38" s="585"/>
      <c r="AO38" s="585"/>
      <c r="AP38" s="585"/>
      <c r="AQ38" s="585"/>
      <c r="AR38" s="585"/>
      <c r="AS38" s="585"/>
      <c r="AT38" s="585"/>
      <c r="AU38" s="585"/>
      <c r="AV38" s="585"/>
      <c r="AW38" s="585"/>
      <c r="AX38" s="585"/>
      <c r="AY38" s="585"/>
      <c r="AZ38" s="585"/>
      <c r="BA38" s="585"/>
      <c r="BB38" s="585"/>
      <c r="BC38" s="585"/>
      <c r="BD38" s="585"/>
      <c r="BE38" s="585"/>
      <c r="BF38" s="585"/>
      <c r="BG38" s="585"/>
      <c r="BH38" s="585"/>
      <c r="BI38" s="585"/>
      <c r="BJ38" s="585"/>
      <c r="BK38" s="585"/>
      <c r="BL38" s="585"/>
      <c r="BM38" s="585"/>
      <c r="BN38" s="585"/>
      <c r="BO38" s="585"/>
      <c r="BP38" s="585"/>
      <c r="BQ38" s="585"/>
      <c r="BR38" s="585"/>
      <c r="BS38" s="585"/>
      <c r="BT38" s="585"/>
      <c r="BU38" s="585"/>
      <c r="BV38" s="585"/>
      <c r="BW38" s="585"/>
      <c r="BX38" s="585"/>
      <c r="BY38" s="585"/>
      <c r="BZ38" s="585"/>
      <c r="CA38" s="585"/>
      <c r="CB38" s="585"/>
      <c r="CC38" s="585"/>
      <c r="CD38" s="585"/>
      <c r="CE38" s="585"/>
      <c r="CF38" s="585"/>
      <c r="CG38" s="585"/>
      <c r="CH38" s="585"/>
      <c r="CI38" s="585"/>
      <c r="CJ38" s="585"/>
      <c r="CK38" s="585"/>
      <c r="CL38" s="585"/>
      <c r="CM38" s="585"/>
      <c r="CN38" s="585"/>
      <c r="CO38" s="585"/>
      <c r="CP38" s="585"/>
      <c r="CQ38" s="585"/>
      <c r="CR38" s="585"/>
      <c r="CS38" s="585"/>
      <c r="CT38" s="585"/>
      <c r="CU38" s="585"/>
      <c r="CV38" s="585"/>
      <c r="CW38" s="585"/>
      <c r="CX38" s="585"/>
      <c r="CY38" s="585"/>
      <c r="CZ38" s="585"/>
      <c r="DA38" s="585"/>
      <c r="DB38" s="585"/>
      <c r="DC38" s="585"/>
      <c r="DD38" s="585"/>
      <c r="DE38" s="585"/>
      <c r="DF38" s="585"/>
      <c r="DG38" s="585"/>
      <c r="DH38" s="585"/>
      <c r="DI38" s="585"/>
      <c r="DJ38" s="585"/>
      <c r="DK38" s="585"/>
      <c r="DL38" s="585"/>
      <c r="DM38" s="585"/>
      <c r="DN38" s="585"/>
      <c r="DO38" s="585"/>
      <c r="DP38" s="585"/>
      <c r="DQ38" s="585"/>
      <c r="DR38" s="585"/>
      <c r="DS38" s="585"/>
      <c r="DT38" s="585"/>
      <c r="DU38" s="585"/>
      <c r="DV38" s="585"/>
      <c r="DW38" s="585"/>
      <c r="DX38" s="585"/>
      <c r="DY38" s="585"/>
      <c r="DZ38" s="585"/>
      <c r="EA38" s="585"/>
      <c r="EB38" s="585"/>
      <c r="EC38" s="585"/>
      <c r="ED38" s="585"/>
      <c r="EE38" s="585"/>
      <c r="EF38" s="585"/>
      <c r="EG38" s="585"/>
      <c r="EH38" s="585"/>
      <c r="EI38" s="585"/>
      <c r="EJ38" s="585"/>
      <c r="EK38" s="585"/>
      <c r="EL38" s="585"/>
      <c r="EM38" s="585"/>
      <c r="EN38" s="585"/>
      <c r="EO38" s="585"/>
      <c r="EP38" s="585"/>
      <c r="EQ38" s="585"/>
      <c r="ER38" s="585"/>
      <c r="ES38" s="585"/>
      <c r="ET38" s="585"/>
      <c r="EU38" s="585"/>
      <c r="EV38" s="585"/>
      <c r="EW38" s="585"/>
      <c r="EX38" s="585"/>
      <c r="EY38" s="585"/>
      <c r="EZ38" s="585"/>
      <c r="FA38" s="585"/>
      <c r="FB38" s="585"/>
      <c r="FC38" s="585"/>
      <c r="FD38" s="585"/>
      <c r="FE38" s="585"/>
      <c r="FF38" s="585"/>
      <c r="FG38" s="585"/>
      <c r="FH38" s="585"/>
      <c r="FI38" s="585"/>
      <c r="FJ38" s="585"/>
      <c r="FK38" s="585"/>
      <c r="FL38" s="585"/>
      <c r="FM38" s="585"/>
      <c r="FN38" s="585"/>
      <c r="FO38" s="585"/>
      <c r="FP38" s="585"/>
      <c r="FQ38" s="585"/>
      <c r="FR38" s="585"/>
      <c r="FS38" s="585"/>
      <c r="FT38" s="577"/>
      <c r="FU38" s="577"/>
      <c r="FV38" s="577"/>
      <c r="FW38" s="577"/>
      <c r="FX38" s="578"/>
      <c r="FZ38" s="579"/>
      <c r="GA38" s="580"/>
      <c r="GB38" s="580"/>
      <c r="GD38" s="555"/>
      <c r="GE38" s="562"/>
    </row>
    <row r="39" spans="2:187" ht="12.75" customHeight="1" outlineLevel="1">
      <c r="B39" s="574" t="s">
        <v>9</v>
      </c>
      <c r="C39" s="575"/>
      <c r="D39" s="586"/>
      <c r="E39" s="326">
        <f>+Detail!$D$67*'Cash Flow'!E27</f>
        <v>550165.26</v>
      </c>
      <c r="F39" s="326">
        <f>+Detail!$D$67*'Cash Flow'!F27</f>
        <v>550165.26</v>
      </c>
      <c r="G39" s="326">
        <f>+Detail!$D$67*'Cash Flow'!G27</f>
        <v>550165.26</v>
      </c>
      <c r="H39" s="326">
        <f>+Detail!$D$67*'Cash Flow'!H27</f>
        <v>550165.26</v>
      </c>
      <c r="I39" s="326">
        <f>+Detail!$D$67*'Cash Flow'!I27</f>
        <v>550165.26</v>
      </c>
      <c r="J39" s="326">
        <f>+Detail!$D$67*'Cash Flow'!J27</f>
        <v>550165.26</v>
      </c>
      <c r="K39" s="326">
        <f>+Detail!$D$67*'Cash Flow'!K27</f>
        <v>550165.26</v>
      </c>
      <c r="L39" s="326">
        <f>+Detail!$D$67*'Cash Flow'!L27</f>
        <v>551540.67314999993</v>
      </c>
      <c r="M39" s="326">
        <f>+Detail!$D$67*'Cash Flow'!M27</f>
        <v>552919.524832875</v>
      </c>
      <c r="N39" s="326">
        <f>+Detail!$D$67*'Cash Flow'!N27</f>
        <v>554301.82364495704</v>
      </c>
      <c r="O39" s="326">
        <f>+Detail!$D$67*'Cash Flow'!O27</f>
        <v>555687.57820406952</v>
      </c>
      <c r="P39" s="326">
        <f>+Detail!$D$67*'Cash Flow'!P27</f>
        <v>557076.79714957974</v>
      </c>
      <c r="Q39" s="326">
        <f>+Detail!$D$67*'Cash Flow'!Q27</f>
        <v>558469.48914245353</v>
      </c>
      <c r="R39" s="326">
        <f>+Detail!$D$67*'Cash Flow'!R27</f>
        <v>559865.66286530963</v>
      </c>
      <c r="S39" s="326">
        <f>+Detail!$D$67*'Cash Flow'!S27</f>
        <v>561265.32702247298</v>
      </c>
      <c r="T39" s="326">
        <f>+Detail!$D$67*'Cash Flow'!T27</f>
        <v>562668.49034002912</v>
      </c>
      <c r="U39" s="326">
        <f>+Detail!$D$67*'Cash Flow'!U27</f>
        <v>564075.16156587913</v>
      </c>
      <c r="V39" s="326">
        <f>+Detail!$D$67*'Cash Flow'!V27</f>
        <v>565485.34946979373</v>
      </c>
      <c r="W39" s="326">
        <f>+Detail!$D$67*'Cash Flow'!W27</f>
        <v>566899.06284346827</v>
      </c>
      <c r="X39" s="326">
        <f>+Detail!$D$67*'Cash Flow'!X27</f>
        <v>568316.31050057698</v>
      </c>
      <c r="Y39" s="326">
        <f>+Detail!$D$67*'Cash Flow'!Y27</f>
        <v>569737.10127682821</v>
      </c>
      <c r="Z39" s="326">
        <f>+Detail!$D$67*'Cash Flow'!Z27</f>
        <v>571161.44403002027</v>
      </c>
      <c r="AA39" s="326">
        <f>+Detail!$D$67*'Cash Flow'!AA27</f>
        <v>572589.3476400954</v>
      </c>
      <c r="AB39" s="326">
        <f>+Detail!$D$67*'Cash Flow'!AB27</f>
        <v>574020.82100919553</v>
      </c>
      <c r="AC39" s="326">
        <f>+Detail!$D$67*'Cash Flow'!AC27</f>
        <v>575455.87306171865</v>
      </c>
      <c r="AD39" s="326">
        <f>+Detail!$D$67*'Cash Flow'!AD27</f>
        <v>576894.51274437283</v>
      </c>
      <c r="AE39" s="326">
        <f>+Detail!$D$67*'Cash Flow'!AE27</f>
        <v>578336.7490262338</v>
      </c>
      <c r="AF39" s="326">
        <f>+Detail!$D$67*'Cash Flow'!AF27</f>
        <v>579782.59089879936</v>
      </c>
      <c r="AG39" s="326">
        <f>+Detail!$D$67*'Cash Flow'!AG27</f>
        <v>581232.04737604619</v>
      </c>
      <c r="AH39" s="326">
        <f>+Detail!$D$67*'Cash Flow'!AH27</f>
        <v>582685.12749448628</v>
      </c>
      <c r="AI39" s="326">
        <f>+Detail!$D$67*'Cash Flow'!AI27</f>
        <v>584141.84031322249</v>
      </c>
      <c r="AJ39" s="326">
        <f>+Detail!$D$67*'Cash Flow'!AJ27</f>
        <v>585602.19491400558</v>
      </c>
      <c r="AK39" s="326">
        <f>+Detail!$D$67*'Cash Flow'!AK27</f>
        <v>587066.20040129055</v>
      </c>
      <c r="AL39" s="326">
        <f>+Detail!$D$67*'Cash Flow'!AL27</f>
        <v>588533.86590229371</v>
      </c>
      <c r="AM39" s="326">
        <f>+Detail!$D$67*'Cash Flow'!AM27</f>
        <v>590005.20056704944</v>
      </c>
      <c r="AN39" s="326">
        <f>+Detail!$D$67*'Cash Flow'!AN27</f>
        <v>591480.21356846718</v>
      </c>
      <c r="AO39" s="326">
        <f>+Detail!$D$67*'Cash Flow'!AO27</f>
        <v>592958.91410238808</v>
      </c>
      <c r="AP39" s="326">
        <f>+Detail!$D$67*'Cash Flow'!AP27</f>
        <v>594441.31138764403</v>
      </c>
      <c r="AQ39" s="326">
        <f>+Detail!$D$67*'Cash Flow'!AQ27</f>
        <v>595927.41466611321</v>
      </c>
      <c r="AR39" s="326">
        <f>+Detail!$D$67*'Cash Flow'!AR27</f>
        <v>597417.23320277862</v>
      </c>
      <c r="AS39" s="326">
        <f>+Detail!$D$67*'Cash Flow'!AS27</f>
        <v>598910.77628578537</v>
      </c>
      <c r="AT39" s="326">
        <f>+Detail!$D$67*'Cash Flow'!AT27</f>
        <v>600408.05322649982</v>
      </c>
      <c r="AU39" s="326">
        <f>+Detail!$D$67*'Cash Flow'!AU27</f>
        <v>601909.07335956604</v>
      </c>
      <c r="AV39" s="326">
        <f>+Detail!$D$67*'Cash Flow'!AV27</f>
        <v>603413.84604296507</v>
      </c>
      <c r="AW39" s="326">
        <f>+Detail!$D$67*'Cash Flow'!AW27</f>
        <v>604922.3806580723</v>
      </c>
      <c r="AX39" s="326">
        <f>+Detail!$D$67*'Cash Flow'!AX27</f>
        <v>606434.68660971755</v>
      </c>
      <c r="AY39" s="326">
        <f>+Detail!$D$67*'Cash Flow'!AY27</f>
        <v>607950.77332624176</v>
      </c>
      <c r="AZ39" s="326">
        <f>+Detail!$D$67*'Cash Flow'!AZ27</f>
        <v>609470.6502595573</v>
      </c>
      <c r="BA39" s="326">
        <f>+Detail!$D$67*'Cash Flow'!BA27</f>
        <v>610994.32688520616</v>
      </c>
      <c r="BB39" s="326">
        <f>+Detail!$D$67*'Cash Flow'!BB27</f>
        <v>612521.81270241912</v>
      </c>
      <c r="BC39" s="326">
        <f>+Detail!$D$67*'Cash Flow'!BC27</f>
        <v>614053.11723417521</v>
      </c>
      <c r="BD39" s="326">
        <f>+Detail!$D$67*'Cash Flow'!BD27</f>
        <v>615588.25002726063</v>
      </c>
      <c r="BE39" s="326">
        <f>+Detail!$D$67*'Cash Flow'!BE27</f>
        <v>617127.22065232869</v>
      </c>
      <c r="BF39" s="326">
        <f>+Detail!$D$67*'Cash Flow'!BF27</f>
        <v>618670.03870395944</v>
      </c>
      <c r="BG39" s="326">
        <f>+Detail!$D$67*'Cash Flow'!BG27</f>
        <v>620216.71380071959</v>
      </c>
      <c r="BH39" s="326">
        <f>+Detail!$D$67*'Cash Flow'!BH27</f>
        <v>621767.25558522122</v>
      </c>
      <c r="BI39" s="326">
        <f>+Detail!$D$67*'Cash Flow'!BI27</f>
        <v>623321.67372418439</v>
      </c>
      <c r="BJ39" s="326">
        <f>+Detail!$D$67*'Cash Flow'!BJ27</f>
        <v>624879.97790849465</v>
      </c>
      <c r="BK39" s="326">
        <f>+Detail!$D$67*'Cash Flow'!BK27</f>
        <v>626442.17785326589</v>
      </c>
      <c r="BL39" s="326">
        <f>+Detail!$D$67*'Cash Flow'!BL27</f>
        <v>628008.28329789895</v>
      </c>
      <c r="BM39" s="326">
        <f>+Detail!$D$67*'Cash Flow'!BM27</f>
        <v>629578.30400614359</v>
      </c>
      <c r="BN39" s="326">
        <f>+Detail!$D$67*'Cash Flow'!BN27</f>
        <v>631152.2497661591</v>
      </c>
      <c r="BO39" s="326">
        <f>+Detail!$D$67*'Cash Flow'!BO27</f>
        <v>632730.13039057422</v>
      </c>
      <c r="BP39" s="326">
        <f>+Detail!$D$67*'Cash Flow'!BP27</f>
        <v>634311.95571655082</v>
      </c>
      <c r="BQ39" s="326">
        <f>+Detail!$D$67*'Cash Flow'!BQ27</f>
        <v>635897.7356058422</v>
      </c>
      <c r="BR39" s="326">
        <f>+Detail!$D$67*'Cash Flow'!BR27</f>
        <v>637487.47994485672</v>
      </c>
      <c r="BS39" s="326">
        <f>+Detail!$D$67*'Cash Flow'!BS27</f>
        <v>639081.19864471885</v>
      </c>
      <c r="BT39" s="326">
        <f>+Detail!$D$67*'Cash Flow'!BT27</f>
        <v>640678.9016413308</v>
      </c>
      <c r="BU39" s="326">
        <f>+Detail!$D$67*'Cash Flow'!BU27</f>
        <v>642280.59889543394</v>
      </c>
      <c r="BV39" s="326">
        <f>+Detail!$D$67*'Cash Flow'!BV27</f>
        <v>643886.3003926723</v>
      </c>
      <c r="BW39" s="326">
        <f>+Detail!$D$67*'Cash Flow'!BW27</f>
        <v>645496.01614365412</v>
      </c>
      <c r="BX39" s="326">
        <f>+Detail!$D$67*'Cash Flow'!BX27</f>
        <v>647109.75618401333</v>
      </c>
      <c r="BY39" s="326">
        <f>+Detail!$D$67*'Cash Flow'!BY27</f>
        <v>648727.53057447332</v>
      </c>
      <c r="BZ39" s="326">
        <f>+Detail!$D$67*'Cash Flow'!BZ27</f>
        <v>650349.34940090938</v>
      </c>
      <c r="CA39" s="326">
        <f>+Detail!$D$67*'Cash Flow'!CA27</f>
        <v>651975.22277441167</v>
      </c>
      <c r="CB39" s="326">
        <f>+Detail!$D$67*'Cash Flow'!CB27</f>
        <v>653605.16083134769</v>
      </c>
      <c r="CC39" s="326">
        <f>+Detail!$D$67*'Cash Flow'!CC27</f>
        <v>655239.17373342591</v>
      </c>
      <c r="CD39" s="326">
        <f>+Detail!$D$67*'Cash Flow'!CD27</f>
        <v>656877.2716677594</v>
      </c>
      <c r="CE39" s="326">
        <f>+Detail!$D$67*'Cash Flow'!CE27</f>
        <v>658519.46484692884</v>
      </c>
      <c r="CF39" s="326">
        <f>+Detail!$D$67*'Cash Flow'!CF27</f>
        <v>660165.76350904617</v>
      </c>
      <c r="CG39" s="326">
        <f>+Detail!$D$67*'Cash Flow'!CG27</f>
        <v>661816.17791781877</v>
      </c>
      <c r="CH39" s="326">
        <f>+Detail!$D$67*'Cash Flow'!CH27</f>
        <v>663470.71836261323</v>
      </c>
      <c r="CI39" s="326">
        <f>+Detail!$D$67*'Cash Flow'!CI27</f>
        <v>665129.39515851974</v>
      </c>
      <c r="CJ39" s="326">
        <f>+Detail!$D$67*'Cash Flow'!CJ27</f>
        <v>666792.21864641609</v>
      </c>
      <c r="CK39" s="326">
        <f>+Detail!$D$67*'Cash Flow'!CK27</f>
        <v>668459.19919303199</v>
      </c>
      <c r="CL39" s="326">
        <f>+Detail!$D$67*'Cash Flow'!CL27</f>
        <v>670130.34719101456</v>
      </c>
      <c r="CM39" s="326">
        <f>+Detail!$D$67*'Cash Flow'!CM27</f>
        <v>671805.67305899214</v>
      </c>
      <c r="CN39" s="326">
        <f>+Detail!$D$67*'Cash Flow'!CN27</f>
        <v>673485.18724163948</v>
      </c>
      <c r="CO39" s="326">
        <f>+Detail!$D$67*'Cash Flow'!CO27</f>
        <v>675168.90020974376</v>
      </c>
      <c r="CP39" s="326">
        <f>+Detail!$D$67*'Cash Flow'!CP27</f>
        <v>676856.82246026804</v>
      </c>
      <c r="CQ39" s="326">
        <f>+Detail!$D$67*'Cash Flow'!CQ27</f>
        <v>678548.96451641852</v>
      </c>
      <c r="CR39" s="326">
        <f>+Detail!$D$67*'Cash Flow'!CR27</f>
        <v>680245.33692770964</v>
      </c>
      <c r="CS39" s="326">
        <f>+Detail!$D$67*'Cash Flow'!CS27</f>
        <v>681945.95027002878</v>
      </c>
      <c r="CT39" s="326">
        <f>+Detail!$D$67*'Cash Flow'!CT27</f>
        <v>683650.81514570385</v>
      </c>
      <c r="CU39" s="326">
        <f>+Detail!$D$67*'Cash Flow'!CU27</f>
        <v>685359.94218356814</v>
      </c>
      <c r="CV39" s="326">
        <f>+Detail!$D$67*'Cash Flow'!CV27</f>
        <v>687073.34203902702</v>
      </c>
      <c r="CW39" s="326">
        <f>+Detail!$D$67*'Cash Flow'!CW27</f>
        <v>688791.02539412456</v>
      </c>
      <c r="CX39" s="326">
        <f>+Detail!$D$67*'Cash Flow'!CX27</f>
        <v>690513.00295760983</v>
      </c>
      <c r="CY39" s="326">
        <f>+Detail!$D$67*'Cash Flow'!CY27</f>
        <v>692239.28546500381</v>
      </c>
      <c r="CZ39" s="326">
        <f>+Detail!$D$67*'Cash Flow'!CZ27</f>
        <v>693969.88367866655</v>
      </c>
      <c r="DA39" s="326">
        <f>+Detail!$D$67*'Cash Flow'!DA27</f>
        <v>695704.80838786287</v>
      </c>
      <c r="DB39" s="326">
        <f>+Detail!$D$67*'Cash Flow'!DB27</f>
        <v>697444.07040883251</v>
      </c>
      <c r="DC39" s="326">
        <f>+Detail!$D$67*'Cash Flow'!DC27</f>
        <v>699187.68058485468</v>
      </c>
      <c r="DD39" s="326">
        <f>+Detail!$D$67*'Cash Flow'!DD27</f>
        <v>700935.64978631679</v>
      </c>
      <c r="DE39" s="326">
        <f>+Detail!$D$67*'Cash Flow'!DE27</f>
        <v>702687.9889107825</v>
      </c>
      <c r="DF39" s="326">
        <f>+Detail!$D$67*'Cash Flow'!DF27</f>
        <v>704444.70888305933</v>
      </c>
      <c r="DG39" s="326">
        <f>+Detail!$D$67*'Cash Flow'!DG27</f>
        <v>706205.8206552671</v>
      </c>
      <c r="DH39" s="326">
        <f>+Detail!$D$67*'Cash Flow'!DH27</f>
        <v>707971.33520690538</v>
      </c>
      <c r="DI39" s="326">
        <f>+Detail!$D$67*'Cash Flow'!DI27</f>
        <v>709741.26354492223</v>
      </c>
      <c r="DJ39" s="326">
        <f>+Detail!$D$67*'Cash Flow'!DJ27</f>
        <v>711515.61670378468</v>
      </c>
      <c r="DK39" s="326">
        <f>+Detail!$D$67*'Cash Flow'!DK27</f>
        <v>713294.40574554424</v>
      </c>
      <c r="DL39" s="326">
        <f>+Detail!$D$67*'Cash Flow'!DL27</f>
        <v>715077.64175990794</v>
      </c>
      <c r="DM39" s="326">
        <f>+Detail!$D$67*'Cash Flow'!DM27</f>
        <v>716865.33586430771</v>
      </c>
      <c r="DN39" s="326">
        <f>+Detail!$D$67*'Cash Flow'!DN27</f>
        <v>718657.49920396833</v>
      </c>
      <c r="DO39" s="326">
        <f>+Detail!$D$67*'Cash Flow'!DO27</f>
        <v>720454.14295197825</v>
      </c>
      <c r="DP39" s="326">
        <f>+Detail!$D$67*'Cash Flow'!DP27</f>
        <v>722255.2783093584</v>
      </c>
      <c r="DQ39" s="326">
        <f>+Detail!$D$67*'Cash Flow'!DQ27</f>
        <v>724060.9165051314</v>
      </c>
      <c r="DR39" s="326">
        <f>+Detail!$D$67*'Cash Flow'!DR27</f>
        <v>725871.06879639428</v>
      </c>
      <c r="DS39" s="326">
        <f>+Detail!$D$67*'Cash Flow'!DS27</f>
        <v>727685.74646838557</v>
      </c>
      <c r="DT39" s="326">
        <f>+Detail!$D$67*'Cash Flow'!DT27</f>
        <v>729504.96083455614</v>
      </c>
      <c r="DU39" s="326">
        <f>+Detail!$D$67*'Cash Flow'!DU27</f>
        <v>731328.72323664278</v>
      </c>
      <c r="DV39" s="326">
        <f>+Detail!$D$67*'Cash Flow'!DV27</f>
        <v>733157.04504473414</v>
      </c>
      <c r="DW39" s="326">
        <f>+Detail!$D$67*'Cash Flow'!DW27</f>
        <v>734989.93765734602</v>
      </c>
      <c r="DX39" s="326">
        <f>+Detail!$D$67*'Cash Flow'!DX27</f>
        <v>736827.41250148928</v>
      </c>
      <c r="DY39" s="326">
        <f>+Detail!$D$67*'Cash Flow'!DY27</f>
        <v>738669.48103274289</v>
      </c>
      <c r="DZ39" s="326">
        <f>+Detail!$D$67*'Cash Flow'!DZ27</f>
        <v>740516.15473532479</v>
      </c>
      <c r="EA39" s="326">
        <f>+Detail!$D$67*'Cash Flow'!EA27</f>
        <v>742367.44512216293</v>
      </c>
      <c r="EB39" s="326">
        <f>+Detail!$D$67*'Cash Flow'!EB27</f>
        <v>744223.36373496847</v>
      </c>
      <c r="EC39" s="326">
        <f>+Detail!$D$67*'Cash Flow'!EC27</f>
        <v>746083.92214430589</v>
      </c>
      <c r="ED39" s="326">
        <f>+Detail!$D$67*'Cash Flow'!ED27</f>
        <v>747949.13194966665</v>
      </c>
      <c r="EE39" s="326">
        <f>+Detail!$D$67*'Cash Flow'!EE27</f>
        <v>749819.0047795407</v>
      </c>
      <c r="EF39" s="326">
        <f>+Detail!$D$67*'Cash Flow'!EF27</f>
        <v>751693.55229148979</v>
      </c>
      <c r="EG39" s="326">
        <f>+Detail!$D$67*'Cash Flow'!EG27</f>
        <v>753572.78617221827</v>
      </c>
      <c r="EH39" s="326">
        <f>+Detail!$D$67*'Cash Flow'!EH27</f>
        <v>755456.71813764854</v>
      </c>
      <c r="EI39" s="326">
        <f>+Detail!$D$67*'Cash Flow'!EI27</f>
        <v>757345.35993299284</v>
      </c>
      <c r="EJ39" s="326">
        <f>+Detail!$D$67*'Cash Flow'!EJ27</f>
        <v>759238.72333282535</v>
      </c>
      <c r="EK39" s="326">
        <f>+Detail!$D$67*'Cash Flow'!EK27</f>
        <v>761136.82014115725</v>
      </c>
      <c r="EL39" s="326">
        <f>+Detail!$D$67*'Cash Flow'!EL27</f>
        <v>763039.66219151008</v>
      </c>
      <c r="EM39" s="326">
        <f>+Detail!$D$67*'Cash Flow'!EM27</f>
        <v>764947.26134698885</v>
      </c>
      <c r="EN39" s="326">
        <f>+Detail!$D$67*'Cash Flow'!EN27</f>
        <v>766859.62950035627</v>
      </c>
      <c r="EO39" s="326">
        <f>+Detail!$D$67*'Cash Flow'!EO27</f>
        <v>768776.7785741071</v>
      </c>
      <c r="EP39" s="326">
        <f>+Detail!$D$67*'Cash Flow'!EP27</f>
        <v>770698.72052054235</v>
      </c>
      <c r="EQ39" s="326">
        <f>+Detail!$D$67*'Cash Flow'!EQ27</f>
        <v>772625.46732184384</v>
      </c>
      <c r="ER39" s="326">
        <f>+Detail!$D$67*'Cash Flow'!ER27</f>
        <v>774557.03099014843</v>
      </c>
      <c r="ES39" s="326">
        <f>+Detail!$D$67*'Cash Flow'!ES27</f>
        <v>776493.42356762371</v>
      </c>
      <c r="ET39" s="326">
        <f>+Detail!$D$67*'Cash Flow'!ET27</f>
        <v>778434.65712654265</v>
      </c>
      <c r="EU39" s="326">
        <f>+Detail!$D$67*'Cash Flow'!EU27</f>
        <v>780380.74376935896</v>
      </c>
      <c r="EV39" s="326">
        <f>+Detail!$D$67*'Cash Flow'!EV27</f>
        <v>782331.6956287825</v>
      </c>
      <c r="EW39" s="326">
        <f>+Detail!$D$67*'Cash Flow'!EW27</f>
        <v>784287.5248678542</v>
      </c>
      <c r="EX39" s="326">
        <f>+Detail!$D$67*'Cash Flow'!EX27</f>
        <v>786248.2436800237</v>
      </c>
      <c r="EY39" s="326">
        <f>+Detail!$D$67*'Cash Flow'!EY27</f>
        <v>788213.86428922391</v>
      </c>
      <c r="EZ39" s="326">
        <f>+Detail!$D$67*'Cash Flow'!EZ27</f>
        <v>790184.39894994698</v>
      </c>
      <c r="FA39" s="326">
        <f>+Detail!$D$67*'Cash Flow'!FA27</f>
        <v>792159.85994732194</v>
      </c>
      <c r="FB39" s="326">
        <f>+Detail!$D$67*'Cash Flow'!FB27</f>
        <v>794140.25959718996</v>
      </c>
      <c r="FC39" s="326">
        <f>+Detail!$D$67*'Cash Flow'!FC27</f>
        <v>796125.61024618312</v>
      </c>
      <c r="FD39" s="326">
        <f>+Detail!$D$67*'Cash Flow'!FD27</f>
        <v>798115.92427179846</v>
      </c>
      <c r="FE39" s="326">
        <f>+Detail!$D$67*'Cash Flow'!FE27</f>
        <v>800111.21408247761</v>
      </c>
      <c r="FF39" s="326">
        <f>+Detail!$D$67*'Cash Flow'!FF27</f>
        <v>802111.49211768387</v>
      </c>
      <c r="FG39" s="326">
        <f>+Detail!$D$67*'Cash Flow'!FG27</f>
        <v>804116.77084797807</v>
      </c>
      <c r="FH39" s="326">
        <f>+Detail!$D$67*'Cash Flow'!FH27</f>
        <v>806127.06277509814</v>
      </c>
      <c r="FI39" s="326">
        <f>+Detail!$D$67*'Cash Flow'!FI27</f>
        <v>808142.38043203589</v>
      </c>
      <c r="FJ39" s="326">
        <f>+Detail!$D$67*'Cash Flow'!FJ27</f>
        <v>810162.73638311587</v>
      </c>
      <c r="FK39" s="326">
        <f>+Detail!$D$67*'Cash Flow'!FK27</f>
        <v>812188.14322407357</v>
      </c>
      <c r="FL39" s="326">
        <f>+Detail!$D$67*'Cash Flow'!FL27</f>
        <v>814218.6135821339</v>
      </c>
      <c r="FM39" s="326">
        <f>+Detail!$D$67*'Cash Flow'!FM27</f>
        <v>816254.16011608904</v>
      </c>
      <c r="FN39" s="326">
        <f>+Detail!$D$67*'Cash Flow'!FN27</f>
        <v>818294.79551637918</v>
      </c>
      <c r="FO39" s="326">
        <f>+Detail!$D$67*'Cash Flow'!FO27</f>
        <v>820340.53250517021</v>
      </c>
      <c r="FP39" s="326">
        <f>+Detail!$D$67*'Cash Flow'!FP27</f>
        <v>822391.38383643318</v>
      </c>
      <c r="FQ39" s="326">
        <f>+Detail!$D$67*'Cash Flow'!FQ27</f>
        <v>824447.36229602399</v>
      </c>
      <c r="FR39" s="326">
        <f>+Detail!$D$67*'Cash Flow'!FR27</f>
        <v>826508.480701764</v>
      </c>
      <c r="FS39" s="326">
        <f>+Detail!$D$67*'Cash Flow'!FS27</f>
        <v>828574.75190351869</v>
      </c>
      <c r="FT39" s="587">
        <f>SUMIFS($E39:$FS39,$E$8:$FS$8,FT$5)</f>
        <v>3851156.8199999994</v>
      </c>
      <c r="FU39" s="587">
        <f>SUMIFS($E39:$FS39,$E$8:$FS$8,FU$5)</f>
        <v>6710254.9402308874</v>
      </c>
      <c r="FV39" s="587">
        <f>SUMIFS($E39:$FS39,$E$8:$FS$8,FV$5)</f>
        <v>6914353.7653715955</v>
      </c>
      <c r="FW39" s="587">
        <f>SUMIFS($E39:$FS39,$E$8:$FS$8,FW$5)</f>
        <v>7124660.4515838819</v>
      </c>
      <c r="FX39" s="587">
        <f>SUMIFS($E39:$FS39,$E$8:$FS$8,FX$5)</f>
        <v>7341363.8169026235</v>
      </c>
      <c r="FY39" s="588"/>
      <c r="FZ39" s="579"/>
      <c r="GA39" s="579"/>
      <c r="GB39" s="579"/>
      <c r="GD39" s="555"/>
      <c r="GE39" s="562"/>
    </row>
    <row r="40" spans="2:187" ht="12.75" customHeight="1" outlineLevel="1">
      <c r="B40" s="574" t="s">
        <v>10</v>
      </c>
      <c r="C40" s="575"/>
      <c r="D40" s="586"/>
      <c r="E40" s="674">
        <v>-6585</v>
      </c>
      <c r="F40" s="416">
        <f t="shared" ref="F40:P40" si="80">-(F39-F36+F41)</f>
        <v>-6365.5000000000291</v>
      </c>
      <c r="G40" s="416">
        <f t="shared" si="80"/>
        <v>-6153.3166666666802</v>
      </c>
      <c r="H40" s="416">
        <f t="shared" si="80"/>
        <v>-5948.2061111111252</v>
      </c>
      <c r="I40" s="416">
        <f t="shared" si="80"/>
        <v>-5749.9325740739878</v>
      </c>
      <c r="J40" s="416">
        <f t="shared" si="80"/>
        <v>-5558.2681549382687</v>
      </c>
      <c r="K40" s="416">
        <f t="shared" si="80"/>
        <v>-5372.992549773684</v>
      </c>
      <c r="L40" s="416">
        <f t="shared" si="80"/>
        <v>-6454.6881856144064</v>
      </c>
      <c r="M40" s="416">
        <f t="shared" si="80"/>
        <v>-7503.4792887293333</v>
      </c>
      <c r="N40" s="416">
        <f t="shared" si="80"/>
        <v>-8520.4705568469872</v>
      </c>
      <c r="O40" s="416">
        <f t="shared" si="80"/>
        <v>-9506.7298841384873</v>
      </c>
      <c r="P40" s="416">
        <f t="shared" si="80"/>
        <v>-10463.289588051539</v>
      </c>
      <c r="Q40" s="416">
        <f t="shared" ref="Q40:CB40" si="81">-(Q39-Q36+Q41)</f>
        <v>-11044.032645158462</v>
      </c>
      <c r="R40" s="416">
        <f>-(R39-R36+R41)</f>
        <v>-11297.457720803479</v>
      </c>
      <c r="S40" s="416">
        <f>-(S39-S36+S41)</f>
        <v>-11181.102630402755</v>
      </c>
      <c r="T40" s="416">
        <f t="shared" si="81"/>
        <v>-10962.352322896793</v>
      </c>
      <c r="U40" s="416">
        <f t="shared" si="81"/>
        <v>-10650.323963019153</v>
      </c>
      <c r="V40" s="416">
        <f t="shared" si="81"/>
        <v>-10247.875394858878</v>
      </c>
      <c r="W40" s="416">
        <f t="shared" si="81"/>
        <v>-9754.8066739241985</v>
      </c>
      <c r="X40" s="416">
        <f t="shared" si="81"/>
        <v>-9388.3279345156006</v>
      </c>
      <c r="Y40" s="416">
        <f t="shared" si="81"/>
        <v>-9084.3109478426268</v>
      </c>
      <c r="Z40" s="416">
        <f t="shared" si="81"/>
        <v>-8459.4376023146615</v>
      </c>
      <c r="AA40" s="416">
        <f t="shared" si="81"/>
        <v>-7814.1841572537051</v>
      </c>
      <c r="AB40" s="416">
        <f t="shared" si="81"/>
        <v>-7179.3674731383726</v>
      </c>
      <c r="AC40" s="416">
        <f t="shared" si="81"/>
        <v>-6563.5223359865522</v>
      </c>
      <c r="AD40" s="416">
        <f t="shared" si="81"/>
        <v>-6707.8511208875316</v>
      </c>
      <c r="AE40" s="416">
        <f t="shared" si="81"/>
        <v>-6473.8592725930503</v>
      </c>
      <c r="AF40" s="416">
        <f t="shared" si="81"/>
        <v>-5882.2758285047457</v>
      </c>
      <c r="AG40" s="416">
        <f t="shared" si="81"/>
        <v>-5323.1427449114053</v>
      </c>
      <c r="AH40" s="416">
        <f t="shared" si="81"/>
        <v>-4791.0395895908005</v>
      </c>
      <c r="AI40" s="416">
        <f t="shared" si="81"/>
        <v>-4313.8200759391657</v>
      </c>
      <c r="AJ40" s="416">
        <f t="shared" si="81"/>
        <v>-3890.3337837357831</v>
      </c>
      <c r="AK40" s="416">
        <f t="shared" si="81"/>
        <v>-3716.1280288182752</v>
      </c>
      <c r="AL40" s="416">
        <f t="shared" si="81"/>
        <v>-3705.675589721799</v>
      </c>
      <c r="AM40" s="416">
        <f t="shared" si="81"/>
        <v>-3451.8986092761152</v>
      </c>
      <c r="AN40" s="416">
        <f t="shared" si="81"/>
        <v>-3218.3839760540541</v>
      </c>
      <c r="AO40" s="416">
        <f t="shared" si="81"/>
        <v>-3034.9328972711664</v>
      </c>
      <c r="AP40" s="416">
        <f t="shared" si="81"/>
        <v>-2898.843088555157</v>
      </c>
      <c r="AQ40" s="416">
        <f t="shared" si="81"/>
        <v>-3371.4054342874661</v>
      </c>
      <c r="AR40" s="416">
        <f t="shared" si="81"/>
        <v>-3565.2599215157607</v>
      </c>
      <c r="AS40" s="416">
        <f t="shared" si="81"/>
        <v>-3491.1644653447838</v>
      </c>
      <c r="AT40" s="416">
        <f t="shared" si="81"/>
        <v>-3432.8500543335649</v>
      </c>
      <c r="AU40" s="416">
        <f t="shared" si="81"/>
        <v>-3376.1036384726503</v>
      </c>
      <c r="AV40" s="416">
        <f t="shared" si="81"/>
        <v>-3342.048791417732</v>
      </c>
      <c r="AW40" s="416">
        <f t="shared" si="81"/>
        <v>-3326.5915321065149</v>
      </c>
      <c r="AX40" s="416">
        <f t="shared" si="81"/>
        <v>-3485.6674294990698</v>
      </c>
      <c r="AY40" s="416">
        <f t="shared" si="81"/>
        <v>-3752.4499727785151</v>
      </c>
      <c r="AZ40" s="416">
        <f t="shared" si="81"/>
        <v>-3786.779640450739</v>
      </c>
      <c r="BA40" s="416">
        <f t="shared" si="81"/>
        <v>-3805.7429678218869</v>
      </c>
      <c r="BB40" s="416">
        <f t="shared" si="81"/>
        <v>-3831.6710873427401</v>
      </c>
      <c r="BC40" s="416">
        <f t="shared" si="81"/>
        <v>-3863.2508873436273</v>
      </c>
      <c r="BD40" s="416">
        <f t="shared" si="81"/>
        <v>-4433.3311914952719</v>
      </c>
      <c r="BE40" s="416">
        <f t="shared" si="81"/>
        <v>-4710.9488824778964</v>
      </c>
      <c r="BF40" s="416">
        <f t="shared" si="81"/>
        <v>-4694.4863112152525</v>
      </c>
      <c r="BG40" s="416">
        <f t="shared" si="81"/>
        <v>-4664.8958284411492</v>
      </c>
      <c r="BH40" s="416">
        <f t="shared" si="81"/>
        <v>-4612.8296008220095</v>
      </c>
      <c r="BI40" s="416">
        <f t="shared" si="81"/>
        <v>-4558.4675355212457</v>
      </c>
      <c r="BJ40" s="416">
        <f t="shared" si="81"/>
        <v>-4500.6638915760741</v>
      </c>
      <c r="BK40" s="416">
        <f t="shared" si="81"/>
        <v>-4611.0836715980076</v>
      </c>
      <c r="BL40" s="416">
        <f t="shared" si="81"/>
        <v>-4824.5347043088914</v>
      </c>
      <c r="BM40" s="416">
        <f t="shared" si="81"/>
        <v>-4780.7722796097041</v>
      </c>
      <c r="BN40" s="416">
        <f t="shared" si="81"/>
        <v>-4714.6892519320427</v>
      </c>
      <c r="BO40" s="416">
        <f t="shared" si="81"/>
        <v>-4650.7943453071821</v>
      </c>
      <c r="BP40" s="416">
        <f t="shared" si="81"/>
        <v>-4590.1835929621921</v>
      </c>
      <c r="BQ40" s="416">
        <f t="shared" si="81"/>
        <v>-5120.4604450055231</v>
      </c>
      <c r="BR40" s="416">
        <f t="shared" si="81"/>
        <v>-5330.4207784448263</v>
      </c>
      <c r="BS40" s="416">
        <f t="shared" si="81"/>
        <v>-5221.0260582617084</v>
      </c>
      <c r="BT40" s="416">
        <f t="shared" si="81"/>
        <v>-5102.7495075028528</v>
      </c>
      <c r="BU40" s="416">
        <f t="shared" si="81"/>
        <v>-4966.6491990879986</v>
      </c>
      <c r="BV40" s="416">
        <f t="shared" si="81"/>
        <v>-4835.0544525287551</v>
      </c>
      <c r="BW40" s="416">
        <f t="shared" si="81"/>
        <v>-4707.2315124868292</v>
      </c>
      <c r="BX40" s="416">
        <f t="shared" si="81"/>
        <v>-4767.6917694122822</v>
      </c>
      <c r="BY40" s="416">
        <f t="shared" si="81"/>
        <v>-4945.3112385557106</v>
      </c>
      <c r="BZ40" s="416">
        <f t="shared" si="81"/>
        <v>-4855.0329369972533</v>
      </c>
      <c r="CA40" s="416">
        <f t="shared" si="81"/>
        <v>-4748.0990078244467</v>
      </c>
      <c r="CB40" s="416">
        <f t="shared" si="81"/>
        <v>-4651.1244748393656</v>
      </c>
      <c r="CC40" s="416">
        <f t="shared" ref="CC40:EN40" si="82">-(CC39-CC36+CC41)</f>
        <v>-4564.8515985138547</v>
      </c>
      <c r="CD40" s="416">
        <f t="shared" si="82"/>
        <v>-5102.1216167862221</v>
      </c>
      <c r="CE40" s="416">
        <f t="shared" si="82"/>
        <v>-5310.2454906927014</v>
      </c>
      <c r="CF40" s="416">
        <f t="shared" si="82"/>
        <v>-5192.1998032216216</v>
      </c>
      <c r="CG40" s="416">
        <f t="shared" si="82"/>
        <v>-5069.6322499567686</v>
      </c>
      <c r="CH40" s="416">
        <f t="shared" si="82"/>
        <v>-4932.3745764441919</v>
      </c>
      <c r="CI40" s="416">
        <f t="shared" si="82"/>
        <v>-4803.6836180929167</v>
      </c>
      <c r="CJ40" s="416">
        <f t="shared" si="82"/>
        <v>-4682.2628670145568</v>
      </c>
      <c r="CK40" s="416">
        <f t="shared" si="82"/>
        <v>-4756.5655441620765</v>
      </c>
      <c r="CL40" s="416">
        <f t="shared" si="82"/>
        <v>-4952.6874803474639</v>
      </c>
      <c r="CM40" s="416">
        <f t="shared" si="82"/>
        <v>-4875.0368042579357</v>
      </c>
      <c r="CN40" s="416">
        <f t="shared" si="82"/>
        <v>-4780.9112873226986</v>
      </c>
      <c r="CO40" s="416">
        <f t="shared" si="82"/>
        <v>-4697.4938983616448</v>
      </c>
      <c r="CP40" s="416">
        <f t="shared" si="82"/>
        <v>-4625.1636369924963</v>
      </c>
      <c r="CQ40" s="416">
        <f t="shared" si="82"/>
        <v>-5190.4787606350219</v>
      </c>
      <c r="CR40" s="416">
        <f t="shared" si="82"/>
        <v>-5418.7252328003378</v>
      </c>
      <c r="CS40" s="416">
        <f t="shared" si="82"/>
        <v>-5312.4333862476851</v>
      </c>
      <c r="CT40" s="416">
        <f t="shared" si="82"/>
        <v>-5200.4420409832746</v>
      </c>
      <c r="CU40" s="416">
        <f t="shared" si="82"/>
        <v>-5072.1784845150178</v>
      </c>
      <c r="CV40" s="416">
        <f t="shared" si="82"/>
        <v>-4951.4095812032465</v>
      </c>
      <c r="CW40" s="416">
        <f t="shared" si="82"/>
        <v>-4836.750024574605</v>
      </c>
      <c r="CX40" s="416">
        <f t="shared" si="82"/>
        <v>-4921.7900876108033</v>
      </c>
      <c r="CY40" s="416">
        <f t="shared" si="82"/>
        <v>-5130.8400065552414</v>
      </c>
      <c r="CZ40" s="416">
        <f t="shared" si="82"/>
        <v>-5057.2918159611945</v>
      </c>
      <c r="DA40" s="416">
        <f t="shared" si="82"/>
        <v>-4965.6205652849167</v>
      </c>
      <c r="DB40" s="416">
        <f t="shared" si="82"/>
        <v>-4883.7066914516763</v>
      </c>
      <c r="DC40" s="416">
        <f t="shared" si="82"/>
        <v>-4812.027401994892</v>
      </c>
      <c r="DD40" s="416">
        <f t="shared" si="82"/>
        <v>-5397.1874096722167</v>
      </c>
      <c r="DE40" s="416">
        <f t="shared" si="82"/>
        <v>-5633.7112131258618</v>
      </c>
      <c r="DF40" s="416">
        <f t="shared" si="82"/>
        <v>-5523.9117220745175</v>
      </c>
      <c r="DG40" s="416">
        <f t="shared" si="82"/>
        <v>-5407.5054243118429</v>
      </c>
      <c r="DH40" s="416">
        <f t="shared" si="82"/>
        <v>-5273.7295132590298</v>
      </c>
      <c r="DI40" s="416">
        <f t="shared" si="82"/>
        <v>-5147.1170175158695</v>
      </c>
      <c r="DJ40" s="416">
        <f t="shared" si="82"/>
        <v>-5026.3290352921031</v>
      </c>
      <c r="DK40" s="416">
        <f t="shared" si="82"/>
        <v>-5111.7578923871697</v>
      </c>
      <c r="DL40" s="416">
        <f t="shared" si="82"/>
        <v>-5325.2538141734476</v>
      </c>
      <c r="DM40" s="416">
        <f t="shared" si="82"/>
        <v>-5246.3237560480484</v>
      </c>
      <c r="DN40" s="416">
        <f t="shared" si="82"/>
        <v>-5148.6104698663403</v>
      </c>
      <c r="DO40" s="416">
        <f t="shared" si="82"/>
        <v>-5060.9765478929839</v>
      </c>
      <c r="DP40" s="416">
        <f t="shared" si="82"/>
        <v>-4983.9748808705481</v>
      </c>
      <c r="DQ40" s="416">
        <f t="shared" si="82"/>
        <v>-5586.6587287567891</v>
      </c>
      <c r="DR40" s="416">
        <f t="shared" si="82"/>
        <v>-5828.7393589991043</v>
      </c>
      <c r="DS40" s="416">
        <f t="shared" si="82"/>
        <v>-5712.7127654557044</v>
      </c>
      <c r="DT40" s="416">
        <f t="shared" si="82"/>
        <v>-5590.0711892379113</v>
      </c>
      <c r="DU40" s="416">
        <f t="shared" si="82"/>
        <v>-5449.6996994400033</v>
      </c>
      <c r="DV40" s="416">
        <f t="shared" si="82"/>
        <v>-5316.9845025022587</v>
      </c>
      <c r="DW40" s="416">
        <f t="shared" si="82"/>
        <v>-5190.5452395116736</v>
      </c>
      <c r="DX40" s="416">
        <f t="shared" si="82"/>
        <v>-5277.5431236520453</v>
      </c>
      <c r="DY40" s="416">
        <f t="shared" si="82"/>
        <v>-5497.1394365577653</v>
      </c>
      <c r="DZ40" s="416">
        <f t="shared" si="82"/>
        <v>-5414.6547074314076</v>
      </c>
      <c r="EA40" s="416">
        <f t="shared" si="82"/>
        <v>-5312.9542678636208</v>
      </c>
      <c r="EB40" s="416">
        <f t="shared" si="82"/>
        <v>-5221.8827806923146</v>
      </c>
      <c r="EC40" s="416">
        <f t="shared" si="82"/>
        <v>-5141.9938946472103</v>
      </c>
      <c r="ED40" s="416">
        <f t="shared" si="82"/>
        <v>-5764.458396590846</v>
      </c>
      <c r="EE40" s="416">
        <f t="shared" si="82"/>
        <v>-6014.5220129359222</v>
      </c>
      <c r="EF40" s="416">
        <f t="shared" si="82"/>
        <v>-5894.8074380326798</v>
      </c>
      <c r="EG40" s="416">
        <f t="shared" si="82"/>
        <v>-5768.3680974346789</v>
      </c>
      <c r="EH40" s="416">
        <f t="shared" si="82"/>
        <v>-5623.695778702524</v>
      </c>
      <c r="EI40" s="416">
        <f t="shared" si="82"/>
        <v>-5487.0148675175078</v>
      </c>
      <c r="EJ40" s="416">
        <f t="shared" si="82"/>
        <v>-5356.8839870654629</v>
      </c>
      <c r="EK40" s="416">
        <f t="shared" si="82"/>
        <v>-5447.2214586983609</v>
      </c>
      <c r="EL40" s="416">
        <f t="shared" si="82"/>
        <v>-5674.5212893265852</v>
      </c>
      <c r="EM40" s="416">
        <f t="shared" si="82"/>
        <v>-5589.8581708719721</v>
      </c>
      <c r="EN40" s="416">
        <f t="shared" si="82"/>
        <v>-5485.3456887584762</v>
      </c>
      <c r="EO40" s="416">
        <f t="shared" ref="EO40:FS40" si="83">-(EO39-EO36+EO41)</f>
        <v>-5391.8011654342845</v>
      </c>
      <c r="EP40" s="416">
        <f t="shared" si="83"/>
        <v>-5309.7874774011871</v>
      </c>
      <c r="EQ40" s="416">
        <f t="shared" si="83"/>
        <v>-5953.0904301533737</v>
      </c>
      <c r="ER40" s="416">
        <f t="shared" si="83"/>
        <v>-6211.778281384919</v>
      </c>
      <c r="ES40" s="416">
        <f t="shared" si="83"/>
        <v>-6088.540099616308</v>
      </c>
      <c r="ET40" s="416">
        <f t="shared" si="83"/>
        <v>-5958.3145462070606</v>
      </c>
      <c r="EU40" s="416">
        <f t="shared" si="83"/>
        <v>-5809.2146635514146</v>
      </c>
      <c r="EV40" s="416">
        <f t="shared" si="83"/>
        <v>-5668.3227101542871</v>
      </c>
      <c r="EW40" s="416">
        <f t="shared" si="83"/>
        <v>-5534.150134107229</v>
      </c>
      <c r="EX40" s="416">
        <f t="shared" si="83"/>
        <v>-5627.6507897573902</v>
      </c>
      <c r="EY40" s="416">
        <f t="shared" si="83"/>
        <v>-5862.5820812282982</v>
      </c>
      <c r="EZ40" s="416">
        <f t="shared" si="83"/>
        <v>-5775.2548373937971</v>
      </c>
      <c r="FA40" s="416">
        <f t="shared" si="83"/>
        <v>-5667.3921816867587</v>
      </c>
      <c r="FB40" s="416">
        <f t="shared" si="83"/>
        <v>-5570.8238382962372</v>
      </c>
      <c r="FC40" s="416">
        <f t="shared" si="83"/>
        <v>-5486.1346493524397</v>
      </c>
      <c r="FD40" s="416">
        <f t="shared" si="83"/>
        <v>-6150.6623921250575</v>
      </c>
      <c r="FE40" s="416">
        <f t="shared" si="83"/>
        <v>-6417.8654092251745</v>
      </c>
      <c r="FF40" s="416">
        <f t="shared" si="83"/>
        <v>-6290.5151864266663</v>
      </c>
      <c r="FG40" s="416">
        <f t="shared" si="83"/>
        <v>-6155.9311991548166</v>
      </c>
      <c r="FH40" s="416">
        <f t="shared" si="83"/>
        <v>-6001.8386890246329</v>
      </c>
      <c r="FI40" s="416">
        <f t="shared" si="83"/>
        <v>-5856.2136992715241</v>
      </c>
      <c r="FJ40" s="416">
        <f t="shared" si="83"/>
        <v>-5717.5211234838862</v>
      </c>
      <c r="FK40" s="416">
        <f t="shared" si="83"/>
        <v>-5814.0186177884607</v>
      </c>
      <c r="FL40" s="416">
        <f t="shared" si="83"/>
        <v>-6056.6173222648795</v>
      </c>
      <c r="FM40" s="416">
        <f t="shared" si="83"/>
        <v>-5966.3116764876977</v>
      </c>
      <c r="FN40" s="416">
        <f t="shared" si="83"/>
        <v>-5854.7947365027576</v>
      </c>
      <c r="FO40" s="416">
        <f t="shared" si="83"/>
        <v>-5754.948578028132</v>
      </c>
      <c r="FP40" s="416">
        <f t="shared" si="83"/>
        <v>-5667.3786604271518</v>
      </c>
      <c r="FQ40" s="416">
        <f t="shared" si="83"/>
        <v>-6353.7801652701455</v>
      </c>
      <c r="FR40" s="416">
        <f t="shared" si="83"/>
        <v>-6629.7375139870928</v>
      </c>
      <c r="FS40" s="416">
        <f t="shared" si="83"/>
        <v>-6498.1173219832708</v>
      </c>
      <c r="FT40" s="587"/>
      <c r="FU40" s="587"/>
      <c r="FV40" s="587"/>
      <c r="FW40" s="587"/>
      <c r="FX40" s="587"/>
      <c r="FY40" s="588"/>
      <c r="FZ40" s="579"/>
      <c r="GA40" s="579"/>
      <c r="GB40" s="579"/>
      <c r="GD40" s="555"/>
      <c r="GE40" s="562"/>
    </row>
    <row r="41" spans="2:187" ht="12.75" customHeight="1" outlineLevel="1">
      <c r="B41" s="574" t="s">
        <v>11</v>
      </c>
      <c r="C41" s="589"/>
      <c r="D41" s="590"/>
      <c r="E41" s="591">
        <f>-(Detail!$D$67-'Cash Flow'!E23)*'Cash Flow'!E27</f>
        <v>-27508.263000000064</v>
      </c>
      <c r="F41" s="591">
        <f>-(Detail!$D$67-'Cash Flow'!F23)*'Cash Flow'!F27</f>
        <v>-27508.263000000064</v>
      </c>
      <c r="G41" s="591">
        <f>-(Detail!$D$67-'Cash Flow'!G23)*'Cash Flow'!G27</f>
        <v>-27508.263000000064</v>
      </c>
      <c r="H41" s="591">
        <f>-(Detail!$D$67-'Cash Flow'!H23)*'Cash Flow'!H27</f>
        <v>-27508.263000000064</v>
      </c>
      <c r="I41" s="591">
        <f>-(Detail!$D$67-'Cash Flow'!I23)*'Cash Flow'!I27</f>
        <v>-27508.263000000064</v>
      </c>
      <c r="J41" s="591">
        <f>-(Detail!$D$67-'Cash Flow'!J23)*'Cash Flow'!J27</f>
        <v>-27508.263000000064</v>
      </c>
      <c r="K41" s="591">
        <f>-(Detail!$D$67-'Cash Flow'!K23)*'Cash Flow'!K27</f>
        <v>-27508.263000000064</v>
      </c>
      <c r="L41" s="591">
        <f>-(Detail!$D$67-'Cash Flow'!L23)*'Cash Flow'!L27</f>
        <v>-27577.033657500066</v>
      </c>
      <c r="M41" s="591">
        <f>-(Detail!$D$67-'Cash Flow'!M23)*'Cash Flow'!M27</f>
        <v>-27645.976241643813</v>
      </c>
      <c r="N41" s="591">
        <f>-(Detail!$D$67-'Cash Flow'!N23)*'Cash Flow'!N27</f>
        <v>-27715.091182247917</v>
      </c>
      <c r="O41" s="591">
        <f>-(Detail!$D$67-'Cash Flow'!O23)*'Cash Flow'!O27</f>
        <v>-27784.378910203541</v>
      </c>
      <c r="P41" s="591">
        <f>-(Detail!$D$67-'Cash Flow'!P23)*'Cash Flow'!P27</f>
        <v>-27853.839857479052</v>
      </c>
      <c r="Q41" s="591">
        <f>-(Detail!$D$67-'Cash Flow'!Q23)*'Cash Flow'!Q27</f>
        <v>-27923.474457122742</v>
      </c>
      <c r="R41" s="591">
        <f>-(Detail!$D$67-'Cash Flow'!R23)*'Cash Flow'!R27</f>
        <v>-27993.283143265548</v>
      </c>
      <c r="S41" s="591">
        <f>-(Detail!$D$67-'Cash Flow'!S23)*'Cash Flow'!S27</f>
        <v>-28063.266351123712</v>
      </c>
      <c r="T41" s="591">
        <f>-(Detail!$D$67-'Cash Flow'!T23)*'Cash Flow'!T27</f>
        <v>-28133.424517001524</v>
      </c>
      <c r="U41" s="591">
        <f>-(Detail!$D$67-'Cash Flow'!U23)*'Cash Flow'!U27</f>
        <v>-28203.75807829402</v>
      </c>
      <c r="V41" s="591">
        <f>-(Detail!$D$67-'Cash Flow'!V23)*'Cash Flow'!V27</f>
        <v>-28274.267473489752</v>
      </c>
      <c r="W41" s="591">
        <f>-(Detail!$D$67-'Cash Flow'!W23)*'Cash Flow'!W27</f>
        <v>-28344.953142173479</v>
      </c>
      <c r="X41" s="591">
        <f>-(Detail!$D$67-'Cash Flow'!X23)*'Cash Flow'!X27</f>
        <v>-28415.815525028916</v>
      </c>
      <c r="Y41" s="591">
        <f>-(Detail!$D$67-'Cash Flow'!Y23)*'Cash Flow'!Y27</f>
        <v>-28486.855063841482</v>
      </c>
      <c r="Z41" s="591">
        <f>-(Detail!$D$67-'Cash Flow'!Z23)*'Cash Flow'!Z27</f>
        <v>-28558.072201501083</v>
      </c>
      <c r="AA41" s="591">
        <f>-(Detail!$D$67-'Cash Flow'!AA23)*'Cash Flow'!AA27</f>
        <v>-28629.467382004837</v>
      </c>
      <c r="AB41" s="591">
        <f>-(Detail!$D$67-'Cash Flow'!AB23)*'Cash Flow'!AB27</f>
        <v>-28701.041050459848</v>
      </c>
      <c r="AC41" s="591">
        <f>-(Detail!$D$67-'Cash Flow'!AC23)*'Cash Flow'!AC27</f>
        <v>-28772.793653085999</v>
      </c>
      <c r="AD41" s="591">
        <f>-(Detail!$D$67-'Cash Flow'!AD23)*'Cash Flow'!AD27</f>
        <v>-28844.725637218708</v>
      </c>
      <c r="AE41" s="591">
        <f>-(Detail!$D$67-'Cash Flow'!AE23)*'Cash Flow'!AE27</f>
        <v>-28916.83745131176</v>
      </c>
      <c r="AF41" s="591">
        <f>-(Detail!$D$67-'Cash Flow'!AF23)*'Cash Flow'!AF27</f>
        <v>-28989.129544940035</v>
      </c>
      <c r="AG41" s="591">
        <f>-(Detail!$D$67-'Cash Flow'!AG23)*'Cash Flow'!AG27</f>
        <v>-29061.602368802378</v>
      </c>
      <c r="AH41" s="591">
        <f>-(Detail!$D$67-'Cash Flow'!AH23)*'Cash Flow'!AH27</f>
        <v>-29134.256374724384</v>
      </c>
      <c r="AI41" s="591">
        <f>-(Detail!$D$67-'Cash Flow'!AI23)*'Cash Flow'!AI27</f>
        <v>-29207.092015661194</v>
      </c>
      <c r="AJ41" s="591">
        <f>-(Detail!$D$67-'Cash Flow'!AJ23)*'Cash Flow'!AJ27</f>
        <v>-29280.109745700349</v>
      </c>
      <c r="AK41" s="591">
        <f>-(Detail!$D$67-'Cash Flow'!AK23)*'Cash Flow'!AK27</f>
        <v>-29353.3100200646</v>
      </c>
      <c r="AL41" s="591">
        <f>-(Detail!$D$67-'Cash Flow'!AL23)*'Cash Flow'!AL27</f>
        <v>-29426.693295114757</v>
      </c>
      <c r="AM41" s="591">
        <f>-(Detail!$D$67-'Cash Flow'!AM23)*'Cash Flow'!AM27</f>
        <v>-29500.260028352543</v>
      </c>
      <c r="AN41" s="591">
        <f>-(Detail!$D$67-'Cash Flow'!AN23)*'Cash Flow'!AN27</f>
        <v>-29574.010678423427</v>
      </c>
      <c r="AO41" s="591">
        <f>-(Detail!$D$67-'Cash Flow'!AO23)*'Cash Flow'!AO27</f>
        <v>-29647.945705119477</v>
      </c>
      <c r="AP41" s="591">
        <f>-(Detail!$D$67-'Cash Flow'!AP23)*'Cash Flow'!AP27</f>
        <v>-29722.06556938227</v>
      </c>
      <c r="AQ41" s="591">
        <f>-(Detail!$D$67-'Cash Flow'!AQ23)*'Cash Flow'!AQ27</f>
        <v>-29796.370733305732</v>
      </c>
      <c r="AR41" s="591">
        <f>-(Detail!$D$67-'Cash Flow'!AR23)*'Cash Flow'!AR27</f>
        <v>-29870.861660139002</v>
      </c>
      <c r="AS41" s="591">
        <f>-(Detail!$D$67-'Cash Flow'!AS23)*'Cash Flow'!AS27</f>
        <v>-29945.538814289339</v>
      </c>
      <c r="AT41" s="591">
        <f>-(Detail!$D$67-'Cash Flow'!AT23)*'Cash Flow'!AT27</f>
        <v>-30020.402661325064</v>
      </c>
      <c r="AU41" s="591">
        <f>-(Detail!$D$67-'Cash Flow'!AU23)*'Cash Flow'!AU27</f>
        <v>-30095.453667978374</v>
      </c>
      <c r="AV41" s="591">
        <f>-(Detail!$D$67-'Cash Flow'!AV23)*'Cash Flow'!AV27</f>
        <v>-30170.692302148327</v>
      </c>
      <c r="AW41" s="591">
        <f>-(Detail!$D$67-'Cash Flow'!AW23)*'Cash Flow'!AW27</f>
        <v>-30246.119032903687</v>
      </c>
      <c r="AX41" s="591">
        <f>-(Detail!$D$67-'Cash Flow'!AX23)*'Cash Flow'!AX27</f>
        <v>-30321.73433048595</v>
      </c>
      <c r="AY41" s="591">
        <f>-(Detail!$D$67-'Cash Flow'!AY23)*'Cash Flow'!AY27</f>
        <v>-30397.538666312161</v>
      </c>
      <c r="AZ41" s="591">
        <f>-(Detail!$D$67-'Cash Flow'!AZ23)*'Cash Flow'!AZ27</f>
        <v>-30473.532512977938</v>
      </c>
      <c r="BA41" s="591">
        <f>-(Detail!$D$67-'Cash Flow'!BA23)*'Cash Flow'!BA27</f>
        <v>-30549.716344260381</v>
      </c>
      <c r="BB41" s="591">
        <f>-(Detail!$D$67-'Cash Flow'!BB23)*'Cash Flow'!BB27</f>
        <v>-30626.090635121025</v>
      </c>
      <c r="BC41" s="591">
        <f>-(Detail!$D$67-'Cash Flow'!BC23)*'Cash Flow'!BC27</f>
        <v>-30702.655861708834</v>
      </c>
      <c r="BD41" s="591">
        <f>-(Detail!$D$67-'Cash Flow'!BD23)*'Cash Flow'!BD27</f>
        <v>-30779.412501363106</v>
      </c>
      <c r="BE41" s="591">
        <f>-(Detail!$D$67-'Cash Flow'!BE23)*'Cash Flow'!BE27</f>
        <v>-30856.361032616507</v>
      </c>
      <c r="BF41" s="591">
        <f>-(Detail!$D$67-'Cash Flow'!BF23)*'Cash Flow'!BF27</f>
        <v>-30933.501935198045</v>
      </c>
      <c r="BG41" s="591">
        <f>-(Detail!$D$67-'Cash Flow'!BG23)*'Cash Flow'!BG27</f>
        <v>-31010.835690036052</v>
      </c>
      <c r="BH41" s="591">
        <f>-(Detail!$D$67-'Cash Flow'!BH23)*'Cash Flow'!BH27</f>
        <v>-31088.362779261133</v>
      </c>
      <c r="BI41" s="591">
        <f>-(Detail!$D$67-'Cash Flow'!BI23)*'Cash Flow'!BI27</f>
        <v>-31166.083686209291</v>
      </c>
      <c r="BJ41" s="591">
        <f>-(Detail!$D$67-'Cash Flow'!BJ23)*'Cash Flow'!BJ27</f>
        <v>-31243.998895424807</v>
      </c>
      <c r="BK41" s="591">
        <f>-(Detail!$D$67-'Cash Flow'!BK23)*'Cash Flow'!BK27</f>
        <v>-31322.108892663371</v>
      </c>
      <c r="BL41" s="591">
        <f>-(Detail!$D$67-'Cash Flow'!BL23)*'Cash Flow'!BL27</f>
        <v>-31400.414164895024</v>
      </c>
      <c r="BM41" s="591">
        <f>-(Detail!$D$67-'Cash Flow'!BM23)*'Cash Flow'!BM27</f>
        <v>-31478.915200307256</v>
      </c>
      <c r="BN41" s="591">
        <f>-(Detail!$D$67-'Cash Flow'!BN23)*'Cash Flow'!BN27</f>
        <v>-31557.61248830803</v>
      </c>
      <c r="BO41" s="591">
        <f>-(Detail!$D$67-'Cash Flow'!BO23)*'Cash Flow'!BO27</f>
        <v>-31636.506519528786</v>
      </c>
      <c r="BP41" s="591">
        <f>-(Detail!$D$67-'Cash Flow'!BP23)*'Cash Flow'!BP27</f>
        <v>-31715.597785827613</v>
      </c>
      <c r="BQ41" s="591">
        <f>-(Detail!$D$67-'Cash Flow'!BQ23)*'Cash Flow'!BQ27</f>
        <v>-31794.886780292185</v>
      </c>
      <c r="BR41" s="591">
        <f>-(Detail!$D$67-'Cash Flow'!BR23)*'Cash Flow'!BR27</f>
        <v>-31874.373997242914</v>
      </c>
      <c r="BS41" s="591">
        <f>-(Detail!$D$67-'Cash Flow'!BS23)*'Cash Flow'!BS27</f>
        <v>-31954.059932236018</v>
      </c>
      <c r="BT41" s="591">
        <f>-(Detail!$D$67-'Cash Flow'!BT23)*'Cash Flow'!BT27</f>
        <v>-32033.945082066613</v>
      </c>
      <c r="BU41" s="591">
        <f>-(Detail!$D$67-'Cash Flow'!BU23)*'Cash Flow'!BU27</f>
        <v>-32114.029944771773</v>
      </c>
      <c r="BV41" s="591">
        <f>-(Detail!$D$67-'Cash Flow'!BV23)*'Cash Flow'!BV27</f>
        <v>-32194.315019633694</v>
      </c>
      <c r="BW41" s="591">
        <f>-(Detail!$D$67-'Cash Flow'!BW23)*'Cash Flow'!BW27</f>
        <v>-32274.800807182783</v>
      </c>
      <c r="BX41" s="591">
        <f>-(Detail!$D$67-'Cash Flow'!BX23)*'Cash Flow'!BX27</f>
        <v>-32355.487809200742</v>
      </c>
      <c r="BY41" s="591">
        <f>-(Detail!$D$67-'Cash Flow'!BY23)*'Cash Flow'!BY27</f>
        <v>-32436.37652872374</v>
      </c>
      <c r="BZ41" s="591">
        <f>-(Detail!$D$67-'Cash Flow'!BZ23)*'Cash Flow'!BZ27</f>
        <v>-32517.467470045543</v>
      </c>
      <c r="CA41" s="591">
        <f>-(Detail!$D$67-'Cash Flow'!CA23)*'Cash Flow'!CA27</f>
        <v>-32598.76113872066</v>
      </c>
      <c r="CB41" s="591">
        <f>-(Detail!$D$67-'Cash Flow'!CB23)*'Cash Flow'!CB27</f>
        <v>-32680.25804156746</v>
      </c>
      <c r="CC41" s="591">
        <f>-(Detail!$D$67-'Cash Flow'!CC23)*'Cash Flow'!CC27</f>
        <v>-32761.958686671376</v>
      </c>
      <c r="CD41" s="591">
        <f>-(Detail!$D$67-'Cash Flow'!CD23)*'Cash Flow'!CD27</f>
        <v>-32843.863583388047</v>
      </c>
      <c r="CE41" s="591">
        <f>-(Detail!$D$67-'Cash Flow'!CE23)*'Cash Flow'!CE27</f>
        <v>-32925.973242346518</v>
      </c>
      <c r="CF41" s="591">
        <f>-(Detail!$D$67-'Cash Flow'!CF23)*'Cash Flow'!CF27</f>
        <v>-33008.288175452384</v>
      </c>
      <c r="CG41" s="591">
        <f>-(Detail!$D$67-'Cash Flow'!CG23)*'Cash Flow'!CG27</f>
        <v>-33090.808895891016</v>
      </c>
      <c r="CH41" s="591">
        <f>-(Detail!$D$67-'Cash Flow'!CH23)*'Cash Flow'!CH27</f>
        <v>-33173.535918130736</v>
      </c>
      <c r="CI41" s="591">
        <f>-(Detail!$D$67-'Cash Flow'!CI23)*'Cash Flow'!CI27</f>
        <v>-33256.469757926061</v>
      </c>
      <c r="CJ41" s="591">
        <f>-(Detail!$D$67-'Cash Flow'!CJ23)*'Cash Flow'!CJ27</f>
        <v>-33339.610932320888</v>
      </c>
      <c r="CK41" s="591">
        <f>-(Detail!$D$67-'Cash Flow'!CK23)*'Cash Flow'!CK27</f>
        <v>-33422.959959651678</v>
      </c>
      <c r="CL41" s="591">
        <f>-(Detail!$D$67-'Cash Flow'!CL23)*'Cash Flow'!CL27</f>
        <v>-33506.517359550809</v>
      </c>
      <c r="CM41" s="591">
        <f>-(Detail!$D$67-'Cash Flow'!CM23)*'Cash Flow'!CM27</f>
        <v>-33590.283652949685</v>
      </c>
      <c r="CN41" s="591">
        <f>-(Detail!$D$67-'Cash Flow'!CN23)*'Cash Flow'!CN27</f>
        <v>-33674.259362082055</v>
      </c>
      <c r="CO41" s="591">
        <f>-(Detail!$D$67-'Cash Flow'!CO23)*'Cash Flow'!CO27</f>
        <v>-33758.445010487267</v>
      </c>
      <c r="CP41" s="591">
        <f>-(Detail!$D$67-'Cash Flow'!CP23)*'Cash Flow'!CP27</f>
        <v>-33842.841123013481</v>
      </c>
      <c r="CQ41" s="591">
        <f>-(Detail!$D$67-'Cash Flow'!CQ23)*'Cash Flow'!CQ27</f>
        <v>-33927.448225821012</v>
      </c>
      <c r="CR41" s="591">
        <f>-(Detail!$D$67-'Cash Flow'!CR23)*'Cash Flow'!CR27</f>
        <v>-34012.266846385566</v>
      </c>
      <c r="CS41" s="591">
        <f>-(Detail!$D$67-'Cash Flow'!CS23)*'Cash Flow'!CS27</f>
        <v>-34097.297513501522</v>
      </c>
      <c r="CT41" s="591">
        <f>-(Detail!$D$67-'Cash Flow'!CT23)*'Cash Flow'!CT27</f>
        <v>-34182.540757285278</v>
      </c>
      <c r="CU41" s="591">
        <f>-(Detail!$D$67-'Cash Flow'!CU23)*'Cash Flow'!CU27</f>
        <v>-34267.99710917849</v>
      </c>
      <c r="CV41" s="591">
        <f>-(Detail!$D$67-'Cash Flow'!CV23)*'Cash Flow'!CV27</f>
        <v>-34353.667101951432</v>
      </c>
      <c r="CW41" s="591">
        <f>-(Detail!$D$67-'Cash Flow'!CW23)*'Cash Flow'!CW27</f>
        <v>-34439.55126970631</v>
      </c>
      <c r="CX41" s="591">
        <f>-(Detail!$D$67-'Cash Flow'!CX23)*'Cash Flow'!CX27</f>
        <v>-34525.650147880573</v>
      </c>
      <c r="CY41" s="591">
        <f>-(Detail!$D$67-'Cash Flow'!CY23)*'Cash Flow'!CY27</f>
        <v>-34611.964273250269</v>
      </c>
      <c r="CZ41" s="591">
        <f>-(Detail!$D$67-'Cash Flow'!CZ23)*'Cash Flow'!CZ27</f>
        <v>-34698.494183933413</v>
      </c>
      <c r="DA41" s="591">
        <f>-(Detail!$D$67-'Cash Flow'!DA23)*'Cash Flow'!DA27</f>
        <v>-34785.240419393231</v>
      </c>
      <c r="DB41" s="591">
        <f>-(Detail!$D$67-'Cash Flow'!DB23)*'Cash Flow'!DB27</f>
        <v>-34872.203520441704</v>
      </c>
      <c r="DC41" s="591">
        <f>-(Detail!$D$67-'Cash Flow'!DC23)*'Cash Flow'!DC27</f>
        <v>-34959.384029242814</v>
      </c>
      <c r="DD41" s="591">
        <f>-(Detail!$D$67-'Cash Flow'!DD23)*'Cash Flow'!DD27</f>
        <v>-35046.782489315927</v>
      </c>
      <c r="DE41" s="591">
        <f>-(Detail!$D$67-'Cash Flow'!DE23)*'Cash Flow'!DE27</f>
        <v>-35134.399445539209</v>
      </c>
      <c r="DF41" s="591">
        <f>-(Detail!$D$67-'Cash Flow'!DF23)*'Cash Flow'!DF27</f>
        <v>-35222.235444153055</v>
      </c>
      <c r="DG41" s="591">
        <f>-(Detail!$D$67-'Cash Flow'!DG23)*'Cash Flow'!DG27</f>
        <v>-35310.291032763438</v>
      </c>
      <c r="DH41" s="591">
        <f>-(Detail!$D$67-'Cash Flow'!DH23)*'Cash Flow'!DH27</f>
        <v>-35398.566760345355</v>
      </c>
      <c r="DI41" s="591">
        <f>-(Detail!$D$67-'Cash Flow'!DI23)*'Cash Flow'!DI27</f>
        <v>-35487.0631772462</v>
      </c>
      <c r="DJ41" s="591">
        <f>-(Detail!$D$67-'Cash Flow'!DJ23)*'Cash Flow'!DJ27</f>
        <v>-35575.780835189318</v>
      </c>
      <c r="DK41" s="591">
        <f>-(Detail!$D$67-'Cash Flow'!DK23)*'Cash Flow'!DK27</f>
        <v>-35664.720287277298</v>
      </c>
      <c r="DL41" s="591">
        <f>-(Detail!$D$67-'Cash Flow'!DL23)*'Cash Flow'!DL27</f>
        <v>-35753.88208799548</v>
      </c>
      <c r="DM41" s="591">
        <f>-(Detail!$D$67-'Cash Flow'!DM23)*'Cash Flow'!DM27</f>
        <v>-35843.266793215473</v>
      </c>
      <c r="DN41" s="591">
        <f>-(Detail!$D$67-'Cash Flow'!DN23)*'Cash Flow'!DN27</f>
        <v>-35932.874960198504</v>
      </c>
      <c r="DO41" s="591">
        <f>-(Detail!$D$67-'Cash Flow'!DO23)*'Cash Flow'!DO27</f>
        <v>-36022.707147599001</v>
      </c>
      <c r="DP41" s="591">
        <f>-(Detail!$D$67-'Cash Flow'!DP23)*'Cash Flow'!DP27</f>
        <v>-36112.763915468007</v>
      </c>
      <c r="DQ41" s="591">
        <f>-(Detail!$D$67-'Cash Flow'!DQ23)*'Cash Flow'!DQ27</f>
        <v>-36203.045825256653</v>
      </c>
      <c r="DR41" s="591">
        <f>-(Detail!$D$67-'Cash Flow'!DR23)*'Cash Flow'!DR27</f>
        <v>-36293.5534398198</v>
      </c>
      <c r="DS41" s="591">
        <f>-(Detail!$D$67-'Cash Flow'!DS23)*'Cash Flow'!DS27</f>
        <v>-36384.287323419361</v>
      </c>
      <c r="DT41" s="591">
        <f>-(Detail!$D$67-'Cash Flow'!DT23)*'Cash Flow'!DT27</f>
        <v>-36475.248041727893</v>
      </c>
      <c r="DU41" s="591">
        <f>-(Detail!$D$67-'Cash Flow'!DU23)*'Cash Flow'!DU27</f>
        <v>-36566.436161832222</v>
      </c>
      <c r="DV41" s="591">
        <f>-(Detail!$D$67-'Cash Flow'!DV23)*'Cash Flow'!DV27</f>
        <v>-36657.852252236793</v>
      </c>
      <c r="DW41" s="591">
        <f>-(Detail!$D$67-'Cash Flow'!DW23)*'Cash Flow'!DW27</f>
        <v>-36749.496882867388</v>
      </c>
      <c r="DX41" s="591">
        <f>-(Detail!$D$67-'Cash Flow'!DX23)*'Cash Flow'!DX27</f>
        <v>-36841.370625074553</v>
      </c>
      <c r="DY41" s="591">
        <f>-(Detail!$D$67-'Cash Flow'!DY23)*'Cash Flow'!DY27</f>
        <v>-36933.474051637233</v>
      </c>
      <c r="DZ41" s="591">
        <f>-(Detail!$D$67-'Cash Flow'!DZ23)*'Cash Flow'!DZ27</f>
        <v>-37025.807736766328</v>
      </c>
      <c r="EA41" s="591">
        <f>-(Detail!$D$67-'Cash Flow'!EA23)*'Cash Flow'!EA27</f>
        <v>-37118.37225610824</v>
      </c>
      <c r="EB41" s="591">
        <f>-(Detail!$D$67-'Cash Flow'!EB23)*'Cash Flow'!EB27</f>
        <v>-37211.168186748509</v>
      </c>
      <c r="EC41" s="591">
        <f>-(Detail!$D$67-'Cash Flow'!EC23)*'Cash Flow'!EC27</f>
        <v>-37304.196107215379</v>
      </c>
      <c r="ED41" s="591">
        <f>-(Detail!$D$67-'Cash Flow'!ED23)*'Cash Flow'!ED27</f>
        <v>-37397.456597483419</v>
      </c>
      <c r="EE41" s="591">
        <f>-(Detail!$D$67-'Cash Flow'!EE23)*'Cash Flow'!EE27</f>
        <v>-37490.950238977122</v>
      </c>
      <c r="EF41" s="591">
        <f>-(Detail!$D$67-'Cash Flow'!EF23)*'Cash Flow'!EF27</f>
        <v>-37584.677614574575</v>
      </c>
      <c r="EG41" s="591">
        <f>-(Detail!$D$67-'Cash Flow'!EG23)*'Cash Flow'!EG27</f>
        <v>-37678.639308611004</v>
      </c>
      <c r="EH41" s="591">
        <f>-(Detail!$D$67-'Cash Flow'!EH23)*'Cash Flow'!EH27</f>
        <v>-37772.835906882516</v>
      </c>
      <c r="EI41" s="591">
        <f>-(Detail!$D$67-'Cash Flow'!EI23)*'Cash Flow'!EI27</f>
        <v>-37867.267996649731</v>
      </c>
      <c r="EJ41" s="591">
        <f>-(Detail!$D$67-'Cash Flow'!EJ23)*'Cash Flow'!EJ27</f>
        <v>-37961.936166641361</v>
      </c>
      <c r="EK41" s="591">
        <f>-(Detail!$D$67-'Cash Flow'!EK23)*'Cash Flow'!EK27</f>
        <v>-38056.841007057956</v>
      </c>
      <c r="EL41" s="591">
        <f>-(Detail!$D$67-'Cash Flow'!EL23)*'Cash Flow'!EL27</f>
        <v>-38151.983109575594</v>
      </c>
      <c r="EM41" s="591">
        <f>-(Detail!$D$67-'Cash Flow'!EM23)*'Cash Flow'!EM27</f>
        <v>-38247.363067349535</v>
      </c>
      <c r="EN41" s="591">
        <f>-(Detail!$D$67-'Cash Flow'!EN23)*'Cash Flow'!EN27</f>
        <v>-38342.981475017907</v>
      </c>
      <c r="EO41" s="591">
        <f>-(Detail!$D$67-'Cash Flow'!EO23)*'Cash Flow'!EO27</f>
        <v>-38438.838928705445</v>
      </c>
      <c r="EP41" s="591">
        <f>-(Detail!$D$67-'Cash Flow'!EP23)*'Cash Flow'!EP27</f>
        <v>-38534.936026027208</v>
      </c>
      <c r="EQ41" s="591">
        <f>-(Detail!$D$67-'Cash Flow'!EQ23)*'Cash Flow'!EQ27</f>
        <v>-38631.273366092282</v>
      </c>
      <c r="ER41" s="591">
        <f>-(Detail!$D$67-'Cash Flow'!ER23)*'Cash Flow'!ER27</f>
        <v>-38727.851549507512</v>
      </c>
      <c r="ES41" s="591">
        <f>-(Detail!$D$67-'Cash Flow'!ES23)*'Cash Flow'!ES27</f>
        <v>-38824.671178381279</v>
      </c>
      <c r="ET41" s="591">
        <f>-(Detail!$D$67-'Cash Flow'!ET23)*'Cash Flow'!ET27</f>
        <v>-38921.732856327224</v>
      </c>
      <c r="EU41" s="591">
        <f>-(Detail!$D$67-'Cash Flow'!EU23)*'Cash Flow'!EU27</f>
        <v>-39019.037188468043</v>
      </c>
      <c r="EV41" s="591">
        <f>-(Detail!$D$67-'Cash Flow'!EV23)*'Cash Flow'!EV27</f>
        <v>-39116.584781439218</v>
      </c>
      <c r="EW41" s="591">
        <f>-(Detail!$D$67-'Cash Flow'!EW23)*'Cash Flow'!EW27</f>
        <v>-39214.376243392806</v>
      </c>
      <c r="EX41" s="591">
        <f>-(Detail!$D$67-'Cash Flow'!EX23)*'Cash Flow'!EX27</f>
        <v>-39312.412184001281</v>
      </c>
      <c r="EY41" s="591">
        <f>-(Detail!$D$67-'Cash Flow'!EY23)*'Cash Flow'!EY27</f>
        <v>-39410.693214461287</v>
      </c>
      <c r="EZ41" s="591">
        <f>-(Detail!$D$67-'Cash Flow'!EZ23)*'Cash Flow'!EZ27</f>
        <v>-39509.21994749744</v>
      </c>
      <c r="FA41" s="591">
        <f>-(Detail!$D$67-'Cash Flow'!FA23)*'Cash Flow'!FA27</f>
        <v>-39607.992997366186</v>
      </c>
      <c r="FB41" s="591">
        <f>-(Detail!$D$67-'Cash Flow'!FB23)*'Cash Flow'!FB27</f>
        <v>-39707.012979859595</v>
      </c>
      <c r="FC41" s="591">
        <f>-(Detail!$D$67-'Cash Flow'!FC23)*'Cash Flow'!FC27</f>
        <v>-39806.280512309248</v>
      </c>
      <c r="FD41" s="591">
        <f>-(Detail!$D$67-'Cash Flow'!FD23)*'Cash Flow'!FD27</f>
        <v>-39905.796213590016</v>
      </c>
      <c r="FE41" s="591">
        <f>-(Detail!$D$67-'Cash Flow'!FE23)*'Cash Flow'!FE27</f>
        <v>-40005.560704123978</v>
      </c>
      <c r="FF41" s="591">
        <f>-(Detail!$D$67-'Cash Flow'!FF23)*'Cash Flow'!FF27</f>
        <v>-40105.574605884292</v>
      </c>
      <c r="FG41" s="591">
        <f>-(Detail!$D$67-'Cash Flow'!FG23)*'Cash Flow'!FG27</f>
        <v>-40205.838542398997</v>
      </c>
      <c r="FH41" s="591">
        <f>-(Detail!$D$67-'Cash Flow'!FH23)*'Cash Flow'!FH27</f>
        <v>-40306.353138755003</v>
      </c>
      <c r="FI41" s="591">
        <f>-(Detail!$D$67-'Cash Flow'!FI23)*'Cash Flow'!FI27</f>
        <v>-40407.119021601888</v>
      </c>
      <c r="FJ41" s="591">
        <f>-(Detail!$D$67-'Cash Flow'!FJ23)*'Cash Flow'!FJ27</f>
        <v>-40508.136819155894</v>
      </c>
      <c r="FK41" s="591">
        <f>-(Detail!$D$67-'Cash Flow'!FK23)*'Cash Flow'!FK27</f>
        <v>-40609.407161203781</v>
      </c>
      <c r="FL41" s="591">
        <f>-(Detail!$D$67-'Cash Flow'!FL23)*'Cash Flow'!FL27</f>
        <v>-40710.930679106794</v>
      </c>
      <c r="FM41" s="591">
        <f>-(Detail!$D$67-'Cash Flow'!FM23)*'Cash Flow'!FM27</f>
        <v>-40812.708005804547</v>
      </c>
      <c r="FN41" s="591">
        <f>-(Detail!$D$67-'Cash Flow'!FN23)*'Cash Flow'!FN27</f>
        <v>-40914.739775819056</v>
      </c>
      <c r="FO41" s="591">
        <f>-(Detail!$D$67-'Cash Flow'!FO23)*'Cash Flow'!FO27</f>
        <v>-41017.026625258608</v>
      </c>
      <c r="FP41" s="591">
        <f>-(Detail!$D$67-'Cash Flow'!FP23)*'Cash Flow'!FP27</f>
        <v>-41119.569191821756</v>
      </c>
      <c r="FQ41" s="591">
        <f>-(Detail!$D$67-'Cash Flow'!FQ23)*'Cash Flow'!FQ27</f>
        <v>-41222.368114801298</v>
      </c>
      <c r="FR41" s="591">
        <f>-(Detail!$D$67-'Cash Flow'!FR23)*'Cash Flow'!FR27</f>
        <v>-41325.424035088297</v>
      </c>
      <c r="FS41" s="591">
        <f>-(Detail!$D$67-'Cash Flow'!FS23)*'Cash Flow'!FS27</f>
        <v>-41428.737595176033</v>
      </c>
      <c r="FT41" s="592">
        <f t="shared" ref="FT41:FX56" si="84">SUMIFS($E41:$FS41,$E$8:$FS$8,FT$5)</f>
        <v>-192557.84100000045</v>
      </c>
      <c r="FU41" s="592">
        <f t="shared" si="84"/>
        <v>-335512.74701154511</v>
      </c>
      <c r="FV41" s="592">
        <f t="shared" si="84"/>
        <v>-345717.68826858059</v>
      </c>
      <c r="FW41" s="592">
        <f t="shared" si="84"/>
        <v>-356233.02257919492</v>
      </c>
      <c r="FX41" s="592">
        <f t="shared" si="84"/>
        <v>-367068.19084513199</v>
      </c>
      <c r="FZ41" s="579"/>
      <c r="GA41" s="580"/>
      <c r="GB41" s="580"/>
      <c r="GD41" s="555"/>
      <c r="GE41" s="562"/>
    </row>
    <row r="42" spans="2:187" ht="12.75" customHeight="1" outlineLevel="1">
      <c r="B42" s="593" t="s">
        <v>305</v>
      </c>
      <c r="C42" s="594"/>
      <c r="D42" s="595"/>
      <c r="E42" s="596">
        <f t="shared" ref="E42:BP42" si="85">SUM(E39:E41)</f>
        <v>516071.99699999997</v>
      </c>
      <c r="F42" s="596">
        <f t="shared" si="85"/>
        <v>516291.49699999997</v>
      </c>
      <c r="G42" s="596">
        <f t="shared" si="85"/>
        <v>516503.68033333332</v>
      </c>
      <c r="H42" s="596">
        <f t="shared" si="85"/>
        <v>516708.79088888888</v>
      </c>
      <c r="I42" s="596">
        <f t="shared" si="85"/>
        <v>516907.06442592596</v>
      </c>
      <c r="J42" s="596">
        <f t="shared" si="85"/>
        <v>517098.72884506173</v>
      </c>
      <c r="K42" s="596">
        <f t="shared" si="85"/>
        <v>517284.00445022632</v>
      </c>
      <c r="L42" s="596">
        <f t="shared" si="85"/>
        <v>517508.95130688546</v>
      </c>
      <c r="M42" s="596">
        <f t="shared" si="85"/>
        <v>517770.0693025018</v>
      </c>
      <c r="N42" s="596">
        <f t="shared" si="85"/>
        <v>518066.26190586219</v>
      </c>
      <c r="O42" s="596">
        <f t="shared" si="85"/>
        <v>518396.46940972755</v>
      </c>
      <c r="P42" s="596">
        <f t="shared" si="85"/>
        <v>518759.66770404921</v>
      </c>
      <c r="Q42" s="596">
        <f t="shared" si="85"/>
        <v>519501.98204017233</v>
      </c>
      <c r="R42" s="596">
        <f t="shared" si="85"/>
        <v>520574.92200124066</v>
      </c>
      <c r="S42" s="596">
        <f t="shared" si="85"/>
        <v>522020.95804094651</v>
      </c>
      <c r="T42" s="596">
        <f t="shared" si="85"/>
        <v>523572.71350013075</v>
      </c>
      <c r="U42" s="596">
        <f t="shared" si="85"/>
        <v>525221.07952456595</v>
      </c>
      <c r="V42" s="597">
        <f t="shared" si="85"/>
        <v>526963.2066014451</v>
      </c>
      <c r="W42" s="597">
        <f t="shared" si="85"/>
        <v>528799.3030273706</v>
      </c>
      <c r="X42" s="597">
        <f t="shared" si="85"/>
        <v>530512.16704103246</v>
      </c>
      <c r="Y42" s="597">
        <f t="shared" si="85"/>
        <v>532165.9352651441</v>
      </c>
      <c r="Z42" s="597">
        <f t="shared" si="85"/>
        <v>534143.93422620452</v>
      </c>
      <c r="AA42" s="597">
        <f t="shared" si="85"/>
        <v>536145.69610083685</v>
      </c>
      <c r="AB42" s="597">
        <f t="shared" si="85"/>
        <v>538140.41248559731</v>
      </c>
      <c r="AC42" s="597">
        <f t="shared" si="85"/>
        <v>540119.5570726461</v>
      </c>
      <c r="AD42" s="597">
        <f t="shared" si="85"/>
        <v>541341.93598626659</v>
      </c>
      <c r="AE42" s="597">
        <f t="shared" si="85"/>
        <v>542946.05230232899</v>
      </c>
      <c r="AF42" s="597">
        <f t="shared" si="85"/>
        <v>544911.18552535458</v>
      </c>
      <c r="AG42" s="597">
        <f t="shared" si="85"/>
        <v>546847.30226233241</v>
      </c>
      <c r="AH42" s="597">
        <f t="shared" si="85"/>
        <v>548759.83153017098</v>
      </c>
      <c r="AI42" s="597">
        <f t="shared" si="85"/>
        <v>550620.92822162213</v>
      </c>
      <c r="AJ42" s="597">
        <f t="shared" si="85"/>
        <v>552431.75138456945</v>
      </c>
      <c r="AK42" s="597">
        <f t="shared" si="85"/>
        <v>553996.76235240768</v>
      </c>
      <c r="AL42" s="597">
        <f t="shared" si="85"/>
        <v>555401.49701745715</v>
      </c>
      <c r="AM42" s="597">
        <f t="shared" si="85"/>
        <v>557053.04192942078</v>
      </c>
      <c r="AN42" s="597">
        <f t="shared" si="85"/>
        <v>558687.8189139897</v>
      </c>
      <c r="AO42" s="597">
        <f t="shared" si="85"/>
        <v>560276.03549999744</v>
      </c>
      <c r="AP42" s="597">
        <f t="shared" si="85"/>
        <v>561820.40272970661</v>
      </c>
      <c r="AQ42" s="597">
        <f t="shared" si="85"/>
        <v>562759.63849852001</v>
      </c>
      <c r="AR42" s="597">
        <f t="shared" si="85"/>
        <v>563981.11162112386</v>
      </c>
      <c r="AS42" s="597">
        <f t="shared" si="85"/>
        <v>565474.07300615124</v>
      </c>
      <c r="AT42" s="597">
        <f t="shared" si="85"/>
        <v>566954.80051084119</v>
      </c>
      <c r="AU42" s="597">
        <f t="shared" si="85"/>
        <v>568437.51605311502</v>
      </c>
      <c r="AV42" s="597">
        <f t="shared" si="85"/>
        <v>569901.10494939901</v>
      </c>
      <c r="AW42" s="597">
        <f t="shared" si="85"/>
        <v>571349.6700930621</v>
      </c>
      <c r="AX42" s="597">
        <f t="shared" si="85"/>
        <v>572627.28484973253</v>
      </c>
      <c r="AY42" s="597">
        <f t="shared" si="85"/>
        <v>573800.78468715108</v>
      </c>
      <c r="AZ42" s="597">
        <f t="shared" si="85"/>
        <v>575210.33810612862</v>
      </c>
      <c r="BA42" s="597">
        <f t="shared" si="85"/>
        <v>576638.86757312389</v>
      </c>
      <c r="BB42" s="597">
        <f t="shared" si="85"/>
        <v>578064.05097995535</v>
      </c>
      <c r="BC42" s="597">
        <f t="shared" si="85"/>
        <v>579487.21048512275</v>
      </c>
      <c r="BD42" s="597">
        <f t="shared" si="85"/>
        <v>580375.50633440225</v>
      </c>
      <c r="BE42" s="597">
        <f t="shared" si="85"/>
        <v>581559.91073723428</v>
      </c>
      <c r="BF42" s="597">
        <f t="shared" si="85"/>
        <v>583042.05045754614</v>
      </c>
      <c r="BG42" s="597">
        <f t="shared" si="85"/>
        <v>584540.98228224239</v>
      </c>
      <c r="BH42" s="597">
        <f t="shared" si="85"/>
        <v>586066.06320513808</v>
      </c>
      <c r="BI42" s="597">
        <f t="shared" si="85"/>
        <v>587597.12250245386</v>
      </c>
      <c r="BJ42" s="597">
        <f t="shared" si="85"/>
        <v>589135.31512149377</v>
      </c>
      <c r="BK42" s="597">
        <f t="shared" si="85"/>
        <v>590508.98528900451</v>
      </c>
      <c r="BL42" s="597">
        <f t="shared" si="85"/>
        <v>591783.33442869503</v>
      </c>
      <c r="BM42" s="597">
        <f t="shared" si="85"/>
        <v>593318.61652622663</v>
      </c>
      <c r="BN42" s="597">
        <f t="shared" si="85"/>
        <v>594879.94802591903</v>
      </c>
      <c r="BO42" s="597">
        <f t="shared" si="85"/>
        <v>596442.82952573826</v>
      </c>
      <c r="BP42" s="597">
        <f t="shared" si="85"/>
        <v>598006.17433776101</v>
      </c>
      <c r="BQ42" s="597">
        <f t="shared" ref="BQ42:EB42" si="86">SUM(BQ39:BQ41)</f>
        <v>598982.38838054449</v>
      </c>
      <c r="BR42" s="597">
        <f t="shared" si="86"/>
        <v>600282.68516916898</v>
      </c>
      <c r="BS42" s="597">
        <f t="shared" si="86"/>
        <v>601906.11265422113</v>
      </c>
      <c r="BT42" s="597">
        <f t="shared" si="86"/>
        <v>603542.20705176133</v>
      </c>
      <c r="BU42" s="597">
        <f t="shared" si="86"/>
        <v>605199.91975157417</v>
      </c>
      <c r="BV42" s="597">
        <f t="shared" si="86"/>
        <v>606856.93092050985</v>
      </c>
      <c r="BW42" s="597">
        <f t="shared" si="86"/>
        <v>608513.98382398451</v>
      </c>
      <c r="BX42" s="597">
        <f t="shared" si="86"/>
        <v>609986.5766054003</v>
      </c>
      <c r="BY42" s="597">
        <f t="shared" si="86"/>
        <v>611345.84280719387</v>
      </c>
      <c r="BZ42" s="597">
        <f t="shared" si="86"/>
        <v>612976.84899386659</v>
      </c>
      <c r="CA42" s="597">
        <f t="shared" si="86"/>
        <v>614628.36262786656</v>
      </c>
      <c r="CB42" s="597">
        <f t="shared" si="86"/>
        <v>616273.77831494086</v>
      </c>
      <c r="CC42" s="597">
        <f t="shared" si="86"/>
        <v>617912.36344824068</v>
      </c>
      <c r="CD42" s="597">
        <f t="shared" si="86"/>
        <v>618931.28646758513</v>
      </c>
      <c r="CE42" s="597">
        <f t="shared" si="86"/>
        <v>620283.24611388962</v>
      </c>
      <c r="CF42" s="597">
        <f t="shared" si="86"/>
        <v>621965.27553037216</v>
      </c>
      <c r="CG42" s="597">
        <f t="shared" si="86"/>
        <v>623655.73677197099</v>
      </c>
      <c r="CH42" s="597">
        <f t="shared" si="86"/>
        <v>625364.8078680383</v>
      </c>
      <c r="CI42" s="597">
        <f t="shared" si="86"/>
        <v>627069.24178250076</v>
      </c>
      <c r="CJ42" s="597">
        <f t="shared" si="86"/>
        <v>628770.34484708065</v>
      </c>
      <c r="CK42" s="597">
        <f t="shared" si="86"/>
        <v>630279.67368921824</v>
      </c>
      <c r="CL42" s="597">
        <f t="shared" si="86"/>
        <v>631671.14235111629</v>
      </c>
      <c r="CM42" s="597">
        <f t="shared" si="86"/>
        <v>633340.35260178451</v>
      </c>
      <c r="CN42" s="597">
        <f t="shared" si="86"/>
        <v>635030.01659223484</v>
      </c>
      <c r="CO42" s="597">
        <f t="shared" si="86"/>
        <v>636712.96130089485</v>
      </c>
      <c r="CP42" s="597">
        <f t="shared" si="86"/>
        <v>638388.81770026207</v>
      </c>
      <c r="CQ42" s="597">
        <f t="shared" si="86"/>
        <v>639431.03752996249</v>
      </c>
      <c r="CR42" s="597">
        <f t="shared" si="86"/>
        <v>640814.34484852373</v>
      </c>
      <c r="CS42" s="597">
        <f t="shared" si="86"/>
        <v>642536.21937027958</v>
      </c>
      <c r="CT42" s="597">
        <f t="shared" si="86"/>
        <v>644267.83234743529</v>
      </c>
      <c r="CU42" s="597">
        <f t="shared" si="86"/>
        <v>646019.76658987463</v>
      </c>
      <c r="CV42" s="597">
        <f t="shared" si="86"/>
        <v>647768.26535587234</v>
      </c>
      <c r="CW42" s="597">
        <f t="shared" si="86"/>
        <v>649514.72409984365</v>
      </c>
      <c r="CX42" s="597">
        <f t="shared" si="86"/>
        <v>651065.56272211845</v>
      </c>
      <c r="CY42" s="597">
        <f t="shared" si="86"/>
        <v>652496.4811851983</v>
      </c>
      <c r="CZ42" s="597">
        <f t="shared" si="86"/>
        <v>654214.09767877194</v>
      </c>
      <c r="DA42" s="597">
        <f t="shared" si="86"/>
        <v>655953.94740318484</v>
      </c>
      <c r="DB42" s="597">
        <f t="shared" si="86"/>
        <v>657688.16019693913</v>
      </c>
      <c r="DC42" s="597">
        <f t="shared" si="86"/>
        <v>659416.26915361697</v>
      </c>
      <c r="DD42" s="597">
        <f t="shared" si="86"/>
        <v>660491.67988732865</v>
      </c>
      <c r="DE42" s="597">
        <f t="shared" si="86"/>
        <v>661919.87825211743</v>
      </c>
      <c r="DF42" s="597">
        <f t="shared" si="86"/>
        <v>663698.56171683175</v>
      </c>
      <c r="DG42" s="597">
        <f t="shared" si="86"/>
        <v>665488.02419819182</v>
      </c>
      <c r="DH42" s="597">
        <f t="shared" si="86"/>
        <v>667299.038933301</v>
      </c>
      <c r="DI42" s="597">
        <f t="shared" si="86"/>
        <v>669107.08335016016</v>
      </c>
      <c r="DJ42" s="597">
        <f t="shared" si="86"/>
        <v>670913.50683330325</v>
      </c>
      <c r="DK42" s="597">
        <f t="shared" si="86"/>
        <v>672517.92756587977</v>
      </c>
      <c r="DL42" s="597">
        <f t="shared" si="86"/>
        <v>673998.50585773902</v>
      </c>
      <c r="DM42" s="597">
        <f t="shared" si="86"/>
        <v>675775.74531504419</v>
      </c>
      <c r="DN42" s="597">
        <f t="shared" si="86"/>
        <v>677576.01377390348</v>
      </c>
      <c r="DO42" s="597">
        <f t="shared" si="86"/>
        <v>679370.45925648627</v>
      </c>
      <c r="DP42" s="597">
        <f t="shared" si="86"/>
        <v>681158.53951301984</v>
      </c>
      <c r="DQ42" s="597">
        <f t="shared" si="86"/>
        <v>682271.21195111796</v>
      </c>
      <c r="DR42" s="597">
        <f t="shared" si="86"/>
        <v>683748.77599757537</v>
      </c>
      <c r="DS42" s="597">
        <f t="shared" si="86"/>
        <v>685588.7463795105</v>
      </c>
      <c r="DT42" s="597">
        <f t="shared" si="86"/>
        <v>687439.64160359034</v>
      </c>
      <c r="DU42" s="597">
        <f t="shared" si="86"/>
        <v>689312.58737537055</v>
      </c>
      <c r="DV42" s="597">
        <f t="shared" si="86"/>
        <v>691182.20828999509</v>
      </c>
      <c r="DW42" s="597">
        <f t="shared" si="86"/>
        <v>693049.89553496696</v>
      </c>
      <c r="DX42" s="597">
        <f t="shared" si="86"/>
        <v>694708.49875276268</v>
      </c>
      <c r="DY42" s="597">
        <f t="shared" si="86"/>
        <v>696238.86754454789</v>
      </c>
      <c r="DZ42" s="597">
        <f t="shared" si="86"/>
        <v>698075.69229112705</v>
      </c>
      <c r="EA42" s="597">
        <f t="shared" si="86"/>
        <v>699936.11859819107</v>
      </c>
      <c r="EB42" s="597">
        <f t="shared" si="86"/>
        <v>701790.31276752765</v>
      </c>
      <c r="EC42" s="597">
        <f t="shared" ref="EC42:FS42" si="87">SUM(EC39:EC41)</f>
        <v>703637.7321424433</v>
      </c>
      <c r="ED42" s="597">
        <f t="shared" si="87"/>
        <v>704787.21695559239</v>
      </c>
      <c r="EE42" s="597">
        <f t="shared" si="87"/>
        <v>706313.53252762766</v>
      </c>
      <c r="EF42" s="597">
        <f t="shared" si="87"/>
        <v>708214.06723888253</v>
      </c>
      <c r="EG42" s="597">
        <f t="shared" si="87"/>
        <v>710125.77876617259</v>
      </c>
      <c r="EH42" s="597">
        <f t="shared" si="87"/>
        <v>712060.1864520635</v>
      </c>
      <c r="EI42" s="597">
        <f t="shared" si="87"/>
        <v>713991.0770688256</v>
      </c>
      <c r="EJ42" s="597">
        <f t="shared" si="87"/>
        <v>715919.90317911864</v>
      </c>
      <c r="EK42" s="597">
        <f t="shared" si="87"/>
        <v>717632.75767540094</v>
      </c>
      <c r="EL42" s="597">
        <f t="shared" si="87"/>
        <v>719213.1577926079</v>
      </c>
      <c r="EM42" s="597">
        <f t="shared" si="87"/>
        <v>721110.04010876734</v>
      </c>
      <c r="EN42" s="597">
        <f t="shared" si="87"/>
        <v>723031.30233657989</v>
      </c>
      <c r="EO42" s="597">
        <f t="shared" si="87"/>
        <v>724946.13847996737</v>
      </c>
      <c r="EP42" s="597">
        <f t="shared" si="87"/>
        <v>726853.99701711396</v>
      </c>
      <c r="EQ42" s="597">
        <f t="shared" si="87"/>
        <v>728041.10352559818</v>
      </c>
      <c r="ER42" s="597">
        <f t="shared" si="87"/>
        <v>729617.401159256</v>
      </c>
      <c r="ES42" s="597">
        <f t="shared" si="87"/>
        <v>731580.21228962613</v>
      </c>
      <c r="ET42" s="597">
        <f t="shared" si="87"/>
        <v>733554.60972400836</v>
      </c>
      <c r="EU42" s="597">
        <f t="shared" si="87"/>
        <v>735552.4919173395</v>
      </c>
      <c r="EV42" s="597">
        <f t="shared" si="87"/>
        <v>737546.78813718888</v>
      </c>
      <c r="EW42" s="597">
        <f t="shared" si="87"/>
        <v>739538.99849035416</v>
      </c>
      <c r="EX42" s="597">
        <f t="shared" si="87"/>
        <v>741308.18070626503</v>
      </c>
      <c r="EY42" s="597">
        <f t="shared" si="87"/>
        <v>742940.58899353433</v>
      </c>
      <c r="EZ42" s="597">
        <f t="shared" si="87"/>
        <v>744899.92416505574</v>
      </c>
      <c r="FA42" s="597">
        <f t="shared" si="87"/>
        <v>746884.47476826899</v>
      </c>
      <c r="FB42" s="597">
        <f t="shared" si="87"/>
        <v>748862.42277903412</v>
      </c>
      <c r="FC42" s="597">
        <f t="shared" si="87"/>
        <v>750833.19508452143</v>
      </c>
      <c r="FD42" s="597">
        <f t="shared" si="87"/>
        <v>752059.46566608339</v>
      </c>
      <c r="FE42" s="597">
        <f t="shared" si="87"/>
        <v>753687.78796912846</v>
      </c>
      <c r="FF42" s="597">
        <f t="shared" si="87"/>
        <v>755715.40232537291</v>
      </c>
      <c r="FG42" s="597">
        <f t="shared" si="87"/>
        <v>757755.00110642426</v>
      </c>
      <c r="FH42" s="597">
        <f t="shared" si="87"/>
        <v>759818.8709473185</v>
      </c>
      <c r="FI42" s="597">
        <f t="shared" si="87"/>
        <v>761879.04771116248</v>
      </c>
      <c r="FJ42" s="597">
        <f t="shared" si="87"/>
        <v>763937.07844047609</v>
      </c>
      <c r="FK42" s="597">
        <f t="shared" si="87"/>
        <v>765764.71744508133</v>
      </c>
      <c r="FL42" s="597">
        <f t="shared" si="87"/>
        <v>767451.06558076222</v>
      </c>
      <c r="FM42" s="597">
        <f t="shared" si="87"/>
        <v>769475.1404337968</v>
      </c>
      <c r="FN42" s="597">
        <f t="shared" si="87"/>
        <v>771525.26100405736</v>
      </c>
      <c r="FO42" s="597">
        <f t="shared" si="87"/>
        <v>773568.55730188347</v>
      </c>
      <c r="FP42" s="597">
        <f t="shared" si="87"/>
        <v>775604.43598418427</v>
      </c>
      <c r="FQ42" s="597">
        <f t="shared" si="87"/>
        <v>776871.21401595254</v>
      </c>
      <c r="FR42" s="597">
        <f t="shared" si="87"/>
        <v>778553.31915268861</v>
      </c>
      <c r="FS42" s="597">
        <f t="shared" si="87"/>
        <v>780647.89698635926</v>
      </c>
      <c r="FT42" s="595">
        <f t="shared" si="84"/>
        <v>3616865.7629434364</v>
      </c>
      <c r="FU42" s="595">
        <f t="shared" si="84"/>
        <v>6257155.5843648985</v>
      </c>
      <c r="FV42" s="595">
        <f t="shared" si="84"/>
        <v>6486654.9380195383</v>
      </c>
      <c r="FW42" s="595">
        <f t="shared" si="84"/>
        <v>6727274.4495173013</v>
      </c>
      <c r="FX42" s="595">
        <f t="shared" si="84"/>
        <v>6926597.7615351025</v>
      </c>
      <c r="FZ42" s="598"/>
      <c r="GA42" s="599"/>
      <c r="GB42" s="599"/>
      <c r="GD42" s="555"/>
      <c r="GE42" s="562"/>
    </row>
    <row r="43" spans="2:187" ht="12.75" customHeight="1" outlineLevel="1">
      <c r="B43" s="574" t="s">
        <v>306</v>
      </c>
      <c r="C43" s="575"/>
      <c r="D43" s="600"/>
      <c r="E43" s="591">
        <f>-E42*Detail!$F$36</f>
        <v>-5160.7199700000001</v>
      </c>
      <c r="F43" s="591">
        <f>-F42*Detail!$F$36</f>
        <v>-5162.9149699999998</v>
      </c>
      <c r="G43" s="591">
        <f>-G42*Detail!$F$36</f>
        <v>-5165.0368033333334</v>
      </c>
      <c r="H43" s="591">
        <f>-H42*Detail!$F$36</f>
        <v>-5167.0879088888887</v>
      </c>
      <c r="I43" s="591">
        <f>-I42*Detail!$F$36</f>
        <v>-5169.07064425926</v>
      </c>
      <c r="J43" s="591">
        <f>-J42*Detail!$F$36</f>
        <v>-5170.9872884506176</v>
      </c>
      <c r="K43" s="591">
        <f>-K42*Detail!$F$36</f>
        <v>-5172.8400445022635</v>
      </c>
      <c r="L43" s="591">
        <f>-L42*Detail!$F$36</f>
        <v>-5175.089513068855</v>
      </c>
      <c r="M43" s="591">
        <f>-M42*Detail!$F$36</f>
        <v>-5177.7006930250182</v>
      </c>
      <c r="N43" s="591">
        <f>-N42*Detail!$F$36</f>
        <v>-5180.6626190586221</v>
      </c>
      <c r="O43" s="591">
        <f>-O42*Detail!$F$36</f>
        <v>-5183.9646940972752</v>
      </c>
      <c r="P43" s="591">
        <f>-P42*Detail!$F$36</f>
        <v>-5187.5966770404921</v>
      </c>
      <c r="Q43" s="591">
        <f>-Q42*Detail!$F$36</f>
        <v>-5195.0198204017233</v>
      </c>
      <c r="R43" s="591">
        <f>-R42*Detail!$F$36</f>
        <v>-5205.749220012407</v>
      </c>
      <c r="S43" s="591">
        <f>-S42*Detail!$F$36</f>
        <v>-5220.2095804094652</v>
      </c>
      <c r="T43" s="591">
        <f>-T42*Detail!$F$36</f>
        <v>-5235.7271350013079</v>
      </c>
      <c r="U43" s="591">
        <f>-U42*Detail!$F$36</f>
        <v>-5252.2107952456599</v>
      </c>
      <c r="V43" s="601">
        <f>-V42*Detail!$F$36</f>
        <v>-5269.6320660144511</v>
      </c>
      <c r="W43" s="601">
        <f>-W42*Detail!$F$36</f>
        <v>-5287.9930302737057</v>
      </c>
      <c r="X43" s="601">
        <f>-X42*Detail!$F$36</f>
        <v>-5305.1216704103244</v>
      </c>
      <c r="Y43" s="601">
        <f>-Y42*Detail!$F$36</f>
        <v>-5321.6593526514407</v>
      </c>
      <c r="Z43" s="601">
        <f>-Z42*Detail!$F$36</f>
        <v>-5341.4393422620451</v>
      </c>
      <c r="AA43" s="601">
        <f>-AA42*Detail!$F$36</f>
        <v>-5361.456961008369</v>
      </c>
      <c r="AB43" s="601">
        <f>-AB42*Detail!$F$36</f>
        <v>-5381.4041248559734</v>
      </c>
      <c r="AC43" s="601">
        <f>-AC42*Detail!$F$36</f>
        <v>-5401.1955707264615</v>
      </c>
      <c r="AD43" s="601">
        <f>-AD42*Detail!$F$36</f>
        <v>-5413.4193598626662</v>
      </c>
      <c r="AE43" s="601">
        <f>-AE42*Detail!$F$36</f>
        <v>-5429.4605230232901</v>
      </c>
      <c r="AF43" s="601">
        <f>-AF42*Detail!$F$36</f>
        <v>-5449.1118552535463</v>
      </c>
      <c r="AG43" s="601">
        <f>-AG42*Detail!$F$36</f>
        <v>-5468.4730226233241</v>
      </c>
      <c r="AH43" s="601">
        <f>-AH42*Detail!$F$36</f>
        <v>-5487.5983153017096</v>
      </c>
      <c r="AI43" s="601">
        <f>-AI42*Detail!$F$36</f>
        <v>-5506.2092822162213</v>
      </c>
      <c r="AJ43" s="601">
        <f>-AJ42*Detail!$F$36</f>
        <v>-5524.3175138456945</v>
      </c>
      <c r="AK43" s="601">
        <f>-AK42*Detail!$F$36</f>
        <v>-5539.9676235240768</v>
      </c>
      <c r="AL43" s="601">
        <f>-AL42*Detail!$F$36</f>
        <v>-5554.0149701745713</v>
      </c>
      <c r="AM43" s="601">
        <f>-AM42*Detail!$F$36</f>
        <v>-5570.5304192942076</v>
      </c>
      <c r="AN43" s="601">
        <f>-AN42*Detail!$F$36</f>
        <v>-5586.8781891398967</v>
      </c>
      <c r="AO43" s="601">
        <f>-AO42*Detail!$F$36</f>
        <v>-5602.7603549999749</v>
      </c>
      <c r="AP43" s="601">
        <f>-AP42*Detail!$F$36</f>
        <v>-5618.2040272970662</v>
      </c>
      <c r="AQ43" s="601">
        <f>-AQ42*Detail!$F$36</f>
        <v>-5627.5963849852005</v>
      </c>
      <c r="AR43" s="601">
        <f>-AR42*Detail!$F$36</f>
        <v>-5639.8111162112391</v>
      </c>
      <c r="AS43" s="601">
        <f>-AS42*Detail!$F$36</f>
        <v>-5654.7407300615123</v>
      </c>
      <c r="AT43" s="601">
        <f>-AT42*Detail!$F$36</f>
        <v>-5669.5480051084123</v>
      </c>
      <c r="AU43" s="601">
        <f>-AU42*Detail!$F$36</f>
        <v>-5684.37516053115</v>
      </c>
      <c r="AV43" s="601">
        <f>-AV42*Detail!$F$36</f>
        <v>-5699.01104949399</v>
      </c>
      <c r="AW43" s="601">
        <f>-AW42*Detail!$F$36</f>
        <v>-5713.496700930621</v>
      </c>
      <c r="AX43" s="601">
        <f>-AX42*Detail!$F$36</f>
        <v>-5726.2728484973259</v>
      </c>
      <c r="AY43" s="601">
        <f>-AY42*Detail!$F$36</f>
        <v>-5738.007846871511</v>
      </c>
      <c r="AZ43" s="601">
        <f>-AZ42*Detail!$F$36</f>
        <v>-5752.1033810612862</v>
      </c>
      <c r="BA43" s="601">
        <f>-BA42*Detail!$F$36</f>
        <v>-5766.3886757312393</v>
      </c>
      <c r="BB43" s="601">
        <f>-BB42*Detail!$F$36</f>
        <v>-5780.6405097995539</v>
      </c>
      <c r="BC43" s="601">
        <f>-BC42*Detail!$F$36</f>
        <v>-5794.872104851228</v>
      </c>
      <c r="BD43" s="601">
        <f>-BD42*Detail!$F$36</f>
        <v>-5803.7550633440223</v>
      </c>
      <c r="BE43" s="601">
        <f>-BE42*Detail!$F$36</f>
        <v>-5815.5991073723426</v>
      </c>
      <c r="BF43" s="601">
        <f>-BF42*Detail!$F$36</f>
        <v>-5830.4205045754616</v>
      </c>
      <c r="BG43" s="601">
        <f>-BG42*Detail!$F$36</f>
        <v>-5845.4098228224238</v>
      </c>
      <c r="BH43" s="601">
        <f>-BH42*Detail!$F$36</f>
        <v>-5860.6606320513811</v>
      </c>
      <c r="BI43" s="601">
        <f>-BI42*Detail!$F$36</f>
        <v>-5875.9712250245384</v>
      </c>
      <c r="BJ43" s="601">
        <f>-BJ42*Detail!$F$36</f>
        <v>-5891.3531512149375</v>
      </c>
      <c r="BK43" s="601">
        <f>-BK42*Detail!$F$36</f>
        <v>-5905.0898528900452</v>
      </c>
      <c r="BL43" s="601">
        <f>-BL42*Detail!$F$36</f>
        <v>-5917.8333442869507</v>
      </c>
      <c r="BM43" s="601">
        <f>-BM42*Detail!$F$36</f>
        <v>-5933.1861652622665</v>
      </c>
      <c r="BN43" s="601">
        <f>-BN42*Detail!$F$36</f>
        <v>-5948.7994802591902</v>
      </c>
      <c r="BO43" s="601">
        <f>-BO42*Detail!$F$36</f>
        <v>-5964.4282952573831</v>
      </c>
      <c r="BP43" s="601">
        <f>-BP42*Detail!$F$36</f>
        <v>-5980.0617433776106</v>
      </c>
      <c r="BQ43" s="601">
        <f>-BQ42*Detail!$F$36</f>
        <v>-5989.8238838054449</v>
      </c>
      <c r="BR43" s="601">
        <f>-BR42*Detail!$F$36</f>
        <v>-6002.8268516916896</v>
      </c>
      <c r="BS43" s="601">
        <f>-BS42*Detail!$F$36</f>
        <v>-6019.0611265422112</v>
      </c>
      <c r="BT43" s="601">
        <f>-BT42*Detail!$F$36</f>
        <v>-6035.4220705176131</v>
      </c>
      <c r="BU43" s="601">
        <f>-BU42*Detail!$F$36</f>
        <v>-6051.9991975157418</v>
      </c>
      <c r="BV43" s="601">
        <f>-BV42*Detail!$F$36</f>
        <v>-6068.5693092050988</v>
      </c>
      <c r="BW43" s="601">
        <f>-BW42*Detail!$F$36</f>
        <v>-6085.1398382398456</v>
      </c>
      <c r="BX43" s="601">
        <f>-BX42*Detail!$F$36</f>
        <v>-6099.865766054003</v>
      </c>
      <c r="BY43" s="601">
        <f>-BY42*Detail!$F$36</f>
        <v>-6113.4584280719391</v>
      </c>
      <c r="BZ43" s="601">
        <f>-BZ42*Detail!$F$36</f>
        <v>-6129.7684899386659</v>
      </c>
      <c r="CA43" s="601">
        <f>-CA42*Detail!$F$36</f>
        <v>-6146.2836262786659</v>
      </c>
      <c r="CB43" s="601">
        <f>-CB42*Detail!$F$36</f>
        <v>-6162.7377831494086</v>
      </c>
      <c r="CC43" s="601">
        <f>-CC42*Detail!$F$36</f>
        <v>-6179.1236344824065</v>
      </c>
      <c r="CD43" s="601">
        <f>-CD42*Detail!$F$36</f>
        <v>-6189.3128646758514</v>
      </c>
      <c r="CE43" s="601">
        <f>-CE42*Detail!$F$36</f>
        <v>-6202.8324611388962</v>
      </c>
      <c r="CF43" s="601">
        <f>-CF42*Detail!$F$36</f>
        <v>-6219.6527553037222</v>
      </c>
      <c r="CG43" s="601">
        <f>-CG42*Detail!$F$36</f>
        <v>-6236.5573677197099</v>
      </c>
      <c r="CH43" s="601">
        <f>-CH42*Detail!$F$36</f>
        <v>-6253.6480786803832</v>
      </c>
      <c r="CI43" s="601">
        <f>-CI42*Detail!$F$36</f>
        <v>-6270.6924178250074</v>
      </c>
      <c r="CJ43" s="601">
        <f>-CJ42*Detail!$F$36</f>
        <v>-6287.7034484708065</v>
      </c>
      <c r="CK43" s="601">
        <f>-CK42*Detail!$F$36</f>
        <v>-6302.7967368921827</v>
      </c>
      <c r="CL43" s="601">
        <f>-CL42*Detail!$F$36</f>
        <v>-6316.711423511163</v>
      </c>
      <c r="CM43" s="601">
        <f>-CM42*Detail!$F$36</f>
        <v>-6333.4035260178453</v>
      </c>
      <c r="CN43" s="601">
        <f>-CN42*Detail!$F$36</f>
        <v>-6350.3001659223482</v>
      </c>
      <c r="CO43" s="601">
        <f>-CO42*Detail!$F$36</f>
        <v>-6367.1296130089486</v>
      </c>
      <c r="CP43" s="601">
        <f>-CP42*Detail!$F$36</f>
        <v>-6383.888177002621</v>
      </c>
      <c r="CQ43" s="601">
        <f>-CQ42*Detail!$F$36</f>
        <v>-6394.3103752996249</v>
      </c>
      <c r="CR43" s="601">
        <f>-CR42*Detail!$F$36</f>
        <v>-6408.1434484852371</v>
      </c>
      <c r="CS43" s="601">
        <f>-CS42*Detail!$F$36</f>
        <v>-6425.3621937027956</v>
      </c>
      <c r="CT43" s="601">
        <f>-CT42*Detail!$F$36</f>
        <v>-6442.6783234743534</v>
      </c>
      <c r="CU43" s="601">
        <f>-CU42*Detail!$F$36</f>
        <v>-6460.1976658987469</v>
      </c>
      <c r="CV43" s="601">
        <f>-CV42*Detail!$F$36</f>
        <v>-6477.6826535587234</v>
      </c>
      <c r="CW43" s="601">
        <f>-CW42*Detail!$F$36</f>
        <v>-6495.1472409984362</v>
      </c>
      <c r="CX43" s="601">
        <f>-CX42*Detail!$F$36</f>
        <v>-6510.6556272211847</v>
      </c>
      <c r="CY43" s="601">
        <f>-CY42*Detail!$F$36</f>
        <v>-6524.9648118519835</v>
      </c>
      <c r="CZ43" s="601">
        <f>-CZ42*Detail!$F$36</f>
        <v>-6542.1409767877194</v>
      </c>
      <c r="DA43" s="601">
        <f>-DA42*Detail!$F$36</f>
        <v>-6559.5394740318488</v>
      </c>
      <c r="DB43" s="601">
        <f>-DB42*Detail!$F$36</f>
        <v>-6576.8816019693913</v>
      </c>
      <c r="DC43" s="601">
        <f>-DC42*Detail!$F$36</f>
        <v>-6594.1626915361703</v>
      </c>
      <c r="DD43" s="601">
        <f>-DD42*Detail!$F$36</f>
        <v>-6604.916798873287</v>
      </c>
      <c r="DE43" s="601">
        <f>-DE42*Detail!$F$36</f>
        <v>-6619.1987825211745</v>
      </c>
      <c r="DF43" s="601">
        <f>-DF42*Detail!$F$36</f>
        <v>-6636.9856171683177</v>
      </c>
      <c r="DG43" s="601">
        <f>-DG42*Detail!$F$36</f>
        <v>-6654.8802419819185</v>
      </c>
      <c r="DH43" s="601">
        <f>-DH42*Detail!$F$36</f>
        <v>-6672.9903893330102</v>
      </c>
      <c r="DI43" s="601">
        <f>-DI42*Detail!$F$36</f>
        <v>-6691.0708335016016</v>
      </c>
      <c r="DJ43" s="601">
        <f>-DJ42*Detail!$F$36</f>
        <v>-6709.1350683330329</v>
      </c>
      <c r="DK43" s="601">
        <f>-DK42*Detail!$F$36</f>
        <v>-6725.1792756587975</v>
      </c>
      <c r="DL43" s="601">
        <f>-DL42*Detail!$F$36</f>
        <v>-6739.9850585773902</v>
      </c>
      <c r="DM43" s="601">
        <f>-DM42*Detail!$F$36</f>
        <v>-6757.7574531504424</v>
      </c>
      <c r="DN43" s="601">
        <f>-DN42*Detail!$F$36</f>
        <v>-6775.7601377390347</v>
      </c>
      <c r="DO43" s="601">
        <f>-DO42*Detail!$F$36</f>
        <v>-6793.7045925648627</v>
      </c>
      <c r="DP43" s="601">
        <f>-DP42*Detail!$F$36</f>
        <v>-6811.5853951301988</v>
      </c>
      <c r="DQ43" s="601">
        <f>-DQ42*Detail!$F$36</f>
        <v>-6822.7121195111795</v>
      </c>
      <c r="DR43" s="601">
        <f>-DR42*Detail!$F$36</f>
        <v>-6837.4877599757538</v>
      </c>
      <c r="DS43" s="601">
        <f>-DS42*Detail!$F$36</f>
        <v>-6855.8874637951048</v>
      </c>
      <c r="DT43" s="601">
        <f>-DT42*Detail!$F$36</f>
        <v>-6874.3964160359037</v>
      </c>
      <c r="DU43" s="601">
        <f>-DU42*Detail!$F$36</f>
        <v>-6893.1258737537055</v>
      </c>
      <c r="DV43" s="601">
        <f>-DV42*Detail!$F$36</f>
        <v>-6911.8220828999511</v>
      </c>
      <c r="DW43" s="601">
        <f>-DW42*Detail!$F$36</f>
        <v>-6930.4989553496698</v>
      </c>
      <c r="DX43" s="601">
        <f>-DX42*Detail!$F$36</f>
        <v>-6947.0849875276272</v>
      </c>
      <c r="DY43" s="601">
        <f>-DY42*Detail!$F$36</f>
        <v>-6962.3886754454788</v>
      </c>
      <c r="DZ43" s="601">
        <f>-DZ42*Detail!$F$36</f>
        <v>-6980.7569229112705</v>
      </c>
      <c r="EA43" s="601">
        <f>-EA42*Detail!$F$36</f>
        <v>-6999.3611859819111</v>
      </c>
      <c r="EB43" s="601">
        <f>-EB42*Detail!$F$36</f>
        <v>-7017.9031276752767</v>
      </c>
      <c r="EC43" s="601">
        <f>-EC42*Detail!$F$36</f>
        <v>-7036.3773214244329</v>
      </c>
      <c r="ED43" s="601">
        <f>-ED42*Detail!$F$36</f>
        <v>-7047.8721695559243</v>
      </c>
      <c r="EE43" s="601">
        <f>-EE42*Detail!$F$36</f>
        <v>-7063.1353252762765</v>
      </c>
      <c r="EF43" s="601">
        <f>-EF42*Detail!$F$36</f>
        <v>-7082.1406723888258</v>
      </c>
      <c r="EG43" s="601">
        <f>-EG42*Detail!$F$36</f>
        <v>-7101.2577876617261</v>
      </c>
      <c r="EH43" s="601">
        <f>-EH42*Detail!$F$36</f>
        <v>-7120.601864520635</v>
      </c>
      <c r="EI43" s="601">
        <f>-EI42*Detail!$F$36</f>
        <v>-7139.910770688256</v>
      </c>
      <c r="EJ43" s="601">
        <f>-EJ42*Detail!$F$36</f>
        <v>-7159.1990317911868</v>
      </c>
      <c r="EK43" s="601">
        <f>-EK42*Detail!$F$36</f>
        <v>-7176.3275767540099</v>
      </c>
      <c r="EL43" s="601">
        <f>-EL42*Detail!$F$36</f>
        <v>-7192.1315779260794</v>
      </c>
      <c r="EM43" s="601">
        <f>-EM42*Detail!$F$36</f>
        <v>-7211.1004010876732</v>
      </c>
      <c r="EN43" s="601">
        <f>-EN42*Detail!$F$36</f>
        <v>-7230.3130233657994</v>
      </c>
      <c r="EO43" s="601">
        <f>-EO42*Detail!$F$36</f>
        <v>-7249.4613847996734</v>
      </c>
      <c r="EP43" s="601">
        <f>-EP42*Detail!$F$36</f>
        <v>-7268.5399701711394</v>
      </c>
      <c r="EQ43" s="601">
        <f>-EQ42*Detail!$F$36</f>
        <v>-7280.4110352559819</v>
      </c>
      <c r="ER43" s="601">
        <f>-ER42*Detail!$F$36</f>
        <v>-7296.1740115925604</v>
      </c>
      <c r="ES43" s="601">
        <f>-ES42*Detail!$F$36</f>
        <v>-7315.8021228962616</v>
      </c>
      <c r="ET43" s="601">
        <f>-ET42*Detail!$F$36</f>
        <v>-7335.5460972400833</v>
      </c>
      <c r="EU43" s="601">
        <f>-EU42*Detail!$F$36</f>
        <v>-7355.5249191733956</v>
      </c>
      <c r="EV43" s="601">
        <f>-EV42*Detail!$F$36</f>
        <v>-7375.4678813718892</v>
      </c>
      <c r="EW43" s="601">
        <f>-EW42*Detail!$F$36</f>
        <v>-7395.3899849035415</v>
      </c>
      <c r="EX43" s="601">
        <f>-EX42*Detail!$F$36</f>
        <v>-7413.0818070626501</v>
      </c>
      <c r="EY43" s="601">
        <f>-EY42*Detail!$F$36</f>
        <v>-7429.4058899353431</v>
      </c>
      <c r="EZ43" s="601">
        <f>-EZ42*Detail!$F$36</f>
        <v>-7448.9992416505575</v>
      </c>
      <c r="FA43" s="601">
        <f>-FA42*Detail!$F$36</f>
        <v>-7468.8447476826905</v>
      </c>
      <c r="FB43" s="601">
        <f>-FB42*Detail!$F$36</f>
        <v>-7488.6242277903411</v>
      </c>
      <c r="FC43" s="601">
        <f>-FC42*Detail!$F$36</f>
        <v>-7508.3319508452141</v>
      </c>
      <c r="FD43" s="601">
        <f>-FD42*Detail!$F$36</f>
        <v>-7520.5946566608336</v>
      </c>
      <c r="FE43" s="601">
        <f>-FE42*Detail!$F$36</f>
        <v>-7536.8778796912848</v>
      </c>
      <c r="FF43" s="601">
        <f>-FF42*Detail!$F$36</f>
        <v>-7557.1540232537291</v>
      </c>
      <c r="FG43" s="601">
        <f>-FG42*Detail!$F$36</f>
        <v>-7577.5500110642424</v>
      </c>
      <c r="FH43" s="601">
        <f>-FH42*Detail!$F$36</f>
        <v>-7598.1887094731856</v>
      </c>
      <c r="FI43" s="601">
        <f>-FI42*Detail!$F$36</f>
        <v>-7618.7904771116246</v>
      </c>
      <c r="FJ43" s="601">
        <f>-FJ42*Detail!$F$36</f>
        <v>-7639.3707844047613</v>
      </c>
      <c r="FK43" s="601">
        <f>-FK42*Detail!$F$36</f>
        <v>-7657.6471744508135</v>
      </c>
      <c r="FL43" s="601">
        <f>-FL42*Detail!$F$36</f>
        <v>-7674.5106558076222</v>
      </c>
      <c r="FM43" s="601">
        <f>-FM42*Detail!$F$36</f>
        <v>-7694.7514043379679</v>
      </c>
      <c r="FN43" s="601">
        <f>-FN42*Detail!$F$36</f>
        <v>-7715.2526100405739</v>
      </c>
      <c r="FO43" s="601">
        <f>-FO42*Detail!$F$36</f>
        <v>-7735.6855730188345</v>
      </c>
      <c r="FP43" s="601">
        <f>-FP42*Detail!$F$36</f>
        <v>-7756.0443598418424</v>
      </c>
      <c r="FQ43" s="601">
        <f>-FQ42*Detail!$F$36</f>
        <v>-7768.7121401595259</v>
      </c>
      <c r="FR43" s="601">
        <f>-FR42*Detail!$F$36</f>
        <v>-7785.5331915268862</v>
      </c>
      <c r="FS43" s="601">
        <f>-FS42*Detail!$F$36</f>
        <v>-7806.4789698635932</v>
      </c>
      <c r="FT43" s="592">
        <f t="shared" si="84"/>
        <v>-36168.657629434369</v>
      </c>
      <c r="FU43" s="592">
        <f t="shared" si="84"/>
        <v>-62571.555843648974</v>
      </c>
      <c r="FV43" s="592">
        <f t="shared" si="84"/>
        <v>-64866.549380195371</v>
      </c>
      <c r="FW43" s="592">
        <f t="shared" si="84"/>
        <v>-67272.744495173014</v>
      </c>
      <c r="FX43" s="592">
        <f t="shared" si="84"/>
        <v>-69265.977615351003</v>
      </c>
      <c r="FZ43" s="602"/>
      <c r="GA43" s="603"/>
      <c r="GD43" s="565"/>
      <c r="GE43" s="567"/>
    </row>
    <row r="44" spans="2:187" ht="12.75" customHeight="1" outlineLevel="1">
      <c r="B44" s="574" t="s">
        <v>307</v>
      </c>
      <c r="D44" s="604"/>
      <c r="E44" s="601">
        <f>-E22*E27*1.5</f>
        <v>-27508.263000000006</v>
      </c>
      <c r="F44" s="601">
        <f t="shared" ref="F44:G44" si="88">-F22*F27*1.5</f>
        <v>-27508.263000000006</v>
      </c>
      <c r="G44" s="601">
        <f t="shared" si="88"/>
        <v>-27508.263000000006</v>
      </c>
      <c r="H44" s="601">
        <f>-H22*H27*2</f>
        <v>-36677.684000000008</v>
      </c>
      <c r="I44" s="601">
        <f t="shared" ref="I44:P44" si="89">-I22*I27*2</f>
        <v>-36677.684000000008</v>
      </c>
      <c r="J44" s="601">
        <f t="shared" si="89"/>
        <v>-36677.684000000008</v>
      </c>
      <c r="K44" s="601">
        <f t="shared" si="89"/>
        <v>-36677.684000000008</v>
      </c>
      <c r="L44" s="601">
        <f t="shared" si="89"/>
        <v>-36769.378210000003</v>
      </c>
      <c r="M44" s="601">
        <f t="shared" si="89"/>
        <v>-36861.301655525</v>
      </c>
      <c r="N44" s="601">
        <f t="shared" si="89"/>
        <v>-36953.454909663807</v>
      </c>
      <c r="O44" s="601">
        <f t="shared" si="89"/>
        <v>-37045.838546937972</v>
      </c>
      <c r="P44" s="601">
        <f t="shared" si="89"/>
        <v>-37138.45314330532</v>
      </c>
      <c r="Q44" s="601">
        <f>-Q22*Q27*1.5</f>
        <v>-17452.171535701673</v>
      </c>
      <c r="R44" s="601">
        <f t="shared" ref="R44:T44" si="90">-R22*R27*1.5</f>
        <v>-23327.735952721236</v>
      </c>
      <c r="S44" s="601">
        <f t="shared" si="90"/>
        <v>-29232.569115753802</v>
      </c>
      <c r="T44" s="601">
        <f t="shared" si="90"/>
        <v>-29305.650538543181</v>
      </c>
      <c r="U44" s="601">
        <f>-U22*U27*1</f>
        <v>-19585.943109926357</v>
      </c>
      <c r="V44" s="601">
        <f t="shared" ref="V44:W44" si="91">-V22*V27*1</f>
        <v>-19634.907967701169</v>
      </c>
      <c r="W44" s="601">
        <f t="shared" si="91"/>
        <v>-19715.799775746713</v>
      </c>
      <c r="X44" s="601">
        <v>0</v>
      </c>
      <c r="Y44" s="601">
        <f t="shared" ref="Y44:CH44" si="92">IF(Y31&gt;=95%,0,(-Y27*$FZ$44)*Y22)</f>
        <v>0</v>
      </c>
      <c r="Z44" s="601">
        <f t="shared" si="92"/>
        <v>0</v>
      </c>
      <c r="AA44" s="601">
        <f t="shared" si="92"/>
        <v>0</v>
      </c>
      <c r="AB44" s="601">
        <f t="shared" si="92"/>
        <v>0</v>
      </c>
      <c r="AC44" s="601">
        <f t="shared" si="92"/>
        <v>0</v>
      </c>
      <c r="AD44" s="601">
        <f t="shared" si="92"/>
        <v>0</v>
      </c>
      <c r="AE44" s="601">
        <f t="shared" si="92"/>
        <v>0</v>
      </c>
      <c r="AF44" s="601">
        <f t="shared" si="92"/>
        <v>0</v>
      </c>
      <c r="AG44" s="601">
        <f t="shared" si="92"/>
        <v>0</v>
      </c>
      <c r="AH44" s="601">
        <f t="shared" si="92"/>
        <v>0</v>
      </c>
      <c r="AI44" s="601">
        <f t="shared" si="92"/>
        <v>0</v>
      </c>
      <c r="AJ44" s="601">
        <f t="shared" si="92"/>
        <v>0</v>
      </c>
      <c r="AK44" s="601">
        <f t="shared" si="92"/>
        <v>0</v>
      </c>
      <c r="AL44" s="601">
        <f t="shared" si="92"/>
        <v>0</v>
      </c>
      <c r="AM44" s="601">
        <f t="shared" si="92"/>
        <v>0</v>
      </c>
      <c r="AN44" s="601">
        <f t="shared" si="92"/>
        <v>0</v>
      </c>
      <c r="AO44" s="601">
        <f t="shared" si="92"/>
        <v>0</v>
      </c>
      <c r="AP44" s="601">
        <f t="shared" si="92"/>
        <v>0</v>
      </c>
      <c r="AQ44" s="601">
        <f t="shared" si="92"/>
        <v>0</v>
      </c>
      <c r="AR44" s="601">
        <f t="shared" si="92"/>
        <v>0</v>
      </c>
      <c r="AS44" s="601">
        <f t="shared" si="92"/>
        <v>0</v>
      </c>
      <c r="AT44" s="601">
        <f t="shared" si="92"/>
        <v>0</v>
      </c>
      <c r="AU44" s="601">
        <f t="shared" si="92"/>
        <v>0</v>
      </c>
      <c r="AV44" s="601">
        <f t="shared" si="92"/>
        <v>0</v>
      </c>
      <c r="AW44" s="601">
        <f t="shared" si="92"/>
        <v>0</v>
      </c>
      <c r="AX44" s="601">
        <f t="shared" si="92"/>
        <v>0</v>
      </c>
      <c r="AY44" s="601">
        <f t="shared" si="92"/>
        <v>0</v>
      </c>
      <c r="AZ44" s="601">
        <f t="shared" si="92"/>
        <v>0</v>
      </c>
      <c r="BA44" s="601">
        <f t="shared" si="92"/>
        <v>0</v>
      </c>
      <c r="BB44" s="601">
        <f t="shared" si="92"/>
        <v>0</v>
      </c>
      <c r="BC44" s="601">
        <f t="shared" si="92"/>
        <v>0</v>
      </c>
      <c r="BD44" s="601">
        <f t="shared" si="92"/>
        <v>0</v>
      </c>
      <c r="BE44" s="601">
        <f t="shared" si="92"/>
        <v>0</v>
      </c>
      <c r="BF44" s="601">
        <f t="shared" si="92"/>
        <v>0</v>
      </c>
      <c r="BG44" s="601">
        <f t="shared" si="92"/>
        <v>0</v>
      </c>
      <c r="BH44" s="601">
        <f t="shared" si="92"/>
        <v>0</v>
      </c>
      <c r="BI44" s="601">
        <f t="shared" si="92"/>
        <v>0</v>
      </c>
      <c r="BJ44" s="601">
        <f t="shared" si="92"/>
        <v>0</v>
      </c>
      <c r="BK44" s="601">
        <f t="shared" si="92"/>
        <v>0</v>
      </c>
      <c r="BL44" s="601">
        <f t="shared" si="92"/>
        <v>0</v>
      </c>
      <c r="BM44" s="601">
        <f t="shared" si="92"/>
        <v>0</v>
      </c>
      <c r="BN44" s="601">
        <f t="shared" si="92"/>
        <v>0</v>
      </c>
      <c r="BO44" s="601">
        <f t="shared" si="92"/>
        <v>0</v>
      </c>
      <c r="BP44" s="601">
        <f t="shared" si="92"/>
        <v>0</v>
      </c>
      <c r="BQ44" s="601">
        <f t="shared" si="92"/>
        <v>0</v>
      </c>
      <c r="BR44" s="601">
        <f t="shared" si="92"/>
        <v>0</v>
      </c>
      <c r="BS44" s="601">
        <f t="shared" si="92"/>
        <v>0</v>
      </c>
      <c r="BT44" s="601">
        <f t="shared" si="92"/>
        <v>0</v>
      </c>
      <c r="BU44" s="601">
        <f t="shared" si="92"/>
        <v>0</v>
      </c>
      <c r="BV44" s="601">
        <f t="shared" si="92"/>
        <v>0</v>
      </c>
      <c r="BW44" s="601">
        <f t="shared" si="92"/>
        <v>0</v>
      </c>
      <c r="BX44" s="601">
        <f t="shared" si="92"/>
        <v>0</v>
      </c>
      <c r="BY44" s="601">
        <f t="shared" si="92"/>
        <v>0</v>
      </c>
      <c r="BZ44" s="601">
        <f t="shared" si="92"/>
        <v>0</v>
      </c>
      <c r="CA44" s="601">
        <f t="shared" si="92"/>
        <v>0</v>
      </c>
      <c r="CB44" s="601">
        <f t="shared" si="92"/>
        <v>0</v>
      </c>
      <c r="CC44" s="601">
        <f t="shared" si="92"/>
        <v>0</v>
      </c>
      <c r="CD44" s="601">
        <f t="shared" si="92"/>
        <v>0</v>
      </c>
      <c r="CE44" s="601">
        <f t="shared" si="92"/>
        <v>0</v>
      </c>
      <c r="CF44" s="601">
        <f t="shared" si="92"/>
        <v>0</v>
      </c>
      <c r="CG44" s="601">
        <f t="shared" si="92"/>
        <v>0</v>
      </c>
      <c r="CH44" s="601">
        <f t="shared" si="92"/>
        <v>0</v>
      </c>
      <c r="CI44" s="601">
        <f t="shared" ref="CI44:ET44" si="93">IF(CI31&gt;=95%,0,(-CI27*$FZ$44)*CI22)</f>
        <v>0</v>
      </c>
      <c r="CJ44" s="601">
        <f t="shared" si="93"/>
        <v>0</v>
      </c>
      <c r="CK44" s="601">
        <f t="shared" si="93"/>
        <v>0</v>
      </c>
      <c r="CL44" s="601">
        <f t="shared" si="93"/>
        <v>0</v>
      </c>
      <c r="CM44" s="601">
        <f t="shared" si="93"/>
        <v>0</v>
      </c>
      <c r="CN44" s="601">
        <f t="shared" si="93"/>
        <v>0</v>
      </c>
      <c r="CO44" s="601">
        <f t="shared" si="93"/>
        <v>0</v>
      </c>
      <c r="CP44" s="601">
        <f t="shared" si="93"/>
        <v>0</v>
      </c>
      <c r="CQ44" s="601">
        <f t="shared" si="93"/>
        <v>0</v>
      </c>
      <c r="CR44" s="601">
        <f t="shared" si="93"/>
        <v>0</v>
      </c>
      <c r="CS44" s="601">
        <f t="shared" si="93"/>
        <v>0</v>
      </c>
      <c r="CT44" s="601">
        <f t="shared" si="93"/>
        <v>0</v>
      </c>
      <c r="CU44" s="601">
        <f t="shared" si="93"/>
        <v>0</v>
      </c>
      <c r="CV44" s="601">
        <f t="shared" si="93"/>
        <v>0</v>
      </c>
      <c r="CW44" s="601">
        <f t="shared" si="93"/>
        <v>0</v>
      </c>
      <c r="CX44" s="601">
        <f t="shared" si="93"/>
        <v>0</v>
      </c>
      <c r="CY44" s="601">
        <f t="shared" si="93"/>
        <v>0</v>
      </c>
      <c r="CZ44" s="601">
        <f t="shared" si="93"/>
        <v>0</v>
      </c>
      <c r="DA44" s="601">
        <f t="shared" si="93"/>
        <v>0</v>
      </c>
      <c r="DB44" s="601">
        <f t="shared" si="93"/>
        <v>0</v>
      </c>
      <c r="DC44" s="601">
        <f t="shared" si="93"/>
        <v>0</v>
      </c>
      <c r="DD44" s="601">
        <f t="shared" si="93"/>
        <v>0</v>
      </c>
      <c r="DE44" s="601">
        <f t="shared" si="93"/>
        <v>0</v>
      </c>
      <c r="DF44" s="601">
        <f t="shared" si="93"/>
        <v>0</v>
      </c>
      <c r="DG44" s="601">
        <f t="shared" si="93"/>
        <v>0</v>
      </c>
      <c r="DH44" s="601">
        <f t="shared" si="93"/>
        <v>0</v>
      </c>
      <c r="DI44" s="601">
        <f t="shared" si="93"/>
        <v>0</v>
      </c>
      <c r="DJ44" s="601">
        <f t="shared" si="93"/>
        <v>0</v>
      </c>
      <c r="DK44" s="601">
        <f t="shared" si="93"/>
        <v>0</v>
      </c>
      <c r="DL44" s="601">
        <f t="shared" si="93"/>
        <v>0</v>
      </c>
      <c r="DM44" s="601">
        <f t="shared" si="93"/>
        <v>0</v>
      </c>
      <c r="DN44" s="601">
        <f t="shared" si="93"/>
        <v>0</v>
      </c>
      <c r="DO44" s="601">
        <f t="shared" si="93"/>
        <v>0</v>
      </c>
      <c r="DP44" s="601">
        <f t="shared" si="93"/>
        <v>0</v>
      </c>
      <c r="DQ44" s="601">
        <f t="shared" si="93"/>
        <v>0</v>
      </c>
      <c r="DR44" s="601">
        <f t="shared" si="93"/>
        <v>0</v>
      </c>
      <c r="DS44" s="601">
        <f t="shared" si="93"/>
        <v>0</v>
      </c>
      <c r="DT44" s="601">
        <f t="shared" si="93"/>
        <v>0</v>
      </c>
      <c r="DU44" s="601">
        <f t="shared" si="93"/>
        <v>0</v>
      </c>
      <c r="DV44" s="601">
        <f t="shared" si="93"/>
        <v>0</v>
      </c>
      <c r="DW44" s="601">
        <f t="shared" si="93"/>
        <v>0</v>
      </c>
      <c r="DX44" s="601">
        <f t="shared" si="93"/>
        <v>0</v>
      </c>
      <c r="DY44" s="601">
        <f t="shared" si="93"/>
        <v>0</v>
      </c>
      <c r="DZ44" s="601">
        <f t="shared" si="93"/>
        <v>0</v>
      </c>
      <c r="EA44" s="601">
        <f t="shared" si="93"/>
        <v>0</v>
      </c>
      <c r="EB44" s="601">
        <f t="shared" si="93"/>
        <v>0</v>
      </c>
      <c r="EC44" s="601">
        <f t="shared" si="93"/>
        <v>0</v>
      </c>
      <c r="ED44" s="601">
        <f t="shared" si="93"/>
        <v>0</v>
      </c>
      <c r="EE44" s="601">
        <f t="shared" si="93"/>
        <v>0</v>
      </c>
      <c r="EF44" s="601">
        <f t="shared" si="93"/>
        <v>0</v>
      </c>
      <c r="EG44" s="601">
        <f t="shared" si="93"/>
        <v>0</v>
      </c>
      <c r="EH44" s="601">
        <f t="shared" si="93"/>
        <v>0</v>
      </c>
      <c r="EI44" s="601">
        <f t="shared" si="93"/>
        <v>0</v>
      </c>
      <c r="EJ44" s="601">
        <f t="shared" si="93"/>
        <v>0</v>
      </c>
      <c r="EK44" s="601">
        <f t="shared" si="93"/>
        <v>0</v>
      </c>
      <c r="EL44" s="601">
        <f t="shared" si="93"/>
        <v>0</v>
      </c>
      <c r="EM44" s="601">
        <f t="shared" si="93"/>
        <v>0</v>
      </c>
      <c r="EN44" s="601">
        <f t="shared" si="93"/>
        <v>0</v>
      </c>
      <c r="EO44" s="601">
        <f t="shared" si="93"/>
        <v>0</v>
      </c>
      <c r="EP44" s="601">
        <f t="shared" si="93"/>
        <v>0</v>
      </c>
      <c r="EQ44" s="601">
        <f t="shared" si="93"/>
        <v>0</v>
      </c>
      <c r="ER44" s="601">
        <f t="shared" si="93"/>
        <v>0</v>
      </c>
      <c r="ES44" s="601">
        <f t="shared" si="93"/>
        <v>0</v>
      </c>
      <c r="ET44" s="601">
        <f t="shared" si="93"/>
        <v>0</v>
      </c>
      <c r="EU44" s="601">
        <f t="shared" ref="EU44:FS44" si="94">IF(EU31&gt;=95%,0,(-EU27*$FZ$44)*EU22)</f>
        <v>0</v>
      </c>
      <c r="EV44" s="601">
        <f t="shared" si="94"/>
        <v>0</v>
      </c>
      <c r="EW44" s="601">
        <f t="shared" si="94"/>
        <v>0</v>
      </c>
      <c r="EX44" s="601">
        <f t="shared" si="94"/>
        <v>0</v>
      </c>
      <c r="EY44" s="601">
        <f t="shared" si="94"/>
        <v>0</v>
      </c>
      <c r="EZ44" s="601">
        <f t="shared" si="94"/>
        <v>0</v>
      </c>
      <c r="FA44" s="601">
        <f t="shared" si="94"/>
        <v>0</v>
      </c>
      <c r="FB44" s="601">
        <f t="shared" si="94"/>
        <v>0</v>
      </c>
      <c r="FC44" s="601">
        <f t="shared" si="94"/>
        <v>0</v>
      </c>
      <c r="FD44" s="601">
        <f t="shared" si="94"/>
        <v>0</v>
      </c>
      <c r="FE44" s="601">
        <f t="shared" si="94"/>
        <v>0</v>
      </c>
      <c r="FF44" s="601">
        <f t="shared" si="94"/>
        <v>0</v>
      </c>
      <c r="FG44" s="601">
        <f t="shared" si="94"/>
        <v>0</v>
      </c>
      <c r="FH44" s="601">
        <f t="shared" si="94"/>
        <v>0</v>
      </c>
      <c r="FI44" s="601">
        <f t="shared" si="94"/>
        <v>0</v>
      </c>
      <c r="FJ44" s="601">
        <f t="shared" si="94"/>
        <v>0</v>
      </c>
      <c r="FK44" s="601">
        <f t="shared" si="94"/>
        <v>0</v>
      </c>
      <c r="FL44" s="601">
        <f t="shared" si="94"/>
        <v>0</v>
      </c>
      <c r="FM44" s="601">
        <f t="shared" si="94"/>
        <v>0</v>
      </c>
      <c r="FN44" s="601">
        <f t="shared" si="94"/>
        <v>0</v>
      </c>
      <c r="FO44" s="601">
        <f t="shared" si="94"/>
        <v>0</v>
      </c>
      <c r="FP44" s="601">
        <f t="shared" si="94"/>
        <v>0</v>
      </c>
      <c r="FQ44" s="601">
        <f t="shared" si="94"/>
        <v>0</v>
      </c>
      <c r="FR44" s="601">
        <f t="shared" si="94"/>
        <v>0</v>
      </c>
      <c r="FS44" s="601">
        <f t="shared" si="94"/>
        <v>0</v>
      </c>
      <c r="FT44" s="592">
        <f t="shared" si="84"/>
        <v>-229235.52500000005</v>
      </c>
      <c r="FU44" s="592">
        <f t="shared" si="84"/>
        <v>-343023.20446152618</v>
      </c>
      <c r="FV44" s="592">
        <f t="shared" si="84"/>
        <v>0</v>
      </c>
      <c r="FW44" s="592">
        <f t="shared" si="84"/>
        <v>0</v>
      </c>
      <c r="FX44" s="592">
        <f t="shared" si="84"/>
        <v>0</v>
      </c>
      <c r="FZ44" s="605">
        <v>2</v>
      </c>
      <c r="GA44" s="517" t="s">
        <v>308</v>
      </c>
    </row>
    <row r="45" spans="2:187" ht="12.75" customHeight="1" outlineLevel="1">
      <c r="B45" s="593" t="s">
        <v>309</v>
      </c>
      <c r="C45" s="594"/>
      <c r="D45" s="606"/>
      <c r="E45" s="596">
        <f t="shared" ref="E45:P45" si="95">SUM(E42:E44)</f>
        <v>483403.01402999996</v>
      </c>
      <c r="F45" s="596">
        <f t="shared" si="95"/>
        <v>483620.31903000001</v>
      </c>
      <c r="G45" s="596">
        <f t="shared" si="95"/>
        <v>483830.38052999997</v>
      </c>
      <c r="H45" s="596">
        <f t="shared" si="95"/>
        <v>474864.01897999999</v>
      </c>
      <c r="I45" s="596">
        <f t="shared" si="95"/>
        <v>475060.30978166667</v>
      </c>
      <c r="J45" s="596">
        <f t="shared" si="95"/>
        <v>475250.05755661114</v>
      </c>
      <c r="K45" s="596">
        <f t="shared" si="95"/>
        <v>475433.48040572403</v>
      </c>
      <c r="L45" s="596">
        <f t="shared" si="95"/>
        <v>475564.48358381662</v>
      </c>
      <c r="M45" s="596">
        <f t="shared" si="95"/>
        <v>475731.06695395178</v>
      </c>
      <c r="N45" s="596">
        <f t="shared" si="95"/>
        <v>475932.14437713975</v>
      </c>
      <c r="O45" s="596">
        <f t="shared" si="95"/>
        <v>476166.66616869229</v>
      </c>
      <c r="P45" s="596">
        <f t="shared" si="95"/>
        <v>476433.61788370338</v>
      </c>
      <c r="Q45" s="596">
        <f t="shared" ref="Q45:CB45" si="96">SUM(Q42:Q44)</f>
        <v>496854.79068406892</v>
      </c>
      <c r="R45" s="596">
        <f t="shared" si="96"/>
        <v>492041.43682850705</v>
      </c>
      <c r="S45" s="596">
        <f t="shared" si="96"/>
        <v>487568.17934478325</v>
      </c>
      <c r="T45" s="596">
        <f t="shared" si="96"/>
        <v>489031.33582658623</v>
      </c>
      <c r="U45" s="596">
        <f t="shared" si="96"/>
        <v>500382.92561939394</v>
      </c>
      <c r="V45" s="596">
        <f t="shared" si="96"/>
        <v>502058.6665677295</v>
      </c>
      <c r="W45" s="596">
        <f t="shared" si="96"/>
        <v>503795.51022135018</v>
      </c>
      <c r="X45" s="596">
        <f t="shared" si="96"/>
        <v>525207.04537062219</v>
      </c>
      <c r="Y45" s="596">
        <f t="shared" si="96"/>
        <v>526844.27591249265</v>
      </c>
      <c r="Z45" s="596">
        <f t="shared" si="96"/>
        <v>528802.49488394253</v>
      </c>
      <c r="AA45" s="596">
        <f t="shared" si="96"/>
        <v>530784.23913982848</v>
      </c>
      <c r="AB45" s="597">
        <f t="shared" si="96"/>
        <v>532759.00836074131</v>
      </c>
      <c r="AC45" s="597">
        <f t="shared" si="96"/>
        <v>534718.36150191969</v>
      </c>
      <c r="AD45" s="597">
        <f t="shared" si="96"/>
        <v>535928.5166264039</v>
      </c>
      <c r="AE45" s="597">
        <f t="shared" si="96"/>
        <v>537516.59177930572</v>
      </c>
      <c r="AF45" s="597">
        <f t="shared" si="96"/>
        <v>539462.073670101</v>
      </c>
      <c r="AG45" s="597">
        <f t="shared" si="96"/>
        <v>541378.82923970907</v>
      </c>
      <c r="AH45" s="597">
        <f t="shared" si="96"/>
        <v>543272.23321486928</v>
      </c>
      <c r="AI45" s="597">
        <f t="shared" si="96"/>
        <v>545114.71893940587</v>
      </c>
      <c r="AJ45" s="597">
        <f t="shared" si="96"/>
        <v>546907.4338707237</v>
      </c>
      <c r="AK45" s="597">
        <f t="shared" si="96"/>
        <v>548456.79472888354</v>
      </c>
      <c r="AL45" s="597">
        <f t="shared" si="96"/>
        <v>549847.48204728262</v>
      </c>
      <c r="AM45" s="597">
        <f t="shared" si="96"/>
        <v>551482.51151012653</v>
      </c>
      <c r="AN45" s="597">
        <f t="shared" si="96"/>
        <v>553100.94072484982</v>
      </c>
      <c r="AO45" s="597">
        <f t="shared" si="96"/>
        <v>554673.27514499752</v>
      </c>
      <c r="AP45" s="597">
        <f t="shared" si="96"/>
        <v>556202.19870240951</v>
      </c>
      <c r="AQ45" s="597">
        <f t="shared" si="96"/>
        <v>557132.04211353476</v>
      </c>
      <c r="AR45" s="597">
        <f t="shared" si="96"/>
        <v>558341.30050491262</v>
      </c>
      <c r="AS45" s="597">
        <f t="shared" si="96"/>
        <v>559819.3322760897</v>
      </c>
      <c r="AT45" s="597">
        <f t="shared" si="96"/>
        <v>561285.25250573282</v>
      </c>
      <c r="AU45" s="597">
        <f t="shared" si="96"/>
        <v>562753.14089258388</v>
      </c>
      <c r="AV45" s="597">
        <f t="shared" si="96"/>
        <v>564202.09389990498</v>
      </c>
      <c r="AW45" s="597">
        <f t="shared" si="96"/>
        <v>565636.17339213146</v>
      </c>
      <c r="AX45" s="597">
        <f t="shared" si="96"/>
        <v>566901.01200123515</v>
      </c>
      <c r="AY45" s="597">
        <f t="shared" si="96"/>
        <v>568062.77684027958</v>
      </c>
      <c r="AZ45" s="597">
        <f t="shared" si="96"/>
        <v>569458.23472506739</v>
      </c>
      <c r="BA45" s="597">
        <f t="shared" si="96"/>
        <v>570872.47889739263</v>
      </c>
      <c r="BB45" s="597">
        <f t="shared" si="96"/>
        <v>572283.41047015577</v>
      </c>
      <c r="BC45" s="597">
        <f t="shared" si="96"/>
        <v>573692.33838027157</v>
      </c>
      <c r="BD45" s="597">
        <f t="shared" si="96"/>
        <v>574571.75127105822</v>
      </c>
      <c r="BE45" s="597">
        <f t="shared" si="96"/>
        <v>575744.31162986194</v>
      </c>
      <c r="BF45" s="597">
        <f t="shared" si="96"/>
        <v>577211.62995297066</v>
      </c>
      <c r="BG45" s="597">
        <f t="shared" si="96"/>
        <v>578695.57245941996</v>
      </c>
      <c r="BH45" s="597">
        <f t="shared" si="96"/>
        <v>580205.40257308667</v>
      </c>
      <c r="BI45" s="597">
        <f t="shared" si="96"/>
        <v>581721.15127742931</v>
      </c>
      <c r="BJ45" s="597">
        <f t="shared" si="96"/>
        <v>583243.96197027888</v>
      </c>
      <c r="BK45" s="597">
        <f t="shared" si="96"/>
        <v>584603.89543611452</v>
      </c>
      <c r="BL45" s="597">
        <f t="shared" si="96"/>
        <v>585865.50108440802</v>
      </c>
      <c r="BM45" s="597">
        <f t="shared" si="96"/>
        <v>587385.43036096438</v>
      </c>
      <c r="BN45" s="597">
        <f t="shared" si="96"/>
        <v>588931.14854565985</v>
      </c>
      <c r="BO45" s="597">
        <f t="shared" si="96"/>
        <v>590478.40123048087</v>
      </c>
      <c r="BP45" s="597">
        <f t="shared" si="96"/>
        <v>592026.11259438342</v>
      </c>
      <c r="BQ45" s="597">
        <f t="shared" si="96"/>
        <v>592992.56449673907</v>
      </c>
      <c r="BR45" s="597">
        <f t="shared" si="96"/>
        <v>594279.85831747728</v>
      </c>
      <c r="BS45" s="597">
        <f t="shared" si="96"/>
        <v>595887.05152767897</v>
      </c>
      <c r="BT45" s="597">
        <f t="shared" si="96"/>
        <v>597506.78498124366</v>
      </c>
      <c r="BU45" s="597">
        <f t="shared" si="96"/>
        <v>599147.92055405839</v>
      </c>
      <c r="BV45" s="597">
        <f t="shared" si="96"/>
        <v>600788.3616113048</v>
      </c>
      <c r="BW45" s="597">
        <f t="shared" si="96"/>
        <v>602428.84398574464</v>
      </c>
      <c r="BX45" s="597">
        <f t="shared" si="96"/>
        <v>603886.71083934628</v>
      </c>
      <c r="BY45" s="597">
        <f t="shared" si="96"/>
        <v>605232.38437912194</v>
      </c>
      <c r="BZ45" s="597">
        <f t="shared" si="96"/>
        <v>606847.08050392789</v>
      </c>
      <c r="CA45" s="597">
        <f t="shared" si="96"/>
        <v>608482.07900158793</v>
      </c>
      <c r="CB45" s="597">
        <f t="shared" si="96"/>
        <v>610111.04053179151</v>
      </c>
      <c r="CC45" s="597">
        <f t="shared" ref="CC45:EN45" si="97">SUM(CC42:CC44)</f>
        <v>611733.23981375829</v>
      </c>
      <c r="CD45" s="597">
        <f t="shared" si="97"/>
        <v>612741.97360290925</v>
      </c>
      <c r="CE45" s="597">
        <f t="shared" si="97"/>
        <v>614080.41365275066</v>
      </c>
      <c r="CF45" s="597">
        <f t="shared" si="97"/>
        <v>615745.62277506839</v>
      </c>
      <c r="CG45" s="597">
        <f t="shared" si="97"/>
        <v>617419.17940425128</v>
      </c>
      <c r="CH45" s="597">
        <f t="shared" si="97"/>
        <v>619111.15978935792</v>
      </c>
      <c r="CI45" s="597">
        <f t="shared" si="97"/>
        <v>620798.54936467577</v>
      </c>
      <c r="CJ45" s="597">
        <f t="shared" si="97"/>
        <v>622482.64139860985</v>
      </c>
      <c r="CK45" s="597">
        <f t="shared" si="97"/>
        <v>623976.87695232604</v>
      </c>
      <c r="CL45" s="597">
        <f t="shared" si="97"/>
        <v>625354.43092760514</v>
      </c>
      <c r="CM45" s="597">
        <f t="shared" si="97"/>
        <v>627006.94907576672</v>
      </c>
      <c r="CN45" s="597">
        <f t="shared" si="97"/>
        <v>628679.71642631246</v>
      </c>
      <c r="CO45" s="597">
        <f t="shared" si="97"/>
        <v>630345.83168788592</v>
      </c>
      <c r="CP45" s="597">
        <f t="shared" si="97"/>
        <v>632004.9295232594</v>
      </c>
      <c r="CQ45" s="597">
        <f t="shared" si="97"/>
        <v>633036.72715466283</v>
      </c>
      <c r="CR45" s="597">
        <f t="shared" si="97"/>
        <v>634406.20140003844</v>
      </c>
      <c r="CS45" s="597">
        <f t="shared" si="97"/>
        <v>636110.85717657674</v>
      </c>
      <c r="CT45" s="597">
        <f t="shared" si="97"/>
        <v>637825.15402396093</v>
      </c>
      <c r="CU45" s="597">
        <f t="shared" si="97"/>
        <v>639559.56892397592</v>
      </c>
      <c r="CV45" s="597">
        <f t="shared" si="97"/>
        <v>641290.58270231367</v>
      </c>
      <c r="CW45" s="597">
        <f t="shared" si="97"/>
        <v>643019.57685884519</v>
      </c>
      <c r="CX45" s="597">
        <f t="shared" si="97"/>
        <v>644554.90709489724</v>
      </c>
      <c r="CY45" s="597">
        <f t="shared" si="97"/>
        <v>645971.51637334633</v>
      </c>
      <c r="CZ45" s="597">
        <f t="shared" si="97"/>
        <v>647671.95670198416</v>
      </c>
      <c r="DA45" s="597">
        <f t="shared" si="97"/>
        <v>649394.40792915295</v>
      </c>
      <c r="DB45" s="597">
        <f t="shared" si="97"/>
        <v>651111.27859496977</v>
      </c>
      <c r="DC45" s="597">
        <f t="shared" si="97"/>
        <v>652822.10646208085</v>
      </c>
      <c r="DD45" s="597">
        <f t="shared" si="97"/>
        <v>653886.76308845531</v>
      </c>
      <c r="DE45" s="597">
        <f t="shared" si="97"/>
        <v>655300.67946959625</v>
      </c>
      <c r="DF45" s="597">
        <f t="shared" si="97"/>
        <v>657061.57609966339</v>
      </c>
      <c r="DG45" s="597">
        <f t="shared" si="97"/>
        <v>658833.14395620988</v>
      </c>
      <c r="DH45" s="597">
        <f t="shared" si="97"/>
        <v>660626.04854396801</v>
      </c>
      <c r="DI45" s="597">
        <f t="shared" si="97"/>
        <v>662416.01251665852</v>
      </c>
      <c r="DJ45" s="597">
        <f t="shared" si="97"/>
        <v>664204.37176497024</v>
      </c>
      <c r="DK45" s="597">
        <f t="shared" si="97"/>
        <v>665792.74829022097</v>
      </c>
      <c r="DL45" s="597">
        <f t="shared" si="97"/>
        <v>667258.52079916163</v>
      </c>
      <c r="DM45" s="597">
        <f t="shared" si="97"/>
        <v>669017.98786189372</v>
      </c>
      <c r="DN45" s="597">
        <f t="shared" si="97"/>
        <v>670800.25363616447</v>
      </c>
      <c r="DO45" s="597">
        <f t="shared" si="97"/>
        <v>672576.75466392143</v>
      </c>
      <c r="DP45" s="597">
        <f t="shared" si="97"/>
        <v>674346.95411788963</v>
      </c>
      <c r="DQ45" s="597">
        <f t="shared" si="97"/>
        <v>675448.49983160675</v>
      </c>
      <c r="DR45" s="597">
        <f t="shared" si="97"/>
        <v>676911.28823759966</v>
      </c>
      <c r="DS45" s="597">
        <f t="shared" si="97"/>
        <v>678732.85891571536</v>
      </c>
      <c r="DT45" s="597">
        <f t="shared" si="97"/>
        <v>680565.24518755439</v>
      </c>
      <c r="DU45" s="597">
        <f t="shared" si="97"/>
        <v>682419.46150161687</v>
      </c>
      <c r="DV45" s="597">
        <f t="shared" si="97"/>
        <v>684270.38620709511</v>
      </c>
      <c r="DW45" s="597">
        <f t="shared" si="97"/>
        <v>686119.39657961729</v>
      </c>
      <c r="DX45" s="597">
        <f t="shared" si="97"/>
        <v>687761.41376523511</v>
      </c>
      <c r="DY45" s="597">
        <f t="shared" si="97"/>
        <v>689276.47886910243</v>
      </c>
      <c r="DZ45" s="597">
        <f t="shared" si="97"/>
        <v>691094.93536821578</v>
      </c>
      <c r="EA45" s="597">
        <f t="shared" si="97"/>
        <v>692936.75741220918</v>
      </c>
      <c r="EB45" s="597">
        <f t="shared" si="97"/>
        <v>694772.40963985235</v>
      </c>
      <c r="EC45" s="597">
        <f t="shared" si="97"/>
        <v>696601.35482101887</v>
      </c>
      <c r="ED45" s="597">
        <f t="shared" si="97"/>
        <v>697739.34478603641</v>
      </c>
      <c r="EE45" s="597">
        <f t="shared" si="97"/>
        <v>699250.39720235136</v>
      </c>
      <c r="EF45" s="597">
        <f t="shared" si="97"/>
        <v>701131.9265664937</v>
      </c>
      <c r="EG45" s="597">
        <f t="shared" si="97"/>
        <v>703024.52097851085</v>
      </c>
      <c r="EH45" s="597">
        <f t="shared" si="97"/>
        <v>704939.58458754281</v>
      </c>
      <c r="EI45" s="597">
        <f t="shared" si="97"/>
        <v>706851.1662981374</v>
      </c>
      <c r="EJ45" s="597">
        <f t="shared" si="97"/>
        <v>708760.70414732746</v>
      </c>
      <c r="EK45" s="597">
        <f t="shared" si="97"/>
        <v>710456.4300986469</v>
      </c>
      <c r="EL45" s="597">
        <f t="shared" si="97"/>
        <v>712021.0262146818</v>
      </c>
      <c r="EM45" s="597">
        <f t="shared" si="97"/>
        <v>713898.93970767967</v>
      </c>
      <c r="EN45" s="597">
        <f t="shared" si="97"/>
        <v>715800.98931321409</v>
      </c>
      <c r="EO45" s="597">
        <f t="shared" ref="EO45:FS45" si="98">SUM(EO42:EO44)</f>
        <v>717696.67709516769</v>
      </c>
      <c r="EP45" s="597">
        <f t="shared" si="98"/>
        <v>719585.45704694279</v>
      </c>
      <c r="EQ45" s="597">
        <f t="shared" si="98"/>
        <v>720760.69249034219</v>
      </c>
      <c r="ER45" s="597">
        <f t="shared" si="98"/>
        <v>722321.22714766348</v>
      </c>
      <c r="ES45" s="597">
        <f t="shared" si="98"/>
        <v>724264.41016672982</v>
      </c>
      <c r="ET45" s="597">
        <f t="shared" si="98"/>
        <v>726219.0636267683</v>
      </c>
      <c r="EU45" s="597">
        <f t="shared" si="98"/>
        <v>728196.96699816606</v>
      </c>
      <c r="EV45" s="597">
        <f t="shared" si="98"/>
        <v>730171.32025581703</v>
      </c>
      <c r="EW45" s="597">
        <f t="shared" si="98"/>
        <v>732143.60850545065</v>
      </c>
      <c r="EX45" s="597">
        <f t="shared" si="98"/>
        <v>733895.09889920242</v>
      </c>
      <c r="EY45" s="597">
        <f t="shared" si="98"/>
        <v>735511.183103599</v>
      </c>
      <c r="EZ45" s="597">
        <f t="shared" si="98"/>
        <v>737450.92492340517</v>
      </c>
      <c r="FA45" s="597">
        <f t="shared" si="98"/>
        <v>739415.63002058631</v>
      </c>
      <c r="FB45" s="597">
        <f t="shared" si="98"/>
        <v>741373.79855124373</v>
      </c>
      <c r="FC45" s="597">
        <f t="shared" si="98"/>
        <v>743324.86313367623</v>
      </c>
      <c r="FD45" s="597">
        <f t="shared" si="98"/>
        <v>744538.87100942258</v>
      </c>
      <c r="FE45" s="597">
        <f t="shared" si="98"/>
        <v>746150.91008943715</v>
      </c>
      <c r="FF45" s="597">
        <f t="shared" si="98"/>
        <v>748158.2483021192</v>
      </c>
      <c r="FG45" s="597">
        <f t="shared" si="98"/>
        <v>750177.45109535998</v>
      </c>
      <c r="FH45" s="597">
        <f t="shared" si="98"/>
        <v>752220.68223784526</v>
      </c>
      <c r="FI45" s="597">
        <f t="shared" si="98"/>
        <v>754260.25723405089</v>
      </c>
      <c r="FJ45" s="597">
        <f t="shared" si="98"/>
        <v>756297.70765607129</v>
      </c>
      <c r="FK45" s="597">
        <f t="shared" si="98"/>
        <v>758107.07027063053</v>
      </c>
      <c r="FL45" s="597">
        <f t="shared" si="98"/>
        <v>759776.55492495466</v>
      </c>
      <c r="FM45" s="597">
        <f t="shared" si="98"/>
        <v>761780.38902945886</v>
      </c>
      <c r="FN45" s="597">
        <f t="shared" si="98"/>
        <v>763810.00839401677</v>
      </c>
      <c r="FO45" s="597">
        <f t="shared" si="98"/>
        <v>765832.87172886461</v>
      </c>
      <c r="FP45" s="597">
        <f t="shared" si="98"/>
        <v>767848.39162434242</v>
      </c>
      <c r="FQ45" s="597">
        <f t="shared" si="98"/>
        <v>769102.50187579298</v>
      </c>
      <c r="FR45" s="597">
        <f t="shared" si="98"/>
        <v>770767.78596116172</v>
      </c>
      <c r="FS45" s="597">
        <f t="shared" si="98"/>
        <v>772841.41801649565</v>
      </c>
      <c r="FT45" s="595">
        <f t="shared" si="84"/>
        <v>3351461.5803140015</v>
      </c>
      <c r="FU45" s="595">
        <f t="shared" si="84"/>
        <v>5851560.8240597229</v>
      </c>
      <c r="FV45" s="595">
        <f t="shared" si="84"/>
        <v>6421788.388639342</v>
      </c>
      <c r="FW45" s="595">
        <f t="shared" si="84"/>
        <v>6660001.7050221274</v>
      </c>
      <c r="FX45" s="595">
        <f t="shared" si="84"/>
        <v>6857331.7839197498</v>
      </c>
      <c r="FZ45" s="607"/>
      <c r="GD45" s="608"/>
      <c r="GE45" s="609"/>
    </row>
    <row r="46" spans="2:187" ht="12.75" customHeight="1" outlineLevel="1">
      <c r="B46" s="574" t="s">
        <v>310</v>
      </c>
      <c r="C46" s="575"/>
      <c r="D46" s="610"/>
      <c r="E46" s="416">
        <v>0</v>
      </c>
      <c r="F46" s="416">
        <v>0</v>
      </c>
      <c r="G46" s="416">
        <v>0</v>
      </c>
      <c r="H46" s="416">
        <v>0</v>
      </c>
      <c r="I46" s="416">
        <v>0</v>
      </c>
      <c r="J46" s="416">
        <v>0</v>
      </c>
      <c r="K46" s="416">
        <v>0</v>
      </c>
      <c r="L46" s="416">
        <v>0</v>
      </c>
      <c r="M46" s="416">
        <v>0</v>
      </c>
      <c r="N46" s="416">
        <v>0</v>
      </c>
      <c r="O46" s="416">
        <v>0</v>
      </c>
      <c r="P46" s="416">
        <v>0</v>
      </c>
      <c r="Q46" s="416">
        <v>0</v>
      </c>
      <c r="R46" s="416">
        <v>0</v>
      </c>
      <c r="S46" s="416">
        <v>0</v>
      </c>
      <c r="T46" s="416">
        <v>0</v>
      </c>
      <c r="U46" s="416">
        <v>0</v>
      </c>
      <c r="V46" s="416">
        <v>0</v>
      </c>
      <c r="W46" s="416">
        <v>0</v>
      </c>
      <c r="X46" s="416">
        <v>0</v>
      </c>
      <c r="Y46" s="416">
        <v>0</v>
      </c>
      <c r="Z46" s="416">
        <v>0</v>
      </c>
      <c r="AA46" s="416">
        <v>0</v>
      </c>
      <c r="AB46" s="416">
        <v>0</v>
      </c>
      <c r="AC46" s="416">
        <v>0</v>
      </c>
      <c r="AD46" s="416">
        <v>0</v>
      </c>
      <c r="AE46" s="416">
        <v>0</v>
      </c>
      <c r="AF46" s="416">
        <v>0</v>
      </c>
      <c r="AG46" s="416">
        <v>0</v>
      </c>
      <c r="AH46" s="416">
        <v>0</v>
      </c>
      <c r="AI46" s="416">
        <v>0</v>
      </c>
      <c r="AJ46" s="416">
        <v>0</v>
      </c>
      <c r="AK46" s="416">
        <v>0</v>
      </c>
      <c r="AL46" s="416">
        <v>0</v>
      </c>
      <c r="AM46" s="416">
        <v>0</v>
      </c>
      <c r="AN46" s="416">
        <v>0</v>
      </c>
      <c r="AO46" s="416">
        <v>0</v>
      </c>
      <c r="AP46" s="416">
        <v>0</v>
      </c>
      <c r="AQ46" s="416">
        <v>0</v>
      </c>
      <c r="AR46" s="416">
        <v>0</v>
      </c>
      <c r="AS46" s="416">
        <v>0</v>
      </c>
      <c r="AT46" s="416">
        <v>0</v>
      </c>
      <c r="AU46" s="416">
        <v>0</v>
      </c>
      <c r="AV46" s="416">
        <v>0</v>
      </c>
      <c r="AW46" s="416">
        <v>0</v>
      </c>
      <c r="AX46" s="416">
        <v>0</v>
      </c>
      <c r="AY46" s="416">
        <v>0</v>
      </c>
      <c r="AZ46" s="416">
        <v>0</v>
      </c>
      <c r="BA46" s="416">
        <v>0</v>
      </c>
      <c r="BB46" s="416">
        <v>0</v>
      </c>
      <c r="BC46" s="416">
        <v>0</v>
      </c>
      <c r="BD46" s="416">
        <v>0</v>
      </c>
      <c r="BE46" s="416">
        <v>0</v>
      </c>
      <c r="BF46" s="416">
        <v>0</v>
      </c>
      <c r="BG46" s="416">
        <v>0</v>
      </c>
      <c r="BH46" s="416">
        <v>0</v>
      </c>
      <c r="BI46" s="416">
        <v>0</v>
      </c>
      <c r="BJ46" s="416">
        <v>0</v>
      </c>
      <c r="BK46" s="416">
        <v>0</v>
      </c>
      <c r="BL46" s="416">
        <v>0</v>
      </c>
      <c r="BM46" s="416">
        <v>0</v>
      </c>
      <c r="BN46" s="416">
        <v>0</v>
      </c>
      <c r="BO46" s="416">
        <v>0</v>
      </c>
      <c r="BP46" s="416">
        <v>0</v>
      </c>
      <c r="BQ46" s="416">
        <v>0</v>
      </c>
      <c r="BR46" s="416">
        <v>0</v>
      </c>
      <c r="BS46" s="416">
        <v>0</v>
      </c>
      <c r="BT46" s="416">
        <v>0</v>
      </c>
      <c r="BU46" s="416">
        <v>0</v>
      </c>
      <c r="BV46" s="416">
        <v>0</v>
      </c>
      <c r="BW46" s="416">
        <v>0</v>
      </c>
      <c r="BX46" s="416">
        <v>0</v>
      </c>
      <c r="BY46" s="416">
        <v>0</v>
      </c>
      <c r="BZ46" s="416">
        <v>0</v>
      </c>
      <c r="CA46" s="416">
        <v>0</v>
      </c>
      <c r="CB46" s="416">
        <v>0</v>
      </c>
      <c r="CC46" s="416">
        <v>0</v>
      </c>
      <c r="CD46" s="416">
        <v>0</v>
      </c>
      <c r="CE46" s="416">
        <v>0</v>
      </c>
      <c r="CF46" s="416">
        <v>0</v>
      </c>
      <c r="CG46" s="416">
        <v>0</v>
      </c>
      <c r="CH46" s="416">
        <v>0</v>
      </c>
      <c r="CI46" s="416">
        <v>0</v>
      </c>
      <c r="CJ46" s="416">
        <v>0</v>
      </c>
      <c r="CK46" s="416">
        <v>0</v>
      </c>
      <c r="CL46" s="416">
        <v>0</v>
      </c>
      <c r="CM46" s="416">
        <v>0</v>
      </c>
      <c r="CN46" s="416">
        <v>0</v>
      </c>
      <c r="CO46" s="416">
        <v>0</v>
      </c>
      <c r="CP46" s="416">
        <v>0</v>
      </c>
      <c r="CQ46" s="416">
        <v>0</v>
      </c>
      <c r="CR46" s="416">
        <v>0</v>
      </c>
      <c r="CS46" s="416">
        <v>0</v>
      </c>
      <c r="CT46" s="416">
        <v>0</v>
      </c>
      <c r="CU46" s="416">
        <v>0</v>
      </c>
      <c r="CV46" s="416">
        <v>0</v>
      </c>
      <c r="CW46" s="416">
        <v>0</v>
      </c>
      <c r="CX46" s="416">
        <v>0</v>
      </c>
      <c r="CY46" s="416">
        <v>0</v>
      </c>
      <c r="CZ46" s="416">
        <v>0</v>
      </c>
      <c r="DA46" s="416">
        <v>0</v>
      </c>
      <c r="DB46" s="416">
        <v>0</v>
      </c>
      <c r="DC46" s="416">
        <v>0</v>
      </c>
      <c r="DD46" s="416">
        <v>0</v>
      </c>
      <c r="DE46" s="416">
        <v>0</v>
      </c>
      <c r="DF46" s="416">
        <v>0</v>
      </c>
      <c r="DG46" s="416">
        <v>0</v>
      </c>
      <c r="DH46" s="416">
        <v>0</v>
      </c>
      <c r="DI46" s="416">
        <v>0</v>
      </c>
      <c r="DJ46" s="416">
        <v>0</v>
      </c>
      <c r="DK46" s="416">
        <v>0</v>
      </c>
      <c r="DL46" s="416">
        <v>0</v>
      </c>
      <c r="DM46" s="416">
        <v>0</v>
      </c>
      <c r="DN46" s="416">
        <v>0</v>
      </c>
      <c r="DO46" s="416">
        <v>0</v>
      </c>
      <c r="DP46" s="416">
        <v>0</v>
      </c>
      <c r="DQ46" s="416">
        <v>0</v>
      </c>
      <c r="DR46" s="416">
        <v>0</v>
      </c>
      <c r="DS46" s="416">
        <v>0</v>
      </c>
      <c r="DT46" s="416">
        <v>0</v>
      </c>
      <c r="DU46" s="416">
        <v>0</v>
      </c>
      <c r="DV46" s="416">
        <v>0</v>
      </c>
      <c r="DW46" s="416">
        <v>0</v>
      </c>
      <c r="DX46" s="416">
        <v>0</v>
      </c>
      <c r="DY46" s="416">
        <v>0</v>
      </c>
      <c r="DZ46" s="416">
        <v>0</v>
      </c>
      <c r="EA46" s="416">
        <v>0</v>
      </c>
      <c r="EB46" s="416">
        <v>0</v>
      </c>
      <c r="EC46" s="416">
        <v>0</v>
      </c>
      <c r="ED46" s="416">
        <v>0</v>
      </c>
      <c r="EE46" s="416">
        <v>0</v>
      </c>
      <c r="EF46" s="416">
        <v>0</v>
      </c>
      <c r="EG46" s="416">
        <v>0</v>
      </c>
      <c r="EH46" s="416">
        <v>0</v>
      </c>
      <c r="EI46" s="416">
        <v>0</v>
      </c>
      <c r="EJ46" s="416">
        <v>0</v>
      </c>
      <c r="EK46" s="416">
        <v>0</v>
      </c>
      <c r="EL46" s="416">
        <v>0</v>
      </c>
      <c r="EM46" s="416">
        <v>0</v>
      </c>
      <c r="EN46" s="416">
        <v>0</v>
      </c>
      <c r="EO46" s="416">
        <v>0</v>
      </c>
      <c r="EP46" s="416">
        <v>0</v>
      </c>
      <c r="EQ46" s="416">
        <v>0</v>
      </c>
      <c r="ER46" s="416">
        <v>0</v>
      </c>
      <c r="ES46" s="416">
        <v>0</v>
      </c>
      <c r="ET46" s="416">
        <v>0</v>
      </c>
      <c r="EU46" s="416">
        <v>0</v>
      </c>
      <c r="EV46" s="416">
        <v>0</v>
      </c>
      <c r="EW46" s="416">
        <v>0</v>
      </c>
      <c r="EX46" s="416">
        <v>0</v>
      </c>
      <c r="EY46" s="416">
        <v>0</v>
      </c>
      <c r="EZ46" s="416">
        <v>0</v>
      </c>
      <c r="FA46" s="416">
        <v>0</v>
      </c>
      <c r="FB46" s="416">
        <v>0</v>
      </c>
      <c r="FC46" s="416">
        <v>0</v>
      </c>
      <c r="FD46" s="416">
        <v>0</v>
      </c>
      <c r="FE46" s="416">
        <v>0</v>
      </c>
      <c r="FF46" s="416">
        <v>0</v>
      </c>
      <c r="FG46" s="416">
        <v>0</v>
      </c>
      <c r="FH46" s="416">
        <v>0</v>
      </c>
      <c r="FI46" s="416">
        <v>0</v>
      </c>
      <c r="FJ46" s="416">
        <v>0</v>
      </c>
      <c r="FK46" s="416">
        <v>0</v>
      </c>
      <c r="FL46" s="416">
        <v>0</v>
      </c>
      <c r="FM46" s="416">
        <v>0</v>
      </c>
      <c r="FN46" s="416">
        <v>0</v>
      </c>
      <c r="FO46" s="416">
        <v>0</v>
      </c>
      <c r="FP46" s="416">
        <v>0</v>
      </c>
      <c r="FQ46" s="416">
        <v>0</v>
      </c>
      <c r="FR46" s="416">
        <v>0</v>
      </c>
      <c r="FS46" s="416">
        <v>0</v>
      </c>
      <c r="FT46" s="587">
        <f t="shared" si="84"/>
        <v>0</v>
      </c>
      <c r="FU46" s="587">
        <f t="shared" si="84"/>
        <v>0</v>
      </c>
      <c r="FV46" s="587">
        <f t="shared" si="84"/>
        <v>0</v>
      </c>
      <c r="FW46" s="587">
        <f t="shared" si="84"/>
        <v>0</v>
      </c>
      <c r="FX46" s="587">
        <f t="shared" si="84"/>
        <v>0</v>
      </c>
    </row>
    <row r="47" spans="2:187" ht="12.75" hidden="1" customHeight="1" outlineLevel="2">
      <c r="B47" s="574"/>
      <c r="C47" s="575"/>
      <c r="D47" s="610"/>
      <c r="E47" s="416"/>
      <c r="F47" s="416"/>
      <c r="G47" s="416"/>
      <c r="H47" s="416"/>
      <c r="I47" s="416"/>
      <c r="J47" s="416"/>
      <c r="K47" s="416"/>
      <c r="L47" s="416"/>
      <c r="M47" s="416"/>
      <c r="N47" s="416"/>
      <c r="O47" s="416"/>
      <c r="P47" s="416"/>
      <c r="Q47" s="416"/>
      <c r="R47" s="416"/>
      <c r="S47" s="416"/>
      <c r="T47" s="416"/>
      <c r="U47" s="416"/>
      <c r="V47" s="416"/>
      <c r="W47" s="416"/>
      <c r="X47" s="416"/>
      <c r="Y47" s="416"/>
      <c r="Z47" s="416"/>
      <c r="AA47" s="416"/>
      <c r="AB47" s="416"/>
      <c r="AC47" s="416"/>
      <c r="AD47" s="416"/>
      <c r="AE47" s="416"/>
      <c r="AF47" s="416"/>
      <c r="AG47" s="416"/>
      <c r="AH47" s="416"/>
      <c r="AI47" s="416"/>
      <c r="AJ47" s="416"/>
      <c r="AK47" s="416"/>
      <c r="AL47" s="416"/>
      <c r="AM47" s="416"/>
      <c r="AN47" s="416"/>
      <c r="AO47" s="416"/>
      <c r="AP47" s="416"/>
      <c r="AQ47" s="416"/>
      <c r="AR47" s="416"/>
      <c r="AS47" s="416"/>
      <c r="AT47" s="416"/>
      <c r="AU47" s="416"/>
      <c r="AV47" s="416"/>
      <c r="AW47" s="416"/>
      <c r="AX47" s="416"/>
      <c r="AY47" s="416"/>
      <c r="AZ47" s="416"/>
      <c r="BA47" s="416"/>
      <c r="BB47" s="416"/>
      <c r="BC47" s="416"/>
      <c r="BD47" s="416"/>
      <c r="BE47" s="416"/>
      <c r="BF47" s="416"/>
      <c r="BG47" s="416"/>
      <c r="BH47" s="416"/>
      <c r="BI47" s="416"/>
      <c r="BJ47" s="416"/>
      <c r="BK47" s="416"/>
      <c r="BL47" s="416"/>
      <c r="BM47" s="416"/>
      <c r="BN47" s="416"/>
      <c r="BO47" s="416"/>
      <c r="BP47" s="416"/>
      <c r="BQ47" s="416"/>
      <c r="BR47" s="416"/>
      <c r="BS47" s="416"/>
      <c r="BT47" s="416"/>
      <c r="BU47" s="416"/>
      <c r="BV47" s="416"/>
      <c r="BW47" s="416"/>
      <c r="BX47" s="416"/>
      <c r="BY47" s="416"/>
      <c r="BZ47" s="416"/>
      <c r="CA47" s="416"/>
      <c r="CB47" s="416"/>
      <c r="CC47" s="416"/>
      <c r="CD47" s="416"/>
      <c r="CE47" s="416"/>
      <c r="CF47" s="416"/>
      <c r="CG47" s="416"/>
      <c r="CH47" s="416"/>
      <c r="CI47" s="416"/>
      <c r="CJ47" s="416"/>
      <c r="CK47" s="416"/>
      <c r="CL47" s="416"/>
      <c r="CM47" s="416"/>
      <c r="CN47" s="416"/>
      <c r="CO47" s="416"/>
      <c r="CP47" s="416"/>
      <c r="CQ47" s="416"/>
      <c r="CR47" s="416"/>
      <c r="CS47" s="416"/>
      <c r="CT47" s="416"/>
      <c r="CU47" s="416"/>
      <c r="CV47" s="416"/>
      <c r="CW47" s="416"/>
      <c r="CX47" s="416"/>
      <c r="CY47" s="416"/>
      <c r="CZ47" s="416"/>
      <c r="DA47" s="416"/>
      <c r="DB47" s="416"/>
      <c r="DC47" s="416"/>
      <c r="DD47" s="416"/>
      <c r="DE47" s="416"/>
      <c r="DF47" s="416"/>
      <c r="DG47" s="416"/>
      <c r="DH47" s="416"/>
      <c r="DI47" s="416"/>
      <c r="DJ47" s="416"/>
      <c r="DK47" s="416"/>
      <c r="DL47" s="416"/>
      <c r="DM47" s="416"/>
      <c r="DN47" s="416"/>
      <c r="DO47" s="416"/>
      <c r="DP47" s="416"/>
      <c r="DQ47" s="416"/>
      <c r="DR47" s="416"/>
      <c r="DS47" s="416"/>
      <c r="DT47" s="416"/>
      <c r="DU47" s="416"/>
      <c r="DV47" s="416"/>
      <c r="DW47" s="416"/>
      <c r="DX47" s="416"/>
      <c r="DY47" s="416"/>
      <c r="DZ47" s="416"/>
      <c r="EA47" s="416"/>
      <c r="EB47" s="416"/>
      <c r="EC47" s="416"/>
      <c r="ED47" s="416"/>
      <c r="EE47" s="416"/>
      <c r="EF47" s="416"/>
      <c r="EG47" s="416"/>
      <c r="EH47" s="416"/>
      <c r="EI47" s="416"/>
      <c r="EJ47" s="416"/>
      <c r="EK47" s="416"/>
      <c r="EL47" s="416"/>
      <c r="EM47" s="416"/>
      <c r="EN47" s="416"/>
      <c r="EO47" s="416"/>
      <c r="EP47" s="416"/>
      <c r="EQ47" s="416"/>
      <c r="ER47" s="416"/>
      <c r="ES47" s="416"/>
      <c r="ET47" s="416"/>
      <c r="EU47" s="416"/>
      <c r="EV47" s="416"/>
      <c r="EW47" s="416"/>
      <c r="EX47" s="416"/>
      <c r="EY47" s="416"/>
      <c r="EZ47" s="416"/>
      <c r="FA47" s="416"/>
      <c r="FB47" s="416"/>
      <c r="FC47" s="416"/>
      <c r="FD47" s="416"/>
      <c r="FE47" s="416"/>
      <c r="FF47" s="416"/>
      <c r="FG47" s="416"/>
      <c r="FH47" s="416"/>
      <c r="FI47" s="416"/>
      <c r="FJ47" s="416"/>
      <c r="FK47" s="416"/>
      <c r="FL47" s="416"/>
      <c r="FM47" s="416"/>
      <c r="FN47" s="416"/>
      <c r="FO47" s="416"/>
      <c r="FP47" s="416"/>
      <c r="FQ47" s="416"/>
      <c r="FR47" s="416"/>
      <c r="FS47" s="416"/>
      <c r="FT47" s="587">
        <f t="shared" si="84"/>
        <v>0</v>
      </c>
      <c r="FU47" s="587">
        <f t="shared" si="84"/>
        <v>0</v>
      </c>
      <c r="FV47" s="587">
        <f t="shared" si="84"/>
        <v>0</v>
      </c>
      <c r="FW47" s="587">
        <f t="shared" si="84"/>
        <v>0</v>
      </c>
      <c r="FX47" s="587">
        <f t="shared" si="84"/>
        <v>0</v>
      </c>
    </row>
    <row r="48" spans="2:187" ht="12.75" hidden="1" customHeight="1" outlineLevel="2">
      <c r="B48" s="574"/>
      <c r="C48" s="575"/>
      <c r="D48" s="610"/>
      <c r="E48" s="416">
        <v>0</v>
      </c>
      <c r="F48" s="416">
        <v>0</v>
      </c>
      <c r="G48" s="416">
        <v>0</v>
      </c>
      <c r="H48" s="416">
        <v>0</v>
      </c>
      <c r="I48" s="416">
        <v>0</v>
      </c>
      <c r="J48" s="416">
        <v>0</v>
      </c>
      <c r="K48" s="416">
        <v>0</v>
      </c>
      <c r="L48" s="416">
        <v>0</v>
      </c>
      <c r="M48" s="416">
        <v>0</v>
      </c>
      <c r="N48" s="416">
        <v>0</v>
      </c>
      <c r="O48" s="416">
        <v>0</v>
      </c>
      <c r="P48" s="416">
        <v>0</v>
      </c>
      <c r="Q48" s="416">
        <v>0</v>
      </c>
      <c r="R48" s="416">
        <v>0</v>
      </c>
      <c r="S48" s="416">
        <v>0</v>
      </c>
      <c r="T48" s="416">
        <v>0</v>
      </c>
      <c r="U48" s="416">
        <v>0</v>
      </c>
      <c r="V48" s="416">
        <v>0</v>
      </c>
      <c r="W48" s="416">
        <v>0</v>
      </c>
      <c r="X48" s="416">
        <v>0</v>
      </c>
      <c r="Y48" s="416">
        <v>0</v>
      </c>
      <c r="Z48" s="416">
        <v>0</v>
      </c>
      <c r="AA48" s="416">
        <v>0</v>
      </c>
      <c r="AB48" s="416">
        <v>0</v>
      </c>
      <c r="AC48" s="416">
        <v>0</v>
      </c>
      <c r="AD48" s="416">
        <v>0</v>
      </c>
      <c r="AE48" s="416">
        <v>0</v>
      </c>
      <c r="AF48" s="416">
        <v>0</v>
      </c>
      <c r="AG48" s="416">
        <v>0</v>
      </c>
      <c r="AH48" s="416">
        <v>0</v>
      </c>
      <c r="AI48" s="416">
        <v>0</v>
      </c>
      <c r="AJ48" s="416">
        <v>0</v>
      </c>
      <c r="AK48" s="416">
        <v>0</v>
      </c>
      <c r="AL48" s="416">
        <v>0</v>
      </c>
      <c r="AM48" s="416">
        <v>0</v>
      </c>
      <c r="AN48" s="416">
        <v>0</v>
      </c>
      <c r="AO48" s="416">
        <v>0</v>
      </c>
      <c r="AP48" s="416">
        <v>0</v>
      </c>
      <c r="AQ48" s="416">
        <v>0</v>
      </c>
      <c r="AR48" s="416">
        <v>0</v>
      </c>
      <c r="AS48" s="416">
        <v>0</v>
      </c>
      <c r="AT48" s="416">
        <v>0</v>
      </c>
      <c r="AU48" s="416">
        <v>0</v>
      </c>
      <c r="AV48" s="416">
        <v>0</v>
      </c>
      <c r="AW48" s="416">
        <v>0</v>
      </c>
      <c r="AX48" s="416">
        <v>0</v>
      </c>
      <c r="AY48" s="416">
        <v>0</v>
      </c>
      <c r="AZ48" s="416">
        <v>0</v>
      </c>
      <c r="BA48" s="416">
        <v>0</v>
      </c>
      <c r="BB48" s="416">
        <v>0</v>
      </c>
      <c r="BC48" s="416">
        <v>0</v>
      </c>
      <c r="BD48" s="416">
        <v>0</v>
      </c>
      <c r="BE48" s="416">
        <v>0</v>
      </c>
      <c r="BF48" s="416">
        <v>0</v>
      </c>
      <c r="BG48" s="416">
        <v>0</v>
      </c>
      <c r="BH48" s="416">
        <v>0</v>
      </c>
      <c r="BI48" s="416">
        <v>0</v>
      </c>
      <c r="BJ48" s="416">
        <v>0</v>
      </c>
      <c r="BK48" s="416">
        <v>0</v>
      </c>
      <c r="BL48" s="416">
        <v>0</v>
      </c>
      <c r="BM48" s="416">
        <v>0</v>
      </c>
      <c r="BN48" s="416">
        <v>0</v>
      </c>
      <c r="BO48" s="416">
        <v>0</v>
      </c>
      <c r="BP48" s="416">
        <v>0</v>
      </c>
      <c r="BQ48" s="416">
        <v>0</v>
      </c>
      <c r="BR48" s="416">
        <v>0</v>
      </c>
      <c r="BS48" s="416">
        <v>0</v>
      </c>
      <c r="BT48" s="416">
        <v>0</v>
      </c>
      <c r="BU48" s="416">
        <v>0</v>
      </c>
      <c r="BV48" s="416">
        <v>0</v>
      </c>
      <c r="BW48" s="416">
        <v>0</v>
      </c>
      <c r="BX48" s="416">
        <v>0</v>
      </c>
      <c r="BY48" s="416">
        <v>0</v>
      </c>
      <c r="BZ48" s="416">
        <v>0</v>
      </c>
      <c r="CA48" s="416">
        <v>0</v>
      </c>
      <c r="CB48" s="416">
        <v>0</v>
      </c>
      <c r="CC48" s="416">
        <v>0</v>
      </c>
      <c r="CD48" s="416">
        <v>0</v>
      </c>
      <c r="CE48" s="416">
        <v>0</v>
      </c>
      <c r="CF48" s="416">
        <v>0</v>
      </c>
      <c r="CG48" s="416">
        <v>0</v>
      </c>
      <c r="CH48" s="416">
        <v>0</v>
      </c>
      <c r="CI48" s="416">
        <v>0</v>
      </c>
      <c r="CJ48" s="416">
        <v>0</v>
      </c>
      <c r="CK48" s="416">
        <v>0</v>
      </c>
      <c r="CL48" s="416">
        <v>0</v>
      </c>
      <c r="CM48" s="416">
        <v>0</v>
      </c>
      <c r="CN48" s="416">
        <v>0</v>
      </c>
      <c r="CO48" s="416">
        <v>0</v>
      </c>
      <c r="CP48" s="416">
        <v>0</v>
      </c>
      <c r="CQ48" s="416">
        <v>0</v>
      </c>
      <c r="CR48" s="416">
        <v>0</v>
      </c>
      <c r="CS48" s="416">
        <v>0</v>
      </c>
      <c r="CT48" s="416">
        <v>0</v>
      </c>
      <c r="CU48" s="416">
        <v>0</v>
      </c>
      <c r="CV48" s="416">
        <v>0</v>
      </c>
      <c r="CW48" s="416">
        <v>0</v>
      </c>
      <c r="CX48" s="416">
        <v>0</v>
      </c>
      <c r="CY48" s="416">
        <v>0</v>
      </c>
      <c r="CZ48" s="416">
        <v>0</v>
      </c>
      <c r="DA48" s="416">
        <v>0</v>
      </c>
      <c r="DB48" s="416">
        <v>0</v>
      </c>
      <c r="DC48" s="416">
        <v>0</v>
      </c>
      <c r="DD48" s="416">
        <v>0</v>
      </c>
      <c r="DE48" s="416">
        <v>0</v>
      </c>
      <c r="DF48" s="416">
        <v>0</v>
      </c>
      <c r="DG48" s="416">
        <v>0</v>
      </c>
      <c r="DH48" s="416">
        <v>0</v>
      </c>
      <c r="DI48" s="416">
        <v>0</v>
      </c>
      <c r="DJ48" s="416">
        <v>0</v>
      </c>
      <c r="DK48" s="416">
        <v>0</v>
      </c>
      <c r="DL48" s="416">
        <v>0</v>
      </c>
      <c r="DM48" s="416">
        <v>0</v>
      </c>
      <c r="DN48" s="416">
        <v>0</v>
      </c>
      <c r="DO48" s="416">
        <v>0</v>
      </c>
      <c r="DP48" s="416">
        <v>0</v>
      </c>
      <c r="DQ48" s="416">
        <v>0</v>
      </c>
      <c r="DR48" s="416">
        <v>0</v>
      </c>
      <c r="DS48" s="416">
        <v>0</v>
      </c>
      <c r="DT48" s="416">
        <v>0</v>
      </c>
      <c r="DU48" s="416">
        <v>0</v>
      </c>
      <c r="DV48" s="416">
        <v>0</v>
      </c>
      <c r="DW48" s="416">
        <v>0</v>
      </c>
      <c r="DX48" s="416">
        <v>0</v>
      </c>
      <c r="DY48" s="416">
        <v>0</v>
      </c>
      <c r="DZ48" s="416">
        <v>0</v>
      </c>
      <c r="EA48" s="416">
        <v>0</v>
      </c>
      <c r="EB48" s="416">
        <v>0</v>
      </c>
      <c r="EC48" s="416">
        <v>0</v>
      </c>
      <c r="ED48" s="416">
        <v>0</v>
      </c>
      <c r="EE48" s="416">
        <v>0</v>
      </c>
      <c r="EF48" s="416">
        <v>0</v>
      </c>
      <c r="EG48" s="416">
        <v>0</v>
      </c>
      <c r="EH48" s="416">
        <v>0</v>
      </c>
      <c r="EI48" s="416">
        <v>0</v>
      </c>
      <c r="EJ48" s="416">
        <v>0</v>
      </c>
      <c r="EK48" s="416">
        <v>0</v>
      </c>
      <c r="EL48" s="416">
        <v>0</v>
      </c>
      <c r="EM48" s="416">
        <v>0</v>
      </c>
      <c r="EN48" s="416">
        <v>0</v>
      </c>
      <c r="EO48" s="416">
        <v>0</v>
      </c>
      <c r="EP48" s="416">
        <v>0</v>
      </c>
      <c r="EQ48" s="416">
        <v>0</v>
      </c>
      <c r="ER48" s="416">
        <v>0</v>
      </c>
      <c r="ES48" s="416">
        <v>0</v>
      </c>
      <c r="ET48" s="416">
        <v>0</v>
      </c>
      <c r="EU48" s="416">
        <v>0</v>
      </c>
      <c r="EV48" s="416">
        <v>0</v>
      </c>
      <c r="EW48" s="416">
        <v>0</v>
      </c>
      <c r="EX48" s="416">
        <v>0</v>
      </c>
      <c r="EY48" s="416">
        <v>0</v>
      </c>
      <c r="EZ48" s="416">
        <v>0</v>
      </c>
      <c r="FA48" s="416">
        <v>0</v>
      </c>
      <c r="FB48" s="416">
        <v>0</v>
      </c>
      <c r="FC48" s="416">
        <v>0</v>
      </c>
      <c r="FD48" s="416">
        <v>0</v>
      </c>
      <c r="FE48" s="416">
        <v>0</v>
      </c>
      <c r="FF48" s="416">
        <v>0</v>
      </c>
      <c r="FG48" s="416">
        <v>0</v>
      </c>
      <c r="FH48" s="416">
        <v>0</v>
      </c>
      <c r="FI48" s="416">
        <v>0</v>
      </c>
      <c r="FJ48" s="416">
        <v>0</v>
      </c>
      <c r="FK48" s="416">
        <v>0</v>
      </c>
      <c r="FL48" s="416">
        <v>0</v>
      </c>
      <c r="FM48" s="416">
        <v>0</v>
      </c>
      <c r="FN48" s="416">
        <v>0</v>
      </c>
      <c r="FO48" s="416">
        <v>0</v>
      </c>
      <c r="FP48" s="416">
        <v>0</v>
      </c>
      <c r="FQ48" s="416">
        <v>0</v>
      </c>
      <c r="FR48" s="416">
        <v>0</v>
      </c>
      <c r="FS48" s="416">
        <v>0</v>
      </c>
      <c r="FT48" s="587">
        <f t="shared" si="84"/>
        <v>0</v>
      </c>
      <c r="FU48" s="587">
        <f t="shared" si="84"/>
        <v>0</v>
      </c>
      <c r="FV48" s="587">
        <f t="shared" si="84"/>
        <v>0</v>
      </c>
      <c r="FW48" s="587">
        <f t="shared" si="84"/>
        <v>0</v>
      </c>
      <c r="FX48" s="587">
        <f t="shared" si="84"/>
        <v>0</v>
      </c>
    </row>
    <row r="49" spans="2:183" ht="12.75" customHeight="1" outlineLevel="1" collapsed="1">
      <c r="B49" s="574" t="s">
        <v>311</v>
      </c>
      <c r="C49" s="575"/>
      <c r="D49" s="610"/>
      <c r="E49" s="416">
        <f>IF(E31&gt;=Detail!$F$34,Detail!$L$72*E126,Detail!$L72*'Cash Flow'!E31)</f>
        <v>4329.2379791716494</v>
      </c>
      <c r="F49" s="416">
        <f>IF(F31&gt;=Detail!$F$34,Detail!$L$72*F126,Detail!$L72*'Cash Flow'!F31)</f>
        <v>4329.3311242358768</v>
      </c>
      <c r="G49" s="416">
        <f>IF(G31&gt;=Detail!$F$34,Detail!$L$72*G126,Detail!$L72*'Cash Flow'!G31)</f>
        <v>4329.4210930160762</v>
      </c>
      <c r="H49" s="416">
        <f>IF(H31&gt;=Detail!$F$34,Detail!$L$72*H126,Detail!$L72*'Cash Flow'!H31)</f>
        <v>4329.5079961503552</v>
      </c>
      <c r="I49" s="416">
        <f>IF(I31&gt;=Detail!$F$34,Detail!$L$72*I126,Detail!$L72*'Cash Flow'!I31)</f>
        <v>4329.5919402690452</v>
      </c>
      <c r="J49" s="416">
        <f>IF(J31&gt;=Detail!$F$34,Detail!$L$72*J126,Detail!$L72*'Cash Flow'!J31)</f>
        <v>4329.6730281500186</v>
      </c>
      <c r="K49" s="416">
        <f>IF(K31&gt;=Detail!$F$34,Detail!$L$72*K126,Detail!$L72*'Cash Flow'!K31)</f>
        <v>4329.751358867331</v>
      </c>
      <c r="L49" s="416">
        <f>IF(L31&gt;=Detail!$F$34,Detail!$L$72*L126,Detail!$L72*'Cash Flow'!L31)</f>
        <v>4329.3001160423955</v>
      </c>
      <c r="M49" s="416">
        <f>IF(M31&gt;=Detail!$F$34,Detail!$L$72*M126,Detail!$L72*'Cash Flow'!M31)</f>
        <v>4328.8633242607966</v>
      </c>
      <c r="N49" s="416">
        <f>IF(N31&gt;=Detail!$F$34,Detail!$L$72*N126,Detail!$L72*'Cash Flow'!N31)</f>
        <v>4328.440575926661</v>
      </c>
      <c r="O49" s="416">
        <f>IF(O31&gt;=Detail!$F$34,Detail!$L$72*O126,Detail!$L72*'Cash Flow'!O31)</f>
        <v>4328.0314712237696</v>
      </c>
      <c r="P49" s="416">
        <f>IF(P31&gt;=Detail!$F$34,Detail!$L$72*P126,Detail!$L72*'Cash Flow'!P31)</f>
        <v>4327.6356182328564</v>
      </c>
      <c r="Q49" s="416">
        <f>IF(Q31&gt;=Detail!$F$34,Detail!$L$72*Q126,Detail!$L72*'Cash Flow'!Q31)</f>
        <v>4628.8289276745463</v>
      </c>
      <c r="R49" s="416">
        <f>IF(R31&gt;=Detail!$F$34,Detail!$L$72*R126,Detail!$L72*'Cash Flow'!R31)</f>
        <v>4640.4009999937325</v>
      </c>
      <c r="S49" s="416">
        <f>IF(S31&gt;=Detail!$F$34,Detail!$L$72*S126,Detail!$L72*'Cash Flow'!S31)</f>
        <v>4652.0020024937166</v>
      </c>
      <c r="T49" s="416">
        <f>IF(T31&gt;=Detail!$F$34,Detail!$L$72*T126,Detail!$L72*'Cash Flow'!T31)</f>
        <v>4663.6320074999512</v>
      </c>
      <c r="U49" s="416">
        <f>IF(U31&gt;=Detail!$F$34,Detail!$L$72*U126,Detail!$L72*'Cash Flow'!U31)</f>
        <v>4675.2910875187008</v>
      </c>
      <c r="V49" s="416">
        <f>IF(V31&gt;=Detail!$F$34,Detail!$L$72*V126,Detail!$L72*'Cash Flow'!V31)</f>
        <v>4686.9793152374968</v>
      </c>
      <c r="W49" s="416">
        <f>IF(W31&gt;=Detail!$F$34,Detail!$L$72*W126,Detail!$L72*'Cash Flow'!W31)</f>
        <v>4698.6967635255905</v>
      </c>
      <c r="X49" s="416">
        <f>IF(X31&gt;=Detail!$F$34,Detail!$L$72*X126,Detail!$L72*'Cash Flow'!X31)</f>
        <v>4710.4435054344049</v>
      </c>
      <c r="Y49" s="416">
        <f>IF(Y31&gt;=Detail!$F$34,Detail!$L$72*Y126,Detail!$L72*'Cash Flow'!Y31)</f>
        <v>4722.2196141979903</v>
      </c>
      <c r="Z49" s="416">
        <f>IF(Z31&gt;=Detail!$F$34,Detail!$L$72*Z126,Detail!$L72*'Cash Flow'!Z31)</f>
        <v>4734.0251632334839</v>
      </c>
      <c r="AA49" s="416">
        <f>IF(AA31&gt;=Detail!$F$34,Detail!$L$72*AA126,Detail!$L72*'Cash Flow'!AA31)</f>
        <v>4745.860226141569</v>
      </c>
      <c r="AB49" s="416">
        <f>IF(AB31&gt;=Detail!$F$34,Detail!$L$72*AB126,Detail!$L72*'Cash Flow'!AB31)</f>
        <v>4757.7248767069223</v>
      </c>
      <c r="AC49" s="416">
        <f>IF(AC31&gt;=Detail!$F$34,Detail!$L$72*AC126,Detail!$L72*'Cash Flow'!AC31)</f>
        <v>4769.6191888986896</v>
      </c>
      <c r="AD49" s="416">
        <f>IF(AD31&gt;=Detail!$F$34,Detail!$L$72*AD126,Detail!$L72*'Cash Flow'!AD31)</f>
        <v>4781.5432368709353</v>
      </c>
      <c r="AE49" s="416">
        <f>IF(AE31&gt;=Detail!$F$34,Detail!$L$72*AE126,Detail!$L72*'Cash Flow'!AE31)</f>
        <v>4793.4970949631133</v>
      </c>
      <c r="AF49" s="416">
        <f>IF(AF31&gt;=Detail!$F$34,Detail!$L$72*AF126,Detail!$L72*'Cash Flow'!AF31)</f>
        <v>4805.4808377005202</v>
      </c>
      <c r="AG49" s="416">
        <f>IF(AG31&gt;=Detail!$F$34,Detail!$L$72*AG126,Detail!$L72*'Cash Flow'!AG31)</f>
        <v>4817.4945397947704</v>
      </c>
      <c r="AH49" s="416">
        <f>IF(AH31&gt;=Detail!$F$34,Detail!$L$72*AH126,Detail!$L72*'Cash Flow'!AH31)</f>
        <v>4829.5382761442579</v>
      </c>
      <c r="AI49" s="416">
        <f>IF(AI31&gt;=Detail!$F$34,Detail!$L$72*AI126,Detail!$L72*'Cash Flow'!AI31)</f>
        <v>4841.6121218346179</v>
      </c>
      <c r="AJ49" s="416">
        <f>IF(AJ31&gt;=Detail!$F$34,Detail!$L$72*AJ126,Detail!$L72*'Cash Flow'!AJ31)</f>
        <v>4853.7161521392054</v>
      </c>
      <c r="AK49" s="416">
        <f>IF(AK31&gt;=Detail!$F$34,Detail!$L$72*AK126,Detail!$L72*'Cash Flow'!AK31)</f>
        <v>4865.8504425195533</v>
      </c>
      <c r="AL49" s="416">
        <f>IF(AL31&gt;=Detail!$F$34,Detail!$L$72*AL126,Detail!$L72*'Cash Flow'!AL31)</f>
        <v>4878.0150686258512</v>
      </c>
      <c r="AM49" s="416">
        <f>IF(AM31&gt;=Detail!$F$34,Detail!$L$72*AM126,Detail!$L72*'Cash Flow'!AM31)</f>
        <v>4890.2101062974161</v>
      </c>
      <c r="AN49" s="416">
        <f>IF(AN31&gt;=Detail!$F$34,Detail!$L$72*AN126,Detail!$L72*'Cash Flow'!AN31)</f>
        <v>4902.4356315631603</v>
      </c>
      <c r="AO49" s="416">
        <f>IF(AO31&gt;=Detail!$F$34,Detail!$L$72*AO126,Detail!$L72*'Cash Flow'!AO31)</f>
        <v>4914.6917206420667</v>
      </c>
      <c r="AP49" s="416">
        <f>IF(AP31&gt;=Detail!$F$34,Detail!$L$72*AP126,Detail!$L72*'Cash Flow'!AP31)</f>
        <v>4926.978449943671</v>
      </c>
      <c r="AQ49" s="416">
        <f>IF(AQ31&gt;=Detail!$F$34,Detail!$L$72*AQ126,Detail!$L72*'Cash Flow'!AQ31)</f>
        <v>4939.295896068531</v>
      </c>
      <c r="AR49" s="416">
        <f>IF(AR31&gt;=Detail!$F$34,Detail!$L$72*AR126,Detail!$L72*'Cash Flow'!AR31)</f>
        <v>4951.6441358087022</v>
      </c>
      <c r="AS49" s="416">
        <f>IF(AS31&gt;=Detail!$F$34,Detail!$L$72*AS126,Detail!$L72*'Cash Flow'!AS31)</f>
        <v>4964.0232461482237</v>
      </c>
      <c r="AT49" s="416">
        <f>IF(AT31&gt;=Detail!$F$34,Detail!$L$72*AT126,Detail!$L72*'Cash Flow'!AT31)</f>
        <v>4976.4333042635935</v>
      </c>
      <c r="AU49" s="416">
        <f>IF(AU31&gt;=Detail!$F$34,Detail!$L$72*AU126,Detail!$L72*'Cash Flow'!AU31)</f>
        <v>4988.8743875242535</v>
      </c>
      <c r="AV49" s="416">
        <f>IF(AV31&gt;=Detail!$F$34,Detail!$L$72*AV126,Detail!$L72*'Cash Flow'!AV31)</f>
        <v>5001.3465734930642</v>
      </c>
      <c r="AW49" s="416">
        <f>IF(AW31&gt;=Detail!$F$34,Detail!$L$72*AW126,Detail!$L72*'Cash Flow'!AW31)</f>
        <v>5013.8499399267948</v>
      </c>
      <c r="AX49" s="416">
        <f>IF(AX31&gt;=Detail!$F$34,Detail!$L$72*AX126,Detail!$L72*'Cash Flow'!AX31)</f>
        <v>5026.384564776612</v>
      </c>
      <c r="AY49" s="416">
        <f>IF(AY31&gt;=Detail!$F$34,Detail!$L$72*AY126,Detail!$L72*'Cash Flow'!AY31)</f>
        <v>5038.9505261885542</v>
      </c>
      <c r="AZ49" s="416">
        <f>IF(AZ31&gt;=Detail!$F$34,Detail!$L$72*AZ126,Detail!$L72*'Cash Flow'!AZ31)</f>
        <v>5051.5479025040249</v>
      </c>
      <c r="BA49" s="416">
        <f>IF(BA31&gt;=Detail!$F$34,Detail!$L$72*BA126,Detail!$L72*'Cash Flow'!BA31)</f>
        <v>5064.1767722602845</v>
      </c>
      <c r="BB49" s="416">
        <f>IF(BB31&gt;=Detail!$F$34,Detail!$L$72*BB126,Detail!$L72*'Cash Flow'!BB31)</f>
        <v>5076.837214190934</v>
      </c>
      <c r="BC49" s="416">
        <f>IF(BC31&gt;=Detail!$F$34,Detail!$L$72*BC126,Detail!$L72*'Cash Flow'!BC31)</f>
        <v>5089.5293072264121</v>
      </c>
      <c r="BD49" s="416">
        <f>IF(BD31&gt;=Detail!$F$34,Detail!$L$72*BD126,Detail!$L72*'Cash Flow'!BD31)</f>
        <v>5102.2531304944787</v>
      </c>
      <c r="BE49" s="416">
        <f>IF(BE31&gt;=Detail!$F$34,Detail!$L$72*BE126,Detail!$L72*'Cash Flow'!BE31)</f>
        <v>5115.0087633207131</v>
      </c>
      <c r="BF49" s="416">
        <f>IF(BF31&gt;=Detail!$F$34,Detail!$L$72*BF126,Detail!$L72*'Cash Flow'!BF31)</f>
        <v>5127.7962852290148</v>
      </c>
      <c r="BG49" s="416">
        <f>IF(BG31&gt;=Detail!$F$34,Detail!$L$72*BG126,Detail!$L72*'Cash Flow'!BG31)</f>
        <v>5140.6157759420885</v>
      </c>
      <c r="BH49" s="416">
        <f>IF(BH31&gt;=Detail!$F$34,Detail!$L$72*BH126,Detail!$L72*'Cash Flow'!BH31)</f>
        <v>5153.4673153819422</v>
      </c>
      <c r="BI49" s="416">
        <f>IF(BI31&gt;=Detail!$F$34,Detail!$L$72*BI126,Detail!$L72*'Cash Flow'!BI31)</f>
        <v>5166.3509836703979</v>
      </c>
      <c r="BJ49" s="416">
        <f>IF(BJ31&gt;=Detail!$F$34,Detail!$L$72*BJ126,Detail!$L72*'Cash Flow'!BJ31)</f>
        <v>5179.266861129573</v>
      </c>
      <c r="BK49" s="416">
        <f>IF(BK31&gt;=Detail!$F$34,Detail!$L$72*BK126,Detail!$L72*'Cash Flow'!BK31)</f>
        <v>5192.2150282823977</v>
      </c>
      <c r="BL49" s="416">
        <f>IF(BL31&gt;=Detail!$F$34,Detail!$L$72*BL126,Detail!$L72*'Cash Flow'!BL31)</f>
        <v>5205.1955658531033</v>
      </c>
      <c r="BM49" s="416">
        <f>IF(BM31&gt;=Detail!$F$34,Detail!$L$72*BM126,Detail!$L72*'Cash Flow'!BM31)</f>
        <v>5218.2085547677343</v>
      </c>
      <c r="BN49" s="416">
        <f>IF(BN31&gt;=Detail!$F$34,Detail!$L$72*BN126,Detail!$L72*'Cash Flow'!BN31)</f>
        <v>5231.2540761546543</v>
      </c>
      <c r="BO49" s="416">
        <f>IF(BO31&gt;=Detail!$F$34,Detail!$L$72*BO126,Detail!$L72*'Cash Flow'!BO31)</f>
        <v>5244.3322113450395</v>
      </c>
      <c r="BP49" s="416">
        <f>IF(BP31&gt;=Detail!$F$34,Detail!$L$72*BP126,Detail!$L72*'Cash Flow'!BP31)</f>
        <v>5257.4430418734028</v>
      </c>
      <c r="BQ49" s="416">
        <f>IF(BQ31&gt;=Detail!$F$34,Detail!$L$72*BQ126,Detail!$L72*'Cash Flow'!BQ31)</f>
        <v>5270.5866494780867</v>
      </c>
      <c r="BR49" s="416">
        <f>IF(BR31&gt;=Detail!$F$34,Detail!$L$72*BR126,Detail!$L72*'Cash Flow'!BR31)</f>
        <v>5283.7631161017816</v>
      </c>
      <c r="BS49" s="416">
        <f>IF(BS31&gt;=Detail!$F$34,Detail!$L$72*BS126,Detail!$L72*'Cash Flow'!BS31)</f>
        <v>5296.9725238920355</v>
      </c>
      <c r="BT49" s="416">
        <f>IF(BT31&gt;=Detail!$F$34,Detail!$L$72*BT126,Detail!$L72*'Cash Flow'!BT31)</f>
        <v>5310.2149552017663</v>
      </c>
      <c r="BU49" s="416">
        <f>IF(BU31&gt;=Detail!$F$34,Detail!$L$72*BU126,Detail!$L72*'Cash Flow'!BU31)</f>
        <v>5323.490492589769</v>
      </c>
      <c r="BV49" s="416">
        <f>IF(BV31&gt;=Detail!$F$34,Detail!$L$72*BV126,Detail!$L72*'Cash Flow'!BV31)</f>
        <v>5336.7992188212429</v>
      </c>
      <c r="BW49" s="416">
        <f>IF(BW31&gt;=Detail!$F$34,Detail!$L$72*BW126,Detail!$L72*'Cash Flow'!BW31)</f>
        <v>5350.1412168682964</v>
      </c>
      <c r="BX49" s="416">
        <f>IF(BX31&gt;=Detail!$F$34,Detail!$L$72*BX126,Detail!$L72*'Cash Flow'!BX31)</f>
        <v>5363.5165699104673</v>
      </c>
      <c r="BY49" s="416">
        <f>IF(BY31&gt;=Detail!$F$34,Detail!$L$72*BY126,Detail!$L72*'Cash Flow'!BY31)</f>
        <v>5376.925361335243</v>
      </c>
      <c r="BZ49" s="416">
        <f>IF(BZ31&gt;=Detail!$F$34,Detail!$L$72*BZ126,Detail!$L72*'Cash Flow'!BZ31)</f>
        <v>5390.3676747385807</v>
      </c>
      <c r="CA49" s="416">
        <f>IF(CA31&gt;=Detail!$F$34,Detail!$L$72*CA126,Detail!$L72*'Cash Flow'!CA31)</f>
        <v>5403.8435939254277</v>
      </c>
      <c r="CB49" s="416">
        <f>IF(CB31&gt;=Detail!$F$34,Detail!$L$72*CB126,Detail!$L72*'Cash Flow'!CB31)</f>
        <v>5417.3532029102407</v>
      </c>
      <c r="CC49" s="416">
        <f>IF(CC31&gt;=Detail!$F$34,Detail!$L$72*CC126,Detail!$L72*'Cash Flow'!CC31)</f>
        <v>5430.896585917515</v>
      </c>
      <c r="CD49" s="416">
        <f>IF(CD31&gt;=Detail!$F$34,Detail!$L$72*CD126,Detail!$L72*'Cash Flow'!CD31)</f>
        <v>5444.4738273823086</v>
      </c>
      <c r="CE49" s="416">
        <f>IF(CE31&gt;=Detail!$F$34,Detail!$L$72*CE126,Detail!$L72*'Cash Flow'!CE31)</f>
        <v>5458.0850119507641</v>
      </c>
      <c r="CF49" s="416">
        <f>IF(CF31&gt;=Detail!$F$34,Detail!$L$72*CF126,Detail!$L72*'Cash Flow'!CF31)</f>
        <v>5471.7302244806415</v>
      </c>
      <c r="CG49" s="416">
        <f>IF(CG31&gt;=Detail!$F$34,Detail!$L$72*CG126,Detail!$L72*'Cash Flow'!CG31)</f>
        <v>5485.4095500418425</v>
      </c>
      <c r="CH49" s="416">
        <f>IF(CH31&gt;=Detail!$F$34,Detail!$L$72*CH126,Detail!$L72*'Cash Flow'!CH31)</f>
        <v>5499.1230739169459</v>
      </c>
      <c r="CI49" s="416">
        <f>IF(CI31&gt;=Detail!$F$34,Detail!$L$72*CI126,Detail!$L72*'Cash Flow'!CI31)</f>
        <v>5512.8708816017388</v>
      </c>
      <c r="CJ49" s="416">
        <f>IF(CJ31&gt;=Detail!$F$34,Detail!$L$72*CJ126,Detail!$L72*'Cash Flow'!CJ31)</f>
        <v>5526.653058805744</v>
      </c>
      <c r="CK49" s="416">
        <f>IF(CK31&gt;=Detail!$F$34,Detail!$L$72*CK126,Detail!$L72*'Cash Flow'!CK31)</f>
        <v>5540.4696914527567</v>
      </c>
      <c r="CL49" s="416">
        <f>IF(CL31&gt;=Detail!$F$34,Detail!$L$72*CL126,Detail!$L72*'Cash Flow'!CL31)</f>
        <v>5554.3208656813886</v>
      </c>
      <c r="CM49" s="416">
        <f>IF(CM31&gt;=Detail!$F$34,Detail!$L$72*CM126,Detail!$L72*'Cash Flow'!CM31)</f>
        <v>5568.2066678455931</v>
      </c>
      <c r="CN49" s="416">
        <f>IF(CN31&gt;=Detail!$F$34,Detail!$L$72*CN126,Detail!$L72*'Cash Flow'!CN31)</f>
        <v>5582.127184515205</v>
      </c>
      <c r="CO49" s="416">
        <f>IF(CO31&gt;=Detail!$F$34,Detail!$L$72*CO126,Detail!$L72*'Cash Flow'!CO31)</f>
        <v>5596.0825024764945</v>
      </c>
      <c r="CP49" s="416">
        <f>IF(CP31&gt;=Detail!$F$34,Detail!$L$72*CP126,Detail!$L72*'Cash Flow'!CP31)</f>
        <v>5610.072708732685</v>
      </c>
      <c r="CQ49" s="416">
        <f>IF(CQ31&gt;=Detail!$F$34,Detail!$L$72*CQ126,Detail!$L72*'Cash Flow'!CQ31)</f>
        <v>5624.0978905045167</v>
      </c>
      <c r="CR49" s="416">
        <f>IF(CR31&gt;=Detail!$F$34,Detail!$L$72*CR126,Detail!$L72*'Cash Flow'!CR31)</f>
        <v>5638.1581352307776</v>
      </c>
      <c r="CS49" s="416">
        <f>IF(CS31&gt;=Detail!$F$34,Detail!$L$72*CS126,Detail!$L72*'Cash Flow'!CS31)</f>
        <v>5652.2535305688525</v>
      </c>
      <c r="CT49" s="416">
        <f>IF(CT31&gt;=Detail!$F$34,Detail!$L$72*CT126,Detail!$L72*'Cash Flow'!CT31)</f>
        <v>5666.3841643952755</v>
      </c>
      <c r="CU49" s="416">
        <f>IF(CU31&gt;=Detail!$F$34,Detail!$L$72*CU126,Detail!$L72*'Cash Flow'!CU31)</f>
        <v>5680.5501248062637</v>
      </c>
      <c r="CV49" s="416">
        <f>IF(CV31&gt;=Detail!$F$34,Detail!$L$72*CV126,Detail!$L72*'Cash Flow'!CV31)</f>
        <v>5694.7515001182792</v>
      </c>
      <c r="CW49" s="416">
        <f>IF(CW31&gt;=Detail!$F$34,Detail!$L$72*CW126,Detail!$L72*'Cash Flow'!CW31)</f>
        <v>5708.9883788685756</v>
      </c>
      <c r="CX49" s="416">
        <f>IF(CX31&gt;=Detail!$F$34,Detail!$L$72*CX126,Detail!$L72*'Cash Flow'!CX31)</f>
        <v>5723.260849815746</v>
      </c>
      <c r="CY49" s="416">
        <f>IF(CY31&gt;=Detail!$F$34,Detail!$L$72*CY126,Detail!$L72*'Cash Flow'!CY31)</f>
        <v>5737.5690019402846</v>
      </c>
      <c r="CZ49" s="416">
        <f>IF(CZ31&gt;=Detail!$F$34,Detail!$L$72*CZ126,Detail!$L72*'Cash Flow'!CZ31)</f>
        <v>5751.9129244451369</v>
      </c>
      <c r="DA49" s="416">
        <f>IF(DA31&gt;=Detail!$F$34,Detail!$L$72*DA126,Detail!$L72*'Cash Flow'!DA31)</f>
        <v>5766.2927067562478</v>
      </c>
      <c r="DB49" s="416">
        <f>IF(DB31&gt;=Detail!$F$34,Detail!$L$72*DB126,Detail!$L72*'Cash Flow'!DB31)</f>
        <v>5780.7084385231374</v>
      </c>
      <c r="DC49" s="416">
        <f>IF(DC31&gt;=Detail!$F$34,Detail!$L$72*DC126,Detail!$L72*'Cash Flow'!DC31)</f>
        <v>5795.1602096194465</v>
      </c>
      <c r="DD49" s="416">
        <f>IF(DD31&gt;=Detail!$F$34,Detail!$L$72*DD126,Detail!$L72*'Cash Flow'!DD31)</f>
        <v>5809.6481101434956</v>
      </c>
      <c r="DE49" s="416">
        <f>IF(DE31&gt;=Detail!$F$34,Detail!$L$72*DE126,Detail!$L72*'Cash Flow'!DE31)</f>
        <v>5824.1722304188525</v>
      </c>
      <c r="DF49" s="416">
        <f>IF(DF31&gt;=Detail!$F$34,Detail!$L$72*DF126,Detail!$L72*'Cash Flow'!DF31)</f>
        <v>5838.7326609948996</v>
      </c>
      <c r="DG49" s="416">
        <f>IF(DG31&gt;=Detail!$F$34,Detail!$L$72*DG126,Detail!$L72*'Cash Flow'!DG31)</f>
        <v>5853.3294926473882</v>
      </c>
      <c r="DH49" s="416">
        <f>IF(DH31&gt;=Detail!$F$34,Detail!$L$72*DH126,Detail!$L72*'Cash Flow'!DH31)</f>
        <v>5867.9628163790067</v>
      </c>
      <c r="DI49" s="416">
        <f>IF(DI31&gt;=Detail!$F$34,Detail!$L$72*DI126,Detail!$L72*'Cash Flow'!DI31)</f>
        <v>5882.6327234199516</v>
      </c>
      <c r="DJ49" s="416">
        <f>IF(DJ31&gt;=Detail!$F$34,Detail!$L$72*DJ126,Detail!$L72*'Cash Flow'!DJ31)</f>
        <v>5897.3393052285019</v>
      </c>
      <c r="DK49" s="416">
        <f>IF(DK31&gt;=Detail!$F$34,Detail!$L$72*DK126,Detail!$L72*'Cash Flow'!DK31)</f>
        <v>5912.0826534915732</v>
      </c>
      <c r="DL49" s="416">
        <f>IF(DL31&gt;=Detail!$F$34,Detail!$L$72*DL126,Detail!$L72*'Cash Flow'!DL31)</f>
        <v>5926.8628601253013</v>
      </c>
      <c r="DM49" s="416">
        <f>IF(DM31&gt;=Detail!$F$34,Detail!$L$72*DM126,Detail!$L72*'Cash Flow'!DM31)</f>
        <v>5941.6800172756139</v>
      </c>
      <c r="DN49" s="416">
        <f>IF(DN31&gt;=Detail!$F$34,Detail!$L$72*DN126,Detail!$L72*'Cash Flow'!DN31)</f>
        <v>5956.5342173188028</v>
      </c>
      <c r="DO49" s="416">
        <f>IF(DO31&gt;=Detail!$F$34,Detail!$L$72*DO126,Detail!$L72*'Cash Flow'!DO31)</f>
        <v>5971.4255528620997</v>
      </c>
      <c r="DP49" s="416">
        <f>IF(DP31&gt;=Detail!$F$34,Detail!$L$72*DP126,Detail!$L72*'Cash Flow'!DP31)</f>
        <v>5986.3541167442554</v>
      </c>
      <c r="DQ49" s="416">
        <f>IF(DQ31&gt;=Detail!$F$34,Detail!$L$72*DQ126,Detail!$L72*'Cash Flow'!DQ31)</f>
        <v>6001.3200020361137</v>
      </c>
      <c r="DR49" s="416">
        <f>IF(DR31&gt;=Detail!$F$34,Detail!$L$72*DR126,Detail!$L72*'Cash Flow'!DR31)</f>
        <v>6016.3233020412044</v>
      </c>
      <c r="DS49" s="416">
        <f>IF(DS31&gt;=Detail!$F$34,Detail!$L$72*DS126,Detail!$L72*'Cash Flow'!DS31)</f>
        <v>6031.3641102963093</v>
      </c>
      <c r="DT49" s="416">
        <f>IF(DT31&gt;=Detail!$F$34,Detail!$L$72*DT126,Detail!$L72*'Cash Flow'!DT31)</f>
        <v>6046.4425205720481</v>
      </c>
      <c r="DU49" s="416">
        <f>IF(DU31&gt;=Detail!$F$34,Detail!$L$72*DU126,Detail!$L72*'Cash Flow'!DU31)</f>
        <v>6061.5586268734796</v>
      </c>
      <c r="DV49" s="416">
        <f>IF(DV31&gt;=Detail!$F$34,Detail!$L$72*DV126,Detail!$L72*'Cash Flow'!DV31)</f>
        <v>6076.7125234406612</v>
      </c>
      <c r="DW49" s="416">
        <f>IF(DW31&gt;=Detail!$F$34,Detail!$L$72*DW126,Detail!$L72*'Cash Flow'!DW31)</f>
        <v>6091.9043047492632</v>
      </c>
      <c r="DX49" s="416">
        <f>IF(DX31&gt;=Detail!$F$34,Detail!$L$72*DX126,Detail!$L72*'Cash Flow'!DX31)</f>
        <v>6107.1340655111362</v>
      </c>
      <c r="DY49" s="416">
        <f>IF(DY31&gt;=Detail!$F$34,Detail!$L$72*DY126,Detail!$L72*'Cash Flow'!DY31)</f>
        <v>6122.4019006749131</v>
      </c>
      <c r="DZ49" s="416">
        <f>IF(DZ31&gt;=Detail!$F$34,Detail!$L$72*DZ126,Detail!$L72*'Cash Flow'!DZ31)</f>
        <v>6137.7079054265996</v>
      </c>
      <c r="EA49" s="416">
        <f>IF(EA31&gt;=Detail!$F$34,Detail!$L$72*EA126,Detail!$L72*'Cash Flow'!EA31)</f>
        <v>6153.0521751901651</v>
      </c>
      <c r="EB49" s="416">
        <f>IF(EB31&gt;=Detail!$F$34,Detail!$L$72*EB126,Detail!$L72*'Cash Flow'!EB31)</f>
        <v>6168.4348056281415</v>
      </c>
      <c r="EC49" s="416">
        <f>IF(EC31&gt;=Detail!$F$34,Detail!$L$72*EC126,Detail!$L72*'Cash Flow'!EC31)</f>
        <v>6183.855892642212</v>
      </c>
      <c r="ED49" s="416">
        <f>IF(ED31&gt;=Detail!$F$34,Detail!$L$72*ED126,Detail!$L72*'Cash Flow'!ED31)</f>
        <v>6199.3155323738183</v>
      </c>
      <c r="EE49" s="416">
        <f>IF(EE31&gt;=Detail!$F$34,Detail!$L$72*EE126,Detail!$L72*'Cash Flow'!EE31)</f>
        <v>6214.8138212047515</v>
      </c>
      <c r="EF49" s="416">
        <f>IF(EF31&gt;=Detail!$F$34,Detail!$L$72*EF126,Detail!$L72*'Cash Flow'!EF31)</f>
        <v>6230.3508557577643</v>
      </c>
      <c r="EG49" s="416">
        <f>IF(EG31&gt;=Detail!$F$34,Detail!$L$72*EG126,Detail!$L72*'Cash Flow'!EG31)</f>
        <v>6245.9267328971573</v>
      </c>
      <c r="EH49" s="416">
        <f>IF(EH31&gt;=Detail!$F$34,Detail!$L$72*EH126,Detail!$L72*'Cash Flow'!EH31)</f>
        <v>6261.541549729398</v>
      </c>
      <c r="EI49" s="416">
        <f>IF(EI31&gt;=Detail!$F$34,Detail!$L$72*EI126,Detail!$L72*'Cash Flow'!EI31)</f>
        <v>6277.1954036037232</v>
      </c>
      <c r="EJ49" s="416">
        <f>IF(EJ31&gt;=Detail!$F$34,Detail!$L$72*EJ126,Detail!$L72*'Cash Flow'!EJ31)</f>
        <v>6292.8883921127326</v>
      </c>
      <c r="EK49" s="416">
        <f>IF(EK31&gt;=Detail!$F$34,Detail!$L$72*EK126,Detail!$L72*'Cash Flow'!EK31)</f>
        <v>6308.6206130930141</v>
      </c>
      <c r="EL49" s="416">
        <f>IF(EL31&gt;=Detail!$F$34,Detail!$L$72*EL126,Detail!$L72*'Cash Flow'!EL31)</f>
        <v>6324.3921646257459</v>
      </c>
      <c r="EM49" s="416">
        <f>IF(EM31&gt;=Detail!$F$34,Detail!$L$72*EM126,Detail!$L72*'Cash Flow'!EM31)</f>
        <v>6340.2031450373097</v>
      </c>
      <c r="EN49" s="416">
        <f>IF(EN31&gt;=Detail!$F$34,Detail!$L$72*EN126,Detail!$L72*'Cash Flow'!EN31)</f>
        <v>6356.0536528999028</v>
      </c>
      <c r="EO49" s="416">
        <f>IF(EO31&gt;=Detail!$F$34,Detail!$L$72*EO126,Detail!$L72*'Cash Flow'!EO31)</f>
        <v>6371.9437870321517</v>
      </c>
      <c r="EP49" s="416">
        <f>IF(EP31&gt;=Detail!$F$34,Detail!$L$72*EP126,Detail!$L72*'Cash Flow'!EP31)</f>
        <v>6387.8736464997319</v>
      </c>
      <c r="EQ49" s="416">
        <f>IF(EQ31&gt;=Detail!$F$34,Detail!$L$72*EQ126,Detail!$L72*'Cash Flow'!EQ31)</f>
        <v>6403.8433306159823</v>
      </c>
      <c r="ER49" s="416">
        <f>IF(ER31&gt;=Detail!$F$34,Detail!$L$72*ER126,Detail!$L72*'Cash Flow'!ER31)</f>
        <v>6419.8529389425212</v>
      </c>
      <c r="ES49" s="416">
        <f>IF(ES31&gt;=Detail!$F$34,Detail!$L$72*ES126,Detail!$L72*'Cash Flow'!ES31)</f>
        <v>6435.9025712898774</v>
      </c>
      <c r="ET49" s="416">
        <f>IF(ET31&gt;=Detail!$F$34,Detail!$L$72*ET126,Detail!$L72*'Cash Flow'!ET31)</f>
        <v>6451.9923277181006</v>
      </c>
      <c r="EU49" s="416">
        <f>IF(EU31&gt;=Detail!$F$34,Detail!$L$72*EU126,Detail!$L72*'Cash Flow'!EU31)</f>
        <v>6468.1223085373967</v>
      </c>
      <c r="EV49" s="416">
        <f>IF(EV31&gt;=Detail!$F$34,Detail!$L$72*EV126,Detail!$L72*'Cash Flow'!EV31)</f>
        <v>6484.2926143087407</v>
      </c>
      <c r="EW49" s="416">
        <f>IF(EW31&gt;=Detail!$F$34,Detail!$L$72*EW126,Detail!$L72*'Cash Flow'!EW31)</f>
        <v>6500.5033458445105</v>
      </c>
      <c r="EX49" s="416">
        <f>IF(EX31&gt;=Detail!$F$34,Detail!$L$72*EX126,Detail!$L72*'Cash Flow'!EX31)</f>
        <v>6516.7546042091208</v>
      </c>
      <c r="EY49" s="416">
        <f>IF(EY31&gt;=Detail!$F$34,Detail!$L$72*EY126,Detail!$L72*'Cash Flow'!EY31)</f>
        <v>6533.0464907196447</v>
      </c>
      <c r="EZ49" s="416">
        <f>IF(EZ31&gt;=Detail!$F$34,Detail!$L$72*EZ126,Detail!$L72*'Cash Flow'!EZ31)</f>
        <v>6549.3791069464432</v>
      </c>
      <c r="FA49" s="416">
        <f>IF(FA31&gt;=Detail!$F$34,Detail!$L$72*FA126,Detail!$L72*'Cash Flow'!FA31)</f>
        <v>6565.7525547138102</v>
      </c>
      <c r="FB49" s="416">
        <f>IF(FB31&gt;=Detail!$F$34,Detail!$L$72*FB126,Detail!$L72*'Cash Flow'!FB31)</f>
        <v>6582.1669361005934</v>
      </c>
      <c r="FC49" s="416">
        <f>IF(FC31&gt;=Detail!$F$34,Detail!$L$72*FC126,Detail!$L72*'Cash Flow'!FC31)</f>
        <v>6598.6223534408455</v>
      </c>
      <c r="FD49" s="416">
        <f>IF(FD31&gt;=Detail!$F$34,Detail!$L$72*FD126,Detail!$L72*'Cash Flow'!FD31)</f>
        <v>6615.1189093244466</v>
      </c>
      <c r="FE49" s="416">
        <f>IF(FE31&gt;=Detail!$F$34,Detail!$L$72*FE126,Detail!$L72*'Cash Flow'!FE31)</f>
        <v>6631.6567065977561</v>
      </c>
      <c r="FF49" s="416">
        <f>IF(FF31&gt;=Detail!$F$34,Detail!$L$72*FF126,Detail!$L72*'Cash Flow'!FF31)</f>
        <v>6648.2358483642511</v>
      </c>
      <c r="FG49" s="416">
        <f>IF(FG31&gt;=Detail!$F$34,Detail!$L$72*FG126,Detail!$L72*'Cash Flow'!FG31)</f>
        <v>6664.8564379851614</v>
      </c>
      <c r="FH49" s="416">
        <f>IF(FH31&gt;=Detail!$F$34,Detail!$L$72*FH126,Detail!$L72*'Cash Flow'!FH31)</f>
        <v>6681.5185790801252</v>
      </c>
      <c r="FI49" s="416">
        <f>IF(FI31&gt;=Detail!$F$34,Detail!$L$72*FI126,Detail!$L72*'Cash Flow'!FI31)</f>
        <v>6698.2223755278246</v>
      </c>
      <c r="FJ49" s="416">
        <f>IF(FJ31&gt;=Detail!$F$34,Detail!$L$72*FJ126,Detail!$L72*'Cash Flow'!FJ31)</f>
        <v>6714.9679314666437</v>
      </c>
      <c r="FK49" s="416">
        <f>IF(FK31&gt;=Detail!$F$34,Detail!$L$72*FK126,Detail!$L72*'Cash Flow'!FK31)</f>
        <v>6731.75535129531</v>
      </c>
      <c r="FL49" s="416">
        <f>IF(FL31&gt;=Detail!$F$34,Detail!$L$72*FL126,Detail!$L72*'Cash Flow'!FL31)</f>
        <v>6748.5847396735489</v>
      </c>
      <c r="FM49" s="416">
        <f>IF(FM31&gt;=Detail!$F$34,Detail!$L$72*FM126,Detail!$L72*'Cash Flow'!FM31)</f>
        <v>6765.4562015227311</v>
      </c>
      <c r="FN49" s="416">
        <f>IF(FN31&gt;=Detail!$F$34,Detail!$L$72*FN126,Detail!$L72*'Cash Flow'!FN31)</f>
        <v>6782.3698420265373</v>
      </c>
      <c r="FO49" s="416">
        <f>IF(FO31&gt;=Detail!$F$34,Detail!$L$72*FO126,Detail!$L72*'Cash Flow'!FO31)</f>
        <v>6799.3257666316049</v>
      </c>
      <c r="FP49" s="416">
        <f>IF(FP31&gt;=Detail!$F$34,Detail!$L$72*FP126,Detail!$L72*'Cash Flow'!FP31)</f>
        <v>6816.3240810481839</v>
      </c>
      <c r="FQ49" s="416">
        <f>IF(FQ31&gt;=Detail!$F$34,Detail!$L$72*FQ126,Detail!$L72*'Cash Flow'!FQ31)</f>
        <v>6833.3648912508024</v>
      </c>
      <c r="FR49" s="416">
        <f>IF(FR31&gt;=Detail!$F$34,Detail!$L$72*FR126,Detail!$L72*'Cash Flow'!FR31)</f>
        <v>6850.4483034789291</v>
      </c>
      <c r="FS49" s="416">
        <f>IF(FS31&gt;=Detail!$F$34,Detail!$L$72*FS126,Detail!$L72*'Cash Flow'!FS31)</f>
        <v>6867.5744242376277</v>
      </c>
      <c r="FT49" s="587">
        <f t="shared" si="84"/>
        <v>30306.51451986035</v>
      </c>
      <c r="FU49" s="587">
        <f t="shared" si="84"/>
        <v>54288.102209630219</v>
      </c>
      <c r="FV49" s="587">
        <f t="shared" si="84"/>
        <v>57309.058681921269</v>
      </c>
      <c r="FW49" s="587">
        <f t="shared" si="84"/>
        <v>59052.168541544219</v>
      </c>
      <c r="FX49" s="587">
        <f t="shared" si="84"/>
        <v>60848.296755552976</v>
      </c>
    </row>
    <row r="50" spans="2:183" ht="12.75" customHeight="1" outlineLevel="1">
      <c r="B50" s="574" t="s">
        <v>194</v>
      </c>
      <c r="C50" s="575"/>
      <c r="D50" s="610"/>
      <c r="E50" s="416">
        <f>Detail!$L$71*E126</f>
        <v>2375.9999999999995</v>
      </c>
      <c r="F50" s="416">
        <f>Detail!$L$71*F126</f>
        <v>2375.9999999999995</v>
      </c>
      <c r="G50" s="416">
        <f>Detail!$L$71*G126</f>
        <v>2375.9999999999995</v>
      </c>
      <c r="H50" s="416">
        <f>Detail!$L$71*H126</f>
        <v>2375.9999999999995</v>
      </c>
      <c r="I50" s="416">
        <f>Detail!$L$71*I126</f>
        <v>2375.9999999999995</v>
      </c>
      <c r="J50" s="416">
        <f>Detail!$L$71*J126</f>
        <v>2375.9999999999995</v>
      </c>
      <c r="K50" s="416">
        <f>Detail!$L$71*K126</f>
        <v>2375.9999999999995</v>
      </c>
      <c r="L50" s="416">
        <f>Detail!$L$71*L126</f>
        <v>2381.9399999999996</v>
      </c>
      <c r="M50" s="416">
        <f>Detail!$L$71*M126</f>
        <v>2387.8948499999992</v>
      </c>
      <c r="N50" s="416">
        <f>Detail!$L$71*N126</f>
        <v>2393.8645871249992</v>
      </c>
      <c r="O50" s="416">
        <f>Detail!$L$71*O126</f>
        <v>2399.8492485928114</v>
      </c>
      <c r="P50" s="416">
        <f>Detail!$L$71*P126</f>
        <v>2405.8488717142936</v>
      </c>
      <c r="Q50" s="416">
        <f>Detail!$L$71*Q126</f>
        <v>2411.8634938935788</v>
      </c>
      <c r="R50" s="416">
        <f>Detail!$L$71*R126</f>
        <v>2417.8931526283127</v>
      </c>
      <c r="S50" s="416">
        <f>Detail!$L$71*S126</f>
        <v>2423.9378855098835</v>
      </c>
      <c r="T50" s="416">
        <f>Detail!$L$71*T126</f>
        <v>2429.9977302236584</v>
      </c>
      <c r="U50" s="416">
        <f>Detail!$L$71*U126</f>
        <v>2436.0727245492171</v>
      </c>
      <c r="V50" s="416">
        <f>Detail!$L$71*V126</f>
        <v>2442.1629063605897</v>
      </c>
      <c r="W50" s="416">
        <f>Detail!$L$71*W126</f>
        <v>2448.2683136264914</v>
      </c>
      <c r="X50" s="416">
        <f>Detail!$L$71*X126</f>
        <v>2454.3889844105579</v>
      </c>
      <c r="Y50" s="416">
        <f>Detail!$L$71*Y126</f>
        <v>2460.5249568715835</v>
      </c>
      <c r="Z50" s="416">
        <f>Detail!$L$71*Z126</f>
        <v>2466.6762692637626</v>
      </c>
      <c r="AA50" s="416">
        <f>Detail!$L$71*AA126</f>
        <v>2472.8429599369219</v>
      </c>
      <c r="AB50" s="416">
        <f>Detail!$L$71*AB126</f>
        <v>2479.0250673367641</v>
      </c>
      <c r="AC50" s="416">
        <f>Detail!$L$71*AC126</f>
        <v>2485.2226300051061</v>
      </c>
      <c r="AD50" s="416">
        <f>Detail!$L$71*AD126</f>
        <v>2491.4356865801187</v>
      </c>
      <c r="AE50" s="416">
        <f>Detail!$L$71*AE126</f>
        <v>2497.6642757965692</v>
      </c>
      <c r="AF50" s="416">
        <f>Detail!$L$71*AF126</f>
        <v>2503.9084364860601</v>
      </c>
      <c r="AG50" s="416">
        <f>Detail!$L$71*AG126</f>
        <v>2510.1682075772746</v>
      </c>
      <c r="AH50" s="416">
        <f>Detail!$L$71*AH126</f>
        <v>2516.4436280962182</v>
      </c>
      <c r="AI50" s="416">
        <f>Detail!$L$71*AI126</f>
        <v>2522.7347371664587</v>
      </c>
      <c r="AJ50" s="416">
        <f>Detail!$L$71*AJ126</f>
        <v>2529.0415740093749</v>
      </c>
      <c r="AK50" s="416">
        <f>Detail!$L$71*AK126</f>
        <v>2535.3641779443983</v>
      </c>
      <c r="AL50" s="416">
        <f>Detail!$L$71*AL126</f>
        <v>2541.7025883892588</v>
      </c>
      <c r="AM50" s="416">
        <f>Detail!$L$71*AM126</f>
        <v>2548.0568448602321</v>
      </c>
      <c r="AN50" s="416">
        <f>Detail!$L$71*AN126</f>
        <v>2554.426986972383</v>
      </c>
      <c r="AO50" s="416">
        <f>Detail!$L$71*AO126</f>
        <v>2560.8130544398132</v>
      </c>
      <c r="AP50" s="416">
        <f>Detail!$L$71*AP126</f>
        <v>2567.2150870759124</v>
      </c>
      <c r="AQ50" s="416">
        <f>Detail!$L$71*AQ126</f>
        <v>2573.6331247936027</v>
      </c>
      <c r="AR50" s="416">
        <f>Detail!$L$71*AR126</f>
        <v>2580.0672076055866</v>
      </c>
      <c r="AS50" s="416">
        <f>Detail!$L$71*AS126</f>
        <v>2586.5173756245999</v>
      </c>
      <c r="AT50" s="416">
        <f>Detail!$L$71*AT126</f>
        <v>2592.9836690636616</v>
      </c>
      <c r="AU50" s="416">
        <f>Detail!$L$71*AU126</f>
        <v>2599.4661282363209</v>
      </c>
      <c r="AV50" s="416">
        <f>Detail!$L$71*AV126</f>
        <v>2605.9647935569119</v>
      </c>
      <c r="AW50" s="416">
        <f>Detail!$L$71*AW126</f>
        <v>2612.4797055408035</v>
      </c>
      <c r="AX50" s="416">
        <f>Detail!$L$71*AX126</f>
        <v>2619.0109048046552</v>
      </c>
      <c r="AY50" s="416">
        <f>Detail!$L$71*AY126</f>
        <v>2625.5584320666671</v>
      </c>
      <c r="AZ50" s="416">
        <f>Detail!$L$71*AZ126</f>
        <v>2632.1223281468333</v>
      </c>
      <c r="BA50" s="416">
        <f>Detail!$L$71*BA126</f>
        <v>2638.7026339672002</v>
      </c>
      <c r="BB50" s="416">
        <f>Detail!$L$71*BB126</f>
        <v>2645.299390552118</v>
      </c>
      <c r="BC50" s="416">
        <f>Detail!$L$71*BC126</f>
        <v>2651.9126390284982</v>
      </c>
      <c r="BD50" s="416">
        <f>Detail!$L$71*BD126</f>
        <v>2658.54242062607</v>
      </c>
      <c r="BE50" s="416">
        <f>Detail!$L$71*BE126</f>
        <v>2665.188776677634</v>
      </c>
      <c r="BF50" s="416">
        <f>Detail!$L$71*BF126</f>
        <v>2671.8517486193282</v>
      </c>
      <c r="BG50" s="416">
        <f>Detail!$L$71*BG126</f>
        <v>2678.531377990877</v>
      </c>
      <c r="BH50" s="416">
        <f>Detail!$L$71*BH126</f>
        <v>2685.2277064358536</v>
      </c>
      <c r="BI50" s="416">
        <f>Detail!$L$71*BI126</f>
        <v>2691.9407757019435</v>
      </c>
      <c r="BJ50" s="416">
        <f>Detail!$L$71*BJ126</f>
        <v>2698.6706276411978</v>
      </c>
      <c r="BK50" s="416">
        <f>Detail!$L$71*BK126</f>
        <v>2705.4173042103012</v>
      </c>
      <c r="BL50" s="416">
        <f>Detail!$L$71*BL126</f>
        <v>2712.1808474708268</v>
      </c>
      <c r="BM50" s="416">
        <f>Detail!$L$71*BM126</f>
        <v>2718.9612995895031</v>
      </c>
      <c r="BN50" s="416">
        <f>Detail!$L$71*BN126</f>
        <v>2725.7587028384769</v>
      </c>
      <c r="BO50" s="416">
        <f>Detail!$L$71*BO126</f>
        <v>2732.5730995955728</v>
      </c>
      <c r="BP50" s="416">
        <f>Detail!$L$71*BP126</f>
        <v>2739.4045323445621</v>
      </c>
      <c r="BQ50" s="416">
        <f>Detail!$L$71*BQ126</f>
        <v>2746.2530436754237</v>
      </c>
      <c r="BR50" s="416">
        <f>Detail!$L$71*BR126</f>
        <v>2753.1186762846119</v>
      </c>
      <c r="BS50" s="416">
        <f>Detail!$L$71*BS126</f>
        <v>2760.0014729753234</v>
      </c>
      <c r="BT50" s="416">
        <f>Detail!$L$71*BT126</f>
        <v>2766.901476657762</v>
      </c>
      <c r="BU50" s="416">
        <f>Detail!$L$71*BU126</f>
        <v>2773.8187303494055</v>
      </c>
      <c r="BV50" s="416">
        <f>Detail!$L$71*BV126</f>
        <v>2780.7532771752785</v>
      </c>
      <c r="BW50" s="416">
        <f>Detail!$L$71*BW126</f>
        <v>2787.7051603682171</v>
      </c>
      <c r="BX50" s="416">
        <f>Detail!$L$71*BX126</f>
        <v>2794.6744232691381</v>
      </c>
      <c r="BY50" s="416">
        <f>Detail!$L$71*BY126</f>
        <v>2801.6611093273104</v>
      </c>
      <c r="BZ50" s="416">
        <f>Detail!$L$71*BZ126</f>
        <v>2808.6652621006283</v>
      </c>
      <c r="CA50" s="416">
        <f>Detail!$L$71*CA126</f>
        <v>2815.6869252558799</v>
      </c>
      <c r="CB50" s="416">
        <f>Detail!$L$71*CB126</f>
        <v>2822.7261425690199</v>
      </c>
      <c r="CC50" s="416">
        <f>Detail!$L$71*CC126</f>
        <v>2829.7829579254417</v>
      </c>
      <c r="CD50" s="416">
        <f>Detail!$L$71*CD126</f>
        <v>2836.8574153202549</v>
      </c>
      <c r="CE50" s="416">
        <f>Detail!$L$71*CE126</f>
        <v>2843.9495588585555</v>
      </c>
      <c r="CF50" s="416">
        <f>Detail!$L$71*CF126</f>
        <v>2851.0594327557019</v>
      </c>
      <c r="CG50" s="416">
        <f>Detail!$L$71*CG126</f>
        <v>2858.1870813375913</v>
      </c>
      <c r="CH50" s="416">
        <f>Detail!$L$71*CH126</f>
        <v>2865.3325490409347</v>
      </c>
      <c r="CI50" s="416">
        <f>Detail!$L$71*CI126</f>
        <v>2872.4958804135372</v>
      </c>
      <c r="CJ50" s="416">
        <f>Detail!$L$71*CJ126</f>
        <v>2879.6771201145716</v>
      </c>
      <c r="CK50" s="416">
        <f>Detail!$L$71*CK126</f>
        <v>2886.876312914857</v>
      </c>
      <c r="CL50" s="416">
        <f>Detail!$L$71*CL126</f>
        <v>2894.0935036971437</v>
      </c>
      <c r="CM50" s="416">
        <f>Detail!$L$71*CM126</f>
        <v>2901.3287374563874</v>
      </c>
      <c r="CN50" s="416">
        <f>Detail!$L$71*CN126</f>
        <v>2908.5820593000276</v>
      </c>
      <c r="CO50" s="416">
        <f>Detail!$L$71*CO126</f>
        <v>2915.8535144482785</v>
      </c>
      <c r="CP50" s="416">
        <f>Detail!$L$71*CP126</f>
        <v>2923.1431482343987</v>
      </c>
      <c r="CQ50" s="416">
        <f>Detail!$L$71*CQ126</f>
        <v>2930.4510061049846</v>
      </c>
      <c r="CR50" s="416">
        <f>Detail!$L$71*CR126</f>
        <v>2937.7771336202468</v>
      </c>
      <c r="CS50" s="416">
        <f>Detail!$L$71*CS126</f>
        <v>2945.1215764542962</v>
      </c>
      <c r="CT50" s="416">
        <f>Detail!$L$71*CT126</f>
        <v>2952.4843803954327</v>
      </c>
      <c r="CU50" s="416">
        <f>Detail!$L$71*CU126</f>
        <v>2959.8655913464208</v>
      </c>
      <c r="CV50" s="416">
        <f>Detail!$L$71*CV126</f>
        <v>2967.2652553247872</v>
      </c>
      <c r="CW50" s="416">
        <f>Detail!$L$71*CW126</f>
        <v>2974.6834184630993</v>
      </c>
      <c r="CX50" s="416">
        <f>Detail!$L$71*CX126</f>
        <v>2982.1201270092565</v>
      </c>
      <c r="CY50" s="416">
        <f>Detail!$L$71*CY126</f>
        <v>2989.5754273267794</v>
      </c>
      <c r="CZ50" s="416">
        <f>Detail!$L$71*CZ126</f>
        <v>2997.0493658950973</v>
      </c>
      <c r="DA50" s="416">
        <f>Detail!$L$71*DA126</f>
        <v>3004.5419893098338</v>
      </c>
      <c r="DB50" s="416">
        <f>Detail!$L$71*DB126</f>
        <v>3012.0533442831079</v>
      </c>
      <c r="DC50" s="416">
        <f>Detail!$L$71*DC126</f>
        <v>3019.5834776438164</v>
      </c>
      <c r="DD50" s="416">
        <f>Detail!$L$71*DD126</f>
        <v>3027.1324363379258</v>
      </c>
      <c r="DE50" s="416">
        <f>Detail!$L$71*DE126</f>
        <v>3034.7002674287701</v>
      </c>
      <c r="DF50" s="416">
        <f>Detail!$L$71*DF126</f>
        <v>3042.2870180973418</v>
      </c>
      <c r="DG50" s="416">
        <f>Detail!$L$71*DG126</f>
        <v>3049.8927356425856</v>
      </c>
      <c r="DH50" s="416">
        <f>Detail!$L$71*DH126</f>
        <v>3057.5174674816922</v>
      </c>
      <c r="DI50" s="416">
        <f>Detail!$L$71*DI126</f>
        <v>3065.1612611503951</v>
      </c>
      <c r="DJ50" s="416">
        <f>Detail!$L$71*DJ126</f>
        <v>3072.8241643032716</v>
      </c>
      <c r="DK50" s="416">
        <f>Detail!$L$71*DK126</f>
        <v>3080.5062247140299</v>
      </c>
      <c r="DL50" s="416">
        <f>Detail!$L$71*DL126</f>
        <v>3088.2074902758145</v>
      </c>
      <c r="DM50" s="416">
        <f>Detail!$L$71*DM126</f>
        <v>3095.9280090015036</v>
      </c>
      <c r="DN50" s="416">
        <f>Detail!$L$71*DN126</f>
        <v>3103.6678290240075</v>
      </c>
      <c r="DO50" s="416">
        <f>Detail!$L$71*DO126</f>
        <v>3111.426998596567</v>
      </c>
      <c r="DP50" s="416">
        <f>Detail!$L$71*DP126</f>
        <v>3119.2055660930591</v>
      </c>
      <c r="DQ50" s="416">
        <f>Detail!$L$71*DQ126</f>
        <v>3127.0035800082906</v>
      </c>
      <c r="DR50" s="416">
        <f>Detail!$L$71*DR126</f>
        <v>3134.8210889583111</v>
      </c>
      <c r="DS50" s="416">
        <f>Detail!$L$71*DS126</f>
        <v>3142.658141680708</v>
      </c>
      <c r="DT50" s="416">
        <f>Detail!$L$71*DT126</f>
        <v>3150.5147870349087</v>
      </c>
      <c r="DU50" s="416">
        <f>Detail!$L$71*DU126</f>
        <v>3158.3910740024967</v>
      </c>
      <c r="DV50" s="416">
        <f>Detail!$L$71*DV126</f>
        <v>3166.2870516875018</v>
      </c>
      <c r="DW50" s="416">
        <f>Detail!$L$71*DW126</f>
        <v>3174.2027693167211</v>
      </c>
      <c r="DX50" s="416">
        <f>Detail!$L$71*DX126</f>
        <v>3182.1382762400126</v>
      </c>
      <c r="DY50" s="416">
        <f>Detail!$L$71*DY126</f>
        <v>3190.0936219306118</v>
      </c>
      <c r="DZ50" s="416">
        <f>Detail!$L$71*DZ126</f>
        <v>3198.0688559854384</v>
      </c>
      <c r="EA50" s="416">
        <f>Detail!$L$71*EA126</f>
        <v>3206.0640281254014</v>
      </c>
      <c r="EB50" s="416">
        <f>Detail!$L$71*EB126</f>
        <v>3214.0791881957152</v>
      </c>
      <c r="EC50" s="416">
        <f>Detail!$L$71*EC126</f>
        <v>3222.1143861662044</v>
      </c>
      <c r="ED50" s="416">
        <f>Detail!$L$71*ED126</f>
        <v>3230.1696721316202</v>
      </c>
      <c r="EE50" s="416">
        <f>Detail!$L$71*EE126</f>
        <v>3238.2450963119491</v>
      </c>
      <c r="EF50" s="416">
        <f>Detail!$L$71*EF126</f>
        <v>3246.3407090527294</v>
      </c>
      <c r="EG50" s="416">
        <f>Detail!$L$71*EG126</f>
        <v>3254.4565608253606</v>
      </c>
      <c r="EH50" s="416">
        <f>Detail!$L$71*EH126</f>
        <v>3262.5927022274227</v>
      </c>
      <c r="EI50" s="416">
        <f>Detail!$L$71*EI126</f>
        <v>3270.7491839829922</v>
      </c>
      <c r="EJ50" s="416">
        <f>Detail!$L$71*EJ126</f>
        <v>3278.9260569429493</v>
      </c>
      <c r="EK50" s="416">
        <f>Detail!$L$71*EK126</f>
        <v>3287.1233720853065</v>
      </c>
      <c r="EL50" s="416">
        <f>Detail!$L$71*EL126</f>
        <v>3295.3411805155192</v>
      </c>
      <c r="EM50" s="416">
        <f>Detail!$L$71*EM126</f>
        <v>3303.5795334668082</v>
      </c>
      <c r="EN50" s="416">
        <f>Detail!$L$71*EN126</f>
        <v>3311.8384823004753</v>
      </c>
      <c r="EO50" s="416">
        <f>Detail!$L$71*EO126</f>
        <v>3320.1180785062256</v>
      </c>
      <c r="EP50" s="416">
        <f>Detail!$L$71*EP126</f>
        <v>3328.4183737024914</v>
      </c>
      <c r="EQ50" s="416">
        <f>Detail!$L$71*EQ126</f>
        <v>3336.7394196367477</v>
      </c>
      <c r="ER50" s="416">
        <f>Detail!$L$71*ER126</f>
        <v>3345.0812681858397</v>
      </c>
      <c r="ES50" s="416">
        <f>Detail!$L$71*ES126</f>
        <v>3353.4439713563038</v>
      </c>
      <c r="ET50" s="416">
        <f>Detail!$L$71*ET126</f>
        <v>3361.8275812846937</v>
      </c>
      <c r="EU50" s="416">
        <f>Detail!$L$71*EU126</f>
        <v>3370.2321502379064</v>
      </c>
      <c r="EV50" s="416">
        <f>Detail!$L$71*EV126</f>
        <v>3378.6577306135009</v>
      </c>
      <c r="EW50" s="416">
        <f>Detail!$L$71*EW126</f>
        <v>3387.1043749400337</v>
      </c>
      <c r="EX50" s="416">
        <f>Detail!$L$71*EX126</f>
        <v>3395.5721358773835</v>
      </c>
      <c r="EY50" s="416">
        <f>Detail!$L$71*EY126</f>
        <v>3404.0610662170775</v>
      </c>
      <c r="EZ50" s="416">
        <f>Detail!$L$71*EZ126</f>
        <v>3412.5712188826196</v>
      </c>
      <c r="FA50" s="416">
        <f>Detail!$L$71*FA126</f>
        <v>3421.1026469298267</v>
      </c>
      <c r="FB50" s="416">
        <f>Detail!$L$71*FB126</f>
        <v>3429.6554035471509</v>
      </c>
      <c r="FC50" s="416">
        <f>Detail!$L$71*FC126</f>
        <v>3438.229542056019</v>
      </c>
      <c r="FD50" s="416">
        <f>Detail!$L$71*FD126</f>
        <v>3446.8251159111583</v>
      </c>
      <c r="FE50" s="416">
        <f>Detail!$L$71*FE126</f>
        <v>3455.4421787009355</v>
      </c>
      <c r="FF50" s="416">
        <f>Detail!$L$71*FF126</f>
        <v>3464.0807841476881</v>
      </c>
      <c r="FG50" s="416">
        <f>Detail!$L$71*FG126</f>
        <v>3472.7409861080569</v>
      </c>
      <c r="FH50" s="416">
        <f>Detail!$L$71*FH126</f>
        <v>3481.4228385733277</v>
      </c>
      <c r="FI50" s="416">
        <f>Detail!$L$71*FI126</f>
        <v>3490.1263956697608</v>
      </c>
      <c r="FJ50" s="416">
        <f>Detail!$L$71*FJ126</f>
        <v>3498.8517116589346</v>
      </c>
      <c r="FK50" s="416">
        <f>Detail!$L$71*FK126</f>
        <v>3507.5988409380816</v>
      </c>
      <c r="FL50" s="416">
        <f>Detail!$L$71*FL126</f>
        <v>3516.3678380404276</v>
      </c>
      <c r="FM50" s="416">
        <f>Detail!$L$71*FM126</f>
        <v>3525.1587576355278</v>
      </c>
      <c r="FN50" s="416">
        <f>Detail!$L$71*FN126</f>
        <v>3533.971654529616</v>
      </c>
      <c r="FO50" s="416">
        <f>Detail!$L$71*FO126</f>
        <v>3542.8065836659407</v>
      </c>
      <c r="FP50" s="416">
        <f>Detail!$L$71*FP126</f>
        <v>3551.6636001251059</v>
      </c>
      <c r="FQ50" s="416">
        <f>Detail!$L$71*FQ126</f>
        <v>3560.5427591254174</v>
      </c>
      <c r="FR50" s="416">
        <f>Detail!$L$71*FR126</f>
        <v>3569.4441160232309</v>
      </c>
      <c r="FS50" s="416">
        <f>Detail!$L$71*FS126</f>
        <v>3578.3677263132895</v>
      </c>
      <c r="FT50" s="587">
        <f t="shared" si="84"/>
        <v>16631.999999999996</v>
      </c>
      <c r="FU50" s="587">
        <f t="shared" si="84"/>
        <v>28979.593764223835</v>
      </c>
      <c r="FV50" s="587">
        <f t="shared" si="84"/>
        <v>29861.035839527398</v>
      </c>
      <c r="FW50" s="587">
        <f t="shared" si="84"/>
        <v>30769.287819015142</v>
      </c>
      <c r="FX50" s="587">
        <f t="shared" si="84"/>
        <v>31705.165151577592</v>
      </c>
    </row>
    <row r="51" spans="2:183" ht="12.75" customHeight="1" outlineLevel="1">
      <c r="B51" s="574" t="s">
        <v>312</v>
      </c>
      <c r="C51" s="575"/>
      <c r="D51" s="610"/>
      <c r="E51" s="416">
        <f>IF(E31&gt;=Detail!$F$34,Detail!$L$73*E126,Detail!$L73*'Cash Flow'!E31)</f>
        <v>1139.2731524135918</v>
      </c>
      <c r="F51" s="416">
        <f>IF(F31&gt;=Detail!$F$34,Detail!$L$73*F126,Detail!$L73*'Cash Flow'!F31)</f>
        <v>1139.2976642725991</v>
      </c>
      <c r="G51" s="416">
        <f>IF(G31&gt;=Detail!$F$34,Detail!$L$73*G126,Detail!$L73*'Cash Flow'!G31)</f>
        <v>1139.3213402673885</v>
      </c>
      <c r="H51" s="416">
        <f>IF(H31&gt;=Detail!$F$34,Detail!$L$73*H126,Detail!$L73*'Cash Flow'!H31)</f>
        <v>1139.3442095132514</v>
      </c>
      <c r="I51" s="416">
        <f>IF(I31&gt;=Detail!$F$34,Detail!$L$73*I126,Detail!$L73*'Cash Flow'!I31)</f>
        <v>1139.3663000708013</v>
      </c>
      <c r="J51" s="416">
        <f>IF(J31&gt;=Detail!$F$34,Detail!$L$73*J126,Detail!$L73*'Cash Flow'!J31)</f>
        <v>1139.3876389868472</v>
      </c>
      <c r="K51" s="416">
        <f>IF(K31&gt;=Detail!$F$34,Detail!$L$73*K126,Detail!$L73*'Cash Flow'!K31)</f>
        <v>1139.4082523335082</v>
      </c>
      <c r="L51" s="416">
        <f>IF(L31&gt;=Detail!$F$34,Detail!$L$73*L126,Detail!$L73*'Cash Flow'!L31)</f>
        <v>1139.289504221683</v>
      </c>
      <c r="M51" s="416">
        <f>IF(M31&gt;=Detail!$F$34,Detail!$L$73*M126,Detail!$L73*'Cash Flow'!M31)</f>
        <v>1139.1745590159992</v>
      </c>
      <c r="N51" s="416">
        <f>IF(N31&gt;=Detail!$F$34,Detail!$L$73*N126,Detail!$L73*'Cash Flow'!N31)</f>
        <v>1139.0633094543844</v>
      </c>
      <c r="O51" s="416">
        <f>IF(O31&gt;=Detail!$F$34,Detail!$L$73*O126,Detail!$L73*'Cash Flow'!O31)</f>
        <v>1138.9556503220444</v>
      </c>
      <c r="P51" s="416">
        <f>IF(P31&gt;=Detail!$F$34,Detail!$L$73*P126,Detail!$L73*'Cash Flow'!P31)</f>
        <v>1138.8514784823305</v>
      </c>
      <c r="Q51" s="416">
        <f>IF(Q31&gt;=Detail!$F$34,Detail!$L$73*Q126,Detail!$L73*'Cash Flow'!Q31)</f>
        <v>1218.112875703828</v>
      </c>
      <c r="R51" s="416">
        <f>IF(R31&gt;=Detail!$F$34,Detail!$L$73*R126,Detail!$L73*'Cash Flow'!R31)</f>
        <v>1221.1581578930875</v>
      </c>
      <c r="S51" s="416">
        <f>IF(S31&gt;=Detail!$F$34,Detail!$L$73*S126,Detail!$L73*'Cash Flow'!S31)</f>
        <v>1224.2110532878203</v>
      </c>
      <c r="T51" s="416">
        <f>IF(T31&gt;=Detail!$F$34,Detail!$L$73*T126,Detail!$L73*'Cash Flow'!T31)</f>
        <v>1227.2715809210399</v>
      </c>
      <c r="U51" s="416">
        <f>IF(U31&gt;=Detail!$F$34,Detail!$L$73*U126,Detail!$L73*'Cash Flow'!U31)</f>
        <v>1230.3397598733422</v>
      </c>
      <c r="V51" s="416">
        <f>IF(V31&gt;=Detail!$F$34,Detail!$L$73*V126,Detail!$L73*'Cash Flow'!V31)</f>
        <v>1233.4156092730254</v>
      </c>
      <c r="W51" s="416">
        <f>IF(W31&gt;=Detail!$F$34,Detail!$L$73*W126,Detail!$L73*'Cash Flow'!W31)</f>
        <v>1236.499148296208</v>
      </c>
      <c r="X51" s="416">
        <f>IF(X31&gt;=Detail!$F$34,Detail!$L$73*X126,Detail!$L73*'Cash Flow'!X31)</f>
        <v>1239.5903961669487</v>
      </c>
      <c r="Y51" s="416">
        <f>IF(Y31&gt;=Detail!$F$34,Detail!$L$73*Y126,Detail!$L73*'Cash Flow'!Y31)</f>
        <v>1242.6893721573658</v>
      </c>
      <c r="Z51" s="416">
        <f>IF(Z31&gt;=Detail!$F$34,Detail!$L$73*Z126,Detail!$L73*'Cash Flow'!Z31)</f>
        <v>1245.7960955877591</v>
      </c>
      <c r="AA51" s="416">
        <f>IF(AA31&gt;=Detail!$F$34,Detail!$L$73*AA126,Detail!$L73*'Cash Flow'!AA31)</f>
        <v>1248.9105858267285</v>
      </c>
      <c r="AB51" s="416">
        <f>IF(AB31&gt;=Detail!$F$34,Detail!$L$73*AB126,Detail!$L73*'Cash Flow'!AB31)</f>
        <v>1252.0328622912953</v>
      </c>
      <c r="AC51" s="416">
        <f>IF(AC31&gt;=Detail!$F$34,Detail!$L$73*AC126,Detail!$L73*'Cash Flow'!AC31)</f>
        <v>1255.1629444470236</v>
      </c>
      <c r="AD51" s="416">
        <f>IF(AD31&gt;=Detail!$F$34,Detail!$L$73*AD126,Detail!$L73*'Cash Flow'!AD31)</f>
        <v>1258.300851808141</v>
      </c>
      <c r="AE51" s="416">
        <f>IF(AE31&gt;=Detail!$F$34,Detail!$L$73*AE126,Detail!$L73*'Cash Flow'!AE31)</f>
        <v>1261.4466039376614</v>
      </c>
      <c r="AF51" s="416">
        <f>IF(AF31&gt;=Detail!$F$34,Detail!$L$73*AF126,Detail!$L73*'Cash Flow'!AF31)</f>
        <v>1264.6002204475053</v>
      </c>
      <c r="AG51" s="416">
        <f>IF(AG31&gt;=Detail!$F$34,Detail!$L$73*AG126,Detail!$L73*'Cash Flow'!AG31)</f>
        <v>1267.7617209986238</v>
      </c>
      <c r="AH51" s="416">
        <f>IF(AH31&gt;=Detail!$F$34,Detail!$L$73*AH126,Detail!$L73*'Cash Flow'!AH31)</f>
        <v>1270.9311253011206</v>
      </c>
      <c r="AI51" s="416">
        <f>IF(AI31&gt;=Detail!$F$34,Detail!$L$73*AI126,Detail!$L73*'Cash Flow'!AI31)</f>
        <v>1274.1084531143733</v>
      </c>
      <c r="AJ51" s="416">
        <f>IF(AJ31&gt;=Detail!$F$34,Detail!$L$73*AJ126,Detail!$L73*'Cash Flow'!AJ31)</f>
        <v>1277.2937242471594</v>
      </c>
      <c r="AK51" s="416">
        <f>IF(AK31&gt;=Detail!$F$34,Detail!$L$73*AK126,Detail!$L73*'Cash Flow'!AK31)</f>
        <v>1280.4869585577771</v>
      </c>
      <c r="AL51" s="416">
        <f>IF(AL31&gt;=Detail!$F$34,Detail!$L$73*AL126,Detail!$L73*'Cash Flow'!AL31)</f>
        <v>1283.6881759541714</v>
      </c>
      <c r="AM51" s="416">
        <f>IF(AM31&gt;=Detail!$F$34,Detail!$L$73*AM126,Detail!$L73*'Cash Flow'!AM31)</f>
        <v>1286.8973963940568</v>
      </c>
      <c r="AN51" s="416">
        <f>IF(AN31&gt;=Detail!$F$34,Detail!$L$73*AN126,Detail!$L73*'Cash Flow'!AN31)</f>
        <v>1290.1146398850422</v>
      </c>
      <c r="AO51" s="416">
        <f>IF(AO31&gt;=Detail!$F$34,Detail!$L$73*AO126,Detail!$L73*'Cash Flow'!AO31)</f>
        <v>1293.3399264847544</v>
      </c>
      <c r="AP51" s="416">
        <f>IF(AP31&gt;=Detail!$F$34,Detail!$L$73*AP126,Detail!$L73*'Cash Flow'!AP31)</f>
        <v>1296.573276300966</v>
      </c>
      <c r="AQ51" s="416">
        <f>IF(AQ31&gt;=Detail!$F$34,Detail!$L$73*AQ126,Detail!$L73*'Cash Flow'!AQ31)</f>
        <v>1299.8147094917188</v>
      </c>
      <c r="AR51" s="416">
        <f>IF(AR31&gt;=Detail!$F$34,Detail!$L$73*AR126,Detail!$L73*'Cash Flow'!AR31)</f>
        <v>1303.064246265448</v>
      </c>
      <c r="AS51" s="416">
        <f>IF(AS31&gt;=Detail!$F$34,Detail!$L$73*AS126,Detail!$L73*'Cash Flow'!AS31)</f>
        <v>1306.3219068811113</v>
      </c>
      <c r="AT51" s="416">
        <f>IF(AT31&gt;=Detail!$F$34,Detail!$L$73*AT126,Detail!$L73*'Cash Flow'!AT31)</f>
        <v>1309.5877116483141</v>
      </c>
      <c r="AU51" s="416">
        <f>IF(AU31&gt;=Detail!$F$34,Detail!$L$73*AU126,Detail!$L73*'Cash Flow'!AU31)</f>
        <v>1312.8616809274351</v>
      </c>
      <c r="AV51" s="416">
        <f>IF(AV31&gt;=Detail!$F$34,Detail!$L$73*AV126,Detail!$L73*'Cash Flow'!AV31)</f>
        <v>1316.1438351297536</v>
      </c>
      <c r="AW51" s="416">
        <f>IF(AW31&gt;=Detail!$F$34,Detail!$L$73*AW126,Detail!$L73*'Cash Flow'!AW31)</f>
        <v>1319.4341947175776</v>
      </c>
      <c r="AX51" s="416">
        <f>IF(AX31&gt;=Detail!$F$34,Detail!$L$73*AX126,Detail!$L73*'Cash Flow'!AX31)</f>
        <v>1322.7327802043717</v>
      </c>
      <c r="AY51" s="416">
        <f>IF(AY31&gt;=Detail!$F$34,Detail!$L$73*AY126,Detail!$L73*'Cash Flow'!AY31)</f>
        <v>1326.0396121548827</v>
      </c>
      <c r="AZ51" s="416">
        <f>IF(AZ31&gt;=Detail!$F$34,Detail!$L$73*AZ126,Detail!$L73*'Cash Flow'!AZ31)</f>
        <v>1329.3547111852697</v>
      </c>
      <c r="BA51" s="416">
        <f>IF(BA31&gt;=Detail!$F$34,Detail!$L$73*BA126,Detail!$L73*'Cash Flow'!BA31)</f>
        <v>1332.6780979632329</v>
      </c>
      <c r="BB51" s="416">
        <f>IF(BB31&gt;=Detail!$F$34,Detail!$L$73*BB126,Detail!$L73*'Cash Flow'!BB31)</f>
        <v>1336.0097932081405</v>
      </c>
      <c r="BC51" s="416">
        <f>IF(BC31&gt;=Detail!$F$34,Detail!$L$73*BC126,Detail!$L73*'Cash Flow'!BC31)</f>
        <v>1339.349817691161</v>
      </c>
      <c r="BD51" s="416">
        <f>IF(BD31&gt;=Detail!$F$34,Detail!$L$73*BD126,Detail!$L73*'Cash Flow'!BD31)</f>
        <v>1342.6981922353891</v>
      </c>
      <c r="BE51" s="416">
        <f>IF(BE31&gt;=Detail!$F$34,Detail!$L$73*BE126,Detail!$L73*'Cash Flow'!BE31)</f>
        <v>1346.0549377159771</v>
      </c>
      <c r="BF51" s="416">
        <f>IF(BF31&gt;=Detail!$F$34,Detail!$L$73*BF126,Detail!$L73*'Cash Flow'!BF31)</f>
        <v>1349.420075060267</v>
      </c>
      <c r="BG51" s="416">
        <f>IF(BG31&gt;=Detail!$F$34,Detail!$L$73*BG126,Detail!$L73*'Cash Flow'!BG31)</f>
        <v>1352.793625247918</v>
      </c>
      <c r="BH51" s="416">
        <f>IF(BH31&gt;=Detail!$F$34,Detail!$L$73*BH126,Detail!$L73*'Cash Flow'!BH31)</f>
        <v>1356.1756093110375</v>
      </c>
      <c r="BI51" s="416">
        <f>IF(BI31&gt;=Detail!$F$34,Detail!$L$73*BI126,Detail!$L73*'Cash Flow'!BI31)</f>
        <v>1359.5660483343154</v>
      </c>
      <c r="BJ51" s="416">
        <f>IF(BJ31&gt;=Detail!$F$34,Detail!$L$73*BJ126,Detail!$L73*'Cash Flow'!BJ31)</f>
        <v>1362.9649634551508</v>
      </c>
      <c r="BK51" s="416">
        <f>IF(BK31&gt;=Detail!$F$34,Detail!$L$73*BK126,Detail!$L73*'Cash Flow'!BK31)</f>
        <v>1366.3723758637889</v>
      </c>
      <c r="BL51" s="416">
        <f>IF(BL31&gt;=Detail!$F$34,Detail!$L$73*BL126,Detail!$L73*'Cash Flow'!BL31)</f>
        <v>1369.7883068034482</v>
      </c>
      <c r="BM51" s="416">
        <f>IF(BM31&gt;=Detail!$F$34,Detail!$L$73*BM126,Detail!$L73*'Cash Flow'!BM31)</f>
        <v>1373.2127775704564</v>
      </c>
      <c r="BN51" s="416">
        <f>IF(BN31&gt;=Detail!$F$34,Detail!$L$73*BN126,Detail!$L73*'Cash Flow'!BN31)</f>
        <v>1376.6458095143826</v>
      </c>
      <c r="BO51" s="416">
        <f>IF(BO31&gt;=Detail!$F$34,Detail!$L$73*BO126,Detail!$L73*'Cash Flow'!BO31)</f>
        <v>1380.0874240381684</v>
      </c>
      <c r="BP51" s="416">
        <f>IF(BP31&gt;=Detail!$F$34,Detail!$L$73*BP126,Detail!$L73*'Cash Flow'!BP31)</f>
        <v>1383.537642598264</v>
      </c>
      <c r="BQ51" s="416">
        <f>IF(BQ31&gt;=Detail!$F$34,Detail!$L$73*BQ126,Detail!$L73*'Cash Flow'!BQ31)</f>
        <v>1386.9964867047595</v>
      </c>
      <c r="BR51" s="416">
        <f>IF(BR31&gt;=Detail!$F$34,Detail!$L$73*BR126,Detail!$L73*'Cash Flow'!BR31)</f>
        <v>1390.4639779215215</v>
      </c>
      <c r="BS51" s="416">
        <f>IF(BS31&gt;=Detail!$F$34,Detail!$L$73*BS126,Detail!$L73*'Cash Flow'!BS31)</f>
        <v>1393.9401378663251</v>
      </c>
      <c r="BT51" s="416">
        <f>IF(BT31&gt;=Detail!$F$34,Detail!$L$73*BT126,Detail!$L73*'Cash Flow'!BT31)</f>
        <v>1397.4249882109912</v>
      </c>
      <c r="BU51" s="416">
        <f>IF(BU31&gt;=Detail!$F$34,Detail!$L$73*BU126,Detail!$L73*'Cash Flow'!BU31)</f>
        <v>1400.9185506815181</v>
      </c>
      <c r="BV51" s="416">
        <f>IF(BV31&gt;=Detail!$F$34,Detail!$L$73*BV126,Detail!$L73*'Cash Flow'!BV31)</f>
        <v>1404.4208470582216</v>
      </c>
      <c r="BW51" s="416">
        <f>IF(BW31&gt;=Detail!$F$34,Detail!$L$73*BW126,Detail!$L73*'Cash Flow'!BW31)</f>
        <v>1407.9318991758676</v>
      </c>
      <c r="BX51" s="416">
        <f>IF(BX31&gt;=Detail!$F$34,Detail!$L$73*BX126,Detail!$L73*'Cash Flow'!BX31)</f>
        <v>1411.4517289238072</v>
      </c>
      <c r="BY51" s="416">
        <f>IF(BY31&gt;=Detail!$F$34,Detail!$L$73*BY126,Detail!$L73*'Cash Flow'!BY31)</f>
        <v>1414.9803582461166</v>
      </c>
      <c r="BZ51" s="416">
        <f>IF(BZ31&gt;=Detail!$F$34,Detail!$L$73*BZ126,Detail!$L73*'Cash Flow'!BZ31)</f>
        <v>1418.5178091417317</v>
      </c>
      <c r="CA51" s="416">
        <f>IF(CA31&gt;=Detail!$F$34,Detail!$L$73*CA126,Detail!$L73*'Cash Flow'!CA31)</f>
        <v>1422.0641036645861</v>
      </c>
      <c r="CB51" s="416">
        <f>IF(CB31&gt;=Detail!$F$34,Detail!$L$73*CB126,Detail!$L73*'Cash Flow'!CB31)</f>
        <v>1425.6192639237477</v>
      </c>
      <c r="CC51" s="416">
        <f>IF(CC31&gt;=Detail!$F$34,Detail!$L$73*CC126,Detail!$L73*'Cash Flow'!CC31)</f>
        <v>1429.1833120835568</v>
      </c>
      <c r="CD51" s="416">
        <f>IF(CD31&gt;=Detail!$F$34,Detail!$L$73*CD126,Detail!$L73*'Cash Flow'!CD31)</f>
        <v>1432.7562703637655</v>
      </c>
      <c r="CE51" s="416">
        <f>IF(CE31&gt;=Detail!$F$34,Detail!$L$73*CE126,Detail!$L73*'Cash Flow'!CE31)</f>
        <v>1436.3381610396748</v>
      </c>
      <c r="CF51" s="416">
        <f>IF(CF31&gt;=Detail!$F$34,Detail!$L$73*CF126,Detail!$L73*'Cash Flow'!CF31)</f>
        <v>1439.9290064422742</v>
      </c>
      <c r="CG51" s="416">
        <f>IF(CG31&gt;=Detail!$F$34,Detail!$L$73*CG126,Detail!$L73*'Cash Flow'!CG31)</f>
        <v>1443.5288289583798</v>
      </c>
      <c r="CH51" s="416">
        <f>IF(CH31&gt;=Detail!$F$34,Detail!$L$73*CH126,Detail!$L73*'Cash Flow'!CH31)</f>
        <v>1447.1376510307753</v>
      </c>
      <c r="CI51" s="416">
        <f>IF(CI31&gt;=Detail!$F$34,Detail!$L$73*CI126,Detail!$L73*'Cash Flow'!CI31)</f>
        <v>1450.7554951583525</v>
      </c>
      <c r="CJ51" s="416">
        <f>IF(CJ31&gt;=Detail!$F$34,Detail!$L$73*CJ126,Detail!$L73*'Cash Flow'!CJ31)</f>
        <v>1454.3823838962485</v>
      </c>
      <c r="CK51" s="416">
        <f>IF(CK31&gt;=Detail!$F$34,Detail!$L$73*CK126,Detail!$L73*'Cash Flow'!CK31)</f>
        <v>1458.0183398559886</v>
      </c>
      <c r="CL51" s="416">
        <f>IF(CL31&gt;=Detail!$F$34,Detail!$L$73*CL126,Detail!$L73*'Cash Flow'!CL31)</f>
        <v>1461.6633857056286</v>
      </c>
      <c r="CM51" s="416">
        <f>IF(CM31&gt;=Detail!$F$34,Detail!$L$73*CM126,Detail!$L73*'Cash Flow'!CM31)</f>
        <v>1465.3175441698929</v>
      </c>
      <c r="CN51" s="416">
        <f>IF(CN31&gt;=Detail!$F$34,Detail!$L$73*CN126,Detail!$L73*'Cash Flow'!CN31)</f>
        <v>1468.9808380303173</v>
      </c>
      <c r="CO51" s="416">
        <f>IF(CO31&gt;=Detail!$F$34,Detail!$L$73*CO126,Detail!$L73*'Cash Flow'!CO31)</f>
        <v>1472.6532901253934</v>
      </c>
      <c r="CP51" s="416">
        <f>IF(CP31&gt;=Detail!$F$34,Detail!$L$73*CP126,Detail!$L73*'Cash Flow'!CP31)</f>
        <v>1476.3349233507065</v>
      </c>
      <c r="CQ51" s="416">
        <f>IF(CQ31&gt;=Detail!$F$34,Detail!$L$73*CQ126,Detail!$L73*'Cash Flow'!CQ31)</f>
        <v>1480.0257606590833</v>
      </c>
      <c r="CR51" s="416">
        <f>IF(CR31&gt;=Detail!$F$34,Detail!$L$73*CR126,Detail!$L73*'Cash Flow'!CR31)</f>
        <v>1483.725825060731</v>
      </c>
      <c r="CS51" s="416">
        <f>IF(CS31&gt;=Detail!$F$34,Detail!$L$73*CS126,Detail!$L73*'Cash Flow'!CS31)</f>
        <v>1487.4351396233824</v>
      </c>
      <c r="CT51" s="416">
        <f>IF(CT31&gt;=Detail!$F$34,Detail!$L$73*CT126,Detail!$L73*'Cash Flow'!CT31)</f>
        <v>1491.153727472441</v>
      </c>
      <c r="CU51" s="416">
        <f>IF(CU31&gt;=Detail!$F$34,Detail!$L$73*CU126,Detail!$L73*'Cash Flow'!CU31)</f>
        <v>1494.8816117911219</v>
      </c>
      <c r="CV51" s="416">
        <f>IF(CV31&gt;=Detail!$F$34,Detail!$L$73*CV126,Detail!$L73*'Cash Flow'!CV31)</f>
        <v>1498.6188158205998</v>
      </c>
      <c r="CW51" s="416">
        <f>IF(CW31&gt;=Detail!$F$34,Detail!$L$73*CW126,Detail!$L73*'Cash Flow'!CW31)</f>
        <v>1502.3653628601514</v>
      </c>
      <c r="CX51" s="416">
        <f>IF(CX31&gt;=Detail!$F$34,Detail!$L$73*CX126,Detail!$L73*'Cash Flow'!CX31)</f>
        <v>1506.1212762673015</v>
      </c>
      <c r="CY51" s="416">
        <f>IF(CY31&gt;=Detail!$F$34,Detail!$L$73*CY126,Detail!$L73*'Cash Flow'!CY31)</f>
        <v>1509.8865794579697</v>
      </c>
      <c r="CZ51" s="416">
        <f>IF(CZ31&gt;=Detail!$F$34,Detail!$L$73*CZ126,Detail!$L73*'Cash Flow'!CZ31)</f>
        <v>1513.6612959066151</v>
      </c>
      <c r="DA51" s="416">
        <f>IF(DA31&gt;=Detail!$F$34,Detail!$L$73*DA126,Detail!$L73*'Cash Flow'!DA31)</f>
        <v>1517.445449146381</v>
      </c>
      <c r="DB51" s="416">
        <f>IF(DB31&gt;=Detail!$F$34,Detail!$L$73*DB126,Detail!$L73*'Cash Flow'!DB31)</f>
        <v>1521.2390627692469</v>
      </c>
      <c r="DC51" s="416">
        <f>IF(DC31&gt;=Detail!$F$34,Detail!$L$73*DC126,Detail!$L73*'Cash Flow'!DC31)</f>
        <v>1525.0421604261701</v>
      </c>
      <c r="DD51" s="416">
        <f>IF(DD31&gt;=Detail!$F$34,Detail!$L$73*DD126,Detail!$L73*'Cash Flow'!DD31)</f>
        <v>1528.8547658272355</v>
      </c>
      <c r="DE51" s="416">
        <f>IF(DE31&gt;=Detail!$F$34,Detail!$L$73*DE126,Detail!$L73*'Cash Flow'!DE31)</f>
        <v>1532.6769027418034</v>
      </c>
      <c r="DF51" s="416">
        <f>IF(DF31&gt;=Detail!$F$34,Detail!$L$73*DF126,Detail!$L73*'Cash Flow'!DF31)</f>
        <v>1536.5085949986576</v>
      </c>
      <c r="DG51" s="416">
        <f>IF(DG31&gt;=Detail!$F$34,Detail!$L$73*DG126,Detail!$L73*'Cash Flow'!DG31)</f>
        <v>1540.3498664861547</v>
      </c>
      <c r="DH51" s="416">
        <f>IF(DH31&gt;=Detail!$F$34,Detail!$L$73*DH126,Detail!$L73*'Cash Flow'!DH31)</f>
        <v>1544.20074115237</v>
      </c>
      <c r="DI51" s="416">
        <f>IF(DI31&gt;=Detail!$F$34,Detail!$L$73*DI126,Detail!$L73*'Cash Flow'!DI31)</f>
        <v>1548.0612430052504</v>
      </c>
      <c r="DJ51" s="416">
        <f>IF(DJ31&gt;=Detail!$F$34,Detail!$L$73*DJ126,Detail!$L73*'Cash Flow'!DJ31)</f>
        <v>1551.9313961127637</v>
      </c>
      <c r="DK51" s="416">
        <f>IF(DK31&gt;=Detail!$F$34,Detail!$L$73*DK126,Detail!$L73*'Cash Flow'!DK31)</f>
        <v>1555.8112246030457</v>
      </c>
      <c r="DL51" s="416">
        <f>IF(DL31&gt;=Detail!$F$34,Detail!$L$73*DL126,Detail!$L73*'Cash Flow'!DL31)</f>
        <v>1559.700752664553</v>
      </c>
      <c r="DM51" s="416">
        <f>IF(DM31&gt;=Detail!$F$34,Detail!$L$73*DM126,Detail!$L73*'Cash Flow'!DM31)</f>
        <v>1563.6000045462142</v>
      </c>
      <c r="DN51" s="416">
        <f>IF(DN31&gt;=Detail!$F$34,Detail!$L$73*DN126,Detail!$L73*'Cash Flow'!DN31)</f>
        <v>1567.5090045575798</v>
      </c>
      <c r="DO51" s="416">
        <f>IF(DO31&gt;=Detail!$F$34,Detail!$L$73*DO126,Detail!$L73*'Cash Flow'!DO31)</f>
        <v>1571.4277770689737</v>
      </c>
      <c r="DP51" s="416">
        <f>IF(DP31&gt;=Detail!$F$34,Detail!$L$73*DP126,Detail!$L73*'Cash Flow'!DP31)</f>
        <v>1575.3563465116463</v>
      </c>
      <c r="DQ51" s="416">
        <f>IF(DQ31&gt;=Detail!$F$34,Detail!$L$73*DQ126,Detail!$L73*'Cash Flow'!DQ31)</f>
        <v>1579.2947373779248</v>
      </c>
      <c r="DR51" s="416">
        <f>IF(DR31&gt;=Detail!$F$34,Detail!$L$73*DR126,Detail!$L73*'Cash Flow'!DR31)</f>
        <v>1583.2429742213696</v>
      </c>
      <c r="DS51" s="416">
        <f>IF(DS31&gt;=Detail!$F$34,Detail!$L$73*DS126,Detail!$L73*'Cash Flow'!DS31)</f>
        <v>1587.2010816569234</v>
      </c>
      <c r="DT51" s="416">
        <f>IF(DT31&gt;=Detail!$F$34,Detail!$L$73*DT126,Detail!$L73*'Cash Flow'!DT31)</f>
        <v>1591.1690843610654</v>
      </c>
      <c r="DU51" s="416">
        <f>IF(DU31&gt;=Detail!$F$34,Detail!$L$73*DU126,Detail!$L73*'Cash Flow'!DU31)</f>
        <v>1595.1470070719683</v>
      </c>
      <c r="DV51" s="416">
        <f>IF(DV31&gt;=Detail!$F$34,Detail!$L$73*DV126,Detail!$L73*'Cash Flow'!DV31)</f>
        <v>1599.1348745896478</v>
      </c>
      <c r="DW51" s="416">
        <f>IF(DW31&gt;=Detail!$F$34,Detail!$L$73*DW126,Detail!$L73*'Cash Flow'!DW31)</f>
        <v>1603.1327117761221</v>
      </c>
      <c r="DX51" s="416">
        <f>IF(DX31&gt;=Detail!$F$34,Detail!$L$73*DX126,Detail!$L73*'Cash Flow'!DX31)</f>
        <v>1607.1405435555623</v>
      </c>
      <c r="DY51" s="416">
        <f>IF(DY31&gt;=Detail!$F$34,Detail!$L$73*DY126,Detail!$L73*'Cash Flow'!DY31)</f>
        <v>1611.1583949144508</v>
      </c>
      <c r="DZ51" s="416">
        <f>IF(DZ31&gt;=Detail!$F$34,Detail!$L$73*DZ126,Detail!$L73*'Cash Flow'!DZ31)</f>
        <v>1615.1862909017368</v>
      </c>
      <c r="EA51" s="416">
        <f>IF(EA31&gt;=Detail!$F$34,Detail!$L$73*EA126,Detail!$L73*'Cash Flow'!EA31)</f>
        <v>1619.224256628991</v>
      </c>
      <c r="EB51" s="416">
        <f>IF(EB31&gt;=Detail!$F$34,Detail!$L$73*EB126,Detail!$L73*'Cash Flow'!EB31)</f>
        <v>1623.2723172705637</v>
      </c>
      <c r="EC51" s="416">
        <f>IF(EC31&gt;=Detail!$F$34,Detail!$L$73*EC126,Detail!$L73*'Cash Flow'!EC31)</f>
        <v>1627.3304980637399</v>
      </c>
      <c r="ED51" s="416">
        <f>IF(ED31&gt;=Detail!$F$34,Detail!$L$73*ED126,Detail!$L73*'Cash Flow'!ED31)</f>
        <v>1631.3988243088995</v>
      </c>
      <c r="EE51" s="416">
        <f>IF(EE31&gt;=Detail!$F$34,Detail!$L$73*EE126,Detail!$L73*'Cash Flow'!EE31)</f>
        <v>1635.4773213696715</v>
      </c>
      <c r="EF51" s="416">
        <f>IF(EF31&gt;=Detail!$F$34,Detail!$L$73*EF126,Detail!$L73*'Cash Flow'!EF31)</f>
        <v>1639.5660146730959</v>
      </c>
      <c r="EG51" s="416">
        <f>IF(EG31&gt;=Detail!$F$34,Detail!$L$73*EG126,Detail!$L73*'Cash Flow'!EG31)</f>
        <v>1643.6649297097783</v>
      </c>
      <c r="EH51" s="416">
        <f>IF(EH31&gt;=Detail!$F$34,Detail!$L$73*EH126,Detail!$L73*'Cash Flow'!EH31)</f>
        <v>1647.7740920340523</v>
      </c>
      <c r="EI51" s="416">
        <f>IF(EI31&gt;=Detail!$F$34,Detail!$L$73*EI126,Detail!$L73*'Cash Flow'!EI31)</f>
        <v>1651.8935272641377</v>
      </c>
      <c r="EJ51" s="416">
        <f>IF(EJ31&gt;=Detail!$F$34,Detail!$L$73*EJ126,Detail!$L73*'Cash Flow'!EJ31)</f>
        <v>1656.0232610822982</v>
      </c>
      <c r="EK51" s="416">
        <f>IF(EK31&gt;=Detail!$F$34,Detail!$L$73*EK126,Detail!$L73*'Cash Flow'!EK31)</f>
        <v>1660.1633192350037</v>
      </c>
      <c r="EL51" s="416">
        <f>IF(EL31&gt;=Detail!$F$34,Detail!$L$73*EL126,Detail!$L73*'Cash Flow'!EL31)</f>
        <v>1664.313727533091</v>
      </c>
      <c r="EM51" s="416">
        <f>IF(EM31&gt;=Detail!$F$34,Detail!$L$73*EM126,Detail!$L73*'Cash Flow'!EM31)</f>
        <v>1668.4745118519236</v>
      </c>
      <c r="EN51" s="416">
        <f>IF(EN31&gt;=Detail!$F$34,Detail!$L$73*EN126,Detail!$L73*'Cash Flow'!EN31)</f>
        <v>1672.6456981315534</v>
      </c>
      <c r="EO51" s="416">
        <f>IF(EO31&gt;=Detail!$F$34,Detail!$L$73*EO126,Detail!$L73*'Cash Flow'!EO31)</f>
        <v>1676.827312376882</v>
      </c>
      <c r="EP51" s="416">
        <f>IF(EP31&gt;=Detail!$F$34,Detail!$L$73*EP126,Detail!$L73*'Cash Flow'!EP31)</f>
        <v>1681.0193806578243</v>
      </c>
      <c r="EQ51" s="416">
        <f>IF(EQ31&gt;=Detail!$F$34,Detail!$L$73*EQ126,Detail!$L73*'Cash Flow'!EQ31)</f>
        <v>1685.2219291094689</v>
      </c>
      <c r="ER51" s="416">
        <f>IF(ER31&gt;=Detail!$F$34,Detail!$L$73*ER126,Detail!$L73*'Cash Flow'!ER31)</f>
        <v>1689.4349839322424</v>
      </c>
      <c r="ES51" s="416">
        <f>IF(ES31&gt;=Detail!$F$34,Detail!$L$73*ES126,Detail!$L73*'Cash Flow'!ES31)</f>
        <v>1693.6585713920729</v>
      </c>
      <c r="ET51" s="416">
        <f>IF(ET31&gt;=Detail!$F$34,Detail!$L$73*ET126,Detail!$L73*'Cash Flow'!ET31)</f>
        <v>1697.8927178205527</v>
      </c>
      <c r="EU51" s="416">
        <f>IF(EU31&gt;=Detail!$F$34,Detail!$L$73*EU126,Detail!$L73*'Cash Flow'!EU31)</f>
        <v>1702.1374496151045</v>
      </c>
      <c r="EV51" s="416">
        <f>IF(EV31&gt;=Detail!$F$34,Detail!$L$73*EV126,Detail!$L73*'Cash Flow'!EV31)</f>
        <v>1706.3927932391423</v>
      </c>
      <c r="EW51" s="416">
        <f>IF(EW31&gt;=Detail!$F$34,Detail!$L$73*EW126,Detail!$L73*'Cash Flow'!EW31)</f>
        <v>1710.6587752222395</v>
      </c>
      <c r="EX51" s="416">
        <f>IF(EX31&gt;=Detail!$F$34,Detail!$L$73*EX126,Detail!$L73*'Cash Flow'!EX31)</f>
        <v>1714.935422160295</v>
      </c>
      <c r="EY51" s="416">
        <f>IF(EY31&gt;=Detail!$F$34,Detail!$L$73*EY126,Detail!$L73*'Cash Flow'!EY31)</f>
        <v>1719.222760715696</v>
      </c>
      <c r="EZ51" s="416">
        <f>IF(EZ31&gt;=Detail!$F$34,Detail!$L$73*EZ126,Detail!$L73*'Cash Flow'!EZ31)</f>
        <v>1723.5208176174851</v>
      </c>
      <c r="FA51" s="416">
        <f>IF(FA31&gt;=Detail!$F$34,Detail!$L$73*FA126,Detail!$L73*'Cash Flow'!FA31)</f>
        <v>1727.829619661529</v>
      </c>
      <c r="FB51" s="416">
        <f>IF(FB31&gt;=Detail!$F$34,Detail!$L$73*FB126,Detail!$L73*'Cash Flow'!FB31)</f>
        <v>1732.1491937106825</v>
      </c>
      <c r="FC51" s="416">
        <f>IF(FC31&gt;=Detail!$F$34,Detail!$L$73*FC126,Detail!$L73*'Cash Flow'!FC31)</f>
        <v>1736.4795666949594</v>
      </c>
      <c r="FD51" s="416">
        <f>IF(FD31&gt;=Detail!$F$34,Detail!$L$73*FD126,Detail!$L73*'Cash Flow'!FD31)</f>
        <v>1740.8207656116965</v>
      </c>
      <c r="FE51" s="416">
        <f>IF(FE31&gt;=Detail!$F$34,Detail!$L$73*FE126,Detail!$L73*'Cash Flow'!FE31)</f>
        <v>1745.1728175257253</v>
      </c>
      <c r="FF51" s="416">
        <f>IF(FF31&gt;=Detail!$F$34,Detail!$L$73*FF126,Detail!$L73*'Cash Flow'!FF31)</f>
        <v>1749.5357495695398</v>
      </c>
      <c r="FG51" s="416">
        <f>IF(FG31&gt;=Detail!$F$34,Detail!$L$73*FG126,Detail!$L73*'Cash Flow'!FG31)</f>
        <v>1753.9095889434634</v>
      </c>
      <c r="FH51" s="416">
        <f>IF(FH31&gt;=Detail!$F$34,Detail!$L$73*FH126,Detail!$L73*'Cash Flow'!FH31)</f>
        <v>1758.2943629158224</v>
      </c>
      <c r="FI51" s="416">
        <f>IF(FI31&gt;=Detail!$F$34,Detail!$L$73*FI126,Detail!$L73*'Cash Flow'!FI31)</f>
        <v>1762.6900988231118</v>
      </c>
      <c r="FJ51" s="416">
        <f>IF(FJ31&gt;=Detail!$F$34,Detail!$L$73*FJ126,Detail!$L73*'Cash Flow'!FJ31)</f>
        <v>1767.0968240701695</v>
      </c>
      <c r="FK51" s="416">
        <f>IF(FK31&gt;=Detail!$F$34,Detail!$L$73*FK126,Detail!$L73*'Cash Flow'!FK31)</f>
        <v>1771.5145661303447</v>
      </c>
      <c r="FL51" s="416">
        <f>IF(FL31&gt;=Detail!$F$34,Detail!$L$73*FL126,Detail!$L73*'Cash Flow'!FL31)</f>
        <v>1775.9433525456709</v>
      </c>
      <c r="FM51" s="416">
        <f>IF(FM31&gt;=Detail!$F$34,Detail!$L$73*FM126,Detail!$L73*'Cash Flow'!FM31)</f>
        <v>1780.3832109270345</v>
      </c>
      <c r="FN51" s="416">
        <f>IF(FN31&gt;=Detail!$F$34,Detail!$L$73*FN126,Detail!$L73*'Cash Flow'!FN31)</f>
        <v>1784.834168954352</v>
      </c>
      <c r="FO51" s="416">
        <f>IF(FO31&gt;=Detail!$F$34,Detail!$L$73*FO126,Detail!$L73*'Cash Flow'!FO31)</f>
        <v>1789.296254376738</v>
      </c>
      <c r="FP51" s="416">
        <f>IF(FP31&gt;=Detail!$F$34,Detail!$L$73*FP126,Detail!$L73*'Cash Flow'!FP31)</f>
        <v>1793.76949501268</v>
      </c>
      <c r="FQ51" s="416">
        <f>IF(FQ31&gt;=Detail!$F$34,Detail!$L$73*FQ126,Detail!$L73*'Cash Flow'!FQ31)</f>
        <v>1798.2539187502111</v>
      </c>
      <c r="FR51" s="416">
        <f>IF(FR31&gt;=Detail!$F$34,Detail!$L$73*FR126,Detail!$L73*'Cash Flow'!FR31)</f>
        <v>1802.7495535470866</v>
      </c>
      <c r="FS51" s="416">
        <f>IF(FS31&gt;=Detail!$F$34,Detail!$L$73*FS126,Detail!$L73*'Cash Flow'!FS31)</f>
        <v>1807.2564274309548</v>
      </c>
      <c r="FT51" s="587">
        <f t="shared" si="84"/>
        <v>7975.3985578579877</v>
      </c>
      <c r="FU51" s="587">
        <f t="shared" si="84"/>
        <v>14286.342686744794</v>
      </c>
      <c r="FV51" s="587">
        <f t="shared" si="84"/>
        <v>15081.331232084547</v>
      </c>
      <c r="FW51" s="587">
        <f t="shared" si="84"/>
        <v>15540.044353037956</v>
      </c>
      <c r="FX51" s="587">
        <f t="shared" si="84"/>
        <v>16012.709672513942</v>
      </c>
    </row>
    <row r="52" spans="2:183" ht="12.75" customHeight="1" outlineLevel="1">
      <c r="B52" s="574" t="s">
        <v>199</v>
      </c>
      <c r="C52" s="575"/>
      <c r="D52" s="610"/>
      <c r="E52" s="416">
        <f>Detail!$F$78*E23*E126</f>
        <v>23255.999999999996</v>
      </c>
      <c r="F52" s="416">
        <f>Detail!$F$78*F23*F126</f>
        <v>23255.999999999996</v>
      </c>
      <c r="G52" s="416">
        <f>Detail!$F$78*G23*G126</f>
        <v>23255.999999999996</v>
      </c>
      <c r="H52" s="416">
        <f>Detail!$F$78*H23*H126</f>
        <v>23255.999999999996</v>
      </c>
      <c r="I52" s="416">
        <f>Detail!$F$78*I23*I126</f>
        <v>23255.999999999996</v>
      </c>
      <c r="J52" s="416">
        <f>Detail!$F$78*J23*J126</f>
        <v>23255.999999999996</v>
      </c>
      <c r="K52" s="416">
        <f>Detail!$F$78*K23*K126</f>
        <v>23255.999999999996</v>
      </c>
      <c r="L52" s="416">
        <f>Detail!$F$78*L23*L126</f>
        <v>23314.139999999996</v>
      </c>
      <c r="M52" s="416">
        <f>Detail!$F$78*M23*M126</f>
        <v>23372.425349999994</v>
      </c>
      <c r="N52" s="416">
        <f>Detail!$F$78*N23*N126</f>
        <v>23430.85641337499</v>
      </c>
      <c r="O52" s="416">
        <f>Detail!$F$78*O23*O126</f>
        <v>23489.433554408428</v>
      </c>
      <c r="P52" s="416">
        <f>Detail!$F$78*P23*P126</f>
        <v>23548.157138294449</v>
      </c>
      <c r="Q52" s="416">
        <f>Detail!$F$78*Q23*Q126</f>
        <v>23607.027531140182</v>
      </c>
      <c r="R52" s="416">
        <f>Detail!$F$78*R23*R126</f>
        <v>23666.045099968032</v>
      </c>
      <c r="S52" s="416">
        <f>Detail!$F$78*S23*S126</f>
        <v>23725.210212717953</v>
      </c>
      <c r="T52" s="416">
        <f>Detail!$F$78*T23*T126</f>
        <v>23784.523238249749</v>
      </c>
      <c r="U52" s="416">
        <f>Detail!$F$78*U23*U126</f>
        <v>23843.984546345368</v>
      </c>
      <c r="V52" s="416">
        <f>Detail!$F$78*V23*V126</f>
        <v>23903.594507711226</v>
      </c>
      <c r="W52" s="416">
        <f>Detail!$F$78*W23*W126</f>
        <v>23963.35349398051</v>
      </c>
      <c r="X52" s="416">
        <f>Detail!$F$78*X23*X126</f>
        <v>24023.26187771546</v>
      </c>
      <c r="Y52" s="416">
        <f>Detail!$F$78*Y23*Y126</f>
        <v>24083.320032409745</v>
      </c>
      <c r="Z52" s="416">
        <f>Detail!$F$78*Z23*Z126</f>
        <v>24143.528332490765</v>
      </c>
      <c r="AA52" s="416">
        <f>Detail!$F$78*AA23*AA126</f>
        <v>24203.887153321997</v>
      </c>
      <c r="AB52" s="416">
        <f>Detail!$F$78*AB23*AB126</f>
        <v>24264.396871205299</v>
      </c>
      <c r="AC52" s="416">
        <f>Detail!$F$78*AC23*AC126</f>
        <v>24325.057863383314</v>
      </c>
      <c r="AD52" s="416">
        <f>Detail!$F$78*AD23*AD126</f>
        <v>24385.870508041768</v>
      </c>
      <c r="AE52" s="416">
        <f>Detail!$F$78*AE23*AE126</f>
        <v>24446.835184311873</v>
      </c>
      <c r="AF52" s="416">
        <f>Detail!$F$78*AF23*AF126</f>
        <v>24507.952272272651</v>
      </c>
      <c r="AG52" s="416">
        <f>Detail!$F$78*AG23*AG126</f>
        <v>24569.222152953327</v>
      </c>
      <c r="AH52" s="416">
        <f>Detail!$F$78*AH23*AH126</f>
        <v>24630.645208335711</v>
      </c>
      <c r="AI52" s="416">
        <f>Detail!$F$78*AI23*AI126</f>
        <v>24692.22182135655</v>
      </c>
      <c r="AJ52" s="416">
        <f>Detail!$F$78*AJ23*AJ126</f>
        <v>24753.952375909943</v>
      </c>
      <c r="AK52" s="416">
        <f>Detail!$F$78*AK23*AK126</f>
        <v>24815.837256849718</v>
      </c>
      <c r="AL52" s="416">
        <f>Detail!$F$78*AL23*AL126</f>
        <v>24877.876849991837</v>
      </c>
      <c r="AM52" s="416">
        <f>Detail!$F$78*AM23*AM126</f>
        <v>24940.071542116817</v>
      </c>
      <c r="AN52" s="416">
        <f>Detail!$F$78*AN23*AN126</f>
        <v>25002.421720972114</v>
      </c>
      <c r="AO52" s="416">
        <f>Detail!$F$78*AO23*AO126</f>
        <v>25064.927775274537</v>
      </c>
      <c r="AP52" s="416">
        <f>Detail!$F$78*AP23*AP126</f>
        <v>25127.590094712719</v>
      </c>
      <c r="AQ52" s="416">
        <f>Detail!$F$78*AQ23*AQ126</f>
        <v>25190.409069949506</v>
      </c>
      <c r="AR52" s="416">
        <f>Detail!$F$78*AR23*AR126</f>
        <v>25253.385092624379</v>
      </c>
      <c r="AS52" s="416">
        <f>Detail!$F$78*AS23*AS126</f>
        <v>25316.518555355935</v>
      </c>
      <c r="AT52" s="416">
        <f>Detail!$F$78*AT23*AT126</f>
        <v>25379.809851744325</v>
      </c>
      <c r="AU52" s="416">
        <f>Detail!$F$78*AU23*AU126</f>
        <v>25443.259376373688</v>
      </c>
      <c r="AV52" s="416">
        <f>Detail!$F$78*AV23*AV126</f>
        <v>25506.867524814621</v>
      </c>
      <c r="AW52" s="416">
        <f>Detail!$F$78*AW23*AW126</f>
        <v>25570.634693626653</v>
      </c>
      <c r="AX52" s="416">
        <f>Detail!$F$78*AX23*AX126</f>
        <v>25634.561280360718</v>
      </c>
      <c r="AY52" s="416">
        <f>Detail!$F$78*AY23*AY126</f>
        <v>25698.647683561619</v>
      </c>
      <c r="AZ52" s="416">
        <f>Detail!$F$78*AZ23*AZ126</f>
        <v>25762.894302770525</v>
      </c>
      <c r="BA52" s="416">
        <f>Detail!$F$78*BA23*BA126</f>
        <v>25827.301538527448</v>
      </c>
      <c r="BB52" s="416">
        <f>Detail!$F$78*BB23*BB126</f>
        <v>25891.86979237376</v>
      </c>
      <c r="BC52" s="416">
        <f>Detail!$F$78*BC23*BC126</f>
        <v>25956.599466854699</v>
      </c>
      <c r="BD52" s="416">
        <f>Detail!$F$78*BD23*BD126</f>
        <v>26021.490965521836</v>
      </c>
      <c r="BE52" s="416">
        <f>Detail!$F$78*BE23*BE126</f>
        <v>26086.544692935633</v>
      </c>
      <c r="BF52" s="416">
        <f>Detail!$F$78*BF23*BF126</f>
        <v>26151.761054667972</v>
      </c>
      <c r="BG52" s="416">
        <f>Detail!$F$78*BG23*BG126</f>
        <v>26217.140457304646</v>
      </c>
      <c r="BH52" s="416">
        <f>Detail!$F$78*BH23*BH126</f>
        <v>26282.6833084479</v>
      </c>
      <c r="BI52" s="416">
        <f>Detail!$F$78*BI23*BI126</f>
        <v>26348.390016719026</v>
      </c>
      <c r="BJ52" s="416">
        <f>Detail!$F$78*BJ23*BJ126</f>
        <v>26414.260991760817</v>
      </c>
      <c r="BK52" s="416">
        <f>Detail!$F$78*BK23*BK126</f>
        <v>26480.296644240221</v>
      </c>
      <c r="BL52" s="416">
        <f>Detail!$F$78*BL23*BL126</f>
        <v>26546.49738585082</v>
      </c>
      <c r="BM52" s="416">
        <f>Detail!$F$78*BM23*BM126</f>
        <v>26612.863629315441</v>
      </c>
      <c r="BN52" s="416">
        <f>Detail!$F$78*BN23*BN126</f>
        <v>26679.395788388731</v>
      </c>
      <c r="BO52" s="416">
        <f>Detail!$F$78*BO23*BO126</f>
        <v>26746.094277859698</v>
      </c>
      <c r="BP52" s="416">
        <f>Detail!$F$78*BP23*BP126</f>
        <v>26812.95951355435</v>
      </c>
      <c r="BQ52" s="416">
        <f>Detail!$F$78*BQ23*BQ126</f>
        <v>26879.991912338235</v>
      </c>
      <c r="BR52" s="416">
        <f>Detail!$F$78*BR23*BR126</f>
        <v>26947.191892119081</v>
      </c>
      <c r="BS52" s="416">
        <f>Detail!$F$78*BS23*BS126</f>
        <v>27014.559871849375</v>
      </c>
      <c r="BT52" s="416">
        <f>Detail!$F$78*BT23*BT126</f>
        <v>27082.096271529004</v>
      </c>
      <c r="BU52" s="416">
        <f>Detail!$F$78*BU23*BU126</f>
        <v>27149.801512207818</v>
      </c>
      <c r="BV52" s="416">
        <f>Detail!$F$78*BV23*BV126</f>
        <v>27217.676015988331</v>
      </c>
      <c r="BW52" s="416">
        <f>Detail!$F$78*BW23*BW126</f>
        <v>27285.720206028309</v>
      </c>
      <c r="BX52" s="416">
        <f>Detail!$F$78*BX23*BX126</f>
        <v>27353.934506543381</v>
      </c>
      <c r="BY52" s="416">
        <f>Detail!$F$78*BY23*BY126</f>
        <v>27422.319342809737</v>
      </c>
      <c r="BZ52" s="416">
        <f>Detail!$F$78*BZ23*BZ126</f>
        <v>27490.875141166758</v>
      </c>
      <c r="CA52" s="416">
        <f>Detail!$F$78*CA23*CA126</f>
        <v>27559.602329019675</v>
      </c>
      <c r="CB52" s="416">
        <f>Detail!$F$78*CB23*CB126</f>
        <v>27628.501334842225</v>
      </c>
      <c r="CC52" s="416">
        <f>Detail!$F$78*CC23*CC126</f>
        <v>27697.572588179326</v>
      </c>
      <c r="CD52" s="416">
        <f>Detail!$F$78*CD23*CD126</f>
        <v>27766.816519649768</v>
      </c>
      <c r="CE52" s="416">
        <f>Detail!$F$78*CE23*CE126</f>
        <v>27836.233560948895</v>
      </c>
      <c r="CF52" s="416">
        <f>Detail!$F$78*CF23*CF126</f>
        <v>27905.824144851267</v>
      </c>
      <c r="CG52" s="416">
        <f>Detail!$F$78*CG23*CG126</f>
        <v>27975.588705213395</v>
      </c>
      <c r="CH52" s="416">
        <f>Detail!$F$78*CH23*CH126</f>
        <v>28045.52767697642</v>
      </c>
      <c r="CI52" s="416">
        <f>Detail!$F$78*CI23*CI126</f>
        <v>28115.641496168864</v>
      </c>
      <c r="CJ52" s="416">
        <f>Detail!$F$78*CJ23*CJ126</f>
        <v>28185.93059990929</v>
      </c>
      <c r="CK52" s="416">
        <f>Detail!$F$78*CK23*CK126</f>
        <v>28256.395426409053</v>
      </c>
      <c r="CL52" s="416">
        <f>Detail!$F$78*CL23*CL126</f>
        <v>28327.036414975075</v>
      </c>
      <c r="CM52" s="416">
        <f>Detail!$F$78*CM23*CM126</f>
        <v>28397.85400601252</v>
      </c>
      <c r="CN52" s="416">
        <f>Detail!$F$78*CN23*CN126</f>
        <v>28468.848641027544</v>
      </c>
      <c r="CO52" s="416">
        <f>Detail!$F$78*CO23*CO126</f>
        <v>28540.02076263012</v>
      </c>
      <c r="CP52" s="416">
        <f>Detail!$F$78*CP23*CP126</f>
        <v>28611.370814536691</v>
      </c>
      <c r="CQ52" s="416">
        <f>Detail!$F$78*CQ23*CQ126</f>
        <v>28682.899241573028</v>
      </c>
      <c r="CR52" s="416">
        <f>Detail!$F$78*CR23*CR126</f>
        <v>28754.606489676964</v>
      </c>
      <c r="CS52" s="416">
        <f>Detail!$F$78*CS23*CS126</f>
        <v>28826.493005901146</v>
      </c>
      <c r="CT52" s="416">
        <f>Detail!$F$78*CT23*CT126</f>
        <v>28898.559238415903</v>
      </c>
      <c r="CU52" s="416">
        <f>Detail!$F$78*CU23*CU126</f>
        <v>28970.805636511937</v>
      </c>
      <c r="CV52" s="416">
        <f>Detail!$F$78*CV23*CV126</f>
        <v>29043.232650603222</v>
      </c>
      <c r="CW52" s="416">
        <f>Detail!$F$78*CW23*CW126</f>
        <v>29115.840732229732</v>
      </c>
      <c r="CX52" s="416">
        <f>Detail!$F$78*CX23*CX126</f>
        <v>29188.630334060301</v>
      </c>
      <c r="CY52" s="416">
        <f>Detail!$F$78*CY23*CY126</f>
        <v>29261.601909895446</v>
      </c>
      <c r="CZ52" s="416">
        <f>Detail!$F$78*CZ23*CZ126</f>
        <v>29334.755914670193</v>
      </c>
      <c r="DA52" s="416">
        <f>Detail!$F$78*DA23*DA126</f>
        <v>29408.092804456861</v>
      </c>
      <c r="DB52" s="416">
        <f>Detail!$F$78*DB23*DB126</f>
        <v>29481.613036467999</v>
      </c>
      <c r="DC52" s="416">
        <f>Detail!$F$78*DC23*DC126</f>
        <v>29555.317069059172</v>
      </c>
      <c r="DD52" s="416">
        <f>Detail!$F$78*DD23*DD126</f>
        <v>29629.20536173182</v>
      </c>
      <c r="DE52" s="416">
        <f>Detail!$F$78*DE23*DE126</f>
        <v>29703.278375136142</v>
      </c>
      <c r="DF52" s="416">
        <f>Detail!$F$78*DF23*DF126</f>
        <v>29777.536571073982</v>
      </c>
      <c r="DG52" s="416">
        <f>Detail!$F$78*DG23*DG126</f>
        <v>29851.980412501674</v>
      </c>
      <c r="DH52" s="416">
        <f>Detail!$F$78*DH23*DH126</f>
        <v>29926.610363532927</v>
      </c>
      <c r="DI52" s="416">
        <f>Detail!$F$78*DI23*DI126</f>
        <v>30001.426889441747</v>
      </c>
      <c r="DJ52" s="416">
        <f>Detail!$F$78*DJ23*DJ126</f>
        <v>30076.430456665355</v>
      </c>
      <c r="DK52" s="416">
        <f>Detail!$F$78*DK23*DK126</f>
        <v>30151.621532807021</v>
      </c>
      <c r="DL52" s="416">
        <f>Detail!$F$78*DL23*DL126</f>
        <v>30227.000586639035</v>
      </c>
      <c r="DM52" s="416">
        <f>Detail!$F$78*DM23*DM126</f>
        <v>30302.568088105629</v>
      </c>
      <c r="DN52" s="416">
        <f>Detail!$F$78*DN23*DN126</f>
        <v>30378.324508325892</v>
      </c>
      <c r="DO52" s="416">
        <f>Detail!$F$78*DO23*DO126</f>
        <v>30454.270319596704</v>
      </c>
      <c r="DP52" s="416">
        <f>Detail!$F$78*DP23*DP126</f>
        <v>30530.4059953957</v>
      </c>
      <c r="DQ52" s="416">
        <f>Detail!$F$78*DQ23*DQ126</f>
        <v>30606.732010384178</v>
      </c>
      <c r="DR52" s="416">
        <f>Detail!$F$78*DR23*DR126</f>
        <v>30683.248840410139</v>
      </c>
      <c r="DS52" s="416">
        <f>Detail!$F$78*DS23*DS126</f>
        <v>30759.956962511173</v>
      </c>
      <c r="DT52" s="416">
        <f>Detail!$F$78*DT23*DT126</f>
        <v>30836.856854917442</v>
      </c>
      <c r="DU52" s="416">
        <f>Detail!$F$78*DU23*DU126</f>
        <v>30913.94899705474</v>
      </c>
      <c r="DV52" s="416">
        <f>Detail!$F$78*DV23*DV126</f>
        <v>30991.23386954737</v>
      </c>
      <c r="DW52" s="416">
        <f>Detail!$F$78*DW23*DW126</f>
        <v>31068.711954221239</v>
      </c>
      <c r="DX52" s="416">
        <f>Detail!$F$78*DX23*DX126</f>
        <v>31146.383734106792</v>
      </c>
      <c r="DY52" s="416">
        <f>Detail!$F$78*DY23*DY126</f>
        <v>31224.249693442049</v>
      </c>
      <c r="DZ52" s="416">
        <f>Detail!$F$78*DZ23*DZ126</f>
        <v>31302.310317675656</v>
      </c>
      <c r="EA52" s="416">
        <f>Detail!$F$78*EA23*EA126</f>
        <v>31380.566093469839</v>
      </c>
      <c r="EB52" s="416">
        <f>Detail!$F$78*EB23*EB126</f>
        <v>31459.017508703517</v>
      </c>
      <c r="EC52" s="416">
        <f>Detail!$F$78*EC23*EC126</f>
        <v>31537.665052475277</v>
      </c>
      <c r="ED52" s="416">
        <f>Detail!$F$78*ED23*ED126</f>
        <v>31616.509215106467</v>
      </c>
      <c r="EE52" s="416">
        <f>Detail!$F$78*EE23*EE126</f>
        <v>31695.550488144228</v>
      </c>
      <c r="EF52" s="416">
        <f>Detail!$F$78*EF23*EF126</f>
        <v>31774.789364364595</v>
      </c>
      <c r="EG52" s="416">
        <f>Detail!$F$78*EG23*EG126</f>
        <v>31854.226337775497</v>
      </c>
      <c r="EH52" s="416">
        <f>Detail!$F$78*EH23*EH126</f>
        <v>31933.861903619927</v>
      </c>
      <c r="EI52" s="416">
        <f>Detail!$F$78*EI23*EI126</f>
        <v>32013.696558378982</v>
      </c>
      <c r="EJ52" s="416">
        <f>Detail!$F$78*EJ23*EJ126</f>
        <v>32093.73079977493</v>
      </c>
      <c r="EK52" s="416">
        <f>Detail!$F$78*EK23*EK126</f>
        <v>32173.965126774365</v>
      </c>
      <c r="EL52" s="416">
        <f>Detail!$F$78*EL23*EL126</f>
        <v>32254.400039591299</v>
      </c>
      <c r="EM52" s="416">
        <f>Detail!$F$78*EM23*EM126</f>
        <v>32335.036039690272</v>
      </c>
      <c r="EN52" s="416">
        <f>Detail!$F$78*EN23*EN126</f>
        <v>32415.873629789501</v>
      </c>
      <c r="EO52" s="416">
        <f>Detail!$F$78*EO23*EO126</f>
        <v>32496.913313863966</v>
      </c>
      <c r="EP52" s="416">
        <f>Detail!$F$78*EP23*EP126</f>
        <v>32578.155597148627</v>
      </c>
      <c r="EQ52" s="416">
        <f>Detail!$F$78*EQ23*EQ126</f>
        <v>32659.600986141504</v>
      </c>
      <c r="ER52" s="416">
        <f>Detail!$F$78*ER23*ER126</f>
        <v>32741.249988606854</v>
      </c>
      <c r="ES52" s="416">
        <f>Detail!$F$78*ES23*ES126</f>
        <v>32823.103113578371</v>
      </c>
      <c r="ET52" s="416">
        <f>Detail!$F$78*ET23*ET126</f>
        <v>32905.160871362306</v>
      </c>
      <c r="EU52" s="416">
        <f>Detail!$F$78*EU23*EU126</f>
        <v>32987.423773540722</v>
      </c>
      <c r="EV52" s="416">
        <f>Detail!$F$78*EV23*EV126</f>
        <v>33069.892332974574</v>
      </c>
      <c r="EW52" s="416">
        <f>Detail!$F$78*EW23*EW126</f>
        <v>33152.567063807001</v>
      </c>
      <c r="EX52" s="416">
        <f>Detail!$F$78*EX23*EX126</f>
        <v>33235.448481466512</v>
      </c>
      <c r="EY52" s="416">
        <f>Detail!$F$78*EY23*EY126</f>
        <v>33318.537102670183</v>
      </c>
      <c r="EZ52" s="416">
        <f>Detail!$F$78*EZ23*EZ126</f>
        <v>33401.833445426855</v>
      </c>
      <c r="FA52" s="416">
        <f>Detail!$F$78*FA23*FA126</f>
        <v>33485.338029040431</v>
      </c>
      <c r="FB52" s="416">
        <f>Detail!$F$78*FB23*FB126</f>
        <v>33569.05137411302</v>
      </c>
      <c r="FC52" s="416">
        <f>Detail!$F$78*FC23*FC126</f>
        <v>33652.974002548312</v>
      </c>
      <c r="FD52" s="416">
        <f>Detail!$F$78*FD23*FD126</f>
        <v>33737.10643755467</v>
      </c>
      <c r="FE52" s="416">
        <f>Detail!$F$78*FE23*FE126</f>
        <v>33821.449203648546</v>
      </c>
      <c r="FF52" s="416">
        <f>Detail!$F$78*FF23*FF126</f>
        <v>33906.002826657677</v>
      </c>
      <c r="FG52" s="416">
        <f>Detail!$F$78*FG23*FG126</f>
        <v>33990.767833724312</v>
      </c>
      <c r="FH52" s="416">
        <f>Detail!$F$78*FH23*FH126</f>
        <v>34075.744753308631</v>
      </c>
      <c r="FI52" s="416">
        <f>Detail!$F$78*FI23*FI126</f>
        <v>34160.9341151919</v>
      </c>
      <c r="FJ52" s="416">
        <f>Detail!$F$78*FJ23*FJ126</f>
        <v>34246.336450479881</v>
      </c>
      <c r="FK52" s="416">
        <f>Detail!$F$78*FK23*FK126</f>
        <v>34331.952291606074</v>
      </c>
      <c r="FL52" s="416">
        <f>Detail!$F$78*FL23*FL126</f>
        <v>34417.782172335093</v>
      </c>
      <c r="FM52" s="416">
        <f>Detail!$F$78*FM23*FM126</f>
        <v>34503.826627765928</v>
      </c>
      <c r="FN52" s="416">
        <f>Detail!$F$78*FN23*FN126</f>
        <v>34590.086194335337</v>
      </c>
      <c r="FO52" s="416">
        <f>Detail!$F$78*FO23*FO126</f>
        <v>34676.561409821181</v>
      </c>
      <c r="FP52" s="416">
        <f>Detail!$F$78*FP23*FP126</f>
        <v>34763.252813345731</v>
      </c>
      <c r="FQ52" s="416">
        <f>Detail!$F$78*FQ23*FQ126</f>
        <v>34850.160945379088</v>
      </c>
      <c r="FR52" s="416">
        <f>Detail!$F$78*FR23*FR126</f>
        <v>34937.286347742534</v>
      </c>
      <c r="FS52" s="416">
        <f>Detail!$F$78*FS23*FS126</f>
        <v>35024.629563611896</v>
      </c>
      <c r="FT52" s="587">
        <f t="shared" si="84"/>
        <v>162791.99999999997</v>
      </c>
      <c r="FU52" s="587">
        <f t="shared" si="84"/>
        <v>283648.75108619092</v>
      </c>
      <c r="FV52" s="587">
        <f t="shared" si="84"/>
        <v>292276.19927779847</v>
      </c>
      <c r="FW52" s="587">
        <f t="shared" si="84"/>
        <v>301166.05956187542</v>
      </c>
      <c r="FX52" s="587">
        <f t="shared" si="84"/>
        <v>310326.31345332018</v>
      </c>
    </row>
    <row r="53" spans="2:183" ht="12.75" customHeight="1" outlineLevel="1">
      <c r="B53" s="574" t="s">
        <v>313</v>
      </c>
      <c r="C53" s="575"/>
      <c r="D53" s="610"/>
      <c r="E53" s="416">
        <f>Detail!$F$79*E23*E126</f>
        <v>8207.9999999999982</v>
      </c>
      <c r="F53" s="416">
        <f>Detail!$F$79*F23*F126</f>
        <v>8207.9999999999982</v>
      </c>
      <c r="G53" s="416">
        <f>Detail!$F$79*G23*G126</f>
        <v>8207.9999999999982</v>
      </c>
      <c r="H53" s="416">
        <f>Detail!$F$79*H23*H126</f>
        <v>8207.9999999999982</v>
      </c>
      <c r="I53" s="416">
        <f>Detail!$F$79*I23*I126</f>
        <v>8207.9999999999982</v>
      </c>
      <c r="J53" s="416">
        <f>Detail!$F$79*J23*J126</f>
        <v>8207.9999999999982</v>
      </c>
      <c r="K53" s="416">
        <f>Detail!$F$79*K23*K126</f>
        <v>8207.9999999999982</v>
      </c>
      <c r="L53" s="416">
        <f>Detail!$F$79*L23*L126</f>
        <v>8228.5199999999986</v>
      </c>
      <c r="M53" s="416">
        <f>Detail!$F$79*M23*M126</f>
        <v>8249.0912999999964</v>
      </c>
      <c r="N53" s="416">
        <f>Detail!$F$79*N23*N126</f>
        <v>8269.7140282499968</v>
      </c>
      <c r="O53" s="416">
        <f>Detail!$F$79*O23*O126</f>
        <v>8290.3883133206218</v>
      </c>
      <c r="P53" s="416">
        <f>Detail!$F$79*P23*P126</f>
        <v>8311.1142841039236</v>
      </c>
      <c r="Q53" s="416">
        <f>Detail!$F$79*Q23*Q126</f>
        <v>8331.892069814181</v>
      </c>
      <c r="R53" s="416">
        <f>Detail!$F$79*R23*R126</f>
        <v>8352.7217999887162</v>
      </c>
      <c r="S53" s="416">
        <f>Detail!$F$79*S23*S126</f>
        <v>8373.6036044886878</v>
      </c>
      <c r="T53" s="416">
        <f>Detail!$F$79*T23*T126</f>
        <v>8394.5376134999096</v>
      </c>
      <c r="U53" s="416">
        <f>Detail!$F$79*U23*U126</f>
        <v>8415.5239575336582</v>
      </c>
      <c r="V53" s="416">
        <f>Detail!$F$79*V23*V126</f>
        <v>8436.5627674274911</v>
      </c>
      <c r="W53" s="416">
        <f>Detail!$F$79*W23*W126</f>
        <v>8457.6541743460621</v>
      </c>
      <c r="X53" s="416">
        <f>Detail!$F$79*X23*X126</f>
        <v>8478.7983097819269</v>
      </c>
      <c r="Y53" s="416">
        <f>Detail!$F$79*Y23*Y126</f>
        <v>8499.9953055563801</v>
      </c>
      <c r="Z53" s="416">
        <f>Detail!$F$79*Z23*Z126</f>
        <v>8521.2452938202696</v>
      </c>
      <c r="AA53" s="416">
        <f>Detail!$F$79*AA23*AA126</f>
        <v>8542.5484070548209</v>
      </c>
      <c r="AB53" s="416">
        <f>Detail!$F$79*AB23*AB126</f>
        <v>8563.9047780724577</v>
      </c>
      <c r="AC53" s="416">
        <f>Detail!$F$79*AC23*AC126</f>
        <v>8585.31454001764</v>
      </c>
      <c r="AD53" s="416">
        <f>Detail!$F$79*AD23*AD126</f>
        <v>8606.7778263676828</v>
      </c>
      <c r="AE53" s="416">
        <f>Detail!$F$79*AE23*AE126</f>
        <v>8628.2947709336022</v>
      </c>
      <c r="AF53" s="416">
        <f>Detail!$F$79*AF23*AF126</f>
        <v>8649.8655078609354</v>
      </c>
      <c r="AG53" s="416">
        <f>Detail!$F$79*AG23*AG126</f>
        <v>8671.4901716305849</v>
      </c>
      <c r="AH53" s="416">
        <f>Detail!$F$79*AH23*AH126</f>
        <v>8693.1688970596624</v>
      </c>
      <c r="AI53" s="416">
        <f>Detail!$F$79*AI23*AI126</f>
        <v>8714.9018193023112</v>
      </c>
      <c r="AJ53" s="416">
        <f>Detail!$F$79*AJ23*AJ126</f>
        <v>8736.6890738505681</v>
      </c>
      <c r="AK53" s="416">
        <f>Detail!$F$79*AK23*AK126</f>
        <v>8758.5307965351931</v>
      </c>
      <c r="AL53" s="416">
        <f>Detail!$F$79*AL23*AL126</f>
        <v>8780.4271235265296</v>
      </c>
      <c r="AM53" s="416">
        <f>Detail!$F$79*AM23*AM126</f>
        <v>8802.3781913353469</v>
      </c>
      <c r="AN53" s="416">
        <f>Detail!$F$79*AN23*AN126</f>
        <v>8824.3841368136873</v>
      </c>
      <c r="AO53" s="416">
        <f>Detail!$F$79*AO23*AO126</f>
        <v>8846.445097155718</v>
      </c>
      <c r="AP53" s="416">
        <f>Detail!$F$79*AP23*AP126</f>
        <v>8868.5612098986057</v>
      </c>
      <c r="AQ53" s="416">
        <f>Detail!$F$79*AQ23*AQ126</f>
        <v>8890.7326129233534</v>
      </c>
      <c r="AR53" s="416">
        <f>Detail!$F$79*AR23*AR126</f>
        <v>8912.9594444556624</v>
      </c>
      <c r="AS53" s="416">
        <f>Detail!$F$79*AS23*AS126</f>
        <v>8935.2418430668004</v>
      </c>
      <c r="AT53" s="416">
        <f>Detail!$F$79*AT23*AT126</f>
        <v>8957.5799476744669</v>
      </c>
      <c r="AU53" s="416">
        <f>Detail!$F$79*AU23*AU126</f>
        <v>8979.9738975436539</v>
      </c>
      <c r="AV53" s="416">
        <f>Detail!$F$79*AV23*AV126</f>
        <v>9002.4238322875135</v>
      </c>
      <c r="AW53" s="416">
        <f>Detail!$F$79*AW23*AW126</f>
        <v>9024.9298918682289</v>
      </c>
      <c r="AX53" s="416">
        <f>Detail!$F$79*AX23*AX126</f>
        <v>9047.4922165979006</v>
      </c>
      <c r="AY53" s="416">
        <f>Detail!$F$79*AY23*AY126</f>
        <v>9070.1109471393956</v>
      </c>
      <c r="AZ53" s="416">
        <f>Detail!$F$79*AZ23*AZ126</f>
        <v>9092.7862245072429</v>
      </c>
      <c r="BA53" s="416">
        <f>Detail!$F$79*BA23*BA126</f>
        <v>9115.5181900685093</v>
      </c>
      <c r="BB53" s="416">
        <f>Detail!$F$79*BB23*BB126</f>
        <v>9138.3069855436806</v>
      </c>
      <c r="BC53" s="416">
        <f>Detail!$F$79*BC23*BC126</f>
        <v>9161.15275300754</v>
      </c>
      <c r="BD53" s="416">
        <f>Detail!$F$79*BD23*BD126</f>
        <v>9184.0556348900591</v>
      </c>
      <c r="BE53" s="416">
        <f>Detail!$F$79*BE23*BE126</f>
        <v>9207.0157739772822</v>
      </c>
      <c r="BF53" s="416">
        <f>Detail!$F$79*BF23*BF126</f>
        <v>9230.0333134122247</v>
      </c>
      <c r="BG53" s="416">
        <f>Detail!$F$79*BG23*BG126</f>
        <v>9253.1083966957576</v>
      </c>
      <c r="BH53" s="416">
        <f>Detail!$F$79*BH23*BH126</f>
        <v>9276.2411676874945</v>
      </c>
      <c r="BI53" s="416">
        <f>Detail!$F$79*BI23*BI126</f>
        <v>9299.4317706067141</v>
      </c>
      <c r="BJ53" s="416">
        <f>Detail!$F$79*BJ23*BJ126</f>
        <v>9322.6803500332298</v>
      </c>
      <c r="BK53" s="416">
        <f>Detail!$F$79*BK23*BK126</f>
        <v>9345.9870509083139</v>
      </c>
      <c r="BL53" s="416">
        <f>Detail!$F$79*BL23*BL126</f>
        <v>9369.3520185355828</v>
      </c>
      <c r="BM53" s="416">
        <f>Detail!$F$79*BM23*BM126</f>
        <v>9392.7753985819199</v>
      </c>
      <c r="BN53" s="416">
        <f>Detail!$F$79*BN23*BN126</f>
        <v>9416.2573370783757</v>
      </c>
      <c r="BO53" s="416">
        <f>Detail!$F$79*BO23*BO126</f>
        <v>9439.79798042107</v>
      </c>
      <c r="BP53" s="416">
        <f>Detail!$F$79*BP23*BP126</f>
        <v>9463.3974753721232</v>
      </c>
      <c r="BQ53" s="416">
        <f>Detail!$F$79*BQ23*BQ126</f>
        <v>9487.0559690605533</v>
      </c>
      <c r="BR53" s="416">
        <f>Detail!$F$79*BR23*BR126</f>
        <v>9510.7736089832051</v>
      </c>
      <c r="BS53" s="416">
        <f>Detail!$F$79*BS23*BS126</f>
        <v>9534.5505430056619</v>
      </c>
      <c r="BT53" s="416">
        <f>Detail!$F$79*BT23*BT126</f>
        <v>9558.3869193631781</v>
      </c>
      <c r="BU53" s="416">
        <f>Detail!$F$79*BU23*BU126</f>
        <v>9582.2828866615819</v>
      </c>
      <c r="BV53" s="416">
        <f>Detail!$F$79*BV23*BV126</f>
        <v>9606.2385938782336</v>
      </c>
      <c r="BW53" s="416">
        <f>Detail!$F$79*BW23*BW126</f>
        <v>9630.2541903629317</v>
      </c>
      <c r="BX53" s="416">
        <f>Detail!$F$79*BX23*BX126</f>
        <v>9654.3298258388404</v>
      </c>
      <c r="BY53" s="416">
        <f>Detail!$F$79*BY23*BY126</f>
        <v>9678.4656504034356</v>
      </c>
      <c r="BZ53" s="416">
        <f>Detail!$F$79*BZ23*BZ126</f>
        <v>9702.6618145294433</v>
      </c>
      <c r="CA53" s="416">
        <f>Detail!$F$79*CA23*CA126</f>
        <v>9726.9184690657676</v>
      </c>
      <c r="CB53" s="416">
        <f>Detail!$F$79*CB23*CB126</f>
        <v>9751.2357652384308</v>
      </c>
      <c r="CC53" s="416">
        <f>Detail!$F$79*CC23*CC126</f>
        <v>9775.6138546515249</v>
      </c>
      <c r="CD53" s="416">
        <f>Detail!$F$79*CD23*CD126</f>
        <v>9800.0528892881539</v>
      </c>
      <c r="CE53" s="416">
        <f>Detail!$F$79*CE23*CE126</f>
        <v>9824.553021511374</v>
      </c>
      <c r="CF53" s="416">
        <f>Detail!$F$79*CF23*CF126</f>
        <v>9849.1144040651525</v>
      </c>
      <c r="CG53" s="416">
        <f>Detail!$F$79*CG23*CG126</f>
        <v>9873.7371900753151</v>
      </c>
      <c r="CH53" s="416">
        <f>Detail!$F$79*CH23*CH126</f>
        <v>9898.4215330505012</v>
      </c>
      <c r="CI53" s="416">
        <f>Detail!$F$79*CI23*CI126</f>
        <v>9923.167586883128</v>
      </c>
      <c r="CJ53" s="416">
        <f>Detail!$F$79*CJ23*CJ126</f>
        <v>9947.9755058503379</v>
      </c>
      <c r="CK53" s="416">
        <f>Detail!$F$79*CK23*CK126</f>
        <v>9972.8454446149608</v>
      </c>
      <c r="CL53" s="416">
        <f>Detail!$F$79*CL23*CL126</f>
        <v>9997.7775582264967</v>
      </c>
      <c r="CM53" s="416">
        <f>Detail!$F$79*CM23*CM126</f>
        <v>10022.772002122065</v>
      </c>
      <c r="CN53" s="416">
        <f>Detail!$F$79*CN23*CN126</f>
        <v>10047.828932127368</v>
      </c>
      <c r="CO53" s="416">
        <f>Detail!$F$79*CO23*CO126</f>
        <v>10072.948504457689</v>
      </c>
      <c r="CP53" s="416">
        <f>Detail!$F$79*CP23*CP126</f>
        <v>10098.130875718831</v>
      </c>
      <c r="CQ53" s="416">
        <f>Detail!$F$79*CQ23*CQ126</f>
        <v>10123.376202908128</v>
      </c>
      <c r="CR53" s="416">
        <f>Detail!$F$79*CR23*CR126</f>
        <v>10148.684643415398</v>
      </c>
      <c r="CS53" s="416">
        <f>Detail!$F$79*CS23*CS126</f>
        <v>10174.056355023933</v>
      </c>
      <c r="CT53" s="416">
        <f>Detail!$F$79*CT23*CT126</f>
        <v>10199.491495911494</v>
      </c>
      <c r="CU53" s="416">
        <f>Detail!$F$79*CU23*CU126</f>
        <v>10224.990224651272</v>
      </c>
      <c r="CV53" s="416">
        <f>Detail!$F$79*CV23*CV126</f>
        <v>10250.5527002129</v>
      </c>
      <c r="CW53" s="416">
        <f>Detail!$F$79*CW23*CW126</f>
        <v>10276.179081963433</v>
      </c>
      <c r="CX53" s="416">
        <f>Detail!$F$79*CX23*CX126</f>
        <v>10301.86952966834</v>
      </c>
      <c r="CY53" s="416">
        <f>Detail!$F$79*CY23*CY126</f>
        <v>10327.624203492511</v>
      </c>
      <c r="CZ53" s="416">
        <f>Detail!$F$79*CZ23*CZ126</f>
        <v>10353.443264001244</v>
      </c>
      <c r="DA53" s="416">
        <f>Detail!$F$79*DA23*DA126</f>
        <v>10379.326872161244</v>
      </c>
      <c r="DB53" s="416">
        <f>Detail!$F$79*DB23*DB126</f>
        <v>10405.275189341646</v>
      </c>
      <c r="DC53" s="416">
        <f>Detail!$F$79*DC23*DC126</f>
        <v>10431.288377315001</v>
      </c>
      <c r="DD53" s="416">
        <f>Detail!$F$79*DD23*DD126</f>
        <v>10457.36659825829</v>
      </c>
      <c r="DE53" s="416">
        <f>Detail!$F$79*DE23*DE126</f>
        <v>10483.510014753932</v>
      </c>
      <c r="DF53" s="416">
        <f>Detail!$F$79*DF23*DF126</f>
        <v>10509.718789790817</v>
      </c>
      <c r="DG53" s="416">
        <f>Detail!$F$79*DG23*DG126</f>
        <v>10535.993086765297</v>
      </c>
      <c r="DH53" s="416">
        <f>Detail!$F$79*DH23*DH126</f>
        <v>10562.333069482209</v>
      </c>
      <c r="DI53" s="416">
        <f>Detail!$F$79*DI23*DI126</f>
        <v>10588.73890215591</v>
      </c>
      <c r="DJ53" s="416">
        <f>Detail!$F$79*DJ23*DJ126</f>
        <v>10615.210749411302</v>
      </c>
      <c r="DK53" s="416">
        <f>Detail!$F$79*DK23*DK126</f>
        <v>10641.74877628483</v>
      </c>
      <c r="DL53" s="416">
        <f>Detail!$F$79*DL23*DL126</f>
        <v>10668.35314822554</v>
      </c>
      <c r="DM53" s="416">
        <f>Detail!$F$79*DM23*DM126</f>
        <v>10695.024031096103</v>
      </c>
      <c r="DN53" s="416">
        <f>Detail!$F$79*DN23*DN126</f>
        <v>10721.761591173843</v>
      </c>
      <c r="DO53" s="416">
        <f>Detail!$F$79*DO23*DO126</f>
        <v>10748.565995151777</v>
      </c>
      <c r="DP53" s="416">
        <f>Detail!$F$79*DP23*DP126</f>
        <v>10775.437410139659</v>
      </c>
      <c r="DQ53" s="416">
        <f>Detail!$F$79*DQ23*DQ126</f>
        <v>10802.376003665004</v>
      </c>
      <c r="DR53" s="416">
        <f>Detail!$F$79*DR23*DR126</f>
        <v>10829.381943674165</v>
      </c>
      <c r="DS53" s="416">
        <f>Detail!$F$79*DS23*DS126</f>
        <v>10856.455398533355</v>
      </c>
      <c r="DT53" s="416">
        <f>Detail!$F$79*DT23*DT126</f>
        <v>10883.596537029685</v>
      </c>
      <c r="DU53" s="416">
        <f>Detail!$F$79*DU23*DU126</f>
        <v>10910.805528372261</v>
      </c>
      <c r="DV53" s="416">
        <f>Detail!$F$79*DV23*DV126</f>
        <v>10938.082542193188</v>
      </c>
      <c r="DW53" s="416">
        <f>Detail!$F$79*DW23*DW126</f>
        <v>10965.427748548671</v>
      </c>
      <c r="DX53" s="416">
        <f>Detail!$F$79*DX23*DX126</f>
        <v>10992.841317920043</v>
      </c>
      <c r="DY53" s="416">
        <f>Detail!$F$79*DY23*DY126</f>
        <v>11020.32342121484</v>
      </c>
      <c r="DZ53" s="416">
        <f>Detail!$F$79*DZ23*DZ126</f>
        <v>11047.874229767878</v>
      </c>
      <c r="EA53" s="416">
        <f>Detail!$F$79*EA23*EA126</f>
        <v>11075.493915342295</v>
      </c>
      <c r="EB53" s="416">
        <f>Detail!$F$79*EB23*EB126</f>
        <v>11103.182650130653</v>
      </c>
      <c r="EC53" s="416">
        <f>Detail!$F$79*EC23*EC126</f>
        <v>11130.940606755979</v>
      </c>
      <c r="ED53" s="416">
        <f>Detail!$F$79*ED23*ED126</f>
        <v>11158.767958272871</v>
      </c>
      <c r="EE53" s="416">
        <f>Detail!$F$79*EE23*EE126</f>
        <v>11186.664878168551</v>
      </c>
      <c r="EF53" s="416">
        <f>Detail!$F$79*EF23*EF126</f>
        <v>11214.631540363973</v>
      </c>
      <c r="EG53" s="416">
        <f>Detail!$F$79*EG23*EG126</f>
        <v>11242.668119214881</v>
      </c>
      <c r="EH53" s="416">
        <f>Detail!$F$79*EH23*EH126</f>
        <v>11270.774789512914</v>
      </c>
      <c r="EI53" s="416">
        <f>Detail!$F$79*EI23*EI126</f>
        <v>11298.951726486699</v>
      </c>
      <c r="EJ53" s="416">
        <f>Detail!$F$79*EJ23*EJ126</f>
        <v>11327.199105802916</v>
      </c>
      <c r="EK53" s="416">
        <f>Detail!$F$79*EK23*EK126</f>
        <v>11355.517103567423</v>
      </c>
      <c r="EL53" s="416">
        <f>Detail!$F$79*EL23*EL126</f>
        <v>11383.90589632634</v>
      </c>
      <c r="EM53" s="416">
        <f>Detail!$F$79*EM23*EM126</f>
        <v>11412.365661067155</v>
      </c>
      <c r="EN53" s="416">
        <f>Detail!$F$79*EN23*EN126</f>
        <v>11440.896575219824</v>
      </c>
      <c r="EO53" s="416">
        <f>Detail!$F$79*EO23*EO126</f>
        <v>11469.49881665787</v>
      </c>
      <c r="EP53" s="416">
        <f>Detail!$F$79*EP23*EP126</f>
        <v>11498.172563699516</v>
      </c>
      <c r="EQ53" s="416">
        <f>Detail!$F$79*EQ23*EQ126</f>
        <v>11526.917995108764</v>
      </c>
      <c r="ER53" s="416">
        <f>Detail!$F$79*ER23*ER126</f>
        <v>11555.735290096536</v>
      </c>
      <c r="ES53" s="416">
        <f>Detail!$F$79*ES23*ES126</f>
        <v>11584.624628321777</v>
      </c>
      <c r="ET53" s="416">
        <f>Detail!$F$79*ET23*ET126</f>
        <v>11613.586189892578</v>
      </c>
      <c r="EU53" s="416">
        <f>Detail!$F$79*EU23*EU126</f>
        <v>11642.620155367313</v>
      </c>
      <c r="EV53" s="416">
        <f>Detail!$F$79*EV23*EV126</f>
        <v>11671.726705755731</v>
      </c>
      <c r="EW53" s="416">
        <f>Detail!$F$79*EW23*EW126</f>
        <v>11700.906022520116</v>
      </c>
      <c r="EX53" s="416">
        <f>Detail!$F$79*EX23*EX126</f>
        <v>11730.158287576414</v>
      </c>
      <c r="EY53" s="416">
        <f>Detail!$F$79*EY23*EY126</f>
        <v>11759.483683295359</v>
      </c>
      <c r="EZ53" s="416">
        <f>Detail!$F$79*EZ23*EZ126</f>
        <v>11788.882392503596</v>
      </c>
      <c r="FA53" s="416">
        <f>Detail!$F$79*FA23*FA126</f>
        <v>11818.354598484855</v>
      </c>
      <c r="FB53" s="416">
        <f>Detail!$F$79*FB23*FB126</f>
        <v>11847.900484981066</v>
      </c>
      <c r="FC53" s="416">
        <f>Detail!$F$79*FC23*FC126</f>
        <v>11877.520236193519</v>
      </c>
      <c r="FD53" s="416">
        <f>Detail!$F$79*FD23*FD126</f>
        <v>11907.214036784</v>
      </c>
      <c r="FE53" s="416">
        <f>Detail!$F$79*FE23*FE126</f>
        <v>11936.982071875958</v>
      </c>
      <c r="FF53" s="416">
        <f>Detail!$F$79*FF23*FF126</f>
        <v>11966.824527055649</v>
      </c>
      <c r="FG53" s="416">
        <f>Detail!$F$79*FG23*FG126</f>
        <v>11996.741588373287</v>
      </c>
      <c r="FH53" s="416">
        <f>Detail!$F$79*FH23*FH126</f>
        <v>12026.733442344223</v>
      </c>
      <c r="FI53" s="416">
        <f>Detail!$F$79*FI23*FI126</f>
        <v>12056.800275950081</v>
      </c>
      <c r="FJ53" s="416">
        <f>Detail!$F$79*FJ23*FJ126</f>
        <v>12086.942276639957</v>
      </c>
      <c r="FK53" s="416">
        <f>Detail!$F$79*FK23*FK126</f>
        <v>12117.159632331555</v>
      </c>
      <c r="FL53" s="416">
        <f>Detail!$F$79*FL23*FL126</f>
        <v>12147.452531412386</v>
      </c>
      <c r="FM53" s="416">
        <f>Detail!$F$79*FM23*FM126</f>
        <v>12177.821162740913</v>
      </c>
      <c r="FN53" s="416">
        <f>Detail!$F$79*FN23*FN126</f>
        <v>12208.265715647763</v>
      </c>
      <c r="FO53" s="416">
        <f>Detail!$F$79*FO23*FO126</f>
        <v>12238.786379936886</v>
      </c>
      <c r="FP53" s="416">
        <f>Detail!$F$79*FP23*FP126</f>
        <v>12269.383345886728</v>
      </c>
      <c r="FQ53" s="416">
        <f>Detail!$F$79*FQ23*FQ126</f>
        <v>12300.056804251442</v>
      </c>
      <c r="FR53" s="416">
        <f>Detail!$F$79*FR23*FR126</f>
        <v>12330.80694626207</v>
      </c>
      <c r="FS53" s="416">
        <f>Detail!$F$79*FS23*FS126</f>
        <v>12361.633963627728</v>
      </c>
      <c r="FT53" s="587">
        <f t="shared" si="84"/>
        <v>57455.999999999993</v>
      </c>
      <c r="FU53" s="587">
        <f t="shared" si="84"/>
        <v>100111.32391277325</v>
      </c>
      <c r="FV53" s="587">
        <f t="shared" si="84"/>
        <v>103156.30562745826</v>
      </c>
      <c r="FW53" s="587">
        <f t="shared" si="84"/>
        <v>106293.90337477958</v>
      </c>
      <c r="FX53" s="587">
        <f t="shared" si="84"/>
        <v>109526.93415999532</v>
      </c>
    </row>
    <row r="54" spans="2:183" ht="12.75" customHeight="1" outlineLevel="1">
      <c r="B54" s="574" t="s">
        <v>314</v>
      </c>
      <c r="C54" s="575"/>
      <c r="D54" s="610"/>
      <c r="E54" s="416">
        <f>IF(E31&gt;=Detail!$F$34,Detail!$L$77*E126,Detail!$L77*'Cash Flow'!E31)</f>
        <v>17772.661177652033</v>
      </c>
      <c r="F54" s="416">
        <f>IF(F31&gt;=Detail!$F$34,Detail!$L$77*F126,Detail!$L77*'Cash Flow'!F31)</f>
        <v>17773.043562652547</v>
      </c>
      <c r="G54" s="416">
        <f>IF(G31&gt;=Detail!$F$34,Detail!$L$77*G126,Detail!$L77*'Cash Flow'!G31)</f>
        <v>17773.41290817126</v>
      </c>
      <c r="H54" s="416">
        <f>IF(H31&gt;=Detail!$F$34,Detail!$L$77*H126,Detail!$L77*'Cash Flow'!H31)</f>
        <v>17773.76966840672</v>
      </c>
      <c r="I54" s="416">
        <f>IF(I31&gt;=Detail!$F$34,Detail!$L$77*I126,Detail!$L77*'Cash Flow'!I31)</f>
        <v>17774.114281104499</v>
      </c>
      <c r="J54" s="416">
        <f>IF(J31&gt;=Detail!$F$34,Detail!$L$77*J126,Detail!$L77*'Cash Flow'!J31)</f>
        <v>17774.447168194816</v>
      </c>
      <c r="K54" s="416">
        <f>IF(K31&gt;=Detail!$F$34,Detail!$L$77*K126,Detail!$L77*'Cash Flow'!K31)</f>
        <v>17774.768736402726</v>
      </c>
      <c r="L54" s="416">
        <f>IF(L31&gt;=Detail!$F$34,Detail!$L$77*L126,Detail!$L77*'Cash Flow'!L31)</f>
        <v>17772.916265858254</v>
      </c>
      <c r="M54" s="416">
        <f>IF(M31&gt;=Detail!$F$34,Detail!$L$77*M126,Detail!$L77*'Cash Flow'!M31)</f>
        <v>17771.123120649587</v>
      </c>
      <c r="N54" s="416">
        <f>IF(N31&gt;=Detail!$F$34,Detail!$L$77*N126,Detail!$L77*'Cash Flow'!N31)</f>
        <v>17769.387627488399</v>
      </c>
      <c r="O54" s="416">
        <f>IF(O31&gt;=Detail!$F$34,Detail!$L$77*O126,Detail!$L77*'Cash Flow'!O31)</f>
        <v>17767.708145023895</v>
      </c>
      <c r="P54" s="416">
        <f>IF(P31&gt;=Detail!$F$34,Detail!$L$77*P126,Detail!$L77*'Cash Flow'!P31)</f>
        <v>17766.083064324357</v>
      </c>
      <c r="Q54" s="416">
        <f>IF(Q31&gt;=Detail!$F$34,Detail!$L$77*Q126,Detail!$L77*'Cash Flow'!Q31)</f>
        <v>19002.560860979716</v>
      </c>
      <c r="R54" s="416">
        <f>IF(R31&gt;=Detail!$F$34,Detail!$L$77*R126,Detail!$L77*'Cash Flow'!R31)</f>
        <v>19050.067263132165</v>
      </c>
      <c r="S54" s="416">
        <f>IF(S31&gt;=Detail!$F$34,Detail!$L$77*S126,Detail!$L77*'Cash Flow'!S31)</f>
        <v>19097.692431289997</v>
      </c>
      <c r="T54" s="416">
        <f>IF(T31&gt;=Detail!$F$34,Detail!$L$77*T126,Detail!$L77*'Cash Flow'!T31)</f>
        <v>19145.436662368222</v>
      </c>
      <c r="U54" s="416">
        <f>IF(U31&gt;=Detail!$F$34,Detail!$L$77*U126,Detail!$L77*'Cash Flow'!U31)</f>
        <v>19193.30025402414</v>
      </c>
      <c r="V54" s="416">
        <f>IF(V31&gt;=Detail!$F$34,Detail!$L$77*V126,Detail!$L77*'Cash Flow'!V31)</f>
        <v>19241.283504659197</v>
      </c>
      <c r="W54" s="416">
        <f>IF(W31&gt;=Detail!$F$34,Detail!$L$77*W126,Detail!$L77*'Cash Flow'!W31)</f>
        <v>19289.386713420845</v>
      </c>
      <c r="X54" s="416">
        <f>IF(X31&gt;=Detail!$F$34,Detail!$L$77*X126,Detail!$L77*'Cash Flow'!X31)</f>
        <v>19337.6101802044</v>
      </c>
      <c r="Y54" s="416">
        <f>IF(Y31&gt;=Detail!$F$34,Detail!$L$77*Y126,Detail!$L77*'Cash Flow'!Y31)</f>
        <v>19385.954205654907</v>
      </c>
      <c r="Z54" s="416">
        <f>IF(Z31&gt;=Detail!$F$34,Detail!$L$77*Z126,Detail!$L77*'Cash Flow'!Z31)</f>
        <v>19434.419091169042</v>
      </c>
      <c r="AA54" s="416">
        <f>IF(AA31&gt;=Detail!$F$34,Detail!$L$77*AA126,Detail!$L77*'Cash Flow'!AA31)</f>
        <v>19483.005138896966</v>
      </c>
      <c r="AB54" s="416">
        <f>IF(AB31&gt;=Detail!$F$34,Detail!$L$77*AB126,Detail!$L77*'Cash Flow'!AB31)</f>
        <v>19531.712651744205</v>
      </c>
      <c r="AC54" s="416">
        <f>IF(AC31&gt;=Detail!$F$34,Detail!$L$77*AC126,Detail!$L77*'Cash Flow'!AC31)</f>
        <v>19580.541933373566</v>
      </c>
      <c r="AD54" s="416">
        <f>IF(AD31&gt;=Detail!$F$34,Detail!$L$77*AD126,Detail!$L77*'Cash Flow'!AD31)</f>
        <v>19629.493288206999</v>
      </c>
      <c r="AE54" s="416">
        <f>IF(AE31&gt;=Detail!$F$34,Detail!$L$77*AE126,Detail!$L77*'Cash Flow'!AE31)</f>
        <v>19678.56702142752</v>
      </c>
      <c r="AF54" s="416">
        <f>IF(AF31&gt;=Detail!$F$34,Detail!$L$77*AF126,Detail!$L77*'Cash Flow'!AF31)</f>
        <v>19727.763438981085</v>
      </c>
      <c r="AG54" s="416">
        <f>IF(AG31&gt;=Detail!$F$34,Detail!$L$77*AG126,Detail!$L77*'Cash Flow'!AG31)</f>
        <v>19777.082847578531</v>
      </c>
      <c r="AH54" s="416">
        <f>IF(AH31&gt;=Detail!$F$34,Detail!$L$77*AH126,Detail!$L77*'Cash Flow'!AH31)</f>
        <v>19826.52555469748</v>
      </c>
      <c r="AI54" s="416">
        <f>IF(AI31&gt;=Detail!$F$34,Detail!$L$77*AI126,Detail!$L77*'Cash Flow'!AI31)</f>
        <v>19876.091868584223</v>
      </c>
      <c r="AJ54" s="416">
        <f>IF(AJ31&gt;=Detail!$F$34,Detail!$L$77*AJ126,Detail!$L77*'Cash Flow'!AJ31)</f>
        <v>19925.782098255684</v>
      </c>
      <c r="AK54" s="416">
        <f>IF(AK31&gt;=Detail!$F$34,Detail!$L$77*AK126,Detail!$L77*'Cash Flow'!AK31)</f>
        <v>19975.596553501324</v>
      </c>
      <c r="AL54" s="416">
        <f>IF(AL31&gt;=Detail!$F$34,Detail!$L$77*AL126,Detail!$L77*'Cash Flow'!AL31)</f>
        <v>20025.535544885075</v>
      </c>
      <c r="AM54" s="416">
        <f>IF(AM31&gt;=Detail!$F$34,Detail!$L$77*AM126,Detail!$L77*'Cash Flow'!AM31)</f>
        <v>20075.599383747285</v>
      </c>
      <c r="AN54" s="416">
        <f>IF(AN31&gt;=Detail!$F$34,Detail!$L$77*AN126,Detail!$L77*'Cash Flow'!AN31)</f>
        <v>20125.788382206658</v>
      </c>
      <c r="AO54" s="416">
        <f>IF(AO31&gt;=Detail!$F$34,Detail!$L$77*AO126,Detail!$L77*'Cash Flow'!AO31)</f>
        <v>20176.102853162167</v>
      </c>
      <c r="AP54" s="416">
        <f>IF(AP31&gt;=Detail!$F$34,Detail!$L$77*AP126,Detail!$L77*'Cash Flow'!AP31)</f>
        <v>20226.543110295072</v>
      </c>
      <c r="AQ54" s="416">
        <f>IF(AQ31&gt;=Detail!$F$34,Detail!$L$77*AQ126,Detail!$L77*'Cash Flow'!AQ31)</f>
        <v>20277.109468070812</v>
      </c>
      <c r="AR54" s="416">
        <f>IF(AR31&gt;=Detail!$F$34,Detail!$L$77*AR126,Detail!$L77*'Cash Flow'!AR31)</f>
        <v>20327.802241740988</v>
      </c>
      <c r="AS54" s="416">
        <f>IF(AS31&gt;=Detail!$F$34,Detail!$L$77*AS126,Detail!$L77*'Cash Flow'!AS31)</f>
        <v>20378.62174734534</v>
      </c>
      <c r="AT54" s="416">
        <f>IF(AT31&gt;=Detail!$F$34,Detail!$L$77*AT126,Detail!$L77*'Cash Flow'!AT31)</f>
        <v>20429.568301713702</v>
      </c>
      <c r="AU54" s="416">
        <f>IF(AU31&gt;=Detail!$F$34,Detail!$L$77*AU126,Detail!$L77*'Cash Flow'!AU31)</f>
        <v>20480.642222467988</v>
      </c>
      <c r="AV54" s="416">
        <f>IF(AV31&gt;=Detail!$F$34,Detail!$L$77*AV126,Detail!$L77*'Cash Flow'!AV31)</f>
        <v>20531.843828024157</v>
      </c>
      <c r="AW54" s="416">
        <f>IF(AW31&gt;=Detail!$F$34,Detail!$L$77*AW126,Detail!$L77*'Cash Flow'!AW31)</f>
        <v>20583.173437594211</v>
      </c>
      <c r="AX54" s="416">
        <f>IF(AX31&gt;=Detail!$F$34,Detail!$L$77*AX126,Detail!$L77*'Cash Flow'!AX31)</f>
        <v>20634.631371188199</v>
      </c>
      <c r="AY54" s="416">
        <f>IF(AY31&gt;=Detail!$F$34,Detail!$L$77*AY126,Detail!$L77*'Cash Flow'!AY31)</f>
        <v>20686.21794961617</v>
      </c>
      <c r="AZ54" s="416">
        <f>IF(AZ31&gt;=Detail!$F$34,Detail!$L$77*AZ126,Detail!$L77*'Cash Flow'!AZ31)</f>
        <v>20737.933494490208</v>
      </c>
      <c r="BA54" s="416">
        <f>IF(BA31&gt;=Detail!$F$34,Detail!$L$77*BA126,Detail!$L77*'Cash Flow'!BA31)</f>
        <v>20789.778328226432</v>
      </c>
      <c r="BB54" s="416">
        <f>IF(BB31&gt;=Detail!$F$34,Detail!$L$77*BB126,Detail!$L77*'Cash Flow'!BB31)</f>
        <v>20841.752774046992</v>
      </c>
      <c r="BC54" s="416">
        <f>IF(BC31&gt;=Detail!$F$34,Detail!$L$77*BC126,Detail!$L77*'Cash Flow'!BC31)</f>
        <v>20893.857155982114</v>
      </c>
      <c r="BD54" s="416">
        <f>IF(BD31&gt;=Detail!$F$34,Detail!$L$77*BD126,Detail!$L77*'Cash Flow'!BD31)</f>
        <v>20946.091798872068</v>
      </c>
      <c r="BE54" s="416">
        <f>IF(BE31&gt;=Detail!$F$34,Detail!$L$77*BE126,Detail!$L77*'Cash Flow'!BE31)</f>
        <v>20998.457028369245</v>
      </c>
      <c r="BF54" s="416">
        <f>IF(BF31&gt;=Detail!$F$34,Detail!$L$77*BF126,Detail!$L77*'Cash Flow'!BF31)</f>
        <v>21050.953170940164</v>
      </c>
      <c r="BG54" s="416">
        <f>IF(BG31&gt;=Detail!$F$34,Detail!$L$77*BG126,Detail!$L77*'Cash Flow'!BG31)</f>
        <v>21103.580553867519</v>
      </c>
      <c r="BH54" s="416">
        <f>IF(BH31&gt;=Detail!$F$34,Detail!$L$77*BH126,Detail!$L77*'Cash Flow'!BH31)</f>
        <v>21156.339505252185</v>
      </c>
      <c r="BI54" s="416">
        <f>IF(BI31&gt;=Detail!$F$34,Detail!$L$77*BI126,Detail!$L77*'Cash Flow'!BI31)</f>
        <v>21209.230354015319</v>
      </c>
      <c r="BJ54" s="416">
        <f>IF(BJ31&gt;=Detail!$F$34,Detail!$L$77*BJ126,Detail!$L77*'Cash Flow'!BJ31)</f>
        <v>21262.253429900353</v>
      </c>
      <c r="BK54" s="416">
        <f>IF(BK31&gt;=Detail!$F$34,Detail!$L$77*BK126,Detail!$L77*'Cash Flow'!BK31)</f>
        <v>21315.409063475105</v>
      </c>
      <c r="BL54" s="416">
        <f>IF(BL31&gt;=Detail!$F$34,Detail!$L$77*BL126,Detail!$L77*'Cash Flow'!BL31)</f>
        <v>21368.697586133792</v>
      </c>
      <c r="BM54" s="416">
        <f>IF(BM31&gt;=Detail!$F$34,Detail!$L$77*BM126,Detail!$L77*'Cash Flow'!BM31)</f>
        <v>21422.119330099122</v>
      </c>
      <c r="BN54" s="416">
        <f>IF(BN31&gt;=Detail!$F$34,Detail!$L$77*BN126,Detail!$L77*'Cash Flow'!BN31)</f>
        <v>21475.674628424367</v>
      </c>
      <c r="BO54" s="416">
        <f>IF(BO31&gt;=Detail!$F$34,Detail!$L$77*BO126,Detail!$L77*'Cash Flow'!BO31)</f>
        <v>21529.363814995428</v>
      </c>
      <c r="BP54" s="416">
        <f>IF(BP31&gt;=Detail!$F$34,Detail!$L$77*BP126,Detail!$L77*'Cash Flow'!BP31)</f>
        <v>21583.187224532918</v>
      </c>
      <c r="BQ54" s="416">
        <f>IF(BQ31&gt;=Detail!$F$34,Detail!$L$77*BQ126,Detail!$L77*'Cash Flow'!BQ31)</f>
        <v>21637.145192594249</v>
      </c>
      <c r="BR54" s="416">
        <f>IF(BR31&gt;=Detail!$F$34,Detail!$L$77*BR126,Detail!$L77*'Cash Flow'!BR31)</f>
        <v>21691.238055575734</v>
      </c>
      <c r="BS54" s="416">
        <f>IF(BS31&gt;=Detail!$F$34,Detail!$L$77*BS126,Detail!$L77*'Cash Flow'!BS31)</f>
        <v>21745.46615071467</v>
      </c>
      <c r="BT54" s="416">
        <f>IF(BT31&gt;=Detail!$F$34,Detail!$L$77*BT126,Detail!$L77*'Cash Flow'!BT31)</f>
        <v>21799.829816091464</v>
      </c>
      <c r="BU54" s="416">
        <f>IF(BU31&gt;=Detail!$F$34,Detail!$L$77*BU126,Detail!$L77*'Cash Flow'!BU31)</f>
        <v>21854.329390631683</v>
      </c>
      <c r="BV54" s="416">
        <f>IF(BV31&gt;=Detail!$F$34,Detail!$L$77*BV126,Detail!$L77*'Cash Flow'!BV31)</f>
        <v>21908.965214108259</v>
      </c>
      <c r="BW54" s="416">
        <f>IF(BW31&gt;=Detail!$F$34,Detail!$L$77*BW126,Detail!$L77*'Cash Flow'!BW31)</f>
        <v>21963.737627143535</v>
      </c>
      <c r="BX54" s="416">
        <f>IF(BX31&gt;=Detail!$F$34,Detail!$L$77*BX126,Detail!$L77*'Cash Flow'!BX31)</f>
        <v>22018.646971211394</v>
      </c>
      <c r="BY54" s="416">
        <f>IF(BY31&gt;=Detail!$F$34,Detail!$L$77*BY126,Detail!$L77*'Cash Flow'!BY31)</f>
        <v>22073.69358863942</v>
      </c>
      <c r="BZ54" s="416">
        <f>IF(BZ31&gt;=Detail!$F$34,Detail!$L$77*BZ126,Detail!$L77*'Cash Flow'!BZ31)</f>
        <v>22128.877822611015</v>
      </c>
      <c r="CA54" s="416">
        <f>IF(CA31&gt;=Detail!$F$34,Detail!$L$77*CA126,Detail!$L77*'Cash Flow'!CA31)</f>
        <v>22184.200017167546</v>
      </c>
      <c r="CB54" s="416">
        <f>IF(CB31&gt;=Detail!$F$34,Detail!$L$77*CB126,Detail!$L77*'Cash Flow'!CB31)</f>
        <v>22239.660517210461</v>
      </c>
      <c r="CC54" s="416">
        <f>IF(CC31&gt;=Detail!$F$34,Detail!$L$77*CC126,Detail!$L77*'Cash Flow'!CC31)</f>
        <v>22295.259668503484</v>
      </c>
      <c r="CD54" s="416">
        <f>IF(CD31&gt;=Detail!$F$34,Detail!$L$77*CD126,Detail!$L77*'Cash Flow'!CD31)</f>
        <v>22350.997817674739</v>
      </c>
      <c r="CE54" s="416">
        <f>IF(CE31&gt;=Detail!$F$34,Detail!$L$77*CE126,Detail!$L77*'Cash Flow'!CE31)</f>
        <v>22406.875312218926</v>
      </c>
      <c r="CF54" s="416">
        <f>IF(CF31&gt;=Detail!$F$34,Detail!$L$77*CF126,Detail!$L77*'Cash Flow'!CF31)</f>
        <v>22462.892500499474</v>
      </c>
      <c r="CG54" s="416">
        <f>IF(CG31&gt;=Detail!$F$34,Detail!$L$77*CG126,Detail!$L77*'Cash Flow'!CG31)</f>
        <v>22519.049731750722</v>
      </c>
      <c r="CH54" s="416">
        <f>IF(CH31&gt;=Detail!$F$34,Detail!$L$77*CH126,Detail!$L77*'Cash Flow'!CH31)</f>
        <v>22575.347356080096</v>
      </c>
      <c r="CI54" s="416">
        <f>IF(CI31&gt;=Detail!$F$34,Detail!$L$77*CI126,Detail!$L77*'Cash Flow'!CI31)</f>
        <v>22631.785724470297</v>
      </c>
      <c r="CJ54" s="416">
        <f>IF(CJ31&gt;=Detail!$F$34,Detail!$L$77*CJ126,Detail!$L77*'Cash Flow'!CJ31)</f>
        <v>22688.365188781478</v>
      </c>
      <c r="CK54" s="416">
        <f>IF(CK31&gt;=Detail!$F$34,Detail!$L$77*CK126,Detail!$L77*'Cash Flow'!CK31)</f>
        <v>22745.086101753423</v>
      </c>
      <c r="CL54" s="416">
        <f>IF(CL31&gt;=Detail!$F$34,Detail!$L$77*CL126,Detail!$L77*'Cash Flow'!CL31)</f>
        <v>22801.948817007804</v>
      </c>
      <c r="CM54" s="416">
        <f>IF(CM31&gt;=Detail!$F$34,Detail!$L$77*CM126,Detail!$L77*'Cash Flow'!CM31)</f>
        <v>22858.95368905033</v>
      </c>
      <c r="CN54" s="416">
        <f>IF(CN31&gt;=Detail!$F$34,Detail!$L$77*CN126,Detail!$L77*'Cash Flow'!CN31)</f>
        <v>22916.101073272948</v>
      </c>
      <c r="CO54" s="416">
        <f>IF(CO31&gt;=Detail!$F$34,Detail!$L$77*CO126,Detail!$L77*'Cash Flow'!CO31)</f>
        <v>22973.391325956138</v>
      </c>
      <c r="CP54" s="416">
        <f>IF(CP31&gt;=Detail!$F$34,Detail!$L$77*CP126,Detail!$L77*'Cash Flow'!CP31)</f>
        <v>23030.824804271022</v>
      </c>
      <c r="CQ54" s="416">
        <f>IF(CQ31&gt;=Detail!$F$34,Detail!$L$77*CQ126,Detail!$L77*'Cash Flow'!CQ31)</f>
        <v>23088.4018662817</v>
      </c>
      <c r="CR54" s="416">
        <f>IF(CR31&gt;=Detail!$F$34,Detail!$L$77*CR126,Detail!$L77*'Cash Flow'!CR31)</f>
        <v>23146.122870947405</v>
      </c>
      <c r="CS54" s="416">
        <f>IF(CS31&gt;=Detail!$F$34,Detail!$L$77*CS126,Detail!$L77*'Cash Flow'!CS31)</f>
        <v>23203.988178124764</v>
      </c>
      <c r="CT54" s="416">
        <f>IF(CT31&gt;=Detail!$F$34,Detail!$L$77*CT126,Detail!$L77*'Cash Flow'!CT31)</f>
        <v>23261.998148570077</v>
      </c>
      <c r="CU54" s="416">
        <f>IF(CU31&gt;=Detail!$F$34,Detail!$L$77*CU126,Detail!$L77*'Cash Flow'!CU31)</f>
        <v>23320.153143941501</v>
      </c>
      <c r="CV54" s="416">
        <f>IF(CV31&gt;=Detail!$F$34,Detail!$L$77*CV126,Detail!$L77*'Cash Flow'!CV31)</f>
        <v>23378.453526801357</v>
      </c>
      <c r="CW54" s="416">
        <f>IF(CW31&gt;=Detail!$F$34,Detail!$L$77*CW126,Detail!$L77*'Cash Flow'!CW31)</f>
        <v>23436.899660618361</v>
      </c>
      <c r="CX54" s="416">
        <f>IF(CX31&gt;=Detail!$F$34,Detail!$L$77*CX126,Detail!$L77*'Cash Flow'!CX31)</f>
        <v>23495.491909769906</v>
      </c>
      <c r="CY54" s="416">
        <f>IF(CY31&gt;=Detail!$F$34,Detail!$L$77*CY126,Detail!$L77*'Cash Flow'!CY31)</f>
        <v>23554.230639544327</v>
      </c>
      <c r="CZ54" s="416">
        <f>IF(CZ31&gt;=Detail!$F$34,Detail!$L$77*CZ126,Detail!$L77*'Cash Flow'!CZ31)</f>
        <v>23613.116216143193</v>
      </c>
      <c r="DA54" s="416">
        <f>IF(DA31&gt;=Detail!$F$34,Detail!$L$77*DA126,Detail!$L77*'Cash Flow'!DA31)</f>
        <v>23672.149006683543</v>
      </c>
      <c r="DB54" s="416">
        <f>IF(DB31&gt;=Detail!$F$34,Detail!$L$77*DB126,Detail!$L77*'Cash Flow'!DB31)</f>
        <v>23731.329379200251</v>
      </c>
      <c r="DC54" s="416">
        <f>IF(DC31&gt;=Detail!$F$34,Detail!$L$77*DC126,Detail!$L77*'Cash Flow'!DC31)</f>
        <v>23790.657702648256</v>
      </c>
      <c r="DD54" s="416">
        <f>IF(DD31&gt;=Detail!$F$34,Detail!$L$77*DD126,Detail!$L77*'Cash Flow'!DD31)</f>
        <v>23850.134346904877</v>
      </c>
      <c r="DE54" s="416">
        <f>IF(DE31&gt;=Detail!$F$34,Detail!$L$77*DE126,Detail!$L77*'Cash Flow'!DE31)</f>
        <v>23909.759682772132</v>
      </c>
      <c r="DF54" s="416">
        <f>IF(DF31&gt;=Detail!$F$34,Detail!$L$77*DF126,Detail!$L77*'Cash Flow'!DF31)</f>
        <v>23969.534081979062</v>
      </c>
      <c r="DG54" s="416">
        <f>IF(DG31&gt;=Detail!$F$34,Detail!$L$77*DG126,Detail!$L77*'Cash Flow'!DG31)</f>
        <v>24029.457917184012</v>
      </c>
      <c r="DH54" s="416">
        <f>IF(DH31&gt;=Detail!$F$34,Detail!$L$77*DH126,Detail!$L77*'Cash Flow'!DH31)</f>
        <v>24089.531561976972</v>
      </c>
      <c r="DI54" s="416">
        <f>IF(DI31&gt;=Detail!$F$34,Detail!$L$77*DI126,Detail!$L77*'Cash Flow'!DI31)</f>
        <v>24149.755390881906</v>
      </c>
      <c r="DJ54" s="416">
        <f>IF(DJ31&gt;=Detail!$F$34,Detail!$L$77*DJ126,Detail!$L77*'Cash Flow'!DJ31)</f>
        <v>24210.129779359115</v>
      </c>
      <c r="DK54" s="416">
        <f>IF(DK31&gt;=Detail!$F$34,Detail!$L$77*DK126,Detail!$L77*'Cash Flow'!DK31)</f>
        <v>24270.655103807512</v>
      </c>
      <c r="DL54" s="416">
        <f>IF(DL31&gt;=Detail!$F$34,Detail!$L$77*DL126,Detail!$L77*'Cash Flow'!DL31)</f>
        <v>24331.331741567028</v>
      </c>
      <c r="DM54" s="416">
        <f>IF(DM31&gt;=Detail!$F$34,Detail!$L$77*DM126,Detail!$L77*'Cash Flow'!DM31)</f>
        <v>24392.160070920942</v>
      </c>
      <c r="DN54" s="416">
        <f>IF(DN31&gt;=Detail!$F$34,Detail!$L$77*DN126,Detail!$L77*'Cash Flow'!DN31)</f>
        <v>24453.140471098242</v>
      </c>
      <c r="DO54" s="416">
        <f>IF(DO31&gt;=Detail!$F$34,Detail!$L$77*DO126,Detail!$L77*'Cash Flow'!DO31)</f>
        <v>24514.273322275989</v>
      </c>
      <c r="DP54" s="416">
        <f>IF(DP31&gt;=Detail!$F$34,Detail!$L$77*DP126,Detail!$L77*'Cash Flow'!DP31)</f>
        <v>24575.559005581683</v>
      </c>
      <c r="DQ54" s="416">
        <f>IF(DQ31&gt;=Detail!$F$34,Detail!$L$77*DQ126,Detail!$L77*'Cash Flow'!DQ31)</f>
        <v>24636.997903095627</v>
      </c>
      <c r="DR54" s="416">
        <f>IF(DR31&gt;=Detail!$F$34,Detail!$L$77*DR126,Detail!$L77*'Cash Flow'!DR31)</f>
        <v>24698.590397853364</v>
      </c>
      <c r="DS54" s="416">
        <f>IF(DS31&gt;=Detail!$F$34,Detail!$L$77*DS126,Detail!$L77*'Cash Flow'!DS31)</f>
        <v>24760.336873848006</v>
      </c>
      <c r="DT54" s="416">
        <f>IF(DT31&gt;=Detail!$F$34,Detail!$L$77*DT126,Detail!$L77*'Cash Flow'!DT31)</f>
        <v>24822.237716032618</v>
      </c>
      <c r="DU54" s="416">
        <f>IF(DU31&gt;=Detail!$F$34,Detail!$L$77*DU126,Detail!$L77*'Cash Flow'!DU31)</f>
        <v>24884.293310322704</v>
      </c>
      <c r="DV54" s="416">
        <f>IF(DV31&gt;=Detail!$F$34,Detail!$L$77*DV126,Detail!$L77*'Cash Flow'!DV31)</f>
        <v>24946.504043598503</v>
      </c>
      <c r="DW54" s="416">
        <f>IF(DW31&gt;=Detail!$F$34,Detail!$L$77*DW126,Detail!$L77*'Cash Flow'!DW31)</f>
        <v>25008.870303707503</v>
      </c>
      <c r="DX54" s="416">
        <f>IF(DX31&gt;=Detail!$F$34,Detail!$L$77*DX126,Detail!$L77*'Cash Flow'!DX31)</f>
        <v>25071.392479466769</v>
      </c>
      <c r="DY54" s="416">
        <f>IF(DY31&gt;=Detail!$F$34,Detail!$L$77*DY126,Detail!$L77*'Cash Flow'!DY31)</f>
        <v>25134.070960665431</v>
      </c>
      <c r="DZ54" s="416">
        <f>IF(DZ31&gt;=Detail!$F$34,Detail!$L$77*DZ126,Detail!$L77*'Cash Flow'!DZ31)</f>
        <v>25196.906138067094</v>
      </c>
      <c r="EA54" s="416">
        <f>IF(EA31&gt;=Detail!$F$34,Detail!$L$77*EA126,Detail!$L77*'Cash Flow'!EA31)</f>
        <v>25259.898403412259</v>
      </c>
      <c r="EB54" s="416">
        <f>IF(EB31&gt;=Detail!$F$34,Detail!$L$77*EB126,Detail!$L77*'Cash Flow'!EB31)</f>
        <v>25323.048149420792</v>
      </c>
      <c r="EC54" s="416">
        <f>IF(EC31&gt;=Detail!$F$34,Detail!$L$77*EC126,Detail!$L77*'Cash Flow'!EC31)</f>
        <v>25386.355769794343</v>
      </c>
      <c r="ED54" s="416">
        <f>IF(ED31&gt;=Detail!$F$34,Detail!$L$77*ED126,Detail!$L77*'Cash Flow'!ED31)</f>
        <v>25449.821659218833</v>
      </c>
      <c r="EE54" s="416">
        <f>IF(EE31&gt;=Detail!$F$34,Detail!$L$77*EE126,Detail!$L77*'Cash Flow'!EE31)</f>
        <v>25513.446213366875</v>
      </c>
      <c r="EF54" s="416">
        <f>IF(EF31&gt;=Detail!$F$34,Detail!$L$77*EF126,Detail!$L77*'Cash Flow'!EF31)</f>
        <v>25577.229828900297</v>
      </c>
      <c r="EG54" s="416">
        <f>IF(EG31&gt;=Detail!$F$34,Detail!$L$77*EG126,Detail!$L77*'Cash Flow'!EG31)</f>
        <v>25641.172903472543</v>
      </c>
      <c r="EH54" s="416">
        <f>IF(EH31&gt;=Detail!$F$34,Detail!$L$77*EH126,Detail!$L77*'Cash Flow'!EH31)</f>
        <v>25705.275835731212</v>
      </c>
      <c r="EI54" s="416">
        <f>IF(EI31&gt;=Detail!$F$34,Detail!$L$77*EI126,Detail!$L77*'Cash Flow'!EI31)</f>
        <v>25769.539025320548</v>
      </c>
      <c r="EJ54" s="416">
        <f>IF(EJ31&gt;=Detail!$F$34,Detail!$L$77*EJ126,Detail!$L77*'Cash Flow'!EJ31)</f>
        <v>25833.962872883851</v>
      </c>
      <c r="EK54" s="416">
        <f>IF(EK31&gt;=Detail!$F$34,Detail!$L$77*EK126,Detail!$L77*'Cash Flow'!EK31)</f>
        <v>25898.547780066056</v>
      </c>
      <c r="EL54" s="416">
        <f>IF(EL31&gt;=Detail!$F$34,Detail!$L$77*EL126,Detail!$L77*'Cash Flow'!EL31)</f>
        <v>25963.294149516219</v>
      </c>
      <c r="EM54" s="416">
        <f>IF(EM31&gt;=Detail!$F$34,Detail!$L$77*EM126,Detail!$L77*'Cash Flow'!EM31)</f>
        <v>26028.202384890006</v>
      </c>
      <c r="EN54" s="416">
        <f>IF(EN31&gt;=Detail!$F$34,Detail!$L$77*EN126,Detail!$L77*'Cash Flow'!EN31)</f>
        <v>26093.272890852233</v>
      </c>
      <c r="EO54" s="416">
        <f>IF(EO31&gt;=Detail!$F$34,Detail!$L$77*EO126,Detail!$L77*'Cash Flow'!EO31)</f>
        <v>26158.506073079359</v>
      </c>
      <c r="EP54" s="416">
        <f>IF(EP31&gt;=Detail!$F$34,Detail!$L$77*EP126,Detail!$L77*'Cash Flow'!EP31)</f>
        <v>26223.902338262058</v>
      </c>
      <c r="EQ54" s="416">
        <f>IF(EQ31&gt;=Detail!$F$34,Detail!$L$77*EQ126,Detail!$L77*'Cash Flow'!EQ31)</f>
        <v>26289.462094107716</v>
      </c>
      <c r="ER54" s="416">
        <f>IF(ER31&gt;=Detail!$F$34,Detail!$L$77*ER126,Detail!$L77*'Cash Flow'!ER31)</f>
        <v>26355.185749342982</v>
      </c>
      <c r="ES54" s="416">
        <f>IF(ES31&gt;=Detail!$F$34,Detail!$L$77*ES126,Detail!$L77*'Cash Flow'!ES31)</f>
        <v>26421.073713716338</v>
      </c>
      <c r="ET54" s="416">
        <f>IF(ET31&gt;=Detail!$F$34,Detail!$L$77*ET126,Detail!$L77*'Cash Flow'!ET31)</f>
        <v>26487.126398000622</v>
      </c>
      <c r="EU54" s="416">
        <f>IF(EU31&gt;=Detail!$F$34,Detail!$L$77*EU126,Detail!$L77*'Cash Flow'!EU31)</f>
        <v>26553.344213995628</v>
      </c>
      <c r="EV54" s="416">
        <f>IF(EV31&gt;=Detail!$F$34,Detail!$L$77*EV126,Detail!$L77*'Cash Flow'!EV31)</f>
        <v>26619.727574530618</v>
      </c>
      <c r="EW54" s="416">
        <f>IF(EW31&gt;=Detail!$F$34,Detail!$L$77*EW126,Detail!$L77*'Cash Flow'!EW31)</f>
        <v>26686.276893466937</v>
      </c>
      <c r="EX54" s="416">
        <f>IF(EX31&gt;=Detail!$F$34,Detail!$L$77*EX126,Detail!$L77*'Cash Flow'!EX31)</f>
        <v>26752.992585700602</v>
      </c>
      <c r="EY54" s="416">
        <f>IF(EY31&gt;=Detail!$F$34,Detail!$L$77*EY126,Detail!$L77*'Cash Flow'!EY31)</f>
        <v>26819.87506716486</v>
      </c>
      <c r="EZ54" s="416">
        <f>IF(EZ31&gt;=Detail!$F$34,Detail!$L$77*EZ126,Detail!$L77*'Cash Flow'!EZ31)</f>
        <v>26886.924754832766</v>
      </c>
      <c r="FA54" s="416">
        <f>IF(FA31&gt;=Detail!$F$34,Detail!$L$77*FA126,Detail!$L77*'Cash Flow'!FA31)</f>
        <v>26954.142066719854</v>
      </c>
      <c r="FB54" s="416">
        <f>IF(FB31&gt;=Detail!$F$34,Detail!$L$77*FB126,Detail!$L77*'Cash Flow'!FB31)</f>
        <v>27021.527421886647</v>
      </c>
      <c r="FC54" s="416">
        <f>IF(FC31&gt;=Detail!$F$34,Detail!$L$77*FC126,Detail!$L77*'Cash Flow'!FC31)</f>
        <v>27089.081240441366</v>
      </c>
      <c r="FD54" s="416">
        <f>IF(FD31&gt;=Detail!$F$34,Detail!$L$77*FD126,Detail!$L77*'Cash Flow'!FD31)</f>
        <v>27156.803943542465</v>
      </c>
      <c r="FE54" s="416">
        <f>IF(FE31&gt;=Detail!$F$34,Detail!$L$77*FE126,Detail!$L77*'Cash Flow'!FE31)</f>
        <v>27224.695953401315</v>
      </c>
      <c r="FF54" s="416">
        <f>IF(FF31&gt;=Detail!$F$34,Detail!$L$77*FF126,Detail!$L77*'Cash Flow'!FF31)</f>
        <v>27292.757693284821</v>
      </c>
      <c r="FG54" s="416">
        <f>IF(FG31&gt;=Detail!$F$34,Detail!$L$77*FG126,Detail!$L77*'Cash Flow'!FG31)</f>
        <v>27360.98958751803</v>
      </c>
      <c r="FH54" s="416">
        <f>IF(FH31&gt;=Detail!$F$34,Detail!$L$77*FH126,Detail!$L77*'Cash Flow'!FH31)</f>
        <v>27429.392061486829</v>
      </c>
      <c r="FI54" s="416">
        <f>IF(FI31&gt;=Detail!$F$34,Detail!$L$77*FI126,Detail!$L77*'Cash Flow'!FI31)</f>
        <v>27497.965541640544</v>
      </c>
      <c r="FJ54" s="416">
        <f>IF(FJ31&gt;=Detail!$F$34,Detail!$L$77*FJ126,Detail!$L77*'Cash Flow'!FJ31)</f>
        <v>27566.710455494642</v>
      </c>
      <c r="FK54" s="416">
        <f>IF(FK31&gt;=Detail!$F$34,Detail!$L$77*FK126,Detail!$L77*'Cash Flow'!FK31)</f>
        <v>27635.627231633378</v>
      </c>
      <c r="FL54" s="416">
        <f>IF(FL31&gt;=Detail!$F$34,Detail!$L$77*FL126,Detail!$L77*'Cash Flow'!FL31)</f>
        <v>27704.716299712465</v>
      </c>
      <c r="FM54" s="416">
        <f>IF(FM31&gt;=Detail!$F$34,Detail!$L$77*FM126,Detail!$L77*'Cash Flow'!FM31)</f>
        <v>27773.97809046174</v>
      </c>
      <c r="FN54" s="416">
        <f>IF(FN31&gt;=Detail!$F$34,Detail!$L$77*FN126,Detail!$L77*'Cash Flow'!FN31)</f>
        <v>27843.413035687889</v>
      </c>
      <c r="FO54" s="416">
        <f>IF(FO31&gt;=Detail!$F$34,Detail!$L$77*FO126,Detail!$L77*'Cash Flow'!FO31)</f>
        <v>27913.021568277112</v>
      </c>
      <c r="FP54" s="416">
        <f>IF(FP31&gt;=Detail!$F$34,Detail!$L$77*FP126,Detail!$L77*'Cash Flow'!FP31)</f>
        <v>27982.804122197809</v>
      </c>
      <c r="FQ54" s="416">
        <f>IF(FQ31&gt;=Detail!$F$34,Detail!$L$77*FQ126,Detail!$L77*'Cash Flow'!FQ31)</f>
        <v>28052.761132503296</v>
      </c>
      <c r="FR54" s="416">
        <f>IF(FR31&gt;=Detail!$F$34,Detail!$L$77*FR126,Detail!$L77*'Cash Flow'!FR31)</f>
        <v>28122.893035334549</v>
      </c>
      <c r="FS54" s="416">
        <f>IF(FS31&gt;=Detail!$F$34,Detail!$L$77*FS126,Detail!$L77*'Cash Flow'!FS31)</f>
        <v>28193.200267922894</v>
      </c>
      <c r="FT54" s="587">
        <f t="shared" si="84"/>
        <v>124416.21750258459</v>
      </c>
      <c r="FU54" s="587">
        <f t="shared" si="84"/>
        <v>222866.94591321875</v>
      </c>
      <c r="FV54" s="587">
        <f t="shared" si="84"/>
        <v>235268.76722051896</v>
      </c>
      <c r="FW54" s="587">
        <f t="shared" si="84"/>
        <v>242424.69190739212</v>
      </c>
      <c r="FX54" s="587">
        <f t="shared" si="84"/>
        <v>249798.27089121746</v>
      </c>
    </row>
    <row r="55" spans="2:183" ht="12.75" customHeight="1" outlineLevel="1">
      <c r="B55" s="574" t="s">
        <v>315</v>
      </c>
      <c r="C55" s="575"/>
      <c r="D55" s="610"/>
      <c r="E55" s="416">
        <f>SUM(Detail!$L$80:$L$82,Detail!$L$85)*E126</f>
        <v>9212.4000000000015</v>
      </c>
      <c r="F55" s="416">
        <f>SUM(Detail!$L$80:$L$82,Detail!$L$85)*F126</f>
        <v>9212.4000000000015</v>
      </c>
      <c r="G55" s="416">
        <f>SUM(Detail!$L$80:$L$82,Detail!$L$85)*G126</f>
        <v>9212.4000000000015</v>
      </c>
      <c r="H55" s="416">
        <f>SUM(Detail!$L$80:$L$82,Detail!$L$85)*H126</f>
        <v>9212.4000000000015</v>
      </c>
      <c r="I55" s="416">
        <f>SUM(Detail!$L$80:$L$82,Detail!$L$85)*I126</f>
        <v>9212.4000000000015</v>
      </c>
      <c r="J55" s="416">
        <f>SUM(Detail!$L$80:$L$82,Detail!$L$85)*J126</f>
        <v>9212.4000000000015</v>
      </c>
      <c r="K55" s="416">
        <f>SUM(Detail!$L$80:$L$82,Detail!$L$85)*K126</f>
        <v>9212.4000000000015</v>
      </c>
      <c r="L55" s="416">
        <f>SUM(Detail!$L$80:$L$82,Detail!$L$85)*L126</f>
        <v>9235.4310000000005</v>
      </c>
      <c r="M55" s="416">
        <f>SUM(Detail!$L$80:$L$82,Detail!$L$85)*M126</f>
        <v>9258.5195775000011</v>
      </c>
      <c r="N55" s="416">
        <f>SUM(Detail!$L$80:$L$82,Detail!$L$85)*N126</f>
        <v>9281.6658764437489</v>
      </c>
      <c r="O55" s="416">
        <f>SUM(Detail!$L$80:$L$82,Detail!$L$85)*O126</f>
        <v>9304.8700411348582</v>
      </c>
      <c r="P55" s="416">
        <f>SUM(Detail!$L$80:$L$82,Detail!$L$85)*P126</f>
        <v>9328.1322162376964</v>
      </c>
      <c r="Q55" s="416">
        <f>SUM(Detail!$L$80:$L$82,Detail!$L$85)*Q126</f>
        <v>9351.4525467782878</v>
      </c>
      <c r="R55" s="416">
        <f>SUM(Detail!$L$80:$L$82,Detail!$L$85)*R126</f>
        <v>9374.8311781452339</v>
      </c>
      <c r="S55" s="416">
        <f>SUM(Detail!$L$80:$L$82,Detail!$L$85)*S126</f>
        <v>9398.2682560905978</v>
      </c>
      <c r="T55" s="416">
        <f>SUM(Detail!$L$80:$L$82,Detail!$L$85)*T126</f>
        <v>9421.7639267308241</v>
      </c>
      <c r="U55" s="416">
        <f>SUM(Detail!$L$80:$L$82,Detail!$L$85)*U126</f>
        <v>9445.3183365476507</v>
      </c>
      <c r="V55" s="416">
        <f>SUM(Detail!$L$80:$L$82,Detail!$L$85)*V126</f>
        <v>9468.931632389018</v>
      </c>
      <c r="W55" s="416">
        <f>SUM(Detail!$L$80:$L$82,Detail!$L$85)*W126</f>
        <v>9492.6039614699912</v>
      </c>
      <c r="X55" s="416">
        <f>SUM(Detail!$L$80:$L$82,Detail!$L$85)*X126</f>
        <v>9516.3354713736662</v>
      </c>
      <c r="Y55" s="416">
        <f>SUM(Detail!$L$80:$L$82,Detail!$L$85)*Y126</f>
        <v>9540.1263100520991</v>
      </c>
      <c r="Z55" s="416">
        <f>SUM(Detail!$L$80:$L$82,Detail!$L$85)*Z126</f>
        <v>9563.9766258272284</v>
      </c>
      <c r="AA55" s="416">
        <f>SUM(Detail!$L$80:$L$82,Detail!$L$85)*AA126</f>
        <v>9587.8865673917971</v>
      </c>
      <c r="AB55" s="416">
        <f>SUM(Detail!$L$80:$L$82,Detail!$L$85)*AB126</f>
        <v>9611.8562838102753</v>
      </c>
      <c r="AC55" s="416">
        <f>SUM(Detail!$L$80:$L$82,Detail!$L$85)*AC126</f>
        <v>9635.8859245198018</v>
      </c>
      <c r="AD55" s="416">
        <f>SUM(Detail!$L$80:$L$82,Detail!$L$85)*AD126</f>
        <v>9659.9756393311</v>
      </c>
      <c r="AE55" s="416">
        <f>SUM(Detail!$L$80:$L$82,Detail!$L$85)*AE126</f>
        <v>9684.1255784294281</v>
      </c>
      <c r="AF55" s="416">
        <f>SUM(Detail!$L$80:$L$82,Detail!$L$85)*AF126</f>
        <v>9708.3358923755004</v>
      </c>
      <c r="AG55" s="416">
        <f>SUM(Detail!$L$80:$L$82,Detail!$L$85)*AG126</f>
        <v>9732.6067321064365</v>
      </c>
      <c r="AH55" s="416">
        <f>SUM(Detail!$L$80:$L$82,Detail!$L$85)*AH126</f>
        <v>9756.9382489367035</v>
      </c>
      <c r="AI55" s="416">
        <f>SUM(Detail!$L$80:$L$82,Detail!$L$85)*AI126</f>
        <v>9781.3305945590455</v>
      </c>
      <c r="AJ55" s="416">
        <f>SUM(Detail!$L$80:$L$82,Detail!$L$85)*AJ126</f>
        <v>9805.783921045444</v>
      </c>
      <c r="AK55" s="416">
        <f>SUM(Detail!$L$80:$L$82,Detail!$L$85)*AK126</f>
        <v>9830.2983808480567</v>
      </c>
      <c r="AL55" s="416">
        <f>SUM(Detail!$L$80:$L$82,Detail!$L$85)*AL126</f>
        <v>9854.8741268001759</v>
      </c>
      <c r="AM55" s="416">
        <f>SUM(Detail!$L$80:$L$82,Detail!$L$85)*AM126</f>
        <v>9879.5113121171762</v>
      </c>
      <c r="AN55" s="416">
        <f>SUM(Detail!$L$80:$L$82,Detail!$L$85)*AN126</f>
        <v>9904.2100903974697</v>
      </c>
      <c r="AO55" s="416">
        <f>SUM(Detail!$L$80:$L$82,Detail!$L$85)*AO126</f>
        <v>9928.9706156234606</v>
      </c>
      <c r="AP55" s="416">
        <f>SUM(Detail!$L$80:$L$82,Detail!$L$85)*AP126</f>
        <v>9953.7930421625188</v>
      </c>
      <c r="AQ55" s="416">
        <f>SUM(Detail!$L$80:$L$82,Detail!$L$85)*AQ126</f>
        <v>9978.677524767927</v>
      </c>
      <c r="AR55" s="416">
        <f>SUM(Detail!$L$80:$L$82,Detail!$L$85)*AR126</f>
        <v>10003.624218579846</v>
      </c>
      <c r="AS55" s="416">
        <f>SUM(Detail!$L$80:$L$82,Detail!$L$85)*AS126</f>
        <v>10028.633279126294</v>
      </c>
      <c r="AT55" s="416">
        <f>SUM(Detail!$L$80:$L$82,Detail!$L$85)*AT126</f>
        <v>10053.70486232411</v>
      </c>
      <c r="AU55" s="416">
        <f>SUM(Detail!$L$80:$L$82,Detail!$L$85)*AU126</f>
        <v>10078.83912447992</v>
      </c>
      <c r="AV55" s="416">
        <f>SUM(Detail!$L$80:$L$82,Detail!$L$85)*AV126</f>
        <v>10104.036222291121</v>
      </c>
      <c r="AW55" s="416">
        <f>SUM(Detail!$L$80:$L$82,Detail!$L$85)*AW126</f>
        <v>10129.296312846845</v>
      </c>
      <c r="AX55" s="416">
        <f>SUM(Detail!$L$80:$L$82,Detail!$L$85)*AX126</f>
        <v>10154.619553628963</v>
      </c>
      <c r="AY55" s="416">
        <f>SUM(Detail!$L$80:$L$82,Detail!$L$85)*AY126</f>
        <v>10180.006102513036</v>
      </c>
      <c r="AZ55" s="416">
        <f>SUM(Detail!$L$80:$L$82,Detail!$L$85)*AZ126</f>
        <v>10205.456117769318</v>
      </c>
      <c r="BA55" s="416">
        <f>SUM(Detail!$L$80:$L$82,Detail!$L$85)*BA126</f>
        <v>10230.96975806374</v>
      </c>
      <c r="BB55" s="416">
        <f>SUM(Detail!$L$80:$L$82,Detail!$L$85)*BB126</f>
        <v>10256.547182458897</v>
      </c>
      <c r="BC55" s="416">
        <f>SUM(Detail!$L$80:$L$82,Detail!$L$85)*BC126</f>
        <v>10282.188550415045</v>
      </c>
      <c r="BD55" s="416">
        <f>SUM(Detail!$L$80:$L$82,Detail!$L$85)*BD126</f>
        <v>10307.894021791084</v>
      </c>
      <c r="BE55" s="416">
        <f>SUM(Detail!$L$80:$L$82,Detail!$L$85)*BE126</f>
        <v>10333.663756845557</v>
      </c>
      <c r="BF55" s="416">
        <f>SUM(Detail!$L$80:$L$82,Detail!$L$85)*BF126</f>
        <v>10359.497916237671</v>
      </c>
      <c r="BG55" s="416">
        <f>SUM(Detail!$L$80:$L$82,Detail!$L$85)*BG126</f>
        <v>10385.396661028268</v>
      </c>
      <c r="BH55" s="416">
        <f>SUM(Detail!$L$80:$L$82,Detail!$L$85)*BH126</f>
        <v>10411.360152680836</v>
      </c>
      <c r="BI55" s="416">
        <f>SUM(Detail!$L$80:$L$82,Detail!$L$85)*BI126</f>
        <v>10437.388553062539</v>
      </c>
      <c r="BJ55" s="416">
        <f>SUM(Detail!$L$80:$L$82,Detail!$L$85)*BJ126</f>
        <v>10463.482024445195</v>
      </c>
      <c r="BK55" s="416">
        <f>SUM(Detail!$L$80:$L$82,Detail!$L$85)*BK126</f>
        <v>10489.640729506307</v>
      </c>
      <c r="BL55" s="416">
        <f>SUM(Detail!$L$80:$L$82,Detail!$L$85)*BL126</f>
        <v>10515.864831330073</v>
      </c>
      <c r="BM55" s="416">
        <f>SUM(Detail!$L$80:$L$82,Detail!$L$85)*BM126</f>
        <v>10542.154493408396</v>
      </c>
      <c r="BN55" s="416">
        <f>SUM(Detail!$L$80:$L$82,Detail!$L$85)*BN126</f>
        <v>10568.509879641917</v>
      </c>
      <c r="BO55" s="416">
        <f>SUM(Detail!$L$80:$L$82,Detail!$L$85)*BO126</f>
        <v>10594.93115434102</v>
      </c>
      <c r="BP55" s="416">
        <f>SUM(Detail!$L$80:$L$82,Detail!$L$85)*BP126</f>
        <v>10621.418482226874</v>
      </c>
      <c r="BQ55" s="416">
        <f>SUM(Detail!$L$80:$L$82,Detail!$L$85)*BQ126</f>
        <v>10647.972028432441</v>
      </c>
      <c r="BR55" s="416">
        <f>SUM(Detail!$L$80:$L$82,Detail!$L$85)*BR126</f>
        <v>10674.591958503523</v>
      </c>
      <c r="BS55" s="416">
        <f>SUM(Detail!$L$80:$L$82,Detail!$L$85)*BS126</f>
        <v>10701.278438399779</v>
      </c>
      <c r="BT55" s="416">
        <f>SUM(Detail!$L$80:$L$82,Detail!$L$85)*BT126</f>
        <v>10728.031634495781</v>
      </c>
      <c r="BU55" s="416">
        <f>SUM(Detail!$L$80:$L$82,Detail!$L$85)*BU126</f>
        <v>10754.851713582017</v>
      </c>
      <c r="BV55" s="416">
        <f>SUM(Detail!$L$80:$L$82,Detail!$L$85)*BV126</f>
        <v>10781.738842865971</v>
      </c>
      <c r="BW55" s="416">
        <f>SUM(Detail!$L$80:$L$82,Detail!$L$85)*BW126</f>
        <v>10808.693189973137</v>
      </c>
      <c r="BX55" s="416">
        <f>SUM(Detail!$L$80:$L$82,Detail!$L$85)*BX126</f>
        <v>10835.714922948071</v>
      </c>
      <c r="BY55" s="416">
        <f>SUM(Detail!$L$80:$L$82,Detail!$L$85)*BY126</f>
        <v>10862.804210255439</v>
      </c>
      <c r="BZ55" s="416">
        <f>SUM(Detail!$L$80:$L$82,Detail!$L$85)*BZ126</f>
        <v>10889.961220781077</v>
      </c>
      <c r="CA55" s="416">
        <f>SUM(Detail!$L$80:$L$82,Detail!$L$85)*CA126</f>
        <v>10917.186123833029</v>
      </c>
      <c r="CB55" s="416">
        <f>SUM(Detail!$L$80:$L$82,Detail!$L$85)*CB126</f>
        <v>10944.479089142613</v>
      </c>
      <c r="CC55" s="416">
        <f>SUM(Detail!$L$80:$L$82,Detail!$L$85)*CC126</f>
        <v>10971.840286865467</v>
      </c>
      <c r="CD55" s="416">
        <f>SUM(Detail!$L$80:$L$82,Detail!$L$85)*CD126</f>
        <v>10999.269887582628</v>
      </c>
      <c r="CE55" s="416">
        <f>SUM(Detail!$L$80:$L$82,Detail!$L$85)*CE126</f>
        <v>11026.768062301586</v>
      </c>
      <c r="CF55" s="416">
        <f>SUM(Detail!$L$80:$L$82,Detail!$L$85)*CF126</f>
        <v>11054.33498245734</v>
      </c>
      <c r="CG55" s="416">
        <f>SUM(Detail!$L$80:$L$82,Detail!$L$85)*CG126</f>
        <v>11081.970819913482</v>
      </c>
      <c r="CH55" s="416">
        <f>SUM(Detail!$L$80:$L$82,Detail!$L$85)*CH126</f>
        <v>11109.675746963265</v>
      </c>
      <c r="CI55" s="416">
        <f>SUM(Detail!$L$80:$L$82,Detail!$L$85)*CI126</f>
        <v>11137.449936330673</v>
      </c>
      <c r="CJ55" s="416">
        <f>SUM(Detail!$L$80:$L$82,Detail!$L$85)*CJ126</f>
        <v>11165.293561171502</v>
      </c>
      <c r="CK55" s="416">
        <f>SUM(Detail!$L$80:$L$82,Detail!$L$85)*CK126</f>
        <v>11193.206795074426</v>
      </c>
      <c r="CL55" s="416">
        <f>SUM(Detail!$L$80:$L$82,Detail!$L$85)*CL126</f>
        <v>11221.189812062112</v>
      </c>
      <c r="CM55" s="416">
        <f>SUM(Detail!$L$80:$L$82,Detail!$L$85)*CM126</f>
        <v>11249.242786592269</v>
      </c>
      <c r="CN55" s="416">
        <f>SUM(Detail!$L$80:$L$82,Detail!$L$85)*CN126</f>
        <v>11277.365893558746</v>
      </c>
      <c r="CO55" s="416">
        <f>SUM(Detail!$L$80:$L$82,Detail!$L$85)*CO126</f>
        <v>11305.559308292646</v>
      </c>
      <c r="CP55" s="416">
        <f>SUM(Detail!$L$80:$L$82,Detail!$L$85)*CP126</f>
        <v>11333.823206563377</v>
      </c>
      <c r="CQ55" s="416">
        <f>SUM(Detail!$L$80:$L$82,Detail!$L$85)*CQ126</f>
        <v>11362.157764579784</v>
      </c>
      <c r="CR55" s="416">
        <f>SUM(Detail!$L$80:$L$82,Detail!$L$85)*CR126</f>
        <v>11390.563158991234</v>
      </c>
      <c r="CS55" s="416">
        <f>SUM(Detail!$L$80:$L$82,Detail!$L$85)*CS126</f>
        <v>11419.039566888709</v>
      </c>
      <c r="CT55" s="416">
        <f>SUM(Detail!$L$80:$L$82,Detail!$L$85)*CT126</f>
        <v>11447.587165805931</v>
      </c>
      <c r="CU55" s="416">
        <f>SUM(Detail!$L$80:$L$82,Detail!$L$85)*CU126</f>
        <v>11476.206133720445</v>
      </c>
      <c r="CV55" s="416">
        <f>SUM(Detail!$L$80:$L$82,Detail!$L$85)*CV126</f>
        <v>11504.896649054746</v>
      </c>
      <c r="CW55" s="416">
        <f>SUM(Detail!$L$80:$L$82,Detail!$L$85)*CW126</f>
        <v>11533.658890677385</v>
      </c>
      <c r="CX55" s="416">
        <f>SUM(Detail!$L$80:$L$82,Detail!$L$85)*CX126</f>
        <v>11562.493037904076</v>
      </c>
      <c r="CY55" s="416">
        <f>SUM(Detail!$L$80:$L$82,Detail!$L$85)*CY126</f>
        <v>11591.399270498834</v>
      </c>
      <c r="CZ55" s="416">
        <f>SUM(Detail!$L$80:$L$82,Detail!$L$85)*CZ126</f>
        <v>11620.377768675085</v>
      </c>
      <c r="DA55" s="416">
        <f>SUM(Detail!$L$80:$L$82,Detail!$L$85)*DA126</f>
        <v>11649.42871309677</v>
      </c>
      <c r="DB55" s="416">
        <f>SUM(Detail!$L$80:$L$82,Detail!$L$85)*DB126</f>
        <v>11678.55228487951</v>
      </c>
      <c r="DC55" s="416">
        <f>SUM(Detail!$L$80:$L$82,Detail!$L$85)*DC126</f>
        <v>11707.748665591709</v>
      </c>
      <c r="DD55" s="416">
        <f>SUM(Detail!$L$80:$L$82,Detail!$L$85)*DD126</f>
        <v>11737.01803725569</v>
      </c>
      <c r="DE55" s="416">
        <f>SUM(Detail!$L$80:$L$82,Detail!$L$85)*DE126</f>
        <v>11766.360582348825</v>
      </c>
      <c r="DF55" s="416">
        <f>SUM(Detail!$L$80:$L$82,Detail!$L$85)*DF126</f>
        <v>11795.776483804697</v>
      </c>
      <c r="DG55" s="416">
        <f>SUM(Detail!$L$80:$L$82,Detail!$L$85)*DG126</f>
        <v>11825.265925014211</v>
      </c>
      <c r="DH55" s="416">
        <f>SUM(Detail!$L$80:$L$82,Detail!$L$85)*DH126</f>
        <v>11854.829089826748</v>
      </c>
      <c r="DI55" s="416">
        <f>SUM(Detail!$L$80:$L$82,Detail!$L$85)*DI126</f>
        <v>11884.466162551309</v>
      </c>
      <c r="DJ55" s="416">
        <f>SUM(Detail!$L$80:$L$82,Detail!$L$85)*DJ126</f>
        <v>11914.177327957688</v>
      </c>
      <c r="DK55" s="416">
        <f>SUM(Detail!$L$80:$L$82,Detail!$L$85)*DK126</f>
        <v>11943.962771277584</v>
      </c>
      <c r="DL55" s="416">
        <f>SUM(Detail!$L$80:$L$82,Detail!$L$85)*DL126</f>
        <v>11973.822678205775</v>
      </c>
      <c r="DM55" s="416">
        <f>SUM(Detail!$L$80:$L$82,Detail!$L$85)*DM126</f>
        <v>12003.757234901288</v>
      </c>
      <c r="DN55" s="416">
        <f>SUM(Detail!$L$80:$L$82,Detail!$L$85)*DN126</f>
        <v>12033.766627988542</v>
      </c>
      <c r="DO55" s="416">
        <f>SUM(Detail!$L$80:$L$82,Detail!$L$85)*DO126</f>
        <v>12063.851044558513</v>
      </c>
      <c r="DP55" s="416">
        <f>SUM(Detail!$L$80:$L$82,Detail!$L$85)*DP126</f>
        <v>12094.01067216991</v>
      </c>
      <c r="DQ55" s="416">
        <f>SUM(Detail!$L$80:$L$82,Detail!$L$85)*DQ126</f>
        <v>12124.245698850331</v>
      </c>
      <c r="DR55" s="416">
        <f>SUM(Detail!$L$80:$L$82,Detail!$L$85)*DR126</f>
        <v>12154.556313097457</v>
      </c>
      <c r="DS55" s="416">
        <f>SUM(Detail!$L$80:$L$82,Detail!$L$85)*DS126</f>
        <v>12184.942703880204</v>
      </c>
      <c r="DT55" s="416">
        <f>SUM(Detail!$L$80:$L$82,Detail!$L$85)*DT126</f>
        <v>12215.405060639901</v>
      </c>
      <c r="DU55" s="416">
        <f>SUM(Detail!$L$80:$L$82,Detail!$L$85)*DU126</f>
        <v>12245.943573291503</v>
      </c>
      <c r="DV55" s="416">
        <f>SUM(Detail!$L$80:$L$82,Detail!$L$85)*DV126</f>
        <v>12276.558432224727</v>
      </c>
      <c r="DW55" s="416">
        <f>SUM(Detail!$L$80:$L$82,Detail!$L$85)*DW126</f>
        <v>12307.24982830529</v>
      </c>
      <c r="DX55" s="416">
        <f>SUM(Detail!$L$80:$L$82,Detail!$L$85)*DX126</f>
        <v>12338.017952876053</v>
      </c>
      <c r="DY55" s="416">
        <f>SUM(Detail!$L$80:$L$82,Detail!$L$85)*DY126</f>
        <v>12368.86299775824</v>
      </c>
      <c r="DZ55" s="416">
        <f>SUM(Detail!$L$80:$L$82,Detail!$L$85)*DZ126</f>
        <v>12399.785155252635</v>
      </c>
      <c r="EA55" s="416">
        <f>SUM(Detail!$L$80:$L$82,Detail!$L$85)*EA126</f>
        <v>12430.784618140766</v>
      </c>
      <c r="EB55" s="416">
        <f>SUM(Detail!$L$80:$L$82,Detail!$L$85)*EB126</f>
        <v>12461.86157968612</v>
      </c>
      <c r="EC55" s="416">
        <f>SUM(Detail!$L$80:$L$82,Detail!$L$85)*EC126</f>
        <v>12493.016233635333</v>
      </c>
      <c r="ED55" s="416">
        <f>SUM(Detail!$L$80:$L$82,Detail!$L$85)*ED126</f>
        <v>12524.248774219423</v>
      </c>
      <c r="EE55" s="416">
        <f>SUM(Detail!$L$80:$L$82,Detail!$L$85)*EE126</f>
        <v>12555.559396154969</v>
      </c>
      <c r="EF55" s="416">
        <f>SUM(Detail!$L$80:$L$82,Detail!$L$85)*EF126</f>
        <v>12586.948294645359</v>
      </c>
      <c r="EG55" s="416">
        <f>SUM(Detail!$L$80:$L$82,Detail!$L$85)*EG126</f>
        <v>12618.41566538197</v>
      </c>
      <c r="EH55" s="416">
        <f>SUM(Detail!$L$80:$L$82,Detail!$L$85)*EH126</f>
        <v>12649.961704545422</v>
      </c>
      <c r="EI55" s="416">
        <f>SUM(Detail!$L$80:$L$82,Detail!$L$85)*EI126</f>
        <v>12681.586608806787</v>
      </c>
      <c r="EJ55" s="416">
        <f>SUM(Detail!$L$80:$L$82,Detail!$L$85)*EJ126</f>
        <v>12713.290575328805</v>
      </c>
      <c r="EK55" s="416">
        <f>SUM(Detail!$L$80:$L$82,Detail!$L$85)*EK126</f>
        <v>12745.073801767125</v>
      </c>
      <c r="EL55" s="416">
        <f>SUM(Detail!$L$80:$L$82,Detail!$L$85)*EL126</f>
        <v>12776.936486271541</v>
      </c>
      <c r="EM55" s="416">
        <f>SUM(Detail!$L$80:$L$82,Detail!$L$85)*EM126</f>
        <v>12808.878827487219</v>
      </c>
      <c r="EN55" s="416">
        <f>SUM(Detail!$L$80:$L$82,Detail!$L$85)*EN126</f>
        <v>12840.901024555938</v>
      </c>
      <c r="EO55" s="416">
        <f>SUM(Detail!$L$80:$L$82,Detail!$L$85)*EO126</f>
        <v>12873.003277117325</v>
      </c>
      <c r="EP55" s="416">
        <f>SUM(Detail!$L$80:$L$82,Detail!$L$85)*EP126</f>
        <v>12905.185785310119</v>
      </c>
      <c r="EQ55" s="416">
        <f>SUM(Detail!$L$80:$L$82,Detail!$L$85)*EQ126</f>
        <v>12937.448749773395</v>
      </c>
      <c r="ER55" s="416">
        <f>SUM(Detail!$L$80:$L$82,Detail!$L$85)*ER126</f>
        <v>12969.792371647827</v>
      </c>
      <c r="ES55" s="416">
        <f>SUM(Detail!$L$80:$L$82,Detail!$L$85)*ES126</f>
        <v>13002.216852576947</v>
      </c>
      <c r="ET55" s="416">
        <f>SUM(Detail!$L$80:$L$82,Detail!$L$85)*ET126</f>
        <v>13034.722394708386</v>
      </c>
      <c r="EU55" s="416">
        <f>SUM(Detail!$L$80:$L$82,Detail!$L$85)*EU126</f>
        <v>13067.309200695159</v>
      </c>
      <c r="EV55" s="416">
        <f>SUM(Detail!$L$80:$L$82,Detail!$L$85)*EV126</f>
        <v>13099.977473696898</v>
      </c>
      <c r="EW55" s="416">
        <f>SUM(Detail!$L$80:$L$82,Detail!$L$85)*EW126</f>
        <v>13132.727417381135</v>
      </c>
      <c r="EX55" s="416">
        <f>SUM(Detail!$L$80:$L$82,Detail!$L$85)*EX126</f>
        <v>13165.559235924587</v>
      </c>
      <c r="EY55" s="416">
        <f>SUM(Detail!$L$80:$L$82,Detail!$L$85)*EY126</f>
        <v>13198.473134014401</v>
      </c>
      <c r="EZ55" s="416">
        <f>SUM(Detail!$L$80:$L$82,Detail!$L$85)*EZ126</f>
        <v>13231.469316849436</v>
      </c>
      <c r="FA55" s="416">
        <f>SUM(Detail!$L$80:$L$82,Detail!$L$85)*FA126</f>
        <v>13264.54799014156</v>
      </c>
      <c r="FB55" s="416">
        <f>SUM(Detail!$L$80:$L$82,Detail!$L$85)*FB126</f>
        <v>13297.709360116911</v>
      </c>
      <c r="FC55" s="416">
        <f>SUM(Detail!$L$80:$L$82,Detail!$L$85)*FC126</f>
        <v>13330.953633517205</v>
      </c>
      <c r="FD55" s="416">
        <f>SUM(Detail!$L$80:$L$82,Detail!$L$85)*FD126</f>
        <v>13364.281017600995</v>
      </c>
      <c r="FE55" s="416">
        <f>SUM(Detail!$L$80:$L$82,Detail!$L$85)*FE126</f>
        <v>13397.691720144994</v>
      </c>
      <c r="FF55" s="416">
        <f>SUM(Detail!$L$80:$L$82,Detail!$L$85)*FF126</f>
        <v>13431.185949445358</v>
      </c>
      <c r="FG55" s="416">
        <f>SUM(Detail!$L$80:$L$82,Detail!$L$85)*FG126</f>
        <v>13464.76391431897</v>
      </c>
      <c r="FH55" s="416">
        <f>SUM(Detail!$L$80:$L$82,Detail!$L$85)*FH126</f>
        <v>13498.42582410477</v>
      </c>
      <c r="FI55" s="416">
        <f>SUM(Detail!$L$80:$L$82,Detail!$L$85)*FI126</f>
        <v>13532.171888665031</v>
      </c>
      <c r="FJ55" s="416">
        <f>SUM(Detail!$L$80:$L$82,Detail!$L$85)*FJ126</f>
        <v>13566.002318386692</v>
      </c>
      <c r="FK55" s="416">
        <f>SUM(Detail!$L$80:$L$82,Detail!$L$85)*FK126</f>
        <v>13599.917324182657</v>
      </c>
      <c r="FL55" s="416">
        <f>SUM(Detail!$L$80:$L$82,Detail!$L$85)*FL126</f>
        <v>13633.917117493116</v>
      </c>
      <c r="FM55" s="416">
        <f>SUM(Detail!$L$80:$L$82,Detail!$L$85)*FM126</f>
        <v>13668.001910286846</v>
      </c>
      <c r="FN55" s="416">
        <f>SUM(Detail!$L$80:$L$82,Detail!$L$85)*FN126</f>
        <v>13702.171915062561</v>
      </c>
      <c r="FO55" s="416">
        <f>SUM(Detail!$L$80:$L$82,Detail!$L$85)*FO126</f>
        <v>13736.427344850221</v>
      </c>
      <c r="FP55" s="416">
        <f>SUM(Detail!$L$80:$L$82,Detail!$L$85)*FP126</f>
        <v>13770.768413212347</v>
      </c>
      <c r="FQ55" s="416">
        <f>SUM(Detail!$L$80:$L$82,Detail!$L$85)*FQ126</f>
        <v>13805.195334245374</v>
      </c>
      <c r="FR55" s="416">
        <f>SUM(Detail!$L$80:$L$82,Detail!$L$85)*FR126</f>
        <v>13839.708322580986</v>
      </c>
      <c r="FS55" s="416">
        <f>SUM(Detail!$L$80:$L$82,Detail!$L$85)*FS126</f>
        <v>13874.307593387442</v>
      </c>
      <c r="FT55" s="587">
        <f t="shared" si="84"/>
        <v>64486.80000000001</v>
      </c>
      <c r="FU55" s="587">
        <f t="shared" si="84"/>
        <v>112361.78854946792</v>
      </c>
      <c r="FV55" s="587">
        <f t="shared" si="84"/>
        <v>115779.37986871308</v>
      </c>
      <c r="FW55" s="587">
        <f t="shared" si="84"/>
        <v>119300.9204982724</v>
      </c>
      <c r="FX55" s="587">
        <f t="shared" si="84"/>
        <v>122929.57215588956</v>
      </c>
    </row>
    <row r="56" spans="2:183" ht="12.75" customHeight="1" outlineLevel="1" collapsed="1">
      <c r="B56" s="574" t="s">
        <v>316</v>
      </c>
      <c r="C56" s="575"/>
      <c r="D56" s="610"/>
      <c r="E56" s="416">
        <f t="shared" ref="E56:P56" si="99">+SUM(E49:E55)</f>
        <v>66293.572309237265</v>
      </c>
      <c r="F56" s="416">
        <f t="shared" si="99"/>
        <v>66294.072351161012</v>
      </c>
      <c r="G56" s="416">
        <f t="shared" si="99"/>
        <v>66294.555341454718</v>
      </c>
      <c r="H56" s="416">
        <f t="shared" si="99"/>
        <v>66295.021874070313</v>
      </c>
      <c r="I56" s="416">
        <f t="shared" si="99"/>
        <v>66295.472521444346</v>
      </c>
      <c r="J56" s="416">
        <f t="shared" si="99"/>
        <v>66295.907835331687</v>
      </c>
      <c r="K56" s="416">
        <f t="shared" si="99"/>
        <v>66296.328347603558</v>
      </c>
      <c r="L56" s="416">
        <f t="shared" si="99"/>
        <v>66401.536886122325</v>
      </c>
      <c r="M56" s="416">
        <f t="shared" si="99"/>
        <v>66507.092081426381</v>
      </c>
      <c r="N56" s="416">
        <f t="shared" si="99"/>
        <v>66612.992418063179</v>
      </c>
      <c r="O56" s="416">
        <f t="shared" si="99"/>
        <v>66719.236424026429</v>
      </c>
      <c r="P56" s="416">
        <f t="shared" si="99"/>
        <v>66825.822671389906</v>
      </c>
      <c r="Q56" s="416">
        <f t="shared" ref="Q56:BQ56" si="100">+SUM(Q49:Q55)</f>
        <v>68551.738305984327</v>
      </c>
      <c r="R56" s="416">
        <f t="shared" si="100"/>
        <v>68723.117651749271</v>
      </c>
      <c r="S56" s="416">
        <f t="shared" si="100"/>
        <v>68894.92544587866</v>
      </c>
      <c r="T56" s="416">
        <f t="shared" si="100"/>
        <v>69067.162759493352</v>
      </c>
      <c r="U56" s="416">
        <f t="shared" si="100"/>
        <v>69239.830666392081</v>
      </c>
      <c r="V56" s="416">
        <f t="shared" si="100"/>
        <v>69412.930243058043</v>
      </c>
      <c r="W56" s="416">
        <f t="shared" si="100"/>
        <v>69586.462568665709</v>
      </c>
      <c r="X56" s="416">
        <f t="shared" si="100"/>
        <v>69760.42872508736</v>
      </c>
      <c r="Y56" s="416">
        <f t="shared" si="100"/>
        <v>69934.829796900071</v>
      </c>
      <c r="Z56" s="416">
        <f t="shared" si="100"/>
        <v>70109.666871392314</v>
      </c>
      <c r="AA56" s="416">
        <f t="shared" si="100"/>
        <v>70284.941038570803</v>
      </c>
      <c r="AB56" s="416">
        <f t="shared" si="100"/>
        <v>70460.65339116723</v>
      </c>
      <c r="AC56" s="416">
        <f t="shared" si="100"/>
        <v>70636.805024645131</v>
      </c>
      <c r="AD56" s="416">
        <f t="shared" si="100"/>
        <v>70813.397037206742</v>
      </c>
      <c r="AE56" s="416">
        <f t="shared" si="100"/>
        <v>70990.430529799763</v>
      </c>
      <c r="AF56" s="416">
        <f t="shared" si="100"/>
        <v>71167.906606124248</v>
      </c>
      <c r="AG56" s="416">
        <f t="shared" si="100"/>
        <v>71345.826372639553</v>
      </c>
      <c r="AH56" s="416">
        <f t="shared" si="100"/>
        <v>71524.190938571148</v>
      </c>
      <c r="AI56" s="416">
        <f t="shared" si="100"/>
        <v>71703.001415917563</v>
      </c>
      <c r="AJ56" s="416">
        <f t="shared" si="100"/>
        <v>71882.258919457381</v>
      </c>
      <c r="AK56" s="416">
        <f t="shared" si="100"/>
        <v>72061.964566756011</v>
      </c>
      <c r="AL56" s="416">
        <f t="shared" si="100"/>
        <v>72242.119478172899</v>
      </c>
      <c r="AM56" s="416">
        <f t="shared" si="100"/>
        <v>72422.72477686833</v>
      </c>
      <c r="AN56" s="416">
        <f t="shared" si="100"/>
        <v>72603.781588810511</v>
      </c>
      <c r="AO56" s="416">
        <f t="shared" si="100"/>
        <v>72785.291042782512</v>
      </c>
      <c r="AP56" s="416">
        <f t="shared" si="100"/>
        <v>72967.254270389458</v>
      </c>
      <c r="AQ56" s="416">
        <f t="shared" si="100"/>
        <v>73149.672406065452</v>
      </c>
      <c r="AR56" s="416">
        <f t="shared" si="100"/>
        <v>73332.546587080607</v>
      </c>
      <c r="AS56" s="416">
        <f t="shared" si="100"/>
        <v>73515.877953548319</v>
      </c>
      <c r="AT56" s="416">
        <f t="shared" si="100"/>
        <v>73699.66764843218</v>
      </c>
      <c r="AU56" s="416">
        <f t="shared" si="100"/>
        <v>73883.916817553254</v>
      </c>
      <c r="AV56" s="416">
        <f t="shared" si="100"/>
        <v>74068.626609597137</v>
      </c>
      <c r="AW56" s="416">
        <f t="shared" si="100"/>
        <v>74253.798176121112</v>
      </c>
      <c r="AX56" s="416">
        <f t="shared" si="100"/>
        <v>74439.432671561415</v>
      </c>
      <c r="AY56" s="416">
        <f t="shared" si="100"/>
        <v>74625.531253240319</v>
      </c>
      <c r="AZ56" s="416">
        <f t="shared" si="100"/>
        <v>74812.095081373409</v>
      </c>
      <c r="BA56" s="416">
        <f t="shared" si="100"/>
        <v>74999.125319076848</v>
      </c>
      <c r="BB56" s="416">
        <f t="shared" si="100"/>
        <v>75186.623132374516</v>
      </c>
      <c r="BC56" s="416">
        <f t="shared" si="100"/>
        <v>75374.589690205466</v>
      </c>
      <c r="BD56" s="416">
        <f t="shared" si="100"/>
        <v>75563.026164430979</v>
      </c>
      <c r="BE56" s="416">
        <f t="shared" si="100"/>
        <v>75751.933729842043</v>
      </c>
      <c r="BF56" s="416">
        <f t="shared" si="100"/>
        <v>75941.313564166645</v>
      </c>
      <c r="BG56" s="416">
        <f t="shared" si="100"/>
        <v>76131.166848077075</v>
      </c>
      <c r="BH56" s="416">
        <f t="shared" si="100"/>
        <v>76321.494765197247</v>
      </c>
      <c r="BI56" s="416">
        <f t="shared" si="100"/>
        <v>76512.29850211025</v>
      </c>
      <c r="BJ56" s="416">
        <f t="shared" si="100"/>
        <v>76703.579248365524</v>
      </c>
      <c r="BK56" s="416">
        <f t="shared" si="100"/>
        <v>76895.338196486438</v>
      </c>
      <c r="BL56" s="416">
        <f t="shared" si="100"/>
        <v>77087.576541977644</v>
      </c>
      <c r="BM56" s="416">
        <f t="shared" si="100"/>
        <v>77280.295483332564</v>
      </c>
      <c r="BN56" s="416">
        <f t="shared" si="100"/>
        <v>77473.496222040907</v>
      </c>
      <c r="BO56" s="416">
        <f t="shared" si="100"/>
        <v>77667.179962595997</v>
      </c>
      <c r="BP56" s="416">
        <f t="shared" si="100"/>
        <v>77861.34791250249</v>
      </c>
      <c r="BQ56" s="416">
        <f t="shared" si="100"/>
        <v>78056.001282283745</v>
      </c>
      <c r="BR56" s="416">
        <f t="shared" ref="BR56:EC56" si="101">+SUM(BR49:BR55)</f>
        <v>78251.141285489459</v>
      </c>
      <c r="BS56" s="416">
        <f t="shared" si="101"/>
        <v>78446.769138703166</v>
      </c>
      <c r="BT56" s="416">
        <f t="shared" si="101"/>
        <v>78642.886061549943</v>
      </c>
      <c r="BU56" s="416">
        <f t="shared" si="101"/>
        <v>78839.493276703797</v>
      </c>
      <c r="BV56" s="416">
        <f t="shared" si="101"/>
        <v>79036.592009895539</v>
      </c>
      <c r="BW56" s="416">
        <f t="shared" si="101"/>
        <v>79234.183489920295</v>
      </c>
      <c r="BX56" s="416">
        <f t="shared" si="101"/>
        <v>79432.268948645098</v>
      </c>
      <c r="BY56" s="416">
        <f t="shared" si="101"/>
        <v>79630.849621016707</v>
      </c>
      <c r="BZ56" s="416">
        <f t="shared" si="101"/>
        <v>79829.926745069228</v>
      </c>
      <c r="CA56" s="416">
        <f t="shared" si="101"/>
        <v>80029.501561931917</v>
      </c>
      <c r="CB56" s="416">
        <f t="shared" si="101"/>
        <v>80229.57531583673</v>
      </c>
      <c r="CC56" s="416">
        <f t="shared" si="101"/>
        <v>80430.149254126314</v>
      </c>
      <c r="CD56" s="416">
        <f t="shared" si="101"/>
        <v>80631.224627261632</v>
      </c>
      <c r="CE56" s="416">
        <f t="shared" si="101"/>
        <v>80832.80268882979</v>
      </c>
      <c r="CF56" s="416">
        <f t="shared" si="101"/>
        <v>81034.884695551853</v>
      </c>
      <c r="CG56" s="416">
        <f t="shared" si="101"/>
        <v>81237.471907290717</v>
      </c>
      <c r="CH56" s="416">
        <f t="shared" si="101"/>
        <v>81440.565587058954</v>
      </c>
      <c r="CI56" s="416">
        <f t="shared" si="101"/>
        <v>81644.167001026595</v>
      </c>
      <c r="CJ56" s="416">
        <f t="shared" si="101"/>
        <v>81848.277418529178</v>
      </c>
      <c r="CK56" s="416">
        <f t="shared" si="101"/>
        <v>82052.898112075462</v>
      </c>
      <c r="CL56" s="416">
        <f t="shared" si="101"/>
        <v>82258.03035735563</v>
      </c>
      <c r="CM56" s="416">
        <f t="shared" si="101"/>
        <v>82463.675433249053</v>
      </c>
      <c r="CN56" s="416">
        <f t="shared" si="101"/>
        <v>82669.834621832153</v>
      </c>
      <c r="CO56" s="416">
        <f t="shared" si="101"/>
        <v>82876.509208386764</v>
      </c>
      <c r="CP56" s="416">
        <f t="shared" si="101"/>
        <v>83083.700481407708</v>
      </c>
      <c r="CQ56" s="416">
        <f t="shared" si="101"/>
        <v>83291.409732611224</v>
      </c>
      <c r="CR56" s="416">
        <f t="shared" si="101"/>
        <v>83499.638256942766</v>
      </c>
      <c r="CS56" s="416">
        <f t="shared" si="101"/>
        <v>83708.387352585079</v>
      </c>
      <c r="CT56" s="416">
        <f t="shared" si="101"/>
        <v>83917.65832096657</v>
      </c>
      <c r="CU56" s="416">
        <f t="shared" si="101"/>
        <v>84127.452466768969</v>
      </c>
      <c r="CV56" s="416">
        <f t="shared" si="101"/>
        <v>84337.771097935896</v>
      </c>
      <c r="CW56" s="416">
        <f t="shared" si="101"/>
        <v>84548.61552568074</v>
      </c>
      <c r="CX56" s="416">
        <f t="shared" si="101"/>
        <v>84759.987064494926</v>
      </c>
      <c r="CY56" s="416">
        <f t="shared" si="101"/>
        <v>84971.887032156155</v>
      </c>
      <c r="CZ56" s="416">
        <f t="shared" si="101"/>
        <v>85184.316749736565</v>
      </c>
      <c r="DA56" s="416">
        <f t="shared" si="101"/>
        <v>85397.277541610878</v>
      </c>
      <c r="DB56" s="416">
        <f t="shared" si="101"/>
        <v>85610.770735464903</v>
      </c>
      <c r="DC56" s="416">
        <f t="shared" si="101"/>
        <v>85824.797662303579</v>
      </c>
      <c r="DD56" s="416">
        <f t="shared" si="101"/>
        <v>86039.359656459332</v>
      </c>
      <c r="DE56" s="416">
        <f t="shared" si="101"/>
        <v>86254.458055600466</v>
      </c>
      <c r="DF56" s="416">
        <f t="shared" si="101"/>
        <v>86470.094200739462</v>
      </c>
      <c r="DG56" s="416">
        <f t="shared" si="101"/>
        <v>86686.269436241331</v>
      </c>
      <c r="DH56" s="416">
        <f t="shared" si="101"/>
        <v>86902.98510983192</v>
      </c>
      <c r="DI56" s="416">
        <f t="shared" si="101"/>
        <v>87120.242572606468</v>
      </c>
      <c r="DJ56" s="416">
        <f t="shared" si="101"/>
        <v>87338.043179037995</v>
      </c>
      <c r="DK56" s="416">
        <f t="shared" si="101"/>
        <v>87556.388286985602</v>
      </c>
      <c r="DL56" s="416">
        <f t="shared" si="101"/>
        <v>87775.279257703049</v>
      </c>
      <c r="DM56" s="416">
        <f t="shared" si="101"/>
        <v>87994.717455847291</v>
      </c>
      <c r="DN56" s="416">
        <f t="shared" si="101"/>
        <v>88214.704249486909</v>
      </c>
      <c r="DO56" s="416">
        <f t="shared" si="101"/>
        <v>88435.241010110622</v>
      </c>
      <c r="DP56" s="416">
        <f t="shared" si="101"/>
        <v>88656.329112635911</v>
      </c>
      <c r="DQ56" s="416">
        <f t="shared" si="101"/>
        <v>88877.969935417466</v>
      </c>
      <c r="DR56" s="416">
        <f t="shared" si="101"/>
        <v>89100.164860256016</v>
      </c>
      <c r="DS56" s="416">
        <f t="shared" si="101"/>
        <v>89322.915272406695</v>
      </c>
      <c r="DT56" s="416">
        <f t="shared" si="101"/>
        <v>89546.222560587659</v>
      </c>
      <c r="DU56" s="416">
        <f t="shared" si="101"/>
        <v>89770.088116989151</v>
      </c>
      <c r="DV56" s="416">
        <f t="shared" si="101"/>
        <v>89994.513337281605</v>
      </c>
      <c r="DW56" s="416">
        <f t="shared" si="101"/>
        <v>90219.499620624803</v>
      </c>
      <c r="DX56" s="416">
        <f t="shared" si="101"/>
        <v>90445.048369676369</v>
      </c>
      <c r="DY56" s="416">
        <f t="shared" si="101"/>
        <v>90671.160990600532</v>
      </c>
      <c r="DZ56" s="416">
        <f t="shared" si="101"/>
        <v>90897.838893077045</v>
      </c>
      <c r="EA56" s="416">
        <f t="shared" si="101"/>
        <v>91125.083490309713</v>
      </c>
      <c r="EB56" s="416">
        <f t="shared" si="101"/>
        <v>91352.896199035487</v>
      </c>
      <c r="EC56" s="416">
        <f t="shared" si="101"/>
        <v>91581.278439533096</v>
      </c>
      <c r="ED56" s="416">
        <f t="shared" ref="ED56:FS56" si="102">+SUM(ED49:ED55)</f>
        <v>91810.231635631935</v>
      </c>
      <c r="EE56" s="416">
        <f t="shared" si="102"/>
        <v>92039.757214721001</v>
      </c>
      <c r="EF56" s="416">
        <f t="shared" si="102"/>
        <v>92269.856607757814</v>
      </c>
      <c r="EG56" s="416">
        <f t="shared" si="102"/>
        <v>92500.531249277177</v>
      </c>
      <c r="EH56" s="416">
        <f t="shared" si="102"/>
        <v>92731.782577400358</v>
      </c>
      <c r="EI56" s="416">
        <f t="shared" si="102"/>
        <v>92963.612033843863</v>
      </c>
      <c r="EJ56" s="416">
        <f t="shared" si="102"/>
        <v>93196.021063928492</v>
      </c>
      <c r="EK56" s="416">
        <f t="shared" si="102"/>
        <v>93429.011116588284</v>
      </c>
      <c r="EL56" s="416">
        <f t="shared" si="102"/>
        <v>93662.58364437976</v>
      </c>
      <c r="EM56" s="416">
        <f t="shared" si="102"/>
        <v>93896.740103490694</v>
      </c>
      <c r="EN56" s="416">
        <f t="shared" si="102"/>
        <v>94131.481953749433</v>
      </c>
      <c r="EO56" s="416">
        <f t="shared" si="102"/>
        <v>94366.810658633782</v>
      </c>
      <c r="EP56" s="416">
        <f t="shared" si="102"/>
        <v>94602.727685280377</v>
      </c>
      <c r="EQ56" s="416">
        <f t="shared" si="102"/>
        <v>94839.234504493579</v>
      </c>
      <c r="ER56" s="416">
        <f t="shared" si="102"/>
        <v>95076.332590754799</v>
      </c>
      <c r="ES56" s="416">
        <f t="shared" si="102"/>
        <v>95314.023422231694</v>
      </c>
      <c r="ET56" s="416">
        <f t="shared" si="102"/>
        <v>95552.308480787236</v>
      </c>
      <c r="EU56" s="416">
        <f t="shared" si="102"/>
        <v>95791.189251989243</v>
      </c>
      <c r="EV56" s="416">
        <f t="shared" si="102"/>
        <v>96030.667225119207</v>
      </c>
      <c r="EW56" s="416">
        <f t="shared" si="102"/>
        <v>96270.743893181963</v>
      </c>
      <c r="EX56" s="416">
        <f t="shared" si="102"/>
        <v>96511.420752914913</v>
      </c>
      <c r="EY56" s="416">
        <f t="shared" si="102"/>
        <v>96752.699304797221</v>
      </c>
      <c r="EZ56" s="416">
        <f t="shared" si="102"/>
        <v>96994.581053059213</v>
      </c>
      <c r="FA56" s="416">
        <f t="shared" si="102"/>
        <v>97237.06750569187</v>
      </c>
      <c r="FB56" s="416">
        <f t="shared" si="102"/>
        <v>97480.160174456076</v>
      </c>
      <c r="FC56" s="416">
        <f t="shared" si="102"/>
        <v>97723.860574892227</v>
      </c>
      <c r="FD56" s="416">
        <f t="shared" si="102"/>
        <v>97968.170226329443</v>
      </c>
      <c r="FE56" s="416">
        <f t="shared" si="102"/>
        <v>98213.09065189524</v>
      </c>
      <c r="FF56" s="416">
        <f t="shared" si="102"/>
        <v>98458.623378524979</v>
      </c>
      <c r="FG56" s="416">
        <f t="shared" si="102"/>
        <v>98704.769936971294</v>
      </c>
      <c r="FH56" s="416">
        <f t="shared" si="102"/>
        <v>98951.531861813724</v>
      </c>
      <c r="FI56" s="416">
        <f t="shared" si="102"/>
        <v>99198.910691468249</v>
      </c>
      <c r="FJ56" s="416">
        <f t="shared" si="102"/>
        <v>99446.907968196916</v>
      </c>
      <c r="FK56" s="416">
        <f t="shared" si="102"/>
        <v>99695.525238117407</v>
      </c>
      <c r="FL56" s="416">
        <f t="shared" si="102"/>
        <v>99944.764051212711</v>
      </c>
      <c r="FM56" s="416">
        <f t="shared" si="102"/>
        <v>100194.62596134073</v>
      </c>
      <c r="FN56" s="416">
        <f t="shared" si="102"/>
        <v>100445.11252624405</v>
      </c>
      <c r="FO56" s="416">
        <f t="shared" si="102"/>
        <v>100696.22530755968</v>
      </c>
      <c r="FP56" s="416">
        <f t="shared" si="102"/>
        <v>100947.9658708286</v>
      </c>
      <c r="FQ56" s="416">
        <f t="shared" si="102"/>
        <v>101200.33578550564</v>
      </c>
      <c r="FR56" s="416">
        <f t="shared" si="102"/>
        <v>101453.33662496939</v>
      </c>
      <c r="FS56" s="416">
        <f t="shared" si="102"/>
        <v>101706.96996653182</v>
      </c>
      <c r="FT56" s="587">
        <f t="shared" si="84"/>
        <v>464064.9305803029</v>
      </c>
      <c r="FU56" s="587">
        <f t="shared" si="84"/>
        <v>816542.84812224971</v>
      </c>
      <c r="FV56" s="587">
        <f t="shared" si="84"/>
        <v>848732.07774802181</v>
      </c>
      <c r="FW56" s="587">
        <f t="shared" si="84"/>
        <v>874547.07605591672</v>
      </c>
      <c r="FX56" s="587">
        <f t="shared" si="84"/>
        <v>901147.26224006712</v>
      </c>
    </row>
    <row r="57" spans="2:183" ht="12.75" customHeight="1" outlineLevel="1">
      <c r="B57" s="574" t="s">
        <v>317</v>
      </c>
      <c r="C57" s="575"/>
      <c r="D57" s="604"/>
      <c r="E57" s="416">
        <f>-E27*Detail!$M$34</f>
        <v>-1910.2960416666667</v>
      </c>
      <c r="F57" s="416">
        <f>-F27*Detail!$M$34</f>
        <v>-1910.2960416666667</v>
      </c>
      <c r="G57" s="416">
        <f>-G27*Detail!$M$34</f>
        <v>-1910.2960416666667</v>
      </c>
      <c r="H57" s="416">
        <f>-H27*Detail!$M$34</f>
        <v>-1910.2960416666667</v>
      </c>
      <c r="I57" s="416">
        <f>-I27*Detail!$M$34</f>
        <v>-1910.2960416666667</v>
      </c>
      <c r="J57" s="416">
        <f>-J27*Detail!$M$34</f>
        <v>-1910.2960416666667</v>
      </c>
      <c r="K57" s="416">
        <f>-K27*Detail!$M$34</f>
        <v>-1910.2960416666667</v>
      </c>
      <c r="L57" s="416">
        <f>-L27*Detail!$M$34</f>
        <v>-1915.0717817708332</v>
      </c>
      <c r="M57" s="416">
        <f>-M27*Detail!$M$34</f>
        <v>-1919.8594612252602</v>
      </c>
      <c r="N57" s="416">
        <f>-N27*Detail!$M$34</f>
        <v>-1924.6591098783231</v>
      </c>
      <c r="O57" s="416">
        <f>-O27*Detail!$M$34</f>
        <v>-1929.4707576530191</v>
      </c>
      <c r="P57" s="416">
        <f>-P27*Detail!$M$34</f>
        <v>-1934.2944345471517</v>
      </c>
      <c r="Q57" s="416">
        <f>-Q27*Detail!$M$34</f>
        <v>-1939.1301706335191</v>
      </c>
      <c r="R57" s="416">
        <f>-R27*Detail!$M$34</f>
        <v>-1943.9779960601029</v>
      </c>
      <c r="S57" s="416">
        <f>-S27*Detail!$M$34</f>
        <v>-1948.8379410502532</v>
      </c>
      <c r="T57" s="416">
        <f>-T27*Detail!$M$34</f>
        <v>-1953.7100359028789</v>
      </c>
      <c r="U57" s="416">
        <f>-U27*Detail!$M$34</f>
        <v>-1958.5943109926357</v>
      </c>
      <c r="V57" s="416">
        <f>-V27*Detail!$M$34</f>
        <v>-1963.490796770117</v>
      </c>
      <c r="W57" s="416">
        <f>-W27*Detail!$M$34</f>
        <v>-1968.3995237620425</v>
      </c>
      <c r="X57" s="416">
        <f>-X27*Detail!$M$34</f>
        <v>-1973.3205225714478</v>
      </c>
      <c r="Y57" s="416">
        <f>-Y27*Detail!$M$34</f>
        <v>-1978.2538238778759</v>
      </c>
      <c r="Z57" s="416">
        <f>-Z27*Detail!$M$34</f>
        <v>-1983.1994584375705</v>
      </c>
      <c r="AA57" s="416">
        <f>-AA27*Detail!$M$34</f>
        <v>-1988.1574570836647</v>
      </c>
      <c r="AB57" s="416">
        <f>-AB27*Detail!$M$34</f>
        <v>-1993.1278507263735</v>
      </c>
      <c r="AC57" s="416">
        <f>-AC27*Detail!$M$34</f>
        <v>-1998.1106703531896</v>
      </c>
      <c r="AD57" s="416">
        <f>-AD27*Detail!$M$34</f>
        <v>-2003.1059470290722</v>
      </c>
      <c r="AE57" s="416">
        <f>-AE27*Detail!$M$34</f>
        <v>-2008.1137118966451</v>
      </c>
      <c r="AF57" s="416">
        <f>-AF27*Detail!$M$34</f>
        <v>-2013.1339961763865</v>
      </c>
      <c r="AG57" s="416">
        <f>-AG27*Detail!$M$34</f>
        <v>-2018.166831166827</v>
      </c>
      <c r="AH57" s="416">
        <f>-AH27*Detail!$M$34</f>
        <v>-2023.2122482447442</v>
      </c>
      <c r="AI57" s="416">
        <f>-AI27*Detail!$M$34</f>
        <v>-2028.2702788653557</v>
      </c>
      <c r="AJ57" s="416">
        <f>-AJ27*Detail!$M$34</f>
        <v>-2033.3409545625195</v>
      </c>
      <c r="AK57" s="416">
        <f>-AK27*Detail!$M$34</f>
        <v>-2038.4243069489257</v>
      </c>
      <c r="AL57" s="416">
        <f>-AL27*Detail!$M$34</f>
        <v>-2043.5203677162976</v>
      </c>
      <c r="AM57" s="416">
        <f>-AM27*Detail!$M$34</f>
        <v>-2048.6291686355885</v>
      </c>
      <c r="AN57" s="416">
        <f>-AN27*Detail!$M$34</f>
        <v>-2053.7507415571777</v>
      </c>
      <c r="AO57" s="416">
        <f>-AO27*Detail!$M$34</f>
        <v>-2058.8851184110699</v>
      </c>
      <c r="AP57" s="416">
        <f>-AP27*Detail!$M$34</f>
        <v>-2064.0323312070973</v>
      </c>
      <c r="AQ57" s="416">
        <f>-AQ27*Detail!$M$34</f>
        <v>-2069.1924120351155</v>
      </c>
      <c r="AR57" s="416">
        <f>-AR27*Detail!$M$34</f>
        <v>-2074.3653930652035</v>
      </c>
      <c r="AS57" s="416">
        <f>-AS27*Detail!$M$34</f>
        <v>-2079.5513065478658</v>
      </c>
      <c r="AT57" s="416">
        <f>-AT27*Detail!$M$34</f>
        <v>-2084.7501848142356</v>
      </c>
      <c r="AU57" s="416">
        <f>-AU27*Detail!$M$34</f>
        <v>-2089.9620602762711</v>
      </c>
      <c r="AV57" s="416">
        <f>-AV27*Detail!$M$34</f>
        <v>-2095.1869654269622</v>
      </c>
      <c r="AW57" s="416">
        <f>-AW27*Detail!$M$34</f>
        <v>-2100.424932840529</v>
      </c>
      <c r="AX57" s="416">
        <f>-AX27*Detail!$M$34</f>
        <v>-2105.6759951726303</v>
      </c>
      <c r="AY57" s="416">
        <f>-AY27*Detail!$M$34</f>
        <v>-2110.9401851605617</v>
      </c>
      <c r="AZ57" s="416">
        <f>-AZ27*Detail!$M$34</f>
        <v>-2116.2175356234629</v>
      </c>
      <c r="BA57" s="416">
        <f>-BA27*Detail!$M$34</f>
        <v>-2121.5080794625214</v>
      </c>
      <c r="BB57" s="416">
        <f>-BB27*Detail!$M$34</f>
        <v>-2126.8118496611773</v>
      </c>
      <c r="BC57" s="416">
        <f>-BC27*Detail!$M$34</f>
        <v>-2132.1288792853306</v>
      </c>
      <c r="BD57" s="416">
        <f>-BD27*Detail!$M$34</f>
        <v>-2137.4592014835439</v>
      </c>
      <c r="BE57" s="416">
        <f>-BE27*Detail!$M$34</f>
        <v>-2142.8028494872524</v>
      </c>
      <c r="BF57" s="416">
        <f>-BF27*Detail!$M$34</f>
        <v>-2148.1598566109701</v>
      </c>
      <c r="BG57" s="416">
        <f>-BG27*Detail!$M$34</f>
        <v>-2153.5302562524985</v>
      </c>
      <c r="BH57" s="416">
        <f>-BH27*Detail!$M$34</f>
        <v>-2158.9140818931292</v>
      </c>
      <c r="BI57" s="416">
        <f>-BI27*Detail!$M$34</f>
        <v>-2164.3113670978623</v>
      </c>
      <c r="BJ57" s="416">
        <f>-BJ27*Detail!$M$34</f>
        <v>-2169.7221455156064</v>
      </c>
      <c r="BK57" s="416">
        <f>-BK27*Detail!$M$34</f>
        <v>-2175.1464508793956</v>
      </c>
      <c r="BL57" s="416">
        <f>-BL27*Detail!$M$34</f>
        <v>-2180.5843170065937</v>
      </c>
      <c r="BM57" s="416">
        <f>-BM27*Detail!$M$34</f>
        <v>-2186.0357777991098</v>
      </c>
      <c r="BN57" s="416">
        <f>-BN27*Detail!$M$34</f>
        <v>-2191.5008672436079</v>
      </c>
      <c r="BO57" s="416">
        <f>-BO27*Detail!$M$34</f>
        <v>-2196.9796194117162</v>
      </c>
      <c r="BP57" s="416">
        <f>-BP27*Detail!$M$34</f>
        <v>-2202.4720684602457</v>
      </c>
      <c r="BQ57" s="416">
        <f>-BQ27*Detail!$M$34</f>
        <v>-2207.9782486313966</v>
      </c>
      <c r="BR57" s="416">
        <f>-BR27*Detail!$M$34</f>
        <v>-2213.4981942529748</v>
      </c>
      <c r="BS57" s="416">
        <f>-BS27*Detail!$M$34</f>
        <v>-2219.031939738607</v>
      </c>
      <c r="BT57" s="416">
        <f>-BT27*Detail!$M$34</f>
        <v>-2224.5795195879541</v>
      </c>
      <c r="BU57" s="416">
        <f>-BU27*Detail!$M$34</f>
        <v>-2230.1409683869233</v>
      </c>
      <c r="BV57" s="416">
        <f>-BV27*Detail!$M$34</f>
        <v>-2235.71632080789</v>
      </c>
      <c r="BW57" s="416">
        <f>-BW27*Detail!$M$34</f>
        <v>-2241.3056116099101</v>
      </c>
      <c r="BX57" s="416">
        <f>-BX27*Detail!$M$34</f>
        <v>-2246.9088756389351</v>
      </c>
      <c r="BY57" s="416">
        <f>-BY27*Detail!$M$34</f>
        <v>-2252.5261478280322</v>
      </c>
      <c r="BZ57" s="416">
        <f>-BZ27*Detail!$M$34</f>
        <v>-2258.1574631976018</v>
      </c>
      <c r="CA57" s="416">
        <f>-CA27*Detail!$M$34</f>
        <v>-2263.802856855596</v>
      </c>
      <c r="CB57" s="416">
        <f>-CB27*Detail!$M$34</f>
        <v>-2269.4623639977349</v>
      </c>
      <c r="CC57" s="416">
        <f>-CC27*Detail!$M$34</f>
        <v>-2275.136019907729</v>
      </c>
      <c r="CD57" s="416">
        <f>-CD27*Detail!$M$34</f>
        <v>-2280.8238599574979</v>
      </c>
      <c r="CE57" s="416">
        <f>-CE27*Detail!$M$34</f>
        <v>-2286.5259196073916</v>
      </c>
      <c r="CF57" s="416">
        <f>-CF27*Detail!$M$34</f>
        <v>-2292.2422344064103</v>
      </c>
      <c r="CG57" s="416">
        <f>-CG27*Detail!$M$34</f>
        <v>-2297.9728399924261</v>
      </c>
      <c r="CH57" s="416">
        <f>-CH27*Detail!$M$34</f>
        <v>-2303.7177720924069</v>
      </c>
      <c r="CI57" s="416">
        <f>-CI27*Detail!$M$34</f>
        <v>-2309.4770665226379</v>
      </c>
      <c r="CJ57" s="416">
        <f>-CJ27*Detail!$M$34</f>
        <v>-2315.2507591889448</v>
      </c>
      <c r="CK57" s="416">
        <f>-CK27*Detail!$M$34</f>
        <v>-2321.0388860869166</v>
      </c>
      <c r="CL57" s="416">
        <f>-CL27*Detail!$M$34</f>
        <v>-2326.8414833021338</v>
      </c>
      <c r="CM57" s="416">
        <f>-CM27*Detail!$M$34</f>
        <v>-2332.6585870103895</v>
      </c>
      <c r="CN57" s="416">
        <f>-CN27*Detail!$M$34</f>
        <v>-2338.4902334779149</v>
      </c>
      <c r="CO57" s="416">
        <f>-CO27*Detail!$M$34</f>
        <v>-2344.3364590616102</v>
      </c>
      <c r="CP57" s="416">
        <f>-CP27*Detail!$M$34</f>
        <v>-2350.1973002092641</v>
      </c>
      <c r="CQ57" s="416">
        <f>-CQ27*Detail!$M$34</f>
        <v>-2356.0727934597867</v>
      </c>
      <c r="CR57" s="416">
        <f>-CR27*Detail!$M$34</f>
        <v>-2361.9629754434363</v>
      </c>
      <c r="CS57" s="416">
        <f>-CS27*Detail!$M$34</f>
        <v>-2367.8678828820443</v>
      </c>
      <c r="CT57" s="416">
        <f>-CT27*Detail!$M$34</f>
        <v>-2373.7875525892496</v>
      </c>
      <c r="CU57" s="416">
        <f>-CU27*Detail!$M$34</f>
        <v>-2379.7220214707227</v>
      </c>
      <c r="CV57" s="416">
        <f>-CV27*Detail!$M$34</f>
        <v>-2385.6713265243993</v>
      </c>
      <c r="CW57" s="416">
        <f>-CW27*Detail!$M$34</f>
        <v>-2391.6355048407104</v>
      </c>
      <c r="CX57" s="416">
        <f>-CX27*Detail!$M$34</f>
        <v>-2397.614593602812</v>
      </c>
      <c r="CY57" s="416">
        <f>-CY27*Detail!$M$34</f>
        <v>-2403.6086300868187</v>
      </c>
      <c r="CZ57" s="416">
        <f>-CZ27*Detail!$M$34</f>
        <v>-2409.6176516620367</v>
      </c>
      <c r="DA57" s="416">
        <f>-DA27*Detail!$M$34</f>
        <v>-2415.6416957911906</v>
      </c>
      <c r="DB57" s="416">
        <f>-DB27*Detail!$M$34</f>
        <v>-2421.6808000306683</v>
      </c>
      <c r="DC57" s="416">
        <f>-DC27*Detail!$M$34</f>
        <v>-2427.7350020307454</v>
      </c>
      <c r="DD57" s="416">
        <f>-DD27*Detail!$M$34</f>
        <v>-2433.8043395358222</v>
      </c>
      <c r="DE57" s="416">
        <f>-DE27*Detail!$M$34</f>
        <v>-2439.8888503846615</v>
      </c>
      <c r="DF57" s="416">
        <f>-DF27*Detail!$M$34</f>
        <v>-2445.9885725106228</v>
      </c>
      <c r="DG57" s="416">
        <f>-DG27*Detail!$M$34</f>
        <v>-2452.1035439418997</v>
      </c>
      <c r="DH57" s="416">
        <f>-DH27*Detail!$M$34</f>
        <v>-2458.2338028017548</v>
      </c>
      <c r="DI57" s="416">
        <f>-DI27*Detail!$M$34</f>
        <v>-2464.3793873087579</v>
      </c>
      <c r="DJ57" s="416">
        <f>-DJ27*Detail!$M$34</f>
        <v>-2470.5403357770301</v>
      </c>
      <c r="DK57" s="416">
        <f>-DK27*Detail!$M$34</f>
        <v>-2476.716686616473</v>
      </c>
      <c r="DL57" s="416">
        <f>-DL27*Detail!$M$34</f>
        <v>-2482.9084783330136</v>
      </c>
      <c r="DM57" s="416">
        <f>-DM27*Detail!$M$34</f>
        <v>-2489.1157495288462</v>
      </c>
      <c r="DN57" s="416">
        <f>-DN27*Detail!$M$34</f>
        <v>-2495.338538902668</v>
      </c>
      <c r="DO57" s="416">
        <f>-DO27*Detail!$M$34</f>
        <v>-2501.5768852499245</v>
      </c>
      <c r="DP57" s="416">
        <f>-DP27*Detail!$M$34</f>
        <v>-2507.8308274630499</v>
      </c>
      <c r="DQ57" s="416">
        <f>-DQ27*Detail!$M$34</f>
        <v>-2514.1004045317063</v>
      </c>
      <c r="DR57" s="416">
        <f>-DR27*Detail!$M$34</f>
        <v>-2520.3856555430357</v>
      </c>
      <c r="DS57" s="416">
        <f>-DS27*Detail!$M$34</f>
        <v>-2526.6866196818942</v>
      </c>
      <c r="DT57" s="416">
        <f>-DT27*Detail!$M$34</f>
        <v>-2533.0033362310978</v>
      </c>
      <c r="DU57" s="416">
        <f>-DU27*Detail!$M$34</f>
        <v>-2539.3358445716763</v>
      </c>
      <c r="DV57" s="416">
        <f>-DV27*Detail!$M$34</f>
        <v>-2545.6841841831047</v>
      </c>
      <c r="DW57" s="416">
        <f>-DW27*Detail!$M$34</f>
        <v>-2552.0483946435625</v>
      </c>
      <c r="DX57" s="416">
        <f>-DX27*Detail!$M$34</f>
        <v>-2558.4285156301712</v>
      </c>
      <c r="DY57" s="416">
        <f>-DY27*Detail!$M$34</f>
        <v>-2564.824586919246</v>
      </c>
      <c r="DZ57" s="416">
        <f>-DZ27*Detail!$M$34</f>
        <v>-2571.2366483865444</v>
      </c>
      <c r="EA57" s="416">
        <f>-EA27*Detail!$M$34</f>
        <v>-2577.6647400075103</v>
      </c>
      <c r="EB57" s="416">
        <f>-EB27*Detail!$M$34</f>
        <v>-2584.1089018575294</v>
      </c>
      <c r="EC57" s="416">
        <f>-EC27*Detail!$M$34</f>
        <v>-2590.5691741121732</v>
      </c>
      <c r="ED57" s="416">
        <f>-ED27*Detail!$M$34</f>
        <v>-2597.0455970474536</v>
      </c>
      <c r="EE57" s="416">
        <f>-EE27*Detail!$M$34</f>
        <v>-2603.5382110400719</v>
      </c>
      <c r="EF57" s="416">
        <f>-EF27*Detail!$M$34</f>
        <v>-2610.0470565676728</v>
      </c>
      <c r="EG57" s="416">
        <f>-EG27*Detail!$M$34</f>
        <v>-2616.5721742090914</v>
      </c>
      <c r="EH57" s="416">
        <f>-EH27*Detail!$M$34</f>
        <v>-2623.1136046446131</v>
      </c>
      <c r="EI57" s="416">
        <f>-EI27*Detail!$M$34</f>
        <v>-2629.6713886562252</v>
      </c>
      <c r="EJ57" s="416">
        <f>-EJ27*Detail!$M$34</f>
        <v>-2636.2455671278658</v>
      </c>
      <c r="EK57" s="416">
        <f>-EK27*Detail!$M$34</f>
        <v>-2642.836181045685</v>
      </c>
      <c r="EL57" s="416">
        <f>-EL27*Detail!$M$34</f>
        <v>-2649.4432714982991</v>
      </c>
      <c r="EM57" s="416">
        <f>-EM27*Detail!$M$34</f>
        <v>-2656.0668796770447</v>
      </c>
      <c r="EN57" s="416">
        <f>-EN27*Detail!$M$34</f>
        <v>-2662.7070468762372</v>
      </c>
      <c r="EO57" s="416">
        <f>-EO27*Detail!$M$34</f>
        <v>-2669.3638144934275</v>
      </c>
      <c r="EP57" s="416">
        <f>-EP27*Detail!$M$34</f>
        <v>-2676.037224029661</v>
      </c>
      <c r="EQ57" s="416">
        <f>-EQ27*Detail!$M$34</f>
        <v>-2682.7273170897356</v>
      </c>
      <c r="ER57" s="416">
        <f>-ER27*Detail!$M$34</f>
        <v>-2689.4341353824598</v>
      </c>
      <c r="ES57" s="416">
        <f>-ES27*Detail!$M$34</f>
        <v>-2696.1577207209157</v>
      </c>
      <c r="ET57" s="416">
        <f>-ET27*Detail!$M$34</f>
        <v>-2702.8981150227173</v>
      </c>
      <c r="EU57" s="416">
        <f>-EU27*Detail!$M$34</f>
        <v>-2709.6553603102743</v>
      </c>
      <c r="EV57" s="416">
        <f>-EV27*Detail!$M$34</f>
        <v>-2716.4294987110502</v>
      </c>
      <c r="EW57" s="416">
        <f>-EW27*Detail!$M$34</f>
        <v>-2723.2205724578271</v>
      </c>
      <c r="EX57" s="416">
        <f>-EX27*Detail!$M$34</f>
        <v>-2730.0286238889712</v>
      </c>
      <c r="EY57" s="416">
        <f>-EY27*Detail!$M$34</f>
        <v>-2736.853695448694</v>
      </c>
      <c r="EZ57" s="416">
        <f>-EZ27*Detail!$M$34</f>
        <v>-2743.6958296873158</v>
      </c>
      <c r="FA57" s="416">
        <f>-FA27*Detail!$M$34</f>
        <v>-2750.5550692615343</v>
      </c>
      <c r="FB57" s="416">
        <f>-FB27*Detail!$M$34</f>
        <v>-2757.4314569346875</v>
      </c>
      <c r="FC57" s="416">
        <f>-FC27*Detail!$M$34</f>
        <v>-2764.3250355770247</v>
      </c>
      <c r="FD57" s="416">
        <f>-FD27*Detail!$M$34</f>
        <v>-2771.2358481659667</v>
      </c>
      <c r="FE57" s="416">
        <f>-FE27*Detail!$M$34</f>
        <v>-2778.1639377863808</v>
      </c>
      <c r="FF57" s="416">
        <f>-FF27*Detail!$M$34</f>
        <v>-2785.109347630847</v>
      </c>
      <c r="FG57" s="416">
        <f>-FG27*Detail!$M$34</f>
        <v>-2792.0721209999238</v>
      </c>
      <c r="FH57" s="416">
        <f>-FH27*Detail!$M$34</f>
        <v>-2799.052301302424</v>
      </c>
      <c r="FI57" s="416">
        <f>-FI27*Detail!$M$34</f>
        <v>-2806.0499320556801</v>
      </c>
      <c r="FJ57" s="416">
        <f>-FJ27*Detail!$M$34</f>
        <v>-2813.0650568858191</v>
      </c>
      <c r="FK57" s="416">
        <f>-FK27*Detail!$M$34</f>
        <v>-2820.0977195280334</v>
      </c>
      <c r="FL57" s="416">
        <f>-FL27*Detail!$M$34</f>
        <v>-2827.1479638268538</v>
      </c>
      <c r="FM57" s="416">
        <f>-FM27*Detail!$M$34</f>
        <v>-2834.2158337364203</v>
      </c>
      <c r="FN57" s="416">
        <f>-FN27*Detail!$M$34</f>
        <v>-2841.3013733207608</v>
      </c>
      <c r="FO57" s="416">
        <f>-FO27*Detail!$M$34</f>
        <v>-2848.4046267540634</v>
      </c>
      <c r="FP57" s="416">
        <f>-FP27*Detail!$M$34</f>
        <v>-2855.5256383209485</v>
      </c>
      <c r="FQ57" s="416">
        <f>-FQ27*Detail!$M$34</f>
        <v>-2862.66445241675</v>
      </c>
      <c r="FR57" s="416">
        <f>-FR27*Detail!$M$34</f>
        <v>-2869.8211135477918</v>
      </c>
      <c r="FS57" s="416">
        <f>-FS27*Detail!$M$34</f>
        <v>-2876.9956663316621</v>
      </c>
      <c r="FT57" s="592">
        <f t="shared" ref="FT57:FX58" si="103">SUMIFS($E57:$FS57,$E$8:$FS$8,FT$5)</f>
        <v>-13372.072291666667</v>
      </c>
      <c r="FU57" s="592">
        <f t="shared" si="103"/>
        <v>-23299.496320246137</v>
      </c>
      <c r="FV57" s="592">
        <f t="shared" si="103"/>
        <v>-24008.172796429153</v>
      </c>
      <c r="FW57" s="592">
        <f t="shared" si="103"/>
        <v>-24738.404345777366</v>
      </c>
      <c r="FX57" s="592">
        <f t="shared" si="103"/>
        <v>-25490.846586467444</v>
      </c>
      <c r="GA57" s="611"/>
    </row>
    <row r="58" spans="2:183" s="618" customFormat="1" ht="28.5" customHeight="1">
      <c r="B58" s="612" t="s">
        <v>20</v>
      </c>
      <c r="C58" s="613"/>
      <c r="D58" s="614"/>
      <c r="E58" s="615">
        <f t="shared" ref="E58:BP58" si="104">SUM(E56:E57,E45:E46)</f>
        <v>547786.29029757052</v>
      </c>
      <c r="F58" s="615">
        <f t="shared" si="104"/>
        <v>548004.09533949441</v>
      </c>
      <c r="G58" s="615">
        <f t="shared" si="104"/>
        <v>548214.63982978801</v>
      </c>
      <c r="H58" s="615">
        <f t="shared" si="104"/>
        <v>539248.74481240369</v>
      </c>
      <c r="I58" s="615">
        <f t="shared" si="104"/>
        <v>539445.4862614444</v>
      </c>
      <c r="J58" s="615">
        <f t="shared" si="104"/>
        <v>539635.66935027612</v>
      </c>
      <c r="K58" s="615">
        <f t="shared" si="104"/>
        <v>539819.51271166094</v>
      </c>
      <c r="L58" s="615">
        <f t="shared" si="104"/>
        <v>540050.94868816808</v>
      </c>
      <c r="M58" s="615">
        <f t="shared" si="104"/>
        <v>540318.29957415292</v>
      </c>
      <c r="N58" s="615">
        <f t="shared" si="104"/>
        <v>540620.47768532461</v>
      </c>
      <c r="O58" s="615">
        <f t="shared" si="104"/>
        <v>540956.43183506571</v>
      </c>
      <c r="P58" s="615">
        <f t="shared" si="104"/>
        <v>541325.14612054615</v>
      </c>
      <c r="Q58" s="616">
        <f t="shared" si="104"/>
        <v>563467.39881941979</v>
      </c>
      <c r="R58" s="616">
        <f t="shared" si="104"/>
        <v>558820.57648419624</v>
      </c>
      <c r="S58" s="616">
        <f t="shared" si="104"/>
        <v>554514.26684961165</v>
      </c>
      <c r="T58" s="616">
        <f t="shared" si="104"/>
        <v>556144.78855017666</v>
      </c>
      <c r="U58" s="616">
        <f t="shared" si="104"/>
        <v>567664.16197479342</v>
      </c>
      <c r="V58" s="616">
        <f t="shared" si="104"/>
        <v>569508.10601401748</v>
      </c>
      <c r="W58" s="616">
        <f t="shared" si="104"/>
        <v>571413.57326625381</v>
      </c>
      <c r="X58" s="616">
        <f t="shared" si="104"/>
        <v>592994.15357313806</v>
      </c>
      <c r="Y58" s="616">
        <f t="shared" si="104"/>
        <v>594800.8518855148</v>
      </c>
      <c r="Z58" s="616">
        <f t="shared" si="104"/>
        <v>596928.96229689731</v>
      </c>
      <c r="AA58" s="616">
        <f t="shared" si="104"/>
        <v>599081.02272131562</v>
      </c>
      <c r="AB58" s="616">
        <f t="shared" si="104"/>
        <v>601226.53390118212</v>
      </c>
      <c r="AC58" s="616">
        <f t="shared" si="104"/>
        <v>603357.05585621158</v>
      </c>
      <c r="AD58" s="616">
        <f t="shared" si="104"/>
        <v>604738.8077165815</v>
      </c>
      <c r="AE58" s="616">
        <f t="shared" si="104"/>
        <v>606498.90859720879</v>
      </c>
      <c r="AF58" s="616">
        <f t="shared" si="104"/>
        <v>608616.84628004883</v>
      </c>
      <c r="AG58" s="616">
        <f t="shared" si="104"/>
        <v>610706.48878118175</v>
      </c>
      <c r="AH58" s="616">
        <f t="shared" si="104"/>
        <v>612773.21190519573</v>
      </c>
      <c r="AI58" s="616">
        <f t="shared" si="104"/>
        <v>614789.45007645804</v>
      </c>
      <c r="AJ58" s="616">
        <f t="shared" si="104"/>
        <v>616756.35183561861</v>
      </c>
      <c r="AK58" s="616">
        <f t="shared" si="104"/>
        <v>618480.33498869068</v>
      </c>
      <c r="AL58" s="616">
        <f t="shared" si="104"/>
        <v>620046.08115773927</v>
      </c>
      <c r="AM58" s="616">
        <f t="shared" si="104"/>
        <v>621856.6071183593</v>
      </c>
      <c r="AN58" s="616">
        <f t="shared" si="104"/>
        <v>623650.97157210321</v>
      </c>
      <c r="AO58" s="616">
        <f t="shared" si="104"/>
        <v>625399.68106936896</v>
      </c>
      <c r="AP58" s="616">
        <f t="shared" si="104"/>
        <v>627105.42064159189</v>
      </c>
      <c r="AQ58" s="616">
        <f t="shared" si="104"/>
        <v>628212.52210756508</v>
      </c>
      <c r="AR58" s="616">
        <f t="shared" si="104"/>
        <v>629599.48169892805</v>
      </c>
      <c r="AS58" s="616">
        <f t="shared" si="104"/>
        <v>631255.6589230902</v>
      </c>
      <c r="AT58" s="616">
        <f t="shared" si="104"/>
        <v>632900.1699693508</v>
      </c>
      <c r="AU58" s="616">
        <f t="shared" si="104"/>
        <v>634547.0956498608</v>
      </c>
      <c r="AV58" s="616">
        <f t="shared" si="104"/>
        <v>636175.53354407521</v>
      </c>
      <c r="AW58" s="616">
        <f t="shared" si="104"/>
        <v>637789.54663541203</v>
      </c>
      <c r="AX58" s="616">
        <f t="shared" si="104"/>
        <v>639234.76867762394</v>
      </c>
      <c r="AY58" s="616">
        <f t="shared" si="104"/>
        <v>640577.36790835927</v>
      </c>
      <c r="AZ58" s="616">
        <f t="shared" si="104"/>
        <v>642154.11227081739</v>
      </c>
      <c r="BA58" s="616">
        <f t="shared" si="104"/>
        <v>643750.096137007</v>
      </c>
      <c r="BB58" s="616">
        <f t="shared" si="104"/>
        <v>645343.22175286908</v>
      </c>
      <c r="BC58" s="616">
        <f t="shared" si="104"/>
        <v>646934.79919119168</v>
      </c>
      <c r="BD58" s="616">
        <f t="shared" si="104"/>
        <v>647997.31823400571</v>
      </c>
      <c r="BE58" s="616">
        <f t="shared" si="104"/>
        <v>649353.44251021673</v>
      </c>
      <c r="BF58" s="616">
        <f t="shared" si="104"/>
        <v>651004.78366052639</v>
      </c>
      <c r="BG58" s="616">
        <f t="shared" si="104"/>
        <v>652673.20905124454</v>
      </c>
      <c r="BH58" s="616">
        <f t="shared" si="104"/>
        <v>654367.98325639078</v>
      </c>
      <c r="BI58" s="616">
        <f t="shared" si="104"/>
        <v>656069.13841244171</v>
      </c>
      <c r="BJ58" s="616">
        <f t="shared" si="104"/>
        <v>657777.81907312875</v>
      </c>
      <c r="BK58" s="616">
        <f t="shared" si="104"/>
        <v>659324.08718172158</v>
      </c>
      <c r="BL58" s="616">
        <f t="shared" si="104"/>
        <v>660772.49330937909</v>
      </c>
      <c r="BM58" s="616">
        <f t="shared" si="104"/>
        <v>662479.69006649777</v>
      </c>
      <c r="BN58" s="616">
        <f t="shared" si="104"/>
        <v>664213.14390045719</v>
      </c>
      <c r="BO58" s="616">
        <f t="shared" si="104"/>
        <v>665948.60157366516</v>
      </c>
      <c r="BP58" s="616">
        <f t="shared" si="104"/>
        <v>667684.9884384257</v>
      </c>
      <c r="BQ58" s="616">
        <f t="shared" ref="BQ58:EB58" si="105">SUM(BQ56:BQ57,BQ45:BQ46)</f>
        <v>668840.58753039141</v>
      </c>
      <c r="BR58" s="616">
        <f t="shared" si="105"/>
        <v>670317.50140871375</v>
      </c>
      <c r="BS58" s="616">
        <f t="shared" si="105"/>
        <v>672114.78872664354</v>
      </c>
      <c r="BT58" s="616">
        <f t="shared" si="105"/>
        <v>673925.09152320563</v>
      </c>
      <c r="BU58" s="616">
        <f t="shared" si="105"/>
        <v>675757.27286237525</v>
      </c>
      <c r="BV58" s="616">
        <f t="shared" si="105"/>
        <v>677589.23730039247</v>
      </c>
      <c r="BW58" s="616">
        <f t="shared" si="105"/>
        <v>679421.72186405503</v>
      </c>
      <c r="BX58" s="616">
        <f t="shared" si="105"/>
        <v>681072.07091235241</v>
      </c>
      <c r="BY58" s="616">
        <f t="shared" si="105"/>
        <v>682610.70785231062</v>
      </c>
      <c r="BZ58" s="616">
        <f t="shared" si="105"/>
        <v>684418.84978579951</v>
      </c>
      <c r="CA58" s="616">
        <f t="shared" si="105"/>
        <v>686247.77770666429</v>
      </c>
      <c r="CB58" s="616">
        <f t="shared" si="105"/>
        <v>688071.15348363051</v>
      </c>
      <c r="CC58" s="616">
        <f t="shared" si="105"/>
        <v>689888.25304797688</v>
      </c>
      <c r="CD58" s="616">
        <f t="shared" si="105"/>
        <v>691092.37437021337</v>
      </c>
      <c r="CE58" s="616">
        <f t="shared" si="105"/>
        <v>692626.69042197312</v>
      </c>
      <c r="CF58" s="616">
        <f t="shared" si="105"/>
        <v>694488.2652362138</v>
      </c>
      <c r="CG58" s="616">
        <f t="shared" si="105"/>
        <v>696358.67847154953</v>
      </c>
      <c r="CH58" s="616">
        <f t="shared" si="105"/>
        <v>698248.00760432449</v>
      </c>
      <c r="CI58" s="616">
        <f t="shared" si="105"/>
        <v>700133.23929917975</v>
      </c>
      <c r="CJ58" s="616">
        <f t="shared" si="105"/>
        <v>702015.6680579501</v>
      </c>
      <c r="CK58" s="616">
        <f t="shared" si="105"/>
        <v>703708.73617831455</v>
      </c>
      <c r="CL58" s="616">
        <f t="shared" si="105"/>
        <v>705285.61980165867</v>
      </c>
      <c r="CM58" s="616">
        <f t="shared" si="105"/>
        <v>707137.96592200536</v>
      </c>
      <c r="CN58" s="616">
        <f t="shared" si="105"/>
        <v>709011.06081466668</v>
      </c>
      <c r="CO58" s="616">
        <f t="shared" si="105"/>
        <v>710878.00443721109</v>
      </c>
      <c r="CP58" s="616">
        <f t="shared" si="105"/>
        <v>712738.43270445778</v>
      </c>
      <c r="CQ58" s="616">
        <f t="shared" si="105"/>
        <v>713972.06409381423</v>
      </c>
      <c r="CR58" s="616">
        <f t="shared" si="105"/>
        <v>715543.87668153772</v>
      </c>
      <c r="CS58" s="616">
        <f t="shared" si="105"/>
        <v>717451.37664627982</v>
      </c>
      <c r="CT58" s="616">
        <f t="shared" si="105"/>
        <v>719369.02479233826</v>
      </c>
      <c r="CU58" s="616">
        <f t="shared" si="105"/>
        <v>721307.29936927417</v>
      </c>
      <c r="CV58" s="616">
        <f t="shared" si="105"/>
        <v>723242.68247372517</v>
      </c>
      <c r="CW58" s="616">
        <f t="shared" si="105"/>
        <v>725176.55687968526</v>
      </c>
      <c r="CX58" s="616">
        <f t="shared" si="105"/>
        <v>726917.27956578939</v>
      </c>
      <c r="CY58" s="616">
        <f t="shared" si="105"/>
        <v>728539.79477541568</v>
      </c>
      <c r="CZ58" s="616">
        <f t="shared" si="105"/>
        <v>730446.65580005874</v>
      </c>
      <c r="DA58" s="616">
        <f t="shared" si="105"/>
        <v>732376.04377497267</v>
      </c>
      <c r="DB58" s="616">
        <f t="shared" si="105"/>
        <v>734300.36853040406</v>
      </c>
      <c r="DC58" s="616">
        <f t="shared" si="105"/>
        <v>736219.16912235366</v>
      </c>
      <c r="DD58" s="616">
        <f t="shared" si="105"/>
        <v>737492.31840537884</v>
      </c>
      <c r="DE58" s="616">
        <f t="shared" si="105"/>
        <v>739115.24867481203</v>
      </c>
      <c r="DF58" s="616">
        <f t="shared" si="105"/>
        <v>741085.68172789225</v>
      </c>
      <c r="DG58" s="616">
        <f t="shared" si="105"/>
        <v>743067.30984850926</v>
      </c>
      <c r="DH58" s="616">
        <f t="shared" si="105"/>
        <v>745070.79985099821</v>
      </c>
      <c r="DI58" s="616">
        <f t="shared" si="105"/>
        <v>747071.87570195622</v>
      </c>
      <c r="DJ58" s="616">
        <f t="shared" si="105"/>
        <v>749071.87460823124</v>
      </c>
      <c r="DK58" s="616">
        <f t="shared" si="105"/>
        <v>750872.41989059013</v>
      </c>
      <c r="DL58" s="616">
        <f t="shared" si="105"/>
        <v>752550.89157853171</v>
      </c>
      <c r="DM58" s="616">
        <f t="shared" si="105"/>
        <v>754523.58956821216</v>
      </c>
      <c r="DN58" s="616">
        <f t="shared" si="105"/>
        <v>756519.61934674869</v>
      </c>
      <c r="DO58" s="616">
        <f t="shared" si="105"/>
        <v>758510.41878878209</v>
      </c>
      <c r="DP58" s="616">
        <f t="shared" si="105"/>
        <v>760495.45240306249</v>
      </c>
      <c r="DQ58" s="616">
        <f t="shared" si="105"/>
        <v>761812.36936249246</v>
      </c>
      <c r="DR58" s="616">
        <f t="shared" si="105"/>
        <v>763491.0674423126</v>
      </c>
      <c r="DS58" s="616">
        <f t="shared" si="105"/>
        <v>765529.08756844013</v>
      </c>
      <c r="DT58" s="616">
        <f t="shared" si="105"/>
        <v>767578.46441191097</v>
      </c>
      <c r="DU58" s="616">
        <f t="shared" si="105"/>
        <v>769650.21377403429</v>
      </c>
      <c r="DV58" s="616">
        <f t="shared" si="105"/>
        <v>771719.21536019363</v>
      </c>
      <c r="DW58" s="616">
        <f t="shared" si="105"/>
        <v>773786.84780559852</v>
      </c>
      <c r="DX58" s="616">
        <f t="shared" si="105"/>
        <v>775648.03361928125</v>
      </c>
      <c r="DY58" s="616">
        <f t="shared" si="105"/>
        <v>777382.81527278374</v>
      </c>
      <c r="DZ58" s="616">
        <f t="shared" si="105"/>
        <v>779421.53761290631</v>
      </c>
      <c r="EA58" s="616">
        <f t="shared" si="105"/>
        <v>781484.17616251134</v>
      </c>
      <c r="EB58" s="616">
        <f t="shared" si="105"/>
        <v>783541.1969370303</v>
      </c>
      <c r="EC58" s="616">
        <f t="shared" ref="EC58:FS58" si="106">SUM(EC56:EC57,EC45:EC46)</f>
        <v>785592.06408643979</v>
      </c>
      <c r="ED58" s="616">
        <f t="shared" si="106"/>
        <v>786952.53082462086</v>
      </c>
      <c r="EE58" s="616">
        <f t="shared" si="106"/>
        <v>788686.61620603234</v>
      </c>
      <c r="EF58" s="616">
        <f t="shared" si="106"/>
        <v>790791.73611768382</v>
      </c>
      <c r="EG58" s="616">
        <f t="shared" si="106"/>
        <v>792908.48005357897</v>
      </c>
      <c r="EH58" s="616">
        <f t="shared" si="106"/>
        <v>795048.25356029859</v>
      </c>
      <c r="EI58" s="616">
        <f t="shared" si="106"/>
        <v>797185.10694332502</v>
      </c>
      <c r="EJ58" s="616">
        <f t="shared" si="106"/>
        <v>799320.47964412812</v>
      </c>
      <c r="EK58" s="616">
        <f t="shared" si="106"/>
        <v>801242.60503418953</v>
      </c>
      <c r="EL58" s="616">
        <f t="shared" si="106"/>
        <v>803034.16658756323</v>
      </c>
      <c r="EM58" s="616">
        <f t="shared" si="106"/>
        <v>805139.61293149332</v>
      </c>
      <c r="EN58" s="616">
        <f t="shared" si="106"/>
        <v>807269.76422008732</v>
      </c>
      <c r="EO58" s="616">
        <f t="shared" si="106"/>
        <v>809394.12393930811</v>
      </c>
      <c r="EP58" s="616">
        <f t="shared" si="106"/>
        <v>811512.14750819351</v>
      </c>
      <c r="EQ58" s="616">
        <f t="shared" si="106"/>
        <v>812917.19967774604</v>
      </c>
      <c r="ER58" s="616">
        <f t="shared" si="106"/>
        <v>814708.12560303579</v>
      </c>
      <c r="ES58" s="616">
        <f t="shared" si="106"/>
        <v>816882.27586824063</v>
      </c>
      <c r="ET58" s="616">
        <f t="shared" si="106"/>
        <v>819068.47399253282</v>
      </c>
      <c r="EU58" s="616">
        <f t="shared" si="106"/>
        <v>821278.50088984496</v>
      </c>
      <c r="EV58" s="616">
        <f t="shared" si="106"/>
        <v>823485.5579822252</v>
      </c>
      <c r="EW58" s="616">
        <f t="shared" si="106"/>
        <v>825691.13182617479</v>
      </c>
      <c r="EX58" s="616">
        <f t="shared" si="106"/>
        <v>827676.49102822831</v>
      </c>
      <c r="EY58" s="616">
        <f t="shared" si="106"/>
        <v>829527.0287129475</v>
      </c>
      <c r="EZ58" s="616">
        <f t="shared" si="106"/>
        <v>831701.81014677708</v>
      </c>
      <c r="FA58" s="616">
        <f t="shared" si="106"/>
        <v>833902.14245701663</v>
      </c>
      <c r="FB58" s="616">
        <f t="shared" si="106"/>
        <v>836096.52726876514</v>
      </c>
      <c r="FC58" s="616">
        <f t="shared" si="106"/>
        <v>838284.39867299143</v>
      </c>
      <c r="FD58" s="616">
        <f t="shared" si="106"/>
        <v>839735.80538758612</v>
      </c>
      <c r="FE58" s="616">
        <f t="shared" si="106"/>
        <v>841585.83680354606</v>
      </c>
      <c r="FF58" s="616">
        <f t="shared" si="106"/>
        <v>843831.76233301335</v>
      </c>
      <c r="FG58" s="616">
        <f t="shared" si="106"/>
        <v>846090.14891133131</v>
      </c>
      <c r="FH58" s="616">
        <f t="shared" si="106"/>
        <v>848373.16179835657</v>
      </c>
      <c r="FI58" s="616">
        <f t="shared" si="106"/>
        <v>850653.11799346341</v>
      </c>
      <c r="FJ58" s="616">
        <f t="shared" si="106"/>
        <v>852931.55056738236</v>
      </c>
      <c r="FK58" s="616">
        <f t="shared" si="106"/>
        <v>854982.49778921995</v>
      </c>
      <c r="FL58" s="616">
        <f t="shared" si="106"/>
        <v>856894.17101234058</v>
      </c>
      <c r="FM58" s="616">
        <f t="shared" si="106"/>
        <v>859140.79915706313</v>
      </c>
      <c r="FN58" s="616">
        <f t="shared" si="106"/>
        <v>861413.81954694004</v>
      </c>
      <c r="FO58" s="616">
        <f t="shared" si="106"/>
        <v>863680.69240967021</v>
      </c>
      <c r="FP58" s="616">
        <f t="shared" si="106"/>
        <v>865940.83185685007</v>
      </c>
      <c r="FQ58" s="616">
        <f t="shared" si="106"/>
        <v>867440.17320888187</v>
      </c>
      <c r="FR58" s="616">
        <f t="shared" si="106"/>
        <v>869351.30147258332</v>
      </c>
      <c r="FS58" s="616">
        <f t="shared" si="106"/>
        <v>871671.39231669577</v>
      </c>
      <c r="FT58" s="617">
        <f t="shared" si="103"/>
        <v>3802154.438602638</v>
      </c>
      <c r="FU58" s="617">
        <f t="shared" si="103"/>
        <v>6644804.1758617265</v>
      </c>
      <c r="FV58" s="617">
        <f t="shared" si="103"/>
        <v>7246512.293590934</v>
      </c>
      <c r="FW58" s="617">
        <f t="shared" si="103"/>
        <v>7509810.3767322674</v>
      </c>
      <c r="FX58" s="617">
        <f t="shared" si="103"/>
        <v>7732988.1995733492</v>
      </c>
      <c r="GA58" s="619"/>
    </row>
    <row r="59" spans="2:183" ht="12" customHeight="1" outlineLevel="1">
      <c r="B59" s="581" t="s">
        <v>318</v>
      </c>
      <c r="C59" s="575"/>
      <c r="D59" s="620"/>
      <c r="E59" s="621"/>
      <c r="F59" s="621"/>
      <c r="G59" s="621"/>
      <c r="H59" s="621"/>
      <c r="I59" s="621"/>
      <c r="J59" s="621"/>
      <c r="K59" s="621"/>
      <c r="L59" s="621"/>
      <c r="M59" s="621"/>
      <c r="N59" s="621"/>
      <c r="O59" s="621"/>
      <c r="P59" s="621"/>
      <c r="Q59" s="178"/>
      <c r="R59" s="178"/>
      <c r="S59" s="178"/>
      <c r="T59" s="178"/>
      <c r="U59" s="178"/>
      <c r="V59" s="178"/>
      <c r="W59" s="178"/>
      <c r="X59" s="178"/>
      <c r="Y59" s="178"/>
      <c r="Z59" s="178"/>
      <c r="AA59" s="178"/>
      <c r="AB59" s="178"/>
      <c r="AC59" s="178"/>
      <c r="AD59" s="178"/>
      <c r="AE59" s="178"/>
      <c r="AF59" s="178"/>
      <c r="AG59" s="178"/>
      <c r="AH59" s="178"/>
      <c r="AI59" s="178"/>
      <c r="AJ59" s="178"/>
      <c r="AK59" s="178"/>
      <c r="AL59" s="178"/>
      <c r="AM59" s="178"/>
      <c r="AN59" s="178"/>
      <c r="AO59" s="178"/>
      <c r="AP59" s="178"/>
      <c r="AQ59" s="178"/>
      <c r="AR59" s="178"/>
      <c r="AS59" s="178"/>
      <c r="AT59" s="178"/>
      <c r="AU59" s="178"/>
      <c r="AV59" s="178"/>
      <c r="AW59" s="178"/>
      <c r="AX59" s="178"/>
      <c r="AY59" s="178"/>
      <c r="AZ59" s="178"/>
      <c r="BA59" s="178"/>
      <c r="BB59" s="178"/>
      <c r="BC59" s="178"/>
      <c r="BD59" s="178"/>
      <c r="BE59" s="178"/>
      <c r="BF59" s="178"/>
      <c r="BG59" s="178"/>
      <c r="BH59" s="178"/>
      <c r="BI59" s="178"/>
      <c r="BJ59" s="178"/>
      <c r="BK59" s="178"/>
      <c r="BL59" s="178"/>
      <c r="BM59" s="178"/>
      <c r="BN59" s="178"/>
      <c r="BO59" s="178"/>
      <c r="BP59" s="178"/>
      <c r="BQ59" s="178"/>
      <c r="BR59" s="178"/>
      <c r="BS59" s="178"/>
      <c r="BT59" s="178"/>
      <c r="BU59" s="178"/>
      <c r="BV59" s="178"/>
      <c r="BW59" s="178"/>
      <c r="BX59" s="178"/>
      <c r="BY59" s="178"/>
      <c r="BZ59" s="178"/>
      <c r="CA59" s="178"/>
      <c r="CB59" s="178"/>
      <c r="CC59" s="178"/>
      <c r="CD59" s="178"/>
      <c r="CE59" s="178"/>
      <c r="CF59" s="178"/>
      <c r="CG59" s="178"/>
      <c r="CH59" s="178"/>
      <c r="CI59" s="178"/>
      <c r="CJ59" s="178"/>
      <c r="CK59" s="178"/>
      <c r="CL59" s="178"/>
      <c r="CM59" s="178"/>
      <c r="CN59" s="178"/>
      <c r="CO59" s="178"/>
      <c r="CP59" s="178"/>
      <c r="CQ59" s="178"/>
      <c r="CR59" s="178"/>
      <c r="CS59" s="178"/>
      <c r="CT59" s="178"/>
      <c r="CU59" s="178"/>
      <c r="CV59" s="178"/>
      <c r="CW59" s="178"/>
      <c r="CX59" s="178"/>
      <c r="CY59" s="178"/>
      <c r="CZ59" s="178"/>
      <c r="DA59" s="178"/>
      <c r="DB59" s="178"/>
      <c r="DC59" s="178"/>
      <c r="DD59" s="178"/>
      <c r="DE59" s="178"/>
      <c r="DF59" s="178"/>
      <c r="DG59" s="178"/>
      <c r="DH59" s="178"/>
      <c r="DI59" s="178"/>
      <c r="DJ59" s="178"/>
      <c r="DK59" s="178"/>
      <c r="DL59" s="178"/>
      <c r="DM59" s="178"/>
      <c r="DN59" s="178"/>
      <c r="DO59" s="178"/>
      <c r="DP59" s="178"/>
      <c r="DQ59" s="178"/>
      <c r="DR59" s="178"/>
      <c r="DS59" s="178"/>
      <c r="DT59" s="178"/>
      <c r="DU59" s="178"/>
      <c r="DV59" s="178"/>
      <c r="DW59" s="178"/>
      <c r="DX59" s="178"/>
      <c r="DY59" s="178"/>
      <c r="DZ59" s="178"/>
      <c r="EA59" s="178"/>
      <c r="EB59" s="178"/>
      <c r="EC59" s="178"/>
      <c r="ED59" s="178"/>
      <c r="EE59" s="178"/>
      <c r="EF59" s="178"/>
      <c r="EG59" s="178"/>
      <c r="EH59" s="178"/>
      <c r="EI59" s="178"/>
      <c r="EJ59" s="178"/>
      <c r="EK59" s="178"/>
      <c r="EL59" s="178"/>
      <c r="EM59" s="178"/>
      <c r="EN59" s="178"/>
      <c r="EO59" s="178"/>
      <c r="EP59" s="178"/>
      <c r="EQ59" s="178"/>
      <c r="ER59" s="178"/>
      <c r="ES59" s="178"/>
      <c r="ET59" s="178"/>
      <c r="EU59" s="178"/>
      <c r="EV59" s="178"/>
      <c r="EW59" s="178"/>
      <c r="EX59" s="178"/>
      <c r="EY59" s="178"/>
      <c r="EZ59" s="178"/>
      <c r="FA59" s="178"/>
      <c r="FB59" s="178"/>
      <c r="FC59" s="178"/>
      <c r="FD59" s="178"/>
      <c r="FE59" s="178"/>
      <c r="FF59" s="178"/>
      <c r="FG59" s="178"/>
      <c r="FH59" s="178"/>
      <c r="FI59" s="178"/>
      <c r="FJ59" s="178"/>
      <c r="FK59" s="178"/>
      <c r="FL59" s="178"/>
      <c r="FM59" s="178"/>
      <c r="FN59" s="178"/>
      <c r="FO59" s="178"/>
      <c r="FP59" s="178"/>
      <c r="FQ59" s="178"/>
      <c r="FR59" s="178"/>
      <c r="FS59" s="178"/>
      <c r="FT59" s="622"/>
      <c r="FU59" s="622"/>
      <c r="FV59" s="622"/>
      <c r="FW59" s="622"/>
      <c r="FX59" s="622"/>
    </row>
    <row r="60" spans="2:183" ht="12" customHeight="1" outlineLevel="1">
      <c r="B60" s="574" t="s">
        <v>26</v>
      </c>
      <c r="C60" s="575"/>
      <c r="D60" s="604"/>
      <c r="E60" s="416">
        <f>Detail!$L$98*E127</f>
        <v>40164.916666666664</v>
      </c>
      <c r="F60" s="416">
        <f>Detail!$L$98*F127</f>
        <v>40164.916666666664</v>
      </c>
      <c r="G60" s="416">
        <f>Detail!$L$98*G127</f>
        <v>40164.916666666664</v>
      </c>
      <c r="H60" s="416">
        <f>Detail!$L$98*H127</f>
        <v>40164.916666666664</v>
      </c>
      <c r="I60" s="416">
        <f>Detail!$L$98*I127</f>
        <v>40164.916666666664</v>
      </c>
      <c r="J60" s="416">
        <f>Detail!$L$98*J127</f>
        <v>40164.916666666664</v>
      </c>
      <c r="K60" s="416">
        <f>Detail!$L$98*K127</f>
        <v>40164.916666666664</v>
      </c>
      <c r="L60" s="416">
        <f>Detail!$L$98*L127</f>
        <v>40231.858194444445</v>
      </c>
      <c r="M60" s="416">
        <f>Detail!$L$98*M127</f>
        <v>40298.911291435186</v>
      </c>
      <c r="N60" s="416">
        <f>Detail!$L$98*N127</f>
        <v>40366.076143587576</v>
      </c>
      <c r="O60" s="416">
        <f>Detail!$L$98*O127</f>
        <v>40433.352937160227</v>
      </c>
      <c r="P60" s="416">
        <f>Detail!$L$98*P127</f>
        <v>40500.741858722162</v>
      </c>
      <c r="Q60" s="416">
        <f>Detail!$L$98*Q127</f>
        <v>40568.243095153368</v>
      </c>
      <c r="R60" s="416">
        <f>Detail!$L$98*R127</f>
        <v>40635.856833645295</v>
      </c>
      <c r="S60" s="416">
        <f>Detail!$L$98*S127</f>
        <v>40703.58326170138</v>
      </c>
      <c r="T60" s="416">
        <f>Detail!$L$98*T127</f>
        <v>40771.422567137546</v>
      </c>
      <c r="U60" s="416">
        <f>Detail!$L$98*U127</f>
        <v>40839.374938082779</v>
      </c>
      <c r="V60" s="416">
        <f>Detail!$L$98*V127</f>
        <v>40907.440562979587</v>
      </c>
      <c r="W60" s="416">
        <f>Detail!$L$98*W127</f>
        <v>40975.619630584551</v>
      </c>
      <c r="X60" s="416">
        <f>Detail!$L$98*X127</f>
        <v>41043.912329968865</v>
      </c>
      <c r="Y60" s="416">
        <f>Detail!$L$98*Y127</f>
        <v>41112.318850518815</v>
      </c>
      <c r="Z60" s="416">
        <f>Detail!$L$98*Z127</f>
        <v>41180.839381936348</v>
      </c>
      <c r="AA60" s="416">
        <f>Detail!$L$98*AA127</f>
        <v>41249.474114239587</v>
      </c>
      <c r="AB60" s="416">
        <f>Detail!$L$98*AB127</f>
        <v>41318.223237763312</v>
      </c>
      <c r="AC60" s="416">
        <f>Detail!$L$98*AC127</f>
        <v>41387.086943159586</v>
      </c>
      <c r="AD60" s="416">
        <f>Detail!$L$98*AD127</f>
        <v>41456.065421398198</v>
      </c>
      <c r="AE60" s="416">
        <f>Detail!$L$98*AE127</f>
        <v>41525.158863767188</v>
      </c>
      <c r="AF60" s="416">
        <f>Detail!$L$98*AF127</f>
        <v>41594.367461873473</v>
      </c>
      <c r="AG60" s="416">
        <f>Detail!$L$98*AG127</f>
        <v>41663.691407643266</v>
      </c>
      <c r="AH60" s="416">
        <f>Detail!$L$98*AH127</f>
        <v>41733.130893322676</v>
      </c>
      <c r="AI60" s="416">
        <f>Detail!$L$98*AI127</f>
        <v>41802.686111478222</v>
      </c>
      <c r="AJ60" s="416">
        <f>Detail!$L$98*AJ127</f>
        <v>41872.357254997347</v>
      </c>
      <c r="AK60" s="416">
        <f>Detail!$L$98*AK127</f>
        <v>41942.144517089007</v>
      </c>
      <c r="AL60" s="416">
        <f>Detail!$L$98*AL127</f>
        <v>42012.048091284167</v>
      </c>
      <c r="AM60" s="416">
        <f>Detail!$L$98*AM127</f>
        <v>42082.068171436309</v>
      </c>
      <c r="AN60" s="416">
        <f>Detail!$L$98*AN127</f>
        <v>42152.204951722037</v>
      </c>
      <c r="AO60" s="416">
        <f>Detail!$L$98*AO127</f>
        <v>42222.458626641572</v>
      </c>
      <c r="AP60" s="416">
        <f>Detail!$L$98*AP127</f>
        <v>42292.829391019317</v>
      </c>
      <c r="AQ60" s="416">
        <f>Detail!$L$98*AQ127</f>
        <v>42363.317440004357</v>
      </c>
      <c r="AR60" s="416">
        <f>Detail!$L$98*AR127</f>
        <v>42433.922969071034</v>
      </c>
      <c r="AS60" s="416">
        <f>Detail!$L$98*AS127</f>
        <v>42504.646174019486</v>
      </c>
      <c r="AT60" s="416">
        <f>Detail!$L$98*AT127</f>
        <v>42575.487250976192</v>
      </c>
      <c r="AU60" s="416">
        <f>Detail!$L$98*AU127</f>
        <v>42646.44639639448</v>
      </c>
      <c r="AV60" s="416">
        <f>Detail!$L$98*AV127</f>
        <v>42717.523807055142</v>
      </c>
      <c r="AW60" s="416">
        <f>Detail!$L$98*AW127</f>
        <v>42788.719680066897</v>
      </c>
      <c r="AX60" s="416">
        <f>Detail!$L$98*AX127</f>
        <v>42860.034212867024</v>
      </c>
      <c r="AY60" s="416">
        <f>Detail!$L$98*AY127</f>
        <v>42931.467603221805</v>
      </c>
      <c r="AZ60" s="416">
        <f>Detail!$L$98*AZ127</f>
        <v>43003.020049227169</v>
      </c>
      <c r="BA60" s="416">
        <f>Detail!$L$98*BA127</f>
        <v>43074.691749309219</v>
      </c>
      <c r="BB60" s="416">
        <f>Detail!$L$98*BB127</f>
        <v>43146.482902224736</v>
      </c>
      <c r="BC60" s="416">
        <f>Detail!$L$98*BC127</f>
        <v>43218.393707061776</v>
      </c>
      <c r="BD60" s="416">
        <f>Detail!$L$98*BD127</f>
        <v>43290.424363240221</v>
      </c>
      <c r="BE60" s="416">
        <f>Detail!$L$98*BE127</f>
        <v>43362.575070512292</v>
      </c>
      <c r="BF60" s="416">
        <f>Detail!$L$98*BF127</f>
        <v>43434.846028963148</v>
      </c>
      <c r="BG60" s="416">
        <f>Detail!$L$98*BG127</f>
        <v>43507.237439011427</v>
      </c>
      <c r="BH60" s="416">
        <f>Detail!$L$98*BH127</f>
        <v>43579.74950140978</v>
      </c>
      <c r="BI60" s="416">
        <f>Detail!$L$98*BI127</f>
        <v>43652.382417245462</v>
      </c>
      <c r="BJ60" s="416">
        <f>Detail!$L$98*BJ127</f>
        <v>43725.136387940882</v>
      </c>
      <c r="BK60" s="416">
        <f>Detail!$L$98*BK127</f>
        <v>43798.011615254116</v>
      </c>
      <c r="BL60" s="416">
        <f>Detail!$L$98*BL127</f>
        <v>43871.008301279544</v>
      </c>
      <c r="BM60" s="416">
        <f>Detail!$L$98*BM127</f>
        <v>43944.126648448342</v>
      </c>
      <c r="BN60" s="416">
        <f>Detail!$L$98*BN127</f>
        <v>44017.366859529095</v>
      </c>
      <c r="BO60" s="416">
        <f>Detail!$L$98*BO127</f>
        <v>44090.729137628317</v>
      </c>
      <c r="BP60" s="416">
        <f>Detail!$L$98*BP127</f>
        <v>44164.213686191033</v>
      </c>
      <c r="BQ60" s="416">
        <f>Detail!$L$98*BQ127</f>
        <v>44237.820709001346</v>
      </c>
      <c r="BR60" s="416">
        <f>Detail!$L$98*BR127</f>
        <v>44311.550410183023</v>
      </c>
      <c r="BS60" s="416">
        <f>Detail!$L$98*BS127</f>
        <v>44385.402994199991</v>
      </c>
      <c r="BT60" s="416">
        <f>Detail!$L$98*BT127</f>
        <v>44459.378665857002</v>
      </c>
      <c r="BU60" s="416">
        <f>Detail!$L$98*BU127</f>
        <v>44533.477630300098</v>
      </c>
      <c r="BV60" s="416">
        <f>Detail!$L$98*BV127</f>
        <v>44607.700093017273</v>
      </c>
      <c r="BW60" s="416">
        <f>Detail!$L$98*BW127</f>
        <v>44682.046259838971</v>
      </c>
      <c r="BX60" s="416">
        <f>Detail!$L$98*BX127</f>
        <v>44756.516336938708</v>
      </c>
      <c r="BY60" s="416">
        <f>Detail!$L$98*BY127</f>
        <v>44831.110530833605</v>
      </c>
      <c r="BZ60" s="416">
        <f>Detail!$L$98*BZ127</f>
        <v>44905.829048384992</v>
      </c>
      <c r="CA60" s="416">
        <f>Detail!$L$98*CA127</f>
        <v>44980.672096798975</v>
      </c>
      <c r="CB60" s="416">
        <f>Detail!$L$98*CB127</f>
        <v>45055.639883626973</v>
      </c>
      <c r="CC60" s="416">
        <f>Detail!$L$98*CC127</f>
        <v>45130.732616766349</v>
      </c>
      <c r="CD60" s="416">
        <f>Detail!$L$98*CD127</f>
        <v>45205.950504460961</v>
      </c>
      <c r="CE60" s="416">
        <f>Detail!$L$98*CE127</f>
        <v>45281.29375530174</v>
      </c>
      <c r="CF60" s="416">
        <f>Detail!$L$98*CF127</f>
        <v>45356.762578227244</v>
      </c>
      <c r="CG60" s="416">
        <f>Detail!$L$98*CG127</f>
        <v>45432.357182524291</v>
      </c>
      <c r="CH60" s="416">
        <f>Detail!$L$98*CH127</f>
        <v>45508.077777828505</v>
      </c>
      <c r="CI60" s="416">
        <f>Detail!$L$98*CI127</f>
        <v>45583.924574124889</v>
      </c>
      <c r="CJ60" s="416">
        <f>Detail!$L$98*CJ127</f>
        <v>45659.897781748434</v>
      </c>
      <c r="CK60" s="416">
        <f>Detail!$L$98*CK127</f>
        <v>45735.997611384686</v>
      </c>
      <c r="CL60" s="416">
        <f>Detail!$L$98*CL127</f>
        <v>45812.224274070322</v>
      </c>
      <c r="CM60" s="416">
        <f>Detail!$L$98*CM127</f>
        <v>45888.577981193783</v>
      </c>
      <c r="CN60" s="416">
        <f>Detail!$L$98*CN127</f>
        <v>45965.058944495773</v>
      </c>
      <c r="CO60" s="416">
        <f>Detail!$L$98*CO127</f>
        <v>46041.667376069934</v>
      </c>
      <c r="CP60" s="416">
        <f>Detail!$L$98*CP127</f>
        <v>46118.403488363394</v>
      </c>
      <c r="CQ60" s="416">
        <f>Detail!$L$98*CQ127</f>
        <v>46195.267494177337</v>
      </c>
      <c r="CR60" s="416">
        <f>Detail!$L$98*CR127</f>
        <v>46272.259606667641</v>
      </c>
      <c r="CS60" s="416">
        <f>Detail!$L$98*CS127</f>
        <v>46349.380039345408</v>
      </c>
      <c r="CT60" s="416">
        <f>Detail!$L$98*CT127</f>
        <v>46426.629006077666</v>
      </c>
      <c r="CU60" s="416">
        <f>Detail!$L$98*CU127</f>
        <v>46504.006721087797</v>
      </c>
      <c r="CV60" s="416">
        <f>Detail!$L$98*CV127</f>
        <v>46581.513398956275</v>
      </c>
      <c r="CW60" s="416">
        <f>Detail!$L$98*CW127</f>
        <v>46659.149254621203</v>
      </c>
      <c r="CX60" s="416">
        <f>Detail!$L$98*CX127</f>
        <v>46736.91450337891</v>
      </c>
      <c r="CY60" s="416">
        <f>Detail!$L$98*CY127</f>
        <v>46814.809360884545</v>
      </c>
      <c r="CZ60" s="416">
        <f>Detail!$L$98*CZ127</f>
        <v>46892.834043152696</v>
      </c>
      <c r="DA60" s="416">
        <f>Detail!$L$98*DA127</f>
        <v>46970.988766557944</v>
      </c>
      <c r="DB60" s="416">
        <f>Detail!$L$98*DB127</f>
        <v>47049.273747835548</v>
      </c>
      <c r="DC60" s="416">
        <f>Detail!$L$98*DC127</f>
        <v>47127.689204081951</v>
      </c>
      <c r="DD60" s="416">
        <f>Detail!$L$98*DD127</f>
        <v>47206.235352755422</v>
      </c>
      <c r="DE60" s="416">
        <f>Detail!$L$98*DE127</f>
        <v>47284.912411676676</v>
      </c>
      <c r="DF60" s="416">
        <f>Detail!$L$98*DF127</f>
        <v>47363.720599029482</v>
      </c>
      <c r="DG60" s="416">
        <f>Detail!$L$98*DG127</f>
        <v>47442.660133361198</v>
      </c>
      <c r="DH60" s="416">
        <f>Detail!$L$98*DH127</f>
        <v>47521.731233583472</v>
      </c>
      <c r="DI60" s="416">
        <f>Detail!$L$98*DI127</f>
        <v>47600.934118972771</v>
      </c>
      <c r="DJ60" s="416">
        <f>Detail!$L$98*DJ127</f>
        <v>47680.269009171068</v>
      </c>
      <c r="DK60" s="416">
        <f>Detail!$L$98*DK127</f>
        <v>47759.736124186362</v>
      </c>
      <c r="DL60" s="416">
        <f>Detail!$L$98*DL127</f>
        <v>47839.335684393336</v>
      </c>
      <c r="DM60" s="416">
        <f>Detail!$L$98*DM127</f>
        <v>47919.067910533988</v>
      </c>
      <c r="DN60" s="416">
        <f>Detail!$L$98*DN127</f>
        <v>47998.933023718222</v>
      </c>
      <c r="DO60" s="416">
        <f>Detail!$L$98*DO127</f>
        <v>48078.931245424414</v>
      </c>
      <c r="DP60" s="416">
        <f>Detail!$L$98*DP127</f>
        <v>48159.062797500133</v>
      </c>
      <c r="DQ60" s="416">
        <f>Detail!$L$98*DQ127</f>
        <v>48239.327902162637</v>
      </c>
      <c r="DR60" s="416">
        <f>Detail!$L$98*DR127</f>
        <v>48319.726781999583</v>
      </c>
      <c r="DS60" s="416">
        <f>Detail!$L$98*DS127</f>
        <v>48400.259659969583</v>
      </c>
      <c r="DT60" s="416">
        <f>Detail!$L$98*DT127</f>
        <v>48480.926759402872</v>
      </c>
      <c r="DU60" s="416">
        <f>Detail!$L$98*DU127</f>
        <v>48561.728304001874</v>
      </c>
      <c r="DV60" s="416">
        <f>Detail!$L$98*DV127</f>
        <v>48642.664517841884</v>
      </c>
      <c r="DW60" s="416">
        <f>Detail!$L$98*DW127</f>
        <v>48723.735625371621</v>
      </c>
      <c r="DX60" s="416">
        <f>Detail!$L$98*DX127</f>
        <v>48804.941851413918</v>
      </c>
      <c r="DY60" s="416">
        <f>Detail!$L$98*DY127</f>
        <v>48886.28342116627</v>
      </c>
      <c r="DZ60" s="416">
        <f>Detail!$L$98*DZ127</f>
        <v>48967.760560201546</v>
      </c>
      <c r="EA60" s="416">
        <f>Detail!$L$98*EA127</f>
        <v>49049.373494468564</v>
      </c>
      <c r="EB60" s="416">
        <f>Detail!$L$98*EB127</f>
        <v>49131.122450292678</v>
      </c>
      <c r="EC60" s="416">
        <f>Detail!$L$98*EC127</f>
        <v>49213.007654376503</v>
      </c>
      <c r="ED60" s="416">
        <f>Detail!$L$98*ED127</f>
        <v>49295.029333800463</v>
      </c>
      <c r="EE60" s="416">
        <f>Detail!$L$98*EE127</f>
        <v>49377.187716023458</v>
      </c>
      <c r="EF60" s="416">
        <f>Detail!$L$98*EF127</f>
        <v>49459.483028883515</v>
      </c>
      <c r="EG60" s="416">
        <f>Detail!$L$98*EG127</f>
        <v>49541.915500598312</v>
      </c>
      <c r="EH60" s="416">
        <f>Detail!$L$98*EH127</f>
        <v>49624.485359765997</v>
      </c>
      <c r="EI60" s="416">
        <f>Detail!$L$98*EI127</f>
        <v>49707.192835365604</v>
      </c>
      <c r="EJ60" s="416">
        <f>Detail!$L$98*EJ127</f>
        <v>49790.038156757888</v>
      </c>
      <c r="EK60" s="416">
        <f>Detail!$L$98*EK127</f>
        <v>49873.021553685816</v>
      </c>
      <c r="EL60" s="416">
        <f>Detail!$L$98*EL127</f>
        <v>49956.143256275296</v>
      </c>
      <c r="EM60" s="416">
        <f>Detail!$L$98*EM127</f>
        <v>50039.40349503576</v>
      </c>
      <c r="EN60" s="416">
        <f>Detail!$L$98*EN127</f>
        <v>50122.802500860817</v>
      </c>
      <c r="EO60" s="416">
        <f>Detail!$L$98*EO127</f>
        <v>50206.340505028922</v>
      </c>
      <c r="EP60" s="416">
        <f>Detail!$L$98*EP127</f>
        <v>50290.01773920397</v>
      </c>
      <c r="EQ60" s="416">
        <f>Detail!$L$98*EQ127</f>
        <v>50373.834435435987</v>
      </c>
      <c r="ER60" s="416">
        <f>Detail!$L$98*ER127</f>
        <v>50457.790826161712</v>
      </c>
      <c r="ES60" s="416">
        <f>Detail!$L$98*ES127</f>
        <v>50541.887144205321</v>
      </c>
      <c r="ET60" s="416">
        <f>Detail!$L$98*ET127</f>
        <v>50626.123622779007</v>
      </c>
      <c r="EU60" s="416">
        <f>Detail!$L$98*EU127</f>
        <v>50710.500495483633</v>
      </c>
      <c r="EV60" s="416">
        <f>Detail!$L$98*EV127</f>
        <v>50795.017996309442</v>
      </c>
      <c r="EW60" s="416">
        <f>Detail!$L$98*EW127</f>
        <v>50879.676359636636</v>
      </c>
      <c r="EX60" s="416">
        <f>Detail!$L$98*EX127</f>
        <v>50964.475820236024</v>
      </c>
      <c r="EY60" s="416">
        <f>Detail!$L$98*EY127</f>
        <v>51049.416613269765</v>
      </c>
      <c r="EZ60" s="416">
        <f>Detail!$L$98*EZ127</f>
        <v>51134.498974291877</v>
      </c>
      <c r="FA60" s="416">
        <f>Detail!$L$98*FA127</f>
        <v>51219.723139249036</v>
      </c>
      <c r="FB60" s="416">
        <f>Detail!$L$98*FB127</f>
        <v>51305.089344481123</v>
      </c>
      <c r="FC60" s="416">
        <f>Detail!$L$98*FC127</f>
        <v>51390.597826721925</v>
      </c>
      <c r="FD60" s="416">
        <f>Detail!$L$98*FD127</f>
        <v>51476.248823099806</v>
      </c>
      <c r="FE60" s="416">
        <f>Detail!$L$98*FE127</f>
        <v>51562.0425711383</v>
      </c>
      <c r="FF60" s="416">
        <f>Detail!$L$98*FF127</f>
        <v>51647.979308756869</v>
      </c>
      <c r="FG60" s="416">
        <f>Detail!$L$98*FG127</f>
        <v>51734.059274271473</v>
      </c>
      <c r="FH60" s="416">
        <f>Detail!$L$98*FH127</f>
        <v>51820.282706395257</v>
      </c>
      <c r="FI60" s="416">
        <f>Detail!$L$98*FI127</f>
        <v>51906.649844239248</v>
      </c>
      <c r="FJ60" s="416">
        <f>Detail!$L$98*FJ127</f>
        <v>51993.160927312994</v>
      </c>
      <c r="FK60" s="416">
        <f>Detail!$L$98*FK127</f>
        <v>52079.816195525178</v>
      </c>
      <c r="FL60" s="416">
        <f>Detail!$L$98*FL127</f>
        <v>52166.615889184402</v>
      </c>
      <c r="FM60" s="416">
        <f>Detail!$L$98*FM127</f>
        <v>52253.560248999704</v>
      </c>
      <c r="FN60" s="416">
        <f>Detail!$L$98*FN127</f>
        <v>52340.649516081372</v>
      </c>
      <c r="FO60" s="416">
        <f>Detail!$L$98*FO127</f>
        <v>52427.88393194152</v>
      </c>
      <c r="FP60" s="416">
        <f>Detail!$L$98*FP127</f>
        <v>52515.263738494759</v>
      </c>
      <c r="FQ60" s="416">
        <f>Detail!$L$98*FQ127</f>
        <v>52602.789178058913</v>
      </c>
      <c r="FR60" s="416">
        <f>Detail!$L$98*FR127</f>
        <v>52690.460493355691</v>
      </c>
      <c r="FS60" s="416">
        <f>Detail!$L$98*FS127</f>
        <v>52778.277927511284</v>
      </c>
      <c r="FT60" s="604">
        <f t="shared" ref="FT60:FX74" si="107">SUMIFS($E60:$FS60,$E$8:$FS$8,FT$5)</f>
        <v>281154.41666666663</v>
      </c>
      <c r="FU60" s="604">
        <f t="shared" si="107"/>
        <v>487232.48131463409</v>
      </c>
      <c r="FV60" s="604">
        <f t="shared" si="107"/>
        <v>497066.95501706947</v>
      </c>
      <c r="FW60" s="604">
        <f t="shared" si="107"/>
        <v>507099.93123465532</v>
      </c>
      <c r="FX60" s="604">
        <f t="shared" si="107"/>
        <v>517335.41661276086</v>
      </c>
      <c r="FZ60" s="623"/>
    </row>
    <row r="61" spans="2:183" ht="12" customHeight="1" outlineLevel="1">
      <c r="B61" s="574" t="s">
        <v>28</v>
      </c>
      <c r="C61" s="575"/>
      <c r="D61" s="604"/>
      <c r="E61" s="416">
        <f>Detail!$L$102*E127</f>
        <v>13689.083333333334</v>
      </c>
      <c r="F61" s="416">
        <f>Detail!$L$102*F127</f>
        <v>13689.083333333334</v>
      </c>
      <c r="G61" s="416">
        <f>Detail!$L$102*G127</f>
        <v>13689.083333333334</v>
      </c>
      <c r="H61" s="416">
        <f>Detail!$L$102*H127</f>
        <v>13689.083333333334</v>
      </c>
      <c r="I61" s="416">
        <f>Detail!$L$102*I127</f>
        <v>13689.083333333334</v>
      </c>
      <c r="J61" s="416">
        <f>Detail!$L$102*J127</f>
        <v>13689.083333333334</v>
      </c>
      <c r="K61" s="416">
        <f>Detail!$L$102*K127</f>
        <v>13689.083333333334</v>
      </c>
      <c r="L61" s="416">
        <f>Detail!$L$102*L127</f>
        <v>13711.898472222223</v>
      </c>
      <c r="M61" s="416">
        <f>Detail!$L$102*M127</f>
        <v>13734.751636342595</v>
      </c>
      <c r="N61" s="416">
        <f>Detail!$L$102*N127</f>
        <v>13757.642889069832</v>
      </c>
      <c r="O61" s="416">
        <f>Detail!$L$102*O127</f>
        <v>13780.57229388495</v>
      </c>
      <c r="P61" s="416">
        <f>Detail!$L$102*P127</f>
        <v>13803.539914374758</v>
      </c>
      <c r="Q61" s="416">
        <f>Detail!$L$102*Q127</f>
        <v>13826.545814232051</v>
      </c>
      <c r="R61" s="416">
        <f>Detail!$L$102*R127</f>
        <v>13849.590057255771</v>
      </c>
      <c r="S61" s="416">
        <f>Detail!$L$102*S127</f>
        <v>13872.672707351201</v>
      </c>
      <c r="T61" s="416">
        <f>Detail!$L$102*T127</f>
        <v>13895.793828530119</v>
      </c>
      <c r="U61" s="416">
        <f>Detail!$L$102*U127</f>
        <v>13918.953484911004</v>
      </c>
      <c r="V61" s="416">
        <f>Detail!$L$102*V127</f>
        <v>13942.15174071919</v>
      </c>
      <c r="W61" s="416">
        <f>Detail!$L$102*W127</f>
        <v>13965.388660287055</v>
      </c>
      <c r="X61" s="416">
        <f>Detail!$L$102*X127</f>
        <v>13988.664308054202</v>
      </c>
      <c r="Y61" s="416">
        <f>Detail!$L$102*Y127</f>
        <v>14011.978748567626</v>
      </c>
      <c r="Z61" s="416">
        <f>Detail!$L$102*Z127</f>
        <v>14035.332046481906</v>
      </c>
      <c r="AA61" s="416">
        <f>Detail!$L$102*AA127</f>
        <v>14058.724266559379</v>
      </c>
      <c r="AB61" s="416">
        <f>Detail!$L$102*AB127</f>
        <v>14082.155473670311</v>
      </c>
      <c r="AC61" s="416">
        <f>Detail!$L$102*AC127</f>
        <v>14105.625732793094</v>
      </c>
      <c r="AD61" s="416">
        <f>Detail!$L$102*AD127</f>
        <v>14129.13510901442</v>
      </c>
      <c r="AE61" s="416">
        <f>Detail!$L$102*AE127</f>
        <v>14152.683667529443</v>
      </c>
      <c r="AF61" s="416">
        <f>Detail!$L$102*AF127</f>
        <v>14176.271473641995</v>
      </c>
      <c r="AG61" s="416">
        <f>Detail!$L$102*AG127</f>
        <v>14199.89859276473</v>
      </c>
      <c r="AH61" s="416">
        <f>Detail!$L$102*AH127</f>
        <v>14223.565090419339</v>
      </c>
      <c r="AI61" s="416">
        <f>Detail!$L$102*AI127</f>
        <v>14247.271032236709</v>
      </c>
      <c r="AJ61" s="416">
        <f>Detail!$L$102*AJ127</f>
        <v>14271.016483957101</v>
      </c>
      <c r="AK61" s="416">
        <f>Detail!$L$102*AK127</f>
        <v>14294.801511430363</v>
      </c>
      <c r="AL61" s="416">
        <f>Detail!$L$102*AL127</f>
        <v>14318.626180616082</v>
      </c>
      <c r="AM61" s="416">
        <f>Detail!$L$102*AM127</f>
        <v>14342.490557583777</v>
      </c>
      <c r="AN61" s="416">
        <f>Detail!$L$102*AN127</f>
        <v>14366.394708513086</v>
      </c>
      <c r="AO61" s="416">
        <f>Detail!$L$102*AO127</f>
        <v>14390.338699693941</v>
      </c>
      <c r="AP61" s="416">
        <f>Detail!$L$102*AP127</f>
        <v>14414.322597526765</v>
      </c>
      <c r="AQ61" s="416">
        <f>Detail!$L$102*AQ127</f>
        <v>14438.346468522646</v>
      </c>
      <c r="AR61" s="416">
        <f>Detail!$L$102*AR127</f>
        <v>14462.410379303519</v>
      </c>
      <c r="AS61" s="416">
        <f>Detail!$L$102*AS127</f>
        <v>14486.514396602357</v>
      </c>
      <c r="AT61" s="416">
        <f>Detail!$L$102*AT127</f>
        <v>14510.658587263362</v>
      </c>
      <c r="AU61" s="416">
        <f>Detail!$L$102*AU127</f>
        <v>14534.843018242134</v>
      </c>
      <c r="AV61" s="416">
        <f>Detail!$L$102*AV127</f>
        <v>14559.067756605873</v>
      </c>
      <c r="AW61" s="416">
        <f>Detail!$L$102*AW127</f>
        <v>14583.332869533549</v>
      </c>
      <c r="AX61" s="416">
        <f>Detail!$L$102*AX127</f>
        <v>14607.638424316108</v>
      </c>
      <c r="AY61" s="416">
        <f>Detail!$L$102*AY127</f>
        <v>14631.984488356638</v>
      </c>
      <c r="AZ61" s="416">
        <f>Detail!$L$102*AZ127</f>
        <v>14656.371129170562</v>
      </c>
      <c r="BA61" s="416">
        <f>Detail!$L$102*BA127</f>
        <v>14680.798414385848</v>
      </c>
      <c r="BB61" s="416">
        <f>Detail!$L$102*BB127</f>
        <v>14705.26641174316</v>
      </c>
      <c r="BC61" s="416">
        <f>Detail!$L$102*BC127</f>
        <v>14729.775189096064</v>
      </c>
      <c r="BD61" s="416">
        <f>Detail!$L$102*BD127</f>
        <v>14754.324814411228</v>
      </c>
      <c r="BE61" s="416">
        <f>Detail!$L$102*BE127</f>
        <v>14778.91535576858</v>
      </c>
      <c r="BF61" s="416">
        <f>Detail!$L$102*BF127</f>
        <v>14803.54688136153</v>
      </c>
      <c r="BG61" s="416">
        <f>Detail!$L$102*BG127</f>
        <v>14828.219459497135</v>
      </c>
      <c r="BH61" s="416">
        <f>Detail!$L$102*BH127</f>
        <v>14852.933158596295</v>
      </c>
      <c r="BI61" s="416">
        <f>Detail!$L$102*BI127</f>
        <v>14877.688047193957</v>
      </c>
      <c r="BJ61" s="416">
        <f>Detail!$L$102*BJ127</f>
        <v>14902.484193939283</v>
      </c>
      <c r="BK61" s="416">
        <f>Detail!$L$102*BK127</f>
        <v>14927.321667595847</v>
      </c>
      <c r="BL61" s="416">
        <f>Detail!$L$102*BL127</f>
        <v>14952.200537041843</v>
      </c>
      <c r="BM61" s="416">
        <f>Detail!$L$102*BM127</f>
        <v>14977.120871270246</v>
      </c>
      <c r="BN61" s="416">
        <f>Detail!$L$102*BN127</f>
        <v>15002.08273938903</v>
      </c>
      <c r="BO61" s="416">
        <f>Detail!$L$102*BO127</f>
        <v>15027.086210621348</v>
      </c>
      <c r="BP61" s="416">
        <f>Detail!$L$102*BP127</f>
        <v>15052.131354305717</v>
      </c>
      <c r="BQ61" s="416">
        <f>Detail!$L$102*BQ127</f>
        <v>15077.218239896227</v>
      </c>
      <c r="BR61" s="416">
        <f>Detail!$L$102*BR127</f>
        <v>15102.346936962722</v>
      </c>
      <c r="BS61" s="416">
        <f>Detail!$L$102*BS127</f>
        <v>15127.517515190993</v>
      </c>
      <c r="BT61" s="416">
        <f>Detail!$L$102*BT127</f>
        <v>15152.730044382981</v>
      </c>
      <c r="BU61" s="416">
        <f>Detail!$L$102*BU127</f>
        <v>15177.984594456952</v>
      </c>
      <c r="BV61" s="416">
        <f>Detail!$L$102*BV127</f>
        <v>15203.281235447717</v>
      </c>
      <c r="BW61" s="416">
        <f>Detail!$L$102*BW127</f>
        <v>15228.620037506797</v>
      </c>
      <c r="BX61" s="416">
        <f>Detail!$L$102*BX127</f>
        <v>15254.001070902643</v>
      </c>
      <c r="BY61" s="416">
        <f>Detail!$L$102*BY127</f>
        <v>15279.424406020813</v>
      </c>
      <c r="BZ61" s="416">
        <f>Detail!$L$102*BZ127</f>
        <v>15304.890113364183</v>
      </c>
      <c r="CA61" s="416">
        <f>Detail!$L$102*CA127</f>
        <v>15330.398263553125</v>
      </c>
      <c r="CB61" s="416">
        <f>Detail!$L$102*CB127</f>
        <v>15355.948927325713</v>
      </c>
      <c r="CC61" s="416">
        <f>Detail!$L$102*CC127</f>
        <v>15381.542175537923</v>
      </c>
      <c r="CD61" s="416">
        <f>Detail!$L$102*CD127</f>
        <v>15407.178079163819</v>
      </c>
      <c r="CE61" s="416">
        <f>Detail!$L$102*CE127</f>
        <v>15432.856709295764</v>
      </c>
      <c r="CF61" s="416">
        <f>Detail!$L$102*CF127</f>
        <v>15458.578137144588</v>
      </c>
      <c r="CG61" s="416">
        <f>Detail!$L$102*CG127</f>
        <v>15484.342434039831</v>
      </c>
      <c r="CH61" s="416">
        <f>Detail!$L$102*CH127</f>
        <v>15510.149671429899</v>
      </c>
      <c r="CI61" s="416">
        <f>Detail!$L$102*CI127</f>
        <v>15535.999920882283</v>
      </c>
      <c r="CJ61" s="416">
        <f>Detail!$L$102*CJ127</f>
        <v>15561.893254083756</v>
      </c>
      <c r="CK61" s="416">
        <f>Detail!$L$102*CK127</f>
        <v>15587.829742840562</v>
      </c>
      <c r="CL61" s="416">
        <f>Detail!$L$102*CL127</f>
        <v>15613.80945907863</v>
      </c>
      <c r="CM61" s="416">
        <f>Detail!$L$102*CM127</f>
        <v>15639.832474843764</v>
      </c>
      <c r="CN61" s="416">
        <f>Detail!$L$102*CN127</f>
        <v>15665.898862301836</v>
      </c>
      <c r="CO61" s="416">
        <f>Detail!$L$102*CO127</f>
        <v>15692.008693739006</v>
      </c>
      <c r="CP61" s="416">
        <f>Detail!$L$102*CP127</f>
        <v>15718.162041561907</v>
      </c>
      <c r="CQ61" s="416">
        <f>Detail!$L$102*CQ127</f>
        <v>15744.358978297845</v>
      </c>
      <c r="CR61" s="416">
        <f>Detail!$L$102*CR127</f>
        <v>15770.599576595012</v>
      </c>
      <c r="CS61" s="416">
        <f>Detail!$L$102*CS127</f>
        <v>15796.883909222666</v>
      </c>
      <c r="CT61" s="416">
        <f>Detail!$L$102*CT127</f>
        <v>15823.212049071375</v>
      </c>
      <c r="CU61" s="416">
        <f>Detail!$L$102*CU127</f>
        <v>15849.584069153163</v>
      </c>
      <c r="CV61" s="416">
        <f>Detail!$L$102*CV127</f>
        <v>15876.000042601749</v>
      </c>
      <c r="CW61" s="416">
        <f>Detail!$L$102*CW127</f>
        <v>15902.460042672752</v>
      </c>
      <c r="CX61" s="416">
        <f>Detail!$L$102*CX127</f>
        <v>15928.964142743876</v>
      </c>
      <c r="CY61" s="416">
        <f>Detail!$L$102*CY127</f>
        <v>15955.512416315118</v>
      </c>
      <c r="CZ61" s="416">
        <f>Detail!$L$102*CZ127</f>
        <v>15982.104937008979</v>
      </c>
      <c r="DA61" s="416">
        <f>Detail!$L$102*DA127</f>
        <v>16008.741778570658</v>
      </c>
      <c r="DB61" s="416">
        <f>Detail!$L$102*DB127</f>
        <v>16035.423014868278</v>
      </c>
      <c r="DC61" s="416">
        <f>Detail!$L$102*DC127</f>
        <v>16062.148719893063</v>
      </c>
      <c r="DD61" s="416">
        <f>Detail!$L$102*DD127</f>
        <v>16088.918967759553</v>
      </c>
      <c r="DE61" s="416">
        <f>Detail!$L$102*DE127</f>
        <v>16115.733832705817</v>
      </c>
      <c r="DF61" s="416">
        <f>Detail!$L$102*DF127</f>
        <v>16142.593389093663</v>
      </c>
      <c r="DG61" s="416">
        <f>Detail!$L$102*DG127</f>
        <v>16169.49771140882</v>
      </c>
      <c r="DH61" s="416">
        <f>Detail!$L$102*DH127</f>
        <v>16196.446874261168</v>
      </c>
      <c r="DI61" s="416">
        <f>Detail!$L$102*DI127</f>
        <v>16223.440952384935</v>
      </c>
      <c r="DJ61" s="416">
        <f>Detail!$L$102*DJ127</f>
        <v>16250.480020638914</v>
      </c>
      <c r="DK61" s="416">
        <f>Detail!$L$102*DK127</f>
        <v>16277.564154006648</v>
      </c>
      <c r="DL61" s="416">
        <f>Detail!$L$102*DL127</f>
        <v>16304.693427596658</v>
      </c>
      <c r="DM61" s="416">
        <f>Detail!$L$102*DM127</f>
        <v>16331.867916642652</v>
      </c>
      <c r="DN61" s="416">
        <f>Detail!$L$102*DN127</f>
        <v>16359.087696503726</v>
      </c>
      <c r="DO61" s="416">
        <f>Detail!$L$102*DO127</f>
        <v>16386.352842664564</v>
      </c>
      <c r="DP61" s="416">
        <f>Detail!$L$102*DP127</f>
        <v>16413.663430735676</v>
      </c>
      <c r="DQ61" s="416">
        <f>Detail!$L$102*DQ127</f>
        <v>16441.019536453572</v>
      </c>
      <c r="DR61" s="416">
        <f>Detail!$L$102*DR127</f>
        <v>16468.421235680995</v>
      </c>
      <c r="DS61" s="416">
        <f>Detail!$L$102*DS127</f>
        <v>16495.868604407129</v>
      </c>
      <c r="DT61" s="416">
        <f>Detail!$L$102*DT127</f>
        <v>16523.361718747812</v>
      </c>
      <c r="DU61" s="416">
        <f>Detail!$L$102*DU127</f>
        <v>16550.900654945723</v>
      </c>
      <c r="DV61" s="416">
        <f>Detail!$L$102*DV127</f>
        <v>16578.485489370636</v>
      </c>
      <c r="DW61" s="416">
        <f>Detail!$L$102*DW127</f>
        <v>16606.116298519588</v>
      </c>
      <c r="DX61" s="416">
        <f>Detail!$L$102*DX127</f>
        <v>16633.793159017121</v>
      </c>
      <c r="DY61" s="416">
        <f>Detail!$L$102*DY127</f>
        <v>16661.516147615483</v>
      </c>
      <c r="DZ61" s="416">
        <f>Detail!$L$102*DZ127</f>
        <v>16689.285341194842</v>
      </c>
      <c r="EA61" s="416">
        <f>Detail!$L$102*EA127</f>
        <v>16717.100816763505</v>
      </c>
      <c r="EB61" s="416">
        <f>Detail!$L$102*EB127</f>
        <v>16744.96265145811</v>
      </c>
      <c r="EC61" s="416">
        <f>Detail!$L$102*EC127</f>
        <v>16772.870922543876</v>
      </c>
      <c r="ED61" s="416">
        <f>Detail!$L$102*ED127</f>
        <v>16800.825707414784</v>
      </c>
      <c r="EE61" s="416">
        <f>Detail!$L$102*EE127</f>
        <v>16828.827083593806</v>
      </c>
      <c r="EF61" s="416">
        <f>Detail!$L$102*EF127</f>
        <v>16856.875128733132</v>
      </c>
      <c r="EG61" s="416">
        <f>Detail!$L$102*EG127</f>
        <v>16884.969920614352</v>
      </c>
      <c r="EH61" s="416">
        <f>Detail!$L$102*EH127</f>
        <v>16913.111537148718</v>
      </c>
      <c r="EI61" s="416">
        <f>Detail!$L$102*EI127</f>
        <v>16941.300056377298</v>
      </c>
      <c r="EJ61" s="416">
        <f>Detail!$L$102*EJ127</f>
        <v>16969.535556471263</v>
      </c>
      <c r="EK61" s="416">
        <f>Detail!$L$102*EK127</f>
        <v>16997.818115732047</v>
      </c>
      <c r="EL61" s="416">
        <f>Detail!$L$102*EL127</f>
        <v>17026.1478125916</v>
      </c>
      <c r="EM61" s="416">
        <f>Detail!$L$102*EM127</f>
        <v>17054.524725612591</v>
      </c>
      <c r="EN61" s="416">
        <f>Detail!$L$102*EN127</f>
        <v>17082.948933488609</v>
      </c>
      <c r="EO61" s="416">
        <f>Detail!$L$102*EO127</f>
        <v>17111.420515044425</v>
      </c>
      <c r="EP61" s="416">
        <f>Detail!$L$102*EP127</f>
        <v>17139.939549236165</v>
      </c>
      <c r="EQ61" s="416">
        <f>Detail!$L$102*EQ127</f>
        <v>17168.506115151562</v>
      </c>
      <c r="ER61" s="416">
        <f>Detail!$L$102*ER127</f>
        <v>17197.12029201015</v>
      </c>
      <c r="ES61" s="416">
        <f>Detail!$L$102*ES127</f>
        <v>17225.7821591635</v>
      </c>
      <c r="ET61" s="416">
        <f>Detail!$L$102*ET127</f>
        <v>17254.491796095441</v>
      </c>
      <c r="EU61" s="416">
        <f>Detail!$L$102*EU127</f>
        <v>17283.249282422268</v>
      </c>
      <c r="EV61" s="416">
        <f>Detail!$L$102*EV127</f>
        <v>17312.054697892971</v>
      </c>
      <c r="EW61" s="416">
        <f>Detail!$L$102*EW127</f>
        <v>17340.908122389465</v>
      </c>
      <c r="EX61" s="416">
        <f>Detail!$L$102*EX127</f>
        <v>17369.809635926777</v>
      </c>
      <c r="EY61" s="416">
        <f>Detail!$L$102*EY127</f>
        <v>17398.759318653327</v>
      </c>
      <c r="EZ61" s="416">
        <f>Detail!$L$102*EZ127</f>
        <v>17427.757250851082</v>
      </c>
      <c r="FA61" s="416">
        <f>Detail!$L$102*FA127</f>
        <v>17456.803512935836</v>
      </c>
      <c r="FB61" s="416">
        <f>Detail!$L$102*FB127</f>
        <v>17485.898185457398</v>
      </c>
      <c r="FC61" s="416">
        <f>Detail!$L$102*FC127</f>
        <v>17515.041349099825</v>
      </c>
      <c r="FD61" s="416">
        <f>Detail!$L$102*FD127</f>
        <v>17544.233084681662</v>
      </c>
      <c r="FE61" s="416">
        <f>Detail!$L$102*FE127</f>
        <v>17573.473473156129</v>
      </c>
      <c r="FF61" s="416">
        <f>Detail!$L$102*FF127</f>
        <v>17602.762595611392</v>
      </c>
      <c r="FG61" s="416">
        <f>Detail!$L$102*FG127</f>
        <v>17632.100533270746</v>
      </c>
      <c r="FH61" s="416">
        <f>Detail!$L$102*FH127</f>
        <v>17661.487367492864</v>
      </c>
      <c r="FI61" s="416">
        <f>Detail!$L$102*FI127</f>
        <v>17690.92317977202</v>
      </c>
      <c r="FJ61" s="416">
        <f>Detail!$L$102*FJ127</f>
        <v>17720.408051738308</v>
      </c>
      <c r="FK61" s="416">
        <f>Detail!$L$102*FK127</f>
        <v>17749.942065157873</v>
      </c>
      <c r="FL61" s="416">
        <f>Detail!$L$102*FL127</f>
        <v>17779.525301933139</v>
      </c>
      <c r="FM61" s="416">
        <f>Detail!$L$102*FM127</f>
        <v>17809.157844103025</v>
      </c>
      <c r="FN61" s="416">
        <f>Detail!$L$102*FN127</f>
        <v>17838.839773843203</v>
      </c>
      <c r="FO61" s="416">
        <f>Detail!$L$102*FO127</f>
        <v>17868.571173466276</v>
      </c>
      <c r="FP61" s="416">
        <f>Detail!$L$102*FP127</f>
        <v>17898.352125422054</v>
      </c>
      <c r="FQ61" s="416">
        <f>Detail!$L$102*FQ127</f>
        <v>17928.182712297759</v>
      </c>
      <c r="FR61" s="416">
        <f>Detail!$L$102*FR127</f>
        <v>17958.063016818258</v>
      </c>
      <c r="FS61" s="416">
        <f>Detail!$L$102*FS127</f>
        <v>17987.993121846288</v>
      </c>
      <c r="FT61" s="604">
        <f t="shared" si="107"/>
        <v>95823.583333333328</v>
      </c>
      <c r="FU61" s="604">
        <f t="shared" si="107"/>
        <v>166059.50149918074</v>
      </c>
      <c r="FV61" s="604">
        <f t="shared" si="107"/>
        <v>169411.30554173316</v>
      </c>
      <c r="FW61" s="604">
        <f t="shared" si="107"/>
        <v>172830.76358925513</v>
      </c>
      <c r="FX61" s="604">
        <f t="shared" si="107"/>
        <v>176319.24119424628</v>
      </c>
      <c r="GA61" s="588"/>
    </row>
    <row r="62" spans="2:183" ht="12" customHeight="1" outlineLevel="1">
      <c r="B62" s="574" t="s">
        <v>30</v>
      </c>
      <c r="C62" s="575"/>
      <c r="D62" s="604"/>
      <c r="E62" s="416">
        <f>Detail!$L$99*E127</f>
        <v>46496.419354838705</v>
      </c>
      <c r="F62" s="416">
        <f>Detail!$L$99*F127</f>
        <v>46496.419354838705</v>
      </c>
      <c r="G62" s="416">
        <f>Detail!$L$99*G127</f>
        <v>46496.419354838705</v>
      </c>
      <c r="H62" s="416">
        <f>Detail!$L$99*H127</f>
        <v>46496.419354838705</v>
      </c>
      <c r="I62" s="416">
        <f>Detail!$L$99*I127</f>
        <v>46496.419354838705</v>
      </c>
      <c r="J62" s="416">
        <f>Detail!$L$99*J127</f>
        <v>46496.419354838705</v>
      </c>
      <c r="K62" s="416">
        <f>Detail!$L$99*K127</f>
        <v>46496.419354838705</v>
      </c>
      <c r="L62" s="416">
        <f>Detail!$L$99*L127</f>
        <v>46573.913387096771</v>
      </c>
      <c r="M62" s="416">
        <f>Detail!$L$99*M127</f>
        <v>46651.536576075268</v>
      </c>
      <c r="N62" s="416">
        <f>Detail!$L$99*N127</f>
        <v>46729.289137035397</v>
      </c>
      <c r="O62" s="416">
        <f>Detail!$L$99*O127</f>
        <v>46807.171285597127</v>
      </c>
      <c r="P62" s="416">
        <f>Detail!$L$99*P127</f>
        <v>46885.183237739788</v>
      </c>
      <c r="Q62" s="416">
        <f>Detail!$L$99*Q127</f>
        <v>46963.325209802686</v>
      </c>
      <c r="R62" s="416">
        <f>Detail!$L$99*R127</f>
        <v>47041.597418485697</v>
      </c>
      <c r="S62" s="416">
        <f>Detail!$L$99*S127</f>
        <v>47120.000080849852</v>
      </c>
      <c r="T62" s="416">
        <f>Detail!$L$99*T127</f>
        <v>47198.533414317928</v>
      </c>
      <c r="U62" s="416">
        <f>Detail!$L$99*U127</f>
        <v>47277.197636675133</v>
      </c>
      <c r="V62" s="416">
        <f>Detail!$L$99*V127</f>
        <v>47355.992966069593</v>
      </c>
      <c r="W62" s="416">
        <f>Detail!$L$99*W127</f>
        <v>47434.919621013047</v>
      </c>
      <c r="X62" s="416">
        <f>Detail!$L$99*X127</f>
        <v>47513.977820381398</v>
      </c>
      <c r="Y62" s="416">
        <f>Detail!$L$99*Y127</f>
        <v>47593.167783415374</v>
      </c>
      <c r="Z62" s="416">
        <f>Detail!$L$99*Z127</f>
        <v>47672.48972972107</v>
      </c>
      <c r="AA62" s="416">
        <f>Detail!$L$99*AA127</f>
        <v>47751.943879270613</v>
      </c>
      <c r="AB62" s="416">
        <f>Detail!$L$99*AB127</f>
        <v>47831.530452402731</v>
      </c>
      <c r="AC62" s="416">
        <f>Detail!$L$99*AC127</f>
        <v>47911.249669823403</v>
      </c>
      <c r="AD62" s="416">
        <f>Detail!$L$99*AD127</f>
        <v>47991.101752606453</v>
      </c>
      <c r="AE62" s="416">
        <f>Detail!$L$99*AE127</f>
        <v>48071.086922194125</v>
      </c>
      <c r="AF62" s="416">
        <f>Detail!$L$99*AF127</f>
        <v>48151.20540039779</v>
      </c>
      <c r="AG62" s="416">
        <f>Detail!$L$99*AG127</f>
        <v>48231.457409398456</v>
      </c>
      <c r="AH62" s="416">
        <f>Detail!$L$99*AH127</f>
        <v>48311.843171747452</v>
      </c>
      <c r="AI62" s="416">
        <f>Detail!$L$99*AI127</f>
        <v>48392.362910367046</v>
      </c>
      <c r="AJ62" s="416">
        <f>Detail!$L$99*AJ127</f>
        <v>48473.016848550978</v>
      </c>
      <c r="AK62" s="416">
        <f>Detail!$L$99*AK127</f>
        <v>48553.805209965241</v>
      </c>
      <c r="AL62" s="416">
        <f>Detail!$L$99*AL127</f>
        <v>48634.728218648517</v>
      </c>
      <c r="AM62" s="416">
        <f>Detail!$L$99*AM127</f>
        <v>48715.786099012934</v>
      </c>
      <c r="AN62" s="416">
        <f>Detail!$L$99*AN127</f>
        <v>48796.979075844632</v>
      </c>
      <c r="AO62" s="416">
        <f>Detail!$L$99*AO127</f>
        <v>48878.307374304371</v>
      </c>
      <c r="AP62" s="416">
        <f>Detail!$L$99*AP127</f>
        <v>48959.771219928218</v>
      </c>
      <c r="AQ62" s="416">
        <f>Detail!$L$99*AQ127</f>
        <v>49041.370838628107</v>
      </c>
      <c r="AR62" s="416">
        <f>Detail!$L$99*AR127</f>
        <v>49123.106456692491</v>
      </c>
      <c r="AS62" s="416">
        <f>Detail!$L$99*AS127</f>
        <v>49204.978300786977</v>
      </c>
      <c r="AT62" s="416">
        <f>Detail!$L$99*AT127</f>
        <v>49286.986597954965</v>
      </c>
      <c r="AU62" s="416">
        <f>Detail!$L$99*AU127</f>
        <v>49369.131575618223</v>
      </c>
      <c r="AV62" s="416">
        <f>Detail!$L$99*AV127</f>
        <v>49451.413461577591</v>
      </c>
      <c r="AW62" s="416">
        <f>Detail!$L$99*AW127</f>
        <v>49533.832484013546</v>
      </c>
      <c r="AX62" s="416">
        <f>Detail!$L$99*AX127</f>
        <v>49616.388871486917</v>
      </c>
      <c r="AY62" s="416">
        <f>Detail!$L$99*AY127</f>
        <v>49699.082852939406</v>
      </c>
      <c r="AZ62" s="416">
        <f>Detail!$L$99*AZ127</f>
        <v>49781.914657694295</v>
      </c>
      <c r="BA62" s="416">
        <f>Detail!$L$99*BA127</f>
        <v>49864.884515457117</v>
      </c>
      <c r="BB62" s="416">
        <f>Detail!$L$99*BB127</f>
        <v>49947.992656316223</v>
      </c>
      <c r="BC62" s="416">
        <f>Detail!$L$99*BC127</f>
        <v>50031.239310743411</v>
      </c>
      <c r="BD62" s="416">
        <f>Detail!$L$99*BD127</f>
        <v>50114.624709594667</v>
      </c>
      <c r="BE62" s="416">
        <f>Detail!$L$99*BE127</f>
        <v>50198.149084110657</v>
      </c>
      <c r="BF62" s="416">
        <f>Detail!$L$99*BF127</f>
        <v>50281.81266591751</v>
      </c>
      <c r="BG62" s="416">
        <f>Detail!$L$99*BG127</f>
        <v>50365.615687027384</v>
      </c>
      <c r="BH62" s="416">
        <f>Detail!$L$99*BH127</f>
        <v>50449.558379839094</v>
      </c>
      <c r="BI62" s="416">
        <f>Detail!$L$99*BI127</f>
        <v>50533.640977138828</v>
      </c>
      <c r="BJ62" s="416">
        <f>Detail!$L$99*BJ127</f>
        <v>50617.863712100734</v>
      </c>
      <c r="BK62" s="416">
        <f>Detail!$L$99*BK127</f>
        <v>50702.226818287563</v>
      </c>
      <c r="BL62" s="416">
        <f>Detail!$L$99*BL127</f>
        <v>50786.730529651388</v>
      </c>
      <c r="BM62" s="416">
        <f>Detail!$L$99*BM127</f>
        <v>50871.375080534141</v>
      </c>
      <c r="BN62" s="416">
        <f>Detail!$L$99*BN127</f>
        <v>50956.160705668364</v>
      </c>
      <c r="BO62" s="416">
        <f>Detail!$L$99*BO127</f>
        <v>51041.087640177822</v>
      </c>
      <c r="BP62" s="416">
        <f>Detail!$L$99*BP127</f>
        <v>51126.156119578118</v>
      </c>
      <c r="BQ62" s="416">
        <f>Detail!$L$99*BQ127</f>
        <v>51211.366379777413</v>
      </c>
      <c r="BR62" s="416">
        <f>Detail!$L$99*BR127</f>
        <v>51296.71865707705</v>
      </c>
      <c r="BS62" s="416">
        <f>Detail!$L$99*BS127</f>
        <v>51382.21318817218</v>
      </c>
      <c r="BT62" s="416">
        <f>Detail!$L$99*BT127</f>
        <v>51467.850210152472</v>
      </c>
      <c r="BU62" s="416">
        <f>Detail!$L$99*BU127</f>
        <v>51553.629960502731</v>
      </c>
      <c r="BV62" s="416">
        <f>Detail!$L$99*BV127</f>
        <v>51639.55267710358</v>
      </c>
      <c r="BW62" s="416">
        <f>Detail!$L$99*BW127</f>
        <v>51725.618598232082</v>
      </c>
      <c r="BX62" s="416">
        <f>Detail!$L$99*BX127</f>
        <v>51811.827962562478</v>
      </c>
      <c r="BY62" s="416">
        <f>Detail!$L$99*BY127</f>
        <v>51898.181009166743</v>
      </c>
      <c r="BZ62" s="416">
        <f>Detail!$L$99*BZ127</f>
        <v>51984.677977515363</v>
      </c>
      <c r="CA62" s="416">
        <f>Detail!$L$99*CA127</f>
        <v>52071.319107477888</v>
      </c>
      <c r="CB62" s="416">
        <f>Detail!$L$99*CB127</f>
        <v>52158.104639323683</v>
      </c>
      <c r="CC62" s="416">
        <f>Detail!$L$99*CC127</f>
        <v>52245.034813722559</v>
      </c>
      <c r="CD62" s="416">
        <f>Detail!$L$99*CD127</f>
        <v>52332.10987174543</v>
      </c>
      <c r="CE62" s="416">
        <f>Detail!$L$99*CE127</f>
        <v>52419.330054865022</v>
      </c>
      <c r="CF62" s="416">
        <f>Detail!$L$99*CF127</f>
        <v>52506.695604956461</v>
      </c>
      <c r="CG62" s="416">
        <f>Detail!$L$99*CG127</f>
        <v>52594.206764298062</v>
      </c>
      <c r="CH62" s="416">
        <f>Detail!$L$99*CH127</f>
        <v>52681.863775571896</v>
      </c>
      <c r="CI62" s="416">
        <f>Detail!$L$99*CI127</f>
        <v>52769.666881864519</v>
      </c>
      <c r="CJ62" s="416">
        <f>Detail!$L$99*CJ127</f>
        <v>52857.61632666763</v>
      </c>
      <c r="CK62" s="416">
        <f>Detail!$L$99*CK127</f>
        <v>52945.712353878749</v>
      </c>
      <c r="CL62" s="416">
        <f>Detail!$L$99*CL127</f>
        <v>53033.955207801875</v>
      </c>
      <c r="CM62" s="416">
        <f>Detail!$L$99*CM127</f>
        <v>53122.345133148221</v>
      </c>
      <c r="CN62" s="416">
        <f>Detail!$L$99*CN127</f>
        <v>53210.882375036803</v>
      </c>
      <c r="CO62" s="416">
        <f>Detail!$L$99*CO127</f>
        <v>53299.567178995196</v>
      </c>
      <c r="CP62" s="416">
        <f>Detail!$L$99*CP127</f>
        <v>53388.399790960204</v>
      </c>
      <c r="CQ62" s="416">
        <f>Detail!$L$99*CQ127</f>
        <v>53477.380457278472</v>
      </c>
      <c r="CR62" s="416">
        <f>Detail!$L$99*CR127</f>
        <v>53566.509424707278</v>
      </c>
      <c r="CS62" s="416">
        <f>Detail!$L$99*CS127</f>
        <v>53655.786940415113</v>
      </c>
      <c r="CT62" s="416">
        <f>Detail!$L$99*CT127</f>
        <v>53745.213251982488</v>
      </c>
      <c r="CU62" s="416">
        <f>Detail!$L$99*CU127</f>
        <v>53834.788607402465</v>
      </c>
      <c r="CV62" s="416">
        <f>Detail!$L$99*CV127</f>
        <v>53924.51325508146</v>
      </c>
      <c r="CW62" s="416">
        <f>Detail!$L$99*CW127</f>
        <v>54014.387443839929</v>
      </c>
      <c r="CX62" s="416">
        <f>Detail!$L$99*CX127</f>
        <v>54104.411422913006</v>
      </c>
      <c r="CY62" s="416">
        <f>Detail!$L$99*CY127</f>
        <v>54194.585441951203</v>
      </c>
      <c r="CZ62" s="416">
        <f>Detail!$L$99*CZ127</f>
        <v>54284.909751021129</v>
      </c>
      <c r="DA62" s="416">
        <f>Detail!$L$99*DA127</f>
        <v>54375.384600606158</v>
      </c>
      <c r="DB62" s="416">
        <f>Detail!$L$99*DB127</f>
        <v>54466.010241607175</v>
      </c>
      <c r="DC62" s="416">
        <f>Detail!$L$99*DC127</f>
        <v>54556.7869253432</v>
      </c>
      <c r="DD62" s="416">
        <f>Detail!$L$99*DD127</f>
        <v>54647.714903552114</v>
      </c>
      <c r="DE62" s="416">
        <f>Detail!$L$99*DE127</f>
        <v>54738.79442839136</v>
      </c>
      <c r="DF62" s="416">
        <f>Detail!$L$99*DF127</f>
        <v>54830.025752438683</v>
      </c>
      <c r="DG62" s="416">
        <f>Detail!$L$99*DG127</f>
        <v>54921.409128692758</v>
      </c>
      <c r="DH62" s="416">
        <f>Detail!$L$99*DH127</f>
        <v>55012.944810573907</v>
      </c>
      <c r="DI62" s="416">
        <f>Detail!$L$99*DI127</f>
        <v>55104.633051924859</v>
      </c>
      <c r="DJ62" s="416">
        <f>Detail!$L$99*DJ127</f>
        <v>55196.474107011418</v>
      </c>
      <c r="DK62" s="416">
        <f>Detail!$L$99*DK127</f>
        <v>55288.468230523111</v>
      </c>
      <c r="DL62" s="416">
        <f>Detail!$L$99*DL127</f>
        <v>55380.615677573973</v>
      </c>
      <c r="DM62" s="416">
        <f>Detail!$L$99*DM127</f>
        <v>55472.916703703268</v>
      </c>
      <c r="DN62" s="416">
        <f>Detail!$L$99*DN127</f>
        <v>55565.371564876114</v>
      </c>
      <c r="DO62" s="416">
        <f>Detail!$L$99*DO127</f>
        <v>55657.98051748424</v>
      </c>
      <c r="DP62" s="416">
        <f>Detail!$L$99*DP127</f>
        <v>55750.743818346724</v>
      </c>
      <c r="DQ62" s="416">
        <f>Detail!$L$99*DQ127</f>
        <v>55843.661724710641</v>
      </c>
      <c r="DR62" s="416">
        <f>Detail!$L$99*DR127</f>
        <v>55936.734494251832</v>
      </c>
      <c r="DS62" s="416">
        <f>Detail!$L$99*DS127</f>
        <v>56029.962385075589</v>
      </c>
      <c r="DT62" s="416">
        <f>Detail!$L$99*DT127</f>
        <v>56123.345655717385</v>
      </c>
      <c r="DU62" s="416">
        <f>Detail!$L$99*DU127</f>
        <v>56216.884565143577</v>
      </c>
      <c r="DV62" s="416">
        <f>Detail!$L$99*DV127</f>
        <v>56310.57937275216</v>
      </c>
      <c r="DW62" s="416">
        <f>Detail!$L$99*DW127</f>
        <v>56404.430338373415</v>
      </c>
      <c r="DX62" s="416">
        <f>Detail!$L$99*DX127</f>
        <v>56498.437722270712</v>
      </c>
      <c r="DY62" s="416">
        <f>Detail!$L$99*DY127</f>
        <v>56592.60178514116</v>
      </c>
      <c r="DZ62" s="416">
        <f>Detail!$L$99*DZ127</f>
        <v>56686.922788116397</v>
      </c>
      <c r="EA62" s="416">
        <f>Detail!$L$99*EA127</f>
        <v>56781.400992763272</v>
      </c>
      <c r="EB62" s="416">
        <f>Detail!$L$99*EB127</f>
        <v>56876.036661084545</v>
      </c>
      <c r="EC62" s="416">
        <f>Detail!$L$99*EC127</f>
        <v>56970.830055519691</v>
      </c>
      <c r="ED62" s="416">
        <f>Detail!$L$99*ED127</f>
        <v>57065.78143894556</v>
      </c>
      <c r="EE62" s="416">
        <f>Detail!$L$99*EE127</f>
        <v>57160.891074677129</v>
      </c>
      <c r="EF62" s="416">
        <f>Detail!$L$99*EF127</f>
        <v>57256.159226468269</v>
      </c>
      <c r="EG62" s="416">
        <f>Detail!$L$99*EG127</f>
        <v>57351.586158512378</v>
      </c>
      <c r="EH62" s="416">
        <f>Detail!$L$99*EH127</f>
        <v>57447.172135443252</v>
      </c>
      <c r="EI62" s="416">
        <f>Detail!$L$99*EI127</f>
        <v>57542.91742233566</v>
      </c>
      <c r="EJ62" s="416">
        <f>Detail!$L$99*EJ127</f>
        <v>57638.822284706221</v>
      </c>
      <c r="EK62" s="416">
        <f>Detail!$L$99*EK127</f>
        <v>57734.886988514067</v>
      </c>
      <c r="EL62" s="416">
        <f>Detail!$L$99*EL127</f>
        <v>57831.111800161591</v>
      </c>
      <c r="EM62" s="416">
        <f>Detail!$L$99*EM127</f>
        <v>57927.496986495207</v>
      </c>
      <c r="EN62" s="416">
        <f>Detail!$L$99*EN127</f>
        <v>58024.042814806024</v>
      </c>
      <c r="EO62" s="416">
        <f>Detail!$L$99*EO127</f>
        <v>58120.749552830704</v>
      </c>
      <c r="EP62" s="416">
        <f>Detail!$L$99*EP127</f>
        <v>58217.617468752091</v>
      </c>
      <c r="EQ62" s="416">
        <f>Detail!$L$99*EQ127</f>
        <v>58314.646831200029</v>
      </c>
      <c r="ER62" s="416">
        <f>Detail!$L$99*ER127</f>
        <v>58411.837909252026</v>
      </c>
      <c r="ES62" s="416">
        <f>Detail!$L$99*ES127</f>
        <v>58509.190972434117</v>
      </c>
      <c r="ET62" s="416">
        <f>Detail!$L$99*ET127</f>
        <v>58606.706290721515</v>
      </c>
      <c r="EU62" s="416">
        <f>Detail!$L$99*EU127</f>
        <v>58704.384134539381</v>
      </c>
      <c r="EV62" s="416">
        <f>Detail!$L$99*EV127</f>
        <v>58802.224774763614</v>
      </c>
      <c r="EW62" s="416">
        <f>Detail!$L$99*EW127</f>
        <v>58900.22848272157</v>
      </c>
      <c r="EX62" s="416">
        <f>Detail!$L$99*EX127</f>
        <v>58998.395530192771</v>
      </c>
      <c r="EY62" s="416">
        <f>Detail!$L$99*EY127</f>
        <v>59096.726189409768</v>
      </c>
      <c r="EZ62" s="416">
        <f>Detail!$L$99*EZ127</f>
        <v>59195.220733058784</v>
      </c>
      <c r="FA62" s="416">
        <f>Detail!$L$99*FA127</f>
        <v>59293.879434280556</v>
      </c>
      <c r="FB62" s="416">
        <f>Detail!$L$99*FB127</f>
        <v>59392.702566671032</v>
      </c>
      <c r="FC62" s="416">
        <f>Detail!$L$99*FC127</f>
        <v>59491.690404282141</v>
      </c>
      <c r="FD62" s="416">
        <f>Detail!$L$99*FD127</f>
        <v>59590.843221622628</v>
      </c>
      <c r="FE62" s="416">
        <f>Detail!$L$99*FE127</f>
        <v>59690.161293658661</v>
      </c>
      <c r="FF62" s="416">
        <f>Detail!$L$99*FF127</f>
        <v>59789.644895814759</v>
      </c>
      <c r="FG62" s="416">
        <f>Detail!$L$99*FG127</f>
        <v>59889.294303974471</v>
      </c>
      <c r="FH62" s="416">
        <f>Detail!$L$99*FH127</f>
        <v>59989.109794481083</v>
      </c>
      <c r="FI62" s="416">
        <f>Detail!$L$99*FI127</f>
        <v>60089.091644138556</v>
      </c>
      <c r="FJ62" s="416">
        <f>Detail!$L$99*FJ127</f>
        <v>60189.240130212129</v>
      </c>
      <c r="FK62" s="416">
        <f>Detail!$L$99*FK127</f>
        <v>60289.555530429148</v>
      </c>
      <c r="FL62" s="416">
        <f>Detail!$L$99*FL127</f>
        <v>60390.03812297988</v>
      </c>
      <c r="FM62" s="416">
        <f>Detail!$L$99*FM127</f>
        <v>60490.688186518171</v>
      </c>
      <c r="FN62" s="416">
        <f>Detail!$L$99*FN127</f>
        <v>60591.506000162379</v>
      </c>
      <c r="FO62" s="416">
        <f>Detail!$L$99*FO127</f>
        <v>60692.491843495991</v>
      </c>
      <c r="FP62" s="416">
        <f>Detail!$L$99*FP127</f>
        <v>60793.645996568492</v>
      </c>
      <c r="FQ62" s="416">
        <f>Detail!$L$99*FQ127</f>
        <v>60894.968739896103</v>
      </c>
      <c r="FR62" s="416">
        <f>Detail!$L$99*FR127</f>
        <v>60996.460354462608</v>
      </c>
      <c r="FS62" s="416">
        <f>Detail!$L$99*FS127</f>
        <v>61098.121121720047</v>
      </c>
      <c r="FT62" s="604">
        <f t="shared" si="107"/>
        <v>325474.93548387097</v>
      </c>
      <c r="FU62" s="604">
        <f t="shared" si="107"/>
        <v>564038.65997075825</v>
      </c>
      <c r="FV62" s="604">
        <f t="shared" si="107"/>
        <v>575423.41690172593</v>
      </c>
      <c r="FW62" s="604">
        <f t="shared" si="107"/>
        <v>587037.96781593561</v>
      </c>
      <c r="FX62" s="604">
        <f t="shared" si="107"/>
        <v>598886.95095687872</v>
      </c>
    </row>
    <row r="63" spans="2:183" ht="12" customHeight="1" outlineLevel="1">
      <c r="B63" s="574" t="s">
        <v>32</v>
      </c>
      <c r="C63" s="575"/>
      <c r="D63" s="604"/>
      <c r="E63" s="416">
        <f>Detail!$L$103*E127</f>
        <v>4320</v>
      </c>
      <c r="F63" s="416">
        <f>Detail!$L$103*F127</f>
        <v>4320</v>
      </c>
      <c r="G63" s="416">
        <f>Detail!$L$103*G127</f>
        <v>4320</v>
      </c>
      <c r="H63" s="416">
        <f>Detail!$L$103*H127</f>
        <v>4320</v>
      </c>
      <c r="I63" s="416">
        <f>Detail!$L$103*I127</f>
        <v>4320</v>
      </c>
      <c r="J63" s="416">
        <f>Detail!$L$103*J127</f>
        <v>4320</v>
      </c>
      <c r="K63" s="416">
        <f>Detail!$L$103*K127</f>
        <v>4320</v>
      </c>
      <c r="L63" s="416">
        <f>Detail!$L$103*L127</f>
        <v>4327.2</v>
      </c>
      <c r="M63" s="416">
        <f>Detail!$L$103*M127</f>
        <v>4334.4120000000003</v>
      </c>
      <c r="N63" s="416">
        <f>Detail!$L$103*N127</f>
        <v>4341.6360200000008</v>
      </c>
      <c r="O63" s="416">
        <f>Detail!$L$103*O127</f>
        <v>4348.872080033334</v>
      </c>
      <c r="P63" s="416">
        <f>Detail!$L$103*P127</f>
        <v>4356.1202001667234</v>
      </c>
      <c r="Q63" s="416">
        <f>Detail!$L$103*Q127</f>
        <v>4363.3804005003349</v>
      </c>
      <c r="R63" s="416">
        <f>Detail!$L$103*R127</f>
        <v>4370.6527011678354</v>
      </c>
      <c r="S63" s="416">
        <f>Detail!$L$103*S127</f>
        <v>4377.9371223364496</v>
      </c>
      <c r="T63" s="416">
        <f>Detail!$L$103*T127</f>
        <v>4385.2336842070099</v>
      </c>
      <c r="U63" s="416">
        <f>Detail!$L$103*U127</f>
        <v>4392.5424070140225</v>
      </c>
      <c r="V63" s="416">
        <f>Detail!$L$103*V127</f>
        <v>4399.8633110257124</v>
      </c>
      <c r="W63" s="416">
        <f>Detail!$L$103*W127</f>
        <v>4407.1964165440886</v>
      </c>
      <c r="X63" s="416">
        <f>Detail!$L$103*X127</f>
        <v>4414.5417439049961</v>
      </c>
      <c r="Y63" s="416">
        <f>Detail!$L$103*Y127</f>
        <v>4421.8993134781713</v>
      </c>
      <c r="Z63" s="416">
        <f>Detail!$L$103*Z127</f>
        <v>4429.2691456673019</v>
      </c>
      <c r="AA63" s="416">
        <f>Detail!$L$103*AA127</f>
        <v>4436.6512609100819</v>
      </c>
      <c r="AB63" s="416">
        <f>Detail!$L$103*AB127</f>
        <v>4444.0456796782646</v>
      </c>
      <c r="AC63" s="416">
        <f>Detail!$L$103*AC127</f>
        <v>4451.4524224777288</v>
      </c>
      <c r="AD63" s="416">
        <f>Detail!$L$103*AD127</f>
        <v>4458.8715098485254</v>
      </c>
      <c r="AE63" s="416">
        <f>Detail!$L$103*AE127</f>
        <v>4466.30296236494</v>
      </c>
      <c r="AF63" s="416">
        <f>Detail!$L$103*AF127</f>
        <v>4473.7468006355484</v>
      </c>
      <c r="AG63" s="416">
        <f>Detail!$L$103*AG127</f>
        <v>4481.2030453032748</v>
      </c>
      <c r="AH63" s="416">
        <f>Detail!$L$103*AH127</f>
        <v>4488.6717170454467</v>
      </c>
      <c r="AI63" s="416">
        <f>Detail!$L$103*AI127</f>
        <v>4496.1528365738577</v>
      </c>
      <c r="AJ63" s="416">
        <f>Detail!$L$103*AJ127</f>
        <v>4503.6464246348132</v>
      </c>
      <c r="AK63" s="416">
        <f>Detail!$L$103*AK127</f>
        <v>4511.1525020092049</v>
      </c>
      <c r="AL63" s="416">
        <f>Detail!$L$103*AL127</f>
        <v>4518.6710895125534</v>
      </c>
      <c r="AM63" s="416">
        <f>Detail!$L$103*AM127</f>
        <v>4526.2022079950748</v>
      </c>
      <c r="AN63" s="416">
        <f>Detail!$L$103*AN127</f>
        <v>4533.7458783417342</v>
      </c>
      <c r="AO63" s="416">
        <f>Detail!$L$103*AO127</f>
        <v>4541.302121472303</v>
      </c>
      <c r="AP63" s="416">
        <f>Detail!$L$103*AP127</f>
        <v>4548.8709583414247</v>
      </c>
      <c r="AQ63" s="416">
        <f>Detail!$L$103*AQ127</f>
        <v>4556.4524099386608</v>
      </c>
      <c r="AR63" s="416">
        <f>Detail!$L$103*AR127</f>
        <v>4564.0464972885593</v>
      </c>
      <c r="AS63" s="416">
        <f>Detail!$L$103*AS127</f>
        <v>4571.6532414507064</v>
      </c>
      <c r="AT63" s="416">
        <f>Detail!$L$103*AT127</f>
        <v>4579.2726635197914</v>
      </c>
      <c r="AU63" s="416">
        <f>Detail!$L$103*AU127</f>
        <v>4586.9047846256581</v>
      </c>
      <c r="AV63" s="416">
        <f>Detail!$L$103*AV127</f>
        <v>4594.5496259333686</v>
      </c>
      <c r="AW63" s="416">
        <f>Detail!$L$103*AW127</f>
        <v>4602.2072086432563</v>
      </c>
      <c r="AX63" s="416">
        <f>Detail!$L$103*AX127</f>
        <v>4609.8775539909966</v>
      </c>
      <c r="AY63" s="416">
        <f>Detail!$L$103*AY127</f>
        <v>4617.5606832476487</v>
      </c>
      <c r="AZ63" s="416">
        <f>Detail!$L$103*AZ127</f>
        <v>4625.2566177197277</v>
      </c>
      <c r="BA63" s="416">
        <f>Detail!$L$103*BA127</f>
        <v>4632.9653787492607</v>
      </c>
      <c r="BB63" s="416">
        <f>Detail!$L$103*BB127</f>
        <v>4640.6869877138433</v>
      </c>
      <c r="BC63" s="416">
        <f>Detail!$L$103*BC127</f>
        <v>4648.4214660266998</v>
      </c>
      <c r="BD63" s="416">
        <f>Detail!$L$103*BD127</f>
        <v>4656.1688351367457</v>
      </c>
      <c r="BE63" s="416">
        <f>Detail!$L$103*BE127</f>
        <v>4663.9291165286404</v>
      </c>
      <c r="BF63" s="416">
        <f>Detail!$L$103*BF127</f>
        <v>4671.702331722855</v>
      </c>
      <c r="BG63" s="416">
        <f>Detail!$L$103*BG127</f>
        <v>4679.4885022757271</v>
      </c>
      <c r="BH63" s="416">
        <f>Detail!$L$103*BH127</f>
        <v>4687.2876497795196</v>
      </c>
      <c r="BI63" s="416">
        <f>Detail!$L$103*BI127</f>
        <v>4695.0997958624857</v>
      </c>
      <c r="BJ63" s="416">
        <f>Detail!$L$103*BJ127</f>
        <v>4702.9249621889239</v>
      </c>
      <c r="BK63" s="416">
        <f>Detail!$L$103*BK127</f>
        <v>4710.7631704592386</v>
      </c>
      <c r="BL63" s="416">
        <f>Detail!$L$103*BL127</f>
        <v>4718.6144424100048</v>
      </c>
      <c r="BM63" s="416">
        <f>Detail!$L$103*BM127</f>
        <v>4726.4787998140218</v>
      </c>
      <c r="BN63" s="416">
        <f>Detail!$L$103*BN127</f>
        <v>4734.3562644803787</v>
      </c>
      <c r="BO63" s="416">
        <f>Detail!$L$103*BO127</f>
        <v>4742.2468582545134</v>
      </c>
      <c r="BP63" s="416">
        <f>Detail!$L$103*BP127</f>
        <v>4750.1506030182709</v>
      </c>
      <c r="BQ63" s="416">
        <f>Detail!$L$103*BQ127</f>
        <v>4758.0675206899678</v>
      </c>
      <c r="BR63" s="416">
        <f>Detail!$L$103*BR127</f>
        <v>4765.9976332244514</v>
      </c>
      <c r="BS63" s="416">
        <f>Detail!$L$103*BS127</f>
        <v>4773.9409626131592</v>
      </c>
      <c r="BT63" s="416">
        <f>Detail!$L$103*BT127</f>
        <v>4781.8975308841818</v>
      </c>
      <c r="BU63" s="416">
        <f>Detail!$L$103*BU127</f>
        <v>4789.867360102322</v>
      </c>
      <c r="BV63" s="416">
        <f>Detail!$L$103*BV127</f>
        <v>4797.8504723691603</v>
      </c>
      <c r="BW63" s="416">
        <f>Detail!$L$103*BW127</f>
        <v>4805.8468898231094</v>
      </c>
      <c r="BX63" s="416">
        <f>Detail!$L$103*BX127</f>
        <v>4813.8566346394819</v>
      </c>
      <c r="BY63" s="416">
        <f>Detail!$L$103*BY127</f>
        <v>4821.8797290305474</v>
      </c>
      <c r="BZ63" s="416">
        <f>Detail!$L$103*BZ127</f>
        <v>4829.9161952455988</v>
      </c>
      <c r="CA63" s="416">
        <f>Detail!$L$103*CA127</f>
        <v>4837.9660555710079</v>
      </c>
      <c r="CB63" s="416">
        <f>Detail!$L$103*CB127</f>
        <v>4846.0293323302931</v>
      </c>
      <c r="CC63" s="416">
        <f>Detail!$L$103*CC127</f>
        <v>4854.1060478841773</v>
      </c>
      <c r="CD63" s="416">
        <f>Detail!$L$103*CD127</f>
        <v>4862.1962246306512</v>
      </c>
      <c r="CE63" s="416">
        <f>Detail!$L$103*CE127</f>
        <v>4870.2998850050362</v>
      </c>
      <c r="CF63" s="416">
        <f>Detail!$L$103*CF127</f>
        <v>4878.4170514800444</v>
      </c>
      <c r="CG63" s="416">
        <f>Detail!$L$103*CG127</f>
        <v>4886.547746565845</v>
      </c>
      <c r="CH63" s="416">
        <f>Detail!$L$103*CH127</f>
        <v>4894.6919928101224</v>
      </c>
      <c r="CI63" s="416">
        <f>Detail!$L$103*CI127</f>
        <v>4902.8498127981393</v>
      </c>
      <c r="CJ63" s="416">
        <f>Detail!$L$103*CJ127</f>
        <v>4911.0212291528032</v>
      </c>
      <c r="CK63" s="416">
        <f>Detail!$L$103*CK127</f>
        <v>4919.2062645347251</v>
      </c>
      <c r="CL63" s="416">
        <f>Detail!$L$103*CL127</f>
        <v>4927.4049416422822</v>
      </c>
      <c r="CM63" s="416">
        <f>Detail!$L$103*CM127</f>
        <v>4935.6172832116872</v>
      </c>
      <c r="CN63" s="416">
        <f>Detail!$L$103*CN127</f>
        <v>4943.8433120170403</v>
      </c>
      <c r="CO63" s="416">
        <f>Detail!$L$103*CO127</f>
        <v>4952.0830508704021</v>
      </c>
      <c r="CP63" s="416">
        <f>Detail!$L$103*CP127</f>
        <v>4960.3365226218539</v>
      </c>
      <c r="CQ63" s="416">
        <f>Detail!$L$103*CQ127</f>
        <v>4968.6037501595574</v>
      </c>
      <c r="CR63" s="416">
        <f>Detail!$L$103*CR127</f>
        <v>4976.8847564098241</v>
      </c>
      <c r="CS63" s="416">
        <f>Detail!$L$103*CS127</f>
        <v>4985.1795643371725</v>
      </c>
      <c r="CT63" s="416">
        <f>Detail!$L$103*CT127</f>
        <v>4993.4881969444023</v>
      </c>
      <c r="CU63" s="416">
        <f>Detail!$L$103*CU127</f>
        <v>5001.8106772726442</v>
      </c>
      <c r="CV63" s="416">
        <f>Detail!$L$103*CV127</f>
        <v>5010.1470284014313</v>
      </c>
      <c r="CW63" s="416">
        <f>Detail!$L$103*CW127</f>
        <v>5018.4972734487665</v>
      </c>
      <c r="CX63" s="416">
        <f>Detail!$L$103*CX127</f>
        <v>5026.8614355711825</v>
      </c>
      <c r="CY63" s="416">
        <f>Detail!$L$103*CY127</f>
        <v>5035.239537963801</v>
      </c>
      <c r="CZ63" s="416">
        <f>Detail!$L$103*CZ127</f>
        <v>5043.6316038604082</v>
      </c>
      <c r="DA63" s="416">
        <f>Detail!$L$103*DA127</f>
        <v>5052.0376565335082</v>
      </c>
      <c r="DB63" s="416">
        <f>Detail!$L$103*DB127</f>
        <v>5060.457719294398</v>
      </c>
      <c r="DC63" s="416">
        <f>Detail!$L$103*DC127</f>
        <v>5068.8918154932235</v>
      </c>
      <c r="DD63" s="416">
        <f>Detail!$L$103*DD127</f>
        <v>5077.3399685190461</v>
      </c>
      <c r="DE63" s="416">
        <f>Detail!$L$103*DE127</f>
        <v>5085.802201799911</v>
      </c>
      <c r="DF63" s="416">
        <f>Detail!$L$103*DF127</f>
        <v>5094.2785388029115</v>
      </c>
      <c r="DG63" s="416">
        <f>Detail!$L$103*DG127</f>
        <v>5102.7690030342501</v>
      </c>
      <c r="DH63" s="416">
        <f>Detail!$L$103*DH127</f>
        <v>5111.2736180393067</v>
      </c>
      <c r="DI63" s="416">
        <f>Detail!$L$103*DI127</f>
        <v>5119.7924074027051</v>
      </c>
      <c r="DJ63" s="416">
        <f>Detail!$L$103*DJ127</f>
        <v>5128.3253947483781</v>
      </c>
      <c r="DK63" s="416">
        <f>Detail!$L$103*DK127</f>
        <v>5136.8726037396264</v>
      </c>
      <c r="DL63" s="416">
        <f>Detail!$L$103*DL127</f>
        <v>5145.4340580791913</v>
      </c>
      <c r="DM63" s="416">
        <f>Detail!$L$103*DM127</f>
        <v>5154.0097815093231</v>
      </c>
      <c r="DN63" s="416">
        <f>Detail!$L$103*DN127</f>
        <v>5162.5997978118403</v>
      </c>
      <c r="DO63" s="416">
        <f>Detail!$L$103*DO127</f>
        <v>5171.2041308081925</v>
      </c>
      <c r="DP63" s="416">
        <f>Detail!$L$103*DP127</f>
        <v>5179.8228043595409</v>
      </c>
      <c r="DQ63" s="416">
        <f>Detail!$L$103*DQ127</f>
        <v>5188.4558423668077</v>
      </c>
      <c r="DR63" s="416">
        <f>Detail!$L$103*DR127</f>
        <v>5197.103268770752</v>
      </c>
      <c r="DS63" s="416">
        <f>Detail!$L$103*DS127</f>
        <v>5205.7651075520371</v>
      </c>
      <c r="DT63" s="416">
        <f>Detail!$L$103*DT127</f>
        <v>5214.441382731291</v>
      </c>
      <c r="DU63" s="416">
        <f>Detail!$L$103*DU127</f>
        <v>5223.1321183691762</v>
      </c>
      <c r="DV63" s="416">
        <f>Detail!$L$103*DV127</f>
        <v>5231.837338566459</v>
      </c>
      <c r="DW63" s="416">
        <f>Detail!$L$103*DW127</f>
        <v>5240.5570674640703</v>
      </c>
      <c r="DX63" s="416">
        <f>Detail!$L$103*DX127</f>
        <v>5249.2913292431776</v>
      </c>
      <c r="DY63" s="416">
        <f>Detail!$L$103*DY127</f>
        <v>5258.0401481252493</v>
      </c>
      <c r="DZ63" s="416">
        <f>Detail!$L$103*DZ127</f>
        <v>5266.8035483721251</v>
      </c>
      <c r="EA63" s="416">
        <f>Detail!$L$103*EA127</f>
        <v>5275.5815542860801</v>
      </c>
      <c r="EB63" s="416">
        <f>Detail!$L$103*EB127</f>
        <v>5284.37419020989</v>
      </c>
      <c r="EC63" s="416">
        <f>Detail!$L$103*EC127</f>
        <v>5293.1814805269069</v>
      </c>
      <c r="ED63" s="416">
        <f>Detail!$L$103*ED127</f>
        <v>5302.0034496611188</v>
      </c>
      <c r="EE63" s="416">
        <f>Detail!$L$103*EE127</f>
        <v>5310.8401220772193</v>
      </c>
      <c r="EF63" s="416">
        <f>Detail!$L$103*EF127</f>
        <v>5319.6915222806829</v>
      </c>
      <c r="EG63" s="416">
        <f>Detail!$L$103*EG127</f>
        <v>5328.5576748178173</v>
      </c>
      <c r="EH63" s="416">
        <f>Detail!$L$103*EH127</f>
        <v>5337.4386042758488</v>
      </c>
      <c r="EI63" s="416">
        <f>Detail!$L$103*EI127</f>
        <v>5346.3343352829752</v>
      </c>
      <c r="EJ63" s="416">
        <f>Detail!$L$103*EJ127</f>
        <v>5355.2448925084473</v>
      </c>
      <c r="EK63" s="416">
        <f>Detail!$L$103*EK127</f>
        <v>5364.1703006626276</v>
      </c>
      <c r="EL63" s="416">
        <f>Detail!$L$103*EL127</f>
        <v>5373.1105844970662</v>
      </c>
      <c r="EM63" s="416">
        <f>Detail!$L$103*EM127</f>
        <v>5382.0657688045621</v>
      </c>
      <c r="EN63" s="416">
        <f>Detail!$L$103*EN127</f>
        <v>5391.0358784192358</v>
      </c>
      <c r="EO63" s="416">
        <f>Detail!$L$103*EO127</f>
        <v>5400.0209382166013</v>
      </c>
      <c r="EP63" s="416">
        <f>Detail!$L$103*EP127</f>
        <v>5409.0209731136292</v>
      </c>
      <c r="EQ63" s="416">
        <f>Detail!$L$103*EQ127</f>
        <v>5418.0360080688197</v>
      </c>
      <c r="ER63" s="416">
        <f>Detail!$L$103*ER127</f>
        <v>5427.0660680822675</v>
      </c>
      <c r="ES63" s="416">
        <f>Detail!$L$103*ES127</f>
        <v>5436.1111781957388</v>
      </c>
      <c r="ET63" s="416">
        <f>Detail!$L$103*ET127</f>
        <v>5445.1713634927328</v>
      </c>
      <c r="EU63" s="416">
        <f>Detail!$L$103*EU127</f>
        <v>5454.2466490985535</v>
      </c>
      <c r="EV63" s="416">
        <f>Detail!$L$103*EV127</f>
        <v>5463.3370601803845</v>
      </c>
      <c r="EW63" s="416">
        <f>Detail!$L$103*EW127</f>
        <v>5472.4426219473535</v>
      </c>
      <c r="EX63" s="416">
        <f>Detail!$L$103*EX127</f>
        <v>5481.5633596505986</v>
      </c>
      <c r="EY63" s="416">
        <f>Detail!$L$103*EY127</f>
        <v>5490.6992985833504</v>
      </c>
      <c r="EZ63" s="416">
        <f>Detail!$L$103*EZ127</f>
        <v>5499.8504640809897</v>
      </c>
      <c r="FA63" s="416">
        <f>Detail!$L$103*FA127</f>
        <v>5509.0168815211246</v>
      </c>
      <c r="FB63" s="416">
        <f>Detail!$L$103*FB127</f>
        <v>5518.1985763236607</v>
      </c>
      <c r="FC63" s="416">
        <f>Detail!$L$103*FC127</f>
        <v>5527.3955739508665</v>
      </c>
      <c r="FD63" s="416">
        <f>Detail!$L$103*FD127</f>
        <v>5536.6078999074525</v>
      </c>
      <c r="FE63" s="416">
        <f>Detail!$L$103*FE127</f>
        <v>5545.8355797406311</v>
      </c>
      <c r="FF63" s="416">
        <f>Detail!$L$103*FF127</f>
        <v>5555.0786390401991</v>
      </c>
      <c r="FG63" s="416">
        <f>Detail!$L$103*FG127</f>
        <v>5564.3371034386009</v>
      </c>
      <c r="FH63" s="416">
        <f>Detail!$L$103*FH127</f>
        <v>5573.6109986109977</v>
      </c>
      <c r="FI63" s="416">
        <f>Detail!$L$103*FI127</f>
        <v>5582.9003502753503</v>
      </c>
      <c r="FJ63" s="416">
        <f>Detail!$L$103*FJ127</f>
        <v>5592.2051841924767</v>
      </c>
      <c r="FK63" s="416">
        <f>Detail!$L$103*FK127</f>
        <v>5601.5255261661305</v>
      </c>
      <c r="FL63" s="416">
        <f>Detail!$L$103*FL127</f>
        <v>5610.861402043075</v>
      </c>
      <c r="FM63" s="416">
        <f>Detail!$L$103*FM127</f>
        <v>5620.2128377131467</v>
      </c>
      <c r="FN63" s="416">
        <f>Detail!$L$103*FN127</f>
        <v>5629.5798591093362</v>
      </c>
      <c r="FO63" s="416">
        <f>Detail!$L$103*FO127</f>
        <v>5638.9624922078519</v>
      </c>
      <c r="FP63" s="416">
        <f>Detail!$L$103*FP127</f>
        <v>5648.3607630281995</v>
      </c>
      <c r="FQ63" s="416">
        <f>Detail!$L$103*FQ127</f>
        <v>5657.7746976332464</v>
      </c>
      <c r="FR63" s="416">
        <f>Detail!$L$103*FR127</f>
        <v>5667.2043221293025</v>
      </c>
      <c r="FS63" s="416">
        <f>Detail!$L$103*FS127</f>
        <v>5676.6496626661847</v>
      </c>
      <c r="FT63" s="604">
        <f t="shared" si="107"/>
        <v>30240</v>
      </c>
      <c r="FU63" s="604">
        <f t="shared" si="107"/>
        <v>52405.046342995513</v>
      </c>
      <c r="FV63" s="604">
        <f t="shared" si="107"/>
        <v>53462.808437888139</v>
      </c>
      <c r="FW63" s="604">
        <f t="shared" si="107"/>
        <v>54541.920779130487</v>
      </c>
      <c r="FX63" s="604">
        <f t="shared" si="107"/>
        <v>55642.814307688772</v>
      </c>
      <c r="GA63" s="624"/>
    </row>
    <row r="64" spans="2:183" ht="12" customHeight="1" outlineLevel="1">
      <c r="B64" s="574" t="s">
        <v>33</v>
      </c>
      <c r="C64" s="575"/>
      <c r="D64" s="604"/>
      <c r="E64" s="416">
        <f>Detail!$L$101*E127</f>
        <v>12648.75</v>
      </c>
      <c r="F64" s="416">
        <f>Detail!$L$101*F127</f>
        <v>12648.75</v>
      </c>
      <c r="G64" s="416">
        <f>Detail!$L$101*G127</f>
        <v>12648.75</v>
      </c>
      <c r="H64" s="416">
        <f>Detail!$L$101*H127</f>
        <v>12648.75</v>
      </c>
      <c r="I64" s="416">
        <f>Detail!$L$101*I127</f>
        <v>12648.75</v>
      </c>
      <c r="J64" s="416">
        <f>Detail!$L$101*J127</f>
        <v>12648.75</v>
      </c>
      <c r="K64" s="416">
        <f>Detail!$L$101*K127</f>
        <v>12648.75</v>
      </c>
      <c r="L64" s="416">
        <f>Detail!$L$101*L127</f>
        <v>12669.831250000001</v>
      </c>
      <c r="M64" s="416">
        <f>Detail!$L$101*M127</f>
        <v>12690.947635416667</v>
      </c>
      <c r="N64" s="416">
        <f>Detail!$L$101*N127</f>
        <v>12712.09921480903</v>
      </c>
      <c r="O64" s="416">
        <f>Detail!$L$101*O127</f>
        <v>12733.286046833713</v>
      </c>
      <c r="P64" s="416">
        <f>Detail!$L$101*P127</f>
        <v>12754.508190245102</v>
      </c>
      <c r="Q64" s="416">
        <f>Detail!$L$101*Q127</f>
        <v>12775.765703895511</v>
      </c>
      <c r="R64" s="416">
        <f>Detail!$L$101*R127</f>
        <v>12797.058646735337</v>
      </c>
      <c r="S64" s="416">
        <f>Detail!$L$101*S127</f>
        <v>12818.387077813233</v>
      </c>
      <c r="T64" s="416">
        <f>Detail!$L$101*T127</f>
        <v>12839.751056276255</v>
      </c>
      <c r="U64" s="416">
        <f>Detail!$L$101*U127</f>
        <v>12861.15064137005</v>
      </c>
      <c r="V64" s="416">
        <f>Detail!$L$101*V127</f>
        <v>12882.585892439</v>
      </c>
      <c r="W64" s="416">
        <f>Detail!$L$101*W127</f>
        <v>12904.056868926398</v>
      </c>
      <c r="X64" s="416">
        <f>Detail!$L$101*X127</f>
        <v>12925.563630374611</v>
      </c>
      <c r="Y64" s="416">
        <f>Detail!$L$101*Y127</f>
        <v>12947.106236425236</v>
      </c>
      <c r="Z64" s="416">
        <f>Detail!$L$101*Z127</f>
        <v>12968.684746819279</v>
      </c>
      <c r="AA64" s="416">
        <f>Detail!$L$101*AA127</f>
        <v>12990.299221397314</v>
      </c>
      <c r="AB64" s="416">
        <f>Detail!$L$101*AB127</f>
        <v>13011.949720099641</v>
      </c>
      <c r="AC64" s="416">
        <f>Detail!$L$101*AC127</f>
        <v>13033.636302966475</v>
      </c>
      <c r="AD64" s="416">
        <f>Detail!$L$101*AD127</f>
        <v>13055.359030138088</v>
      </c>
      <c r="AE64" s="416">
        <f>Detail!$L$101*AE127</f>
        <v>13077.117961854985</v>
      </c>
      <c r="AF64" s="416">
        <f>Detail!$L$101*AF127</f>
        <v>13098.913158458077</v>
      </c>
      <c r="AG64" s="416">
        <f>Detail!$L$101*AG127</f>
        <v>13120.744680388842</v>
      </c>
      <c r="AH64" s="416">
        <f>Detail!$L$101*AH127</f>
        <v>13142.61258818949</v>
      </c>
      <c r="AI64" s="416">
        <f>Detail!$L$101*AI127</f>
        <v>13164.516942503144</v>
      </c>
      <c r="AJ64" s="416">
        <f>Detail!$L$101*AJ127</f>
        <v>13186.457804073978</v>
      </c>
      <c r="AK64" s="416">
        <f>Detail!$L$101*AK127</f>
        <v>13208.435233747437</v>
      </c>
      <c r="AL64" s="416">
        <f>Detail!$L$101*AL127</f>
        <v>13230.44929247035</v>
      </c>
      <c r="AM64" s="416">
        <f>Detail!$L$101*AM127</f>
        <v>13252.500041291136</v>
      </c>
      <c r="AN64" s="416">
        <f>Detail!$L$101*AN127</f>
        <v>13274.587541359955</v>
      </c>
      <c r="AO64" s="416">
        <f>Detail!$L$101*AO127</f>
        <v>13296.711853928889</v>
      </c>
      <c r="AP64" s="416">
        <f>Detail!$L$101*AP127</f>
        <v>13318.873040352106</v>
      </c>
      <c r="AQ64" s="416">
        <f>Detail!$L$101*AQ127</f>
        <v>13341.071162086027</v>
      </c>
      <c r="AR64" s="416">
        <f>Detail!$L$101*AR127</f>
        <v>13363.306280689505</v>
      </c>
      <c r="AS64" s="416">
        <f>Detail!$L$101*AS127</f>
        <v>13385.578457823987</v>
      </c>
      <c r="AT64" s="416">
        <f>Detail!$L$101*AT127</f>
        <v>13407.887755253696</v>
      </c>
      <c r="AU64" s="416">
        <f>Detail!$L$101*AU127</f>
        <v>13430.234234845786</v>
      </c>
      <c r="AV64" s="416">
        <f>Detail!$L$101*AV127</f>
        <v>13452.61795857053</v>
      </c>
      <c r="AW64" s="416">
        <f>Detail!$L$101*AW127</f>
        <v>13475.038988501479</v>
      </c>
      <c r="AX64" s="416">
        <f>Detail!$L$101*AX127</f>
        <v>13497.497386815652</v>
      </c>
      <c r="AY64" s="416">
        <f>Detail!$L$101*AY127</f>
        <v>13519.99321579368</v>
      </c>
      <c r="AZ64" s="416">
        <f>Detail!$L$101*AZ127</f>
        <v>13542.526537820002</v>
      </c>
      <c r="BA64" s="416">
        <f>Detail!$L$101*BA127</f>
        <v>13565.097415383036</v>
      </c>
      <c r="BB64" s="416">
        <f>Detail!$L$101*BB127</f>
        <v>13587.705911075342</v>
      </c>
      <c r="BC64" s="416">
        <f>Detail!$L$101*BC127</f>
        <v>13610.352087593801</v>
      </c>
      <c r="BD64" s="416">
        <f>Detail!$L$101*BD127</f>
        <v>13633.036007739793</v>
      </c>
      <c r="BE64" s="416">
        <f>Detail!$L$101*BE127</f>
        <v>13655.75773441936</v>
      </c>
      <c r="BF64" s="416">
        <f>Detail!$L$101*BF127</f>
        <v>13678.517330643394</v>
      </c>
      <c r="BG64" s="416">
        <f>Detail!$L$101*BG127</f>
        <v>13701.314859527802</v>
      </c>
      <c r="BH64" s="416">
        <f>Detail!$L$101*BH127</f>
        <v>13724.15038429368</v>
      </c>
      <c r="BI64" s="416">
        <f>Detail!$L$101*BI127</f>
        <v>13747.023968267504</v>
      </c>
      <c r="BJ64" s="416">
        <f>Detail!$L$101*BJ127</f>
        <v>13769.935674881284</v>
      </c>
      <c r="BK64" s="416">
        <f>Detail!$L$101*BK127</f>
        <v>13792.885567672753</v>
      </c>
      <c r="BL64" s="416">
        <f>Detail!$L$101*BL127</f>
        <v>13815.873710285543</v>
      </c>
      <c r="BM64" s="416">
        <f>Detail!$L$101*BM127</f>
        <v>13838.900166469353</v>
      </c>
      <c r="BN64" s="416">
        <f>Detail!$L$101*BN127</f>
        <v>13861.965000080136</v>
      </c>
      <c r="BO64" s="416">
        <f>Detail!$L$101*BO127</f>
        <v>13885.068275080273</v>
      </c>
      <c r="BP64" s="416">
        <f>Detail!$L$101*BP127</f>
        <v>13908.210055538739</v>
      </c>
      <c r="BQ64" s="416">
        <f>Detail!$L$101*BQ127</f>
        <v>13931.390405631304</v>
      </c>
      <c r="BR64" s="416">
        <f>Detail!$L$101*BR127</f>
        <v>13954.609389640691</v>
      </c>
      <c r="BS64" s="416">
        <f>Detail!$L$101*BS127</f>
        <v>13977.867071956758</v>
      </c>
      <c r="BT64" s="416">
        <f>Detail!$L$101*BT127</f>
        <v>14001.163517076689</v>
      </c>
      <c r="BU64" s="416">
        <f>Detail!$L$101*BU127</f>
        <v>14024.49878960515</v>
      </c>
      <c r="BV64" s="416">
        <f>Detail!$L$101*BV127</f>
        <v>14047.872954254495</v>
      </c>
      <c r="BW64" s="416">
        <f>Detail!$L$101*BW127</f>
        <v>14071.286075844921</v>
      </c>
      <c r="BX64" s="416">
        <f>Detail!$L$101*BX127</f>
        <v>14094.738219304663</v>
      </c>
      <c r="BY64" s="416">
        <f>Detail!$L$101*BY127</f>
        <v>14118.229449670169</v>
      </c>
      <c r="BZ64" s="416">
        <f>Detail!$L$101*BZ127</f>
        <v>14141.759832086287</v>
      </c>
      <c r="CA64" s="416">
        <f>Detail!$L$101*CA127</f>
        <v>14165.329431806433</v>
      </c>
      <c r="CB64" s="416">
        <f>Detail!$L$101*CB127</f>
        <v>14188.938314192776</v>
      </c>
      <c r="CC64" s="416">
        <f>Detail!$L$101*CC127</f>
        <v>14212.586544716431</v>
      </c>
      <c r="CD64" s="416">
        <f>Detail!$L$101*CD127</f>
        <v>14236.274188957626</v>
      </c>
      <c r="CE64" s="416">
        <f>Detail!$L$101*CE127</f>
        <v>14260.001312605893</v>
      </c>
      <c r="CF64" s="416">
        <f>Detail!$L$101*CF127</f>
        <v>14283.767981460234</v>
      </c>
      <c r="CG64" s="416">
        <f>Detail!$L$101*CG127</f>
        <v>14307.574261429336</v>
      </c>
      <c r="CH64" s="416">
        <f>Detail!$L$101*CH127</f>
        <v>14331.420218531721</v>
      </c>
      <c r="CI64" s="416">
        <f>Detail!$L$101*CI127</f>
        <v>14355.30591889594</v>
      </c>
      <c r="CJ64" s="416">
        <f>Detail!$L$101*CJ127</f>
        <v>14379.23142876077</v>
      </c>
      <c r="CK64" s="416">
        <f>Detail!$L$101*CK127</f>
        <v>14403.19681447537</v>
      </c>
      <c r="CL64" s="416">
        <f>Detail!$L$101*CL127</f>
        <v>14427.202142499496</v>
      </c>
      <c r="CM64" s="416">
        <f>Detail!$L$101*CM127</f>
        <v>14451.247479403664</v>
      </c>
      <c r="CN64" s="416">
        <f>Detail!$L$101*CN127</f>
        <v>14475.332891869337</v>
      </c>
      <c r="CO64" s="416">
        <f>Detail!$L$101*CO127</f>
        <v>14499.458446689119</v>
      </c>
      <c r="CP64" s="416">
        <f>Detail!$L$101*CP127</f>
        <v>14523.624210766937</v>
      </c>
      <c r="CQ64" s="416">
        <f>Detail!$L$101*CQ127</f>
        <v>14547.830251118217</v>
      </c>
      <c r="CR64" s="416">
        <f>Detail!$L$101*CR127</f>
        <v>14572.076634870084</v>
      </c>
      <c r="CS64" s="416">
        <f>Detail!$L$101*CS127</f>
        <v>14596.36342926153</v>
      </c>
      <c r="CT64" s="416">
        <f>Detail!$L$101*CT127</f>
        <v>14620.690701643636</v>
      </c>
      <c r="CU64" s="416">
        <f>Detail!$L$101*CU127</f>
        <v>14645.058519479711</v>
      </c>
      <c r="CV64" s="416">
        <f>Detail!$L$101*CV127</f>
        <v>14669.46695034551</v>
      </c>
      <c r="CW64" s="416">
        <f>Detail!$L$101*CW127</f>
        <v>14693.916061929418</v>
      </c>
      <c r="CX64" s="416">
        <f>Detail!$L$101*CX127</f>
        <v>14718.405922032636</v>
      </c>
      <c r="CY64" s="416">
        <f>Detail!$L$101*CY127</f>
        <v>14742.93659856936</v>
      </c>
      <c r="CZ64" s="416">
        <f>Detail!$L$101*CZ127</f>
        <v>14767.508159566978</v>
      </c>
      <c r="DA64" s="416">
        <f>Detail!$L$101*DA127</f>
        <v>14792.120673166253</v>
      </c>
      <c r="DB64" s="416">
        <f>Detail!$L$101*DB127</f>
        <v>14816.774207621533</v>
      </c>
      <c r="DC64" s="416">
        <f>Detail!$L$101*DC127</f>
        <v>14841.468831300906</v>
      </c>
      <c r="DD64" s="416">
        <f>Detail!$L$101*DD127</f>
        <v>14866.204612686408</v>
      </c>
      <c r="DE64" s="416">
        <f>Detail!$L$101*DE127</f>
        <v>14890.981620374218</v>
      </c>
      <c r="DF64" s="416">
        <f>Detail!$L$101*DF127</f>
        <v>14915.799923074843</v>
      </c>
      <c r="DG64" s="416">
        <f>Detail!$L$101*DG127</f>
        <v>14940.659589613302</v>
      </c>
      <c r="DH64" s="416">
        <f>Detail!$L$101*DH127</f>
        <v>14965.560688929325</v>
      </c>
      <c r="DI64" s="416">
        <f>Detail!$L$101*DI127</f>
        <v>14990.503290077539</v>
      </c>
      <c r="DJ64" s="416">
        <f>Detail!$L$101*DJ127</f>
        <v>15015.487462227673</v>
      </c>
      <c r="DK64" s="416">
        <f>Detail!$L$101*DK127</f>
        <v>15040.513274664721</v>
      </c>
      <c r="DL64" s="416">
        <f>Detail!$L$101*DL127</f>
        <v>15065.58079678916</v>
      </c>
      <c r="DM64" s="416">
        <f>Detail!$L$101*DM127</f>
        <v>15090.690098117142</v>
      </c>
      <c r="DN64" s="416">
        <f>Detail!$L$101*DN127</f>
        <v>15115.841248280674</v>
      </c>
      <c r="DO64" s="416">
        <f>Detail!$L$101*DO127</f>
        <v>15141.034317027807</v>
      </c>
      <c r="DP64" s="416">
        <f>Detail!$L$101*DP127</f>
        <v>15166.269374222857</v>
      </c>
      <c r="DQ64" s="416">
        <f>Detail!$L$101*DQ127</f>
        <v>15191.546489846563</v>
      </c>
      <c r="DR64" s="416">
        <f>Detail!$L$101*DR127</f>
        <v>15216.865733996308</v>
      </c>
      <c r="DS64" s="416">
        <f>Detail!$L$101*DS127</f>
        <v>15242.227176886305</v>
      </c>
      <c r="DT64" s="416">
        <f>Detail!$L$101*DT127</f>
        <v>15267.630888847782</v>
      </c>
      <c r="DU64" s="416">
        <f>Detail!$L$101*DU127</f>
        <v>15293.076940329194</v>
      </c>
      <c r="DV64" s="416">
        <f>Detail!$L$101*DV127</f>
        <v>15318.565401896412</v>
      </c>
      <c r="DW64" s="416">
        <f>Detail!$L$101*DW127</f>
        <v>15344.096344232907</v>
      </c>
      <c r="DX64" s="416">
        <f>Detail!$L$101*DX127</f>
        <v>15369.669838139964</v>
      </c>
      <c r="DY64" s="416">
        <f>Detail!$L$101*DY127</f>
        <v>15395.285954536863</v>
      </c>
      <c r="DZ64" s="416">
        <f>Detail!$L$101*DZ127</f>
        <v>15420.944764461092</v>
      </c>
      <c r="EA64" s="416">
        <f>Detail!$L$101*EA127</f>
        <v>15446.646339068531</v>
      </c>
      <c r="EB64" s="416">
        <f>Detail!$L$101*EB127</f>
        <v>15472.390749633645</v>
      </c>
      <c r="EC64" s="416">
        <f>Detail!$L$101*EC127</f>
        <v>15498.178067549701</v>
      </c>
      <c r="ED64" s="416">
        <f>Detail!$L$101*ED127</f>
        <v>15524.008364328953</v>
      </c>
      <c r="EE64" s="416">
        <f>Detail!$L$101*EE127</f>
        <v>15549.881711602831</v>
      </c>
      <c r="EF64" s="416">
        <f>Detail!$L$101*EF127</f>
        <v>15575.798181122174</v>
      </c>
      <c r="EG64" s="416">
        <f>Detail!$L$101*EG127</f>
        <v>15601.757844757376</v>
      </c>
      <c r="EH64" s="416">
        <f>Detail!$L$101*EH127</f>
        <v>15627.760774498644</v>
      </c>
      <c r="EI64" s="416">
        <f>Detail!$L$101*EI127</f>
        <v>15653.807042456143</v>
      </c>
      <c r="EJ64" s="416">
        <f>Detail!$L$101*EJ127</f>
        <v>15679.896720860237</v>
      </c>
      <c r="EK64" s="416">
        <f>Detail!$L$101*EK127</f>
        <v>15706.02988206167</v>
      </c>
      <c r="EL64" s="416">
        <f>Detail!$L$101*EL127</f>
        <v>15732.206598531773</v>
      </c>
      <c r="EM64" s="416">
        <f>Detail!$L$101*EM127</f>
        <v>15758.426942862663</v>
      </c>
      <c r="EN64" s="416">
        <f>Detail!$L$101*EN127</f>
        <v>15784.690987767433</v>
      </c>
      <c r="EO64" s="416">
        <f>Detail!$L$101*EO127</f>
        <v>15810.998806080379</v>
      </c>
      <c r="EP64" s="416">
        <f>Detail!$L$101*EP127</f>
        <v>15837.350470757181</v>
      </c>
      <c r="EQ64" s="416">
        <f>Detail!$L$101*EQ127</f>
        <v>15863.746054875113</v>
      </c>
      <c r="ER64" s="416">
        <f>Detail!$L$101*ER127</f>
        <v>15890.185631633238</v>
      </c>
      <c r="ES64" s="416">
        <f>Detail!$L$101*ES127</f>
        <v>15916.669274352627</v>
      </c>
      <c r="ET64" s="416">
        <f>Detail!$L$101*ET127</f>
        <v>15943.197056476551</v>
      </c>
      <c r="EU64" s="416">
        <f>Detail!$L$101*EU127</f>
        <v>15969.769051570678</v>
      </c>
      <c r="EV64" s="416">
        <f>Detail!$L$101*EV127</f>
        <v>15996.385333323296</v>
      </c>
      <c r="EW64" s="416">
        <f>Detail!$L$101*EW127</f>
        <v>16023.045975545507</v>
      </c>
      <c r="EX64" s="416">
        <f>Detail!$L$101*EX127</f>
        <v>16049.751052171414</v>
      </c>
      <c r="EY64" s="416">
        <f>Detail!$L$101*EY127</f>
        <v>16076.500637258368</v>
      </c>
      <c r="EZ64" s="416">
        <f>Detail!$L$101*EZ127</f>
        <v>16103.294804987134</v>
      </c>
      <c r="FA64" s="416">
        <f>Detail!$L$101*FA127</f>
        <v>16130.133629662112</v>
      </c>
      <c r="FB64" s="416">
        <f>Detail!$L$101*FB127</f>
        <v>16157.017185711553</v>
      </c>
      <c r="FC64" s="416">
        <f>Detail!$L$101*FC127</f>
        <v>16183.945547687737</v>
      </c>
      <c r="FD64" s="416">
        <f>Detail!$L$101*FD127</f>
        <v>16210.91879026722</v>
      </c>
      <c r="FE64" s="416">
        <f>Detail!$L$101*FE127</f>
        <v>16237.936988250996</v>
      </c>
      <c r="FF64" s="416">
        <f>Detail!$L$101*FF127</f>
        <v>16265.000216564749</v>
      </c>
      <c r="FG64" s="416">
        <f>Detail!$L$101*FG127</f>
        <v>16292.108550259029</v>
      </c>
      <c r="FH64" s="416">
        <f>Detail!$L$101*FH127</f>
        <v>16319.262064509458</v>
      </c>
      <c r="FI64" s="416">
        <f>Detail!$L$101*FI127</f>
        <v>16346.460834616975</v>
      </c>
      <c r="FJ64" s="416">
        <f>Detail!$L$101*FJ127</f>
        <v>16373.704936008007</v>
      </c>
      <c r="FK64" s="416">
        <f>Detail!$L$101*FK127</f>
        <v>16400.994444234686</v>
      </c>
      <c r="FL64" s="416">
        <f>Detail!$L$101*FL127</f>
        <v>16428.329434975079</v>
      </c>
      <c r="FM64" s="416">
        <f>Detail!$L$101*FM127</f>
        <v>16455.709984033372</v>
      </c>
      <c r="FN64" s="416">
        <f>Detail!$L$101*FN127</f>
        <v>16483.136167340097</v>
      </c>
      <c r="FO64" s="416">
        <f>Detail!$L$101*FO127</f>
        <v>16510.608060952331</v>
      </c>
      <c r="FP64" s="416">
        <f>Detail!$L$101*FP127</f>
        <v>16538.125741053922</v>
      </c>
      <c r="FQ64" s="416">
        <f>Detail!$L$101*FQ127</f>
        <v>16565.689283955675</v>
      </c>
      <c r="FR64" s="416">
        <f>Detail!$L$101*FR127</f>
        <v>16593.298766095606</v>
      </c>
      <c r="FS64" s="416">
        <f>Detail!$L$101*FS127</f>
        <v>16620.954264039097</v>
      </c>
      <c r="FT64" s="604">
        <f t="shared" si="107"/>
        <v>88541.25</v>
      </c>
      <c r="FU64" s="604">
        <f t="shared" si="107"/>
        <v>153439.42822476031</v>
      </c>
      <c r="FV64" s="604">
        <f t="shared" si="107"/>
        <v>156536.50421961516</v>
      </c>
      <c r="FW64" s="604">
        <f t="shared" si="107"/>
        <v>159696.09269792287</v>
      </c>
      <c r="FX64" s="604">
        <f t="shared" si="107"/>
        <v>162919.45543388388</v>
      </c>
    </row>
    <row r="65" spans="1:182" ht="12" customHeight="1" outlineLevel="1">
      <c r="B65" s="574" t="s">
        <v>34</v>
      </c>
      <c r="C65" s="575"/>
      <c r="D65" s="604"/>
      <c r="E65" s="416">
        <f>Detail!$L$104*E127</f>
        <v>11400</v>
      </c>
      <c r="F65" s="416">
        <f>Detail!$L$104*F127</f>
        <v>11400</v>
      </c>
      <c r="G65" s="416">
        <f>Detail!$L$104*G127</f>
        <v>11400</v>
      </c>
      <c r="H65" s="416">
        <f>Detail!$L$104*H127</f>
        <v>11400</v>
      </c>
      <c r="I65" s="416">
        <f>Detail!$L$104*I127</f>
        <v>11400</v>
      </c>
      <c r="J65" s="416">
        <f>Detail!$L$104*J127</f>
        <v>11400</v>
      </c>
      <c r="K65" s="416">
        <f>Detail!$L$104*K127</f>
        <v>11400</v>
      </c>
      <c r="L65" s="416">
        <f>Detail!$L$104*L127</f>
        <v>11419</v>
      </c>
      <c r="M65" s="416">
        <f>Detail!$L$104*M127</f>
        <v>11438.031666666668</v>
      </c>
      <c r="N65" s="416">
        <f>Detail!$L$104*N127</f>
        <v>11457.095052777779</v>
      </c>
      <c r="O65" s="416">
        <f>Detail!$L$104*O127</f>
        <v>11476.190211199077</v>
      </c>
      <c r="P65" s="416">
        <f>Detail!$L$104*P127</f>
        <v>11495.317194884408</v>
      </c>
      <c r="Q65" s="416">
        <f>Detail!$L$104*Q127</f>
        <v>11514.476056875883</v>
      </c>
      <c r="R65" s="416">
        <f>Detail!$L$104*R127</f>
        <v>11533.666850304011</v>
      </c>
      <c r="S65" s="416">
        <f>Detail!$L$104*S127</f>
        <v>11552.889628387853</v>
      </c>
      <c r="T65" s="416">
        <f>Detail!$L$104*T127</f>
        <v>11572.144444435165</v>
      </c>
      <c r="U65" s="416">
        <f>Detail!$L$104*U127</f>
        <v>11591.431351842559</v>
      </c>
      <c r="V65" s="416">
        <f>Detail!$L$104*V127</f>
        <v>11610.75040409563</v>
      </c>
      <c r="W65" s="416">
        <f>Detail!$L$104*W127</f>
        <v>11630.101654769123</v>
      </c>
      <c r="X65" s="416">
        <f>Detail!$L$104*X127</f>
        <v>11649.485157527071</v>
      </c>
      <c r="Y65" s="416">
        <f>Detail!$L$104*Y127</f>
        <v>11668.900966122952</v>
      </c>
      <c r="Z65" s="416">
        <f>Detail!$L$104*Z127</f>
        <v>11688.349134399825</v>
      </c>
      <c r="AA65" s="416">
        <f>Detail!$L$104*AA127</f>
        <v>11707.829716290493</v>
      </c>
      <c r="AB65" s="416">
        <f>Detail!$L$104*AB127</f>
        <v>11727.342765817642</v>
      </c>
      <c r="AC65" s="416">
        <f>Detail!$L$104*AC127</f>
        <v>11746.888337094006</v>
      </c>
      <c r="AD65" s="416">
        <f>Detail!$L$104*AD127</f>
        <v>11766.466484322498</v>
      </c>
      <c r="AE65" s="416">
        <f>Detail!$L$104*AE127</f>
        <v>11786.077261796368</v>
      </c>
      <c r="AF65" s="416">
        <f>Detail!$L$104*AF127</f>
        <v>11805.720723899365</v>
      </c>
      <c r="AG65" s="416">
        <f>Detail!$L$104*AG127</f>
        <v>11825.396925105862</v>
      </c>
      <c r="AH65" s="416">
        <f>Detail!$L$104*AH127</f>
        <v>11845.105919981041</v>
      </c>
      <c r="AI65" s="416">
        <f>Detail!$L$104*AI127</f>
        <v>11864.847763181013</v>
      </c>
      <c r="AJ65" s="416">
        <f>Detail!$L$104*AJ127</f>
        <v>11884.622509452978</v>
      </c>
      <c r="AK65" s="416">
        <f>Detail!$L$104*AK127</f>
        <v>11904.430213635402</v>
      </c>
      <c r="AL65" s="416">
        <f>Detail!$L$104*AL127</f>
        <v>11924.270930658127</v>
      </c>
      <c r="AM65" s="416">
        <f>Detail!$L$104*AM127</f>
        <v>11944.144715542559</v>
      </c>
      <c r="AN65" s="416">
        <f>Detail!$L$104*AN127</f>
        <v>11964.051623401798</v>
      </c>
      <c r="AO65" s="416">
        <f>Detail!$L$104*AO127</f>
        <v>11983.991709440801</v>
      </c>
      <c r="AP65" s="416">
        <f>Detail!$L$104*AP127</f>
        <v>12003.965028956538</v>
      </c>
      <c r="AQ65" s="416">
        <f>Detail!$L$104*AQ127</f>
        <v>12023.971637338134</v>
      </c>
      <c r="AR65" s="416">
        <f>Detail!$L$104*AR127</f>
        <v>12044.011590067032</v>
      </c>
      <c r="AS65" s="416">
        <f>Detail!$L$104*AS127</f>
        <v>12064.084942717143</v>
      </c>
      <c r="AT65" s="416">
        <f>Detail!$L$104*AT127</f>
        <v>12084.191750955006</v>
      </c>
      <c r="AU65" s="416">
        <f>Detail!$L$104*AU127</f>
        <v>12104.332070539931</v>
      </c>
      <c r="AV65" s="416">
        <f>Detail!$L$104*AV127</f>
        <v>12124.505957324165</v>
      </c>
      <c r="AW65" s="416">
        <f>Detail!$L$104*AW127</f>
        <v>12144.713467253039</v>
      </c>
      <c r="AX65" s="416">
        <f>Detail!$L$104*AX127</f>
        <v>12164.954656365129</v>
      </c>
      <c r="AY65" s="416">
        <f>Detail!$L$104*AY127</f>
        <v>12185.229580792407</v>
      </c>
      <c r="AZ65" s="416">
        <f>Detail!$L$104*AZ127</f>
        <v>12205.538296760393</v>
      </c>
      <c r="BA65" s="416">
        <f>Detail!$L$104*BA127</f>
        <v>12225.880860588328</v>
      </c>
      <c r="BB65" s="416">
        <f>Detail!$L$104*BB127</f>
        <v>12246.257328689309</v>
      </c>
      <c r="BC65" s="416">
        <f>Detail!$L$104*BC127</f>
        <v>12266.667757570458</v>
      </c>
      <c r="BD65" s="416">
        <f>Detail!$L$104*BD127</f>
        <v>12287.112203833078</v>
      </c>
      <c r="BE65" s="416">
        <f>Detail!$L$104*BE127</f>
        <v>12307.5907241728</v>
      </c>
      <c r="BF65" s="416">
        <f>Detail!$L$104*BF127</f>
        <v>12328.103375379756</v>
      </c>
      <c r="BG65" s="416">
        <f>Detail!$L$104*BG127</f>
        <v>12348.650214338724</v>
      </c>
      <c r="BH65" s="416">
        <f>Detail!$L$104*BH127</f>
        <v>12369.231298029288</v>
      </c>
      <c r="BI65" s="416">
        <f>Detail!$L$104*BI127</f>
        <v>12389.846683526004</v>
      </c>
      <c r="BJ65" s="416">
        <f>Detail!$L$104*BJ127</f>
        <v>12410.496427998549</v>
      </c>
      <c r="BK65" s="416">
        <f>Detail!$L$104*BK127</f>
        <v>12431.180588711879</v>
      </c>
      <c r="BL65" s="416">
        <f>Detail!$L$104*BL127</f>
        <v>12451.899223026401</v>
      </c>
      <c r="BM65" s="416">
        <f>Detail!$L$104*BM127</f>
        <v>12472.652388398114</v>
      </c>
      <c r="BN65" s="416">
        <f>Detail!$L$104*BN127</f>
        <v>12493.440142378777</v>
      </c>
      <c r="BO65" s="416">
        <f>Detail!$L$104*BO127</f>
        <v>12514.262542616078</v>
      </c>
      <c r="BP65" s="416">
        <f>Detail!$L$104*BP127</f>
        <v>12535.119646853771</v>
      </c>
      <c r="BQ65" s="416">
        <f>Detail!$L$104*BQ127</f>
        <v>12556.01151293186</v>
      </c>
      <c r="BR65" s="416">
        <f>Detail!$L$104*BR127</f>
        <v>12576.938198786747</v>
      </c>
      <c r="BS65" s="416">
        <f>Detail!$L$104*BS127</f>
        <v>12597.899762451392</v>
      </c>
      <c r="BT65" s="416">
        <f>Detail!$L$104*BT127</f>
        <v>12618.896262055479</v>
      </c>
      <c r="BU65" s="416">
        <f>Detail!$L$104*BU127</f>
        <v>12639.927755825573</v>
      </c>
      <c r="BV65" s="416">
        <f>Detail!$L$104*BV127</f>
        <v>12660.994302085284</v>
      </c>
      <c r="BW65" s="416">
        <f>Detail!$L$104*BW127</f>
        <v>12682.095959255426</v>
      </c>
      <c r="BX65" s="416">
        <f>Detail!$L$104*BX127</f>
        <v>12703.232785854188</v>
      </c>
      <c r="BY65" s="416">
        <f>Detail!$L$104*BY127</f>
        <v>12724.404840497276</v>
      </c>
      <c r="BZ65" s="416">
        <f>Detail!$L$104*BZ127</f>
        <v>12745.612181898106</v>
      </c>
      <c r="CA65" s="416">
        <f>Detail!$L$104*CA127</f>
        <v>12766.854868867938</v>
      </c>
      <c r="CB65" s="416">
        <f>Detail!$L$104*CB127</f>
        <v>12788.13296031605</v>
      </c>
      <c r="CC65" s="416">
        <f>Detail!$L$104*CC127</f>
        <v>12809.446515249911</v>
      </c>
      <c r="CD65" s="416">
        <f>Detail!$L$104*CD127</f>
        <v>12830.795592775328</v>
      </c>
      <c r="CE65" s="416">
        <f>Detail!$L$104*CE127</f>
        <v>12852.180252096623</v>
      </c>
      <c r="CF65" s="416">
        <f>Detail!$L$104*CF127</f>
        <v>12873.600552516784</v>
      </c>
      <c r="CG65" s="416">
        <f>Detail!$L$104*CG127</f>
        <v>12895.056553437647</v>
      </c>
      <c r="CH65" s="416">
        <f>Detail!$L$104*CH127</f>
        <v>12916.548314360045</v>
      </c>
      <c r="CI65" s="416">
        <f>Detail!$L$104*CI127</f>
        <v>12938.075894883978</v>
      </c>
      <c r="CJ65" s="416">
        <f>Detail!$L$104*CJ127</f>
        <v>12959.639354708786</v>
      </c>
      <c r="CK65" s="416">
        <f>Detail!$L$104*CK127</f>
        <v>12981.238753633303</v>
      </c>
      <c r="CL65" s="416">
        <f>Detail!$L$104*CL127</f>
        <v>13002.874151556023</v>
      </c>
      <c r="CM65" s="416">
        <f>Detail!$L$104*CM127</f>
        <v>13024.545608475286</v>
      </c>
      <c r="CN65" s="416">
        <f>Detail!$L$104*CN127</f>
        <v>13046.253184489411</v>
      </c>
      <c r="CO65" s="416">
        <f>Detail!$L$104*CO127</f>
        <v>13067.996939796894</v>
      </c>
      <c r="CP65" s="416">
        <f>Detail!$L$104*CP127</f>
        <v>13089.776934696558</v>
      </c>
      <c r="CQ65" s="416">
        <f>Detail!$L$104*CQ127</f>
        <v>13111.593229587719</v>
      </c>
      <c r="CR65" s="416">
        <f>Detail!$L$104*CR127</f>
        <v>13133.44588497037</v>
      </c>
      <c r="CS65" s="416">
        <f>Detail!$L$104*CS127</f>
        <v>13155.334961445316</v>
      </c>
      <c r="CT65" s="416">
        <f>Detail!$L$104*CT127</f>
        <v>13177.260519714395</v>
      </c>
      <c r="CU65" s="416">
        <f>Detail!$L$104*CU127</f>
        <v>13199.222620580589</v>
      </c>
      <c r="CV65" s="416">
        <f>Detail!$L$104*CV127</f>
        <v>13221.221324948221</v>
      </c>
      <c r="CW65" s="416">
        <f>Detail!$L$104*CW127</f>
        <v>13243.256693823134</v>
      </c>
      <c r="CX65" s="416">
        <f>Detail!$L$104*CX127</f>
        <v>13265.328788312841</v>
      </c>
      <c r="CY65" s="416">
        <f>Detail!$L$104*CY127</f>
        <v>13287.437669626699</v>
      </c>
      <c r="CZ65" s="416">
        <f>Detail!$L$104*CZ127</f>
        <v>13309.583399076078</v>
      </c>
      <c r="DA65" s="416">
        <f>Detail!$L$104*DA127</f>
        <v>13331.766038074536</v>
      </c>
      <c r="DB65" s="416">
        <f>Detail!$L$104*DB127</f>
        <v>13353.985648137996</v>
      </c>
      <c r="DC65" s="416">
        <f>Detail!$L$104*DC127</f>
        <v>13376.242290884897</v>
      </c>
      <c r="DD65" s="416">
        <f>Detail!$L$104*DD127</f>
        <v>13398.536028036371</v>
      </c>
      <c r="DE65" s="416">
        <f>Detail!$L$104*DE127</f>
        <v>13420.866921416431</v>
      </c>
      <c r="DF65" s="416">
        <f>Detail!$L$104*DF127</f>
        <v>13443.235032952127</v>
      </c>
      <c r="DG65" s="416">
        <f>Detail!$L$104*DG127</f>
        <v>13465.640424673715</v>
      </c>
      <c r="DH65" s="416">
        <f>Detail!$L$104*DH127</f>
        <v>13488.083158714839</v>
      </c>
      <c r="DI65" s="416">
        <f>Detail!$L$104*DI127</f>
        <v>13510.563297312696</v>
      </c>
      <c r="DJ65" s="416">
        <f>Detail!$L$104*DJ127</f>
        <v>13533.080902808219</v>
      </c>
      <c r="DK65" s="416">
        <f>Detail!$L$104*DK127</f>
        <v>13555.636037646234</v>
      </c>
      <c r="DL65" s="416">
        <f>Detail!$L$104*DL127</f>
        <v>13578.228764375644</v>
      </c>
      <c r="DM65" s="416">
        <f>Detail!$L$104*DM127</f>
        <v>13600.859145649603</v>
      </c>
      <c r="DN65" s="416">
        <f>Detail!$L$104*DN127</f>
        <v>13623.527244225688</v>
      </c>
      <c r="DO65" s="416">
        <f>Detail!$L$104*DO127</f>
        <v>13646.233122966063</v>
      </c>
      <c r="DP65" s="416">
        <f>Detail!$L$104*DP127</f>
        <v>13668.976844837676</v>
      </c>
      <c r="DQ65" s="416">
        <f>Detail!$L$104*DQ127</f>
        <v>13691.758472912408</v>
      </c>
      <c r="DR65" s="416">
        <f>Detail!$L$104*DR127</f>
        <v>13714.578070367263</v>
      </c>
      <c r="DS65" s="416">
        <f>Detail!$L$104*DS127</f>
        <v>13737.435700484542</v>
      </c>
      <c r="DT65" s="416">
        <f>Detail!$L$104*DT127</f>
        <v>13760.331426652017</v>
      </c>
      <c r="DU65" s="416">
        <f>Detail!$L$104*DU127</f>
        <v>13783.265312363104</v>
      </c>
      <c r="DV65" s="416">
        <f>Detail!$L$104*DV127</f>
        <v>13806.237421217045</v>
      </c>
      <c r="DW65" s="416">
        <f>Detail!$L$104*DW127</f>
        <v>13829.247816919074</v>
      </c>
      <c r="DX65" s="416">
        <f>Detail!$L$104*DX127</f>
        <v>13852.296563280608</v>
      </c>
      <c r="DY65" s="416">
        <f>Detail!$L$104*DY127</f>
        <v>13875.383724219408</v>
      </c>
      <c r="DZ65" s="416">
        <f>Detail!$L$104*DZ127</f>
        <v>13898.509363759775</v>
      </c>
      <c r="EA65" s="416">
        <f>Detail!$L$104*EA127</f>
        <v>13921.673546032711</v>
      </c>
      <c r="EB65" s="416">
        <f>Detail!$L$104*EB127</f>
        <v>13944.876335276098</v>
      </c>
      <c r="EC65" s="416">
        <f>Detail!$L$104*EC127</f>
        <v>13968.117795834893</v>
      </c>
      <c r="ED65" s="416">
        <f>Detail!$L$104*ED127</f>
        <v>13991.397992161286</v>
      </c>
      <c r="EE65" s="416">
        <f>Detail!$L$104*EE127</f>
        <v>14014.716988814886</v>
      </c>
      <c r="EF65" s="416">
        <f>Detail!$L$104*EF127</f>
        <v>14038.074850462914</v>
      </c>
      <c r="EG65" s="416">
        <f>Detail!$L$104*EG127</f>
        <v>14061.471641880351</v>
      </c>
      <c r="EH65" s="416">
        <f>Detail!$L$104*EH127</f>
        <v>14084.907427950156</v>
      </c>
      <c r="EI65" s="416">
        <f>Detail!$L$104*EI127</f>
        <v>14108.382273663407</v>
      </c>
      <c r="EJ65" s="416">
        <f>Detail!$L$104*EJ127</f>
        <v>14131.896244119514</v>
      </c>
      <c r="EK65" s="416">
        <f>Detail!$L$104*EK127</f>
        <v>14155.44940452638</v>
      </c>
      <c r="EL65" s="416">
        <f>Detail!$L$104*EL127</f>
        <v>14179.041820200591</v>
      </c>
      <c r="EM65" s="416">
        <f>Detail!$L$104*EM127</f>
        <v>14202.673556567595</v>
      </c>
      <c r="EN65" s="416">
        <f>Detail!$L$104*EN127</f>
        <v>14226.344679161872</v>
      </c>
      <c r="EO65" s="416">
        <f>Detail!$L$104*EO127</f>
        <v>14250.055253627143</v>
      </c>
      <c r="EP65" s="416">
        <f>Detail!$L$104*EP127</f>
        <v>14273.805345716522</v>
      </c>
      <c r="EQ65" s="416">
        <f>Detail!$L$104*EQ127</f>
        <v>14297.59502129272</v>
      </c>
      <c r="ER65" s="416">
        <f>Detail!$L$104*ER127</f>
        <v>14321.424346328207</v>
      </c>
      <c r="ES65" s="416">
        <f>Detail!$L$104*ES127</f>
        <v>14345.293386905421</v>
      </c>
      <c r="ET65" s="416">
        <f>Detail!$L$104*ET127</f>
        <v>14369.202209216934</v>
      </c>
      <c r="EU65" s="416">
        <f>Detail!$L$104*EU127</f>
        <v>14393.150879565626</v>
      </c>
      <c r="EV65" s="416">
        <f>Detail!$L$104*EV127</f>
        <v>14417.139464364904</v>
      </c>
      <c r="EW65" s="416">
        <f>Detail!$L$104*EW127</f>
        <v>14441.16803013885</v>
      </c>
      <c r="EX65" s="416">
        <f>Detail!$L$104*EX127</f>
        <v>14465.236643522412</v>
      </c>
      <c r="EY65" s="416">
        <f>Detail!$L$104*EY127</f>
        <v>14489.345371261619</v>
      </c>
      <c r="EZ65" s="416">
        <f>Detail!$L$104*EZ127</f>
        <v>14513.494280213723</v>
      </c>
      <c r="FA65" s="416">
        <f>Detail!$L$104*FA127</f>
        <v>14537.683437347412</v>
      </c>
      <c r="FB65" s="416">
        <f>Detail!$L$104*FB127</f>
        <v>14561.912909742994</v>
      </c>
      <c r="FC65" s="416">
        <f>Detail!$L$104*FC127</f>
        <v>14586.182764592564</v>
      </c>
      <c r="FD65" s="416">
        <f>Detail!$L$104*FD127</f>
        <v>14610.493069200222</v>
      </c>
      <c r="FE65" s="416">
        <f>Detail!$L$104*FE127</f>
        <v>14634.84389098222</v>
      </c>
      <c r="FF65" s="416">
        <f>Detail!$L$104*FF127</f>
        <v>14659.235297467192</v>
      </c>
      <c r="FG65" s="416">
        <f>Detail!$L$104*FG127</f>
        <v>14683.667356296308</v>
      </c>
      <c r="FH65" s="416">
        <f>Detail!$L$104*FH127</f>
        <v>14708.140135223466</v>
      </c>
      <c r="FI65" s="416">
        <f>Detail!$L$104*FI127</f>
        <v>14732.653702115507</v>
      </c>
      <c r="FJ65" s="416">
        <f>Detail!$L$104*FJ127</f>
        <v>14757.208124952369</v>
      </c>
      <c r="FK65" s="416">
        <f>Detail!$L$104*FK127</f>
        <v>14781.803471827288</v>
      </c>
      <c r="FL65" s="416">
        <f>Detail!$L$104*FL127</f>
        <v>14806.439810947004</v>
      </c>
      <c r="FM65" s="416">
        <f>Detail!$L$104*FM127</f>
        <v>14831.117210631914</v>
      </c>
      <c r="FN65" s="416">
        <f>Detail!$L$104*FN127</f>
        <v>14855.835739316304</v>
      </c>
      <c r="FO65" s="416">
        <f>Detail!$L$104*FO127</f>
        <v>14880.595465548498</v>
      </c>
      <c r="FP65" s="416">
        <f>Detail!$L$104*FP127</f>
        <v>14905.396457991083</v>
      </c>
      <c r="FQ65" s="416">
        <f>Detail!$L$104*FQ127</f>
        <v>14930.238785421066</v>
      </c>
      <c r="FR65" s="416">
        <f>Detail!$L$104*FR127</f>
        <v>14955.122516730104</v>
      </c>
      <c r="FS65" s="416">
        <f>Detail!$L$104*FS127</f>
        <v>14980.047720924655</v>
      </c>
      <c r="FT65" s="604">
        <f t="shared" si="107"/>
        <v>79800</v>
      </c>
      <c r="FU65" s="604">
        <f t="shared" si="107"/>
        <v>138291.09451623817</v>
      </c>
      <c r="FV65" s="604">
        <f t="shared" si="107"/>
        <v>141082.41115553814</v>
      </c>
      <c r="FW65" s="604">
        <f t="shared" si="107"/>
        <v>143930.06872270547</v>
      </c>
      <c r="FX65" s="604">
        <f t="shared" si="107"/>
        <v>146835.2044230676</v>
      </c>
    </row>
    <row r="66" spans="1:182" ht="12" customHeight="1" outlineLevel="1">
      <c r="B66" s="574" t="s">
        <v>35</v>
      </c>
      <c r="C66" s="575"/>
      <c r="D66" s="604"/>
      <c r="E66" s="416">
        <f>Detail!$L$100*E127</f>
        <v>2511.6666666666665</v>
      </c>
      <c r="F66" s="416">
        <f>Detail!$L$100*F127</f>
        <v>2511.6666666666665</v>
      </c>
      <c r="G66" s="416">
        <f>Detail!$L$100*G127</f>
        <v>2511.6666666666665</v>
      </c>
      <c r="H66" s="416">
        <f>Detail!$L$100*H127</f>
        <v>2511.6666666666665</v>
      </c>
      <c r="I66" s="416">
        <f>Detail!$L$100*I127</f>
        <v>2511.6666666666665</v>
      </c>
      <c r="J66" s="416">
        <f>Detail!$L$100*J127</f>
        <v>2511.6666666666665</v>
      </c>
      <c r="K66" s="416">
        <f>Detail!$L$100*K127</f>
        <v>2511.6666666666665</v>
      </c>
      <c r="L66" s="416">
        <f>Detail!$L$100*L127</f>
        <v>2515.8527777777776</v>
      </c>
      <c r="M66" s="416">
        <f>Detail!$L$100*M127</f>
        <v>2520.0458657407407</v>
      </c>
      <c r="N66" s="416">
        <f>Detail!$L$100*N127</f>
        <v>2524.245942183642</v>
      </c>
      <c r="O66" s="416">
        <f>Detail!$L$100*O127</f>
        <v>2528.4530187539485</v>
      </c>
      <c r="P66" s="416">
        <f>Detail!$L$100*P127</f>
        <v>2532.6671071185383</v>
      </c>
      <c r="Q66" s="416">
        <f>Detail!$L$100*Q127</f>
        <v>2536.8882189637361</v>
      </c>
      <c r="R66" s="416">
        <f>Detail!$L$100*R127</f>
        <v>2541.1163659953422</v>
      </c>
      <c r="S66" s="416">
        <f>Detail!$L$100*S127</f>
        <v>2545.3515599386687</v>
      </c>
      <c r="T66" s="416">
        <f>Detail!$L$100*T127</f>
        <v>2549.593812538566</v>
      </c>
      <c r="U66" s="416">
        <f>Detail!$L$100*U127</f>
        <v>2553.8431355594639</v>
      </c>
      <c r="V66" s="416">
        <f>Detail!$L$100*V127</f>
        <v>2558.0995407853966</v>
      </c>
      <c r="W66" s="416">
        <f>Detail!$L$100*W127</f>
        <v>2562.3630400200391</v>
      </c>
      <c r="X66" s="416">
        <f>Detail!$L$100*X127</f>
        <v>2566.6336450867393</v>
      </c>
      <c r="Y66" s="416">
        <f>Detail!$L$100*Y127</f>
        <v>2570.9113678285507</v>
      </c>
      <c r="Z66" s="416">
        <f>Detail!$L$100*Z127</f>
        <v>2575.1962201082652</v>
      </c>
      <c r="AA66" s="416">
        <f>Detail!$L$100*AA127</f>
        <v>2579.4882138084463</v>
      </c>
      <c r="AB66" s="416">
        <f>Detail!$L$100*AB127</f>
        <v>2583.7873608314603</v>
      </c>
      <c r="AC66" s="416">
        <f>Detail!$L$100*AC127</f>
        <v>2588.0936730995127</v>
      </c>
      <c r="AD66" s="416">
        <f>Detail!$L$100*AD127</f>
        <v>2592.407162554679</v>
      </c>
      <c r="AE66" s="416">
        <f>Detail!$L$100*AE127</f>
        <v>2596.7278411589368</v>
      </c>
      <c r="AF66" s="416">
        <f>Detail!$L$100*AF127</f>
        <v>2601.0557208942018</v>
      </c>
      <c r="AG66" s="416">
        <f>Detail!$L$100*AG127</f>
        <v>2605.3908137623589</v>
      </c>
      <c r="AH66" s="416">
        <f>Detail!$L$100*AH127</f>
        <v>2609.7331317852963</v>
      </c>
      <c r="AI66" s="416">
        <f>Detail!$L$100*AI127</f>
        <v>2614.0826870049391</v>
      </c>
      <c r="AJ66" s="416">
        <f>Detail!$L$100*AJ127</f>
        <v>2618.4394914832801</v>
      </c>
      <c r="AK66" s="416">
        <f>Detail!$L$100*AK127</f>
        <v>2622.8035573024194</v>
      </c>
      <c r="AL66" s="416">
        <f>Detail!$L$100*AL127</f>
        <v>2627.1748965645902</v>
      </c>
      <c r="AM66" s="416">
        <f>Detail!$L$100*AM127</f>
        <v>2631.553521392198</v>
      </c>
      <c r="AN66" s="416">
        <f>Detail!$L$100*AN127</f>
        <v>2635.9394439278522</v>
      </c>
      <c r="AO66" s="416">
        <f>Detail!$L$100*AO127</f>
        <v>2640.3326763343985</v>
      </c>
      <c r="AP66" s="416">
        <f>Detail!$L$100*AP127</f>
        <v>2644.7332307949564</v>
      </c>
      <c r="AQ66" s="416">
        <f>Detail!$L$100*AQ127</f>
        <v>2649.1411195129481</v>
      </c>
      <c r="AR66" s="416">
        <f>Detail!$L$100*AR127</f>
        <v>2653.5563547121369</v>
      </c>
      <c r="AS66" s="416">
        <f>Detail!$L$100*AS127</f>
        <v>2657.9789486366567</v>
      </c>
      <c r="AT66" s="416">
        <f>Detail!$L$100*AT127</f>
        <v>2662.4089135510517</v>
      </c>
      <c r="AU66" s="416">
        <f>Detail!$L$100*AU127</f>
        <v>2666.8462617403034</v>
      </c>
      <c r="AV66" s="416">
        <f>Detail!$L$100*AV127</f>
        <v>2671.291005509871</v>
      </c>
      <c r="AW66" s="416">
        <f>Detail!$L$100*AW127</f>
        <v>2675.7431571857205</v>
      </c>
      <c r="AX66" s="416">
        <f>Detail!$L$100*AX127</f>
        <v>2680.202729114364</v>
      </c>
      <c r="AY66" s="416">
        <f>Detail!$L$100*AY127</f>
        <v>2684.6697336628886</v>
      </c>
      <c r="AZ66" s="416">
        <f>Detail!$L$100*AZ127</f>
        <v>2689.1441832189926</v>
      </c>
      <c r="BA66" s="416">
        <f>Detail!$L$100*BA127</f>
        <v>2693.6260901910246</v>
      </c>
      <c r="BB66" s="416">
        <f>Detail!$L$100*BB127</f>
        <v>2698.11546700801</v>
      </c>
      <c r="BC66" s="416">
        <f>Detail!$L$100*BC127</f>
        <v>2702.6123261196899</v>
      </c>
      <c r="BD66" s="416">
        <f>Detail!$L$100*BD127</f>
        <v>2707.1166799965567</v>
      </c>
      <c r="BE66" s="416">
        <f>Detail!$L$100*BE127</f>
        <v>2711.6285411298841</v>
      </c>
      <c r="BF66" s="416">
        <f>Detail!$L$100*BF127</f>
        <v>2716.1479220317678</v>
      </c>
      <c r="BG66" s="416">
        <f>Detail!$L$100*BG127</f>
        <v>2720.6748352351547</v>
      </c>
      <c r="BH66" s="416">
        <f>Detail!$L$100*BH127</f>
        <v>2725.2092932938795</v>
      </c>
      <c r="BI66" s="416">
        <f>Detail!$L$100*BI127</f>
        <v>2729.7513087827028</v>
      </c>
      <c r="BJ66" s="416">
        <f>Detail!$L$100*BJ127</f>
        <v>2734.3008942973411</v>
      </c>
      <c r="BK66" s="416">
        <f>Detail!$L$100*BK127</f>
        <v>2738.8580624545029</v>
      </c>
      <c r="BL66" s="416">
        <f>Detail!$L$100*BL127</f>
        <v>2743.4228258919279</v>
      </c>
      <c r="BM66" s="416">
        <f>Detail!$L$100*BM127</f>
        <v>2747.9951972684144</v>
      </c>
      <c r="BN66" s="416">
        <f>Detail!$L$100*BN127</f>
        <v>2752.5751892638618</v>
      </c>
      <c r="BO66" s="416">
        <f>Detail!$L$100*BO127</f>
        <v>2757.1628145793024</v>
      </c>
      <c r="BP66" s="416">
        <f>Detail!$L$100*BP127</f>
        <v>2761.7580859369341</v>
      </c>
      <c r="BQ66" s="416">
        <f>Detail!$L$100*BQ127</f>
        <v>2766.3610160801627</v>
      </c>
      <c r="BR66" s="416">
        <f>Detail!$L$100*BR127</f>
        <v>2770.9716177736295</v>
      </c>
      <c r="BS66" s="416">
        <f>Detail!$L$100*BS127</f>
        <v>2775.5899038032526</v>
      </c>
      <c r="BT66" s="416">
        <f>Detail!$L$100*BT127</f>
        <v>2780.2158869762584</v>
      </c>
      <c r="BU66" s="416">
        <f>Detail!$L$100*BU127</f>
        <v>2784.8495801212189</v>
      </c>
      <c r="BV66" s="416">
        <f>Detail!$L$100*BV127</f>
        <v>2789.4909960880882</v>
      </c>
      <c r="BW66" s="416">
        <f>Detail!$L$100*BW127</f>
        <v>2794.140147748235</v>
      </c>
      <c r="BX66" s="416">
        <f>Detail!$L$100*BX127</f>
        <v>2798.7970479944825</v>
      </c>
      <c r="BY66" s="416">
        <f>Detail!$L$100*BY127</f>
        <v>2803.4617097411397</v>
      </c>
      <c r="BZ66" s="416">
        <f>Detail!$L$100*BZ127</f>
        <v>2808.1341459240416</v>
      </c>
      <c r="CA66" s="416">
        <f>Detail!$L$100*CA127</f>
        <v>2812.814369500582</v>
      </c>
      <c r="CB66" s="416">
        <f>Detail!$L$100*CB127</f>
        <v>2817.5023934497499</v>
      </c>
      <c r="CC66" s="416">
        <f>Detail!$L$100*CC127</f>
        <v>2822.198230772166</v>
      </c>
      <c r="CD66" s="416">
        <f>Detail!$L$100*CD127</f>
        <v>2826.9018944901195</v>
      </c>
      <c r="CE66" s="416">
        <f>Detail!$L$100*CE127</f>
        <v>2831.613397647604</v>
      </c>
      <c r="CF66" s="416">
        <f>Detail!$L$100*CF127</f>
        <v>2836.3327533103497</v>
      </c>
      <c r="CG66" s="416">
        <f>Detail!$L$100*CG127</f>
        <v>2841.0599745658674</v>
      </c>
      <c r="CH66" s="416">
        <f>Detail!$L$100*CH127</f>
        <v>2845.7950745234775</v>
      </c>
      <c r="CI66" s="416">
        <f>Detail!$L$100*CI127</f>
        <v>2850.5380663143501</v>
      </c>
      <c r="CJ66" s="416">
        <f>Detail!$L$100*CJ127</f>
        <v>2855.2889630915411</v>
      </c>
      <c r="CK66" s="416">
        <f>Detail!$L$100*CK127</f>
        <v>2860.0477780300271</v>
      </c>
      <c r="CL66" s="416">
        <f>Detail!$L$100*CL127</f>
        <v>2864.8145243267436</v>
      </c>
      <c r="CM66" s="416">
        <f>Detail!$L$100*CM127</f>
        <v>2869.5892152006222</v>
      </c>
      <c r="CN66" s="416">
        <f>Detail!$L$100*CN127</f>
        <v>2874.371863892623</v>
      </c>
      <c r="CO66" s="416">
        <f>Detail!$L$100*CO127</f>
        <v>2879.1624836657775</v>
      </c>
      <c r="CP66" s="416">
        <f>Detail!$L$100*CP127</f>
        <v>2883.9610878052208</v>
      </c>
      <c r="CQ66" s="416">
        <f>Detail!$L$100*CQ127</f>
        <v>2888.7676896182297</v>
      </c>
      <c r="CR66" s="416">
        <f>Detail!$L$100*CR127</f>
        <v>2893.5823024342608</v>
      </c>
      <c r="CS66" s="416">
        <f>Detail!$L$100*CS127</f>
        <v>2898.4049396049841</v>
      </c>
      <c r="CT66" s="416">
        <f>Detail!$L$100*CT127</f>
        <v>2903.2356145043263</v>
      </c>
      <c r="CU66" s="416">
        <f>Detail!$L$100*CU127</f>
        <v>2908.0743405285007</v>
      </c>
      <c r="CV66" s="416">
        <f>Detail!$L$100*CV127</f>
        <v>2912.9211310960477</v>
      </c>
      <c r="CW66" s="416">
        <f>Detail!$L$100*CW127</f>
        <v>2917.7759996478744</v>
      </c>
      <c r="CX66" s="416">
        <f>Detail!$L$100*CX127</f>
        <v>2922.6389596472882</v>
      </c>
      <c r="CY66" s="416">
        <f>Detail!$L$100*CY127</f>
        <v>2927.510024580034</v>
      </c>
      <c r="CZ66" s="416">
        <f>Detail!$L$100*CZ127</f>
        <v>2932.3892079543348</v>
      </c>
      <c r="DA66" s="416">
        <f>Detail!$L$100*DA127</f>
        <v>2937.2765233009245</v>
      </c>
      <c r="DB66" s="416">
        <f>Detail!$L$100*DB127</f>
        <v>2942.1719841730933</v>
      </c>
      <c r="DC66" s="416">
        <f>Detail!$L$100*DC127</f>
        <v>2947.0756041467162</v>
      </c>
      <c r="DD66" s="416">
        <f>Detail!$L$100*DD127</f>
        <v>2951.9873968202942</v>
      </c>
      <c r="DE66" s="416">
        <f>Detail!$L$100*DE127</f>
        <v>2956.9073758149943</v>
      </c>
      <c r="DF66" s="416">
        <f>Detail!$L$100*DF127</f>
        <v>2961.8355547746864</v>
      </c>
      <c r="DG66" s="416">
        <f>Detail!$L$100*DG127</f>
        <v>2966.7719473659777</v>
      </c>
      <c r="DH66" s="416">
        <f>Detail!$L$100*DH127</f>
        <v>2971.7165672782544</v>
      </c>
      <c r="DI66" s="416">
        <f>Detail!$L$100*DI127</f>
        <v>2976.6694282237177</v>
      </c>
      <c r="DJ66" s="416">
        <f>Detail!$L$100*DJ127</f>
        <v>2981.6305439374246</v>
      </c>
      <c r="DK66" s="416">
        <f>Detail!$L$100*DK127</f>
        <v>2986.5999281773211</v>
      </c>
      <c r="DL66" s="416">
        <f>Detail!$L$100*DL127</f>
        <v>2991.5775947242828</v>
      </c>
      <c r="DM66" s="416">
        <f>Detail!$L$100*DM127</f>
        <v>2996.5635573821564</v>
      </c>
      <c r="DN66" s="416">
        <f>Detail!$L$100*DN127</f>
        <v>3001.557829977794</v>
      </c>
      <c r="DO66" s="416">
        <f>Detail!$L$100*DO127</f>
        <v>3006.5604263610903</v>
      </c>
      <c r="DP66" s="416">
        <f>Detail!$L$100*DP127</f>
        <v>3011.5713604050261</v>
      </c>
      <c r="DQ66" s="416">
        <f>Detail!$L$100*DQ127</f>
        <v>3016.5906460057013</v>
      </c>
      <c r="DR66" s="416">
        <f>Detail!$L$100*DR127</f>
        <v>3021.6182970823779</v>
      </c>
      <c r="DS66" s="416">
        <f>Detail!$L$100*DS127</f>
        <v>3026.6543275775152</v>
      </c>
      <c r="DT66" s="416">
        <f>Detail!$L$100*DT127</f>
        <v>3031.6987514568114</v>
      </c>
      <c r="DU66" s="416">
        <f>Detail!$L$100*DU127</f>
        <v>3036.7515827092393</v>
      </c>
      <c r="DV66" s="416">
        <f>Detail!$L$100*DV127</f>
        <v>3041.8128353470888</v>
      </c>
      <c r="DW66" s="416">
        <f>Detail!$L$100*DW127</f>
        <v>3046.8825234060005</v>
      </c>
      <c r="DX66" s="416">
        <f>Detail!$L$100*DX127</f>
        <v>3051.9606609450111</v>
      </c>
      <c r="DY66" s="416">
        <f>Detail!$L$100*DY127</f>
        <v>3057.0472620465857</v>
      </c>
      <c r="DZ66" s="416">
        <f>Detail!$L$100*DZ127</f>
        <v>3062.1423408166634</v>
      </c>
      <c r="EA66" s="416">
        <f>Detail!$L$100*EA127</f>
        <v>3067.2459113846921</v>
      </c>
      <c r="EB66" s="416">
        <f>Detail!$L$100*EB127</f>
        <v>3072.3579879036665</v>
      </c>
      <c r="EC66" s="416">
        <f>Detail!$L$100*EC127</f>
        <v>3077.4785845501729</v>
      </c>
      <c r="ED66" s="416">
        <f>Detail!$L$100*ED127</f>
        <v>3082.6077155244234</v>
      </c>
      <c r="EE66" s="416">
        <f>Detail!$L$100*EE127</f>
        <v>3087.7453950502968</v>
      </c>
      <c r="EF66" s="416">
        <f>Detail!$L$100*EF127</f>
        <v>3092.8916373753818</v>
      </c>
      <c r="EG66" s="416">
        <f>Detail!$L$100*EG127</f>
        <v>3098.0464567710069</v>
      </c>
      <c r="EH66" s="416">
        <f>Detail!$L$100*EH127</f>
        <v>3103.2098675322932</v>
      </c>
      <c r="EI66" s="416">
        <f>Detail!$L$100*EI127</f>
        <v>3108.3818839781802</v>
      </c>
      <c r="EJ66" s="416">
        <f>Detail!$L$100*EJ127</f>
        <v>3113.5625204514777</v>
      </c>
      <c r="EK66" s="416">
        <f>Detail!$L$100*EK127</f>
        <v>3118.7517913188967</v>
      </c>
      <c r="EL66" s="416">
        <f>Detail!$L$100*EL127</f>
        <v>3123.9497109710951</v>
      </c>
      <c r="EM66" s="416">
        <f>Detail!$L$100*EM127</f>
        <v>3129.1562938227139</v>
      </c>
      <c r="EN66" s="416">
        <f>Detail!$L$100*EN127</f>
        <v>3134.3715543124181</v>
      </c>
      <c r="EO66" s="416">
        <f>Detail!$L$100*EO127</f>
        <v>3139.5955069029392</v>
      </c>
      <c r="EP66" s="416">
        <f>Detail!$L$100*EP127</f>
        <v>3144.8281660811108</v>
      </c>
      <c r="EQ66" s="416">
        <f>Detail!$L$100*EQ127</f>
        <v>3150.0695463579132</v>
      </c>
      <c r="ER66" s="416">
        <f>Detail!$L$100*ER127</f>
        <v>3155.3196622685095</v>
      </c>
      <c r="ES66" s="416">
        <f>Detail!$L$100*ES127</f>
        <v>3160.5785283722907</v>
      </c>
      <c r="ET66" s="416">
        <f>Detail!$L$100*ET127</f>
        <v>3165.846159252912</v>
      </c>
      <c r="EU66" s="416">
        <f>Detail!$L$100*EU127</f>
        <v>3171.122569518333</v>
      </c>
      <c r="EV66" s="416">
        <f>Detail!$L$100*EV127</f>
        <v>3176.4077738008641</v>
      </c>
      <c r="EW66" s="416">
        <f>Detail!$L$100*EW127</f>
        <v>3181.7017867571994</v>
      </c>
      <c r="EX66" s="416">
        <f>Detail!$L$100*EX127</f>
        <v>3187.0046230684611</v>
      </c>
      <c r="EY66" s="416">
        <f>Detail!$L$100*EY127</f>
        <v>3192.3162974402426</v>
      </c>
      <c r="EZ66" s="416">
        <f>Detail!$L$100*EZ127</f>
        <v>3197.6368246026432</v>
      </c>
      <c r="FA66" s="416">
        <f>Detail!$L$100*FA127</f>
        <v>3202.966219310314</v>
      </c>
      <c r="FB66" s="416">
        <f>Detail!$L$100*FB127</f>
        <v>3208.3044963424986</v>
      </c>
      <c r="FC66" s="416">
        <f>Detail!$L$100*FC127</f>
        <v>3213.651670503069</v>
      </c>
      <c r="FD66" s="416">
        <f>Detail!$L$100*FD127</f>
        <v>3219.007756620575</v>
      </c>
      <c r="FE66" s="416">
        <f>Detail!$L$100*FE127</f>
        <v>3224.3727695482758</v>
      </c>
      <c r="FF66" s="416">
        <f>Detail!$L$100*FF127</f>
        <v>3229.7467241641898</v>
      </c>
      <c r="FG66" s="416">
        <f>Detail!$L$100*FG127</f>
        <v>3235.1296353711309</v>
      </c>
      <c r="FH66" s="416">
        <f>Detail!$L$100*FH127</f>
        <v>3240.5215180967489</v>
      </c>
      <c r="FI66" s="416">
        <f>Detail!$L$100*FI127</f>
        <v>3245.9223872935772</v>
      </c>
      <c r="FJ66" s="416">
        <f>Detail!$L$100*FJ127</f>
        <v>3251.3322579390669</v>
      </c>
      <c r="FK66" s="416">
        <f>Detail!$L$100*FK127</f>
        <v>3256.7511450356319</v>
      </c>
      <c r="FL66" s="416">
        <f>Detail!$L$100*FL127</f>
        <v>3262.1790636106921</v>
      </c>
      <c r="FM66" s="416">
        <f>Detail!$L$100*FM127</f>
        <v>3267.6160287167095</v>
      </c>
      <c r="FN66" s="416">
        <f>Detail!$L$100*FN127</f>
        <v>3273.0620554312382</v>
      </c>
      <c r="FO66" s="416">
        <f>Detail!$L$100*FO127</f>
        <v>3278.5171588569569</v>
      </c>
      <c r="FP66" s="416">
        <f>Detail!$L$100*FP127</f>
        <v>3283.9813541217191</v>
      </c>
      <c r="FQ66" s="416">
        <f>Detail!$L$100*FQ127</f>
        <v>3289.4546563785884</v>
      </c>
      <c r="FR66" s="416">
        <f>Detail!$L$100*FR127</f>
        <v>3294.9370808058866</v>
      </c>
      <c r="FS66" s="416">
        <f>Detail!$L$100*FS127</f>
        <v>3300.4286426072299</v>
      </c>
      <c r="FT66" s="604">
        <f t="shared" si="107"/>
        <v>17581.666666666664</v>
      </c>
      <c r="FU66" s="604">
        <f t="shared" si="107"/>
        <v>30468.520385375858</v>
      </c>
      <c r="FV66" s="604">
        <f t="shared" si="107"/>
        <v>31083.507837923382</v>
      </c>
      <c r="FW66" s="604">
        <f t="shared" si="107"/>
        <v>31710.908415952792</v>
      </c>
      <c r="FX66" s="604">
        <f t="shared" si="107"/>
        <v>32350.972670403924</v>
      </c>
    </row>
    <row r="67" spans="1:182" ht="12" customHeight="1" outlineLevel="1">
      <c r="B67" s="625" t="s">
        <v>23</v>
      </c>
      <c r="C67" s="594"/>
      <c r="D67" s="626"/>
      <c r="E67" s="596">
        <f t="shared" ref="E67:P67" si="108">SUM(E60:E66)</f>
        <v>131230.83602150535</v>
      </c>
      <c r="F67" s="596">
        <f t="shared" si="108"/>
        <v>131230.83602150535</v>
      </c>
      <c r="G67" s="596">
        <f t="shared" si="108"/>
        <v>131230.83602150535</v>
      </c>
      <c r="H67" s="596">
        <f t="shared" si="108"/>
        <v>131230.83602150535</v>
      </c>
      <c r="I67" s="596">
        <f t="shared" si="108"/>
        <v>131230.83602150535</v>
      </c>
      <c r="J67" s="596">
        <f t="shared" si="108"/>
        <v>131230.83602150535</v>
      </c>
      <c r="K67" s="596">
        <f t="shared" si="108"/>
        <v>131230.83602150535</v>
      </c>
      <c r="L67" s="596">
        <f t="shared" si="108"/>
        <v>131449.5540815412</v>
      </c>
      <c r="M67" s="596">
        <f t="shared" si="108"/>
        <v>131668.63667167712</v>
      </c>
      <c r="N67" s="596">
        <f t="shared" si="108"/>
        <v>131888.08439946326</v>
      </c>
      <c r="O67" s="596">
        <f t="shared" si="108"/>
        <v>132107.89787346238</v>
      </c>
      <c r="P67" s="596">
        <f t="shared" si="108"/>
        <v>132328.07770325147</v>
      </c>
      <c r="Q67" s="596">
        <f t="shared" ref="Q67:CB67" si="109">SUM(Q60:Q66)</f>
        <v>132548.62449942355</v>
      </c>
      <c r="R67" s="596">
        <f t="shared" si="109"/>
        <v>132769.53887358931</v>
      </c>
      <c r="S67" s="596">
        <f t="shared" si="109"/>
        <v>132990.82143837865</v>
      </c>
      <c r="T67" s="596">
        <f t="shared" si="109"/>
        <v>133212.47280744259</v>
      </c>
      <c r="U67" s="596">
        <f t="shared" si="109"/>
        <v>133434.49359545502</v>
      </c>
      <c r="V67" s="596">
        <f t="shared" si="109"/>
        <v>133656.88441811412</v>
      </c>
      <c r="W67" s="596">
        <f t="shared" si="109"/>
        <v>133879.6458921443</v>
      </c>
      <c r="X67" s="596">
        <f t="shared" si="109"/>
        <v>134102.77863529787</v>
      </c>
      <c r="Y67" s="596">
        <f t="shared" si="109"/>
        <v>134326.28326635674</v>
      </c>
      <c r="Z67" s="596">
        <f t="shared" si="109"/>
        <v>134550.160405134</v>
      </c>
      <c r="AA67" s="596">
        <f t="shared" si="109"/>
        <v>134774.41067247593</v>
      </c>
      <c r="AB67" s="596">
        <f t="shared" si="109"/>
        <v>134999.03469026336</v>
      </c>
      <c r="AC67" s="596">
        <f t="shared" si="109"/>
        <v>135224.0330814138</v>
      </c>
      <c r="AD67" s="596">
        <f t="shared" si="109"/>
        <v>135449.40646988287</v>
      </c>
      <c r="AE67" s="596">
        <f t="shared" si="109"/>
        <v>135675.155480666</v>
      </c>
      <c r="AF67" s="596">
        <f t="shared" si="109"/>
        <v>135901.28073980042</v>
      </c>
      <c r="AG67" s="596">
        <f t="shared" si="109"/>
        <v>136127.78287436679</v>
      </c>
      <c r="AH67" s="596">
        <f t="shared" si="109"/>
        <v>136354.66251249076</v>
      </c>
      <c r="AI67" s="596">
        <f t="shared" si="109"/>
        <v>136581.92028334492</v>
      </c>
      <c r="AJ67" s="596">
        <f t="shared" si="109"/>
        <v>136809.55681715044</v>
      </c>
      <c r="AK67" s="596">
        <f t="shared" si="109"/>
        <v>137037.57274517909</v>
      </c>
      <c r="AL67" s="596">
        <f t="shared" si="109"/>
        <v>137265.96869975439</v>
      </c>
      <c r="AM67" s="596">
        <f t="shared" si="109"/>
        <v>137494.74531425399</v>
      </c>
      <c r="AN67" s="596">
        <f t="shared" si="109"/>
        <v>137723.90322311109</v>
      </c>
      <c r="AO67" s="596">
        <f t="shared" si="109"/>
        <v>137953.44306181624</v>
      </c>
      <c r="AP67" s="596">
        <f t="shared" si="109"/>
        <v>138183.36546691932</v>
      </c>
      <c r="AQ67" s="596">
        <f t="shared" si="109"/>
        <v>138413.67107603088</v>
      </c>
      <c r="AR67" s="596">
        <f t="shared" si="109"/>
        <v>138644.36052782426</v>
      </c>
      <c r="AS67" s="596">
        <f t="shared" si="109"/>
        <v>138875.43446203732</v>
      </c>
      <c r="AT67" s="596">
        <f t="shared" si="109"/>
        <v>139106.89351947405</v>
      </c>
      <c r="AU67" s="596">
        <f t="shared" si="109"/>
        <v>139338.73834200655</v>
      </c>
      <c r="AV67" s="596">
        <f t="shared" si="109"/>
        <v>139570.96957257655</v>
      </c>
      <c r="AW67" s="596">
        <f t="shared" si="109"/>
        <v>139803.58785519752</v>
      </c>
      <c r="AX67" s="596">
        <f t="shared" si="109"/>
        <v>140036.59383495618</v>
      </c>
      <c r="AY67" s="596">
        <f t="shared" si="109"/>
        <v>140269.98815801449</v>
      </c>
      <c r="AZ67" s="596">
        <f t="shared" si="109"/>
        <v>140503.77147161114</v>
      </c>
      <c r="BA67" s="596">
        <f t="shared" si="109"/>
        <v>140737.94442406381</v>
      </c>
      <c r="BB67" s="596">
        <f t="shared" si="109"/>
        <v>140972.50766477062</v>
      </c>
      <c r="BC67" s="596">
        <f t="shared" si="109"/>
        <v>141207.46184421188</v>
      </c>
      <c r="BD67" s="596">
        <f t="shared" si="109"/>
        <v>141442.80761395229</v>
      </c>
      <c r="BE67" s="596">
        <f t="shared" si="109"/>
        <v>141678.54562664221</v>
      </c>
      <c r="BF67" s="596">
        <f t="shared" si="109"/>
        <v>141914.67653601995</v>
      </c>
      <c r="BG67" s="596">
        <f t="shared" si="109"/>
        <v>142151.20099691334</v>
      </c>
      <c r="BH67" s="596">
        <f t="shared" si="109"/>
        <v>142388.11966524154</v>
      </c>
      <c r="BI67" s="596">
        <f t="shared" si="109"/>
        <v>142625.43319801692</v>
      </c>
      <c r="BJ67" s="596">
        <f t="shared" si="109"/>
        <v>142863.142253347</v>
      </c>
      <c r="BK67" s="596">
        <f t="shared" si="109"/>
        <v>143101.2474904359</v>
      </c>
      <c r="BL67" s="596">
        <f t="shared" si="109"/>
        <v>143339.74956958665</v>
      </c>
      <c r="BM67" s="596">
        <f t="shared" si="109"/>
        <v>143578.64915220262</v>
      </c>
      <c r="BN67" s="596">
        <f t="shared" si="109"/>
        <v>143817.94690078963</v>
      </c>
      <c r="BO67" s="596">
        <f t="shared" si="109"/>
        <v>144057.64347895765</v>
      </c>
      <c r="BP67" s="596">
        <f t="shared" si="109"/>
        <v>144297.73955142259</v>
      </c>
      <c r="BQ67" s="596">
        <f t="shared" si="109"/>
        <v>144538.23578400828</v>
      </c>
      <c r="BR67" s="596">
        <f t="shared" si="109"/>
        <v>144779.13284364835</v>
      </c>
      <c r="BS67" s="596">
        <f t="shared" si="109"/>
        <v>145020.43139838774</v>
      </c>
      <c r="BT67" s="596">
        <f t="shared" si="109"/>
        <v>145262.13211738504</v>
      </c>
      <c r="BU67" s="596">
        <f t="shared" si="109"/>
        <v>145504.23567091406</v>
      </c>
      <c r="BV67" s="596">
        <f t="shared" si="109"/>
        <v>145746.74273036557</v>
      </c>
      <c r="BW67" s="596">
        <f t="shared" si="109"/>
        <v>145989.65396824953</v>
      </c>
      <c r="BX67" s="596">
        <f t="shared" si="109"/>
        <v>146232.97005819666</v>
      </c>
      <c r="BY67" s="596">
        <f t="shared" si="109"/>
        <v>146476.69167496031</v>
      </c>
      <c r="BZ67" s="596">
        <f t="shared" si="109"/>
        <v>146720.81949441857</v>
      </c>
      <c r="CA67" s="596">
        <f t="shared" si="109"/>
        <v>146965.35419357594</v>
      </c>
      <c r="CB67" s="596">
        <f t="shared" si="109"/>
        <v>147210.29645056522</v>
      </c>
      <c r="CC67" s="596">
        <f t="shared" ref="CC67:EN67" si="110">SUM(CC60:CC66)</f>
        <v>147455.64694464952</v>
      </c>
      <c r="CD67" s="596">
        <f t="shared" si="110"/>
        <v>147701.40635622395</v>
      </c>
      <c r="CE67" s="596">
        <f t="shared" si="110"/>
        <v>147947.57536681768</v>
      </c>
      <c r="CF67" s="596">
        <f t="shared" si="110"/>
        <v>148194.15465909572</v>
      </c>
      <c r="CG67" s="596">
        <f t="shared" si="110"/>
        <v>148441.14491686085</v>
      </c>
      <c r="CH67" s="596">
        <f t="shared" si="110"/>
        <v>148688.5468250557</v>
      </c>
      <c r="CI67" s="596">
        <f t="shared" si="110"/>
        <v>148936.3610697641</v>
      </c>
      <c r="CJ67" s="596">
        <f t="shared" si="110"/>
        <v>149184.58833821371</v>
      </c>
      <c r="CK67" s="596">
        <f t="shared" si="110"/>
        <v>149433.22931877742</v>
      </c>
      <c r="CL67" s="596">
        <f t="shared" si="110"/>
        <v>149682.28470097538</v>
      </c>
      <c r="CM67" s="596">
        <f t="shared" si="110"/>
        <v>149931.75517547704</v>
      </c>
      <c r="CN67" s="596">
        <f t="shared" si="110"/>
        <v>150181.64143410281</v>
      </c>
      <c r="CO67" s="596">
        <f t="shared" si="110"/>
        <v>150431.94416982634</v>
      </c>
      <c r="CP67" s="596">
        <f t="shared" si="110"/>
        <v>150682.66407677607</v>
      </c>
      <c r="CQ67" s="596">
        <f t="shared" si="110"/>
        <v>150933.80185023736</v>
      </c>
      <c r="CR67" s="596">
        <f t="shared" si="110"/>
        <v>151185.35818665446</v>
      </c>
      <c r="CS67" s="596">
        <f t="shared" si="110"/>
        <v>151437.33378363217</v>
      </c>
      <c r="CT67" s="596">
        <f t="shared" si="110"/>
        <v>151689.72933993826</v>
      </c>
      <c r="CU67" s="596">
        <f t="shared" si="110"/>
        <v>151942.54555550485</v>
      </c>
      <c r="CV67" s="596">
        <f t="shared" si="110"/>
        <v>152195.78313143071</v>
      </c>
      <c r="CW67" s="596">
        <f t="shared" si="110"/>
        <v>152449.44276998311</v>
      </c>
      <c r="CX67" s="596">
        <f t="shared" si="110"/>
        <v>152703.52517459975</v>
      </c>
      <c r="CY67" s="596">
        <f t="shared" si="110"/>
        <v>152958.03104989076</v>
      </c>
      <c r="CZ67" s="596">
        <f t="shared" si="110"/>
        <v>153212.96110164063</v>
      </c>
      <c r="DA67" s="596">
        <f t="shared" si="110"/>
        <v>153468.31603680996</v>
      </c>
      <c r="DB67" s="596">
        <f t="shared" si="110"/>
        <v>153724.09656353801</v>
      </c>
      <c r="DC67" s="596">
        <f t="shared" si="110"/>
        <v>153980.30339114394</v>
      </c>
      <c r="DD67" s="596">
        <f t="shared" si="110"/>
        <v>154236.93723012923</v>
      </c>
      <c r="DE67" s="596">
        <f t="shared" si="110"/>
        <v>154493.99879217942</v>
      </c>
      <c r="DF67" s="596">
        <f t="shared" si="110"/>
        <v>154751.48879016639</v>
      </c>
      <c r="DG67" s="596">
        <f t="shared" si="110"/>
        <v>155009.40793815002</v>
      </c>
      <c r="DH67" s="596">
        <f t="shared" si="110"/>
        <v>155267.75695138029</v>
      </c>
      <c r="DI67" s="596">
        <f t="shared" si="110"/>
        <v>155526.53654629923</v>
      </c>
      <c r="DJ67" s="596">
        <f t="shared" si="110"/>
        <v>155785.74744054308</v>
      </c>
      <c r="DK67" s="596">
        <f t="shared" si="110"/>
        <v>156045.39035294403</v>
      </c>
      <c r="DL67" s="596">
        <f t="shared" si="110"/>
        <v>156305.46600353223</v>
      </c>
      <c r="DM67" s="596">
        <f t="shared" si="110"/>
        <v>156565.97511353809</v>
      </c>
      <c r="DN67" s="596">
        <f t="shared" si="110"/>
        <v>156826.91840539407</v>
      </c>
      <c r="DO67" s="596">
        <f t="shared" si="110"/>
        <v>157088.2966027364</v>
      </c>
      <c r="DP67" s="596">
        <f t="shared" si="110"/>
        <v>157350.11043040766</v>
      </c>
      <c r="DQ67" s="596">
        <f t="shared" si="110"/>
        <v>157612.36061445833</v>
      </c>
      <c r="DR67" s="596">
        <f t="shared" si="110"/>
        <v>157875.04788214908</v>
      </c>
      <c r="DS67" s="596">
        <f t="shared" si="110"/>
        <v>158138.17296195269</v>
      </c>
      <c r="DT67" s="596">
        <f t="shared" si="110"/>
        <v>158401.73658355599</v>
      </c>
      <c r="DU67" s="596">
        <f t="shared" si="110"/>
        <v>158665.73947786188</v>
      </c>
      <c r="DV67" s="596">
        <f t="shared" si="110"/>
        <v>158930.1823769917</v>
      </c>
      <c r="DW67" s="596">
        <f t="shared" si="110"/>
        <v>159195.06601428671</v>
      </c>
      <c r="DX67" s="596">
        <f t="shared" si="110"/>
        <v>159460.39112431052</v>
      </c>
      <c r="DY67" s="596">
        <f t="shared" si="110"/>
        <v>159726.15844285098</v>
      </c>
      <c r="DZ67" s="596">
        <f t="shared" si="110"/>
        <v>159992.36870692245</v>
      </c>
      <c r="EA67" s="596">
        <f t="shared" si="110"/>
        <v>160259.02265476738</v>
      </c>
      <c r="EB67" s="596">
        <f t="shared" si="110"/>
        <v>160526.12102585862</v>
      </c>
      <c r="EC67" s="596">
        <f t="shared" si="110"/>
        <v>160793.66456090176</v>
      </c>
      <c r="ED67" s="596">
        <f t="shared" si="110"/>
        <v>161061.65400183658</v>
      </c>
      <c r="EE67" s="596">
        <f t="shared" si="110"/>
        <v>161330.09009183961</v>
      </c>
      <c r="EF67" s="596">
        <f t="shared" si="110"/>
        <v>161598.97357532606</v>
      </c>
      <c r="EG67" s="596">
        <f t="shared" si="110"/>
        <v>161868.30519795159</v>
      </c>
      <c r="EH67" s="596">
        <f t="shared" si="110"/>
        <v>162138.08570661489</v>
      </c>
      <c r="EI67" s="596">
        <f t="shared" si="110"/>
        <v>162408.31584945926</v>
      </c>
      <c r="EJ67" s="596">
        <f t="shared" si="110"/>
        <v>162678.99637587502</v>
      </c>
      <c r="EK67" s="596">
        <f t="shared" si="110"/>
        <v>162950.12803650153</v>
      </c>
      <c r="EL67" s="596">
        <f t="shared" si="110"/>
        <v>163221.71158322901</v>
      </c>
      <c r="EM67" s="596">
        <f t="shared" si="110"/>
        <v>163493.74776920112</v>
      </c>
      <c r="EN67" s="596">
        <f t="shared" si="110"/>
        <v>163766.23734881639</v>
      </c>
      <c r="EO67" s="596">
        <f t="shared" ref="EO67:FS67" si="111">SUM(EO60:EO66)</f>
        <v>164039.1810777311</v>
      </c>
      <c r="EP67" s="596">
        <f t="shared" si="111"/>
        <v>164312.57971286064</v>
      </c>
      <c r="EQ67" s="596">
        <f t="shared" si="111"/>
        <v>164586.43401238212</v>
      </c>
      <c r="ER67" s="596">
        <f t="shared" si="111"/>
        <v>164860.74473573611</v>
      </c>
      <c r="ES67" s="596">
        <f t="shared" si="111"/>
        <v>165135.51264362902</v>
      </c>
      <c r="ET67" s="596">
        <f t="shared" si="111"/>
        <v>165410.73849803509</v>
      </c>
      <c r="EU67" s="596">
        <f t="shared" si="111"/>
        <v>165686.42306219848</v>
      </c>
      <c r="EV67" s="596">
        <f t="shared" si="111"/>
        <v>165962.5671006355</v>
      </c>
      <c r="EW67" s="596">
        <f t="shared" si="111"/>
        <v>166239.17137913656</v>
      </c>
      <c r="EX67" s="596">
        <f t="shared" si="111"/>
        <v>166516.23666476848</v>
      </c>
      <c r="EY67" s="596">
        <f t="shared" si="111"/>
        <v>166793.76372587643</v>
      </c>
      <c r="EZ67" s="596">
        <f t="shared" si="111"/>
        <v>167071.75333208623</v>
      </c>
      <c r="FA67" s="596">
        <f t="shared" si="111"/>
        <v>167350.20625430637</v>
      </c>
      <c r="FB67" s="596">
        <f t="shared" si="111"/>
        <v>167629.12326473027</v>
      </c>
      <c r="FC67" s="596">
        <f t="shared" si="111"/>
        <v>167908.50513683812</v>
      </c>
      <c r="FD67" s="596">
        <f t="shared" si="111"/>
        <v>168188.3526453996</v>
      </c>
      <c r="FE67" s="596">
        <f t="shared" si="111"/>
        <v>168468.66656647521</v>
      </c>
      <c r="FF67" s="596">
        <f t="shared" si="111"/>
        <v>168749.44767741935</v>
      </c>
      <c r="FG67" s="596">
        <f t="shared" si="111"/>
        <v>169030.69675688175</v>
      </c>
      <c r="FH67" s="596">
        <f t="shared" si="111"/>
        <v>169312.41458480986</v>
      </c>
      <c r="FI67" s="596">
        <f t="shared" si="111"/>
        <v>169594.60194245123</v>
      </c>
      <c r="FJ67" s="596">
        <f t="shared" si="111"/>
        <v>169877.25961235532</v>
      </c>
      <c r="FK67" s="596">
        <f t="shared" si="111"/>
        <v>170160.38837837594</v>
      </c>
      <c r="FL67" s="596">
        <f t="shared" si="111"/>
        <v>170443.98902567328</v>
      </c>
      <c r="FM67" s="596">
        <f t="shared" si="111"/>
        <v>170728.06234071605</v>
      </c>
      <c r="FN67" s="596">
        <f t="shared" si="111"/>
        <v>171012.60911128393</v>
      </c>
      <c r="FO67" s="596">
        <f t="shared" si="111"/>
        <v>171297.63012646945</v>
      </c>
      <c r="FP67" s="596">
        <f t="shared" si="111"/>
        <v>171583.12617668023</v>
      </c>
      <c r="FQ67" s="596">
        <f t="shared" si="111"/>
        <v>171869.09805364136</v>
      </c>
      <c r="FR67" s="596">
        <f t="shared" si="111"/>
        <v>172155.54655039747</v>
      </c>
      <c r="FS67" s="596">
        <f t="shared" si="111"/>
        <v>172442.47246131478</v>
      </c>
      <c r="FT67" s="626">
        <f t="shared" si="107"/>
        <v>918615.85215053731</v>
      </c>
      <c r="FU67" s="626">
        <f t="shared" si="107"/>
        <v>1591934.7322539431</v>
      </c>
      <c r="FV67" s="626">
        <f t="shared" si="107"/>
        <v>1624066.9091114933</v>
      </c>
      <c r="FW67" s="626">
        <f t="shared" si="107"/>
        <v>1656847.6532555576</v>
      </c>
      <c r="FX67" s="626">
        <f t="shared" si="107"/>
        <v>1690290.0555989298</v>
      </c>
    </row>
    <row r="68" spans="1:182" ht="12" customHeight="1" outlineLevel="1">
      <c r="B68" s="574" t="s">
        <v>37</v>
      </c>
      <c r="C68" s="575"/>
      <c r="D68" s="627"/>
      <c r="E68" s="416">
        <f>MAX(E58*Detail!$L$128,9000)</f>
        <v>15064.12298318319</v>
      </c>
      <c r="F68" s="416">
        <f>MAX(F58*Detail!$L$128,9000)</f>
        <v>15070.112621836097</v>
      </c>
      <c r="G68" s="416">
        <f>MAX(G58*Detail!$L$128,9000)</f>
        <v>15075.90259531917</v>
      </c>
      <c r="H68" s="416">
        <f>MAX(H58*Detail!$L$128,9000)</f>
        <v>14829.340482341102</v>
      </c>
      <c r="I68" s="416">
        <f>MAX(I58*Detail!$L$128,9000)</f>
        <v>14834.750872189721</v>
      </c>
      <c r="J68" s="416">
        <f>MAX(J58*Detail!$L$128,9000)</f>
        <v>14839.980907132593</v>
      </c>
      <c r="K68" s="416">
        <f>MAX(K58*Detail!$L$128,9000)</f>
        <v>14845.036599570676</v>
      </c>
      <c r="L68" s="416">
        <f>MAX(L58*Detail!$L$128,9000)</f>
        <v>14851.401088924622</v>
      </c>
      <c r="M68" s="416">
        <f>MAX(M58*Detail!$L$128,9000)</f>
        <v>14858.753238289206</v>
      </c>
      <c r="N68" s="416">
        <f>MAX(N58*Detail!$L$128,9000)</f>
        <v>14867.063136346427</v>
      </c>
      <c r="O68" s="416">
        <f>MAX(O58*Detail!$L$128,9000)</f>
        <v>14876.301875464307</v>
      </c>
      <c r="P68" s="416">
        <f>MAX(P58*Detail!$L$128,9000)</f>
        <v>14886.441518315019</v>
      </c>
      <c r="Q68" s="416">
        <f>MAX(Q58*Detail!$L$128,9000)</f>
        <v>15495.353467534043</v>
      </c>
      <c r="R68" s="416">
        <f>MAX(R58*Detail!$L$128,9000)</f>
        <v>15367.565853315396</v>
      </c>
      <c r="S68" s="416">
        <f>MAX(S58*Detail!$L$128,9000)</f>
        <v>15249.142338364321</v>
      </c>
      <c r="T68" s="416">
        <f>MAX(T58*Detail!$L$128,9000)</f>
        <v>15293.981685129858</v>
      </c>
      <c r="U68" s="416">
        <f>MAX(U58*Detail!$L$128,9000)</f>
        <v>15610.764454306818</v>
      </c>
      <c r="V68" s="416">
        <f>MAX(V58*Detail!$L$128,9000)</f>
        <v>15661.472915385481</v>
      </c>
      <c r="W68" s="416">
        <f>MAX(W58*Detail!$L$128,9000)</f>
        <v>15713.873264821979</v>
      </c>
      <c r="X68" s="416">
        <f>MAX(X58*Detail!$L$128,9000)</f>
        <v>16307.339223261297</v>
      </c>
      <c r="Y68" s="416">
        <f>MAX(Y58*Detail!$L$128,9000)</f>
        <v>16357.023426851658</v>
      </c>
      <c r="Z68" s="416">
        <f>MAX(Z58*Detail!$L$128,9000)</f>
        <v>16415.546463164676</v>
      </c>
      <c r="AA68" s="416">
        <f>MAX(AA58*Detail!$L$128,9000)</f>
        <v>16474.72812483618</v>
      </c>
      <c r="AB68" s="416">
        <f>MAX(AB58*Detail!$L$128,9000)</f>
        <v>16533.729682282508</v>
      </c>
      <c r="AC68" s="416">
        <f>MAX(AC58*Detail!$L$128,9000)</f>
        <v>16592.319036045817</v>
      </c>
      <c r="AD68" s="416">
        <f>MAX(AD58*Detail!$L$128,9000)</f>
        <v>16630.317212205991</v>
      </c>
      <c r="AE68" s="416">
        <f>MAX(AE58*Detail!$L$128,9000)</f>
        <v>16678.719986423243</v>
      </c>
      <c r="AF68" s="416">
        <f>MAX(AF58*Detail!$L$128,9000)</f>
        <v>16736.963272701341</v>
      </c>
      <c r="AG68" s="416">
        <f>MAX(AG58*Detail!$L$128,9000)</f>
        <v>16794.428441482498</v>
      </c>
      <c r="AH68" s="416">
        <f>MAX(AH58*Detail!$L$128,9000)</f>
        <v>16851.263327392884</v>
      </c>
      <c r="AI68" s="416">
        <f>MAX(AI58*Detail!$L$128,9000)</f>
        <v>16906.709877102596</v>
      </c>
      <c r="AJ68" s="416">
        <f>MAX(AJ58*Detail!$L$128,9000)</f>
        <v>16960.799675479513</v>
      </c>
      <c r="AK68" s="416">
        <f>MAX(AK58*Detail!$L$128,9000)</f>
        <v>17008.209212188995</v>
      </c>
      <c r="AL68" s="416">
        <f>MAX(AL58*Detail!$L$128,9000)</f>
        <v>17051.267231837832</v>
      </c>
      <c r="AM68" s="416">
        <f>MAX(AM58*Detail!$L$128,9000)</f>
        <v>17101.05669575488</v>
      </c>
      <c r="AN68" s="416">
        <f>MAX(AN58*Detail!$L$128,9000)</f>
        <v>17150.401718232839</v>
      </c>
      <c r="AO68" s="416">
        <f>MAX(AO58*Detail!$L$128,9000)</f>
        <v>17198.491229407646</v>
      </c>
      <c r="AP68" s="416">
        <f>MAX(AP58*Detail!$L$128,9000)</f>
        <v>17245.399067643779</v>
      </c>
      <c r="AQ68" s="416">
        <f>MAX(AQ58*Detail!$L$128,9000)</f>
        <v>17275.844357958038</v>
      </c>
      <c r="AR68" s="416">
        <f>MAX(AR58*Detail!$L$128,9000)</f>
        <v>17313.985746720522</v>
      </c>
      <c r="AS68" s="416">
        <f>MAX(AS58*Detail!$L$128,9000)</f>
        <v>17359.53062038498</v>
      </c>
      <c r="AT68" s="416">
        <f>MAX(AT58*Detail!$L$128,9000)</f>
        <v>17404.754674157146</v>
      </c>
      <c r="AU68" s="416">
        <f>MAX(AU58*Detail!$L$128,9000)</f>
        <v>17450.045130371171</v>
      </c>
      <c r="AV68" s="416">
        <f>MAX(AV58*Detail!$L$128,9000)</f>
        <v>17494.827172462068</v>
      </c>
      <c r="AW68" s="416">
        <f>MAX(AW58*Detail!$L$128,9000)</f>
        <v>17539.21253247383</v>
      </c>
      <c r="AX68" s="416">
        <f>MAX(AX58*Detail!$L$128,9000)</f>
        <v>17578.956138634658</v>
      </c>
      <c r="AY68" s="416">
        <f>MAX(AY58*Detail!$L$128,9000)</f>
        <v>17615.87761747988</v>
      </c>
      <c r="AZ68" s="416">
        <f>MAX(AZ58*Detail!$L$128,9000)</f>
        <v>17659.23808744748</v>
      </c>
      <c r="BA68" s="416">
        <f>MAX(BA58*Detail!$L$128,9000)</f>
        <v>17703.127643767693</v>
      </c>
      <c r="BB68" s="416">
        <f>MAX(BB58*Detail!$L$128,9000)</f>
        <v>17746.938598203898</v>
      </c>
      <c r="BC68" s="416">
        <f>MAX(BC58*Detail!$L$128,9000)</f>
        <v>17790.706977757771</v>
      </c>
      <c r="BD68" s="416">
        <f>MAX(BD58*Detail!$L$128,9000)</f>
        <v>17819.926251435158</v>
      </c>
      <c r="BE68" s="416">
        <f>MAX(BE58*Detail!$L$128,9000)</f>
        <v>17857.219669030961</v>
      </c>
      <c r="BF68" s="416">
        <f>MAX(BF58*Detail!$L$128,9000)</f>
        <v>17902.631550664475</v>
      </c>
      <c r="BG68" s="416">
        <f>MAX(BG58*Detail!$L$128,9000)</f>
        <v>17948.513248909225</v>
      </c>
      <c r="BH68" s="416">
        <f>MAX(BH58*Detail!$L$128,9000)</f>
        <v>17995.119539550746</v>
      </c>
      <c r="BI68" s="416">
        <f>MAX(BI58*Detail!$L$128,9000)</f>
        <v>18041.901306342148</v>
      </c>
      <c r="BJ68" s="416">
        <f>MAX(BJ58*Detail!$L$128,9000)</f>
        <v>18088.890024511042</v>
      </c>
      <c r="BK68" s="416">
        <f>MAX(BK58*Detail!$L$128,9000)</f>
        <v>18131.412397497345</v>
      </c>
      <c r="BL68" s="416">
        <f>MAX(BL58*Detail!$L$128,9000)</f>
        <v>18171.243566007925</v>
      </c>
      <c r="BM68" s="416">
        <f>MAX(BM58*Detail!$L$128,9000)</f>
        <v>18218.191476828688</v>
      </c>
      <c r="BN68" s="416">
        <f>MAX(BN58*Detail!$L$128,9000)</f>
        <v>18265.861457262574</v>
      </c>
      <c r="BO68" s="416">
        <f>MAX(BO58*Detail!$L$128,9000)</f>
        <v>18313.586543275793</v>
      </c>
      <c r="BP68" s="416">
        <f>MAX(BP58*Detail!$L$128,9000)</f>
        <v>18361.337182056708</v>
      </c>
      <c r="BQ68" s="416">
        <f>MAX(BQ58*Detail!$L$128,9000)</f>
        <v>18393.116157085762</v>
      </c>
      <c r="BR68" s="416">
        <f>MAX(BR58*Detail!$L$128,9000)</f>
        <v>18433.731288739629</v>
      </c>
      <c r="BS68" s="416">
        <f>MAX(BS58*Detail!$L$128,9000)</f>
        <v>18483.156689982698</v>
      </c>
      <c r="BT68" s="416">
        <f>MAX(BT58*Detail!$L$128,9000)</f>
        <v>18532.940016888155</v>
      </c>
      <c r="BU68" s="416">
        <f>MAX(BU58*Detail!$L$128,9000)</f>
        <v>18583.325003715319</v>
      </c>
      <c r="BV68" s="416">
        <f>MAX(BV58*Detail!$L$128,9000)</f>
        <v>18633.704025760791</v>
      </c>
      <c r="BW68" s="416">
        <f>MAX(BW58*Detail!$L$128,9000)</f>
        <v>18684.097351261513</v>
      </c>
      <c r="BX68" s="416">
        <f>MAX(BX58*Detail!$L$128,9000)</f>
        <v>18729.481950089692</v>
      </c>
      <c r="BY68" s="416">
        <f>MAX(BY58*Detail!$L$128,9000)</f>
        <v>18771.794465938543</v>
      </c>
      <c r="BZ68" s="416">
        <f>MAX(BZ58*Detail!$L$128,9000)</f>
        <v>18821.518369109486</v>
      </c>
      <c r="CA68" s="416">
        <f>MAX(CA58*Detail!$L$128,9000)</f>
        <v>18871.813886933269</v>
      </c>
      <c r="CB68" s="416">
        <f>MAX(CB58*Detail!$L$128,9000)</f>
        <v>18921.956720799841</v>
      </c>
      <c r="CC68" s="416">
        <f>MAX(CC58*Detail!$L$128,9000)</f>
        <v>18971.926958819364</v>
      </c>
      <c r="CD68" s="416">
        <f>MAX(CD58*Detail!$L$128,9000)</f>
        <v>19005.040295180868</v>
      </c>
      <c r="CE68" s="416">
        <f>MAX(CE58*Detail!$L$128,9000)</f>
        <v>19047.23398660426</v>
      </c>
      <c r="CF68" s="416">
        <f>MAX(CF58*Detail!$L$128,9000)</f>
        <v>19098.427293995879</v>
      </c>
      <c r="CG68" s="416">
        <f>MAX(CG58*Detail!$L$128,9000)</f>
        <v>19149.863657967613</v>
      </c>
      <c r="CH68" s="416">
        <f>MAX(CH58*Detail!$L$128,9000)</f>
        <v>19201.820209118923</v>
      </c>
      <c r="CI68" s="416">
        <f>MAX(CI58*Detail!$L$128,9000)</f>
        <v>19253.664080727442</v>
      </c>
      <c r="CJ68" s="416">
        <f>MAX(CJ58*Detail!$L$128,9000)</f>
        <v>19305.430871593628</v>
      </c>
      <c r="CK68" s="416">
        <f>MAX(CK58*Detail!$L$128,9000)</f>
        <v>19351.990244903649</v>
      </c>
      <c r="CL68" s="416">
        <f>MAX(CL58*Detail!$L$128,9000)</f>
        <v>19395.354544545615</v>
      </c>
      <c r="CM68" s="416">
        <f>MAX(CM58*Detail!$L$128,9000)</f>
        <v>19446.294062855148</v>
      </c>
      <c r="CN68" s="416">
        <f>MAX(CN58*Detail!$L$128,9000)</f>
        <v>19497.804172403336</v>
      </c>
      <c r="CO68" s="416">
        <f>MAX(CO58*Detail!$L$128,9000)</f>
        <v>19549.145122023307</v>
      </c>
      <c r="CP68" s="416">
        <f>MAX(CP58*Detail!$L$128,9000)</f>
        <v>19600.30689937259</v>
      </c>
      <c r="CQ68" s="416">
        <f>MAX(CQ58*Detail!$L$128,9000)</f>
        <v>19634.231762579893</v>
      </c>
      <c r="CR68" s="416">
        <f>MAX(CR58*Detail!$L$128,9000)</f>
        <v>19677.456608742286</v>
      </c>
      <c r="CS68" s="416">
        <f>MAX(CS58*Detail!$L$128,9000)</f>
        <v>19729.912857772695</v>
      </c>
      <c r="CT68" s="416">
        <f>MAX(CT58*Detail!$L$128,9000)</f>
        <v>19782.648181789304</v>
      </c>
      <c r="CU68" s="416">
        <f>MAX(CU58*Detail!$L$128,9000)</f>
        <v>19835.950732655041</v>
      </c>
      <c r="CV68" s="416">
        <f>MAX(CV58*Detail!$L$128,9000)</f>
        <v>19889.173768027442</v>
      </c>
      <c r="CW68" s="416">
        <f>MAX(CW58*Detail!$L$128,9000)</f>
        <v>19942.355314191343</v>
      </c>
      <c r="CX68" s="416">
        <f>MAX(CX58*Detail!$L$128,9000)</f>
        <v>19990.225188059208</v>
      </c>
      <c r="CY68" s="416">
        <f>MAX(CY58*Detail!$L$128,9000)</f>
        <v>20034.844356323931</v>
      </c>
      <c r="CZ68" s="416">
        <f>MAX(CZ58*Detail!$L$128,9000)</f>
        <v>20087.283034501615</v>
      </c>
      <c r="DA68" s="416">
        <f>MAX(DA58*Detail!$L$128,9000)</f>
        <v>20140.341203811749</v>
      </c>
      <c r="DB68" s="416">
        <f>MAX(DB58*Detail!$L$128,9000)</f>
        <v>20193.260134586111</v>
      </c>
      <c r="DC68" s="416">
        <f>MAX(DC58*Detail!$L$128,9000)</f>
        <v>20246.027150864727</v>
      </c>
      <c r="DD68" s="416">
        <f>MAX(DD58*Detail!$L$128,9000)</f>
        <v>20281.038756147918</v>
      </c>
      <c r="DE68" s="416">
        <f>MAX(DE58*Detail!$L$128,9000)</f>
        <v>20325.669338557331</v>
      </c>
      <c r="DF68" s="416">
        <f>MAX(DF58*Detail!$L$128,9000)</f>
        <v>20379.856247517037</v>
      </c>
      <c r="DG68" s="416">
        <f>MAX(DG58*Detail!$L$128,9000)</f>
        <v>20434.351020834005</v>
      </c>
      <c r="DH68" s="416">
        <f>MAX(DH58*Detail!$L$128,9000)</f>
        <v>20489.44699590245</v>
      </c>
      <c r="DI68" s="416">
        <f>MAX(DI58*Detail!$L$128,9000)</f>
        <v>20544.476581803796</v>
      </c>
      <c r="DJ68" s="416">
        <f>MAX(DJ58*Detail!$L$128,9000)</f>
        <v>20599.476551726359</v>
      </c>
      <c r="DK68" s="416">
        <f>MAX(DK58*Detail!$L$128,9000)</f>
        <v>20648.99154699123</v>
      </c>
      <c r="DL68" s="416">
        <f>MAX(DL58*Detail!$L$128,9000)</f>
        <v>20695.149518409624</v>
      </c>
      <c r="DM68" s="416">
        <f>MAX(DM58*Detail!$L$128,9000)</f>
        <v>20749.398713125836</v>
      </c>
      <c r="DN68" s="416">
        <f>MAX(DN58*Detail!$L$128,9000)</f>
        <v>20804.289532035589</v>
      </c>
      <c r="DO68" s="416">
        <f>MAX(DO58*Detail!$L$128,9000)</f>
        <v>20859.036516691507</v>
      </c>
      <c r="DP68" s="416">
        <f>MAX(DP58*Detail!$L$128,9000)</f>
        <v>20913.624941084217</v>
      </c>
      <c r="DQ68" s="416">
        <f>MAX(DQ58*Detail!$L$128,9000)</f>
        <v>20949.840157468541</v>
      </c>
      <c r="DR68" s="416">
        <f>MAX(DR58*Detail!$L$128,9000)</f>
        <v>20996.004354663597</v>
      </c>
      <c r="DS68" s="416">
        <f>MAX(DS58*Detail!$L$128,9000)</f>
        <v>21052.049908132103</v>
      </c>
      <c r="DT68" s="416">
        <f>MAX(DT58*Detail!$L$128,9000)</f>
        <v>21108.407771327551</v>
      </c>
      <c r="DU68" s="416">
        <f>MAX(DU58*Detail!$L$128,9000)</f>
        <v>21165.380878785942</v>
      </c>
      <c r="DV68" s="416">
        <f>MAX(DV58*Detail!$L$128,9000)</f>
        <v>21222.278422405325</v>
      </c>
      <c r="DW68" s="416">
        <f>MAX(DW58*Detail!$L$128,9000)</f>
        <v>21279.138314653959</v>
      </c>
      <c r="DX68" s="416">
        <f>MAX(DX58*Detail!$L$128,9000)</f>
        <v>21330.320924530235</v>
      </c>
      <c r="DY68" s="416">
        <f>MAX(DY58*Detail!$L$128,9000)</f>
        <v>21378.027420001552</v>
      </c>
      <c r="DZ68" s="416">
        <f>MAX(DZ58*Detail!$L$128,9000)</f>
        <v>21434.092284354923</v>
      </c>
      <c r="EA68" s="416">
        <f>MAX(EA58*Detail!$L$128,9000)</f>
        <v>21490.814844469063</v>
      </c>
      <c r="EB68" s="416">
        <f>MAX(EB58*Detail!$L$128,9000)</f>
        <v>21547.382915768332</v>
      </c>
      <c r="EC68" s="416">
        <f>MAX(EC58*Detail!$L$128,9000)</f>
        <v>21603.781762377093</v>
      </c>
      <c r="ED68" s="416">
        <f>MAX(ED58*Detail!$L$128,9000)</f>
        <v>21641.194597677073</v>
      </c>
      <c r="EE68" s="416">
        <f>MAX(EE58*Detail!$L$128,9000)</f>
        <v>21688.881945665889</v>
      </c>
      <c r="EF68" s="416">
        <f>MAX(EF58*Detail!$L$128,9000)</f>
        <v>21746.772743236306</v>
      </c>
      <c r="EG68" s="416">
        <f>MAX(EG58*Detail!$L$128,9000)</f>
        <v>21804.98320147342</v>
      </c>
      <c r="EH68" s="416">
        <f>MAX(EH58*Detail!$L$128,9000)</f>
        <v>21863.826972908213</v>
      </c>
      <c r="EI68" s="416">
        <f>MAX(EI58*Detail!$L$128,9000)</f>
        <v>21922.59044094144</v>
      </c>
      <c r="EJ68" s="416">
        <f>MAX(EJ58*Detail!$L$128,9000)</f>
        <v>21981.313190213525</v>
      </c>
      <c r="EK68" s="416">
        <f>MAX(EK58*Detail!$L$128,9000)</f>
        <v>22034.171638440213</v>
      </c>
      <c r="EL68" s="416">
        <f>MAX(EL58*Detail!$L$128,9000)</f>
        <v>22083.439581157989</v>
      </c>
      <c r="EM68" s="416">
        <f>MAX(EM58*Detail!$L$128,9000)</f>
        <v>22141.339355616066</v>
      </c>
      <c r="EN68" s="416">
        <f>MAX(EN58*Detail!$L$128,9000)</f>
        <v>22199.918516052403</v>
      </c>
      <c r="EO68" s="416">
        <f>MAX(EO58*Detail!$L$128,9000)</f>
        <v>22258.338408330972</v>
      </c>
      <c r="EP68" s="416">
        <f>MAX(EP58*Detail!$L$128,9000)</f>
        <v>22316.58405647532</v>
      </c>
      <c r="EQ68" s="416">
        <f>MAX(EQ58*Detail!$L$128,9000)</f>
        <v>22355.222991138016</v>
      </c>
      <c r="ER68" s="416">
        <f>MAX(ER58*Detail!$L$128,9000)</f>
        <v>22404.473454083483</v>
      </c>
      <c r="ES68" s="416">
        <f>MAX(ES58*Detail!$L$128,9000)</f>
        <v>22464.262586376619</v>
      </c>
      <c r="ET68" s="416">
        <f>MAX(ET58*Detail!$L$128,9000)</f>
        <v>22524.383034794653</v>
      </c>
      <c r="EU68" s="416">
        <f>MAX(EU58*Detail!$L$128,9000)</f>
        <v>22585.158774470736</v>
      </c>
      <c r="EV68" s="416">
        <f>MAX(EV58*Detail!$L$128,9000)</f>
        <v>22645.852844511192</v>
      </c>
      <c r="EW68" s="416">
        <f>MAX(EW58*Detail!$L$128,9000)</f>
        <v>22706.506125219807</v>
      </c>
      <c r="EX68" s="416">
        <f>MAX(EX58*Detail!$L$128,9000)</f>
        <v>22761.103503276277</v>
      </c>
      <c r="EY68" s="416">
        <f>MAX(EY58*Detail!$L$128,9000)</f>
        <v>22811.993289606056</v>
      </c>
      <c r="EZ68" s="416">
        <f>MAX(EZ58*Detail!$L$128,9000)</f>
        <v>22871.79977903637</v>
      </c>
      <c r="FA68" s="416">
        <f>MAX(FA58*Detail!$L$128,9000)</f>
        <v>22932.308917567956</v>
      </c>
      <c r="FB68" s="416">
        <f>MAX(FB58*Detail!$L$128,9000)</f>
        <v>22992.654499891043</v>
      </c>
      <c r="FC68" s="416">
        <f>MAX(FC58*Detail!$L$128,9000)</f>
        <v>23052.820963507264</v>
      </c>
      <c r="FD68" s="416">
        <f>MAX(FD58*Detail!$L$128,9000)</f>
        <v>23092.734648158617</v>
      </c>
      <c r="FE68" s="416">
        <f>MAX(FE58*Detail!$L$128,9000)</f>
        <v>23143.610512097515</v>
      </c>
      <c r="FF68" s="416">
        <f>MAX(FF58*Detail!$L$128,9000)</f>
        <v>23205.373464157867</v>
      </c>
      <c r="FG68" s="416">
        <f>MAX(FG58*Detail!$L$128,9000)</f>
        <v>23267.479095061612</v>
      </c>
      <c r="FH68" s="416">
        <f>MAX(FH58*Detail!$L$128,9000)</f>
        <v>23330.261949454805</v>
      </c>
      <c r="FI68" s="416">
        <f>MAX(FI58*Detail!$L$128,9000)</f>
        <v>23392.960744820244</v>
      </c>
      <c r="FJ68" s="416">
        <f>MAX(FJ58*Detail!$L$128,9000)</f>
        <v>23455.617640603014</v>
      </c>
      <c r="FK68" s="416">
        <f>MAX(FK58*Detail!$L$128,9000)</f>
        <v>23512.018689203549</v>
      </c>
      <c r="FL68" s="416">
        <f>MAX(FL58*Detail!$L$128,9000)</f>
        <v>23564.589702839367</v>
      </c>
      <c r="FM68" s="416">
        <f>MAX(FM58*Detail!$L$128,9000)</f>
        <v>23626.371976819235</v>
      </c>
      <c r="FN68" s="416">
        <f>MAX(FN58*Detail!$L$128,9000)</f>
        <v>23688.88003754085</v>
      </c>
      <c r="FO68" s="416">
        <f>MAX(FO58*Detail!$L$128,9000)</f>
        <v>23751.219041265929</v>
      </c>
      <c r="FP68" s="416">
        <f>MAX(FP58*Detail!$L$128,9000)</f>
        <v>23813.372876063378</v>
      </c>
      <c r="FQ68" s="416">
        <f>MAX(FQ58*Detail!$L$128,9000)</f>
        <v>23854.604763244253</v>
      </c>
      <c r="FR68" s="416">
        <f>MAX(FR58*Detail!$L$128,9000)</f>
        <v>23907.16079049604</v>
      </c>
      <c r="FS68" s="416">
        <f>MAX(FS58*Detail!$L$128,9000)</f>
        <v>23970.963288709132</v>
      </c>
      <c r="FT68" s="604">
        <f t="shared" si="107"/>
        <v>104559.24706157255</v>
      </c>
      <c r="FU68" s="604">
        <f t="shared" si="107"/>
        <v>182732.11483619749</v>
      </c>
      <c r="FV68" s="604">
        <f t="shared" si="107"/>
        <v>199279.0880737507</v>
      </c>
      <c r="FW68" s="604">
        <f t="shared" si="107"/>
        <v>206519.78536013735</v>
      </c>
      <c r="FX68" s="604">
        <f t="shared" si="107"/>
        <v>212657.17548826712</v>
      </c>
    </row>
    <row r="69" spans="1:182" ht="12" customHeight="1" outlineLevel="1">
      <c r="B69" s="574" t="s">
        <v>39</v>
      </c>
      <c r="C69" s="575"/>
      <c r="D69" s="604"/>
      <c r="E69" s="416">
        <f>IF(E17&gt;=Detail!$H$7,Detail!$L$110*E130,Detail!$P$136/12)</f>
        <v>60266.407500000008</v>
      </c>
      <c r="F69" s="416">
        <f>IF(F17&gt;=Detail!$H$7,Detail!$L$110*F130,Detail!$P$136/12)</f>
        <v>60266.407500000008</v>
      </c>
      <c r="G69" s="416">
        <f>IF(G17&gt;=Detail!$H$7,Detail!$L$110*G130,Detail!$P$136/12)</f>
        <v>60266.407500000008</v>
      </c>
      <c r="H69" s="416">
        <f>IF(H17&gt;=Detail!$H$7,Detail!$L$110*H130,Detail!$P$136/12)</f>
        <v>60266.407500000008</v>
      </c>
      <c r="I69" s="416">
        <f>IF(I17&gt;=Detail!$H$7,Detail!$L$110*I130,Detail!$P$136/12)</f>
        <v>60266.407500000008</v>
      </c>
      <c r="J69" s="416">
        <f>IF(J17&gt;=Detail!$H$7,Detail!$L$110*J130,Detail!$P$136/12)</f>
        <v>60266.407500000008</v>
      </c>
      <c r="K69" s="416">
        <f>IF(K17&gt;=Detail!$H$7,Detail!$L$110*K130,Detail!$P$136/12)</f>
        <v>60266.407500000008</v>
      </c>
      <c r="L69" s="416">
        <f>IF(L17&gt;=Detail!$H$7,Detail!$L$110*L130,Detail!$P$136/12)</f>
        <v>60366.851512500012</v>
      </c>
      <c r="M69" s="416">
        <f>IF(M17&gt;=Detail!$H$7,Detail!$L$110*M130,Detail!$P$136/12)</f>
        <v>60467.462931687514</v>
      </c>
      <c r="N69" s="416">
        <f>IF(N17&gt;=Detail!$H$7,Detail!$L$110*N130,Detail!$P$136/12)</f>
        <v>60568.242036573662</v>
      </c>
      <c r="O69" s="416">
        <f>IF(O17&gt;=Detail!$H$7,Detail!$L$110*O130,Detail!$P$136/12)</f>
        <v>60669.189106634622</v>
      </c>
      <c r="P69" s="416">
        <f>IF(P17&gt;=Detail!$H$7,Detail!$L$110*P130,Detail!$P$136/12)</f>
        <v>60770.304421812347</v>
      </c>
      <c r="Q69" s="416">
        <f>IF(Q17&gt;=Detail!$H$7,Detail!$L$110*Q130,Detail!$P$136/12)</f>
        <v>60871.588262515368</v>
      </c>
      <c r="R69" s="416">
        <f>IF(R17&gt;=Detail!$H$7,Detail!$L$110*R130,Detail!$P$136/12)</f>
        <v>60973.040909619565</v>
      </c>
      <c r="S69" s="416">
        <f>IF(S17&gt;=Detail!$H$7,Detail!$L$110*S130,Detail!$P$136/12)</f>
        <v>61074.662644468946</v>
      </c>
      <c r="T69" s="416">
        <f>IF(T17&gt;=Detail!$H$7,Detail!$L$110*T130,Detail!$P$136/12)</f>
        <v>61176.453748876389</v>
      </c>
      <c r="U69" s="416">
        <f>IF(U17&gt;=Detail!$H$7,Detail!$L$110*U130,Detail!$P$136/12)</f>
        <v>61278.414505124529</v>
      </c>
      <c r="V69" s="416">
        <f>IF(V17&gt;=Detail!$H$7,Detail!$L$110*V130,Detail!$P$136/12)</f>
        <v>61380.545195966399</v>
      </c>
      <c r="W69" s="416">
        <f>IF(W17&gt;=Detail!$H$7,Detail!$L$110*W130,Detail!$P$136/12)</f>
        <v>61482.846104626347</v>
      </c>
      <c r="X69" s="416">
        <f>IF(X17&gt;=Detail!$H$7,Detail!$L$110*X130,Detail!$P$136/12)</f>
        <v>61585.317514800729</v>
      </c>
      <c r="Y69" s="416">
        <f>IF(Y17&gt;=Detail!$H$7,Detail!$L$110*Y130,Detail!$P$136/12)</f>
        <v>61687.959710658739</v>
      </c>
      <c r="Z69" s="416">
        <f>IF(Z17&gt;=Detail!$H$7,Detail!$L$110*Z130,Detail!$P$136/12)</f>
        <v>61790.772976843175</v>
      </c>
      <c r="AA69" s="416">
        <f>IF(AA17&gt;=Detail!$H$7,Detail!$L$110*AA130,Detail!$P$136/12)</f>
        <v>61893.757598471253</v>
      </c>
      <c r="AB69" s="416">
        <f>IF(AB17&gt;=Detail!$H$7,Detail!$L$110*AB130,Detail!$P$136/12)</f>
        <v>61996.91386113537</v>
      </c>
      <c r="AC69" s="416">
        <f>IF(AC17&gt;=Detail!$H$7,Detail!$L$110*AC130,Detail!$P$136/12)</f>
        <v>62100.242050903937</v>
      </c>
      <c r="AD69" s="416">
        <f>IF(AD17&gt;=Detail!$H$7,Detail!$L$110*AD130,Detail!$P$136/12)</f>
        <v>62203.74245432212</v>
      </c>
      <c r="AE69" s="416">
        <f>IF(AE17&gt;=Detail!$H$7,Detail!$L$110*AE130,Detail!$P$136/12)</f>
        <v>62307.415358412654</v>
      </c>
      <c r="AF69" s="416">
        <f>IF(AF17&gt;=Detail!$H$7,Detail!$L$110*AF130,Detail!$P$136/12)</f>
        <v>62411.261050676687</v>
      </c>
      <c r="AG69" s="416">
        <f>IF(AG17&gt;=Detail!$H$7,Detail!$L$110*AG130,Detail!$P$136/12)</f>
        <v>62515.279819094474</v>
      </c>
      <c r="AH69" s="416">
        <f>IF(AH17&gt;=Detail!$H$7,Detail!$L$110*AH130,Detail!$P$136/12)</f>
        <v>62619.47195212631</v>
      </c>
      <c r="AI69" s="416">
        <f>IF(AI17&gt;=Detail!$H$7,Detail!$L$110*AI130,Detail!$P$136/12)</f>
        <v>62723.837738713199</v>
      </c>
      <c r="AJ69" s="416">
        <f>IF(AJ17&gt;=Detail!$H$7,Detail!$L$110*AJ130,Detail!$P$136/12)</f>
        <v>62828.377468277708</v>
      </c>
      <c r="AK69" s="416">
        <f>IF(AK17&gt;=Detail!$H$7,Detail!$L$110*AK130,Detail!$P$136/12)</f>
        <v>62933.091430724846</v>
      </c>
      <c r="AL69" s="416">
        <f>IF(AL17&gt;=Detail!$H$7,Detail!$L$110*AL130,Detail!$P$136/12)</f>
        <v>63037.979916442724</v>
      </c>
      <c r="AM69" s="416">
        <f>IF(AM17&gt;=Detail!$H$7,Detail!$L$110*AM130,Detail!$P$136/12)</f>
        <v>63143.043216303471</v>
      </c>
      <c r="AN69" s="416">
        <f>IF(AN17&gt;=Detail!$H$7,Detail!$L$110*AN130,Detail!$P$136/12)</f>
        <v>63248.281621663984</v>
      </c>
      <c r="AO69" s="416">
        <f>IF(AO17&gt;=Detail!$H$7,Detail!$L$110*AO130,Detail!$P$136/12)</f>
        <v>63353.695424366757</v>
      </c>
      <c r="AP69" s="416">
        <f>IF(AP17&gt;=Detail!$H$7,Detail!$L$110*AP130,Detail!$P$136/12)</f>
        <v>63459.284916740711</v>
      </c>
      <c r="AQ69" s="416">
        <f>IF(AQ17&gt;=Detail!$H$7,Detail!$L$110*AQ130,Detail!$P$136/12)</f>
        <v>63565.050391601952</v>
      </c>
      <c r="AR69" s="416">
        <f>IF(AR17&gt;=Detail!$H$7,Detail!$L$110*AR130,Detail!$P$136/12)</f>
        <v>63670.992142254632</v>
      </c>
      <c r="AS69" s="416">
        <f>IF(AS17&gt;=Detail!$H$7,Detail!$L$110*AS130,Detail!$P$136/12)</f>
        <v>63777.110462491721</v>
      </c>
      <c r="AT69" s="416">
        <f>IF(AT17&gt;=Detail!$H$7,Detail!$L$110*AT130,Detail!$P$136/12)</f>
        <v>63883.405646595878</v>
      </c>
      <c r="AU69" s="416">
        <f>IF(AU17&gt;=Detail!$H$7,Detail!$L$110*AU130,Detail!$P$136/12)</f>
        <v>63989.877989340202</v>
      </c>
      <c r="AV69" s="416">
        <f>IF(AV17&gt;=Detail!$H$7,Detail!$L$110*AV130,Detail!$P$136/12)</f>
        <v>64096.527785989114</v>
      </c>
      <c r="AW69" s="416">
        <f>IF(AW17&gt;=Detail!$H$7,Detail!$L$110*AW130,Detail!$P$136/12)</f>
        <v>64203.355332299092</v>
      </c>
      <c r="AX69" s="416">
        <f>IF(AX17&gt;=Detail!$H$7,Detail!$L$110*AX130,Detail!$P$136/12)</f>
        <v>64310.360924519606</v>
      </c>
      <c r="AY69" s="416">
        <f>IF(AY17&gt;=Detail!$H$7,Detail!$L$110*AY130,Detail!$P$136/12)</f>
        <v>64417.544859393813</v>
      </c>
      <c r="AZ69" s="416">
        <f>IF(AZ17&gt;=Detail!$H$7,Detail!$L$110*AZ130,Detail!$P$136/12)</f>
        <v>64524.907434159461</v>
      </c>
      <c r="BA69" s="416">
        <f>IF(BA17&gt;=Detail!$H$7,Detail!$L$110*BA130,Detail!$P$136/12)</f>
        <v>64632.448946549732</v>
      </c>
      <c r="BB69" s="416">
        <f>IF(BB17&gt;=Detail!$H$7,Detail!$L$110*BB130,Detail!$P$136/12)</f>
        <v>64740.169694793985</v>
      </c>
      <c r="BC69" s="416">
        <f>IF(BC17&gt;=Detail!$H$7,Detail!$L$110*BC130,Detail!$P$136/12)</f>
        <v>64848.069977618637</v>
      </c>
      <c r="BD69" s="416">
        <f>IF(BD17&gt;=Detail!$H$7,Detail!$L$110*BD130,Detail!$P$136/12)</f>
        <v>64956.15009424802</v>
      </c>
      <c r="BE69" s="416">
        <f>IF(BE17&gt;=Detail!$H$7,Detail!$L$110*BE130,Detail!$P$136/12)</f>
        <v>65064.4103444051</v>
      </c>
      <c r="BF69" s="416">
        <f>IF(BF17&gt;=Detail!$H$7,Detail!$L$110*BF130,Detail!$P$136/12)</f>
        <v>65172.851028312449</v>
      </c>
      <c r="BG69" s="416">
        <f>IF(BG17&gt;=Detail!$H$7,Detail!$L$110*BG130,Detail!$P$136/12)</f>
        <v>65281.472446692984</v>
      </c>
      <c r="BH69" s="416">
        <f>IF(BH17&gt;=Detail!$H$7,Detail!$L$110*BH130,Detail!$P$136/12)</f>
        <v>65390.274900770797</v>
      </c>
      <c r="BI69" s="416">
        <f>IF(BI17&gt;=Detail!$H$7,Detail!$L$110*BI130,Detail!$P$136/12)</f>
        <v>65499.258692272088</v>
      </c>
      <c r="BJ69" s="416">
        <f>IF(BJ17&gt;=Detail!$H$7,Detail!$L$110*BJ130,Detail!$P$136/12)</f>
        <v>65608.424123425881</v>
      </c>
      <c r="BK69" s="416">
        <f>IF(BK17&gt;=Detail!$H$7,Detail!$L$110*BK130,Detail!$P$136/12)</f>
        <v>65717.771496964924</v>
      </c>
      <c r="BL69" s="416">
        <f>IF(BL17&gt;=Detail!$H$7,Detail!$L$110*BL130,Detail!$P$136/12)</f>
        <v>65827.301116126546</v>
      </c>
      <c r="BM69" s="416">
        <f>IF(BM17&gt;=Detail!$H$7,Detail!$L$110*BM130,Detail!$P$136/12)</f>
        <v>65937.013284653425</v>
      </c>
      <c r="BN69" s="416">
        <f>IF(BN17&gt;=Detail!$H$7,Detail!$L$110*BN130,Detail!$P$136/12)</f>
        <v>66046.908306794518</v>
      </c>
      <c r="BO69" s="416">
        <f>IF(BO17&gt;=Detail!$H$7,Detail!$L$110*BO130,Detail!$P$136/12)</f>
        <v>66156.986487305854</v>
      </c>
      <c r="BP69" s="416">
        <f>IF(BP17&gt;=Detail!$H$7,Detail!$L$110*BP130,Detail!$P$136/12)</f>
        <v>66267.248131451357</v>
      </c>
      <c r="BQ69" s="416">
        <f>IF(BQ17&gt;=Detail!$H$7,Detail!$L$110*BQ130,Detail!$P$136/12)</f>
        <v>66377.693545003785</v>
      </c>
      <c r="BR69" s="416">
        <f>IF(BR17&gt;=Detail!$H$7,Detail!$L$110*BR130,Detail!$P$136/12)</f>
        <v>66488.323034245463</v>
      </c>
      <c r="BS69" s="416">
        <f>IF(BS17&gt;=Detail!$H$7,Detail!$L$110*BS130,Detail!$P$136/12)</f>
        <v>66599.136905969193</v>
      </c>
      <c r="BT69" s="416">
        <f>IF(BT17&gt;=Detail!$H$7,Detail!$L$110*BT130,Detail!$P$136/12)</f>
        <v>66710.135467479166</v>
      </c>
      <c r="BU69" s="416">
        <f>IF(BU17&gt;=Detail!$H$7,Detail!$L$110*BU130,Detail!$P$136/12)</f>
        <v>66821.31902659162</v>
      </c>
      <c r="BV69" s="416">
        <f>IF(BV17&gt;=Detail!$H$7,Detail!$L$110*BV130,Detail!$P$136/12)</f>
        <v>66932.687891635956</v>
      </c>
      <c r="BW69" s="416">
        <f>IF(BW17&gt;=Detail!$H$7,Detail!$L$110*BW130,Detail!$P$136/12)</f>
        <v>67044.242371455359</v>
      </c>
      <c r="BX69" s="416">
        <f>IF(BX17&gt;=Detail!$H$7,Detail!$L$110*BX130,Detail!$P$136/12)</f>
        <v>67155.982775407785</v>
      </c>
      <c r="BY69" s="416">
        <f>IF(BY17&gt;=Detail!$H$7,Detail!$L$110*BY130,Detail!$P$136/12)</f>
        <v>67267.909413366797</v>
      </c>
      <c r="BZ69" s="416">
        <f>IF(BZ17&gt;=Detail!$H$7,Detail!$L$110*BZ130,Detail!$P$136/12)</f>
        <v>67380.022595722417</v>
      </c>
      <c r="CA69" s="416">
        <f>IF(CA17&gt;=Detail!$H$7,Detail!$L$110*CA130,Detail!$P$136/12)</f>
        <v>67492.322633381962</v>
      </c>
      <c r="CB69" s="416">
        <f>IF(CB17&gt;=Detail!$H$7,Detail!$L$110*CB130,Detail!$P$136/12)</f>
        <v>67604.809837770925</v>
      </c>
      <c r="CC69" s="416">
        <f>IF(CC17&gt;=Detail!$H$7,Detail!$L$110*CC130,Detail!$P$136/12)</f>
        <v>67717.484520833881</v>
      </c>
      <c r="CD69" s="416">
        <f>IF(CD17&gt;=Detail!$H$7,Detail!$L$110*CD130,Detail!$P$136/12)</f>
        <v>67830.346995035274</v>
      </c>
      <c r="CE69" s="416">
        <f>IF(CE17&gt;=Detail!$H$7,Detail!$L$110*CE130,Detail!$P$136/12)</f>
        <v>67943.397573360344</v>
      </c>
      <c r="CF69" s="416">
        <f>IF(CF17&gt;=Detail!$H$7,Detail!$L$110*CF130,Detail!$P$136/12)</f>
        <v>68056.636569315946</v>
      </c>
      <c r="CG69" s="416">
        <f>IF(CG17&gt;=Detail!$H$7,Detail!$L$110*CG130,Detail!$P$136/12)</f>
        <v>68170.064296931479</v>
      </c>
      <c r="CH69" s="416">
        <f>IF(CH17&gt;=Detail!$H$7,Detail!$L$110*CH130,Detail!$P$136/12)</f>
        <v>68283.681070759703</v>
      </c>
      <c r="CI69" s="416">
        <f>IF(CI17&gt;=Detail!$H$7,Detail!$L$110*CI130,Detail!$P$136/12)</f>
        <v>68397.487205877638</v>
      </c>
      <c r="CJ69" s="416">
        <f>IF(CJ17&gt;=Detail!$H$7,Detail!$L$110*CJ130,Detail!$P$136/12)</f>
        <v>68511.48301788744</v>
      </c>
      <c r="CK69" s="416">
        <f>IF(CK17&gt;=Detail!$H$7,Detail!$L$110*CK130,Detail!$P$136/12)</f>
        <v>68625.668822917258</v>
      </c>
      <c r="CL69" s="416">
        <f>IF(CL17&gt;=Detail!$H$7,Detail!$L$110*CL130,Detail!$P$136/12)</f>
        <v>68740.044937622122</v>
      </c>
      <c r="CM69" s="416">
        <f>IF(CM17&gt;=Detail!$H$7,Detail!$L$110*CM130,Detail!$P$136/12)</f>
        <v>68854.611679184833</v>
      </c>
      <c r="CN69" s="416">
        <f>IF(CN17&gt;=Detail!$H$7,Detail!$L$110*CN130,Detail!$P$136/12)</f>
        <v>68969.369365316816</v>
      </c>
      <c r="CO69" s="416">
        <f>IF(CO17&gt;=Detail!$H$7,Detail!$L$110*CO130,Detail!$P$136/12)</f>
        <v>69084.318314259013</v>
      </c>
      <c r="CP69" s="416">
        <f>IF(CP17&gt;=Detail!$H$7,Detail!$L$110*CP130,Detail!$P$136/12)</f>
        <v>69199.458844782785</v>
      </c>
      <c r="CQ69" s="416">
        <f>IF(CQ17&gt;=Detail!$H$7,Detail!$L$110*CQ130,Detail!$P$136/12)</f>
        <v>69314.791276190765</v>
      </c>
      <c r="CR69" s="416">
        <f>IF(CR17&gt;=Detail!$H$7,Detail!$L$110*CR130,Detail!$P$136/12)</f>
        <v>69430.315928317767</v>
      </c>
      <c r="CS69" s="416">
        <f>IF(CS17&gt;=Detail!$H$7,Detail!$L$110*CS130,Detail!$P$136/12)</f>
        <v>69546.033121531611</v>
      </c>
      <c r="CT69" s="416">
        <f>IF(CT17&gt;=Detail!$H$7,Detail!$L$110*CT130,Detail!$P$136/12)</f>
        <v>69661.943176734174</v>
      </c>
      <c r="CU69" s="416">
        <f>IF(CU17&gt;=Detail!$H$7,Detail!$L$110*CU130,Detail!$P$136/12)</f>
        <v>69778.046415362085</v>
      </c>
      <c r="CV69" s="416">
        <f>IF(CV17&gt;=Detail!$H$7,Detail!$L$110*CV130,Detail!$P$136/12)</f>
        <v>69894.343159387674</v>
      </c>
      <c r="CW69" s="416">
        <f>IF(CW17&gt;=Detail!$H$7,Detail!$L$110*CW130,Detail!$P$136/12)</f>
        <v>70010.833731319988</v>
      </c>
      <c r="CX69" s="416">
        <f>IF(CX17&gt;=Detail!$H$7,Detail!$L$110*CX130,Detail!$P$136/12)</f>
        <v>70127.518454205536</v>
      </c>
      <c r="CY69" s="416">
        <f>IF(CY17&gt;=Detail!$H$7,Detail!$L$110*CY130,Detail!$P$136/12)</f>
        <v>70244.397651629217</v>
      </c>
      <c r="CZ69" s="416">
        <f>IF(CZ17&gt;=Detail!$H$7,Detail!$L$110*CZ130,Detail!$P$136/12)</f>
        <v>70361.471647715283</v>
      </c>
      <c r="DA69" s="416">
        <f>IF(DA17&gt;=Detail!$H$7,Detail!$L$110*DA130,Detail!$P$136/12)</f>
        <v>70478.740767128125</v>
      </c>
      <c r="DB69" s="416">
        <f>IF(DB17&gt;=Detail!$H$7,Detail!$L$110*DB130,Detail!$P$136/12)</f>
        <v>70596.205335073348</v>
      </c>
      <c r="DC69" s="416">
        <f>IF(DC17&gt;=Detail!$H$7,Detail!$L$110*DC130,Detail!$P$136/12)</f>
        <v>70713.865677298483</v>
      </c>
      <c r="DD69" s="416">
        <f>IF(DD17&gt;=Detail!$H$7,Detail!$L$110*DD130,Detail!$P$136/12)</f>
        <v>70831.722120093997</v>
      </c>
      <c r="DE69" s="416">
        <f>IF(DE17&gt;=Detail!$H$7,Detail!$L$110*DE130,Detail!$P$136/12)</f>
        <v>70949.774990294143</v>
      </c>
      <c r="DF69" s="416">
        <f>IF(DF17&gt;=Detail!$H$7,Detail!$L$110*DF130,Detail!$P$136/12)</f>
        <v>71068.024615277973</v>
      </c>
      <c r="DG69" s="416">
        <f>IF(DG17&gt;=Detail!$H$7,Detail!$L$110*DG130,Detail!$P$136/12)</f>
        <v>71186.471322970116</v>
      </c>
      <c r="DH69" s="416">
        <f>IF(DH17&gt;=Detail!$H$7,Detail!$L$110*DH130,Detail!$P$136/12)</f>
        <v>71305.115441841728</v>
      </c>
      <c r="DI69" s="416">
        <f>IF(DI17&gt;=Detail!$H$7,Detail!$L$110*DI130,Detail!$P$136/12)</f>
        <v>71423.957300911454</v>
      </c>
      <c r="DJ69" s="416">
        <f>IF(DJ17&gt;=Detail!$H$7,Detail!$L$110*DJ130,Detail!$P$136/12)</f>
        <v>71542.997229746325</v>
      </c>
      <c r="DK69" s="416">
        <f>IF(DK17&gt;=Detail!$H$7,Detail!$L$110*DK130,Detail!$P$136/12)</f>
        <v>71662.235558462577</v>
      </c>
      <c r="DL69" s="416">
        <f>IF(DL17&gt;=Detail!$H$7,Detail!$L$110*DL130,Detail!$P$136/12)</f>
        <v>71781.672617726683</v>
      </c>
      <c r="DM69" s="416">
        <f>IF(DM17&gt;=Detail!$H$7,Detail!$L$110*DM130,Detail!$P$136/12)</f>
        <v>71901.308738756226</v>
      </c>
      <c r="DN69" s="416">
        <f>IF(DN17&gt;=Detail!$H$7,Detail!$L$110*DN130,Detail!$P$136/12)</f>
        <v>72021.144253320832</v>
      </c>
      <c r="DO69" s="416">
        <f>IF(DO17&gt;=Detail!$H$7,Detail!$L$110*DO130,Detail!$P$136/12)</f>
        <v>72141.179493743024</v>
      </c>
      <c r="DP69" s="416">
        <f>IF(DP17&gt;=Detail!$H$7,Detail!$L$110*DP130,Detail!$P$136/12)</f>
        <v>72261.414792899275</v>
      </c>
      <c r="DQ69" s="416">
        <f>IF(DQ17&gt;=Detail!$H$7,Detail!$L$110*DQ130,Detail!$P$136/12)</f>
        <v>72381.850484220791</v>
      </c>
      <c r="DR69" s="416">
        <f>IF(DR17&gt;=Detail!$H$7,Detail!$L$110*DR130,Detail!$P$136/12)</f>
        <v>72502.486901694501</v>
      </c>
      <c r="DS69" s="416">
        <f>IF(DS17&gt;=Detail!$H$7,Detail!$L$110*DS130,Detail!$P$136/12)</f>
        <v>72623.324379863989</v>
      </c>
      <c r="DT69" s="416">
        <f>IF(DT17&gt;=Detail!$H$7,Detail!$L$110*DT130,Detail!$P$136/12)</f>
        <v>72744.363253830437</v>
      </c>
      <c r="DU69" s="416">
        <f>IF(DU17&gt;=Detail!$H$7,Detail!$L$110*DU130,Detail!$P$136/12)</f>
        <v>72865.60385925349</v>
      </c>
      <c r="DV69" s="416">
        <f>IF(DV17&gt;=Detail!$H$7,Detail!$L$110*DV130,Detail!$P$136/12)</f>
        <v>72987.046532352251</v>
      </c>
      <c r="DW69" s="416">
        <f>IF(DW17&gt;=Detail!$H$7,Detail!$L$110*DW130,Detail!$P$136/12)</f>
        <v>73108.691609906178</v>
      </c>
      <c r="DX69" s="416">
        <f>IF(DX17&gt;=Detail!$H$7,Detail!$L$110*DX130,Detail!$P$136/12)</f>
        <v>73230.539429256038</v>
      </c>
      <c r="DY69" s="416">
        <f>IF(DY17&gt;=Detail!$H$7,Detail!$L$110*DY130,Detail!$P$136/12)</f>
        <v>73352.590328304781</v>
      </c>
      <c r="DZ69" s="416">
        <f>IF(DZ17&gt;=Detail!$H$7,Detail!$L$110*DZ130,Detail!$P$136/12)</f>
        <v>73474.844645518635</v>
      </c>
      <c r="EA69" s="416">
        <f>IF(EA17&gt;=Detail!$H$7,Detail!$L$110*EA130,Detail!$P$136/12)</f>
        <v>73597.302719927844</v>
      </c>
      <c r="EB69" s="416">
        <f>IF(EB17&gt;=Detail!$H$7,Detail!$L$110*EB130,Detail!$P$136/12)</f>
        <v>73719.964891127733</v>
      </c>
      <c r="EC69" s="416">
        <f>IF(EC17&gt;=Detail!$H$7,Detail!$L$110*EC130,Detail!$P$136/12)</f>
        <v>73842.831499279608</v>
      </c>
      <c r="ED69" s="416">
        <f>IF(ED17&gt;=Detail!$H$7,Detail!$L$110*ED130,Detail!$P$136/12)</f>
        <v>73965.902885111747</v>
      </c>
      <c r="EE69" s="416">
        <f>IF(EE17&gt;=Detail!$H$7,Detail!$L$110*EE130,Detail!$P$136/12)</f>
        <v>74089.17938992026</v>
      </c>
      <c r="EF69" s="416">
        <f>IF(EF17&gt;=Detail!$H$7,Detail!$L$110*EF130,Detail!$P$136/12)</f>
        <v>74212.661355570148</v>
      </c>
      <c r="EG69" s="416">
        <f>IF(EG17&gt;=Detail!$H$7,Detail!$L$110*EG130,Detail!$P$136/12)</f>
        <v>74336.34912449609</v>
      </c>
      <c r="EH69" s="416">
        <f>IF(EH17&gt;=Detail!$H$7,Detail!$L$110*EH130,Detail!$P$136/12)</f>
        <v>74460.243039703608</v>
      </c>
      <c r="EI69" s="416">
        <f>IF(EI17&gt;=Detail!$H$7,Detail!$L$110*EI130,Detail!$P$136/12)</f>
        <v>74584.34344476978</v>
      </c>
      <c r="EJ69" s="416">
        <f>IF(EJ17&gt;=Detail!$H$7,Detail!$L$110*EJ130,Detail!$P$136/12)</f>
        <v>74708.650683844404</v>
      </c>
      <c r="EK69" s="416">
        <f>IF(EK17&gt;=Detail!$H$7,Detail!$L$110*EK130,Detail!$P$136/12)</f>
        <v>74833.165101650811</v>
      </c>
      <c r="EL69" s="416">
        <f>IF(EL17&gt;=Detail!$H$7,Detail!$L$110*EL130,Detail!$P$136/12)</f>
        <v>74957.887043486902</v>
      </c>
      <c r="EM69" s="416">
        <f>IF(EM17&gt;=Detail!$H$7,Detail!$L$110*EM130,Detail!$P$136/12)</f>
        <v>75082.816855226061</v>
      </c>
      <c r="EN69" s="416">
        <f>IF(EN17&gt;=Detail!$H$7,Detail!$L$110*EN130,Detail!$P$136/12)</f>
        <v>75207.954883318089</v>
      </c>
      <c r="EO69" s="416">
        <f>IF(EO17&gt;=Detail!$H$7,Detail!$L$110*EO130,Detail!$P$136/12)</f>
        <v>75333.301474790293</v>
      </c>
      <c r="EP69" s="416">
        <f>IF(EP17&gt;=Detail!$H$7,Detail!$L$110*EP130,Detail!$P$136/12)</f>
        <v>75458.856977248288</v>
      </c>
      <c r="EQ69" s="416">
        <f>IF(EQ17&gt;=Detail!$H$7,Detail!$L$110*EQ130,Detail!$P$136/12)</f>
        <v>75584.621738877046</v>
      </c>
      <c r="ER69" s="416">
        <f>IF(ER17&gt;=Detail!$H$7,Detail!$L$110*ER130,Detail!$P$136/12)</f>
        <v>75710.596108441838</v>
      </c>
      <c r="ES69" s="416">
        <f>IF(ES17&gt;=Detail!$H$7,Detail!$L$110*ES130,Detail!$P$136/12)</f>
        <v>75836.780435289256</v>
      </c>
      <c r="ET69" s="416">
        <f>IF(ET17&gt;=Detail!$H$7,Detail!$L$110*ET130,Detail!$P$136/12)</f>
        <v>75963.175069348072</v>
      </c>
      <c r="EU69" s="416">
        <f>IF(EU17&gt;=Detail!$H$7,Detail!$L$110*EU130,Detail!$P$136/12)</f>
        <v>76089.780361130324</v>
      </c>
      <c r="EV69" s="416">
        <f>IF(EV17&gt;=Detail!$H$7,Detail!$L$110*EV130,Detail!$P$136/12)</f>
        <v>76216.596661732212</v>
      </c>
      <c r="EW69" s="416">
        <f>IF(EW17&gt;=Detail!$H$7,Detail!$L$110*EW130,Detail!$P$136/12)</f>
        <v>76343.624322835109</v>
      </c>
      <c r="EX69" s="416">
        <f>IF(EX17&gt;=Detail!$H$7,Detail!$L$110*EX130,Detail!$P$136/12)</f>
        <v>76470.863696706496</v>
      </c>
      <c r="EY69" s="416">
        <f>IF(EY17&gt;=Detail!$H$7,Detail!$L$110*EY130,Detail!$P$136/12)</f>
        <v>76598.315136201025</v>
      </c>
      <c r="EZ69" s="416">
        <f>IF(EZ17&gt;=Detail!$H$7,Detail!$L$110*EZ130,Detail!$P$136/12)</f>
        <v>76725.978994761361</v>
      </c>
      <c r="FA69" s="416">
        <f>IF(FA17&gt;=Detail!$H$7,Detail!$L$110*FA130,Detail!$P$136/12)</f>
        <v>76853.855626419303</v>
      </c>
      <c r="FB69" s="416">
        <f>IF(FB17&gt;=Detail!$H$7,Detail!$L$110*FB130,Detail!$P$136/12)</f>
        <v>76981.945385796673</v>
      </c>
      <c r="FC69" s="416">
        <f>IF(FC17&gt;=Detail!$H$7,Detail!$L$110*FC130,Detail!$P$136/12)</f>
        <v>77110.248628106332</v>
      </c>
      <c r="FD69" s="416">
        <f>IF(FD17&gt;=Detail!$H$7,Detail!$L$110*FD130,Detail!$P$136/12)</f>
        <v>77238.765709153187</v>
      </c>
      <c r="FE69" s="416">
        <f>IF(FE17&gt;=Detail!$H$7,Detail!$L$110*FE130,Detail!$P$136/12)</f>
        <v>77367.496985335107</v>
      </c>
      <c r="FF69" s="416">
        <f>IF(FF17&gt;=Detail!$H$7,Detail!$L$110*FF130,Detail!$P$136/12)</f>
        <v>77496.442813644011</v>
      </c>
      <c r="FG69" s="416">
        <f>IF(FG17&gt;=Detail!$H$7,Detail!$L$110*FG130,Detail!$P$136/12)</f>
        <v>77625.603551666762</v>
      </c>
      <c r="FH69" s="416">
        <f>IF(FH17&gt;=Detail!$H$7,Detail!$L$110*FH130,Detail!$P$136/12)</f>
        <v>77754.979557586194</v>
      </c>
      <c r="FI69" s="416">
        <f>IF(FI17&gt;=Detail!$H$7,Detail!$L$110*FI130,Detail!$P$136/12)</f>
        <v>77884.571190182178</v>
      </c>
      <c r="FJ69" s="416">
        <f>IF(FJ17&gt;=Detail!$H$7,Detail!$L$110*FJ130,Detail!$P$136/12)</f>
        <v>78014.378808832495</v>
      </c>
      <c r="FK69" s="416">
        <f>IF(FK17&gt;=Detail!$H$7,Detail!$L$110*FK130,Detail!$P$136/12)</f>
        <v>78144.402773513881</v>
      </c>
      <c r="FL69" s="416">
        <f>IF(FL17&gt;=Detail!$H$7,Detail!$L$110*FL130,Detail!$P$136/12)</f>
        <v>78274.643444803092</v>
      </c>
      <c r="FM69" s="416">
        <f>IF(FM17&gt;=Detail!$H$7,Detail!$L$110*FM130,Detail!$P$136/12)</f>
        <v>78405.101183877749</v>
      </c>
      <c r="FN69" s="416">
        <f>IF(FN17&gt;=Detail!$H$7,Detail!$L$110*FN130,Detail!$P$136/12)</f>
        <v>78535.776352517569</v>
      </c>
      <c r="FO69" s="416">
        <f>IF(FO17&gt;=Detail!$H$7,Detail!$L$110*FO130,Detail!$P$136/12)</f>
        <v>78666.6693131051</v>
      </c>
      <c r="FP69" s="416">
        <f>IF(FP17&gt;=Detail!$H$7,Detail!$L$110*FP130,Detail!$P$136/12)</f>
        <v>78797.780428626953</v>
      </c>
      <c r="FQ69" s="416">
        <f>IF(FQ17&gt;=Detail!$H$7,Detail!$L$110*FQ130,Detail!$P$136/12)</f>
        <v>78929.110062674663</v>
      </c>
      <c r="FR69" s="416">
        <f>IF(FR17&gt;=Detail!$H$7,Detail!$L$110*FR130,Detail!$P$136/12)</f>
        <v>79060.658579445793</v>
      </c>
      <c r="FS69" s="416">
        <f>IF(FS17&gt;=Detail!$H$7,Detail!$L$110*FS130,Detail!$P$136/12)</f>
        <v>79192.426343744883</v>
      </c>
      <c r="FT69" s="592">
        <f t="shared" si="107"/>
        <v>421864.8525000001</v>
      </c>
      <c r="FU69" s="592">
        <f t="shared" si="107"/>
        <v>731079.6013804056</v>
      </c>
      <c r="FV69" s="592">
        <f t="shared" si="107"/>
        <v>745835.9720861587</v>
      </c>
      <c r="FW69" s="592">
        <f t="shared" si="107"/>
        <v>760890.1906268046</v>
      </c>
      <c r="FX69" s="592">
        <f t="shared" si="107"/>
        <v>776248.26886898209</v>
      </c>
    </row>
    <row r="70" spans="1:182" ht="12" customHeight="1" outlineLevel="1">
      <c r="B70" s="574" t="s">
        <v>319</v>
      </c>
      <c r="C70" s="575"/>
      <c r="D70" s="604"/>
      <c r="E70" s="416">
        <f>+Detail!$L$108*'Cash Flow'!E130</f>
        <v>1221</v>
      </c>
      <c r="F70" s="416">
        <f>+Detail!$L$108*'Cash Flow'!F130</f>
        <v>1221</v>
      </c>
      <c r="G70" s="416">
        <f>+Detail!$L$108*'Cash Flow'!G130</f>
        <v>1221</v>
      </c>
      <c r="H70" s="416">
        <f>+Detail!$L$108*'Cash Flow'!H130</f>
        <v>1221</v>
      </c>
      <c r="I70" s="416">
        <f>+Detail!$L$108*'Cash Flow'!I130</f>
        <v>1221</v>
      </c>
      <c r="J70" s="416">
        <f>+Detail!$L$108*'Cash Flow'!J130</f>
        <v>1221</v>
      </c>
      <c r="K70" s="416">
        <f>+Detail!$L$108*'Cash Flow'!K130</f>
        <v>1221</v>
      </c>
      <c r="L70" s="416">
        <f>+Detail!$L$108*'Cash Flow'!L130</f>
        <v>1223.0350000000001</v>
      </c>
      <c r="M70" s="416">
        <f>+Detail!$L$108*'Cash Flow'!M130</f>
        <v>1225.0733916666668</v>
      </c>
      <c r="N70" s="416">
        <f>+Detail!$L$108*'Cash Flow'!N130</f>
        <v>1227.115180652778</v>
      </c>
      <c r="O70" s="416">
        <f>+Detail!$L$108*'Cash Flow'!O130</f>
        <v>1229.1603726205326</v>
      </c>
      <c r="P70" s="416">
        <f>+Detail!$L$108*'Cash Flow'!P130</f>
        <v>1231.2089732415668</v>
      </c>
      <c r="Q70" s="416">
        <f>+Detail!$L$108*'Cash Flow'!Q130</f>
        <v>1233.2609881969695</v>
      </c>
      <c r="R70" s="416">
        <f>+Detail!$L$108*'Cash Flow'!R130</f>
        <v>1235.316423177298</v>
      </c>
      <c r="S70" s="416">
        <f>+Detail!$L$108*'Cash Flow'!S130</f>
        <v>1237.3752838825937</v>
      </c>
      <c r="T70" s="416">
        <f>+Detail!$L$108*'Cash Flow'!T130</f>
        <v>1239.4375760223979</v>
      </c>
      <c r="U70" s="416">
        <f>+Detail!$L$108*'Cash Flow'!U130</f>
        <v>1241.5033053157688</v>
      </c>
      <c r="V70" s="416">
        <f>+Detail!$L$108*'Cash Flow'!V130</f>
        <v>1243.5724774912951</v>
      </c>
      <c r="W70" s="416">
        <f>+Detail!$L$108*'Cash Flow'!W130</f>
        <v>1245.645098287114</v>
      </c>
      <c r="X70" s="416">
        <f>+Detail!$L$108*'Cash Flow'!X130</f>
        <v>1247.7211734509258</v>
      </c>
      <c r="Y70" s="416">
        <f>+Detail!$L$108*'Cash Flow'!Y130</f>
        <v>1249.800708740011</v>
      </c>
      <c r="Z70" s="416">
        <f>+Detail!$L$108*'Cash Flow'!Z130</f>
        <v>1251.8837099212444</v>
      </c>
      <c r="AA70" s="416">
        <f>+Detail!$L$108*'Cash Flow'!AA130</f>
        <v>1253.9701827711133</v>
      </c>
      <c r="AB70" s="416">
        <f>+Detail!$L$108*'Cash Flow'!AB130</f>
        <v>1256.0601330757318</v>
      </c>
      <c r="AC70" s="416">
        <f>+Detail!$L$108*'Cash Flow'!AC130</f>
        <v>1258.153566630858</v>
      </c>
      <c r="AD70" s="416">
        <f>+Detail!$L$108*'Cash Flow'!AD130</f>
        <v>1260.2504892419097</v>
      </c>
      <c r="AE70" s="416">
        <f>+Detail!$L$108*'Cash Flow'!AE130</f>
        <v>1262.3509067239795</v>
      </c>
      <c r="AF70" s="416">
        <f>+Detail!$L$108*'Cash Flow'!AF130</f>
        <v>1264.454824901853</v>
      </c>
      <c r="AG70" s="416">
        <f>+Detail!$L$108*'Cash Flow'!AG130</f>
        <v>1266.5622496100227</v>
      </c>
      <c r="AH70" s="416">
        <f>+Detail!$L$108*'Cash Flow'!AH130</f>
        <v>1268.6731866927062</v>
      </c>
      <c r="AI70" s="416">
        <f>+Detail!$L$108*'Cash Flow'!AI130</f>
        <v>1270.787642003861</v>
      </c>
      <c r="AJ70" s="416">
        <f>+Detail!$L$108*'Cash Flow'!AJ130</f>
        <v>1272.9056214072007</v>
      </c>
      <c r="AK70" s="416">
        <f>+Detail!$L$108*'Cash Flow'!AK130</f>
        <v>1275.0271307762127</v>
      </c>
      <c r="AL70" s="416">
        <f>+Detail!$L$108*'Cash Flow'!AL130</f>
        <v>1277.1521759941731</v>
      </c>
      <c r="AM70" s="416">
        <f>+Detail!$L$108*'Cash Flow'!AM130</f>
        <v>1279.2807629541635</v>
      </c>
      <c r="AN70" s="416">
        <f>+Detail!$L$108*'Cash Flow'!AN130</f>
        <v>1281.4128975590872</v>
      </c>
      <c r="AO70" s="416">
        <f>+Detail!$L$108*'Cash Flow'!AO130</f>
        <v>1283.5485857216859</v>
      </c>
      <c r="AP70" s="416">
        <f>+Detail!$L$108*'Cash Flow'!AP130</f>
        <v>1285.6878333645554</v>
      </c>
      <c r="AQ70" s="416">
        <f>+Detail!$L$108*'Cash Flow'!AQ130</f>
        <v>1287.8306464201632</v>
      </c>
      <c r="AR70" s="416">
        <f>+Detail!$L$108*'Cash Flow'!AR130</f>
        <v>1289.9770308308637</v>
      </c>
      <c r="AS70" s="416">
        <f>+Detail!$L$108*'Cash Flow'!AS130</f>
        <v>1292.126992548915</v>
      </c>
      <c r="AT70" s="416">
        <f>+Detail!$L$108*'Cash Flow'!AT130</f>
        <v>1294.2805375364967</v>
      </c>
      <c r="AU70" s="416">
        <f>+Detail!$L$108*'Cash Flow'!AU130</f>
        <v>1296.4376717657242</v>
      </c>
      <c r="AV70" s="416">
        <f>+Detail!$L$108*'Cash Flow'!AV130</f>
        <v>1298.5984012186673</v>
      </c>
      <c r="AW70" s="416">
        <f>+Detail!$L$108*'Cash Flow'!AW130</f>
        <v>1300.7627318873649</v>
      </c>
      <c r="AX70" s="416">
        <f>+Detail!$L$108*'Cash Flow'!AX130</f>
        <v>1302.9306697738441</v>
      </c>
      <c r="AY70" s="416">
        <f>+Detail!$L$108*'Cash Flow'!AY130</f>
        <v>1305.102220890134</v>
      </c>
      <c r="AZ70" s="416">
        <f>+Detail!$L$108*'Cash Flow'!AZ130</f>
        <v>1307.2773912582841</v>
      </c>
      <c r="BA70" s="416">
        <f>+Detail!$L$108*'Cash Flow'!BA130</f>
        <v>1309.4561869103813</v>
      </c>
      <c r="BB70" s="416">
        <f>+Detail!$L$108*'Cash Flow'!BB130</f>
        <v>1311.6386138885655</v>
      </c>
      <c r="BC70" s="416">
        <f>+Detail!$L$108*'Cash Flow'!BC130</f>
        <v>1313.8246782450465</v>
      </c>
      <c r="BD70" s="416">
        <f>+Detail!$L$108*'Cash Flow'!BD130</f>
        <v>1316.0143860421217</v>
      </c>
      <c r="BE70" s="416">
        <f>+Detail!$L$108*'Cash Flow'!BE130</f>
        <v>1318.207743352192</v>
      </c>
      <c r="BF70" s="416">
        <f>+Detail!$L$108*'Cash Flow'!BF130</f>
        <v>1320.4047562577791</v>
      </c>
      <c r="BG70" s="416">
        <f>+Detail!$L$108*'Cash Flow'!BG130</f>
        <v>1322.6054308515422</v>
      </c>
      <c r="BH70" s="416">
        <f>+Detail!$L$108*'Cash Flow'!BH130</f>
        <v>1324.8097732362949</v>
      </c>
      <c r="BI70" s="416">
        <f>+Detail!$L$108*'Cash Flow'!BI130</f>
        <v>1327.017789525022</v>
      </c>
      <c r="BJ70" s="416">
        <f>+Detail!$L$108*'Cash Flow'!BJ130</f>
        <v>1329.2294858408973</v>
      </c>
      <c r="BK70" s="416">
        <f>+Detail!$L$108*'Cash Flow'!BK130</f>
        <v>1331.4448683172986</v>
      </c>
      <c r="BL70" s="416">
        <f>+Detail!$L$108*'Cash Flow'!BL130</f>
        <v>1333.6639430978278</v>
      </c>
      <c r="BM70" s="416">
        <f>+Detail!$L$108*'Cash Flow'!BM130</f>
        <v>1335.8867163363241</v>
      </c>
      <c r="BN70" s="416">
        <f>+Detail!$L$108*'Cash Flow'!BN130</f>
        <v>1338.1131941968847</v>
      </c>
      <c r="BO70" s="416">
        <f>+Detail!$L$108*'Cash Flow'!BO130</f>
        <v>1340.3433828538798</v>
      </c>
      <c r="BP70" s="416">
        <f>+Detail!$L$108*'Cash Flow'!BP130</f>
        <v>1342.5772884919695</v>
      </c>
      <c r="BQ70" s="416">
        <f>+Detail!$L$108*'Cash Flow'!BQ130</f>
        <v>1344.8149173061229</v>
      </c>
      <c r="BR70" s="416">
        <f>+Detail!$L$108*'Cash Flow'!BR130</f>
        <v>1347.0562755016333</v>
      </c>
      <c r="BS70" s="416">
        <f>+Detail!$L$108*'Cash Flow'!BS130</f>
        <v>1349.3013692941358</v>
      </c>
      <c r="BT70" s="416">
        <f>+Detail!$L$108*'Cash Flow'!BT130</f>
        <v>1351.5502049096265</v>
      </c>
      <c r="BU70" s="416">
        <f>+Detail!$L$108*'Cash Flow'!BU130</f>
        <v>1353.8027885844758</v>
      </c>
      <c r="BV70" s="416">
        <f>+Detail!$L$108*'Cash Flow'!BV130</f>
        <v>1356.0591265654502</v>
      </c>
      <c r="BW70" s="416">
        <f>+Detail!$L$108*'Cash Flow'!BW130</f>
        <v>1358.3192251097259</v>
      </c>
      <c r="BX70" s="416">
        <f>+Detail!$L$108*'Cash Flow'!BX130</f>
        <v>1360.583090484909</v>
      </c>
      <c r="BY70" s="416">
        <f>+Detail!$L$108*'Cash Flow'!BY130</f>
        <v>1362.8507289690504</v>
      </c>
      <c r="BZ70" s="416">
        <f>+Detail!$L$108*'Cash Flow'!BZ130</f>
        <v>1365.1221468506656</v>
      </c>
      <c r="CA70" s="416">
        <f>+Detail!$L$108*'Cash Flow'!CA130</f>
        <v>1367.3973504287501</v>
      </c>
      <c r="CB70" s="416">
        <f>+Detail!$L$108*'Cash Flow'!CB130</f>
        <v>1369.6763460127981</v>
      </c>
      <c r="CC70" s="416">
        <f>+Detail!$L$108*'Cash Flow'!CC130</f>
        <v>1371.9591399228195</v>
      </c>
      <c r="CD70" s="416">
        <f>+Detail!$L$108*'Cash Flow'!CD130</f>
        <v>1374.2457384893576</v>
      </c>
      <c r="CE70" s="416">
        <f>+Detail!$L$108*'Cash Flow'!CE130</f>
        <v>1376.5361480535068</v>
      </c>
      <c r="CF70" s="416">
        <f>+Detail!$L$108*'Cash Flow'!CF130</f>
        <v>1378.8303749669292</v>
      </c>
      <c r="CG70" s="416">
        <f>+Detail!$L$108*'Cash Flow'!CG130</f>
        <v>1381.1284255918742</v>
      </c>
      <c r="CH70" s="416">
        <f>+Detail!$L$108*'Cash Flow'!CH130</f>
        <v>1383.4303063011942</v>
      </c>
      <c r="CI70" s="416">
        <f>+Detail!$L$108*'Cash Flow'!CI130</f>
        <v>1385.736023478363</v>
      </c>
      <c r="CJ70" s="416">
        <f>+Detail!$L$108*'Cash Flow'!CJ130</f>
        <v>1388.0455835174937</v>
      </c>
      <c r="CK70" s="416">
        <f>+Detail!$L$108*'Cash Flow'!CK130</f>
        <v>1390.3589928233562</v>
      </c>
      <c r="CL70" s="416">
        <f>+Detail!$L$108*'Cash Flow'!CL130</f>
        <v>1392.6762578113951</v>
      </c>
      <c r="CM70" s="416">
        <f>+Detail!$L$108*'Cash Flow'!CM130</f>
        <v>1394.9973849077478</v>
      </c>
      <c r="CN70" s="416">
        <f>+Detail!$L$108*'Cash Flow'!CN130</f>
        <v>1397.3223805492607</v>
      </c>
      <c r="CO70" s="416">
        <f>+Detail!$L$108*'Cash Flow'!CO130</f>
        <v>1399.6512511835094</v>
      </c>
      <c r="CP70" s="416">
        <f>+Detail!$L$108*'Cash Flow'!CP130</f>
        <v>1401.9840032688155</v>
      </c>
      <c r="CQ70" s="416">
        <f>+Detail!$L$108*'Cash Flow'!CQ130</f>
        <v>1404.3206432742636</v>
      </c>
      <c r="CR70" s="416">
        <f>+Detail!$L$108*'Cash Flow'!CR130</f>
        <v>1406.661177679721</v>
      </c>
      <c r="CS70" s="416">
        <f>+Detail!$L$108*'Cash Flow'!CS130</f>
        <v>1409.0056129758536</v>
      </c>
      <c r="CT70" s="416">
        <f>+Detail!$L$108*'Cash Flow'!CT130</f>
        <v>1411.3539556641472</v>
      </c>
      <c r="CU70" s="416">
        <f>+Detail!$L$108*'Cash Flow'!CU130</f>
        <v>1413.7062122569209</v>
      </c>
      <c r="CV70" s="416">
        <f>+Detail!$L$108*'Cash Flow'!CV130</f>
        <v>1416.0623892773488</v>
      </c>
      <c r="CW70" s="416">
        <f>+Detail!$L$108*'Cash Flow'!CW130</f>
        <v>1418.4224932594777</v>
      </c>
      <c r="CX70" s="416">
        <f>+Detail!$L$108*'Cash Flow'!CX130</f>
        <v>1420.7865307482439</v>
      </c>
      <c r="CY70" s="416">
        <f>+Detail!$L$108*'Cash Flow'!CY130</f>
        <v>1423.154508299491</v>
      </c>
      <c r="CZ70" s="416">
        <f>+Detail!$L$108*'Cash Flow'!CZ130</f>
        <v>1425.5264324799905</v>
      </c>
      <c r="DA70" s="416">
        <f>+Detail!$L$108*'Cash Flow'!DA130</f>
        <v>1427.9023098674568</v>
      </c>
      <c r="DB70" s="416">
        <f>+Detail!$L$108*'Cash Flow'!DB130</f>
        <v>1430.2821470505696</v>
      </c>
      <c r="DC70" s="416">
        <f>+Detail!$L$108*'Cash Flow'!DC130</f>
        <v>1432.6659506289875</v>
      </c>
      <c r="DD70" s="416">
        <f>+Detail!$L$108*'Cash Flow'!DD130</f>
        <v>1435.0537272133693</v>
      </c>
      <c r="DE70" s="416">
        <f>+Detail!$L$108*'Cash Flow'!DE130</f>
        <v>1437.4454834253916</v>
      </c>
      <c r="DF70" s="416">
        <f>+Detail!$L$108*'Cash Flow'!DF130</f>
        <v>1439.8412258977673</v>
      </c>
      <c r="DG70" s="416">
        <f>+Detail!$L$108*'Cash Flow'!DG130</f>
        <v>1442.2409612742638</v>
      </c>
      <c r="DH70" s="416">
        <f>+Detail!$L$108*'Cash Flow'!DH130</f>
        <v>1444.6446962097209</v>
      </c>
      <c r="DI70" s="416">
        <f>+Detail!$L$108*'Cash Flow'!DI130</f>
        <v>1447.0524373700703</v>
      </c>
      <c r="DJ70" s="416">
        <f>+Detail!$L$108*'Cash Flow'!DJ130</f>
        <v>1449.464191432354</v>
      </c>
      <c r="DK70" s="416">
        <f>+Detail!$L$108*'Cash Flow'!DK130</f>
        <v>1451.8799650847416</v>
      </c>
      <c r="DL70" s="416">
        <f>+Detail!$L$108*'Cash Flow'!DL130</f>
        <v>1454.2997650265493</v>
      </c>
      <c r="DM70" s="416">
        <f>+Detail!$L$108*'Cash Flow'!DM130</f>
        <v>1456.7235979682603</v>
      </c>
      <c r="DN70" s="416">
        <f>+Detail!$L$108*'Cash Flow'!DN130</f>
        <v>1459.1514706315409</v>
      </c>
      <c r="DO70" s="416">
        <f>+Detail!$L$108*'Cash Flow'!DO130</f>
        <v>1461.58338974926</v>
      </c>
      <c r="DP70" s="416">
        <f>+Detail!$L$108*'Cash Flow'!DP130</f>
        <v>1464.0193620655091</v>
      </c>
      <c r="DQ70" s="416">
        <f>+Detail!$L$108*'Cash Flow'!DQ130</f>
        <v>1466.4593943356185</v>
      </c>
      <c r="DR70" s="416">
        <f>+Detail!$L$108*'Cash Flow'!DR130</f>
        <v>1468.9034933261778</v>
      </c>
      <c r="DS70" s="416">
        <f>+Detail!$L$108*'Cash Flow'!DS130</f>
        <v>1471.351665815055</v>
      </c>
      <c r="DT70" s="416">
        <f>+Detail!$L$108*'Cash Flow'!DT130</f>
        <v>1473.8039185914135</v>
      </c>
      <c r="DU70" s="416">
        <f>+Detail!$L$108*'Cash Flow'!DU130</f>
        <v>1476.2602584557324</v>
      </c>
      <c r="DV70" s="416">
        <f>+Detail!$L$108*'Cash Flow'!DV130</f>
        <v>1478.7206922198257</v>
      </c>
      <c r="DW70" s="416">
        <f>+Detail!$L$108*'Cash Flow'!DW130</f>
        <v>1481.1852267068587</v>
      </c>
      <c r="DX70" s="416">
        <f>+Detail!$L$108*'Cash Flow'!DX130</f>
        <v>1483.6538687513703</v>
      </c>
      <c r="DY70" s="416">
        <f>+Detail!$L$108*'Cash Flow'!DY130</f>
        <v>1486.1266251992893</v>
      </c>
      <c r="DZ70" s="416">
        <f>+Detail!$L$108*'Cash Flow'!DZ130</f>
        <v>1488.6035029079549</v>
      </c>
      <c r="EA70" s="416">
        <f>+Detail!$L$108*'Cash Flow'!EA130</f>
        <v>1491.084508746135</v>
      </c>
      <c r="EB70" s="416">
        <f>+Detail!$L$108*'Cash Flow'!EB130</f>
        <v>1493.5696495940454</v>
      </c>
      <c r="EC70" s="416">
        <f>+Detail!$L$108*'Cash Flow'!EC130</f>
        <v>1496.0589323433687</v>
      </c>
      <c r="ED70" s="416">
        <f>+Detail!$L$108*'Cash Flow'!ED130</f>
        <v>1498.5523638972745</v>
      </c>
      <c r="EE70" s="416">
        <f>+Detail!$L$108*'Cash Flow'!EE130</f>
        <v>1501.0499511704363</v>
      </c>
      <c r="EF70" s="416">
        <f>+Detail!$L$108*'Cash Flow'!EF130</f>
        <v>1503.5517010890542</v>
      </c>
      <c r="EG70" s="416">
        <f>+Detail!$L$108*'Cash Flow'!EG130</f>
        <v>1506.0576205908692</v>
      </c>
      <c r="EH70" s="416">
        <f>+Detail!$L$108*'Cash Flow'!EH130</f>
        <v>1508.5677166251878</v>
      </c>
      <c r="EI70" s="416">
        <f>+Detail!$L$108*'Cash Flow'!EI130</f>
        <v>1511.0819961528966</v>
      </c>
      <c r="EJ70" s="416">
        <f>+Detail!$L$108*'Cash Flow'!EJ130</f>
        <v>1513.6004661464847</v>
      </c>
      <c r="EK70" s="416">
        <f>+Detail!$L$108*'Cash Flow'!EK130</f>
        <v>1516.1231335900623</v>
      </c>
      <c r="EL70" s="416">
        <f>+Detail!$L$108*'Cash Flow'!EL130</f>
        <v>1518.6500054793792</v>
      </c>
      <c r="EM70" s="416">
        <f>+Detail!$L$108*'Cash Flow'!EM130</f>
        <v>1521.1810888218449</v>
      </c>
      <c r="EN70" s="416">
        <f>+Detail!$L$108*'Cash Flow'!EN130</f>
        <v>1523.7163906365479</v>
      </c>
      <c r="EO70" s="416">
        <f>+Detail!$L$108*'Cash Flow'!EO130</f>
        <v>1526.2559179542757</v>
      </c>
      <c r="EP70" s="416">
        <f>+Detail!$L$108*'Cash Flow'!EP130</f>
        <v>1528.7996778175327</v>
      </c>
      <c r="EQ70" s="416">
        <f>+Detail!$L$108*'Cash Flow'!EQ130</f>
        <v>1531.3476772805623</v>
      </c>
      <c r="ER70" s="416">
        <f>+Detail!$L$108*'Cash Flow'!ER130</f>
        <v>1533.8999234093633</v>
      </c>
      <c r="ES70" s="416">
        <f>+Detail!$L$108*'Cash Flow'!ES130</f>
        <v>1536.4564232817122</v>
      </c>
      <c r="ET70" s="416">
        <f>+Detail!$L$108*'Cash Flow'!ET130</f>
        <v>1539.0171839871821</v>
      </c>
      <c r="EU70" s="416">
        <f>+Detail!$L$108*'Cash Flow'!EU130</f>
        <v>1541.5822126271605</v>
      </c>
      <c r="EV70" s="416">
        <f>+Detail!$L$108*'Cash Flow'!EV130</f>
        <v>1544.1515163148727</v>
      </c>
      <c r="EW70" s="416">
        <f>+Detail!$L$108*'Cash Flow'!EW130</f>
        <v>1546.7251021753978</v>
      </c>
      <c r="EX70" s="416">
        <f>+Detail!$L$108*'Cash Flow'!EX130</f>
        <v>1549.3029773456899</v>
      </c>
      <c r="EY70" s="416">
        <f>+Detail!$L$108*'Cash Flow'!EY130</f>
        <v>1551.8851489745998</v>
      </c>
      <c r="EZ70" s="416">
        <f>+Detail!$L$108*'Cash Flow'!EZ130</f>
        <v>1554.4716242228908</v>
      </c>
      <c r="FA70" s="416">
        <f>+Detail!$L$108*'Cash Flow'!FA130</f>
        <v>1557.0624102632623</v>
      </c>
      <c r="FB70" s="416">
        <f>+Detail!$L$108*'Cash Flow'!FB130</f>
        <v>1559.6575142803681</v>
      </c>
      <c r="FC70" s="416">
        <f>+Detail!$L$108*'Cash Flow'!FC130</f>
        <v>1562.2569434708353</v>
      </c>
      <c r="FD70" s="416">
        <f>+Detail!$L$108*'Cash Flow'!FD130</f>
        <v>1564.860705043287</v>
      </c>
      <c r="FE70" s="416">
        <f>+Detail!$L$108*'Cash Flow'!FE130</f>
        <v>1567.4688062183588</v>
      </c>
      <c r="FF70" s="416">
        <f>+Detail!$L$108*'Cash Flow'!FF130</f>
        <v>1570.0812542287231</v>
      </c>
      <c r="FG70" s="416">
        <f>+Detail!$L$108*'Cash Flow'!FG130</f>
        <v>1572.6980563191046</v>
      </c>
      <c r="FH70" s="416">
        <f>+Detail!$L$108*'Cash Flow'!FH130</f>
        <v>1575.3192197463029</v>
      </c>
      <c r="FI70" s="416">
        <f>+Detail!$L$108*'Cash Flow'!FI130</f>
        <v>1577.9447517792134</v>
      </c>
      <c r="FJ70" s="416">
        <f>+Detail!$L$108*'Cash Flow'!FJ130</f>
        <v>1580.5746596988458</v>
      </c>
      <c r="FK70" s="416">
        <f>+Detail!$L$108*'Cash Flow'!FK130</f>
        <v>1583.2089507983437</v>
      </c>
      <c r="FL70" s="416">
        <f>+Detail!$L$108*'Cash Flow'!FL130</f>
        <v>1585.8476323830082</v>
      </c>
      <c r="FM70" s="416">
        <f>+Detail!$L$108*'Cash Flow'!FM130</f>
        <v>1588.4907117703128</v>
      </c>
      <c r="FN70" s="416">
        <f>+Detail!$L$108*'Cash Flow'!FN130</f>
        <v>1591.1381962899304</v>
      </c>
      <c r="FO70" s="416">
        <f>+Detail!$L$108*'Cash Flow'!FO130</f>
        <v>1593.7900932837472</v>
      </c>
      <c r="FP70" s="416">
        <f>+Detail!$L$108*'Cash Flow'!FP130</f>
        <v>1596.446410105887</v>
      </c>
      <c r="FQ70" s="416">
        <f>+Detail!$L$108*'Cash Flow'!FQ130</f>
        <v>1599.10715412273</v>
      </c>
      <c r="FR70" s="416">
        <f>+Detail!$L$108*'Cash Flow'!FR130</f>
        <v>1601.7723327129347</v>
      </c>
      <c r="FS70" s="416">
        <f>+Detail!$L$108*'Cash Flow'!FS130</f>
        <v>1604.4419532674565</v>
      </c>
      <c r="FT70" s="592"/>
      <c r="FU70" s="592"/>
      <c r="FV70" s="592"/>
      <c r="FW70" s="592"/>
      <c r="FX70" s="592"/>
    </row>
    <row r="71" spans="1:182" ht="12" customHeight="1" outlineLevel="1">
      <c r="B71" s="574" t="s">
        <v>40</v>
      </c>
      <c r="C71" s="575"/>
      <c r="D71" s="604"/>
      <c r="E71" s="628">
        <f>Detail!$L$109*E127</f>
        <v>25200</v>
      </c>
      <c r="F71" s="628">
        <f>Detail!$L$109*F127</f>
        <v>25200</v>
      </c>
      <c r="G71" s="628">
        <f>Detail!$L$109*G127</f>
        <v>25200</v>
      </c>
      <c r="H71" s="628">
        <f>Detail!$L$109*H127</f>
        <v>25200</v>
      </c>
      <c r="I71" s="628">
        <f>Detail!$L$109*I127</f>
        <v>25200</v>
      </c>
      <c r="J71" s="628">
        <f>Detail!$L$109*J127</f>
        <v>25200</v>
      </c>
      <c r="K71" s="628">
        <f>Detail!$L$109*K127</f>
        <v>25200</v>
      </c>
      <c r="L71" s="628">
        <f>Detail!$L$109*L127</f>
        <v>25242</v>
      </c>
      <c r="M71" s="628">
        <f>Detail!$L$109*M127</f>
        <v>25284.070000000003</v>
      </c>
      <c r="N71" s="628">
        <f>Detail!$L$109*N127</f>
        <v>25326.210116666669</v>
      </c>
      <c r="O71" s="628">
        <f>Detail!$L$109*O127</f>
        <v>25368.420466861116</v>
      </c>
      <c r="P71" s="628">
        <f>Detail!$L$109*P127</f>
        <v>25410.701167639218</v>
      </c>
      <c r="Q71" s="628">
        <f>Detail!$L$109*Q127</f>
        <v>25453.052336251953</v>
      </c>
      <c r="R71" s="628">
        <f>Detail!$L$109*R127</f>
        <v>25495.474090145708</v>
      </c>
      <c r="S71" s="628">
        <f>Detail!$L$109*S127</f>
        <v>25537.96654696262</v>
      </c>
      <c r="T71" s="628">
        <f>Detail!$L$109*T127</f>
        <v>25580.529824540892</v>
      </c>
      <c r="U71" s="628">
        <f>Detail!$L$109*U127</f>
        <v>25623.16404091513</v>
      </c>
      <c r="V71" s="628">
        <f>Detail!$L$109*V127</f>
        <v>25665.869314316657</v>
      </c>
      <c r="W71" s="628">
        <f>Detail!$L$109*W127</f>
        <v>25708.645763173852</v>
      </c>
      <c r="X71" s="628">
        <f>Detail!$L$109*X127</f>
        <v>25751.493506112474</v>
      </c>
      <c r="Y71" s="628">
        <f>Detail!$L$109*Y127</f>
        <v>25794.412661956001</v>
      </c>
      <c r="Z71" s="628">
        <f>Detail!$L$109*Z127</f>
        <v>25837.403349725926</v>
      </c>
      <c r="AA71" s="628">
        <f>Detail!$L$109*AA127</f>
        <v>25880.465688642144</v>
      </c>
      <c r="AB71" s="628">
        <f>Detail!$L$109*AB127</f>
        <v>25923.59979812321</v>
      </c>
      <c r="AC71" s="628">
        <f>Detail!$L$109*AC127</f>
        <v>25966.80579778675</v>
      </c>
      <c r="AD71" s="628">
        <f>Detail!$L$109*AD127</f>
        <v>26010.083807449733</v>
      </c>
      <c r="AE71" s="628">
        <f>Detail!$L$109*AE127</f>
        <v>26053.433947128815</v>
      </c>
      <c r="AF71" s="628">
        <f>Detail!$L$109*AF127</f>
        <v>26096.856337040703</v>
      </c>
      <c r="AG71" s="628">
        <f>Detail!$L$109*AG127</f>
        <v>26140.351097602434</v>
      </c>
      <c r="AH71" s="628">
        <f>Detail!$L$109*AH127</f>
        <v>26183.918349431773</v>
      </c>
      <c r="AI71" s="628">
        <f>Detail!$L$109*AI127</f>
        <v>26227.5582133475</v>
      </c>
      <c r="AJ71" s="628">
        <f>Detail!$L$109*AJ127</f>
        <v>26271.270810369741</v>
      </c>
      <c r="AK71" s="628">
        <f>Detail!$L$109*AK127</f>
        <v>26315.056261720361</v>
      </c>
      <c r="AL71" s="628">
        <f>Detail!$L$109*AL127</f>
        <v>26358.914688823232</v>
      </c>
      <c r="AM71" s="628">
        <f>Detail!$L$109*AM127</f>
        <v>26402.846213304605</v>
      </c>
      <c r="AN71" s="628">
        <f>Detail!$L$109*AN127</f>
        <v>26446.85095699345</v>
      </c>
      <c r="AO71" s="628">
        <f>Detail!$L$109*AO127</f>
        <v>26490.929041921769</v>
      </c>
      <c r="AP71" s="628">
        <f>Detail!$L$109*AP127</f>
        <v>26535.080590324978</v>
      </c>
      <c r="AQ71" s="628">
        <f>Detail!$L$109*AQ127</f>
        <v>26579.305724642189</v>
      </c>
      <c r="AR71" s="628">
        <f>Detail!$L$109*AR127</f>
        <v>26623.604567516595</v>
      </c>
      <c r="AS71" s="628">
        <f>Detail!$L$109*AS127</f>
        <v>26667.97724179579</v>
      </c>
      <c r="AT71" s="628">
        <f>Detail!$L$109*AT127</f>
        <v>26712.423870532119</v>
      </c>
      <c r="AU71" s="628">
        <f>Detail!$L$109*AU127</f>
        <v>26756.944576983005</v>
      </c>
      <c r="AV71" s="628">
        <f>Detail!$L$109*AV127</f>
        <v>26801.539484611316</v>
      </c>
      <c r="AW71" s="628">
        <f>Detail!$L$109*AW127</f>
        <v>26846.208717085665</v>
      </c>
      <c r="AX71" s="628">
        <f>Detail!$L$109*AX127</f>
        <v>26890.952398280813</v>
      </c>
      <c r="AY71" s="628">
        <f>Detail!$L$109*AY127</f>
        <v>26935.770652277952</v>
      </c>
      <c r="AZ71" s="628">
        <f>Detail!$L$109*AZ127</f>
        <v>26980.663603365079</v>
      </c>
      <c r="BA71" s="628">
        <f>Detail!$L$109*BA127</f>
        <v>27025.631376037356</v>
      </c>
      <c r="BB71" s="628">
        <f>Detail!$L$109*BB127</f>
        <v>27070.674094997419</v>
      </c>
      <c r="BC71" s="628">
        <f>Detail!$L$109*BC127</f>
        <v>27115.791885155748</v>
      </c>
      <c r="BD71" s="628">
        <f>Detail!$L$109*BD127</f>
        <v>27160.984871631015</v>
      </c>
      <c r="BE71" s="628">
        <f>Detail!$L$109*BE127</f>
        <v>27206.253179750402</v>
      </c>
      <c r="BF71" s="628">
        <f>Detail!$L$109*BF127</f>
        <v>27251.596935049987</v>
      </c>
      <c r="BG71" s="628">
        <f>Detail!$L$109*BG127</f>
        <v>27297.016263275076</v>
      </c>
      <c r="BH71" s="628">
        <f>Detail!$L$109*BH127</f>
        <v>27342.511290380531</v>
      </c>
      <c r="BI71" s="628">
        <f>Detail!$L$109*BI127</f>
        <v>27388.082142531166</v>
      </c>
      <c r="BJ71" s="628">
        <f>Detail!$L$109*BJ127</f>
        <v>27433.728946102055</v>
      </c>
      <c r="BK71" s="628">
        <f>Detail!$L$109*BK127</f>
        <v>27479.451827678891</v>
      </c>
      <c r="BL71" s="628">
        <f>Detail!$L$109*BL127</f>
        <v>27525.250914058361</v>
      </c>
      <c r="BM71" s="628">
        <f>Detail!$L$109*BM127</f>
        <v>27571.126332248459</v>
      </c>
      <c r="BN71" s="628">
        <f>Detail!$L$109*BN127</f>
        <v>27617.078209468877</v>
      </c>
      <c r="BO71" s="628">
        <f>Detail!$L$109*BO127</f>
        <v>27663.106673151327</v>
      </c>
      <c r="BP71" s="628">
        <f>Detail!$L$109*BP127</f>
        <v>27709.211850939912</v>
      </c>
      <c r="BQ71" s="628">
        <f>Detail!$L$109*BQ127</f>
        <v>27755.393870691478</v>
      </c>
      <c r="BR71" s="628">
        <f>Detail!$L$109*BR127</f>
        <v>27801.65286047597</v>
      </c>
      <c r="BS71" s="628">
        <f>Detail!$L$109*BS127</f>
        <v>27847.98894857676</v>
      </c>
      <c r="BT71" s="628">
        <f>Detail!$L$109*BT127</f>
        <v>27894.402263491062</v>
      </c>
      <c r="BU71" s="628">
        <f>Detail!$L$109*BU127</f>
        <v>27940.892933930212</v>
      </c>
      <c r="BV71" s="628">
        <f>Detail!$L$109*BV127</f>
        <v>27987.461088820102</v>
      </c>
      <c r="BW71" s="628">
        <f>Detail!$L$109*BW127</f>
        <v>28034.106857301471</v>
      </c>
      <c r="BX71" s="628">
        <f>Detail!$L$109*BX127</f>
        <v>28080.830368730309</v>
      </c>
      <c r="BY71" s="628">
        <f>Detail!$L$109*BY127</f>
        <v>28127.63175267819</v>
      </c>
      <c r="BZ71" s="628">
        <f>Detail!$L$109*BZ127</f>
        <v>28174.511138932659</v>
      </c>
      <c r="CA71" s="628">
        <f>Detail!$L$109*CA127</f>
        <v>28221.468657497546</v>
      </c>
      <c r="CB71" s="628">
        <f>Detail!$L$109*CB127</f>
        <v>28268.504438593376</v>
      </c>
      <c r="CC71" s="628">
        <f>Detail!$L$109*CC127</f>
        <v>28315.618612657698</v>
      </c>
      <c r="CD71" s="628">
        <f>Detail!$L$109*CD127</f>
        <v>28362.811310345463</v>
      </c>
      <c r="CE71" s="628">
        <f>Detail!$L$109*CE127</f>
        <v>28410.082662529378</v>
      </c>
      <c r="CF71" s="628">
        <f>Detail!$L$109*CF127</f>
        <v>28457.432800300259</v>
      </c>
      <c r="CG71" s="628">
        <f>Detail!$L$109*CG127</f>
        <v>28504.861854967428</v>
      </c>
      <c r="CH71" s="628">
        <f>Detail!$L$109*CH127</f>
        <v>28552.369958059047</v>
      </c>
      <c r="CI71" s="628">
        <f>Detail!$L$109*CI127</f>
        <v>28599.957241322478</v>
      </c>
      <c r="CJ71" s="628">
        <f>Detail!$L$109*CJ127</f>
        <v>28647.623836724688</v>
      </c>
      <c r="CK71" s="628">
        <f>Detail!$L$109*CK127</f>
        <v>28695.369876452562</v>
      </c>
      <c r="CL71" s="628">
        <f>Detail!$L$109*CL127</f>
        <v>28743.195492913314</v>
      </c>
      <c r="CM71" s="628">
        <f>Detail!$L$109*CM127</f>
        <v>28791.100818734842</v>
      </c>
      <c r="CN71" s="628">
        <f>Detail!$L$109*CN127</f>
        <v>28839.085986766066</v>
      </c>
      <c r="CO71" s="628">
        <f>Detail!$L$109*CO127</f>
        <v>28887.151130077345</v>
      </c>
      <c r="CP71" s="628">
        <f>Detail!$L$109*CP127</f>
        <v>28935.296381960812</v>
      </c>
      <c r="CQ71" s="628">
        <f>Detail!$L$109*CQ127</f>
        <v>28983.52187593075</v>
      </c>
      <c r="CR71" s="628">
        <f>Detail!$L$109*CR127</f>
        <v>29031.827745723975</v>
      </c>
      <c r="CS71" s="628">
        <f>Detail!$L$109*CS127</f>
        <v>29080.214125300172</v>
      </c>
      <c r="CT71" s="628">
        <f>Detail!$L$109*CT127</f>
        <v>29128.681148842348</v>
      </c>
      <c r="CU71" s="628">
        <f>Detail!$L$109*CU127</f>
        <v>29177.228950757089</v>
      </c>
      <c r="CV71" s="628">
        <f>Detail!$L$109*CV127</f>
        <v>29225.857665675012</v>
      </c>
      <c r="CW71" s="628">
        <f>Detail!$L$109*CW127</f>
        <v>29274.567428451141</v>
      </c>
      <c r="CX71" s="628">
        <f>Detail!$L$109*CX127</f>
        <v>29323.358374165229</v>
      </c>
      <c r="CY71" s="628">
        <f>Detail!$L$109*CY127</f>
        <v>29372.230638122175</v>
      </c>
      <c r="CZ71" s="628">
        <f>Detail!$L$109*CZ127</f>
        <v>29421.184355852383</v>
      </c>
      <c r="DA71" s="628">
        <f>Detail!$L$109*DA127</f>
        <v>29470.219663112133</v>
      </c>
      <c r="DB71" s="628">
        <f>Detail!$L$109*DB127</f>
        <v>29519.336695883991</v>
      </c>
      <c r="DC71" s="628">
        <f>Detail!$L$109*DC127</f>
        <v>29568.535590377138</v>
      </c>
      <c r="DD71" s="628">
        <f>Detail!$L$109*DD127</f>
        <v>29617.816483027771</v>
      </c>
      <c r="DE71" s="628">
        <f>Detail!$L$109*DE127</f>
        <v>29667.179510499482</v>
      </c>
      <c r="DF71" s="628">
        <f>Detail!$L$109*DF127</f>
        <v>29716.62480968365</v>
      </c>
      <c r="DG71" s="628">
        <f>Detail!$L$109*DG127</f>
        <v>29766.152517699793</v>
      </c>
      <c r="DH71" s="628">
        <f>Detail!$L$109*DH127</f>
        <v>29815.762771895959</v>
      </c>
      <c r="DI71" s="628">
        <f>Detail!$L$109*DI127</f>
        <v>29865.455709849117</v>
      </c>
      <c r="DJ71" s="628">
        <f>Detail!$L$109*DJ127</f>
        <v>29915.231469365539</v>
      </c>
      <c r="DK71" s="628">
        <f>Detail!$L$109*DK127</f>
        <v>29965.09018848115</v>
      </c>
      <c r="DL71" s="628">
        <f>Detail!$L$109*DL127</f>
        <v>30015.032005461948</v>
      </c>
      <c r="DM71" s="628">
        <f>Detail!$L$109*DM127</f>
        <v>30065.057058804385</v>
      </c>
      <c r="DN71" s="628">
        <f>Detail!$L$109*DN127</f>
        <v>30115.165487235732</v>
      </c>
      <c r="DO71" s="628">
        <f>Detail!$L$109*DO127</f>
        <v>30165.357429714455</v>
      </c>
      <c r="DP71" s="628">
        <f>Detail!$L$109*DP127</f>
        <v>30215.633025430652</v>
      </c>
      <c r="DQ71" s="628">
        <f>Detail!$L$109*DQ127</f>
        <v>30265.992413806376</v>
      </c>
      <c r="DR71" s="628">
        <f>Detail!$L$109*DR127</f>
        <v>30316.435734496055</v>
      </c>
      <c r="DS71" s="628">
        <f>Detail!$L$109*DS127</f>
        <v>30366.963127386884</v>
      </c>
      <c r="DT71" s="628">
        <f>Detail!$L$109*DT127</f>
        <v>30417.574732599198</v>
      </c>
      <c r="DU71" s="628">
        <f>Detail!$L$109*DU127</f>
        <v>30468.270690486861</v>
      </c>
      <c r="DV71" s="628">
        <f>Detail!$L$109*DV127</f>
        <v>30519.051141637679</v>
      </c>
      <c r="DW71" s="628">
        <f>Detail!$L$109*DW127</f>
        <v>30569.916226873742</v>
      </c>
      <c r="DX71" s="628">
        <f>Detail!$L$109*DX127</f>
        <v>30620.86608725187</v>
      </c>
      <c r="DY71" s="628">
        <f>Detail!$L$109*DY127</f>
        <v>30671.900864063955</v>
      </c>
      <c r="DZ71" s="628">
        <f>Detail!$L$109*DZ127</f>
        <v>30723.020698837398</v>
      </c>
      <c r="EA71" s="628">
        <f>Detail!$L$109*EA127</f>
        <v>30774.225733335465</v>
      </c>
      <c r="EB71" s="628">
        <f>Detail!$L$109*EB127</f>
        <v>30825.516109557691</v>
      </c>
      <c r="EC71" s="628">
        <f>Detail!$L$109*EC127</f>
        <v>30876.891969740289</v>
      </c>
      <c r="ED71" s="628">
        <f>Detail!$L$109*ED127</f>
        <v>30928.353456356526</v>
      </c>
      <c r="EE71" s="628">
        <f>Detail!$L$109*EE127</f>
        <v>30979.900712117116</v>
      </c>
      <c r="EF71" s="628">
        <f>Detail!$L$109*EF127</f>
        <v>31031.533879970651</v>
      </c>
      <c r="EG71" s="628">
        <f>Detail!$L$109*EG127</f>
        <v>31083.253103103933</v>
      </c>
      <c r="EH71" s="628">
        <f>Detail!$L$109*EH127</f>
        <v>31135.058524942451</v>
      </c>
      <c r="EI71" s="628">
        <f>Detail!$L$109*EI127</f>
        <v>31186.950289150689</v>
      </c>
      <c r="EJ71" s="628">
        <f>Detail!$L$109*EJ127</f>
        <v>31238.928539632609</v>
      </c>
      <c r="EK71" s="628">
        <f>Detail!$L$109*EK127</f>
        <v>31290.993420531995</v>
      </c>
      <c r="EL71" s="628">
        <f>Detail!$L$109*EL127</f>
        <v>31343.145076232886</v>
      </c>
      <c r="EM71" s="628">
        <f>Detail!$L$109*EM127</f>
        <v>31395.383651359945</v>
      </c>
      <c r="EN71" s="628">
        <f>Detail!$L$109*EN127</f>
        <v>31447.709290778876</v>
      </c>
      <c r="EO71" s="628">
        <f>Detail!$L$109*EO127</f>
        <v>31500.122139596842</v>
      </c>
      <c r="EP71" s="628">
        <f>Detail!$L$109*EP127</f>
        <v>31552.622343162839</v>
      </c>
      <c r="EQ71" s="628">
        <f>Detail!$L$109*EQ127</f>
        <v>31605.210047068118</v>
      </c>
      <c r="ER71" s="628">
        <f>Detail!$L$109*ER127</f>
        <v>31657.885397146561</v>
      </c>
      <c r="ES71" s="628">
        <f>Detail!$L$109*ES127</f>
        <v>31710.648539475143</v>
      </c>
      <c r="ET71" s="628">
        <f>Detail!$L$109*ET127</f>
        <v>31763.499620374274</v>
      </c>
      <c r="EU71" s="628">
        <f>Detail!$L$109*EU127</f>
        <v>31816.438786408227</v>
      </c>
      <c r="EV71" s="628">
        <f>Detail!$L$109*EV127</f>
        <v>31869.466184385576</v>
      </c>
      <c r="EW71" s="628">
        <f>Detail!$L$109*EW127</f>
        <v>31922.581961359563</v>
      </c>
      <c r="EX71" s="628">
        <f>Detail!$L$109*EX127</f>
        <v>31975.786264628492</v>
      </c>
      <c r="EY71" s="628">
        <f>Detail!$L$109*EY127</f>
        <v>32029.07924173621</v>
      </c>
      <c r="EZ71" s="628">
        <f>Detail!$L$109*EZ127</f>
        <v>32082.461040472437</v>
      </c>
      <c r="FA71" s="628">
        <f>Detail!$L$109*FA127</f>
        <v>32135.931808873229</v>
      </c>
      <c r="FB71" s="628">
        <f>Detail!$L$109*FB127</f>
        <v>32189.491695221353</v>
      </c>
      <c r="FC71" s="628">
        <f>Detail!$L$109*FC127</f>
        <v>32243.140848046722</v>
      </c>
      <c r="FD71" s="628">
        <f>Detail!$L$109*FD127</f>
        <v>32296.879416126805</v>
      </c>
      <c r="FE71" s="628">
        <f>Detail!$L$109*FE127</f>
        <v>32350.707548487015</v>
      </c>
      <c r="FF71" s="628">
        <f>Detail!$L$109*FF127</f>
        <v>32404.625394401162</v>
      </c>
      <c r="FG71" s="628">
        <f>Detail!$L$109*FG127</f>
        <v>32458.63310339184</v>
      </c>
      <c r="FH71" s="628">
        <f>Detail!$L$109*FH127</f>
        <v>32512.730825230821</v>
      </c>
      <c r="FI71" s="628">
        <f>Detail!$L$109*FI127</f>
        <v>32566.918709939542</v>
      </c>
      <c r="FJ71" s="628">
        <f>Detail!$L$109*FJ127</f>
        <v>32621.196907789446</v>
      </c>
      <c r="FK71" s="628">
        <f>Detail!$L$109*FK127</f>
        <v>32675.565569302427</v>
      </c>
      <c r="FL71" s="628">
        <f>Detail!$L$109*FL127</f>
        <v>32730.024845251271</v>
      </c>
      <c r="FM71" s="628">
        <f>Detail!$L$109*FM127</f>
        <v>32784.574886660019</v>
      </c>
      <c r="FN71" s="628">
        <f>Detail!$L$109*FN127</f>
        <v>32839.215844804457</v>
      </c>
      <c r="FO71" s="628">
        <f>Detail!$L$109*FO127</f>
        <v>32893.947871212469</v>
      </c>
      <c r="FP71" s="628">
        <f>Detail!$L$109*FP127</f>
        <v>32948.771117664495</v>
      </c>
      <c r="FQ71" s="628">
        <f>Detail!$L$109*FQ127</f>
        <v>33003.685736193933</v>
      </c>
      <c r="FR71" s="628">
        <f>Detail!$L$109*FR127</f>
        <v>33058.691879087593</v>
      </c>
      <c r="FS71" s="628">
        <f>Detail!$L$109*FS127</f>
        <v>33113.789698886081</v>
      </c>
      <c r="FT71" s="592">
        <f t="shared" si="107"/>
        <v>176400</v>
      </c>
      <c r="FU71" s="592">
        <f t="shared" si="107"/>
        <v>305696.10366747383</v>
      </c>
      <c r="FV71" s="592">
        <f t="shared" si="107"/>
        <v>311866.38255434745</v>
      </c>
      <c r="FW71" s="592">
        <f t="shared" si="107"/>
        <v>318161.20454492781</v>
      </c>
      <c r="FX71" s="592">
        <f t="shared" si="107"/>
        <v>324583.08346151776</v>
      </c>
    </row>
    <row r="72" spans="1:182" ht="12" customHeight="1" outlineLevel="1">
      <c r="B72" s="574" t="s">
        <v>320</v>
      </c>
      <c r="C72" s="575"/>
      <c r="D72" s="604"/>
      <c r="E72" s="628">
        <f>Detail!$L$112</f>
        <v>4800</v>
      </c>
      <c r="F72" s="628">
        <f>Detail!$L$112</f>
        <v>4800</v>
      </c>
      <c r="G72" s="628">
        <f>Detail!$L$112</f>
        <v>4800</v>
      </c>
      <c r="H72" s="628">
        <f>Detail!$L$112</f>
        <v>4800</v>
      </c>
      <c r="I72" s="628">
        <f>Detail!$L$112</f>
        <v>4800</v>
      </c>
      <c r="J72" s="628">
        <f>Detail!$L$112</f>
        <v>4800</v>
      </c>
      <c r="K72" s="628">
        <f>Detail!$L$112</f>
        <v>4800</v>
      </c>
      <c r="L72" s="628">
        <f>Detail!$L$112</f>
        <v>4800</v>
      </c>
      <c r="M72" s="628">
        <f>Detail!$L$112</f>
        <v>4800</v>
      </c>
      <c r="N72" s="628">
        <f>Detail!$L$112</f>
        <v>4800</v>
      </c>
      <c r="O72" s="628">
        <f>Detail!$L$112</f>
        <v>4800</v>
      </c>
      <c r="P72" s="628">
        <f>Detail!$L$112</f>
        <v>4800</v>
      </c>
      <c r="Q72" s="628">
        <f>Detail!$L$112</f>
        <v>4800</v>
      </c>
      <c r="R72" s="628">
        <f>Detail!$L$112</f>
        <v>4800</v>
      </c>
      <c r="S72" s="628">
        <f>Detail!$L$112</f>
        <v>4800</v>
      </c>
      <c r="T72" s="628">
        <f>Detail!$L$112</f>
        <v>4800</v>
      </c>
      <c r="U72" s="628">
        <f>Detail!$L$112</f>
        <v>4800</v>
      </c>
      <c r="V72" s="628">
        <f>Detail!$L$112</f>
        <v>4800</v>
      </c>
      <c r="W72" s="628">
        <f>Detail!$L$112</f>
        <v>4800</v>
      </c>
      <c r="X72" s="628">
        <f>Detail!$L$112</f>
        <v>4800</v>
      </c>
      <c r="Y72" s="628">
        <f>Detail!$L$112</f>
        <v>4800</v>
      </c>
      <c r="Z72" s="628">
        <f>Detail!$L$112</f>
        <v>4800</v>
      </c>
      <c r="AA72" s="628">
        <f>Detail!$L$112</f>
        <v>4800</v>
      </c>
      <c r="AB72" s="628">
        <f>Detail!$L$112</f>
        <v>4800</v>
      </c>
      <c r="AC72" s="628">
        <f>Detail!$L$112</f>
        <v>4800</v>
      </c>
      <c r="AD72" s="628">
        <f>Detail!$L$112</f>
        <v>4800</v>
      </c>
      <c r="AE72" s="628">
        <f>Detail!$L$112</f>
        <v>4800</v>
      </c>
      <c r="AF72" s="628">
        <f>Detail!$L$112</f>
        <v>4800</v>
      </c>
      <c r="AG72" s="628">
        <f>Detail!$L$112</f>
        <v>4800</v>
      </c>
      <c r="AH72" s="628">
        <f>Detail!$L$112</f>
        <v>4800</v>
      </c>
      <c r="AI72" s="628">
        <f>Detail!$L$112</f>
        <v>4800</v>
      </c>
      <c r="AJ72" s="628">
        <f>Detail!$L$112</f>
        <v>4800</v>
      </c>
      <c r="AK72" s="628">
        <f>Detail!$L$112</f>
        <v>4800</v>
      </c>
      <c r="AL72" s="628">
        <f>Detail!$L$112</f>
        <v>4800</v>
      </c>
      <c r="AM72" s="628">
        <f>Detail!$L$112</f>
        <v>4800</v>
      </c>
      <c r="AN72" s="628">
        <f>Detail!$L$112</f>
        <v>4800</v>
      </c>
      <c r="AO72" s="628">
        <f>Detail!$L$112</f>
        <v>4800</v>
      </c>
      <c r="AP72" s="628">
        <f>Detail!$L$112</f>
        <v>4800</v>
      </c>
      <c r="AQ72" s="628">
        <f>Detail!$L$112</f>
        <v>4800</v>
      </c>
      <c r="AR72" s="628">
        <f>Detail!$L$112</f>
        <v>4800</v>
      </c>
      <c r="AS72" s="628">
        <f>Detail!$L$112</f>
        <v>4800</v>
      </c>
      <c r="AT72" s="628">
        <f>Detail!$L$112</f>
        <v>4800</v>
      </c>
      <c r="AU72" s="628">
        <f>Detail!$L$112</f>
        <v>4800</v>
      </c>
      <c r="AV72" s="628">
        <f>Detail!$L$112</f>
        <v>4800</v>
      </c>
      <c r="AW72" s="628">
        <f>Detail!$L$112</f>
        <v>4800</v>
      </c>
      <c r="AX72" s="628">
        <f>Detail!$L$112</f>
        <v>4800</v>
      </c>
      <c r="AY72" s="628">
        <f>Detail!$L$112</f>
        <v>4800</v>
      </c>
      <c r="AZ72" s="628">
        <f>Detail!$L$112</f>
        <v>4800</v>
      </c>
      <c r="BA72" s="628">
        <f>Detail!$L$112</f>
        <v>4800</v>
      </c>
      <c r="BB72" s="628">
        <f>Detail!$L$112</f>
        <v>4800</v>
      </c>
      <c r="BC72" s="628">
        <f>Detail!$L$112</f>
        <v>4800</v>
      </c>
      <c r="BD72" s="628">
        <f>Detail!$L$112</f>
        <v>4800</v>
      </c>
      <c r="BE72" s="628">
        <f>Detail!$L$112</f>
        <v>4800</v>
      </c>
      <c r="BF72" s="628">
        <f>Detail!$L$112</f>
        <v>4800</v>
      </c>
      <c r="BG72" s="628">
        <f>Detail!$L$112</f>
        <v>4800</v>
      </c>
      <c r="BH72" s="628">
        <f>Detail!$L$112</f>
        <v>4800</v>
      </c>
      <c r="BI72" s="628">
        <f>Detail!$L$112</f>
        <v>4800</v>
      </c>
      <c r="BJ72" s="628">
        <f>Detail!$L$112</f>
        <v>4800</v>
      </c>
      <c r="BK72" s="628">
        <f>Detail!$L$112</f>
        <v>4800</v>
      </c>
      <c r="BL72" s="628">
        <f>Detail!$L$112</f>
        <v>4800</v>
      </c>
      <c r="BM72" s="628">
        <f>Detail!$L$112</f>
        <v>4800</v>
      </c>
      <c r="BN72" s="628">
        <f>Detail!$L$112</f>
        <v>4800</v>
      </c>
      <c r="BO72" s="628">
        <f>Detail!$L$112</f>
        <v>4800</v>
      </c>
      <c r="BP72" s="628">
        <f>Detail!$L$112</f>
        <v>4800</v>
      </c>
      <c r="BQ72" s="628">
        <f>Detail!$L$112</f>
        <v>4800</v>
      </c>
      <c r="BR72" s="628">
        <f>Detail!$L$112</f>
        <v>4800</v>
      </c>
      <c r="BS72" s="628">
        <f>Detail!$L$112</f>
        <v>4800</v>
      </c>
      <c r="BT72" s="628">
        <f>Detail!$L$112</f>
        <v>4800</v>
      </c>
      <c r="BU72" s="628">
        <f>Detail!$L$112</f>
        <v>4800</v>
      </c>
      <c r="BV72" s="628">
        <f>Detail!$L$112</f>
        <v>4800</v>
      </c>
      <c r="BW72" s="628">
        <f>Detail!$L$112</f>
        <v>4800</v>
      </c>
      <c r="BX72" s="628">
        <f>Detail!$L$112</f>
        <v>4800</v>
      </c>
      <c r="BY72" s="628">
        <f>Detail!$L$112</f>
        <v>4800</v>
      </c>
      <c r="BZ72" s="628">
        <f>Detail!$L$112</f>
        <v>4800</v>
      </c>
      <c r="CA72" s="628">
        <f>Detail!$L$112</f>
        <v>4800</v>
      </c>
      <c r="CB72" s="628">
        <f>Detail!$L$112</f>
        <v>4800</v>
      </c>
      <c r="CC72" s="628">
        <f>Detail!$L$112</f>
        <v>4800</v>
      </c>
      <c r="CD72" s="628">
        <f>Detail!$L$112</f>
        <v>4800</v>
      </c>
      <c r="CE72" s="628">
        <f>Detail!$L$112</f>
        <v>4800</v>
      </c>
      <c r="CF72" s="628">
        <f>Detail!$L$112</f>
        <v>4800</v>
      </c>
      <c r="CG72" s="628">
        <f>Detail!$L$112</f>
        <v>4800</v>
      </c>
      <c r="CH72" s="628">
        <f>Detail!$L$112</f>
        <v>4800</v>
      </c>
      <c r="CI72" s="628">
        <f>Detail!$L$112</f>
        <v>4800</v>
      </c>
      <c r="CJ72" s="628">
        <f>Detail!$L$112</f>
        <v>4800</v>
      </c>
      <c r="CK72" s="628">
        <f>Detail!$L$112</f>
        <v>4800</v>
      </c>
      <c r="CL72" s="628">
        <f>Detail!$L$112</f>
        <v>4800</v>
      </c>
      <c r="CM72" s="628">
        <f>Detail!$L$112</f>
        <v>4800</v>
      </c>
      <c r="CN72" s="628">
        <f>Detail!$L$112</f>
        <v>4800</v>
      </c>
      <c r="CO72" s="628">
        <f>Detail!$L$112</f>
        <v>4800</v>
      </c>
      <c r="CP72" s="628">
        <f>Detail!$L$112</f>
        <v>4800</v>
      </c>
      <c r="CQ72" s="628">
        <f>Detail!$L$112</f>
        <v>4800</v>
      </c>
      <c r="CR72" s="628">
        <f>Detail!$L$112</f>
        <v>4800</v>
      </c>
      <c r="CS72" s="628">
        <f>Detail!$L$112</f>
        <v>4800</v>
      </c>
      <c r="CT72" s="628">
        <f>Detail!$L$112</f>
        <v>4800</v>
      </c>
      <c r="CU72" s="628">
        <f>Detail!$L$112</f>
        <v>4800</v>
      </c>
      <c r="CV72" s="628">
        <f>Detail!$L$112</f>
        <v>4800</v>
      </c>
      <c r="CW72" s="628">
        <f>Detail!$L$112</f>
        <v>4800</v>
      </c>
      <c r="CX72" s="628">
        <f>Detail!$L$112</f>
        <v>4800</v>
      </c>
      <c r="CY72" s="628">
        <f>Detail!$L$112</f>
        <v>4800</v>
      </c>
      <c r="CZ72" s="628">
        <f>Detail!$L$112</f>
        <v>4800</v>
      </c>
      <c r="DA72" s="628">
        <f>Detail!$L$112</f>
        <v>4800</v>
      </c>
      <c r="DB72" s="628">
        <f>Detail!$L$112</f>
        <v>4800</v>
      </c>
      <c r="DC72" s="628">
        <f>Detail!$L$112</f>
        <v>4800</v>
      </c>
      <c r="DD72" s="628">
        <f>Detail!$L$112</f>
        <v>4800</v>
      </c>
      <c r="DE72" s="628">
        <f>Detail!$L$112</f>
        <v>4800</v>
      </c>
      <c r="DF72" s="628">
        <f>Detail!$L$112</f>
        <v>4800</v>
      </c>
      <c r="DG72" s="628">
        <f>Detail!$L$112</f>
        <v>4800</v>
      </c>
      <c r="DH72" s="628">
        <f>Detail!$L$112</f>
        <v>4800</v>
      </c>
      <c r="DI72" s="628">
        <f>Detail!$L$112</f>
        <v>4800</v>
      </c>
      <c r="DJ72" s="628">
        <f>Detail!$L$112</f>
        <v>4800</v>
      </c>
      <c r="DK72" s="628">
        <f>Detail!$L$112</f>
        <v>4800</v>
      </c>
      <c r="DL72" s="628">
        <f>Detail!$L$112</f>
        <v>4800</v>
      </c>
      <c r="DM72" s="628">
        <f>Detail!$L$112</f>
        <v>4800</v>
      </c>
      <c r="DN72" s="628">
        <f>Detail!$L$112</f>
        <v>4800</v>
      </c>
      <c r="DO72" s="628">
        <f>Detail!$L$112</f>
        <v>4800</v>
      </c>
      <c r="DP72" s="628">
        <f>Detail!$L$112</f>
        <v>4800</v>
      </c>
      <c r="DQ72" s="628">
        <f>Detail!$L$112</f>
        <v>4800</v>
      </c>
      <c r="DR72" s="628">
        <f>Detail!$L$112</f>
        <v>4800</v>
      </c>
      <c r="DS72" s="628">
        <f>Detail!$L$112</f>
        <v>4800</v>
      </c>
      <c r="DT72" s="628">
        <f>Detail!$L$112</f>
        <v>4800</v>
      </c>
      <c r="DU72" s="628">
        <f>Detail!$L$112</f>
        <v>4800</v>
      </c>
      <c r="DV72" s="628">
        <f>Detail!$L$112</f>
        <v>4800</v>
      </c>
      <c r="DW72" s="628">
        <f>Detail!$L$112</f>
        <v>4800</v>
      </c>
      <c r="DX72" s="628">
        <f>Detail!$L$112</f>
        <v>4800</v>
      </c>
      <c r="DY72" s="628">
        <f>Detail!$L$112</f>
        <v>4800</v>
      </c>
      <c r="DZ72" s="628">
        <f>Detail!$L$112</f>
        <v>4800</v>
      </c>
      <c r="EA72" s="628">
        <f>Detail!$L$112</f>
        <v>4800</v>
      </c>
      <c r="EB72" s="628">
        <f>Detail!$L$112</f>
        <v>4800</v>
      </c>
      <c r="EC72" s="628">
        <f>Detail!$L$112</f>
        <v>4800</v>
      </c>
      <c r="ED72" s="628">
        <f>Detail!$L$112</f>
        <v>4800</v>
      </c>
      <c r="EE72" s="628">
        <f>Detail!$L$112</f>
        <v>4800</v>
      </c>
      <c r="EF72" s="628">
        <f>Detail!$L$112</f>
        <v>4800</v>
      </c>
      <c r="EG72" s="628">
        <f>Detail!$L$112</f>
        <v>4800</v>
      </c>
      <c r="EH72" s="628">
        <f>Detail!$L$112</f>
        <v>4800</v>
      </c>
      <c r="EI72" s="628">
        <f>Detail!$L$112</f>
        <v>4800</v>
      </c>
      <c r="EJ72" s="628">
        <f>Detail!$L$112</f>
        <v>4800</v>
      </c>
      <c r="EK72" s="628">
        <f>Detail!$L$112</f>
        <v>4800</v>
      </c>
      <c r="EL72" s="628">
        <f>Detail!$L$112</f>
        <v>4800</v>
      </c>
      <c r="EM72" s="628">
        <f>Detail!$L$112</f>
        <v>4800</v>
      </c>
      <c r="EN72" s="628">
        <f>Detail!$L$112</f>
        <v>4800</v>
      </c>
      <c r="EO72" s="628">
        <f>Detail!$L$112</f>
        <v>4800</v>
      </c>
      <c r="EP72" s="628">
        <f>Detail!$L$112</f>
        <v>4800</v>
      </c>
      <c r="EQ72" s="628">
        <f>Detail!$L$112</f>
        <v>4800</v>
      </c>
      <c r="ER72" s="628">
        <f>Detail!$L$112</f>
        <v>4800</v>
      </c>
      <c r="ES72" s="628">
        <f>Detail!$L$112</f>
        <v>4800</v>
      </c>
      <c r="ET72" s="628">
        <f>Detail!$L$112</f>
        <v>4800</v>
      </c>
      <c r="EU72" s="628">
        <f>Detail!$L$112</f>
        <v>4800</v>
      </c>
      <c r="EV72" s="628">
        <f>Detail!$L$112</f>
        <v>4800</v>
      </c>
      <c r="EW72" s="628">
        <f>Detail!$L$112</f>
        <v>4800</v>
      </c>
      <c r="EX72" s="628">
        <f>Detail!$L$112</f>
        <v>4800</v>
      </c>
      <c r="EY72" s="628">
        <f>Detail!$L$112</f>
        <v>4800</v>
      </c>
      <c r="EZ72" s="628">
        <f>Detail!$L$112</f>
        <v>4800</v>
      </c>
      <c r="FA72" s="628">
        <f>Detail!$L$112</f>
        <v>4800</v>
      </c>
      <c r="FB72" s="628">
        <f>Detail!$L$112</f>
        <v>4800</v>
      </c>
      <c r="FC72" s="628">
        <f>Detail!$L$112</f>
        <v>4800</v>
      </c>
      <c r="FD72" s="628">
        <f>Detail!$L$112</f>
        <v>4800</v>
      </c>
      <c r="FE72" s="628">
        <f>Detail!$L$112</f>
        <v>4800</v>
      </c>
      <c r="FF72" s="628">
        <f>Detail!$L$112</f>
        <v>4800</v>
      </c>
      <c r="FG72" s="628">
        <f>Detail!$L$112</f>
        <v>4800</v>
      </c>
      <c r="FH72" s="628">
        <f>Detail!$L$112</f>
        <v>4800</v>
      </c>
      <c r="FI72" s="628">
        <f>Detail!$L$112</f>
        <v>4800</v>
      </c>
      <c r="FJ72" s="628">
        <f>Detail!$L$112</f>
        <v>4800</v>
      </c>
      <c r="FK72" s="628">
        <f>Detail!$L$112</f>
        <v>4800</v>
      </c>
      <c r="FL72" s="628">
        <f>Detail!$L$112</f>
        <v>4800</v>
      </c>
      <c r="FM72" s="628">
        <f>Detail!$L$112</f>
        <v>4800</v>
      </c>
      <c r="FN72" s="628">
        <f>Detail!$L$112</f>
        <v>4800</v>
      </c>
      <c r="FO72" s="628">
        <f>Detail!$L$112</f>
        <v>4800</v>
      </c>
      <c r="FP72" s="628">
        <f>Detail!$L$112</f>
        <v>4800</v>
      </c>
      <c r="FQ72" s="628">
        <f>Detail!$L$112</f>
        <v>4800</v>
      </c>
      <c r="FR72" s="628">
        <f>Detail!$L$112</f>
        <v>4800</v>
      </c>
      <c r="FS72" s="628">
        <f>Detail!$L$112</f>
        <v>4800</v>
      </c>
      <c r="FT72" s="592">
        <f t="shared" si="107"/>
        <v>33600</v>
      </c>
      <c r="FU72" s="592">
        <f t="shared" si="107"/>
        <v>57600</v>
      </c>
      <c r="FV72" s="592">
        <f t="shared" si="107"/>
        <v>57600</v>
      </c>
      <c r="FW72" s="592">
        <f t="shared" si="107"/>
        <v>57600</v>
      </c>
      <c r="FX72" s="592">
        <f t="shared" si="107"/>
        <v>57600</v>
      </c>
    </row>
    <row r="73" spans="1:182" ht="12" customHeight="1" outlineLevel="1">
      <c r="B73" s="625" t="s">
        <v>36</v>
      </c>
      <c r="C73" s="594"/>
      <c r="D73" s="626"/>
      <c r="E73" s="596">
        <f t="shared" ref="E73:P73" si="112">SUM(E68:E72)</f>
        <v>106551.5304831832</v>
      </c>
      <c r="F73" s="596">
        <f t="shared" si="112"/>
        <v>106557.5201218361</v>
      </c>
      <c r="G73" s="596">
        <f t="shared" si="112"/>
        <v>106563.31009531918</v>
      </c>
      <c r="H73" s="596">
        <f t="shared" si="112"/>
        <v>106316.74798234111</v>
      </c>
      <c r="I73" s="596">
        <f t="shared" si="112"/>
        <v>106322.15837218973</v>
      </c>
      <c r="J73" s="596">
        <f t="shared" si="112"/>
        <v>106327.3884071326</v>
      </c>
      <c r="K73" s="596">
        <f t="shared" si="112"/>
        <v>106332.44409957068</v>
      </c>
      <c r="L73" s="596">
        <f t="shared" si="112"/>
        <v>106483.28760142464</v>
      </c>
      <c r="M73" s="596">
        <f t="shared" si="112"/>
        <v>106635.35956164339</v>
      </c>
      <c r="N73" s="596">
        <f t="shared" si="112"/>
        <v>106788.63047023953</v>
      </c>
      <c r="O73" s="596">
        <f t="shared" si="112"/>
        <v>106943.07182158058</v>
      </c>
      <c r="P73" s="596">
        <f t="shared" si="112"/>
        <v>107098.65608100814</v>
      </c>
      <c r="Q73" s="596">
        <f t="shared" ref="Q73:BW73" si="113">SUM(Q68:Q72)</f>
        <v>107853.25505449832</v>
      </c>
      <c r="R73" s="596">
        <f t="shared" si="113"/>
        <v>107871.39727625797</v>
      </c>
      <c r="S73" s="596">
        <f t="shared" si="113"/>
        <v>107899.14681367848</v>
      </c>
      <c r="T73" s="596">
        <f t="shared" si="113"/>
        <v>108090.40283456953</v>
      </c>
      <c r="U73" s="596">
        <f t="shared" si="113"/>
        <v>108553.84630566224</v>
      </c>
      <c r="V73" s="596">
        <f t="shared" si="113"/>
        <v>108751.45990315983</v>
      </c>
      <c r="W73" s="596">
        <f t="shared" si="113"/>
        <v>108951.01023090931</v>
      </c>
      <c r="X73" s="596">
        <f t="shared" si="113"/>
        <v>109691.87141762543</v>
      </c>
      <c r="Y73" s="596">
        <f t="shared" si="113"/>
        <v>109889.19650820641</v>
      </c>
      <c r="Z73" s="596">
        <f t="shared" si="113"/>
        <v>110095.60649965501</v>
      </c>
      <c r="AA73" s="596">
        <f t="shared" si="113"/>
        <v>110302.92159472068</v>
      </c>
      <c r="AB73" s="596">
        <f t="shared" si="113"/>
        <v>110510.30347461683</v>
      </c>
      <c r="AC73" s="596">
        <f t="shared" si="113"/>
        <v>110717.52045136737</v>
      </c>
      <c r="AD73" s="596">
        <f t="shared" si="113"/>
        <v>110904.39396321974</v>
      </c>
      <c r="AE73" s="596">
        <f t="shared" si="113"/>
        <v>111101.92019868869</v>
      </c>
      <c r="AF73" s="596">
        <f t="shared" si="113"/>
        <v>111309.53548532059</v>
      </c>
      <c r="AG73" s="596">
        <f t="shared" si="113"/>
        <v>111516.62160778942</v>
      </c>
      <c r="AH73" s="596">
        <f t="shared" si="113"/>
        <v>111723.32681564367</v>
      </c>
      <c r="AI73" s="596">
        <f t="shared" si="113"/>
        <v>111928.89347116716</v>
      </c>
      <c r="AJ73" s="596">
        <f t="shared" si="113"/>
        <v>112133.35357553416</v>
      </c>
      <c r="AK73" s="596">
        <f t="shared" si="113"/>
        <v>112331.38403541042</v>
      </c>
      <c r="AL73" s="596">
        <f t="shared" si="113"/>
        <v>112525.31401309796</v>
      </c>
      <c r="AM73" s="596">
        <f t="shared" si="113"/>
        <v>112726.22688831712</v>
      </c>
      <c r="AN73" s="596">
        <f t="shared" si="113"/>
        <v>112926.94719444936</v>
      </c>
      <c r="AO73" s="596">
        <f t="shared" si="113"/>
        <v>113126.66428141786</v>
      </c>
      <c r="AP73" s="596">
        <f t="shared" si="113"/>
        <v>113325.45240807402</v>
      </c>
      <c r="AQ73" s="596">
        <f t="shared" si="113"/>
        <v>113508.03112062233</v>
      </c>
      <c r="AR73" s="596">
        <f t="shared" si="113"/>
        <v>113698.55948732261</v>
      </c>
      <c r="AS73" s="596">
        <f t="shared" si="113"/>
        <v>113896.7453172214</v>
      </c>
      <c r="AT73" s="596">
        <f t="shared" si="113"/>
        <v>114094.86472882165</v>
      </c>
      <c r="AU73" s="596">
        <f t="shared" si="113"/>
        <v>114293.3053684601</v>
      </c>
      <c r="AV73" s="596">
        <f t="shared" si="113"/>
        <v>114491.49284428117</v>
      </c>
      <c r="AW73" s="596">
        <f t="shared" si="113"/>
        <v>114689.53931374596</v>
      </c>
      <c r="AX73" s="596">
        <f t="shared" si="113"/>
        <v>114883.20013120893</v>
      </c>
      <c r="AY73" s="596">
        <f t="shared" si="113"/>
        <v>115074.29535004176</v>
      </c>
      <c r="AZ73" s="596">
        <f t="shared" si="113"/>
        <v>115272.08651623031</v>
      </c>
      <c r="BA73" s="596">
        <f t="shared" si="113"/>
        <v>115470.66415326516</v>
      </c>
      <c r="BB73" s="596">
        <f t="shared" si="113"/>
        <v>115669.42100188388</v>
      </c>
      <c r="BC73" s="596">
        <f t="shared" si="113"/>
        <v>115868.3935187772</v>
      </c>
      <c r="BD73" s="596">
        <f t="shared" si="113"/>
        <v>116053.07560335632</v>
      </c>
      <c r="BE73" s="596">
        <f t="shared" si="113"/>
        <v>116246.09093653866</v>
      </c>
      <c r="BF73" s="596">
        <f t="shared" si="113"/>
        <v>116447.48427028468</v>
      </c>
      <c r="BG73" s="596">
        <f t="shared" si="113"/>
        <v>116649.60738972883</v>
      </c>
      <c r="BH73" s="596">
        <f t="shared" si="113"/>
        <v>116852.71550393837</v>
      </c>
      <c r="BI73" s="596">
        <f t="shared" si="113"/>
        <v>117056.25993067044</v>
      </c>
      <c r="BJ73" s="596">
        <f t="shared" si="113"/>
        <v>117260.27257987988</v>
      </c>
      <c r="BK73" s="596">
        <f t="shared" si="113"/>
        <v>117460.08059045846</v>
      </c>
      <c r="BL73" s="596">
        <f t="shared" si="113"/>
        <v>117657.45953929065</v>
      </c>
      <c r="BM73" s="596">
        <f t="shared" si="113"/>
        <v>117862.21781006688</v>
      </c>
      <c r="BN73" s="596">
        <f t="shared" si="113"/>
        <v>118067.96116772285</v>
      </c>
      <c r="BO73" s="596">
        <f t="shared" si="113"/>
        <v>118274.02308658685</v>
      </c>
      <c r="BP73" s="596">
        <f t="shared" si="113"/>
        <v>118480.37445293996</v>
      </c>
      <c r="BQ73" s="596">
        <f t="shared" si="113"/>
        <v>118671.01849008715</v>
      </c>
      <c r="BR73" s="596">
        <f t="shared" si="113"/>
        <v>118870.76345896268</v>
      </c>
      <c r="BS73" s="596">
        <f t="shared" si="113"/>
        <v>119079.58391382279</v>
      </c>
      <c r="BT73" s="596">
        <f t="shared" si="113"/>
        <v>119289.02795276801</v>
      </c>
      <c r="BU73" s="596">
        <f t="shared" si="113"/>
        <v>119499.33975282163</v>
      </c>
      <c r="BV73" s="596">
        <f t="shared" si="113"/>
        <v>119709.91213278229</v>
      </c>
      <c r="BW73" s="596">
        <f t="shared" si="113"/>
        <v>119920.76580512806</v>
      </c>
      <c r="BX73" s="596">
        <f t="shared" ref="BX73:EI73" si="114">SUM(BX68:BX72)</f>
        <v>120126.8781847127</v>
      </c>
      <c r="BY73" s="596">
        <f t="shared" si="114"/>
        <v>120330.18636095258</v>
      </c>
      <c r="BZ73" s="596">
        <f t="shared" si="114"/>
        <v>120541.17425061524</v>
      </c>
      <c r="CA73" s="596">
        <f t="shared" si="114"/>
        <v>120753.00252824153</v>
      </c>
      <c r="CB73" s="596">
        <f t="shared" si="114"/>
        <v>120964.94734317693</v>
      </c>
      <c r="CC73" s="596">
        <f t="shared" si="114"/>
        <v>121176.98923223375</v>
      </c>
      <c r="CD73" s="596">
        <f t="shared" si="114"/>
        <v>121372.44433905097</v>
      </c>
      <c r="CE73" s="596">
        <f t="shared" si="114"/>
        <v>121577.2503705475</v>
      </c>
      <c r="CF73" s="596">
        <f t="shared" si="114"/>
        <v>121791.32703857901</v>
      </c>
      <c r="CG73" s="596">
        <f t="shared" si="114"/>
        <v>122005.91823545839</v>
      </c>
      <c r="CH73" s="596">
        <f t="shared" si="114"/>
        <v>122221.30154423887</v>
      </c>
      <c r="CI73" s="596">
        <f t="shared" si="114"/>
        <v>122436.84455140593</v>
      </c>
      <c r="CJ73" s="596">
        <f t="shared" si="114"/>
        <v>122652.58330972325</v>
      </c>
      <c r="CK73" s="596">
        <f t="shared" si="114"/>
        <v>122863.38793709682</v>
      </c>
      <c r="CL73" s="596">
        <f t="shared" si="114"/>
        <v>123071.27123289244</v>
      </c>
      <c r="CM73" s="596">
        <f t="shared" si="114"/>
        <v>123287.00394568258</v>
      </c>
      <c r="CN73" s="596">
        <f t="shared" si="114"/>
        <v>123503.58190503548</v>
      </c>
      <c r="CO73" s="596">
        <f t="shared" si="114"/>
        <v>123720.26581754317</v>
      </c>
      <c r="CP73" s="596">
        <f t="shared" si="114"/>
        <v>123937.04612938501</v>
      </c>
      <c r="CQ73" s="596">
        <f t="shared" si="114"/>
        <v>124136.86555797566</v>
      </c>
      <c r="CR73" s="596">
        <f t="shared" si="114"/>
        <v>124346.26146046375</v>
      </c>
      <c r="CS73" s="596">
        <f t="shared" si="114"/>
        <v>124565.16571758034</v>
      </c>
      <c r="CT73" s="596">
        <f t="shared" si="114"/>
        <v>124784.62646302997</v>
      </c>
      <c r="CU73" s="596">
        <f t="shared" si="114"/>
        <v>125004.93231103112</v>
      </c>
      <c r="CV73" s="596">
        <f t="shared" si="114"/>
        <v>125225.43698236746</v>
      </c>
      <c r="CW73" s="596">
        <f t="shared" si="114"/>
        <v>125446.17896722196</v>
      </c>
      <c r="CX73" s="596">
        <f t="shared" si="114"/>
        <v>125661.88854717821</v>
      </c>
      <c r="CY73" s="596">
        <f t="shared" si="114"/>
        <v>125874.6271543748</v>
      </c>
      <c r="CZ73" s="596">
        <f t="shared" si="114"/>
        <v>126095.46547054927</v>
      </c>
      <c r="DA73" s="596">
        <f t="shared" si="114"/>
        <v>126317.20394391946</v>
      </c>
      <c r="DB73" s="596">
        <f t="shared" si="114"/>
        <v>126539.08431259402</v>
      </c>
      <c r="DC73" s="596">
        <f t="shared" si="114"/>
        <v>126761.09436916934</v>
      </c>
      <c r="DD73" s="596">
        <f t="shared" si="114"/>
        <v>126965.63108648304</v>
      </c>
      <c r="DE73" s="596">
        <f t="shared" si="114"/>
        <v>127180.06932277634</v>
      </c>
      <c r="DF73" s="596">
        <f t="shared" si="114"/>
        <v>127404.34689837642</v>
      </c>
      <c r="DG73" s="596">
        <f t="shared" si="114"/>
        <v>127629.21582277818</v>
      </c>
      <c r="DH73" s="596">
        <f t="shared" si="114"/>
        <v>127854.96990584985</v>
      </c>
      <c r="DI73" s="596">
        <f t="shared" si="114"/>
        <v>128080.94202993445</v>
      </c>
      <c r="DJ73" s="596">
        <f t="shared" si="114"/>
        <v>128307.16944227058</v>
      </c>
      <c r="DK73" s="596">
        <f t="shared" si="114"/>
        <v>128528.1972590197</v>
      </c>
      <c r="DL73" s="596">
        <f t="shared" si="114"/>
        <v>128746.15390662481</v>
      </c>
      <c r="DM73" s="596">
        <f t="shared" si="114"/>
        <v>128972.48810865471</v>
      </c>
      <c r="DN73" s="596">
        <f t="shared" si="114"/>
        <v>129199.75074322369</v>
      </c>
      <c r="DO73" s="596">
        <f t="shared" si="114"/>
        <v>129427.15682989823</v>
      </c>
      <c r="DP73" s="596">
        <f t="shared" si="114"/>
        <v>129654.69212147965</v>
      </c>
      <c r="DQ73" s="596">
        <f t="shared" si="114"/>
        <v>129864.14244983133</v>
      </c>
      <c r="DR73" s="596">
        <f t="shared" si="114"/>
        <v>130083.83048418033</v>
      </c>
      <c r="DS73" s="596">
        <f t="shared" si="114"/>
        <v>130313.68908119804</v>
      </c>
      <c r="DT73" s="596">
        <f t="shared" si="114"/>
        <v>130544.14967634859</v>
      </c>
      <c r="DU73" s="596">
        <f t="shared" si="114"/>
        <v>130775.51568698202</v>
      </c>
      <c r="DV73" s="596">
        <f t="shared" si="114"/>
        <v>131007.09678861509</v>
      </c>
      <c r="DW73" s="596">
        <f t="shared" si="114"/>
        <v>131238.93137814075</v>
      </c>
      <c r="DX73" s="596">
        <f t="shared" si="114"/>
        <v>131465.3803097895</v>
      </c>
      <c r="DY73" s="596">
        <f t="shared" si="114"/>
        <v>131688.64523756958</v>
      </c>
      <c r="DZ73" s="596">
        <f t="shared" si="114"/>
        <v>131920.56113161892</v>
      </c>
      <c r="EA73" s="596">
        <f t="shared" si="114"/>
        <v>132153.42780647852</v>
      </c>
      <c r="EB73" s="596">
        <f t="shared" si="114"/>
        <v>132386.43356604781</v>
      </c>
      <c r="EC73" s="596">
        <f t="shared" si="114"/>
        <v>132619.56416374038</v>
      </c>
      <c r="ED73" s="596">
        <f t="shared" si="114"/>
        <v>132834.00330304261</v>
      </c>
      <c r="EE73" s="596">
        <f t="shared" si="114"/>
        <v>133059.01199887373</v>
      </c>
      <c r="EF73" s="596">
        <f t="shared" si="114"/>
        <v>133294.51967986615</v>
      </c>
      <c r="EG73" s="596">
        <f t="shared" si="114"/>
        <v>133530.6430496643</v>
      </c>
      <c r="EH73" s="596">
        <f t="shared" si="114"/>
        <v>133767.69625417946</v>
      </c>
      <c r="EI73" s="596">
        <f t="shared" si="114"/>
        <v>134004.96617101479</v>
      </c>
      <c r="EJ73" s="596">
        <f t="shared" ref="EJ73:FS73" si="115">SUM(EJ68:EJ72)</f>
        <v>134242.49287983702</v>
      </c>
      <c r="EK73" s="596">
        <f t="shared" si="115"/>
        <v>134474.45329421308</v>
      </c>
      <c r="EL73" s="596">
        <f t="shared" si="115"/>
        <v>134703.12170635717</v>
      </c>
      <c r="EM73" s="596">
        <f t="shared" si="115"/>
        <v>134940.72095102392</v>
      </c>
      <c r="EN73" s="596">
        <f t="shared" si="115"/>
        <v>135179.29908078592</v>
      </c>
      <c r="EO73" s="596">
        <f t="shared" si="115"/>
        <v>135418.01794067241</v>
      </c>
      <c r="EP73" s="596">
        <f t="shared" si="115"/>
        <v>135656.86305470398</v>
      </c>
      <c r="EQ73" s="596">
        <f t="shared" si="115"/>
        <v>135876.40245436374</v>
      </c>
      <c r="ER73" s="596">
        <f t="shared" si="115"/>
        <v>136106.85488308125</v>
      </c>
      <c r="ES73" s="596">
        <f t="shared" si="115"/>
        <v>136348.14798442271</v>
      </c>
      <c r="ET73" s="596">
        <f t="shared" si="115"/>
        <v>136590.07490850418</v>
      </c>
      <c r="EU73" s="596">
        <f t="shared" si="115"/>
        <v>136832.96013463647</v>
      </c>
      <c r="EV73" s="596">
        <f t="shared" si="115"/>
        <v>137076.06720694384</v>
      </c>
      <c r="EW73" s="596">
        <f t="shared" si="115"/>
        <v>137319.43751158987</v>
      </c>
      <c r="EX73" s="596">
        <f t="shared" si="115"/>
        <v>137557.05644195696</v>
      </c>
      <c r="EY73" s="596">
        <f t="shared" si="115"/>
        <v>137791.27281651789</v>
      </c>
      <c r="EZ73" s="596">
        <f t="shared" si="115"/>
        <v>138034.71143849305</v>
      </c>
      <c r="FA73" s="596">
        <f t="shared" si="115"/>
        <v>138279.15876312373</v>
      </c>
      <c r="FB73" s="596">
        <f t="shared" si="115"/>
        <v>138523.74909518944</v>
      </c>
      <c r="FC73" s="596">
        <f t="shared" si="115"/>
        <v>138768.46738313115</v>
      </c>
      <c r="FD73" s="596">
        <f t="shared" si="115"/>
        <v>138993.24047848189</v>
      </c>
      <c r="FE73" s="596">
        <f t="shared" si="115"/>
        <v>139229.28385213797</v>
      </c>
      <c r="FF73" s="596">
        <f t="shared" si="115"/>
        <v>139476.52292643176</v>
      </c>
      <c r="FG73" s="596">
        <f t="shared" si="115"/>
        <v>139724.41380643932</v>
      </c>
      <c r="FH73" s="596">
        <f t="shared" si="115"/>
        <v>139973.29155201814</v>
      </c>
      <c r="FI73" s="596">
        <f t="shared" si="115"/>
        <v>140222.39539672117</v>
      </c>
      <c r="FJ73" s="596">
        <f t="shared" si="115"/>
        <v>140471.7680169238</v>
      </c>
      <c r="FK73" s="596">
        <f t="shared" si="115"/>
        <v>140715.1959828182</v>
      </c>
      <c r="FL73" s="596">
        <f t="shared" si="115"/>
        <v>140955.10562527674</v>
      </c>
      <c r="FM73" s="596">
        <f t="shared" si="115"/>
        <v>141204.53875912732</v>
      </c>
      <c r="FN73" s="596">
        <f t="shared" si="115"/>
        <v>141455.0104311528</v>
      </c>
      <c r="FO73" s="596">
        <f t="shared" si="115"/>
        <v>141705.62631886726</v>
      </c>
      <c r="FP73" s="596">
        <f t="shared" si="115"/>
        <v>141956.3708324607</v>
      </c>
      <c r="FQ73" s="596">
        <f t="shared" si="115"/>
        <v>142186.50771623559</v>
      </c>
      <c r="FR73" s="596">
        <f t="shared" si="115"/>
        <v>142428.28358174238</v>
      </c>
      <c r="FS73" s="596">
        <f t="shared" si="115"/>
        <v>142681.62128460754</v>
      </c>
      <c r="FT73" s="626">
        <f t="shared" si="107"/>
        <v>744971.09956157254</v>
      </c>
      <c r="FU73" s="626">
        <f t="shared" si="107"/>
        <v>1291919.523954632</v>
      </c>
      <c r="FV73" s="626">
        <f t="shared" si="107"/>
        <v>1329692.111488021</v>
      </c>
      <c r="FW73" s="626">
        <f t="shared" si="107"/>
        <v>1358586.8484187489</v>
      </c>
      <c r="FX73" s="626">
        <f t="shared" si="107"/>
        <v>1386815.351029343</v>
      </c>
    </row>
    <row r="74" spans="1:182" s="618" customFormat="1" ht="28.5" customHeight="1">
      <c r="B74" s="612" t="s">
        <v>321</v>
      </c>
      <c r="C74" s="613"/>
      <c r="D74" s="629"/>
      <c r="E74" s="616">
        <f t="shared" ref="E74:BP74" si="116">SUM(E73, E67)</f>
        <v>237782.36650468857</v>
      </c>
      <c r="F74" s="616">
        <f t="shared" si="116"/>
        <v>237788.35614334146</v>
      </c>
      <c r="G74" s="616">
        <f t="shared" si="116"/>
        <v>237794.14611682453</v>
      </c>
      <c r="H74" s="616">
        <f t="shared" si="116"/>
        <v>237547.58400384645</v>
      </c>
      <c r="I74" s="616">
        <f t="shared" si="116"/>
        <v>237552.99439369509</v>
      </c>
      <c r="J74" s="616">
        <f t="shared" si="116"/>
        <v>237558.22442863794</v>
      </c>
      <c r="K74" s="616">
        <f t="shared" si="116"/>
        <v>237563.28012107604</v>
      </c>
      <c r="L74" s="616">
        <f t="shared" si="116"/>
        <v>237932.84168296584</v>
      </c>
      <c r="M74" s="616">
        <f t="shared" si="116"/>
        <v>238303.9962333205</v>
      </c>
      <c r="N74" s="616">
        <f t="shared" si="116"/>
        <v>238676.71486970279</v>
      </c>
      <c r="O74" s="616">
        <f t="shared" si="116"/>
        <v>239050.96969504296</v>
      </c>
      <c r="P74" s="616">
        <f t="shared" si="116"/>
        <v>239426.73378425962</v>
      </c>
      <c r="Q74" s="616">
        <f t="shared" si="116"/>
        <v>240401.87955392187</v>
      </c>
      <c r="R74" s="616">
        <f t="shared" si="116"/>
        <v>240640.93614984729</v>
      </c>
      <c r="S74" s="616">
        <f t="shared" si="116"/>
        <v>240889.96825205715</v>
      </c>
      <c r="T74" s="616">
        <f t="shared" si="116"/>
        <v>241302.87564201211</v>
      </c>
      <c r="U74" s="616">
        <f t="shared" si="116"/>
        <v>241988.33990111726</v>
      </c>
      <c r="V74" s="616">
        <f t="shared" si="116"/>
        <v>242408.34432127397</v>
      </c>
      <c r="W74" s="616">
        <f t="shared" si="116"/>
        <v>242830.6561230536</v>
      </c>
      <c r="X74" s="616">
        <f t="shared" si="116"/>
        <v>243794.6500529233</v>
      </c>
      <c r="Y74" s="616">
        <f t="shared" si="116"/>
        <v>244215.47977456317</v>
      </c>
      <c r="Z74" s="616">
        <f t="shared" si="116"/>
        <v>244645.76690478902</v>
      </c>
      <c r="AA74" s="616">
        <f t="shared" si="116"/>
        <v>245077.33226719662</v>
      </c>
      <c r="AB74" s="616">
        <f t="shared" si="116"/>
        <v>245509.33816488017</v>
      </c>
      <c r="AC74" s="616">
        <f t="shared" si="116"/>
        <v>245941.55353278117</v>
      </c>
      <c r="AD74" s="616">
        <f t="shared" si="116"/>
        <v>246353.80043310262</v>
      </c>
      <c r="AE74" s="616">
        <f t="shared" si="116"/>
        <v>246777.07567935469</v>
      </c>
      <c r="AF74" s="616">
        <f t="shared" si="116"/>
        <v>247210.81622512103</v>
      </c>
      <c r="AG74" s="616">
        <f t="shared" si="116"/>
        <v>247644.40448215621</v>
      </c>
      <c r="AH74" s="616">
        <f t="shared" si="116"/>
        <v>248077.98932813443</v>
      </c>
      <c r="AI74" s="616">
        <f t="shared" si="116"/>
        <v>248510.81375451208</v>
      </c>
      <c r="AJ74" s="616">
        <f t="shared" si="116"/>
        <v>248942.9103926846</v>
      </c>
      <c r="AK74" s="616">
        <f t="shared" si="116"/>
        <v>249368.95678058951</v>
      </c>
      <c r="AL74" s="616">
        <f t="shared" si="116"/>
        <v>249791.28271285235</v>
      </c>
      <c r="AM74" s="616">
        <f t="shared" si="116"/>
        <v>250220.97220257111</v>
      </c>
      <c r="AN74" s="616">
        <f t="shared" si="116"/>
        <v>250650.85041756043</v>
      </c>
      <c r="AO74" s="616">
        <f t="shared" si="116"/>
        <v>251080.10734323412</v>
      </c>
      <c r="AP74" s="616">
        <f t="shared" si="116"/>
        <v>251508.81787499334</v>
      </c>
      <c r="AQ74" s="616">
        <f t="shared" si="116"/>
        <v>251921.7021966532</v>
      </c>
      <c r="AR74" s="616">
        <f t="shared" si="116"/>
        <v>252342.92001514687</v>
      </c>
      <c r="AS74" s="616">
        <f t="shared" si="116"/>
        <v>252772.17977925873</v>
      </c>
      <c r="AT74" s="616">
        <f t="shared" si="116"/>
        <v>253201.75824829569</v>
      </c>
      <c r="AU74" s="616">
        <f t="shared" si="116"/>
        <v>253632.04371046665</v>
      </c>
      <c r="AV74" s="616">
        <f t="shared" si="116"/>
        <v>254062.46241685771</v>
      </c>
      <c r="AW74" s="616">
        <f t="shared" si="116"/>
        <v>254493.12716894347</v>
      </c>
      <c r="AX74" s="616">
        <f t="shared" si="116"/>
        <v>254919.7939661651</v>
      </c>
      <c r="AY74" s="616">
        <f t="shared" si="116"/>
        <v>255344.28350805625</v>
      </c>
      <c r="AZ74" s="616">
        <f t="shared" si="116"/>
        <v>255775.85798784145</v>
      </c>
      <c r="BA74" s="616">
        <f t="shared" si="116"/>
        <v>256208.60857732897</v>
      </c>
      <c r="BB74" s="616">
        <f t="shared" si="116"/>
        <v>256641.92866665451</v>
      </c>
      <c r="BC74" s="616">
        <f t="shared" si="116"/>
        <v>257075.85536298907</v>
      </c>
      <c r="BD74" s="616">
        <f t="shared" si="116"/>
        <v>257495.88321730861</v>
      </c>
      <c r="BE74" s="616">
        <f t="shared" si="116"/>
        <v>257924.63656318089</v>
      </c>
      <c r="BF74" s="616">
        <f t="shared" si="116"/>
        <v>258362.16080630463</v>
      </c>
      <c r="BG74" s="616">
        <f t="shared" si="116"/>
        <v>258800.80838664217</v>
      </c>
      <c r="BH74" s="616">
        <f t="shared" si="116"/>
        <v>259240.83516917989</v>
      </c>
      <c r="BI74" s="616">
        <f t="shared" si="116"/>
        <v>259681.69312868736</v>
      </c>
      <c r="BJ74" s="616">
        <f t="shared" si="116"/>
        <v>260123.41483322688</v>
      </c>
      <c r="BK74" s="616">
        <f t="shared" si="116"/>
        <v>260561.32808089437</v>
      </c>
      <c r="BL74" s="616">
        <f t="shared" si="116"/>
        <v>260997.20910887729</v>
      </c>
      <c r="BM74" s="616">
        <f t="shared" si="116"/>
        <v>261440.8669622695</v>
      </c>
      <c r="BN74" s="616">
        <f t="shared" si="116"/>
        <v>261885.90806851248</v>
      </c>
      <c r="BO74" s="616">
        <f t="shared" si="116"/>
        <v>262331.6665655445</v>
      </c>
      <c r="BP74" s="616">
        <f t="shared" si="116"/>
        <v>262778.11400436255</v>
      </c>
      <c r="BQ74" s="616">
        <f t="shared" ref="BQ74:EB74" si="117">SUM(BQ73, BQ67)</f>
        <v>263209.25427409541</v>
      </c>
      <c r="BR74" s="616">
        <f t="shared" si="117"/>
        <v>263649.89630261104</v>
      </c>
      <c r="BS74" s="616">
        <f t="shared" si="117"/>
        <v>264100.01531221054</v>
      </c>
      <c r="BT74" s="616">
        <f t="shared" si="117"/>
        <v>264551.16007015307</v>
      </c>
      <c r="BU74" s="616">
        <f t="shared" si="117"/>
        <v>265003.57542373566</v>
      </c>
      <c r="BV74" s="616">
        <f t="shared" si="117"/>
        <v>265456.65486314788</v>
      </c>
      <c r="BW74" s="616">
        <f t="shared" si="117"/>
        <v>265910.41977337759</v>
      </c>
      <c r="BX74" s="616">
        <f t="shared" si="117"/>
        <v>266359.84824290936</v>
      </c>
      <c r="BY74" s="616">
        <f t="shared" si="117"/>
        <v>266806.87803591287</v>
      </c>
      <c r="BZ74" s="616">
        <f t="shared" si="117"/>
        <v>267261.9937450338</v>
      </c>
      <c r="CA74" s="616">
        <f t="shared" si="117"/>
        <v>267718.35672181746</v>
      </c>
      <c r="CB74" s="616">
        <f t="shared" si="117"/>
        <v>268175.24379374215</v>
      </c>
      <c r="CC74" s="616">
        <f t="shared" si="117"/>
        <v>268632.63617688324</v>
      </c>
      <c r="CD74" s="616">
        <f t="shared" si="117"/>
        <v>269073.85069527489</v>
      </c>
      <c r="CE74" s="616">
        <f t="shared" si="117"/>
        <v>269524.82573736517</v>
      </c>
      <c r="CF74" s="616">
        <f t="shared" si="117"/>
        <v>269985.48169767472</v>
      </c>
      <c r="CG74" s="616">
        <f t="shared" si="117"/>
        <v>270447.06315231923</v>
      </c>
      <c r="CH74" s="616">
        <f t="shared" si="117"/>
        <v>270909.84836929454</v>
      </c>
      <c r="CI74" s="616">
        <f t="shared" si="117"/>
        <v>271373.20562117</v>
      </c>
      <c r="CJ74" s="616">
        <f t="shared" si="117"/>
        <v>271837.17164793698</v>
      </c>
      <c r="CK74" s="616">
        <f t="shared" si="117"/>
        <v>272296.61725587421</v>
      </c>
      <c r="CL74" s="616">
        <f t="shared" si="117"/>
        <v>272753.55593386781</v>
      </c>
      <c r="CM74" s="616">
        <f t="shared" si="117"/>
        <v>273218.75912115962</v>
      </c>
      <c r="CN74" s="616">
        <f t="shared" si="117"/>
        <v>273685.22333913832</v>
      </c>
      <c r="CO74" s="616">
        <f t="shared" si="117"/>
        <v>274152.20998736948</v>
      </c>
      <c r="CP74" s="616">
        <f t="shared" si="117"/>
        <v>274619.71020616108</v>
      </c>
      <c r="CQ74" s="616">
        <f t="shared" si="117"/>
        <v>275070.66740821302</v>
      </c>
      <c r="CR74" s="616">
        <f t="shared" si="117"/>
        <v>275531.6196471182</v>
      </c>
      <c r="CS74" s="616">
        <f t="shared" si="117"/>
        <v>276002.4995012125</v>
      </c>
      <c r="CT74" s="616">
        <f t="shared" si="117"/>
        <v>276474.35580296826</v>
      </c>
      <c r="CU74" s="616">
        <f t="shared" si="117"/>
        <v>276947.47786653601</v>
      </c>
      <c r="CV74" s="616">
        <f t="shared" si="117"/>
        <v>277421.22011379816</v>
      </c>
      <c r="CW74" s="616">
        <f t="shared" si="117"/>
        <v>277895.62173720507</v>
      </c>
      <c r="CX74" s="616">
        <f t="shared" si="117"/>
        <v>278365.41372177796</v>
      </c>
      <c r="CY74" s="616">
        <f t="shared" si="117"/>
        <v>278832.65820426558</v>
      </c>
      <c r="CZ74" s="616">
        <f t="shared" si="117"/>
        <v>279308.4265721899</v>
      </c>
      <c r="DA74" s="616">
        <f t="shared" si="117"/>
        <v>279785.51998072944</v>
      </c>
      <c r="DB74" s="616">
        <f t="shared" si="117"/>
        <v>280263.18087613204</v>
      </c>
      <c r="DC74" s="616">
        <f t="shared" si="117"/>
        <v>280741.3977603133</v>
      </c>
      <c r="DD74" s="616">
        <f t="shared" si="117"/>
        <v>281202.56831661228</v>
      </c>
      <c r="DE74" s="616">
        <f t="shared" si="117"/>
        <v>281674.06811495579</v>
      </c>
      <c r="DF74" s="616">
        <f t="shared" si="117"/>
        <v>282155.83568854281</v>
      </c>
      <c r="DG74" s="616">
        <f t="shared" si="117"/>
        <v>282638.62376092817</v>
      </c>
      <c r="DH74" s="616">
        <f t="shared" si="117"/>
        <v>283122.72685723013</v>
      </c>
      <c r="DI74" s="616">
        <f t="shared" si="117"/>
        <v>283607.47857623367</v>
      </c>
      <c r="DJ74" s="616">
        <f t="shared" si="117"/>
        <v>284092.91688281368</v>
      </c>
      <c r="DK74" s="616">
        <f t="shared" si="117"/>
        <v>284573.58761196374</v>
      </c>
      <c r="DL74" s="616">
        <f t="shared" si="117"/>
        <v>285051.61991015705</v>
      </c>
      <c r="DM74" s="616">
        <f t="shared" si="117"/>
        <v>285538.46322219283</v>
      </c>
      <c r="DN74" s="616">
        <f t="shared" si="117"/>
        <v>286026.66914861777</v>
      </c>
      <c r="DO74" s="616">
        <f t="shared" si="117"/>
        <v>286515.45343263465</v>
      </c>
      <c r="DP74" s="616">
        <f t="shared" si="117"/>
        <v>287004.80255188729</v>
      </c>
      <c r="DQ74" s="616">
        <f t="shared" si="117"/>
        <v>287476.50306428969</v>
      </c>
      <c r="DR74" s="616">
        <f t="shared" si="117"/>
        <v>287958.87836632942</v>
      </c>
      <c r="DS74" s="616">
        <f t="shared" si="117"/>
        <v>288451.8620431507</v>
      </c>
      <c r="DT74" s="616">
        <f t="shared" si="117"/>
        <v>288945.8862599046</v>
      </c>
      <c r="DU74" s="616">
        <f t="shared" si="117"/>
        <v>289441.25516484387</v>
      </c>
      <c r="DV74" s="616">
        <f t="shared" si="117"/>
        <v>289937.27916560677</v>
      </c>
      <c r="DW74" s="616">
        <f t="shared" si="117"/>
        <v>290433.99739242747</v>
      </c>
      <c r="DX74" s="616">
        <f t="shared" si="117"/>
        <v>290925.7714341</v>
      </c>
      <c r="DY74" s="616">
        <f t="shared" si="117"/>
        <v>291414.80368042056</v>
      </c>
      <c r="DZ74" s="616">
        <f t="shared" si="117"/>
        <v>291912.92983854137</v>
      </c>
      <c r="EA74" s="616">
        <f t="shared" si="117"/>
        <v>292412.4504612459</v>
      </c>
      <c r="EB74" s="616">
        <f t="shared" si="117"/>
        <v>292912.55459190643</v>
      </c>
      <c r="EC74" s="616">
        <f t="shared" ref="EC74:FS74" si="118">SUM(EC73, EC67)</f>
        <v>293413.22872464213</v>
      </c>
      <c r="ED74" s="616">
        <f t="shared" si="118"/>
        <v>293895.65730487916</v>
      </c>
      <c r="EE74" s="616">
        <f t="shared" si="118"/>
        <v>294389.10209071334</v>
      </c>
      <c r="EF74" s="616">
        <f t="shared" si="118"/>
        <v>294893.49325519218</v>
      </c>
      <c r="EG74" s="616">
        <f t="shared" si="118"/>
        <v>295398.94824761589</v>
      </c>
      <c r="EH74" s="616">
        <f t="shared" si="118"/>
        <v>295905.78196079435</v>
      </c>
      <c r="EI74" s="616">
        <f t="shared" si="118"/>
        <v>296413.28202047409</v>
      </c>
      <c r="EJ74" s="616">
        <f t="shared" si="118"/>
        <v>296921.48925571202</v>
      </c>
      <c r="EK74" s="616">
        <f t="shared" si="118"/>
        <v>297424.58133071463</v>
      </c>
      <c r="EL74" s="616">
        <f t="shared" si="118"/>
        <v>297924.83328958618</v>
      </c>
      <c r="EM74" s="616">
        <f t="shared" si="118"/>
        <v>298434.46872022504</v>
      </c>
      <c r="EN74" s="616">
        <f t="shared" si="118"/>
        <v>298945.5364296023</v>
      </c>
      <c r="EO74" s="616">
        <f t="shared" si="118"/>
        <v>299457.19901840354</v>
      </c>
      <c r="EP74" s="616">
        <f t="shared" si="118"/>
        <v>299969.44276756461</v>
      </c>
      <c r="EQ74" s="616">
        <f t="shared" si="118"/>
        <v>300462.83646674582</v>
      </c>
      <c r="ER74" s="616">
        <f t="shared" si="118"/>
        <v>300967.59961881733</v>
      </c>
      <c r="ES74" s="616">
        <f t="shared" si="118"/>
        <v>301483.66062805173</v>
      </c>
      <c r="ET74" s="616">
        <f t="shared" si="118"/>
        <v>302000.81340653927</v>
      </c>
      <c r="EU74" s="616">
        <f t="shared" si="118"/>
        <v>302519.38319683494</v>
      </c>
      <c r="EV74" s="616">
        <f t="shared" si="118"/>
        <v>303038.63430757937</v>
      </c>
      <c r="EW74" s="616">
        <f t="shared" si="118"/>
        <v>303558.60889072646</v>
      </c>
      <c r="EX74" s="616">
        <f t="shared" si="118"/>
        <v>304073.29310672544</v>
      </c>
      <c r="EY74" s="616">
        <f t="shared" si="118"/>
        <v>304585.03654239431</v>
      </c>
      <c r="EZ74" s="616">
        <f t="shared" si="118"/>
        <v>305106.46477057924</v>
      </c>
      <c r="FA74" s="616">
        <f t="shared" si="118"/>
        <v>305629.3650174301</v>
      </c>
      <c r="FB74" s="616">
        <f t="shared" si="118"/>
        <v>306152.87235991971</v>
      </c>
      <c r="FC74" s="616">
        <f t="shared" si="118"/>
        <v>306676.97251996928</v>
      </c>
      <c r="FD74" s="616">
        <f t="shared" si="118"/>
        <v>307181.5931238815</v>
      </c>
      <c r="FE74" s="616">
        <f t="shared" si="118"/>
        <v>307697.95041861315</v>
      </c>
      <c r="FF74" s="616">
        <f t="shared" si="118"/>
        <v>308225.97060385114</v>
      </c>
      <c r="FG74" s="616">
        <f t="shared" si="118"/>
        <v>308755.11056332104</v>
      </c>
      <c r="FH74" s="616">
        <f t="shared" si="118"/>
        <v>309285.706136828</v>
      </c>
      <c r="FI74" s="616">
        <f t="shared" si="118"/>
        <v>309816.99733917241</v>
      </c>
      <c r="FJ74" s="616">
        <f t="shared" si="118"/>
        <v>310349.02762927912</v>
      </c>
      <c r="FK74" s="616">
        <f t="shared" si="118"/>
        <v>310875.58436119417</v>
      </c>
      <c r="FL74" s="616">
        <f t="shared" si="118"/>
        <v>311399.09465095005</v>
      </c>
      <c r="FM74" s="616">
        <f t="shared" si="118"/>
        <v>311932.60109984339</v>
      </c>
      <c r="FN74" s="616">
        <f t="shared" si="118"/>
        <v>312467.61954243673</v>
      </c>
      <c r="FO74" s="616">
        <f t="shared" si="118"/>
        <v>313003.25644533674</v>
      </c>
      <c r="FP74" s="616">
        <f t="shared" si="118"/>
        <v>313539.4970091409</v>
      </c>
      <c r="FQ74" s="616">
        <f t="shared" si="118"/>
        <v>314055.60576987697</v>
      </c>
      <c r="FR74" s="616">
        <f t="shared" si="118"/>
        <v>314583.83013213985</v>
      </c>
      <c r="FS74" s="616">
        <f t="shared" si="118"/>
        <v>315124.09374592232</v>
      </c>
      <c r="FT74" s="617">
        <f t="shared" si="107"/>
        <v>1663586.9517121101</v>
      </c>
      <c r="FU74" s="617">
        <f t="shared" si="107"/>
        <v>2883854.2562085749</v>
      </c>
      <c r="FV74" s="617">
        <f t="shared" si="107"/>
        <v>2953759.0205995138</v>
      </c>
      <c r="FW74" s="617">
        <f t="shared" si="107"/>
        <v>3015434.5016743061</v>
      </c>
      <c r="FX74" s="617">
        <f t="shared" si="107"/>
        <v>3077105.4066282725</v>
      </c>
    </row>
    <row r="75" spans="1:182" ht="10.9" customHeight="1">
      <c r="B75" s="581"/>
      <c r="C75" s="630"/>
      <c r="D75" s="631"/>
      <c r="E75" s="632"/>
      <c r="F75" s="632"/>
      <c r="G75" s="632"/>
      <c r="H75" s="632"/>
      <c r="I75" s="632"/>
      <c r="J75" s="632"/>
      <c r="K75" s="632"/>
      <c r="L75" s="632"/>
      <c r="M75" s="632"/>
      <c r="N75" s="632"/>
      <c r="O75" s="632"/>
      <c r="P75" s="632"/>
      <c r="Q75" s="632"/>
      <c r="R75" s="632"/>
      <c r="S75" s="632"/>
      <c r="T75" s="632"/>
      <c r="U75" s="632"/>
      <c r="V75" s="632"/>
      <c r="W75" s="632"/>
      <c r="X75" s="632"/>
      <c r="Y75" s="632"/>
      <c r="Z75" s="632"/>
      <c r="AA75" s="632"/>
      <c r="AB75" s="632"/>
      <c r="AC75" s="632"/>
      <c r="AD75" s="632"/>
      <c r="AE75" s="632"/>
      <c r="AF75" s="632"/>
      <c r="AG75" s="632"/>
      <c r="AH75" s="632"/>
      <c r="AI75" s="632"/>
      <c r="AJ75" s="632"/>
      <c r="AK75" s="632"/>
      <c r="AL75" s="632"/>
      <c r="AM75" s="632"/>
      <c r="AN75" s="632"/>
      <c r="AO75" s="632"/>
      <c r="AP75" s="632"/>
      <c r="AQ75" s="632"/>
      <c r="AR75" s="632"/>
      <c r="AS75" s="632"/>
      <c r="AT75" s="632"/>
      <c r="AU75" s="632"/>
      <c r="AV75" s="632"/>
      <c r="AW75" s="632"/>
      <c r="AX75" s="632"/>
      <c r="AY75" s="632"/>
      <c r="AZ75" s="632"/>
      <c r="BA75" s="632"/>
      <c r="BB75" s="632"/>
      <c r="BC75" s="632"/>
      <c r="BD75" s="632"/>
      <c r="BE75" s="632"/>
      <c r="BF75" s="632"/>
      <c r="BG75" s="632"/>
      <c r="BH75" s="632"/>
      <c r="BI75" s="632"/>
      <c r="BJ75" s="632"/>
      <c r="BK75" s="632"/>
      <c r="BL75" s="632"/>
      <c r="BM75" s="632"/>
      <c r="BN75" s="632"/>
      <c r="BO75" s="632"/>
      <c r="BP75" s="632"/>
      <c r="BQ75" s="632"/>
      <c r="BR75" s="632"/>
      <c r="BS75" s="632"/>
      <c r="BT75" s="632"/>
      <c r="BU75" s="632"/>
      <c r="BV75" s="632"/>
      <c r="BW75" s="632"/>
      <c r="BX75" s="632"/>
      <c r="BY75" s="632"/>
      <c r="BZ75" s="632"/>
      <c r="CA75" s="632"/>
      <c r="CB75" s="632"/>
      <c r="CC75" s="632"/>
      <c r="CD75" s="632"/>
      <c r="CE75" s="632"/>
      <c r="CF75" s="632"/>
      <c r="CG75" s="632"/>
      <c r="CH75" s="632"/>
      <c r="CI75" s="632"/>
      <c r="CJ75" s="632"/>
      <c r="CK75" s="632"/>
      <c r="CL75" s="632"/>
      <c r="CM75" s="632"/>
      <c r="CN75" s="632"/>
      <c r="CO75" s="632"/>
      <c r="CP75" s="632"/>
      <c r="CQ75" s="632"/>
      <c r="CR75" s="632"/>
      <c r="CS75" s="632"/>
      <c r="CT75" s="632"/>
      <c r="CU75" s="632"/>
      <c r="CV75" s="632"/>
      <c r="CW75" s="632"/>
      <c r="CX75" s="632"/>
      <c r="CY75" s="632"/>
      <c r="CZ75" s="632"/>
      <c r="DA75" s="632"/>
      <c r="DB75" s="632"/>
      <c r="DC75" s="632"/>
      <c r="DD75" s="632"/>
      <c r="DE75" s="632"/>
      <c r="DF75" s="632"/>
      <c r="DG75" s="632"/>
      <c r="DH75" s="632"/>
      <c r="DI75" s="632"/>
      <c r="DJ75" s="632"/>
      <c r="DK75" s="632"/>
      <c r="DL75" s="632"/>
      <c r="DM75" s="632"/>
      <c r="DN75" s="632"/>
      <c r="DO75" s="632"/>
      <c r="DP75" s="632"/>
      <c r="DQ75" s="632"/>
      <c r="DR75" s="632"/>
      <c r="DS75" s="632"/>
      <c r="DT75" s="632"/>
      <c r="DU75" s="632"/>
      <c r="DV75" s="632"/>
      <c r="DW75" s="632"/>
      <c r="DX75" s="632"/>
      <c r="DY75" s="632"/>
      <c r="DZ75" s="632"/>
      <c r="EA75" s="632"/>
      <c r="EB75" s="632"/>
      <c r="EC75" s="632"/>
      <c r="ED75" s="632"/>
      <c r="EE75" s="632"/>
      <c r="EF75" s="632"/>
      <c r="EG75" s="632"/>
      <c r="EH75" s="632"/>
      <c r="EI75" s="632"/>
      <c r="EJ75" s="632"/>
      <c r="EK75" s="632"/>
      <c r="EL75" s="632"/>
      <c r="EM75" s="632"/>
      <c r="EN75" s="632"/>
      <c r="EO75" s="632"/>
      <c r="EP75" s="632"/>
      <c r="EQ75" s="632"/>
      <c r="ER75" s="632"/>
      <c r="ES75" s="632"/>
      <c r="ET75" s="632"/>
      <c r="EU75" s="632"/>
      <c r="EV75" s="632"/>
      <c r="EW75" s="632"/>
      <c r="EX75" s="632"/>
      <c r="EY75" s="632"/>
      <c r="EZ75" s="632"/>
      <c r="FA75" s="632"/>
      <c r="FB75" s="632"/>
      <c r="FC75" s="632"/>
      <c r="FD75" s="632"/>
      <c r="FE75" s="632"/>
      <c r="FF75" s="632"/>
      <c r="FG75" s="632"/>
      <c r="FH75" s="632"/>
      <c r="FI75" s="632"/>
      <c r="FJ75" s="632"/>
      <c r="FK75" s="632"/>
      <c r="FL75" s="632"/>
      <c r="FM75" s="632"/>
      <c r="FN75" s="632"/>
      <c r="FO75" s="632"/>
      <c r="FP75" s="632"/>
      <c r="FQ75" s="632"/>
      <c r="FR75" s="632"/>
      <c r="FS75" s="632"/>
      <c r="FT75" s="631"/>
      <c r="FU75" s="631"/>
      <c r="FV75" s="631"/>
      <c r="FW75" s="631"/>
      <c r="FX75" s="631"/>
    </row>
    <row r="76" spans="1:182" s="618" customFormat="1" ht="28.5" customHeight="1" thickBot="1">
      <c r="A76" s="572"/>
      <c r="B76" s="633" t="s">
        <v>322</v>
      </c>
      <c r="C76" s="634"/>
      <c r="D76" s="635"/>
      <c r="E76" s="636">
        <f t="shared" ref="E76:BP76" si="119">E58-E74</f>
        <v>310003.92379288195</v>
      </c>
      <c r="F76" s="636">
        <f t="shared" si="119"/>
        <v>310215.73919615295</v>
      </c>
      <c r="G76" s="636">
        <f t="shared" si="119"/>
        <v>310420.49371296348</v>
      </c>
      <c r="H76" s="636">
        <f t="shared" si="119"/>
        <v>301701.16080855724</v>
      </c>
      <c r="I76" s="636">
        <f t="shared" si="119"/>
        <v>301892.49186774931</v>
      </c>
      <c r="J76" s="636">
        <f t="shared" si="119"/>
        <v>302077.44492163818</v>
      </c>
      <c r="K76" s="636">
        <f t="shared" si="119"/>
        <v>302256.2325905849</v>
      </c>
      <c r="L76" s="636">
        <f t="shared" si="119"/>
        <v>302118.10700520221</v>
      </c>
      <c r="M76" s="636">
        <f t="shared" si="119"/>
        <v>302014.30334083241</v>
      </c>
      <c r="N76" s="636">
        <f t="shared" si="119"/>
        <v>301943.7628156218</v>
      </c>
      <c r="O76" s="636">
        <f t="shared" si="119"/>
        <v>301905.46214002278</v>
      </c>
      <c r="P76" s="636">
        <f t="shared" si="119"/>
        <v>301898.41233628651</v>
      </c>
      <c r="Q76" s="636">
        <f t="shared" si="119"/>
        <v>323065.51926549792</v>
      </c>
      <c r="R76" s="636">
        <f t="shared" si="119"/>
        <v>318179.64033434895</v>
      </c>
      <c r="S76" s="636">
        <f t="shared" si="119"/>
        <v>313624.2985975545</v>
      </c>
      <c r="T76" s="636">
        <f t="shared" si="119"/>
        <v>314841.91290816455</v>
      </c>
      <c r="U76" s="636">
        <f t="shared" si="119"/>
        <v>325675.82207367616</v>
      </c>
      <c r="V76" s="636">
        <f t="shared" si="119"/>
        <v>327099.76169274352</v>
      </c>
      <c r="W76" s="636">
        <f t="shared" si="119"/>
        <v>328582.91714320017</v>
      </c>
      <c r="X76" s="636">
        <f t="shared" si="119"/>
        <v>349199.50352021476</v>
      </c>
      <c r="Y76" s="636">
        <f t="shared" si="119"/>
        <v>350585.37211095163</v>
      </c>
      <c r="Z76" s="636">
        <f t="shared" si="119"/>
        <v>352283.19539210829</v>
      </c>
      <c r="AA76" s="636">
        <f t="shared" si="119"/>
        <v>354003.690454119</v>
      </c>
      <c r="AB76" s="636">
        <f t="shared" si="119"/>
        <v>355717.19573630195</v>
      </c>
      <c r="AC76" s="636">
        <f t="shared" si="119"/>
        <v>357415.50232343038</v>
      </c>
      <c r="AD76" s="636">
        <f t="shared" si="119"/>
        <v>358385.00728347886</v>
      </c>
      <c r="AE76" s="636">
        <f t="shared" si="119"/>
        <v>359721.83291785407</v>
      </c>
      <c r="AF76" s="636">
        <f t="shared" si="119"/>
        <v>361406.0300549278</v>
      </c>
      <c r="AG76" s="636">
        <f t="shared" si="119"/>
        <v>363062.08429902553</v>
      </c>
      <c r="AH76" s="636">
        <f t="shared" si="119"/>
        <v>364695.22257706127</v>
      </c>
      <c r="AI76" s="636">
        <f t="shared" si="119"/>
        <v>366278.63632194593</v>
      </c>
      <c r="AJ76" s="636">
        <f t="shared" si="119"/>
        <v>367813.44144293398</v>
      </c>
      <c r="AK76" s="636">
        <f t="shared" si="119"/>
        <v>369111.37820810114</v>
      </c>
      <c r="AL76" s="636">
        <f t="shared" si="119"/>
        <v>370254.79844488692</v>
      </c>
      <c r="AM76" s="636">
        <f t="shared" si="119"/>
        <v>371635.63491578819</v>
      </c>
      <c r="AN76" s="636">
        <f t="shared" si="119"/>
        <v>373000.12115454278</v>
      </c>
      <c r="AO76" s="636">
        <f t="shared" si="119"/>
        <v>374319.57372613484</v>
      </c>
      <c r="AP76" s="636">
        <f t="shared" si="119"/>
        <v>375596.60276659857</v>
      </c>
      <c r="AQ76" s="636">
        <f t="shared" si="119"/>
        <v>376290.81991091184</v>
      </c>
      <c r="AR76" s="636">
        <f t="shared" si="119"/>
        <v>377256.56168378121</v>
      </c>
      <c r="AS76" s="636">
        <f t="shared" si="119"/>
        <v>378483.47914383147</v>
      </c>
      <c r="AT76" s="636">
        <f t="shared" si="119"/>
        <v>379698.4117210551</v>
      </c>
      <c r="AU76" s="636">
        <f t="shared" si="119"/>
        <v>380915.05193939415</v>
      </c>
      <c r="AV76" s="636">
        <f t="shared" si="119"/>
        <v>382113.0711272175</v>
      </c>
      <c r="AW76" s="636">
        <f t="shared" si="119"/>
        <v>383296.41946646856</v>
      </c>
      <c r="AX76" s="636">
        <f t="shared" si="119"/>
        <v>384314.97471145884</v>
      </c>
      <c r="AY76" s="636">
        <f t="shared" si="119"/>
        <v>385233.08440030302</v>
      </c>
      <c r="AZ76" s="636">
        <f t="shared" si="119"/>
        <v>386378.25428297592</v>
      </c>
      <c r="BA76" s="636">
        <f t="shared" si="119"/>
        <v>387541.48755967803</v>
      </c>
      <c r="BB76" s="636">
        <f t="shared" si="119"/>
        <v>388701.29308621457</v>
      </c>
      <c r="BC76" s="636">
        <f t="shared" si="119"/>
        <v>389858.94382820261</v>
      </c>
      <c r="BD76" s="636">
        <f t="shared" si="119"/>
        <v>390501.4350166971</v>
      </c>
      <c r="BE76" s="636">
        <f t="shared" si="119"/>
        <v>391428.80594703584</v>
      </c>
      <c r="BF76" s="636">
        <f t="shared" si="119"/>
        <v>392642.62285422173</v>
      </c>
      <c r="BG76" s="636">
        <f t="shared" si="119"/>
        <v>393872.40066460241</v>
      </c>
      <c r="BH76" s="636">
        <f t="shared" si="119"/>
        <v>395127.1480872109</v>
      </c>
      <c r="BI76" s="636">
        <f t="shared" si="119"/>
        <v>396387.44528375438</v>
      </c>
      <c r="BJ76" s="636">
        <f t="shared" si="119"/>
        <v>397654.40423990187</v>
      </c>
      <c r="BK76" s="636">
        <f t="shared" si="119"/>
        <v>398762.75910082721</v>
      </c>
      <c r="BL76" s="636">
        <f t="shared" si="119"/>
        <v>399775.2842005018</v>
      </c>
      <c r="BM76" s="636">
        <f t="shared" si="119"/>
        <v>401038.82310422824</v>
      </c>
      <c r="BN76" s="636">
        <f t="shared" si="119"/>
        <v>402327.23583194474</v>
      </c>
      <c r="BO76" s="636">
        <f t="shared" si="119"/>
        <v>403616.93500812066</v>
      </c>
      <c r="BP76" s="636">
        <f t="shared" si="119"/>
        <v>404906.87443406315</v>
      </c>
      <c r="BQ76" s="636">
        <f t="shared" ref="BQ76:EB76" si="120">BQ58-BQ74</f>
        <v>405631.333256296</v>
      </c>
      <c r="BR76" s="636">
        <f t="shared" si="120"/>
        <v>406667.60510610271</v>
      </c>
      <c r="BS76" s="636">
        <f t="shared" si="120"/>
        <v>408014.773414433</v>
      </c>
      <c r="BT76" s="636">
        <f t="shared" si="120"/>
        <v>409373.93145305256</v>
      </c>
      <c r="BU76" s="636">
        <f t="shared" si="120"/>
        <v>410753.69743863959</v>
      </c>
      <c r="BV76" s="636">
        <f t="shared" si="120"/>
        <v>412132.58243724459</v>
      </c>
      <c r="BW76" s="636">
        <f t="shared" si="120"/>
        <v>413511.30209067743</v>
      </c>
      <c r="BX76" s="636">
        <f t="shared" si="120"/>
        <v>414712.22266944306</v>
      </c>
      <c r="BY76" s="636">
        <f t="shared" si="120"/>
        <v>415803.82981639775</v>
      </c>
      <c r="BZ76" s="636">
        <f t="shared" si="120"/>
        <v>417156.85604076571</v>
      </c>
      <c r="CA76" s="636">
        <f t="shared" si="120"/>
        <v>418529.42098484683</v>
      </c>
      <c r="CB76" s="636">
        <f t="shared" si="120"/>
        <v>419895.90968988836</v>
      </c>
      <c r="CC76" s="636">
        <f t="shared" si="120"/>
        <v>421255.61687109363</v>
      </c>
      <c r="CD76" s="636">
        <f t="shared" si="120"/>
        <v>422018.52367493848</v>
      </c>
      <c r="CE76" s="636">
        <f t="shared" si="120"/>
        <v>423101.86468460795</v>
      </c>
      <c r="CF76" s="636">
        <f t="shared" si="120"/>
        <v>424502.78353853908</v>
      </c>
      <c r="CG76" s="636">
        <f t="shared" si="120"/>
        <v>425911.6153192303</v>
      </c>
      <c r="CH76" s="636">
        <f t="shared" si="120"/>
        <v>427338.15923502995</v>
      </c>
      <c r="CI76" s="636">
        <f t="shared" si="120"/>
        <v>428760.03367800976</v>
      </c>
      <c r="CJ76" s="636">
        <f t="shared" si="120"/>
        <v>430178.49641001312</v>
      </c>
      <c r="CK76" s="636">
        <f t="shared" si="120"/>
        <v>431412.11892244034</v>
      </c>
      <c r="CL76" s="636">
        <f t="shared" si="120"/>
        <v>432532.06386779086</v>
      </c>
      <c r="CM76" s="636">
        <f t="shared" si="120"/>
        <v>433919.20680084574</v>
      </c>
      <c r="CN76" s="636">
        <f t="shared" si="120"/>
        <v>435325.83747552836</v>
      </c>
      <c r="CO76" s="636">
        <f t="shared" si="120"/>
        <v>436725.7944498416</v>
      </c>
      <c r="CP76" s="636">
        <f t="shared" si="120"/>
        <v>438118.7224982967</v>
      </c>
      <c r="CQ76" s="636">
        <f t="shared" si="120"/>
        <v>438901.39668560121</v>
      </c>
      <c r="CR76" s="636">
        <f t="shared" si="120"/>
        <v>440012.25703441951</v>
      </c>
      <c r="CS76" s="636">
        <f t="shared" si="120"/>
        <v>441448.87714506732</v>
      </c>
      <c r="CT76" s="636">
        <f t="shared" si="120"/>
        <v>442894.66898936999</v>
      </c>
      <c r="CU76" s="636">
        <f t="shared" si="120"/>
        <v>444359.82150273817</v>
      </c>
      <c r="CV76" s="636">
        <f t="shared" si="120"/>
        <v>445821.46235992701</v>
      </c>
      <c r="CW76" s="636">
        <f t="shared" si="120"/>
        <v>447280.93514248019</v>
      </c>
      <c r="CX76" s="636">
        <f t="shared" si="120"/>
        <v>448551.86584401142</v>
      </c>
      <c r="CY76" s="636">
        <f t="shared" si="120"/>
        <v>449707.1365711501</v>
      </c>
      <c r="CZ76" s="636">
        <f t="shared" si="120"/>
        <v>451138.22922786884</v>
      </c>
      <c r="DA76" s="636">
        <f t="shared" si="120"/>
        <v>452590.52379424323</v>
      </c>
      <c r="DB76" s="636">
        <f t="shared" si="120"/>
        <v>454037.18765427201</v>
      </c>
      <c r="DC76" s="636">
        <f t="shared" si="120"/>
        <v>455477.77136204037</v>
      </c>
      <c r="DD76" s="636">
        <f t="shared" si="120"/>
        <v>456289.75008876657</v>
      </c>
      <c r="DE76" s="636">
        <f t="shared" si="120"/>
        <v>457441.18055985624</v>
      </c>
      <c r="DF76" s="636">
        <f t="shared" si="120"/>
        <v>458929.84603934945</v>
      </c>
      <c r="DG76" s="636">
        <f t="shared" si="120"/>
        <v>460428.6860875811</v>
      </c>
      <c r="DH76" s="636">
        <f t="shared" si="120"/>
        <v>461948.07299376809</v>
      </c>
      <c r="DI76" s="636">
        <f t="shared" si="120"/>
        <v>463464.39712572255</v>
      </c>
      <c r="DJ76" s="636">
        <f t="shared" si="120"/>
        <v>464978.95772541757</v>
      </c>
      <c r="DK76" s="636">
        <f t="shared" si="120"/>
        <v>466298.83227862639</v>
      </c>
      <c r="DL76" s="636">
        <f t="shared" si="120"/>
        <v>467499.27166837465</v>
      </c>
      <c r="DM76" s="636">
        <f t="shared" si="120"/>
        <v>468985.12634601933</v>
      </c>
      <c r="DN76" s="636">
        <f t="shared" si="120"/>
        <v>470492.95019813091</v>
      </c>
      <c r="DO76" s="636">
        <f t="shared" si="120"/>
        <v>471994.96535614744</v>
      </c>
      <c r="DP76" s="636">
        <f t="shared" si="120"/>
        <v>473490.6498511752</v>
      </c>
      <c r="DQ76" s="636">
        <f t="shared" si="120"/>
        <v>474335.86629820277</v>
      </c>
      <c r="DR76" s="636">
        <f t="shared" si="120"/>
        <v>475532.18907598319</v>
      </c>
      <c r="DS76" s="636">
        <f t="shared" si="120"/>
        <v>477077.22552528942</v>
      </c>
      <c r="DT76" s="636">
        <f t="shared" si="120"/>
        <v>478632.57815200638</v>
      </c>
      <c r="DU76" s="636">
        <f t="shared" si="120"/>
        <v>480208.95860919042</v>
      </c>
      <c r="DV76" s="636">
        <f t="shared" si="120"/>
        <v>481781.93619458686</v>
      </c>
      <c r="DW76" s="636">
        <f t="shared" si="120"/>
        <v>483352.85041317105</v>
      </c>
      <c r="DX76" s="636">
        <f t="shared" si="120"/>
        <v>484722.26218518126</v>
      </c>
      <c r="DY76" s="636">
        <f t="shared" si="120"/>
        <v>485968.01159236318</v>
      </c>
      <c r="DZ76" s="636">
        <f t="shared" si="120"/>
        <v>487508.60777436494</v>
      </c>
      <c r="EA76" s="636">
        <f t="shared" si="120"/>
        <v>489071.72570126544</v>
      </c>
      <c r="EB76" s="636">
        <f t="shared" si="120"/>
        <v>490628.64234512387</v>
      </c>
      <c r="EC76" s="636">
        <f t="shared" ref="EC76:FS76" si="121">EC58-EC74</f>
        <v>492178.83536179765</v>
      </c>
      <c r="ED76" s="636">
        <f t="shared" si="121"/>
        <v>493056.8735197417</v>
      </c>
      <c r="EE76" s="636">
        <f t="shared" si="121"/>
        <v>494297.51411531901</v>
      </c>
      <c r="EF76" s="636">
        <f t="shared" si="121"/>
        <v>495898.24286249164</v>
      </c>
      <c r="EG76" s="636">
        <f t="shared" si="121"/>
        <v>497509.53180596308</v>
      </c>
      <c r="EH76" s="636">
        <f t="shared" si="121"/>
        <v>499142.47159950424</v>
      </c>
      <c r="EI76" s="636">
        <f t="shared" si="121"/>
        <v>500771.82492285094</v>
      </c>
      <c r="EJ76" s="636">
        <f t="shared" si="121"/>
        <v>502398.9903884161</v>
      </c>
      <c r="EK76" s="636">
        <f t="shared" si="121"/>
        <v>503818.0237034749</v>
      </c>
      <c r="EL76" s="636">
        <f t="shared" si="121"/>
        <v>505109.33329797705</v>
      </c>
      <c r="EM76" s="636">
        <f t="shared" si="121"/>
        <v>506705.14421126829</v>
      </c>
      <c r="EN76" s="636">
        <f t="shared" si="121"/>
        <v>508324.22779048502</v>
      </c>
      <c r="EO76" s="636">
        <f t="shared" si="121"/>
        <v>509936.92492090457</v>
      </c>
      <c r="EP76" s="636">
        <f t="shared" si="121"/>
        <v>511542.70474062889</v>
      </c>
      <c r="EQ76" s="636">
        <f t="shared" si="121"/>
        <v>512454.36321100022</v>
      </c>
      <c r="ER76" s="636">
        <f t="shared" si="121"/>
        <v>513740.52598421846</v>
      </c>
      <c r="ES76" s="636">
        <f t="shared" si="121"/>
        <v>515398.6152401889</v>
      </c>
      <c r="ET76" s="636">
        <f t="shared" si="121"/>
        <v>517067.66058599355</v>
      </c>
      <c r="EU76" s="636">
        <f t="shared" si="121"/>
        <v>518759.11769301002</v>
      </c>
      <c r="EV76" s="636">
        <f t="shared" si="121"/>
        <v>520446.92367464583</v>
      </c>
      <c r="EW76" s="636">
        <f t="shared" si="121"/>
        <v>522132.52293544833</v>
      </c>
      <c r="EX76" s="636">
        <f t="shared" si="121"/>
        <v>523603.19792150287</v>
      </c>
      <c r="EY76" s="636">
        <f t="shared" si="121"/>
        <v>524941.99217055319</v>
      </c>
      <c r="EZ76" s="636">
        <f t="shared" si="121"/>
        <v>526595.34537619783</v>
      </c>
      <c r="FA76" s="636">
        <f t="shared" si="121"/>
        <v>528272.77743958659</v>
      </c>
      <c r="FB76" s="636">
        <f t="shared" si="121"/>
        <v>529943.65490884543</v>
      </c>
      <c r="FC76" s="636">
        <f t="shared" si="121"/>
        <v>531607.4261530221</v>
      </c>
      <c r="FD76" s="636">
        <f t="shared" si="121"/>
        <v>532554.21226370463</v>
      </c>
      <c r="FE76" s="636">
        <f t="shared" si="121"/>
        <v>533887.88638493291</v>
      </c>
      <c r="FF76" s="636">
        <f t="shared" si="121"/>
        <v>535605.79172916221</v>
      </c>
      <c r="FG76" s="636">
        <f t="shared" si="121"/>
        <v>537335.03834801028</v>
      </c>
      <c r="FH76" s="636">
        <f t="shared" si="121"/>
        <v>539087.45566152851</v>
      </c>
      <c r="FI76" s="636">
        <f t="shared" si="121"/>
        <v>540836.12065429101</v>
      </c>
      <c r="FJ76" s="636">
        <f t="shared" si="121"/>
        <v>542582.52293810318</v>
      </c>
      <c r="FK76" s="636">
        <f t="shared" si="121"/>
        <v>544106.91342802579</v>
      </c>
      <c r="FL76" s="636">
        <f t="shared" si="121"/>
        <v>545495.07636139053</v>
      </c>
      <c r="FM76" s="636">
        <f t="shared" si="121"/>
        <v>547208.19805721974</v>
      </c>
      <c r="FN76" s="636">
        <f t="shared" si="121"/>
        <v>548946.20000450336</v>
      </c>
      <c r="FO76" s="636">
        <f t="shared" si="121"/>
        <v>550677.43596433348</v>
      </c>
      <c r="FP76" s="636">
        <f t="shared" si="121"/>
        <v>552401.33484770916</v>
      </c>
      <c r="FQ76" s="636">
        <f t="shared" si="121"/>
        <v>553384.5674390049</v>
      </c>
      <c r="FR76" s="636">
        <f t="shared" si="121"/>
        <v>554767.47134044347</v>
      </c>
      <c r="FS76" s="636">
        <f t="shared" si="121"/>
        <v>556547.29857077345</v>
      </c>
      <c r="FT76" s="635">
        <f>SUMIFS($E76:$FS76,$E$8:$FS$8,FT$5)</f>
        <v>2138567.4868905279</v>
      </c>
      <c r="FU76" s="635">
        <f>SUMIFS($E76:$FS76,$E$8:$FS$8,FU$5)</f>
        <v>3760949.9196531516</v>
      </c>
      <c r="FV76" s="635">
        <f>SUMIFS($E76:$FS76,$E$8:$FS$8,FV$5)</f>
        <v>4292753.2729914198</v>
      </c>
      <c r="FW76" s="635">
        <f>SUMIFS($E76:$FS76,$E$8:$FS$8,FW$5)</f>
        <v>4494375.8750579599</v>
      </c>
      <c r="FX76" s="635">
        <f>SUMIFS($E76:$FS76,$E$8:$FS$8,FX$5)</f>
        <v>4655882.7929450767</v>
      </c>
      <c r="FZ76" s="637"/>
    </row>
    <row r="77" spans="1:182" ht="12.75" customHeight="1" thickTop="1">
      <c r="B77" s="638"/>
      <c r="C77" s="639"/>
      <c r="D77" s="640"/>
      <c r="E77" s="641">
        <v>342128.92379288195</v>
      </c>
      <c r="F77" s="641">
        <v>297659.73919615295</v>
      </c>
      <c r="G77" s="641">
        <v>261774.49371296348</v>
      </c>
      <c r="H77" s="641">
        <v>243509.16080855724</v>
      </c>
      <c r="I77" s="641">
        <v>182545.49186774931</v>
      </c>
      <c r="J77" s="641">
        <v>158088.44492163818</v>
      </c>
      <c r="K77" s="641">
        <v>110523.2325905849</v>
      </c>
      <c r="L77" s="641">
        <v>68537.060406252684</v>
      </c>
      <c r="M77" s="641">
        <v>62800.12704798847</v>
      </c>
      <c r="N77" s="641">
        <v>36765.62457131804</v>
      </c>
      <c r="O77" s="641">
        <v>854.73862882039975</v>
      </c>
      <c r="P77" s="641">
        <v>-6545.3513163669268</v>
      </c>
      <c r="R77" s="642"/>
      <c r="FT77" s="643"/>
      <c r="FU77" s="643"/>
      <c r="FV77" s="643"/>
      <c r="FW77" s="643"/>
      <c r="FX77" s="643"/>
      <c r="FZ77" s="603"/>
    </row>
    <row r="78" spans="1:182" ht="12.75" customHeight="1">
      <c r="B78" s="638" t="s">
        <v>323</v>
      </c>
      <c r="C78" s="639"/>
      <c r="D78" s="644"/>
      <c r="E78" s="642"/>
      <c r="F78" s="642"/>
      <c r="G78" s="642"/>
      <c r="H78" s="642"/>
      <c r="I78" s="642"/>
      <c r="J78" s="642"/>
      <c r="K78" s="642"/>
      <c r="L78" s="642"/>
      <c r="M78" s="642"/>
      <c r="N78" s="642"/>
      <c r="O78" s="642"/>
      <c r="P78" s="642"/>
      <c r="R78" s="642"/>
      <c r="FZ78" s="603"/>
    </row>
    <row r="79" spans="1:182" ht="12.75" customHeight="1">
      <c r="B79" s="638"/>
      <c r="C79" s="639"/>
      <c r="D79" s="644"/>
      <c r="E79" s="642"/>
      <c r="F79" s="642"/>
      <c r="G79" s="642"/>
      <c r="H79" s="642"/>
      <c r="I79" s="642"/>
      <c r="J79" s="642"/>
      <c r="K79" s="642"/>
      <c r="L79" s="642"/>
      <c r="M79" s="642"/>
      <c r="N79" s="642"/>
      <c r="O79" s="642"/>
      <c r="P79" s="642"/>
      <c r="R79" s="642"/>
      <c r="FZ79" s="603"/>
    </row>
    <row r="80" spans="1:182" ht="12.75" customHeight="1">
      <c r="B80" s="638" t="s">
        <v>324</v>
      </c>
      <c r="C80" s="639"/>
      <c r="D80" s="644"/>
      <c r="E80" s="642"/>
      <c r="F80" s="642"/>
      <c r="G80" s="642"/>
      <c r="H80" s="642"/>
      <c r="I80" s="642"/>
      <c r="J80" s="642"/>
      <c r="K80" s="642"/>
      <c r="L80" s="642"/>
      <c r="M80" s="642"/>
      <c r="N80" s="642"/>
      <c r="O80" s="642"/>
      <c r="P80" s="642"/>
      <c r="R80" s="642"/>
      <c r="FZ80" s="603"/>
    </row>
    <row r="81" spans="2:182" ht="12.75" customHeight="1">
      <c r="B81" s="645" t="s">
        <v>325</v>
      </c>
      <c r="C81" s="639"/>
      <c r="D81" s="644"/>
      <c r="E81" s="611">
        <f>SUM(E94:E95)</f>
        <v>249645.83333333328</v>
      </c>
      <c r="F81" s="611">
        <f t="shared" ref="F81:BQ81" si="122">SUM(F94:F95)</f>
        <v>257967.36111111109</v>
      </c>
      <c r="G81" s="611">
        <f t="shared" si="122"/>
        <v>257967.36111111109</v>
      </c>
      <c r="H81" s="611">
        <f t="shared" si="122"/>
        <v>249645.83333333328</v>
      </c>
      <c r="I81" s="611">
        <f t="shared" si="122"/>
        <v>257967.36111111109</v>
      </c>
      <c r="J81" s="611">
        <f t="shared" si="122"/>
        <v>249645.83333333328</v>
      </c>
      <c r="K81" s="611">
        <f t="shared" si="122"/>
        <v>257967.36111111109</v>
      </c>
      <c r="L81" s="611">
        <f t="shared" si="122"/>
        <v>257967.36111111109</v>
      </c>
      <c r="M81" s="611">
        <f t="shared" si="122"/>
        <v>233002.77777777778</v>
      </c>
      <c r="N81" s="611">
        <f t="shared" si="122"/>
        <v>257967.36111111109</v>
      </c>
      <c r="O81" s="611">
        <f t="shared" si="122"/>
        <v>249645.83333333328</v>
      </c>
      <c r="P81" s="611">
        <f t="shared" si="122"/>
        <v>257967.36111111109</v>
      </c>
      <c r="Q81" s="611">
        <f t="shared" si="122"/>
        <v>249645.83333333328</v>
      </c>
      <c r="R81" s="611">
        <f t="shared" si="122"/>
        <v>257967.36111111109</v>
      </c>
      <c r="S81" s="611">
        <f t="shared" si="122"/>
        <v>257967.36111111109</v>
      </c>
      <c r="T81" s="611">
        <f t="shared" si="122"/>
        <v>249645.83333333328</v>
      </c>
      <c r="U81" s="611">
        <f t="shared" si="122"/>
        <v>257967.36111111109</v>
      </c>
      <c r="V81" s="611">
        <f t="shared" si="122"/>
        <v>249645.83333333328</v>
      </c>
      <c r="W81" s="611">
        <f t="shared" si="122"/>
        <v>257967.36111111109</v>
      </c>
      <c r="X81" s="611">
        <f t="shared" si="122"/>
        <v>257967.36111111109</v>
      </c>
      <c r="Y81" s="611">
        <f t="shared" si="122"/>
        <v>241324.30555555556</v>
      </c>
      <c r="Z81" s="611">
        <f t="shared" si="122"/>
        <v>257967.36111111109</v>
      </c>
      <c r="AA81" s="611">
        <f t="shared" si="122"/>
        <v>249645.83333333328</v>
      </c>
      <c r="AB81" s="611">
        <f t="shared" si="122"/>
        <v>257967.36111111109</v>
      </c>
      <c r="AC81" s="611">
        <f t="shared" si="122"/>
        <v>249645.83333333328</v>
      </c>
      <c r="AD81" s="611">
        <f t="shared" si="122"/>
        <v>257967.36111111109</v>
      </c>
      <c r="AE81" s="611">
        <f t="shared" si="122"/>
        <v>257967.36111111109</v>
      </c>
      <c r="AF81" s="611">
        <f t="shared" si="122"/>
        <v>249645.83333333328</v>
      </c>
      <c r="AG81" s="611">
        <f t="shared" si="122"/>
        <v>257967.36111111109</v>
      </c>
      <c r="AH81" s="611">
        <f t="shared" si="122"/>
        <v>249645.83333333328</v>
      </c>
      <c r="AI81" s="611">
        <f t="shared" si="122"/>
        <v>257967.36111111109</v>
      </c>
      <c r="AJ81" s="611">
        <f t="shared" si="122"/>
        <v>257967.36111111109</v>
      </c>
      <c r="AK81" s="611">
        <f t="shared" si="122"/>
        <v>233002.77777777778</v>
      </c>
      <c r="AL81" s="611">
        <f t="shared" si="122"/>
        <v>257967.36111111109</v>
      </c>
      <c r="AM81" s="611">
        <f t="shared" si="122"/>
        <v>249645.83333333328</v>
      </c>
      <c r="AN81" s="611">
        <f t="shared" si="122"/>
        <v>257967.36111111109</v>
      </c>
      <c r="AO81" s="611">
        <f t="shared" si="122"/>
        <v>249645.83333333328</v>
      </c>
      <c r="AP81" s="611">
        <f t="shared" si="122"/>
        <v>257967.36111111109</v>
      </c>
      <c r="AQ81" s="611">
        <f t="shared" si="122"/>
        <v>257967.36111111109</v>
      </c>
      <c r="AR81" s="611">
        <f t="shared" si="122"/>
        <v>249645.83333333328</v>
      </c>
      <c r="AS81" s="611">
        <f t="shared" si="122"/>
        <v>257967.36111111109</v>
      </c>
      <c r="AT81" s="611">
        <f t="shared" si="122"/>
        <v>249645.83333333328</v>
      </c>
      <c r="AU81" s="611">
        <f t="shared" si="122"/>
        <v>257967.36111111109</v>
      </c>
      <c r="AV81" s="611">
        <f t="shared" si="122"/>
        <v>257967.36111111109</v>
      </c>
      <c r="AW81" s="611">
        <f t="shared" si="122"/>
        <v>233002.77777777778</v>
      </c>
      <c r="AX81" s="611">
        <f t="shared" si="122"/>
        <v>257967.36111111109</v>
      </c>
      <c r="AY81" s="611">
        <f t="shared" si="122"/>
        <v>249645.83333333328</v>
      </c>
      <c r="AZ81" s="611">
        <f t="shared" si="122"/>
        <v>257967.36111111109</v>
      </c>
      <c r="BA81" s="611">
        <f t="shared" si="122"/>
        <v>0</v>
      </c>
      <c r="BB81" s="611">
        <f t="shared" si="122"/>
        <v>0</v>
      </c>
      <c r="BC81" s="611">
        <f t="shared" si="122"/>
        <v>0</v>
      </c>
      <c r="BD81" s="611">
        <f t="shared" si="122"/>
        <v>0</v>
      </c>
      <c r="BE81" s="611">
        <f t="shared" si="122"/>
        <v>0</v>
      </c>
      <c r="BF81" s="611">
        <f t="shared" si="122"/>
        <v>0</v>
      </c>
      <c r="BG81" s="611">
        <f t="shared" si="122"/>
        <v>0</v>
      </c>
      <c r="BH81" s="611">
        <f t="shared" si="122"/>
        <v>0</v>
      </c>
      <c r="BI81" s="611">
        <f t="shared" si="122"/>
        <v>0</v>
      </c>
      <c r="BJ81" s="611">
        <f t="shared" si="122"/>
        <v>0</v>
      </c>
      <c r="BK81" s="611">
        <f t="shared" si="122"/>
        <v>0</v>
      </c>
      <c r="BL81" s="611">
        <f t="shared" si="122"/>
        <v>0</v>
      </c>
      <c r="BM81" s="611">
        <f t="shared" si="122"/>
        <v>0</v>
      </c>
      <c r="BN81" s="611">
        <f t="shared" si="122"/>
        <v>0</v>
      </c>
      <c r="BO81" s="611">
        <f t="shared" si="122"/>
        <v>0</v>
      </c>
      <c r="BP81" s="611">
        <f t="shared" si="122"/>
        <v>0</v>
      </c>
      <c r="BQ81" s="611">
        <f t="shared" si="122"/>
        <v>0</v>
      </c>
      <c r="BR81" s="611">
        <f t="shared" ref="BR81:EC81" si="123">SUM(BR94:BR95)</f>
        <v>0</v>
      </c>
      <c r="BS81" s="611">
        <f t="shared" si="123"/>
        <v>0</v>
      </c>
      <c r="BT81" s="611">
        <f t="shared" si="123"/>
        <v>0</v>
      </c>
      <c r="BU81" s="611">
        <f t="shared" si="123"/>
        <v>0</v>
      </c>
      <c r="BV81" s="611">
        <f t="shared" si="123"/>
        <v>0</v>
      </c>
      <c r="BW81" s="611">
        <f t="shared" si="123"/>
        <v>0</v>
      </c>
      <c r="BX81" s="611">
        <f t="shared" si="123"/>
        <v>0</v>
      </c>
      <c r="BY81" s="611">
        <f t="shared" si="123"/>
        <v>0</v>
      </c>
      <c r="BZ81" s="611">
        <f t="shared" si="123"/>
        <v>0</v>
      </c>
      <c r="CA81" s="611">
        <f t="shared" si="123"/>
        <v>0</v>
      </c>
      <c r="CB81" s="611">
        <f t="shared" si="123"/>
        <v>0</v>
      </c>
      <c r="CC81" s="611">
        <f t="shared" si="123"/>
        <v>0</v>
      </c>
      <c r="CD81" s="611">
        <f t="shared" si="123"/>
        <v>0</v>
      </c>
      <c r="CE81" s="611">
        <f t="shared" si="123"/>
        <v>0</v>
      </c>
      <c r="CF81" s="611">
        <f t="shared" si="123"/>
        <v>0</v>
      </c>
      <c r="CG81" s="611">
        <f t="shared" si="123"/>
        <v>0</v>
      </c>
      <c r="CH81" s="611">
        <f t="shared" si="123"/>
        <v>0</v>
      </c>
      <c r="CI81" s="611">
        <f t="shared" si="123"/>
        <v>0</v>
      </c>
      <c r="CJ81" s="611">
        <f t="shared" si="123"/>
        <v>0</v>
      </c>
      <c r="CK81" s="611">
        <f t="shared" si="123"/>
        <v>0</v>
      </c>
      <c r="CL81" s="611">
        <f t="shared" si="123"/>
        <v>0</v>
      </c>
      <c r="CM81" s="611">
        <f t="shared" si="123"/>
        <v>0</v>
      </c>
      <c r="CN81" s="611">
        <f t="shared" si="123"/>
        <v>0</v>
      </c>
      <c r="CO81" s="611">
        <f t="shared" si="123"/>
        <v>0</v>
      </c>
      <c r="CP81" s="611">
        <f t="shared" si="123"/>
        <v>0</v>
      </c>
      <c r="CQ81" s="611">
        <f t="shared" si="123"/>
        <v>0</v>
      </c>
      <c r="CR81" s="611">
        <f t="shared" si="123"/>
        <v>0</v>
      </c>
      <c r="CS81" s="611">
        <f t="shared" si="123"/>
        <v>0</v>
      </c>
      <c r="CT81" s="611">
        <f t="shared" si="123"/>
        <v>0</v>
      </c>
      <c r="CU81" s="611">
        <f t="shared" si="123"/>
        <v>0</v>
      </c>
      <c r="CV81" s="611">
        <f t="shared" si="123"/>
        <v>0</v>
      </c>
      <c r="CW81" s="611">
        <f t="shared" si="123"/>
        <v>0</v>
      </c>
      <c r="CX81" s="611">
        <f t="shared" si="123"/>
        <v>0</v>
      </c>
      <c r="CY81" s="611">
        <f t="shared" si="123"/>
        <v>0</v>
      </c>
      <c r="CZ81" s="611">
        <f t="shared" si="123"/>
        <v>0</v>
      </c>
      <c r="DA81" s="611">
        <f t="shared" si="123"/>
        <v>0</v>
      </c>
      <c r="DB81" s="611">
        <f t="shared" si="123"/>
        <v>0</v>
      </c>
      <c r="DC81" s="611">
        <f t="shared" si="123"/>
        <v>0</v>
      </c>
      <c r="DD81" s="611">
        <f t="shared" si="123"/>
        <v>0</v>
      </c>
      <c r="DE81" s="611">
        <f t="shared" si="123"/>
        <v>0</v>
      </c>
      <c r="DF81" s="611">
        <f t="shared" si="123"/>
        <v>0</v>
      </c>
      <c r="DG81" s="611">
        <f t="shared" si="123"/>
        <v>0</v>
      </c>
      <c r="DH81" s="611">
        <f t="shared" si="123"/>
        <v>0</v>
      </c>
      <c r="DI81" s="611">
        <f t="shared" si="123"/>
        <v>0</v>
      </c>
      <c r="DJ81" s="611">
        <f t="shared" si="123"/>
        <v>0</v>
      </c>
      <c r="DK81" s="611">
        <f t="shared" si="123"/>
        <v>0</v>
      </c>
      <c r="DL81" s="611">
        <f t="shared" si="123"/>
        <v>0</v>
      </c>
      <c r="DM81" s="611">
        <f t="shared" si="123"/>
        <v>0</v>
      </c>
      <c r="DN81" s="611">
        <f t="shared" si="123"/>
        <v>0</v>
      </c>
      <c r="DO81" s="611">
        <f t="shared" si="123"/>
        <v>0</v>
      </c>
      <c r="DP81" s="611">
        <f t="shared" si="123"/>
        <v>0</v>
      </c>
      <c r="DQ81" s="611">
        <f t="shared" si="123"/>
        <v>0</v>
      </c>
      <c r="DR81" s="611">
        <f t="shared" si="123"/>
        <v>0</v>
      </c>
      <c r="DS81" s="611">
        <f t="shared" si="123"/>
        <v>0</v>
      </c>
      <c r="DT81" s="611">
        <f t="shared" si="123"/>
        <v>0</v>
      </c>
      <c r="DU81" s="611">
        <f t="shared" si="123"/>
        <v>0</v>
      </c>
      <c r="DV81" s="611">
        <f t="shared" si="123"/>
        <v>0</v>
      </c>
      <c r="DW81" s="611">
        <f t="shared" si="123"/>
        <v>0</v>
      </c>
      <c r="DX81" s="611">
        <f t="shared" si="123"/>
        <v>0</v>
      </c>
      <c r="DY81" s="611">
        <f t="shared" si="123"/>
        <v>0</v>
      </c>
      <c r="DZ81" s="611">
        <f t="shared" si="123"/>
        <v>0</v>
      </c>
      <c r="EA81" s="611">
        <f t="shared" si="123"/>
        <v>0</v>
      </c>
      <c r="EB81" s="611">
        <f t="shared" si="123"/>
        <v>0</v>
      </c>
      <c r="EC81" s="611">
        <f t="shared" si="123"/>
        <v>0</v>
      </c>
      <c r="ED81" s="611">
        <f t="shared" ref="ED81:FS81" si="124">SUM(ED94:ED95)</f>
        <v>0</v>
      </c>
      <c r="EE81" s="611">
        <f t="shared" si="124"/>
        <v>0</v>
      </c>
      <c r="EF81" s="611">
        <f t="shared" si="124"/>
        <v>0</v>
      </c>
      <c r="EG81" s="611">
        <f t="shared" si="124"/>
        <v>0</v>
      </c>
      <c r="EH81" s="611">
        <f t="shared" si="124"/>
        <v>0</v>
      </c>
      <c r="EI81" s="611">
        <f t="shared" si="124"/>
        <v>0</v>
      </c>
      <c r="EJ81" s="611">
        <f t="shared" si="124"/>
        <v>0</v>
      </c>
      <c r="EK81" s="611">
        <f t="shared" si="124"/>
        <v>0</v>
      </c>
      <c r="EL81" s="611">
        <f t="shared" si="124"/>
        <v>0</v>
      </c>
      <c r="EM81" s="611">
        <f t="shared" si="124"/>
        <v>0</v>
      </c>
      <c r="EN81" s="611">
        <f t="shared" si="124"/>
        <v>0</v>
      </c>
      <c r="EO81" s="611">
        <f t="shared" si="124"/>
        <v>0</v>
      </c>
      <c r="EP81" s="611">
        <f t="shared" si="124"/>
        <v>0</v>
      </c>
      <c r="EQ81" s="611">
        <f t="shared" si="124"/>
        <v>0</v>
      </c>
      <c r="ER81" s="611">
        <f t="shared" si="124"/>
        <v>0</v>
      </c>
      <c r="ES81" s="611">
        <f t="shared" si="124"/>
        <v>0</v>
      </c>
      <c r="ET81" s="611">
        <f t="shared" si="124"/>
        <v>0</v>
      </c>
      <c r="EU81" s="611">
        <f t="shared" si="124"/>
        <v>0</v>
      </c>
      <c r="EV81" s="611">
        <f t="shared" si="124"/>
        <v>0</v>
      </c>
      <c r="EW81" s="611">
        <f t="shared" si="124"/>
        <v>0</v>
      </c>
      <c r="EX81" s="611">
        <f t="shared" si="124"/>
        <v>0</v>
      </c>
      <c r="EY81" s="611">
        <f t="shared" si="124"/>
        <v>0</v>
      </c>
      <c r="EZ81" s="611">
        <f t="shared" si="124"/>
        <v>0</v>
      </c>
      <c r="FA81" s="611">
        <f t="shared" si="124"/>
        <v>0</v>
      </c>
      <c r="FB81" s="611">
        <f t="shared" si="124"/>
        <v>0</v>
      </c>
      <c r="FC81" s="611">
        <f t="shared" si="124"/>
        <v>0</v>
      </c>
      <c r="FD81" s="611">
        <f t="shared" si="124"/>
        <v>0</v>
      </c>
      <c r="FE81" s="611">
        <f t="shared" si="124"/>
        <v>0</v>
      </c>
      <c r="FF81" s="611">
        <f t="shared" si="124"/>
        <v>0</v>
      </c>
      <c r="FG81" s="611">
        <f t="shared" si="124"/>
        <v>0</v>
      </c>
      <c r="FH81" s="611">
        <f t="shared" si="124"/>
        <v>0</v>
      </c>
      <c r="FI81" s="611">
        <f t="shared" si="124"/>
        <v>0</v>
      </c>
      <c r="FJ81" s="611">
        <f t="shared" si="124"/>
        <v>0</v>
      </c>
      <c r="FK81" s="611">
        <f t="shared" si="124"/>
        <v>0</v>
      </c>
      <c r="FL81" s="611">
        <f t="shared" si="124"/>
        <v>0</v>
      </c>
      <c r="FM81" s="611">
        <f t="shared" si="124"/>
        <v>0</v>
      </c>
      <c r="FN81" s="611">
        <f t="shared" si="124"/>
        <v>0</v>
      </c>
      <c r="FO81" s="611">
        <f t="shared" si="124"/>
        <v>0</v>
      </c>
      <c r="FP81" s="611">
        <f t="shared" si="124"/>
        <v>0</v>
      </c>
      <c r="FQ81" s="611">
        <f t="shared" si="124"/>
        <v>0</v>
      </c>
      <c r="FR81" s="611">
        <f t="shared" si="124"/>
        <v>0</v>
      </c>
      <c r="FS81" s="611">
        <f t="shared" si="124"/>
        <v>0</v>
      </c>
      <c r="FZ81" s="603"/>
    </row>
    <row r="82" spans="2:182" ht="12.75" customHeight="1">
      <c r="B82" s="645" t="s">
        <v>326</v>
      </c>
      <c r="C82" s="639"/>
      <c r="D82" s="644"/>
      <c r="E82" s="642">
        <f>SUM(E105:E106)</f>
        <v>0</v>
      </c>
      <c r="F82" s="642">
        <f t="shared" ref="F82:BQ82" si="125">SUM(F105:F106)</f>
        <v>0</v>
      </c>
      <c r="G82" s="642">
        <f t="shared" si="125"/>
        <v>0</v>
      </c>
      <c r="H82" s="642">
        <f t="shared" si="125"/>
        <v>0</v>
      </c>
      <c r="I82" s="642">
        <f t="shared" si="125"/>
        <v>0</v>
      </c>
      <c r="J82" s="642">
        <f t="shared" si="125"/>
        <v>0</v>
      </c>
      <c r="K82" s="642">
        <f t="shared" si="125"/>
        <v>0</v>
      </c>
      <c r="L82" s="642">
        <f t="shared" si="125"/>
        <v>0</v>
      </c>
      <c r="M82" s="642">
        <f t="shared" si="125"/>
        <v>0</v>
      </c>
      <c r="N82" s="642">
        <f t="shared" si="125"/>
        <v>0</v>
      </c>
      <c r="O82" s="642">
        <f t="shared" si="125"/>
        <v>0</v>
      </c>
      <c r="P82" s="642">
        <f t="shared" si="125"/>
        <v>0</v>
      </c>
      <c r="Q82" s="642">
        <f t="shared" si="125"/>
        <v>0</v>
      </c>
      <c r="R82" s="642">
        <f t="shared" si="125"/>
        <v>0</v>
      </c>
      <c r="S82" s="642">
        <f t="shared" si="125"/>
        <v>0</v>
      </c>
      <c r="T82" s="642">
        <f t="shared" si="125"/>
        <v>0</v>
      </c>
      <c r="U82" s="642">
        <f t="shared" si="125"/>
        <v>0</v>
      </c>
      <c r="V82" s="642">
        <f t="shared" si="125"/>
        <v>0</v>
      </c>
      <c r="W82" s="642">
        <f t="shared" si="125"/>
        <v>0</v>
      </c>
      <c r="X82" s="642">
        <f t="shared" si="125"/>
        <v>0</v>
      </c>
      <c r="Y82" s="642">
        <f t="shared" si="125"/>
        <v>0</v>
      </c>
      <c r="Z82" s="642">
        <f t="shared" si="125"/>
        <v>0</v>
      </c>
      <c r="AA82" s="642">
        <f t="shared" si="125"/>
        <v>0</v>
      </c>
      <c r="AB82" s="642">
        <f t="shared" si="125"/>
        <v>0</v>
      </c>
      <c r="AC82" s="642">
        <f t="shared" si="125"/>
        <v>0</v>
      </c>
      <c r="AD82" s="642">
        <f t="shared" si="125"/>
        <v>0</v>
      </c>
      <c r="AE82" s="642">
        <f t="shared" si="125"/>
        <v>0</v>
      </c>
      <c r="AF82" s="642">
        <f t="shared" si="125"/>
        <v>0</v>
      </c>
      <c r="AG82" s="642">
        <f t="shared" si="125"/>
        <v>0</v>
      </c>
      <c r="AH82" s="642">
        <f t="shared" si="125"/>
        <v>0</v>
      </c>
      <c r="AI82" s="642">
        <f t="shared" si="125"/>
        <v>0</v>
      </c>
      <c r="AJ82" s="642">
        <f t="shared" si="125"/>
        <v>0</v>
      </c>
      <c r="AK82" s="642">
        <f t="shared" si="125"/>
        <v>0</v>
      </c>
      <c r="AL82" s="642">
        <f t="shared" si="125"/>
        <v>0</v>
      </c>
      <c r="AM82" s="642">
        <f t="shared" si="125"/>
        <v>0</v>
      </c>
      <c r="AN82" s="642">
        <f t="shared" si="125"/>
        <v>0</v>
      </c>
      <c r="AO82" s="642">
        <f t="shared" si="125"/>
        <v>0</v>
      </c>
      <c r="AP82" s="642">
        <f t="shared" si="125"/>
        <v>0</v>
      </c>
      <c r="AQ82" s="642">
        <f t="shared" si="125"/>
        <v>0</v>
      </c>
      <c r="AR82" s="642">
        <f t="shared" si="125"/>
        <v>0</v>
      </c>
      <c r="AS82" s="642">
        <f t="shared" si="125"/>
        <v>0</v>
      </c>
      <c r="AT82" s="642">
        <f t="shared" si="125"/>
        <v>0</v>
      </c>
      <c r="AU82" s="642">
        <f t="shared" si="125"/>
        <v>0</v>
      </c>
      <c r="AV82" s="642">
        <f t="shared" si="125"/>
        <v>0</v>
      </c>
      <c r="AW82" s="642">
        <f t="shared" si="125"/>
        <v>0</v>
      </c>
      <c r="AX82" s="642">
        <f t="shared" si="125"/>
        <v>0</v>
      </c>
      <c r="AY82" s="642">
        <f t="shared" si="125"/>
        <v>0</v>
      </c>
      <c r="AZ82" s="642">
        <f t="shared" si="125"/>
        <v>0</v>
      </c>
      <c r="BA82" s="642">
        <f t="shared" si="125"/>
        <v>0</v>
      </c>
      <c r="BB82" s="642">
        <f t="shared" si="125"/>
        <v>0</v>
      </c>
      <c r="BC82" s="642">
        <f t="shared" si="125"/>
        <v>0</v>
      </c>
      <c r="BD82" s="642">
        <f t="shared" si="125"/>
        <v>0</v>
      </c>
      <c r="BE82" s="642">
        <f t="shared" si="125"/>
        <v>0</v>
      </c>
      <c r="BF82" s="642">
        <f t="shared" si="125"/>
        <v>0</v>
      </c>
      <c r="BG82" s="642">
        <f t="shared" si="125"/>
        <v>0</v>
      </c>
      <c r="BH82" s="642">
        <f t="shared" si="125"/>
        <v>0</v>
      </c>
      <c r="BI82" s="642">
        <f t="shared" si="125"/>
        <v>0</v>
      </c>
      <c r="BJ82" s="642">
        <f t="shared" si="125"/>
        <v>0</v>
      </c>
      <c r="BK82" s="642">
        <f t="shared" si="125"/>
        <v>0</v>
      </c>
      <c r="BL82" s="642">
        <f t="shared" si="125"/>
        <v>0</v>
      </c>
      <c r="BM82" s="642">
        <f t="shared" si="125"/>
        <v>0</v>
      </c>
      <c r="BN82" s="642">
        <f t="shared" si="125"/>
        <v>0</v>
      </c>
      <c r="BO82" s="642">
        <f t="shared" si="125"/>
        <v>0</v>
      </c>
      <c r="BP82" s="642">
        <f t="shared" si="125"/>
        <v>0</v>
      </c>
      <c r="BQ82" s="642">
        <f t="shared" si="125"/>
        <v>0</v>
      </c>
      <c r="BR82" s="642">
        <f t="shared" ref="BR82:EC82" si="126">SUM(BR105:BR106)</f>
        <v>0</v>
      </c>
      <c r="BS82" s="642">
        <f t="shared" si="126"/>
        <v>0</v>
      </c>
      <c r="BT82" s="642">
        <f t="shared" si="126"/>
        <v>0</v>
      </c>
      <c r="BU82" s="642">
        <f t="shared" si="126"/>
        <v>0</v>
      </c>
      <c r="BV82" s="642">
        <f t="shared" si="126"/>
        <v>0</v>
      </c>
      <c r="BW82" s="642">
        <f t="shared" si="126"/>
        <v>0</v>
      </c>
      <c r="BX82" s="642">
        <f t="shared" si="126"/>
        <v>0</v>
      </c>
      <c r="BY82" s="642">
        <f t="shared" si="126"/>
        <v>0</v>
      </c>
      <c r="BZ82" s="642">
        <f t="shared" si="126"/>
        <v>0</v>
      </c>
      <c r="CA82" s="642">
        <f t="shared" si="126"/>
        <v>0</v>
      </c>
      <c r="CB82" s="642">
        <f t="shared" si="126"/>
        <v>0</v>
      </c>
      <c r="CC82" s="642">
        <f t="shared" si="126"/>
        <v>0</v>
      </c>
      <c r="CD82" s="642">
        <f t="shared" si="126"/>
        <v>0</v>
      </c>
      <c r="CE82" s="642">
        <f t="shared" si="126"/>
        <v>0</v>
      </c>
      <c r="CF82" s="642">
        <f t="shared" si="126"/>
        <v>0</v>
      </c>
      <c r="CG82" s="642">
        <f t="shared" si="126"/>
        <v>0</v>
      </c>
      <c r="CH82" s="642">
        <f t="shared" si="126"/>
        <v>0</v>
      </c>
      <c r="CI82" s="642">
        <f t="shared" si="126"/>
        <v>0</v>
      </c>
      <c r="CJ82" s="642">
        <f t="shared" si="126"/>
        <v>0</v>
      </c>
      <c r="CK82" s="642">
        <f t="shared" si="126"/>
        <v>0</v>
      </c>
      <c r="CL82" s="642">
        <f t="shared" si="126"/>
        <v>0</v>
      </c>
      <c r="CM82" s="642">
        <f t="shared" si="126"/>
        <v>0</v>
      </c>
      <c r="CN82" s="642">
        <f t="shared" si="126"/>
        <v>0</v>
      </c>
      <c r="CO82" s="642">
        <f t="shared" si="126"/>
        <v>0</v>
      </c>
      <c r="CP82" s="642">
        <f t="shared" si="126"/>
        <v>0</v>
      </c>
      <c r="CQ82" s="642">
        <f t="shared" si="126"/>
        <v>0</v>
      </c>
      <c r="CR82" s="642">
        <f t="shared" si="126"/>
        <v>0</v>
      </c>
      <c r="CS82" s="642">
        <f t="shared" si="126"/>
        <v>0</v>
      </c>
      <c r="CT82" s="642">
        <f t="shared" si="126"/>
        <v>0</v>
      </c>
      <c r="CU82" s="642">
        <f t="shared" si="126"/>
        <v>0</v>
      </c>
      <c r="CV82" s="642">
        <f t="shared" si="126"/>
        <v>0</v>
      </c>
      <c r="CW82" s="642">
        <f t="shared" si="126"/>
        <v>0</v>
      </c>
      <c r="CX82" s="642">
        <f t="shared" si="126"/>
        <v>0</v>
      </c>
      <c r="CY82" s="642">
        <f t="shared" si="126"/>
        <v>0</v>
      </c>
      <c r="CZ82" s="642">
        <f t="shared" si="126"/>
        <v>0</v>
      </c>
      <c r="DA82" s="642">
        <f t="shared" si="126"/>
        <v>0</v>
      </c>
      <c r="DB82" s="642">
        <f t="shared" si="126"/>
        <v>0</v>
      </c>
      <c r="DC82" s="642">
        <f t="shared" si="126"/>
        <v>0</v>
      </c>
      <c r="DD82" s="642">
        <f t="shared" si="126"/>
        <v>0</v>
      </c>
      <c r="DE82" s="642">
        <f t="shared" si="126"/>
        <v>0</v>
      </c>
      <c r="DF82" s="642">
        <f t="shared" si="126"/>
        <v>0</v>
      </c>
      <c r="DG82" s="642">
        <f t="shared" si="126"/>
        <v>0</v>
      </c>
      <c r="DH82" s="642">
        <f t="shared" si="126"/>
        <v>0</v>
      </c>
      <c r="DI82" s="642">
        <f t="shared" si="126"/>
        <v>0</v>
      </c>
      <c r="DJ82" s="642">
        <f t="shared" si="126"/>
        <v>0</v>
      </c>
      <c r="DK82" s="642">
        <f t="shared" si="126"/>
        <v>0</v>
      </c>
      <c r="DL82" s="642">
        <f t="shared" si="126"/>
        <v>0</v>
      </c>
      <c r="DM82" s="642">
        <f t="shared" si="126"/>
        <v>0</v>
      </c>
      <c r="DN82" s="642">
        <f t="shared" si="126"/>
        <v>0</v>
      </c>
      <c r="DO82" s="642">
        <f t="shared" si="126"/>
        <v>0</v>
      </c>
      <c r="DP82" s="642">
        <f t="shared" si="126"/>
        <v>0</v>
      </c>
      <c r="DQ82" s="642">
        <f t="shared" si="126"/>
        <v>0</v>
      </c>
      <c r="DR82" s="642">
        <f t="shared" si="126"/>
        <v>0</v>
      </c>
      <c r="DS82" s="642">
        <f t="shared" si="126"/>
        <v>0</v>
      </c>
      <c r="DT82" s="642">
        <f t="shared" si="126"/>
        <v>0</v>
      </c>
      <c r="DU82" s="642">
        <f t="shared" si="126"/>
        <v>0</v>
      </c>
      <c r="DV82" s="642">
        <f t="shared" si="126"/>
        <v>0</v>
      </c>
      <c r="DW82" s="642">
        <f t="shared" si="126"/>
        <v>0</v>
      </c>
      <c r="DX82" s="642">
        <f t="shared" si="126"/>
        <v>0</v>
      </c>
      <c r="DY82" s="642">
        <f t="shared" si="126"/>
        <v>0</v>
      </c>
      <c r="DZ82" s="642">
        <f t="shared" si="126"/>
        <v>0</v>
      </c>
      <c r="EA82" s="642">
        <f t="shared" si="126"/>
        <v>0</v>
      </c>
      <c r="EB82" s="642">
        <f t="shared" si="126"/>
        <v>0</v>
      </c>
      <c r="EC82" s="642">
        <f t="shared" si="126"/>
        <v>0</v>
      </c>
      <c r="ED82" s="642">
        <f t="shared" ref="ED82:FS82" si="127">SUM(ED105:ED106)</f>
        <v>0</v>
      </c>
      <c r="EE82" s="642">
        <f t="shared" si="127"/>
        <v>0</v>
      </c>
      <c r="EF82" s="642">
        <f t="shared" si="127"/>
        <v>0</v>
      </c>
      <c r="EG82" s="642">
        <f t="shared" si="127"/>
        <v>0</v>
      </c>
      <c r="EH82" s="642">
        <f t="shared" si="127"/>
        <v>0</v>
      </c>
      <c r="EI82" s="642">
        <f t="shared" si="127"/>
        <v>0</v>
      </c>
      <c r="EJ82" s="642">
        <f t="shared" si="127"/>
        <v>0</v>
      </c>
      <c r="EK82" s="642">
        <f t="shared" si="127"/>
        <v>0</v>
      </c>
      <c r="EL82" s="642">
        <f t="shared" si="127"/>
        <v>0</v>
      </c>
      <c r="EM82" s="642">
        <f t="shared" si="127"/>
        <v>0</v>
      </c>
      <c r="EN82" s="642">
        <f t="shared" si="127"/>
        <v>0</v>
      </c>
      <c r="EO82" s="642">
        <f t="shared" si="127"/>
        <v>0</v>
      </c>
      <c r="EP82" s="642">
        <f t="shared" si="127"/>
        <v>0</v>
      </c>
      <c r="EQ82" s="642">
        <f t="shared" si="127"/>
        <v>0</v>
      </c>
      <c r="ER82" s="642">
        <f t="shared" si="127"/>
        <v>0</v>
      </c>
      <c r="ES82" s="642">
        <f t="shared" si="127"/>
        <v>0</v>
      </c>
      <c r="ET82" s="642">
        <f t="shared" si="127"/>
        <v>0</v>
      </c>
      <c r="EU82" s="642">
        <f t="shared" si="127"/>
        <v>0</v>
      </c>
      <c r="EV82" s="642">
        <f t="shared" si="127"/>
        <v>0</v>
      </c>
      <c r="EW82" s="642">
        <f t="shared" si="127"/>
        <v>0</v>
      </c>
      <c r="EX82" s="642">
        <f t="shared" si="127"/>
        <v>0</v>
      </c>
      <c r="EY82" s="642">
        <f t="shared" si="127"/>
        <v>0</v>
      </c>
      <c r="EZ82" s="642">
        <f t="shared" si="127"/>
        <v>0</v>
      </c>
      <c r="FA82" s="642">
        <f t="shared" si="127"/>
        <v>0</v>
      </c>
      <c r="FB82" s="642">
        <f t="shared" si="127"/>
        <v>0</v>
      </c>
      <c r="FC82" s="642">
        <f t="shared" si="127"/>
        <v>0</v>
      </c>
      <c r="FD82" s="642">
        <f t="shared" si="127"/>
        <v>0</v>
      </c>
      <c r="FE82" s="642">
        <f t="shared" si="127"/>
        <v>0</v>
      </c>
      <c r="FF82" s="642">
        <f t="shared" si="127"/>
        <v>0</v>
      </c>
      <c r="FG82" s="642">
        <f t="shared" si="127"/>
        <v>0</v>
      </c>
      <c r="FH82" s="642">
        <f t="shared" si="127"/>
        <v>0</v>
      </c>
      <c r="FI82" s="642">
        <f t="shared" si="127"/>
        <v>0</v>
      </c>
      <c r="FJ82" s="642">
        <f t="shared" si="127"/>
        <v>0</v>
      </c>
      <c r="FK82" s="642">
        <f t="shared" si="127"/>
        <v>0</v>
      </c>
      <c r="FL82" s="642">
        <f t="shared" si="127"/>
        <v>0</v>
      </c>
      <c r="FM82" s="642">
        <f t="shared" si="127"/>
        <v>0</v>
      </c>
      <c r="FN82" s="642">
        <f t="shared" si="127"/>
        <v>0</v>
      </c>
      <c r="FO82" s="642">
        <f t="shared" si="127"/>
        <v>0</v>
      </c>
      <c r="FP82" s="642">
        <f t="shared" si="127"/>
        <v>0</v>
      </c>
      <c r="FQ82" s="642">
        <f t="shared" si="127"/>
        <v>0</v>
      </c>
      <c r="FR82" s="642">
        <f t="shared" si="127"/>
        <v>0</v>
      </c>
      <c r="FS82" s="642">
        <f t="shared" si="127"/>
        <v>0</v>
      </c>
      <c r="FZ82" s="603"/>
    </row>
    <row r="83" spans="2:182" ht="12.75" customHeight="1">
      <c r="B83" s="638"/>
      <c r="C83" s="639"/>
      <c r="D83" s="644"/>
      <c r="E83" s="642"/>
      <c r="F83" s="642"/>
      <c r="G83" s="642"/>
      <c r="H83" s="642"/>
      <c r="I83" s="642"/>
      <c r="J83" s="642"/>
      <c r="K83" s="642"/>
      <c r="L83" s="642"/>
      <c r="M83" s="642"/>
      <c r="N83" s="642"/>
      <c r="O83" s="642"/>
      <c r="P83" s="642"/>
      <c r="R83" s="642"/>
      <c r="FZ83" s="603"/>
    </row>
    <row r="84" spans="2:182" ht="12.75" customHeight="1" thickBot="1">
      <c r="B84" s="646" t="s">
        <v>327</v>
      </c>
      <c r="C84" s="639"/>
      <c r="D84" s="644"/>
      <c r="E84" s="647">
        <f>IF(AND(E17&gt;=Detail!$H$7,E17&lt;=Detail!$H$9),'Cash Flow'!E76-SUM('Cash Flow'!E81:E82),0)</f>
        <v>60358.090459548665</v>
      </c>
      <c r="F84" s="647">
        <f>IF(AND(F17&gt;=Detail!$H$7,F17&lt;=Detail!$H$9),'Cash Flow'!F76-SUM('Cash Flow'!F81:F82),0)</f>
        <v>52248.378085041855</v>
      </c>
      <c r="G84" s="647">
        <f>IF(AND(G17&gt;=Detail!$H$7,G17&lt;=Detail!$H$9),'Cash Flow'!G76-SUM('Cash Flow'!G81:G82),0)</f>
        <v>52453.132601852383</v>
      </c>
      <c r="H84" s="647">
        <f>IF(AND(H17&gt;=Detail!$H$7,H17&lt;=Detail!$H$9),'Cash Flow'!H76-SUM('Cash Flow'!H81:H82),0)</f>
        <v>52055.327475223952</v>
      </c>
      <c r="I84" s="647">
        <f>IF(AND(I17&gt;=Detail!$H$7,I17&lt;=Detail!$H$9),'Cash Flow'!I76-SUM('Cash Flow'!I81:I82),0)</f>
        <v>43925.130756638217</v>
      </c>
      <c r="J84" s="647">
        <f>IF(AND(J17&gt;=Detail!$H$7,J17&lt;=Detail!$H$9),'Cash Flow'!J76-SUM('Cash Flow'!J81:J82),0)</f>
        <v>52431.611588304891</v>
      </c>
      <c r="K84" s="647">
        <f>IF(AND(K17&gt;=Detail!$H$7,K17&lt;=Detail!$H$9),'Cash Flow'!K76-SUM('Cash Flow'!K81:K82),0)</f>
        <v>44288.871479473804</v>
      </c>
      <c r="L84" s="647">
        <f>IF(AND(L17&gt;=Detail!$H$7,L17&lt;=Detail!$H$9),'Cash Flow'!L76-SUM('Cash Flow'!L81:L82),0)</f>
        <v>44150.745894091116</v>
      </c>
      <c r="M84" s="647">
        <f>IF(AND(M17&gt;=Detail!$H$7,M17&lt;=Detail!$H$9),'Cash Flow'!M76-SUM('Cash Flow'!M81:M82),0)</f>
        <v>69011.525563054631</v>
      </c>
      <c r="N84" s="647">
        <f>IF(AND(N17&gt;=Detail!$H$7,N17&lt;=Detail!$H$9),'Cash Flow'!N76-SUM('Cash Flow'!N81:N82),0)</f>
        <v>43976.401704510703</v>
      </c>
      <c r="O84" s="647">
        <f>IF(AND(O17&gt;=Detail!$H$7,O17&lt;=Detail!$H$9),'Cash Flow'!O76-SUM('Cash Flow'!O81:O82),0)</f>
        <v>52259.628806689492</v>
      </c>
      <c r="P84" s="647">
        <f>IF(AND(P17&gt;=Detail!$H$7,P17&lt;=Detail!$H$9),'Cash Flow'!P76-SUM('Cash Flow'!P81:P82),0)</f>
        <v>43931.051225175412</v>
      </c>
      <c r="Q84" s="647">
        <f>IF(AND(Q17&gt;=Detail!$H$7,Q17&lt;=Detail!$H$9),'Cash Flow'!Q76-SUM('Cash Flow'!Q81:Q82),0)</f>
        <v>73419.685932164633</v>
      </c>
      <c r="R84" s="647">
        <f>IF(AND(R17&gt;=Detail!$H$7,R17&lt;=Detail!$H$9),'Cash Flow'!R76-SUM('Cash Flow'!R81:R82),0)</f>
        <v>60212.279223237856</v>
      </c>
      <c r="S84" s="647">
        <f>IF(AND(S17&gt;=Detail!$H$7,S17&lt;=Detail!$H$9),'Cash Flow'!S76-SUM('Cash Flow'!S81:S82),0)</f>
        <v>55656.937486443407</v>
      </c>
      <c r="T84" s="647">
        <f>IF(AND(T17&gt;=Detail!$H$7,T17&lt;=Detail!$H$9),'Cash Flow'!T76-SUM('Cash Flow'!T81:T82),0)</f>
        <v>65196.079574831267</v>
      </c>
      <c r="U84" s="647">
        <f>IF(AND(U17&gt;=Detail!$H$7,U17&lt;=Detail!$H$9),'Cash Flow'!U76-SUM('Cash Flow'!U81:U82),0)</f>
        <v>67708.460962565063</v>
      </c>
      <c r="V84" s="647">
        <f>IF(AND(V17&gt;=Detail!$H$7,V17&lt;=Detail!$H$9),'Cash Flow'!V76-SUM('Cash Flow'!V81:V82),0)</f>
        <v>77453.928359410231</v>
      </c>
      <c r="W84" s="647">
        <f>IF(AND(W17&gt;=Detail!$H$7,W17&lt;=Detail!$H$9),'Cash Flow'!W76-SUM('Cash Flow'!W81:W82),0)</f>
        <v>70615.55603208908</v>
      </c>
      <c r="X84" s="647">
        <f>IF(AND(X17&gt;=Detail!$H$7,X17&lt;=Detail!$H$9),'Cash Flow'!X76-SUM('Cash Flow'!X81:X82),0)</f>
        <v>91232.142409103661</v>
      </c>
      <c r="Y84" s="647">
        <f>IF(AND(Y17&gt;=Detail!$H$7,Y17&lt;=Detail!$H$9),'Cash Flow'!Y76-SUM('Cash Flow'!Y81:Y82),0)</f>
        <v>109261.06655539607</v>
      </c>
      <c r="Z84" s="647">
        <f>IF(AND(Z17&gt;=Detail!$H$7,Z17&lt;=Detail!$H$9),'Cash Flow'!Z76-SUM('Cash Flow'!Z81:Z82),0)</f>
        <v>94315.834280997195</v>
      </c>
      <c r="AA84" s="647">
        <f>IF(AND(AA17&gt;=Detail!$H$7,AA17&lt;=Detail!$H$9),'Cash Flow'!AA76-SUM('Cash Flow'!AA81:AA82),0)</f>
        <v>104357.85712078572</v>
      </c>
      <c r="AB84" s="647">
        <f>IF(AND(AB17&gt;=Detail!$H$7,AB17&lt;=Detail!$H$9),'Cash Flow'!AB76-SUM('Cash Flow'!AB81:AB82),0)</f>
        <v>97749.834625190852</v>
      </c>
      <c r="AC84" s="647">
        <f>IF(AND(AC17&gt;=Detail!$H$7,AC17&lt;=Detail!$H$9),'Cash Flow'!AC76-SUM('Cash Flow'!AC81:AC82),0)</f>
        <v>107769.6689900971</v>
      </c>
      <c r="AD84" s="647">
        <f>IF(AND(AD17&gt;=Detail!$H$7,AD17&lt;=Detail!$H$9),'Cash Flow'!AD76-SUM('Cash Flow'!AD81:AD82),0)</f>
        <v>100417.64617236776</v>
      </c>
      <c r="AE84" s="647">
        <f>IF(AND(AE17&gt;=Detail!$H$7,AE17&lt;=Detail!$H$9),'Cash Flow'!AE76-SUM('Cash Flow'!AE81:AE82),0)</f>
        <v>101754.47180674298</v>
      </c>
      <c r="AF84" s="647">
        <f>IF(AND(AF17&gt;=Detail!$H$7,AF17&lt;=Detail!$H$9),'Cash Flow'!AF76-SUM('Cash Flow'!AF81:AF82),0)</f>
        <v>111760.19672159452</v>
      </c>
      <c r="AG84" s="647">
        <f>IF(AND(AG17&gt;=Detail!$H$7,AG17&lt;=Detail!$H$9),'Cash Flow'!AG76-SUM('Cash Flow'!AG81:AG82),0)</f>
        <v>105094.72318791444</v>
      </c>
      <c r="AH84" s="647">
        <f>IF(AND(AH17&gt;=Detail!$H$7,AH17&lt;=Detail!$H$9),'Cash Flow'!AH76-SUM('Cash Flow'!AH81:AH82),0)</f>
        <v>115049.38924372799</v>
      </c>
      <c r="AI84" s="647">
        <f>IF(AND(AI17&gt;=Detail!$H$7,AI17&lt;=Detail!$H$9),'Cash Flow'!AI76-SUM('Cash Flow'!AI81:AI82),0)</f>
        <v>108311.27521083484</v>
      </c>
      <c r="AJ84" s="647">
        <f>IF(AND(AJ17&gt;=Detail!$H$7,AJ17&lt;=Detail!$H$9),'Cash Flow'!AJ76-SUM('Cash Flow'!AJ81:AJ82),0)</f>
        <v>109846.08033182289</v>
      </c>
      <c r="AK84" s="647">
        <f>IF(AND(AK17&gt;=Detail!$H$7,AK17&lt;=Detail!$H$9),'Cash Flow'!AK76-SUM('Cash Flow'!AK81:AK82),0)</f>
        <v>136108.60043032336</v>
      </c>
      <c r="AL84" s="647">
        <f>IF(AND(AL17&gt;=Detail!$H$7,AL17&lt;=Detail!$H$9),'Cash Flow'!AL76-SUM('Cash Flow'!AL81:AL82),0)</f>
        <v>112287.43733377583</v>
      </c>
      <c r="AM84" s="647">
        <f>IF(AND(AM17&gt;=Detail!$H$7,AM17&lt;=Detail!$H$9),'Cash Flow'!AM76-SUM('Cash Flow'!AM81:AM82),0)</f>
        <v>121989.80158245491</v>
      </c>
      <c r="AN84" s="647">
        <f>IF(AND(AN17&gt;=Detail!$H$7,AN17&lt;=Detail!$H$9),'Cash Flow'!AN76-SUM('Cash Flow'!AN81:AN82),0)</f>
        <v>115032.76004343168</v>
      </c>
      <c r="AO84" s="647">
        <f>IF(AND(AO17&gt;=Detail!$H$7,AO17&lt;=Detail!$H$9),'Cash Flow'!AO76-SUM('Cash Flow'!AO81:AO82),0)</f>
        <v>124673.74039280156</v>
      </c>
      <c r="AP84" s="647">
        <f>IF(AND(AP17&gt;=Detail!$H$7,AP17&lt;=Detail!$H$9),'Cash Flow'!AP76-SUM('Cash Flow'!AP81:AP82),0)</f>
        <v>117629.24165548748</v>
      </c>
      <c r="AQ84" s="647">
        <f>IF(AND(AQ17&gt;=Detail!$H$7,AQ17&lt;=Detail!$H$9),'Cash Flow'!AQ76-SUM('Cash Flow'!AQ81:AQ82),0)</f>
        <v>118323.45879980075</v>
      </c>
      <c r="AR84" s="647">
        <f>IF(AND(AR17&gt;=Detail!$H$7,AR17&lt;=Detail!$H$9),'Cash Flow'!AR76-SUM('Cash Flow'!AR81:AR82),0)</f>
        <v>127610.72835044793</v>
      </c>
      <c r="AS84" s="647">
        <f>IF(AND(AS17&gt;=Detail!$H$7,AS17&lt;=Detail!$H$9),'Cash Flow'!AS76-SUM('Cash Flow'!AS81:AS82),0)</f>
        <v>120516.11803272038</v>
      </c>
      <c r="AT84" s="647">
        <f>IF(AND(AT17&gt;=Detail!$H$7,AT17&lt;=Detail!$H$9),'Cash Flow'!AT76-SUM('Cash Flow'!AT81:AT82),0)</f>
        <v>130052.57838772182</v>
      </c>
      <c r="AU84" s="647">
        <f>IF(AND(AU17&gt;=Detail!$H$7,AU17&lt;=Detail!$H$9),'Cash Flow'!AU76-SUM('Cash Flow'!AU81:AU82),0)</f>
        <v>122947.69082828306</v>
      </c>
      <c r="AV84" s="647">
        <f>IF(AND(AV17&gt;=Detail!$H$7,AV17&lt;=Detail!$H$9),'Cash Flow'!AV76-SUM('Cash Flow'!AV81:AV82),0)</f>
        <v>124145.7100161064</v>
      </c>
      <c r="AW84" s="647">
        <f>IF(AND(AW17&gt;=Detail!$H$7,AW17&lt;=Detail!$H$9),'Cash Flow'!AW76-SUM('Cash Flow'!AW81:AW82),0)</f>
        <v>150293.64168869078</v>
      </c>
      <c r="AX84" s="647">
        <f>IF(AND(AX17&gt;=Detail!$H$7,AX17&lt;=Detail!$H$9),'Cash Flow'!AX76-SUM('Cash Flow'!AX81:AX82),0)</f>
        <v>126347.61360034774</v>
      </c>
      <c r="AY84" s="647">
        <f>IF(AND(AY17&gt;=Detail!$H$7,AY17&lt;=Detail!$H$9),'Cash Flow'!AY76-SUM('Cash Flow'!AY81:AY82),0)</f>
        <v>135587.25106696974</v>
      </c>
      <c r="AZ84" s="647">
        <f>IF(AND(AZ17&gt;=Detail!$H$7,AZ17&lt;=Detail!$H$9),'Cash Flow'!AZ76-SUM('Cash Flow'!AZ81:AZ82),0)</f>
        <v>128410.89317186482</v>
      </c>
      <c r="BA84" s="647">
        <f>IF(AND(BA17&gt;=Detail!$H$7,BA17&lt;=Detail!$H$9),'Cash Flow'!BA76-SUM('Cash Flow'!BA81:BA82),0)</f>
        <v>0</v>
      </c>
      <c r="BB84" s="647">
        <f>IF(AND(BB17&gt;=Detail!$H$7,BB17&lt;=Detail!$H$9),'Cash Flow'!BB76-SUM('Cash Flow'!BB81:BB82),0)</f>
        <v>0</v>
      </c>
      <c r="BC84" s="647">
        <f>IF(AND(BC17&gt;=Detail!$H$7,BC17&lt;=Detail!$H$9),'Cash Flow'!BC76-SUM('Cash Flow'!BC81:BC82),0)</f>
        <v>0</v>
      </c>
      <c r="BD84" s="647">
        <f>IF(AND(BD17&gt;=Detail!$H$7,BD17&lt;=Detail!$H$9),'Cash Flow'!BD76-SUM('Cash Flow'!BD81:BD82),0)</f>
        <v>0</v>
      </c>
      <c r="BE84" s="647">
        <f>IF(AND(BE17&gt;=Detail!$H$7,BE17&lt;=Detail!$H$9),'Cash Flow'!BE76-SUM('Cash Flow'!BE81:BE82),0)</f>
        <v>0</v>
      </c>
      <c r="BF84" s="647">
        <f>IF(AND(BF17&gt;=Detail!$H$7,BF17&lt;=Detail!$H$9),'Cash Flow'!BF76-SUM('Cash Flow'!BF81:BF82),0)</f>
        <v>0</v>
      </c>
      <c r="BG84" s="647">
        <f>IF(AND(BG17&gt;=Detail!$H$7,BG17&lt;=Detail!$H$9),'Cash Flow'!BG76-SUM('Cash Flow'!BG81:BG82),0)</f>
        <v>0</v>
      </c>
      <c r="BH84" s="647">
        <f>IF(AND(BH17&gt;=Detail!$H$7,BH17&lt;=Detail!$H$9),'Cash Flow'!BH76-SUM('Cash Flow'!BH81:BH82),0)</f>
        <v>0</v>
      </c>
      <c r="BI84" s="647">
        <f>IF(AND(BI17&gt;=Detail!$H$7,BI17&lt;=Detail!$H$9),'Cash Flow'!BI76-SUM('Cash Flow'!BI81:BI82),0)</f>
        <v>0</v>
      </c>
      <c r="BJ84" s="647">
        <f>IF(AND(BJ17&gt;=Detail!$H$7,BJ17&lt;=Detail!$H$9),'Cash Flow'!BJ76-SUM('Cash Flow'!BJ81:BJ82),0)</f>
        <v>0</v>
      </c>
      <c r="BK84" s="647">
        <f>IF(AND(BK17&gt;=Detail!$H$7,BK17&lt;=Detail!$H$9),'Cash Flow'!BK76-SUM('Cash Flow'!BK81:BK82),0)</f>
        <v>0</v>
      </c>
      <c r="BL84" s="647">
        <f>IF(AND(BL17&gt;=Detail!$H$7,BL17&lt;=Detail!$H$9),'Cash Flow'!BL76-SUM('Cash Flow'!BL81:BL82),0)</f>
        <v>0</v>
      </c>
      <c r="BM84" s="647">
        <f>IF(AND(BM17&gt;=Detail!$H$7,BM17&lt;=Detail!$H$9),'Cash Flow'!BM76-SUM('Cash Flow'!BM81:BM82),0)</f>
        <v>0</v>
      </c>
      <c r="BN84" s="647">
        <f>IF(AND(BN17&gt;=Detail!$H$7,BN17&lt;=Detail!$H$9),'Cash Flow'!BN76-SUM('Cash Flow'!BN81:BN82),0)</f>
        <v>0</v>
      </c>
      <c r="BO84" s="647">
        <f>IF(AND(BO17&gt;=Detail!$H$7,BO17&lt;=Detail!$H$9),'Cash Flow'!BO76-SUM('Cash Flow'!BO81:BO82),0)</f>
        <v>0</v>
      </c>
      <c r="BP84" s="647">
        <f>IF(AND(BP17&gt;=Detail!$H$7,BP17&lt;=Detail!$H$9),'Cash Flow'!BP76-SUM('Cash Flow'!BP81:BP82),0)</f>
        <v>0</v>
      </c>
      <c r="BQ84" s="647">
        <f>IF(AND(BQ17&gt;=Detail!$H$7,BQ17&lt;=Detail!$H$9),'Cash Flow'!BQ76-SUM('Cash Flow'!BQ81:BQ82),0)</f>
        <v>0</v>
      </c>
      <c r="BR84" s="647">
        <f>IF(AND(BR17&gt;=Detail!$H$7,BR17&lt;=Detail!$H$9),'Cash Flow'!BR76-SUM('Cash Flow'!BR81:BR82),0)</f>
        <v>0</v>
      </c>
      <c r="BS84" s="647">
        <f>IF(AND(BS17&gt;=Detail!$H$7,BS17&lt;=Detail!$H$9),'Cash Flow'!BS76-SUM('Cash Flow'!BS81:BS82),0)</f>
        <v>0</v>
      </c>
      <c r="BT84" s="647">
        <f>IF(AND(BT17&gt;=Detail!$H$7,BT17&lt;=Detail!$H$9),'Cash Flow'!BT76-SUM('Cash Flow'!BT81:BT82),0)</f>
        <v>0</v>
      </c>
      <c r="BU84" s="647">
        <f>IF(AND(BU17&gt;=Detail!$H$7,BU17&lt;=Detail!$H$9),'Cash Flow'!BU76-SUM('Cash Flow'!BU81:BU82),0)</f>
        <v>0</v>
      </c>
      <c r="BV84" s="647">
        <f>IF(AND(BV17&gt;=Detail!$H$7,BV17&lt;=Detail!$H$9),'Cash Flow'!BV76-SUM('Cash Flow'!BV81:BV82),0)</f>
        <v>0</v>
      </c>
      <c r="BW84" s="647">
        <f>IF(AND(BW17&gt;=Detail!$H$7,BW17&lt;=Detail!$H$9),'Cash Flow'!BW76-SUM('Cash Flow'!BW81:BW82),0)</f>
        <v>0</v>
      </c>
      <c r="BX84" s="647">
        <f>IF(AND(BX17&gt;=Detail!$H$7,BX17&lt;=Detail!$H$9),'Cash Flow'!BX76-SUM('Cash Flow'!BX81:BX82),0)</f>
        <v>0</v>
      </c>
      <c r="BY84" s="647">
        <f>IF(AND(BY17&gt;=Detail!$H$7,BY17&lt;=Detail!$H$9),'Cash Flow'!BY76-SUM('Cash Flow'!BY81:BY82),0)</f>
        <v>0</v>
      </c>
      <c r="BZ84" s="647">
        <f>IF(AND(BZ17&gt;=Detail!$H$7,BZ17&lt;=Detail!$H$9),'Cash Flow'!BZ76-SUM('Cash Flow'!BZ81:BZ82),0)</f>
        <v>0</v>
      </c>
      <c r="CA84" s="647">
        <f>IF(AND(CA17&gt;=Detail!$H$7,CA17&lt;=Detail!$H$9),'Cash Flow'!CA76-SUM('Cash Flow'!CA81:CA82),0)</f>
        <v>0</v>
      </c>
      <c r="CB84" s="647">
        <f>IF(AND(CB17&gt;=Detail!$H$7,CB17&lt;=Detail!$H$9),'Cash Flow'!CB76-SUM('Cash Flow'!CB81:CB82),0)</f>
        <v>0</v>
      </c>
      <c r="CC84" s="647">
        <f>IF(AND(CC17&gt;=Detail!$H$7,CC17&lt;=Detail!$H$9),'Cash Flow'!CC76-SUM('Cash Flow'!CC81:CC82),0)</f>
        <v>0</v>
      </c>
      <c r="CD84" s="647">
        <f>IF(AND(CD17&gt;=Detail!$H$7,CD17&lt;=Detail!$H$9),'Cash Flow'!CD76-SUM('Cash Flow'!CD81:CD82),0)</f>
        <v>0</v>
      </c>
      <c r="CE84" s="647">
        <f>IF(AND(CE17&gt;=Detail!$H$7,CE17&lt;=Detail!$H$9),'Cash Flow'!CE76-SUM('Cash Flow'!CE81:CE82),0)</f>
        <v>0</v>
      </c>
      <c r="CF84" s="647">
        <f>IF(AND(CF17&gt;=Detail!$H$7,CF17&lt;=Detail!$H$9),'Cash Flow'!CF76-SUM('Cash Flow'!CF81:CF82),0)</f>
        <v>0</v>
      </c>
      <c r="CG84" s="647">
        <f>IF(AND(CG17&gt;=Detail!$H$7,CG17&lt;=Detail!$H$9),'Cash Flow'!CG76-SUM('Cash Flow'!CG81:CG82),0)</f>
        <v>0</v>
      </c>
      <c r="CH84" s="647">
        <f>IF(AND(CH17&gt;=Detail!$H$7,CH17&lt;=Detail!$H$9),'Cash Flow'!CH76-SUM('Cash Flow'!CH81:CH82),0)</f>
        <v>0</v>
      </c>
      <c r="CI84" s="647">
        <f>IF(AND(CI17&gt;=Detail!$H$7,CI17&lt;=Detail!$H$9),'Cash Flow'!CI76-SUM('Cash Flow'!CI81:CI82),0)</f>
        <v>0</v>
      </c>
      <c r="CJ84" s="647">
        <f>IF(AND(CJ17&gt;=Detail!$H$7,CJ17&lt;=Detail!$H$9),'Cash Flow'!CJ76-SUM('Cash Flow'!CJ81:CJ82),0)</f>
        <v>0</v>
      </c>
      <c r="CK84" s="647">
        <f>IF(AND(CK17&gt;=Detail!$H$7,CK17&lt;=Detail!$H$9),'Cash Flow'!CK76-SUM('Cash Flow'!CK81:CK82),0)</f>
        <v>0</v>
      </c>
      <c r="CL84" s="647">
        <f>IF(AND(CL17&gt;=Detail!$H$7,CL17&lt;=Detail!$H$9),'Cash Flow'!CL76-SUM('Cash Flow'!CL81:CL82),0)</f>
        <v>0</v>
      </c>
      <c r="CM84" s="647">
        <f>IF(AND(CM17&gt;=Detail!$H$7,CM17&lt;=Detail!$H$9),'Cash Flow'!CM76-SUM('Cash Flow'!CM81:CM82),0)</f>
        <v>0</v>
      </c>
      <c r="CN84" s="647">
        <f>IF(AND(CN17&gt;=Detail!$H$7,CN17&lt;=Detail!$H$9),'Cash Flow'!CN76-SUM('Cash Flow'!CN81:CN82),0)</f>
        <v>0</v>
      </c>
      <c r="CO84" s="647">
        <f>IF(AND(CO17&gt;=Detail!$H$7,CO17&lt;=Detail!$H$9),'Cash Flow'!CO76-SUM('Cash Flow'!CO81:CO82),0)</f>
        <v>0</v>
      </c>
      <c r="CP84" s="647">
        <f>IF(AND(CP17&gt;=Detail!$H$7,CP17&lt;=Detail!$H$9),'Cash Flow'!CP76-SUM('Cash Flow'!CP81:CP82),0)</f>
        <v>0</v>
      </c>
      <c r="CQ84" s="647">
        <f>IF(AND(CQ17&gt;=Detail!$H$7,CQ17&lt;=Detail!$H$9),'Cash Flow'!CQ76-SUM('Cash Flow'!CQ81:CQ82),0)</f>
        <v>0</v>
      </c>
      <c r="CR84" s="647">
        <f>IF(AND(CR17&gt;=Detail!$H$7,CR17&lt;=Detail!$H$9),'Cash Flow'!CR76-SUM('Cash Flow'!CR81:CR82),0)</f>
        <v>0</v>
      </c>
      <c r="CS84" s="647">
        <f>IF(AND(CS17&gt;=Detail!$H$7,CS17&lt;=Detail!$H$9),'Cash Flow'!CS76-SUM('Cash Flow'!CS81:CS82),0)</f>
        <v>0</v>
      </c>
      <c r="CT84" s="647">
        <f>IF(AND(CT17&gt;=Detail!$H$7,CT17&lt;=Detail!$H$9),'Cash Flow'!CT76-SUM('Cash Flow'!CT81:CT82),0)</f>
        <v>0</v>
      </c>
      <c r="CU84" s="647">
        <f>IF(AND(CU17&gt;=Detail!$H$7,CU17&lt;=Detail!$H$9),'Cash Flow'!CU76-SUM('Cash Flow'!CU81:CU82),0)</f>
        <v>0</v>
      </c>
      <c r="CV84" s="647">
        <f>IF(AND(CV17&gt;=Detail!$H$7,CV17&lt;=Detail!$H$9),'Cash Flow'!CV76-SUM('Cash Flow'!CV81:CV82),0)</f>
        <v>0</v>
      </c>
      <c r="CW84" s="647">
        <f>IF(AND(CW17&gt;=Detail!$H$7,CW17&lt;=Detail!$H$9),'Cash Flow'!CW76-SUM('Cash Flow'!CW81:CW82),0)</f>
        <v>0</v>
      </c>
      <c r="CX84" s="647">
        <f>IF(AND(CX17&gt;=Detail!$H$7,CX17&lt;=Detail!$H$9),'Cash Flow'!CX76-SUM('Cash Flow'!CX81:CX82),0)</f>
        <v>0</v>
      </c>
      <c r="CY84" s="647">
        <f>IF(AND(CY17&gt;=Detail!$H$7,CY17&lt;=Detail!$H$9),'Cash Flow'!CY76-SUM('Cash Flow'!CY81:CY82),0)</f>
        <v>0</v>
      </c>
      <c r="CZ84" s="647">
        <f>IF(AND(CZ17&gt;=Detail!$H$7,CZ17&lt;=Detail!$H$9),'Cash Flow'!CZ76-SUM('Cash Flow'!CZ81:CZ82),0)</f>
        <v>0</v>
      </c>
      <c r="DA84" s="647">
        <f>IF(AND(DA17&gt;=Detail!$H$7,DA17&lt;=Detail!$H$9),'Cash Flow'!DA76-SUM('Cash Flow'!DA81:DA82),0)</f>
        <v>0</v>
      </c>
      <c r="DB84" s="647">
        <f>IF(AND(DB17&gt;=Detail!$H$7,DB17&lt;=Detail!$H$9),'Cash Flow'!DB76-SUM('Cash Flow'!DB81:DB82),0)</f>
        <v>0</v>
      </c>
      <c r="DC84" s="647">
        <f>IF(AND(DC17&gt;=Detail!$H$7,DC17&lt;=Detail!$H$9),'Cash Flow'!DC76-SUM('Cash Flow'!DC81:DC82),0)</f>
        <v>0</v>
      </c>
      <c r="DD84" s="647">
        <f>IF(AND(DD17&gt;=Detail!$H$7,DD17&lt;=Detail!$H$9),'Cash Flow'!DD76-SUM('Cash Flow'!DD81:DD82),0)</f>
        <v>0</v>
      </c>
      <c r="DE84" s="647">
        <f>IF(AND(DE17&gt;=Detail!$H$7,DE17&lt;=Detail!$H$9),'Cash Flow'!DE76-SUM('Cash Flow'!DE81:DE82),0)</f>
        <v>0</v>
      </c>
      <c r="DF84" s="647">
        <f>IF(AND(DF17&gt;=Detail!$H$7,DF17&lt;=Detail!$H$9),'Cash Flow'!DF76-SUM('Cash Flow'!DF81:DF82),0)</f>
        <v>0</v>
      </c>
      <c r="DG84" s="647">
        <f>IF(AND(DG17&gt;=Detail!$H$7,DG17&lt;=Detail!$H$9),'Cash Flow'!DG76-SUM('Cash Flow'!DG81:DG82),0)</f>
        <v>0</v>
      </c>
      <c r="DH84" s="647">
        <f>IF(AND(DH17&gt;=Detail!$H$7,DH17&lt;=Detail!$H$9),'Cash Flow'!DH76-SUM('Cash Flow'!DH81:DH82),0)</f>
        <v>0</v>
      </c>
      <c r="DI84" s="647">
        <f>IF(AND(DI17&gt;=Detail!$H$7,DI17&lt;=Detail!$H$9),'Cash Flow'!DI76-SUM('Cash Flow'!DI81:DI82),0)</f>
        <v>0</v>
      </c>
      <c r="DJ84" s="647">
        <f>IF(AND(DJ17&gt;=Detail!$H$7,DJ17&lt;=Detail!$H$9),'Cash Flow'!DJ76-SUM('Cash Flow'!DJ81:DJ82),0)</f>
        <v>0</v>
      </c>
      <c r="DK84" s="647">
        <f>IF(AND(DK17&gt;=Detail!$H$7,DK17&lt;=Detail!$H$9),'Cash Flow'!DK76-SUM('Cash Flow'!DK81:DK82),0)</f>
        <v>0</v>
      </c>
      <c r="DL84" s="647">
        <f>IF(AND(DL17&gt;=Detail!$H$7,DL17&lt;=Detail!$H$9),'Cash Flow'!DL76-SUM('Cash Flow'!DL81:DL82),0)</f>
        <v>0</v>
      </c>
      <c r="DM84" s="647">
        <f>IF(AND(DM17&gt;=Detail!$H$7,DM17&lt;=Detail!$H$9),'Cash Flow'!DM76-SUM('Cash Flow'!DM81:DM82),0)</f>
        <v>0</v>
      </c>
      <c r="DN84" s="647">
        <f>IF(AND(DN17&gt;=Detail!$H$7,DN17&lt;=Detail!$H$9),'Cash Flow'!DN76-SUM('Cash Flow'!DN81:DN82),0)</f>
        <v>0</v>
      </c>
      <c r="DO84" s="647">
        <f>IF(AND(DO17&gt;=Detail!$H$7,DO17&lt;=Detail!$H$9),'Cash Flow'!DO76-SUM('Cash Flow'!DO81:DO82),0)</f>
        <v>0</v>
      </c>
      <c r="DP84" s="647">
        <f>IF(AND(DP17&gt;=Detail!$H$7,DP17&lt;=Detail!$H$9),'Cash Flow'!DP76-SUM('Cash Flow'!DP81:DP82),0)</f>
        <v>0</v>
      </c>
      <c r="DQ84" s="647">
        <f>IF(AND(DQ17&gt;=Detail!$H$7,DQ17&lt;=Detail!$H$9),'Cash Flow'!DQ76-SUM('Cash Flow'!DQ81:DQ82),0)</f>
        <v>0</v>
      </c>
      <c r="DR84" s="647">
        <f>IF(AND(DR17&gt;=Detail!$H$7,DR17&lt;=Detail!$H$9),'Cash Flow'!DR76-SUM('Cash Flow'!DR81:DR82),0)</f>
        <v>0</v>
      </c>
      <c r="DS84" s="647">
        <f>IF(AND(DS17&gt;=Detail!$H$7,DS17&lt;=Detail!$H$9),'Cash Flow'!DS76-SUM('Cash Flow'!DS81:DS82),0)</f>
        <v>0</v>
      </c>
      <c r="DT84" s="647">
        <f>IF(AND(DT17&gt;=Detail!$H$7,DT17&lt;=Detail!$H$9),'Cash Flow'!DT76-SUM('Cash Flow'!DT81:DT82),0)</f>
        <v>0</v>
      </c>
      <c r="DU84" s="647">
        <f>IF(AND(DU17&gt;=Detail!$H$7,DU17&lt;=Detail!$H$9),'Cash Flow'!DU76-SUM('Cash Flow'!DU81:DU82),0)</f>
        <v>0</v>
      </c>
      <c r="DV84" s="647">
        <f>IF(AND(DV17&gt;=Detail!$H$7,DV17&lt;=Detail!$H$9),'Cash Flow'!DV76-SUM('Cash Flow'!DV81:DV82),0)</f>
        <v>0</v>
      </c>
      <c r="DW84" s="647">
        <f>IF(AND(DW17&gt;=Detail!$H$7,DW17&lt;=Detail!$H$9),'Cash Flow'!DW76-SUM('Cash Flow'!DW81:DW82),0)</f>
        <v>0</v>
      </c>
      <c r="DX84" s="647">
        <f>IF(AND(DX17&gt;=Detail!$H$7,DX17&lt;=Detail!$H$9),'Cash Flow'!DX76-SUM('Cash Flow'!DX81:DX82),0)</f>
        <v>0</v>
      </c>
      <c r="DY84" s="647">
        <f>IF(AND(DY17&gt;=Detail!$H$7,DY17&lt;=Detail!$H$9),'Cash Flow'!DY76-SUM('Cash Flow'!DY81:DY82),0)</f>
        <v>0</v>
      </c>
      <c r="DZ84" s="647">
        <f>IF(AND(DZ17&gt;=Detail!$H$7,DZ17&lt;=Detail!$H$9),'Cash Flow'!DZ76-SUM('Cash Flow'!DZ81:DZ82),0)</f>
        <v>0</v>
      </c>
      <c r="EA84" s="647">
        <f>IF(AND(EA17&gt;=Detail!$H$7,EA17&lt;=Detail!$H$9),'Cash Flow'!EA76-SUM('Cash Flow'!EA81:EA82),0)</f>
        <v>0</v>
      </c>
      <c r="EB84" s="647">
        <f>IF(AND(EB17&gt;=Detail!$H$7,EB17&lt;=Detail!$H$9),'Cash Flow'!EB76-SUM('Cash Flow'!EB81:EB82),0)</f>
        <v>0</v>
      </c>
      <c r="EC84" s="647">
        <f>IF(AND(EC17&gt;=Detail!$H$7,EC17&lt;=Detail!$H$9),'Cash Flow'!EC76-SUM('Cash Flow'!EC81:EC82),0)</f>
        <v>0</v>
      </c>
      <c r="ED84" s="647">
        <f>IF(AND(ED17&gt;=Detail!$H$7,ED17&lt;=Detail!$H$9),'Cash Flow'!ED76-SUM('Cash Flow'!ED81:ED82),0)</f>
        <v>0</v>
      </c>
      <c r="EE84" s="647">
        <f>IF(AND(EE17&gt;=Detail!$H$7,EE17&lt;=Detail!$H$9),'Cash Flow'!EE76-SUM('Cash Flow'!EE81:EE82),0)</f>
        <v>0</v>
      </c>
      <c r="EF84" s="647">
        <f>IF(AND(EF17&gt;=Detail!$H$7,EF17&lt;=Detail!$H$9),'Cash Flow'!EF76-SUM('Cash Flow'!EF81:EF82),0)</f>
        <v>0</v>
      </c>
      <c r="EG84" s="647">
        <f>IF(AND(EG17&gt;=Detail!$H$7,EG17&lt;=Detail!$H$9),'Cash Flow'!EG76-SUM('Cash Flow'!EG81:EG82),0)</f>
        <v>0</v>
      </c>
      <c r="EH84" s="647">
        <f>IF(AND(EH17&gt;=Detail!$H$7,EH17&lt;=Detail!$H$9),'Cash Flow'!EH76-SUM('Cash Flow'!EH81:EH82),0)</f>
        <v>0</v>
      </c>
      <c r="EI84" s="647">
        <f>IF(AND(EI17&gt;=Detail!$H$7,EI17&lt;=Detail!$H$9),'Cash Flow'!EI76-SUM('Cash Flow'!EI81:EI82),0)</f>
        <v>0</v>
      </c>
      <c r="EJ84" s="647">
        <f>IF(AND(EJ17&gt;=Detail!$H$7,EJ17&lt;=Detail!$H$9),'Cash Flow'!EJ76-SUM('Cash Flow'!EJ81:EJ82),0)</f>
        <v>0</v>
      </c>
      <c r="EK84" s="647">
        <f>IF(AND(EK17&gt;=Detail!$H$7,EK17&lt;=Detail!$H$9),'Cash Flow'!EK76-SUM('Cash Flow'!EK81:EK82),0)</f>
        <v>0</v>
      </c>
      <c r="EL84" s="647">
        <f>IF(AND(EL17&gt;=Detail!$H$7,EL17&lt;=Detail!$H$9),'Cash Flow'!EL76-SUM('Cash Flow'!EL81:EL82),0)</f>
        <v>0</v>
      </c>
      <c r="EM84" s="647">
        <f>IF(AND(EM17&gt;=Detail!$H$7,EM17&lt;=Detail!$H$9),'Cash Flow'!EM76-SUM('Cash Flow'!EM81:EM82),0)</f>
        <v>0</v>
      </c>
      <c r="EN84" s="647">
        <f>IF(AND(EN17&gt;=Detail!$H$7,EN17&lt;=Detail!$H$9),'Cash Flow'!EN76-SUM('Cash Flow'!EN81:EN82),0)</f>
        <v>0</v>
      </c>
      <c r="EO84" s="647">
        <f>IF(AND(EO17&gt;=Detail!$H$7,EO17&lt;=Detail!$H$9),'Cash Flow'!EO76-SUM('Cash Flow'!EO81:EO82),0)</f>
        <v>0</v>
      </c>
      <c r="EP84" s="647">
        <f>IF(AND(EP17&gt;=Detail!$H$7,EP17&lt;=Detail!$H$9),'Cash Flow'!EP76-SUM('Cash Flow'!EP81:EP82),0)</f>
        <v>0</v>
      </c>
      <c r="EQ84" s="647">
        <f>IF(AND(EQ17&gt;=Detail!$H$7,EQ17&lt;=Detail!$H$9),'Cash Flow'!EQ76-SUM('Cash Flow'!EQ81:EQ82),0)</f>
        <v>0</v>
      </c>
      <c r="ER84" s="647">
        <f>IF(AND(ER17&gt;=Detail!$H$7,ER17&lt;=Detail!$H$9),'Cash Flow'!ER76-SUM('Cash Flow'!ER81:ER82),0)</f>
        <v>0</v>
      </c>
      <c r="ES84" s="647">
        <f>IF(AND(ES17&gt;=Detail!$H$7,ES17&lt;=Detail!$H$9),'Cash Flow'!ES76-SUM('Cash Flow'!ES81:ES82),0)</f>
        <v>0</v>
      </c>
      <c r="ET84" s="647">
        <f>IF(AND(ET17&gt;=Detail!$H$7,ET17&lt;=Detail!$H$9),'Cash Flow'!ET76-SUM('Cash Flow'!ET81:ET82),0)</f>
        <v>0</v>
      </c>
      <c r="EU84" s="647">
        <f>IF(AND(EU17&gt;=Detail!$H$7,EU17&lt;=Detail!$H$9),'Cash Flow'!EU76-SUM('Cash Flow'!EU81:EU82),0)</f>
        <v>0</v>
      </c>
      <c r="EV84" s="647">
        <f>IF(AND(EV17&gt;=Detail!$H$7,EV17&lt;=Detail!$H$9),'Cash Flow'!EV76-SUM('Cash Flow'!EV81:EV82),0)</f>
        <v>0</v>
      </c>
      <c r="EW84" s="647">
        <f>IF(AND(EW17&gt;=Detail!$H$7,EW17&lt;=Detail!$H$9),'Cash Flow'!EW76-SUM('Cash Flow'!EW81:EW82),0)</f>
        <v>0</v>
      </c>
      <c r="EX84" s="647">
        <f>IF(AND(EX17&gt;=Detail!$H$7,EX17&lt;=Detail!$H$9),'Cash Flow'!EX76-SUM('Cash Flow'!EX81:EX82),0)</f>
        <v>0</v>
      </c>
      <c r="EY84" s="647">
        <f>IF(AND(EY17&gt;=Detail!$H$7,EY17&lt;=Detail!$H$9),'Cash Flow'!EY76-SUM('Cash Flow'!EY81:EY82),0)</f>
        <v>0</v>
      </c>
      <c r="EZ84" s="647">
        <f>IF(AND(EZ17&gt;=Detail!$H$7,EZ17&lt;=Detail!$H$9),'Cash Flow'!EZ76-SUM('Cash Flow'!EZ81:EZ82),0)</f>
        <v>0</v>
      </c>
      <c r="FA84" s="647">
        <f>IF(AND(FA17&gt;=Detail!$H$7,FA17&lt;=Detail!$H$9),'Cash Flow'!FA76-SUM('Cash Flow'!FA81:FA82),0)</f>
        <v>0</v>
      </c>
      <c r="FB84" s="647">
        <f>IF(AND(FB17&gt;=Detail!$H$7,FB17&lt;=Detail!$H$9),'Cash Flow'!FB76-SUM('Cash Flow'!FB81:FB82),0)</f>
        <v>0</v>
      </c>
      <c r="FC84" s="647">
        <f>IF(AND(FC17&gt;=Detail!$H$7,FC17&lt;=Detail!$H$9),'Cash Flow'!FC76-SUM('Cash Flow'!FC81:FC82),0)</f>
        <v>0</v>
      </c>
      <c r="FD84" s="647">
        <f>IF(AND(FD17&gt;=Detail!$H$7,FD17&lt;=Detail!$H$9),'Cash Flow'!FD76-SUM('Cash Flow'!FD81:FD82),0)</f>
        <v>0</v>
      </c>
      <c r="FE84" s="647">
        <f>IF(AND(FE17&gt;=Detail!$H$7,FE17&lt;=Detail!$H$9),'Cash Flow'!FE76-SUM('Cash Flow'!FE81:FE82),0)</f>
        <v>0</v>
      </c>
      <c r="FF84" s="647">
        <f>IF(AND(FF17&gt;=Detail!$H$7,FF17&lt;=Detail!$H$9),'Cash Flow'!FF76-SUM('Cash Flow'!FF81:FF82),0)</f>
        <v>0</v>
      </c>
      <c r="FG84" s="647">
        <f>IF(AND(FG17&gt;=Detail!$H$7,FG17&lt;=Detail!$H$9),'Cash Flow'!FG76-SUM('Cash Flow'!FG81:FG82),0)</f>
        <v>0</v>
      </c>
      <c r="FH84" s="647">
        <f>IF(AND(FH17&gt;=Detail!$H$7,FH17&lt;=Detail!$H$9),'Cash Flow'!FH76-SUM('Cash Flow'!FH81:FH82),0)</f>
        <v>0</v>
      </c>
      <c r="FI84" s="647">
        <f>IF(AND(FI17&gt;=Detail!$H$7,FI17&lt;=Detail!$H$9),'Cash Flow'!FI76-SUM('Cash Flow'!FI81:FI82),0)</f>
        <v>0</v>
      </c>
      <c r="FJ84" s="647">
        <f>IF(AND(FJ17&gt;=Detail!$H$7,FJ17&lt;=Detail!$H$9),'Cash Flow'!FJ76-SUM('Cash Flow'!FJ81:FJ82),0)</f>
        <v>0</v>
      </c>
      <c r="FK84" s="647">
        <f>IF(AND(FK17&gt;=Detail!$H$7,FK17&lt;=Detail!$H$9),'Cash Flow'!FK76-SUM('Cash Flow'!FK81:FK82),0)</f>
        <v>0</v>
      </c>
      <c r="FL84" s="647">
        <f>IF(AND(FL17&gt;=Detail!$H$7,FL17&lt;=Detail!$H$9),'Cash Flow'!FL76-SUM('Cash Flow'!FL81:FL82),0)</f>
        <v>0</v>
      </c>
      <c r="FM84" s="647">
        <f>IF(AND(FM17&gt;=Detail!$H$7,FM17&lt;=Detail!$H$9),'Cash Flow'!FM76-SUM('Cash Flow'!FM81:FM82),0)</f>
        <v>0</v>
      </c>
      <c r="FN84" s="647">
        <f>IF(AND(FN17&gt;=Detail!$H$7,FN17&lt;=Detail!$H$9),'Cash Flow'!FN76-SUM('Cash Flow'!FN81:FN82),0)</f>
        <v>0</v>
      </c>
      <c r="FO84" s="647">
        <f>IF(AND(FO17&gt;=Detail!$H$7,FO17&lt;=Detail!$H$9),'Cash Flow'!FO76-SUM('Cash Flow'!FO81:FO82),0)</f>
        <v>0</v>
      </c>
      <c r="FP84" s="647">
        <f>IF(AND(FP17&gt;=Detail!$H$7,FP17&lt;=Detail!$H$9),'Cash Flow'!FP76-SUM('Cash Flow'!FP81:FP82),0)</f>
        <v>0</v>
      </c>
      <c r="FQ84" s="647">
        <f>IF(AND(FQ17&gt;=Detail!$H$7,FQ17&lt;=Detail!$H$9),'Cash Flow'!FQ76-SUM('Cash Flow'!FQ81:FQ82),0)</f>
        <v>0</v>
      </c>
      <c r="FR84" s="647">
        <f>IF(AND(FR17&gt;=Detail!$H$7,FR17&lt;=Detail!$H$9),'Cash Flow'!FR76-SUM('Cash Flow'!FR81:FR82),0)</f>
        <v>0</v>
      </c>
      <c r="FS84" s="647">
        <f>IF(AND(FS17&gt;=Detail!$H$7,FS17&lt;=Detail!$H$9),'Cash Flow'!FS76-SUM('Cash Flow'!FS81:FS82),0)</f>
        <v>0</v>
      </c>
    </row>
    <row r="85" spans="2:182" ht="12.75" customHeight="1">
      <c r="B85" s="639"/>
      <c r="C85" s="639"/>
      <c r="D85" s="644"/>
      <c r="E85" s="642"/>
      <c r="F85" s="642"/>
      <c r="G85" s="642"/>
      <c r="H85" s="642"/>
      <c r="I85" s="642"/>
      <c r="J85" s="642"/>
      <c r="K85" s="642"/>
      <c r="L85" s="642"/>
      <c r="M85" s="642"/>
      <c r="N85" s="642"/>
      <c r="O85" s="642"/>
      <c r="P85" s="642"/>
      <c r="R85" s="642"/>
      <c r="FZ85" s="603"/>
    </row>
    <row r="86" spans="2:182" ht="12.75" customHeight="1">
      <c r="B86" s="639"/>
      <c r="C86" s="639"/>
      <c r="D86" s="644"/>
      <c r="E86" s="642"/>
      <c r="F86" s="642"/>
      <c r="G86" s="642"/>
      <c r="H86" s="642"/>
      <c r="I86" s="642"/>
      <c r="J86" s="642"/>
      <c r="K86" s="642"/>
      <c r="L86" s="642"/>
      <c r="M86" s="642"/>
      <c r="N86" s="642"/>
      <c r="O86" s="642"/>
      <c r="P86" s="642"/>
      <c r="R86" s="642"/>
      <c r="FZ86" s="603"/>
    </row>
    <row r="87" spans="2:182" ht="12.75" customHeight="1">
      <c r="B87" s="639"/>
      <c r="C87" s="639"/>
      <c r="D87" s="644"/>
      <c r="E87" s="642"/>
      <c r="F87" s="642"/>
      <c r="G87" s="642"/>
      <c r="H87" s="642"/>
      <c r="I87" s="642"/>
      <c r="J87" s="642"/>
      <c r="K87" s="642"/>
      <c r="L87" s="642"/>
      <c r="M87" s="642"/>
      <c r="N87" s="642"/>
      <c r="O87" s="642"/>
      <c r="P87" s="642"/>
      <c r="R87" s="642"/>
      <c r="FZ87" s="603"/>
    </row>
    <row r="88" spans="2:182" ht="12.75" customHeight="1">
      <c r="B88" s="639"/>
      <c r="C88" s="639"/>
      <c r="D88" s="644"/>
      <c r="E88" s="588"/>
      <c r="F88" s="588"/>
      <c r="G88" s="588"/>
      <c r="P88" s="603"/>
      <c r="FZ88" s="603"/>
    </row>
    <row r="89" spans="2:182" ht="12.75" customHeight="1">
      <c r="B89" s="648" t="s">
        <v>328</v>
      </c>
      <c r="C89" s="639"/>
      <c r="D89" s="644"/>
      <c r="E89" s="299"/>
      <c r="F89" s="299"/>
      <c r="G89" s="299"/>
      <c r="H89" s="299"/>
      <c r="I89" s="299"/>
      <c r="J89" s="299"/>
      <c r="K89" s="299"/>
      <c r="L89" s="299"/>
      <c r="M89" s="299"/>
      <c r="N89" s="299"/>
      <c r="O89" s="299"/>
      <c r="P89" s="299"/>
      <c r="Q89" s="299"/>
      <c r="R89" s="299"/>
      <c r="S89" s="299"/>
      <c r="T89" s="299"/>
      <c r="U89" s="299"/>
      <c r="V89" s="299"/>
      <c r="W89" s="299"/>
      <c r="X89" s="299"/>
      <c r="Y89" s="299"/>
      <c r="Z89" s="299"/>
      <c r="AA89" s="299"/>
      <c r="AB89" s="299"/>
      <c r="AC89" s="299"/>
      <c r="AD89" s="299"/>
      <c r="AE89" s="299"/>
      <c r="AF89" s="299"/>
      <c r="AG89" s="299"/>
      <c r="AH89" s="299"/>
      <c r="AI89" s="299"/>
      <c r="AJ89" s="299"/>
      <c r="AK89" s="299"/>
      <c r="AL89" s="299"/>
      <c r="AM89" s="299"/>
      <c r="AN89" s="299"/>
      <c r="AO89" s="299"/>
      <c r="AP89" s="299"/>
      <c r="AQ89" s="299"/>
      <c r="AR89" s="299"/>
      <c r="AS89" s="299"/>
      <c r="AT89" s="299"/>
      <c r="AU89" s="299"/>
      <c r="AV89" s="299"/>
      <c r="AW89" s="299"/>
      <c r="AX89" s="299"/>
      <c r="AY89" s="299"/>
      <c r="AZ89" s="299"/>
      <c r="BA89" s="299"/>
      <c r="BB89" s="299"/>
      <c r="BC89" s="299"/>
      <c r="BD89" s="299"/>
      <c r="BE89" s="299"/>
      <c r="BF89" s="299"/>
      <c r="BG89" s="299"/>
      <c r="BH89" s="299"/>
      <c r="BI89" s="299"/>
      <c r="BJ89" s="299"/>
      <c r="BK89" s="299"/>
      <c r="BL89" s="299"/>
      <c r="BM89" s="299"/>
      <c r="BN89" s="299"/>
      <c r="BO89" s="299"/>
      <c r="BP89" s="299"/>
      <c r="BQ89" s="299"/>
      <c r="BR89" s="299"/>
      <c r="BS89" s="299"/>
      <c r="BT89" s="299"/>
      <c r="BU89" s="299"/>
      <c r="BV89" s="299"/>
      <c r="BW89" s="299"/>
      <c r="BX89" s="299"/>
      <c r="BY89" s="299"/>
      <c r="BZ89" s="299"/>
      <c r="CA89" s="299"/>
      <c r="CB89" s="299"/>
      <c r="CC89" s="299"/>
      <c r="CD89" s="299"/>
      <c r="CE89" s="299"/>
      <c r="CF89" s="299"/>
      <c r="CG89" s="299"/>
      <c r="CH89" s="299"/>
      <c r="CI89" s="299"/>
      <c r="CJ89" s="299"/>
      <c r="CK89" s="299"/>
      <c r="CL89" s="299"/>
      <c r="CM89" s="299"/>
      <c r="CN89" s="299"/>
      <c r="CO89" s="299"/>
      <c r="CP89" s="299"/>
      <c r="CQ89" s="299"/>
      <c r="CR89" s="299"/>
      <c r="CS89" s="299"/>
      <c r="CT89" s="299"/>
      <c r="CU89" s="299"/>
      <c r="CV89" s="299"/>
      <c r="CW89" s="299"/>
      <c r="CX89" s="299"/>
      <c r="CY89" s="299"/>
      <c r="CZ89" s="299"/>
      <c r="DA89" s="299"/>
      <c r="DB89" s="299"/>
      <c r="DC89" s="299"/>
      <c r="DD89" s="299"/>
      <c r="DE89" s="299"/>
      <c r="DF89" s="299"/>
      <c r="DG89" s="299"/>
      <c r="DH89" s="299"/>
      <c r="DI89" s="299"/>
      <c r="DJ89" s="299"/>
      <c r="DK89" s="299"/>
      <c r="DL89" s="299"/>
      <c r="DM89" s="299"/>
      <c r="DN89" s="299"/>
      <c r="DO89" s="299"/>
      <c r="DP89" s="299"/>
      <c r="DQ89" s="299"/>
      <c r="DR89" s="299"/>
      <c r="DS89" s="299"/>
      <c r="DT89" s="299"/>
      <c r="DU89" s="299"/>
      <c r="DV89" s="299"/>
      <c r="DW89" s="299"/>
      <c r="DX89" s="299"/>
      <c r="DY89" s="299"/>
      <c r="DZ89" s="299"/>
      <c r="EA89" s="299"/>
      <c r="EB89" s="299"/>
      <c r="EC89" s="299"/>
      <c r="ED89" s="299"/>
      <c r="EE89" s="299"/>
      <c r="EF89" s="299"/>
      <c r="EG89" s="299"/>
      <c r="EH89" s="299"/>
      <c r="EI89" s="299"/>
      <c r="EJ89" s="299"/>
      <c r="EK89" s="299"/>
      <c r="EL89" s="299"/>
      <c r="EM89" s="299"/>
      <c r="EN89" s="299"/>
      <c r="EO89" s="299"/>
      <c r="EP89" s="299"/>
      <c r="EQ89" s="299"/>
      <c r="ER89" s="299"/>
      <c r="ES89" s="299"/>
      <c r="ET89" s="299"/>
      <c r="EU89" s="299"/>
      <c r="EV89" s="299"/>
      <c r="EW89" s="299"/>
      <c r="EX89" s="299"/>
      <c r="EY89" s="299"/>
      <c r="EZ89" s="299"/>
      <c r="FA89" s="299"/>
      <c r="FB89" s="299"/>
      <c r="FC89" s="299"/>
      <c r="FD89" s="299"/>
      <c r="FE89" s="299"/>
      <c r="FF89" s="299"/>
      <c r="FG89" s="299"/>
      <c r="FH89" s="299"/>
      <c r="FI89" s="299"/>
      <c r="FJ89" s="299"/>
      <c r="FK89" s="299"/>
      <c r="FL89" s="299"/>
      <c r="FM89" s="299"/>
      <c r="FN89" s="299"/>
      <c r="FO89" s="299"/>
      <c r="FP89" s="299"/>
      <c r="FQ89" s="299"/>
      <c r="FR89" s="299"/>
      <c r="FS89" s="299"/>
    </row>
    <row r="90" spans="2:182" ht="10.9" customHeight="1" collapsed="1">
      <c r="C90" s="299"/>
      <c r="D90" s="644"/>
      <c r="E90" s="649"/>
      <c r="F90" s="649">
        <v>1</v>
      </c>
      <c r="G90" s="649">
        <f>F90+1</f>
        <v>2</v>
      </c>
      <c r="H90" s="649">
        <f t="shared" ref="H90:BS90" si="128">G90+1</f>
        <v>3</v>
      </c>
      <c r="I90" s="649">
        <f t="shared" si="128"/>
        <v>4</v>
      </c>
      <c r="J90" s="649">
        <f t="shared" si="128"/>
        <v>5</v>
      </c>
      <c r="K90" s="649">
        <f t="shared" si="128"/>
        <v>6</v>
      </c>
      <c r="L90" s="649">
        <f t="shared" si="128"/>
        <v>7</v>
      </c>
      <c r="M90" s="649">
        <f t="shared" si="128"/>
        <v>8</v>
      </c>
      <c r="N90" s="649">
        <f t="shared" si="128"/>
        <v>9</v>
      </c>
      <c r="O90" s="649">
        <f t="shared" si="128"/>
        <v>10</v>
      </c>
      <c r="P90" s="649">
        <f t="shared" si="128"/>
        <v>11</v>
      </c>
      <c r="Q90" s="649">
        <f t="shared" si="128"/>
        <v>12</v>
      </c>
      <c r="R90" s="649">
        <f t="shared" si="128"/>
        <v>13</v>
      </c>
      <c r="S90" s="649">
        <f t="shared" si="128"/>
        <v>14</v>
      </c>
      <c r="T90" s="649">
        <f t="shared" si="128"/>
        <v>15</v>
      </c>
      <c r="U90" s="649">
        <f t="shared" si="128"/>
        <v>16</v>
      </c>
      <c r="V90" s="649">
        <f t="shared" si="128"/>
        <v>17</v>
      </c>
      <c r="W90" s="649">
        <f t="shared" si="128"/>
        <v>18</v>
      </c>
      <c r="X90" s="649">
        <f t="shared" si="128"/>
        <v>19</v>
      </c>
      <c r="Y90" s="649">
        <f t="shared" si="128"/>
        <v>20</v>
      </c>
      <c r="Z90" s="649">
        <f t="shared" si="128"/>
        <v>21</v>
      </c>
      <c r="AA90" s="649">
        <f t="shared" si="128"/>
        <v>22</v>
      </c>
      <c r="AB90" s="649">
        <f t="shared" si="128"/>
        <v>23</v>
      </c>
      <c r="AC90" s="649">
        <f t="shared" si="128"/>
        <v>24</v>
      </c>
      <c r="AD90" s="649">
        <f t="shared" si="128"/>
        <v>25</v>
      </c>
      <c r="AE90" s="649">
        <f t="shared" si="128"/>
        <v>26</v>
      </c>
      <c r="AF90" s="649">
        <f t="shared" si="128"/>
        <v>27</v>
      </c>
      <c r="AG90" s="649">
        <f t="shared" si="128"/>
        <v>28</v>
      </c>
      <c r="AH90" s="649">
        <f t="shared" si="128"/>
        <v>29</v>
      </c>
      <c r="AI90" s="649">
        <f t="shared" si="128"/>
        <v>30</v>
      </c>
      <c r="AJ90" s="649">
        <f t="shared" si="128"/>
        <v>31</v>
      </c>
      <c r="AK90" s="649">
        <f t="shared" si="128"/>
        <v>32</v>
      </c>
      <c r="AL90" s="649">
        <f t="shared" si="128"/>
        <v>33</v>
      </c>
      <c r="AM90" s="649">
        <f t="shared" si="128"/>
        <v>34</v>
      </c>
      <c r="AN90" s="649">
        <f t="shared" si="128"/>
        <v>35</v>
      </c>
      <c r="AO90" s="649">
        <f t="shared" si="128"/>
        <v>36</v>
      </c>
      <c r="AP90" s="649">
        <f t="shared" si="128"/>
        <v>37</v>
      </c>
      <c r="AQ90" s="649">
        <f t="shared" si="128"/>
        <v>38</v>
      </c>
      <c r="AR90" s="649">
        <f t="shared" si="128"/>
        <v>39</v>
      </c>
      <c r="AS90" s="649">
        <f t="shared" si="128"/>
        <v>40</v>
      </c>
      <c r="AT90" s="649">
        <f t="shared" si="128"/>
        <v>41</v>
      </c>
      <c r="AU90" s="649">
        <f t="shared" si="128"/>
        <v>42</v>
      </c>
      <c r="AV90" s="649">
        <f t="shared" si="128"/>
        <v>43</v>
      </c>
      <c r="AW90" s="649">
        <f t="shared" si="128"/>
        <v>44</v>
      </c>
      <c r="AX90" s="649">
        <f t="shared" si="128"/>
        <v>45</v>
      </c>
      <c r="AY90" s="649">
        <f t="shared" si="128"/>
        <v>46</v>
      </c>
      <c r="AZ90" s="649">
        <f t="shared" si="128"/>
        <v>47</v>
      </c>
      <c r="BA90" s="649">
        <f t="shared" si="128"/>
        <v>48</v>
      </c>
      <c r="BB90" s="649">
        <f t="shared" si="128"/>
        <v>49</v>
      </c>
      <c r="BC90" s="649">
        <f t="shared" si="128"/>
        <v>50</v>
      </c>
      <c r="BD90" s="649">
        <f t="shared" si="128"/>
        <v>51</v>
      </c>
      <c r="BE90" s="649">
        <f t="shared" si="128"/>
        <v>52</v>
      </c>
      <c r="BF90" s="649">
        <f t="shared" si="128"/>
        <v>53</v>
      </c>
      <c r="BG90" s="649">
        <f t="shared" si="128"/>
        <v>54</v>
      </c>
      <c r="BH90" s="649">
        <f t="shared" si="128"/>
        <v>55</v>
      </c>
      <c r="BI90" s="649">
        <f t="shared" si="128"/>
        <v>56</v>
      </c>
      <c r="BJ90" s="649">
        <f t="shared" si="128"/>
        <v>57</v>
      </c>
      <c r="BK90" s="649">
        <f t="shared" si="128"/>
        <v>58</v>
      </c>
      <c r="BL90" s="649">
        <f t="shared" si="128"/>
        <v>59</v>
      </c>
      <c r="BM90" s="649">
        <f t="shared" si="128"/>
        <v>60</v>
      </c>
      <c r="BN90" s="649">
        <f t="shared" si="128"/>
        <v>61</v>
      </c>
      <c r="BO90" s="649">
        <f t="shared" si="128"/>
        <v>62</v>
      </c>
      <c r="BP90" s="649">
        <f t="shared" si="128"/>
        <v>63</v>
      </c>
      <c r="BQ90" s="649">
        <f t="shared" si="128"/>
        <v>64</v>
      </c>
      <c r="BR90" s="649">
        <f t="shared" si="128"/>
        <v>65</v>
      </c>
      <c r="BS90" s="649">
        <f t="shared" si="128"/>
        <v>66</v>
      </c>
      <c r="BT90" s="649">
        <f t="shared" ref="BT90:EE90" si="129">BS90+1</f>
        <v>67</v>
      </c>
      <c r="BU90" s="649">
        <f t="shared" si="129"/>
        <v>68</v>
      </c>
      <c r="BV90" s="649">
        <f t="shared" si="129"/>
        <v>69</v>
      </c>
      <c r="BW90" s="649">
        <f t="shared" si="129"/>
        <v>70</v>
      </c>
      <c r="BX90" s="649">
        <f t="shared" si="129"/>
        <v>71</v>
      </c>
      <c r="BY90" s="649">
        <f t="shared" si="129"/>
        <v>72</v>
      </c>
      <c r="BZ90" s="649">
        <f t="shared" si="129"/>
        <v>73</v>
      </c>
      <c r="CA90" s="649">
        <f t="shared" si="129"/>
        <v>74</v>
      </c>
      <c r="CB90" s="649">
        <f t="shared" si="129"/>
        <v>75</v>
      </c>
      <c r="CC90" s="649">
        <f t="shared" si="129"/>
        <v>76</v>
      </c>
      <c r="CD90" s="649">
        <f t="shared" si="129"/>
        <v>77</v>
      </c>
      <c r="CE90" s="649">
        <f t="shared" si="129"/>
        <v>78</v>
      </c>
      <c r="CF90" s="649">
        <f t="shared" si="129"/>
        <v>79</v>
      </c>
      <c r="CG90" s="649">
        <f t="shared" si="129"/>
        <v>80</v>
      </c>
      <c r="CH90" s="649">
        <f t="shared" si="129"/>
        <v>81</v>
      </c>
      <c r="CI90" s="649">
        <f t="shared" si="129"/>
        <v>82</v>
      </c>
      <c r="CJ90" s="649">
        <f t="shared" si="129"/>
        <v>83</v>
      </c>
      <c r="CK90" s="649">
        <f t="shared" si="129"/>
        <v>84</v>
      </c>
      <c r="CL90" s="649">
        <f t="shared" si="129"/>
        <v>85</v>
      </c>
      <c r="CM90" s="649">
        <f t="shared" si="129"/>
        <v>86</v>
      </c>
      <c r="CN90" s="649">
        <f t="shared" si="129"/>
        <v>87</v>
      </c>
      <c r="CO90" s="649">
        <f t="shared" si="129"/>
        <v>88</v>
      </c>
      <c r="CP90" s="649">
        <f t="shared" si="129"/>
        <v>89</v>
      </c>
      <c r="CQ90" s="649">
        <f t="shared" si="129"/>
        <v>90</v>
      </c>
      <c r="CR90" s="649">
        <f t="shared" si="129"/>
        <v>91</v>
      </c>
      <c r="CS90" s="649">
        <f t="shared" si="129"/>
        <v>92</v>
      </c>
      <c r="CT90" s="649">
        <f t="shared" si="129"/>
        <v>93</v>
      </c>
      <c r="CU90" s="649">
        <f t="shared" si="129"/>
        <v>94</v>
      </c>
      <c r="CV90" s="649">
        <f t="shared" si="129"/>
        <v>95</v>
      </c>
      <c r="CW90" s="649">
        <f t="shared" si="129"/>
        <v>96</v>
      </c>
      <c r="CX90" s="649">
        <f t="shared" si="129"/>
        <v>97</v>
      </c>
      <c r="CY90" s="649">
        <f t="shared" si="129"/>
        <v>98</v>
      </c>
      <c r="CZ90" s="649">
        <f t="shared" si="129"/>
        <v>99</v>
      </c>
      <c r="DA90" s="649">
        <f t="shared" si="129"/>
        <v>100</v>
      </c>
      <c r="DB90" s="649">
        <f t="shared" si="129"/>
        <v>101</v>
      </c>
      <c r="DC90" s="649">
        <f t="shared" si="129"/>
        <v>102</v>
      </c>
      <c r="DD90" s="649">
        <f t="shared" si="129"/>
        <v>103</v>
      </c>
      <c r="DE90" s="649">
        <f t="shared" si="129"/>
        <v>104</v>
      </c>
      <c r="DF90" s="649">
        <f t="shared" si="129"/>
        <v>105</v>
      </c>
      <c r="DG90" s="649">
        <f t="shared" si="129"/>
        <v>106</v>
      </c>
      <c r="DH90" s="649">
        <f t="shared" si="129"/>
        <v>107</v>
      </c>
      <c r="DI90" s="649">
        <f t="shared" si="129"/>
        <v>108</v>
      </c>
      <c r="DJ90" s="649">
        <f t="shared" si="129"/>
        <v>109</v>
      </c>
      <c r="DK90" s="649">
        <f t="shared" si="129"/>
        <v>110</v>
      </c>
      <c r="DL90" s="649">
        <f t="shared" si="129"/>
        <v>111</v>
      </c>
      <c r="DM90" s="649">
        <f t="shared" si="129"/>
        <v>112</v>
      </c>
      <c r="DN90" s="649">
        <f t="shared" si="129"/>
        <v>113</v>
      </c>
      <c r="DO90" s="649">
        <f t="shared" si="129"/>
        <v>114</v>
      </c>
      <c r="DP90" s="649">
        <f t="shared" si="129"/>
        <v>115</v>
      </c>
      <c r="DQ90" s="649">
        <f t="shared" si="129"/>
        <v>116</v>
      </c>
      <c r="DR90" s="649">
        <f t="shared" si="129"/>
        <v>117</v>
      </c>
      <c r="DS90" s="649">
        <f t="shared" si="129"/>
        <v>118</v>
      </c>
      <c r="DT90" s="649">
        <f t="shared" si="129"/>
        <v>119</v>
      </c>
      <c r="DU90" s="649">
        <f t="shared" si="129"/>
        <v>120</v>
      </c>
      <c r="DV90" s="649">
        <f t="shared" si="129"/>
        <v>121</v>
      </c>
      <c r="DW90" s="649">
        <f t="shared" si="129"/>
        <v>122</v>
      </c>
      <c r="DX90" s="649">
        <f t="shared" si="129"/>
        <v>123</v>
      </c>
      <c r="DY90" s="649">
        <f t="shared" si="129"/>
        <v>124</v>
      </c>
      <c r="DZ90" s="649">
        <f t="shared" si="129"/>
        <v>125</v>
      </c>
      <c r="EA90" s="649">
        <f t="shared" si="129"/>
        <v>126</v>
      </c>
      <c r="EB90" s="649">
        <f t="shared" si="129"/>
        <v>127</v>
      </c>
      <c r="EC90" s="649">
        <f t="shared" si="129"/>
        <v>128</v>
      </c>
      <c r="ED90" s="649">
        <f t="shared" si="129"/>
        <v>129</v>
      </c>
      <c r="EE90" s="649">
        <f t="shared" si="129"/>
        <v>130</v>
      </c>
      <c r="EF90" s="649">
        <f t="shared" ref="EF90:FS90" si="130">EE90+1</f>
        <v>131</v>
      </c>
      <c r="EG90" s="649">
        <f t="shared" si="130"/>
        <v>132</v>
      </c>
      <c r="EH90" s="649">
        <f t="shared" si="130"/>
        <v>133</v>
      </c>
      <c r="EI90" s="649">
        <f t="shared" si="130"/>
        <v>134</v>
      </c>
      <c r="EJ90" s="649">
        <f t="shared" si="130"/>
        <v>135</v>
      </c>
      <c r="EK90" s="649">
        <f t="shared" si="130"/>
        <v>136</v>
      </c>
      <c r="EL90" s="649">
        <f t="shared" si="130"/>
        <v>137</v>
      </c>
      <c r="EM90" s="649">
        <f t="shared" si="130"/>
        <v>138</v>
      </c>
      <c r="EN90" s="649">
        <f t="shared" si="130"/>
        <v>139</v>
      </c>
      <c r="EO90" s="649">
        <f t="shared" si="130"/>
        <v>140</v>
      </c>
      <c r="EP90" s="649">
        <f t="shared" si="130"/>
        <v>141</v>
      </c>
      <c r="EQ90" s="649">
        <f t="shared" si="130"/>
        <v>142</v>
      </c>
      <c r="ER90" s="649">
        <f t="shared" si="130"/>
        <v>143</v>
      </c>
      <c r="ES90" s="649">
        <f t="shared" si="130"/>
        <v>144</v>
      </c>
      <c r="ET90" s="649">
        <f t="shared" si="130"/>
        <v>145</v>
      </c>
      <c r="EU90" s="649">
        <f t="shared" si="130"/>
        <v>146</v>
      </c>
      <c r="EV90" s="649">
        <f t="shared" si="130"/>
        <v>147</v>
      </c>
      <c r="EW90" s="649">
        <f t="shared" si="130"/>
        <v>148</v>
      </c>
      <c r="EX90" s="649">
        <f t="shared" si="130"/>
        <v>149</v>
      </c>
      <c r="EY90" s="649">
        <f t="shared" si="130"/>
        <v>150</v>
      </c>
      <c r="EZ90" s="649">
        <f t="shared" si="130"/>
        <v>151</v>
      </c>
      <c r="FA90" s="649">
        <f t="shared" si="130"/>
        <v>152</v>
      </c>
      <c r="FB90" s="649">
        <f t="shared" si="130"/>
        <v>153</v>
      </c>
      <c r="FC90" s="649">
        <f t="shared" si="130"/>
        <v>154</v>
      </c>
      <c r="FD90" s="649">
        <f t="shared" si="130"/>
        <v>155</v>
      </c>
      <c r="FE90" s="649">
        <f t="shared" si="130"/>
        <v>156</v>
      </c>
      <c r="FF90" s="649">
        <f t="shared" si="130"/>
        <v>157</v>
      </c>
      <c r="FG90" s="649">
        <f t="shared" si="130"/>
        <v>158</v>
      </c>
      <c r="FH90" s="649">
        <f t="shared" si="130"/>
        <v>159</v>
      </c>
      <c r="FI90" s="649">
        <f t="shared" si="130"/>
        <v>160</v>
      </c>
      <c r="FJ90" s="649">
        <f t="shared" si="130"/>
        <v>161</v>
      </c>
      <c r="FK90" s="649">
        <f t="shared" si="130"/>
        <v>162</v>
      </c>
      <c r="FL90" s="649">
        <f t="shared" si="130"/>
        <v>163</v>
      </c>
      <c r="FM90" s="649">
        <f t="shared" si="130"/>
        <v>164</v>
      </c>
      <c r="FN90" s="649">
        <f t="shared" si="130"/>
        <v>165</v>
      </c>
      <c r="FO90" s="649">
        <f t="shared" si="130"/>
        <v>166</v>
      </c>
      <c r="FP90" s="649">
        <f t="shared" si="130"/>
        <v>167</v>
      </c>
      <c r="FQ90" s="649">
        <f t="shared" si="130"/>
        <v>168</v>
      </c>
      <c r="FR90" s="649">
        <f t="shared" si="130"/>
        <v>169</v>
      </c>
      <c r="FS90" s="649">
        <f t="shared" si="130"/>
        <v>170</v>
      </c>
    </row>
    <row r="91" spans="2:182" ht="12.75" customHeight="1">
      <c r="B91" s="517" t="s">
        <v>329</v>
      </c>
      <c r="C91" s="299">
        <f t="shared" ref="C91:C108" si="131">SUM(E91:FS91)</f>
        <v>52100000</v>
      </c>
      <c r="D91" s="644"/>
      <c r="E91" s="299">
        <f>IF(E17=Detail!$H$7,Detail!$D$22,0)</f>
        <v>52100000</v>
      </c>
      <c r="F91" s="299">
        <f>IF(F17=Detail!$H$7,Detail!$D$22,0)</f>
        <v>0</v>
      </c>
      <c r="G91" s="299">
        <f>IF(G17=Detail!$H$7,Detail!$D$22,0)</f>
        <v>0</v>
      </c>
      <c r="H91" s="299">
        <f>IF(H17=Detail!$H$7,Detail!$D$22,0)</f>
        <v>0</v>
      </c>
      <c r="I91" s="299">
        <f>IF(I17=Detail!$H$7,Detail!$D$22,0)</f>
        <v>0</v>
      </c>
      <c r="J91" s="299">
        <f>IF(J17=Detail!$H$7,Detail!$D$22,0)</f>
        <v>0</v>
      </c>
      <c r="K91" s="299">
        <f>IF(K17=Detail!$H$7,Detail!$D$22,0)</f>
        <v>0</v>
      </c>
      <c r="L91" s="299">
        <f>IF(L17=Detail!$H$7,Detail!$D$22,0)</f>
        <v>0</v>
      </c>
      <c r="M91" s="299">
        <f>IF(M17=Detail!$H$7,Detail!$D$22,0)</f>
        <v>0</v>
      </c>
      <c r="N91" s="299">
        <f>IF(N17=Detail!$H$7,Detail!$D$22,0)</f>
        <v>0</v>
      </c>
      <c r="O91" s="299">
        <f>IF(O17=Detail!$H$7,Detail!$D$22,0)</f>
        <v>0</v>
      </c>
      <c r="P91" s="299">
        <f>IF(P17=Detail!$H$7,Detail!$D$22,0)</f>
        <v>0</v>
      </c>
      <c r="Q91" s="299">
        <f>IF(Q17=Detail!$H$7,Detail!$D$22,0)</f>
        <v>0</v>
      </c>
      <c r="R91" s="299">
        <f>IF(R17=Detail!$H$7,Detail!$D$22,0)</f>
        <v>0</v>
      </c>
      <c r="S91" s="299">
        <f>IF(S17=Detail!$H$7,Detail!$D$22,0)</f>
        <v>0</v>
      </c>
      <c r="T91" s="299">
        <f>IF(T17=Detail!$H$7,Detail!$D$22,0)</f>
        <v>0</v>
      </c>
      <c r="U91" s="299">
        <f>IF(U17=Detail!$H$7,Detail!$D$22,0)</f>
        <v>0</v>
      </c>
      <c r="V91" s="299">
        <f>IF(V17=Detail!$H$7,Detail!$D$22,0)</f>
        <v>0</v>
      </c>
      <c r="W91" s="299">
        <f>IF(W17=Detail!$H$7,Detail!$D$22,0)</f>
        <v>0</v>
      </c>
      <c r="X91" s="299">
        <f>IF(X17=Detail!$H$7,Detail!$D$22,0)</f>
        <v>0</v>
      </c>
      <c r="Y91" s="299">
        <f>IF(Y17=Detail!$H$7,Detail!$D$22,0)</f>
        <v>0</v>
      </c>
      <c r="Z91" s="299">
        <f>IF(Z17=Detail!$H$7,Detail!$D$22,0)</f>
        <v>0</v>
      </c>
      <c r="AA91" s="299">
        <f>IF(AA17=Detail!$H$7,Detail!$D$22,0)</f>
        <v>0</v>
      </c>
      <c r="AB91" s="299">
        <f>IF(AB17=Detail!$H$7,Detail!$D$22,0)</f>
        <v>0</v>
      </c>
      <c r="AC91" s="299">
        <f>IF(AC17=Detail!$H$7,Detail!$D$22,0)</f>
        <v>0</v>
      </c>
      <c r="AD91" s="299">
        <f>IF(AD17=Detail!$H$7,Detail!$D$22,0)</f>
        <v>0</v>
      </c>
      <c r="AE91" s="299">
        <f>IF(AE17=Detail!$H$7,Detail!$D$22,0)</f>
        <v>0</v>
      </c>
      <c r="AF91" s="299">
        <f>IF(AF17=Detail!$H$7,Detail!$D$22,0)</f>
        <v>0</v>
      </c>
      <c r="AG91" s="299">
        <f>IF(AG17=Detail!$H$7,Detail!$D$22,0)</f>
        <v>0</v>
      </c>
      <c r="AH91" s="299">
        <f>IF(AH17=Detail!$H$7,Detail!$D$22,0)</f>
        <v>0</v>
      </c>
      <c r="AI91" s="299">
        <f>IF(AI17=Detail!$H$7,Detail!$D$22,0)</f>
        <v>0</v>
      </c>
      <c r="AJ91" s="299">
        <f>IF(AJ17=Detail!$H$7,Detail!$D$22,0)</f>
        <v>0</v>
      </c>
      <c r="AK91" s="299">
        <f>IF(AK17=Detail!$H$7,Detail!$D$22,0)</f>
        <v>0</v>
      </c>
      <c r="AL91" s="299">
        <f>IF(AL17=Detail!$H$7,Detail!$D$22,0)</f>
        <v>0</v>
      </c>
      <c r="AM91" s="299">
        <f>IF(AM17=Detail!$H$7,Detail!$D$22,0)</f>
        <v>0</v>
      </c>
      <c r="AN91" s="299">
        <f>IF(AN17=Detail!$H$7,Detail!$D$22,0)</f>
        <v>0</v>
      </c>
      <c r="AO91" s="299">
        <f>IF(AO17=Detail!$H$7,Detail!$D$22,0)</f>
        <v>0</v>
      </c>
      <c r="AP91" s="299">
        <f>IF(AP17=Detail!$H$7,Detail!$D$22,0)</f>
        <v>0</v>
      </c>
      <c r="AQ91" s="299">
        <f>IF(AQ17=Detail!$H$7,Detail!$D$22,0)</f>
        <v>0</v>
      </c>
      <c r="AR91" s="299">
        <f>IF(AR17=Detail!$H$7,Detail!$D$22,0)</f>
        <v>0</v>
      </c>
      <c r="AS91" s="299">
        <f>IF(AS17=Detail!$H$7,Detail!$D$22,0)</f>
        <v>0</v>
      </c>
      <c r="AT91" s="299">
        <f>IF(AT17=Detail!$H$7,Detail!$D$22,0)</f>
        <v>0</v>
      </c>
      <c r="AU91" s="299">
        <f>IF(AU17=Detail!$H$7,Detail!$D$22,0)</f>
        <v>0</v>
      </c>
      <c r="AV91" s="299">
        <f>IF(AV17=Detail!$H$7,Detail!$D$22,0)</f>
        <v>0</v>
      </c>
      <c r="AW91" s="299">
        <f>IF(AW17=Detail!$H$7,Detail!$D$22,0)</f>
        <v>0</v>
      </c>
      <c r="AX91" s="299">
        <f>IF(AX17=Detail!$H$7,Detail!$D$22,0)</f>
        <v>0</v>
      </c>
      <c r="AY91" s="299">
        <f>IF(AY17=Detail!$H$7,Detail!$D$22,0)</f>
        <v>0</v>
      </c>
      <c r="AZ91" s="299">
        <f>IF(AZ17=Detail!$H$7,Detail!$D$22,0)</f>
        <v>0</v>
      </c>
      <c r="BA91" s="299">
        <f>IF(BA17=Detail!$H$7,Detail!$D$22,0)</f>
        <v>0</v>
      </c>
      <c r="BB91" s="299">
        <f>IF(BB17=Detail!$H$7,Detail!$D$22,0)</f>
        <v>0</v>
      </c>
      <c r="BC91" s="299">
        <f>IF(BC17=Detail!$H$7,Detail!$D$22,0)</f>
        <v>0</v>
      </c>
      <c r="BD91" s="299">
        <f>IF(BD17=Detail!$H$7,Detail!$D$22,0)</f>
        <v>0</v>
      </c>
      <c r="BE91" s="299">
        <f>IF(BE17=Detail!$H$7,Detail!$D$22,0)</f>
        <v>0</v>
      </c>
      <c r="BF91" s="299">
        <f>IF(BF17=Detail!$H$7,Detail!$D$22,0)</f>
        <v>0</v>
      </c>
      <c r="BG91" s="299">
        <f>IF(BG17=Detail!$H$7,Detail!$D$22,0)</f>
        <v>0</v>
      </c>
      <c r="BH91" s="299">
        <f>IF(BH17=Detail!$H$7,Detail!$D$22,0)</f>
        <v>0</v>
      </c>
      <c r="BI91" s="299">
        <f>IF(BI17=Detail!$H$7,Detail!$D$22,0)</f>
        <v>0</v>
      </c>
      <c r="BJ91" s="299">
        <f>IF(BJ17=Detail!$H$7,Detail!$D$22,0)</f>
        <v>0</v>
      </c>
      <c r="BK91" s="299">
        <f>IF(BK17=Detail!$H$7,Detail!$D$22,0)</f>
        <v>0</v>
      </c>
      <c r="BL91" s="299">
        <f>IF(BL17=Detail!$H$7,Detail!$D$22,0)</f>
        <v>0</v>
      </c>
      <c r="BM91" s="299">
        <f>IF(BM17=Detail!$H$7,Detail!$D$22,0)</f>
        <v>0</v>
      </c>
      <c r="BN91" s="299">
        <f>IF(BN17=Detail!$H$7,Detail!$D$22,0)</f>
        <v>0</v>
      </c>
      <c r="BO91" s="299">
        <f>IF(BO17=Detail!$H$7,Detail!$D$22,0)</f>
        <v>0</v>
      </c>
      <c r="BP91" s="299">
        <f>IF(BP17=Detail!$H$7,Detail!$D$22,0)</f>
        <v>0</v>
      </c>
      <c r="BQ91" s="299">
        <f>IF(BQ17=Detail!$H$7,Detail!$D$22,0)</f>
        <v>0</v>
      </c>
      <c r="BR91" s="299">
        <f>IF(BR17=Detail!$H$7,Detail!$D$22,0)</f>
        <v>0</v>
      </c>
      <c r="BS91" s="299">
        <f>IF(BS17=Detail!$H$7,Detail!$D$22,0)</f>
        <v>0</v>
      </c>
      <c r="BT91" s="299">
        <f>IF(BT17=Detail!$H$7,Detail!$D$22,0)</f>
        <v>0</v>
      </c>
      <c r="BU91" s="299">
        <f>IF(BU17=Detail!$H$7,Detail!$D$22,0)</f>
        <v>0</v>
      </c>
      <c r="BV91" s="299">
        <f>IF(BV17=Detail!$H$7,Detail!$D$22,0)</f>
        <v>0</v>
      </c>
      <c r="BW91" s="299">
        <f>IF(BW17=Detail!$H$7,Detail!$D$22,0)</f>
        <v>0</v>
      </c>
      <c r="BX91" s="299">
        <f>IF(BX17=Detail!$H$7,Detail!$D$22,0)</f>
        <v>0</v>
      </c>
      <c r="BY91" s="299">
        <f>IF(BY17=Detail!$H$7,Detail!$D$22,0)</f>
        <v>0</v>
      </c>
      <c r="BZ91" s="299">
        <f>IF(BZ17=Detail!$H$7,Detail!$D$22,0)</f>
        <v>0</v>
      </c>
      <c r="CA91" s="299">
        <f>IF(CA17=Detail!$H$7,Detail!$D$22,0)</f>
        <v>0</v>
      </c>
      <c r="CB91" s="299">
        <f>IF(CB17=Detail!$H$7,Detail!$D$22,0)</f>
        <v>0</v>
      </c>
      <c r="CC91" s="299">
        <f>IF(CC17=Detail!$H$7,Detail!$D$22,0)</f>
        <v>0</v>
      </c>
      <c r="CD91" s="299">
        <f>IF(CD17=Detail!$H$7,Detail!$D$22,0)</f>
        <v>0</v>
      </c>
      <c r="CE91" s="299">
        <f>IF(CE17=Detail!$H$7,Detail!$D$22,0)</f>
        <v>0</v>
      </c>
      <c r="CF91" s="299">
        <f>IF(CF17=Detail!$H$7,Detail!$D$22,0)</f>
        <v>0</v>
      </c>
      <c r="CG91" s="299">
        <f>IF(CG17=Detail!$H$7,Detail!$D$22,0)</f>
        <v>0</v>
      </c>
      <c r="CH91" s="299">
        <f>IF(CH17=Detail!$H$7,Detail!$D$22,0)</f>
        <v>0</v>
      </c>
      <c r="CI91" s="299">
        <f>IF(CI17=Detail!$H$7,Detail!$D$22,0)</f>
        <v>0</v>
      </c>
      <c r="CJ91" s="299">
        <f>IF(CJ17=Detail!$H$7,Detail!$D$22,0)</f>
        <v>0</v>
      </c>
      <c r="CK91" s="299">
        <f>IF(CK17=Detail!$H$7,Detail!$D$22,0)</f>
        <v>0</v>
      </c>
      <c r="CL91" s="299">
        <f>IF(CL17=Detail!$H$7,Detail!$D$22,0)</f>
        <v>0</v>
      </c>
      <c r="CM91" s="299">
        <f>IF(CM17=Detail!$H$7,Detail!$D$22,0)</f>
        <v>0</v>
      </c>
      <c r="CN91" s="299">
        <f>IF(CN17=Detail!$H$7,Detail!$D$22,0)</f>
        <v>0</v>
      </c>
      <c r="CO91" s="299">
        <f>IF(CO17=Detail!$H$7,Detail!$D$22,0)</f>
        <v>0</v>
      </c>
      <c r="CP91" s="299">
        <f>IF(CP17=Detail!$H$7,Detail!$D$22,0)</f>
        <v>0</v>
      </c>
      <c r="CQ91" s="299">
        <f>IF(CQ17=Detail!$H$7,Detail!$D$22,0)</f>
        <v>0</v>
      </c>
      <c r="CR91" s="299">
        <f>IF(CR17=Detail!$H$7,Detail!$D$22,0)</f>
        <v>0</v>
      </c>
      <c r="CS91" s="299">
        <f>IF(CS17=Detail!$H$7,Detail!$D$22,0)</f>
        <v>0</v>
      </c>
      <c r="CT91" s="299">
        <f>IF(CT17=Detail!$H$7,Detail!$D$22,0)</f>
        <v>0</v>
      </c>
      <c r="CU91" s="299">
        <f>IF(CU17=Detail!$H$7,Detail!$D$22,0)</f>
        <v>0</v>
      </c>
      <c r="CV91" s="299">
        <f>IF(CV17=Detail!$H$7,Detail!$D$22,0)</f>
        <v>0</v>
      </c>
      <c r="CW91" s="299">
        <f>IF(CW17=Detail!$H$7,Detail!$D$22,0)</f>
        <v>0</v>
      </c>
      <c r="CX91" s="299">
        <f>IF(CX17=Detail!$H$7,Detail!$D$22,0)</f>
        <v>0</v>
      </c>
      <c r="CY91" s="299">
        <f>IF(CY17=Detail!$H$7,Detail!$D$22,0)</f>
        <v>0</v>
      </c>
      <c r="CZ91" s="299">
        <f>IF(CZ17=Detail!$H$7,Detail!$D$22,0)</f>
        <v>0</v>
      </c>
      <c r="DA91" s="299">
        <f>IF(DA17=Detail!$H$7,Detail!$D$22,0)</f>
        <v>0</v>
      </c>
      <c r="DB91" s="299">
        <f>IF(DB17=Detail!$H$7,Detail!$D$22,0)</f>
        <v>0</v>
      </c>
      <c r="DC91" s="299">
        <f>IF(DC17=Detail!$H$7,Detail!$D$22,0)</f>
        <v>0</v>
      </c>
      <c r="DD91" s="299">
        <f>IF(DD17=Detail!$H$7,Detail!$D$22,0)</f>
        <v>0</v>
      </c>
      <c r="DE91" s="299">
        <f>IF(DE17=Detail!$H$7,Detail!$D$22,0)</f>
        <v>0</v>
      </c>
      <c r="DF91" s="299">
        <f>IF(DF17=Detail!$H$7,Detail!$D$22,0)</f>
        <v>0</v>
      </c>
      <c r="DG91" s="299">
        <f>IF(DG17=Detail!$H$7,Detail!$D$22,0)</f>
        <v>0</v>
      </c>
      <c r="DH91" s="299">
        <f>IF(DH17=Detail!$H$7,Detail!$D$22,0)</f>
        <v>0</v>
      </c>
      <c r="DI91" s="299">
        <f>IF(DI17=Detail!$H$7,Detail!$D$22,0)</f>
        <v>0</v>
      </c>
      <c r="DJ91" s="299">
        <f>IF(DJ17=Detail!$H$7,Detail!$D$22,0)</f>
        <v>0</v>
      </c>
      <c r="DK91" s="299">
        <f>IF(DK17=Detail!$H$7,Detail!$D$22,0)</f>
        <v>0</v>
      </c>
      <c r="DL91" s="299">
        <f>IF(DL17=Detail!$H$7,Detail!$D$22,0)</f>
        <v>0</v>
      </c>
      <c r="DM91" s="299">
        <f>IF(DM17=Detail!$H$7,Detail!$D$22,0)</f>
        <v>0</v>
      </c>
      <c r="DN91" s="299">
        <f>IF(DN17=Detail!$H$7,Detail!$D$22,0)</f>
        <v>0</v>
      </c>
      <c r="DO91" s="299">
        <f>IF(DO17=Detail!$H$7,Detail!$D$22,0)</f>
        <v>0</v>
      </c>
      <c r="DP91" s="299">
        <f>IF(DP17=Detail!$H$7,Detail!$D$22,0)</f>
        <v>0</v>
      </c>
      <c r="DQ91" s="299">
        <f>IF(DQ17=Detail!$H$7,Detail!$D$22,0)</f>
        <v>0</v>
      </c>
      <c r="DR91" s="299">
        <f>IF(DR17=Detail!$H$7,Detail!$D$22,0)</f>
        <v>0</v>
      </c>
      <c r="DS91" s="299">
        <f>IF(DS17=Detail!$H$7,Detail!$D$22,0)</f>
        <v>0</v>
      </c>
      <c r="DT91" s="299">
        <f>IF(DT17=Detail!$H$7,Detail!$D$22,0)</f>
        <v>0</v>
      </c>
      <c r="DU91" s="299">
        <f>IF(DU17=Detail!$H$7,Detail!$D$22,0)</f>
        <v>0</v>
      </c>
      <c r="DV91" s="299">
        <f>IF(DV17=Detail!$H$7,Detail!$D$22,0)</f>
        <v>0</v>
      </c>
      <c r="DW91" s="299">
        <f>IF(DW17=Detail!$H$7,Detail!$D$22,0)</f>
        <v>0</v>
      </c>
      <c r="DX91" s="299">
        <f>IF(DX17=Detail!$H$7,Detail!$D$22,0)</f>
        <v>0</v>
      </c>
      <c r="DY91" s="299">
        <f>IF(DY17=Detail!$H$7,Detail!$D$22,0)</f>
        <v>0</v>
      </c>
      <c r="DZ91" s="299">
        <f>IF(DZ17=Detail!$H$7,Detail!$D$22,0)</f>
        <v>0</v>
      </c>
      <c r="EA91" s="299">
        <f>IF(EA17=Detail!$H$7,Detail!$D$22,0)</f>
        <v>0</v>
      </c>
      <c r="EB91" s="299">
        <f>IF(EB17=Detail!$H$7,Detail!$D$22,0)</f>
        <v>0</v>
      </c>
      <c r="EC91" s="299">
        <f>IF(EC17=Detail!$H$7,Detail!$D$22,0)</f>
        <v>0</v>
      </c>
      <c r="ED91" s="299">
        <f>IF(ED17=Detail!$H$7,Detail!$D$22,0)</f>
        <v>0</v>
      </c>
      <c r="EE91" s="299">
        <f>IF(EE17=Detail!$H$7,Detail!$D$22,0)</f>
        <v>0</v>
      </c>
      <c r="EF91" s="299">
        <f>IF(EF17=Detail!$H$7,Detail!$D$22,0)</f>
        <v>0</v>
      </c>
      <c r="EG91" s="299">
        <f>IF(EG17=Detail!$H$7,Detail!$D$22,0)</f>
        <v>0</v>
      </c>
      <c r="EH91" s="299">
        <f>IF(EH17=Detail!$H$7,Detail!$D$22,0)</f>
        <v>0</v>
      </c>
      <c r="EI91" s="299">
        <f>IF(EI17=Detail!$H$7,Detail!$D$22,0)</f>
        <v>0</v>
      </c>
      <c r="EJ91" s="299">
        <f>IF(EJ17=Detail!$H$7,Detail!$D$22,0)</f>
        <v>0</v>
      </c>
      <c r="EK91" s="299">
        <f>IF(EK17=Detail!$H$7,Detail!$D$22,0)</f>
        <v>0</v>
      </c>
      <c r="EL91" s="299">
        <f>IF(EL17=Detail!$H$7,Detail!$D$22,0)</f>
        <v>0</v>
      </c>
      <c r="EM91" s="299">
        <f>IF(EM17=Detail!$H$7,Detail!$D$22,0)</f>
        <v>0</v>
      </c>
      <c r="EN91" s="299">
        <f>IF(EN17=Detail!$H$7,Detail!$D$22,0)</f>
        <v>0</v>
      </c>
      <c r="EO91" s="299">
        <f>IF(EO17=Detail!$H$7,Detail!$D$22,0)</f>
        <v>0</v>
      </c>
      <c r="EP91" s="299">
        <f>IF(EP17=Detail!$H$7,Detail!$D$22,0)</f>
        <v>0</v>
      </c>
      <c r="EQ91" s="299">
        <f>IF(EQ17=Detail!$H$7,Detail!$D$22,0)</f>
        <v>0</v>
      </c>
      <c r="ER91" s="299">
        <f>IF(ER17=Detail!$H$7,Detail!$D$22,0)</f>
        <v>0</v>
      </c>
      <c r="ES91" s="299">
        <f>IF(ES17=Detail!$H$7,Detail!$D$22,0)</f>
        <v>0</v>
      </c>
      <c r="ET91" s="299">
        <f>IF(ET17=Detail!$H$7,Detail!$D$22,0)</f>
        <v>0</v>
      </c>
      <c r="EU91" s="299">
        <f>IF(EU17=Detail!$H$7,Detail!$D$22,0)</f>
        <v>0</v>
      </c>
      <c r="EV91" s="299">
        <f>IF(EV17=Detail!$H$7,Detail!$D$22,0)</f>
        <v>0</v>
      </c>
      <c r="EW91" s="299">
        <f>IF(EW17=Detail!$H$7,Detail!$D$22,0)</f>
        <v>0</v>
      </c>
      <c r="EX91" s="299">
        <f>IF(EX17=Detail!$H$7,Detail!$D$22,0)</f>
        <v>0</v>
      </c>
      <c r="EY91" s="299">
        <f>IF(EY17=Detail!$H$7,Detail!$D$22,0)</f>
        <v>0</v>
      </c>
      <c r="EZ91" s="299">
        <f>IF(EZ17=Detail!$H$7,Detail!$D$22,0)</f>
        <v>0</v>
      </c>
      <c r="FA91" s="299">
        <f>IF(FA17=Detail!$H$7,Detail!$D$22,0)</f>
        <v>0</v>
      </c>
      <c r="FB91" s="299">
        <f>IF(FB17=Detail!$H$7,Detail!$D$22,0)</f>
        <v>0</v>
      </c>
      <c r="FC91" s="299">
        <f>IF(FC17=Detail!$H$7,Detail!$D$22,0)</f>
        <v>0</v>
      </c>
      <c r="FD91" s="299">
        <f>IF(FD17=Detail!$H$7,Detail!$D$22,0)</f>
        <v>0</v>
      </c>
      <c r="FE91" s="299">
        <f>IF(FE17=Detail!$H$7,Detail!$D$22,0)</f>
        <v>0</v>
      </c>
      <c r="FF91" s="299">
        <f>IF(FF17=Detail!$H$7,Detail!$D$22,0)</f>
        <v>0</v>
      </c>
      <c r="FG91" s="299">
        <f>IF(FG17=Detail!$H$7,Detail!$D$22,0)</f>
        <v>0</v>
      </c>
      <c r="FH91" s="299">
        <f>IF(FH17=Detail!$H$7,Detail!$D$22,0)</f>
        <v>0</v>
      </c>
      <c r="FI91" s="299">
        <f>IF(FI17=Detail!$H$7,Detail!$D$22,0)</f>
        <v>0</v>
      </c>
      <c r="FJ91" s="299">
        <f>IF(FJ17=Detail!$H$7,Detail!$D$22,0)</f>
        <v>0</v>
      </c>
      <c r="FK91" s="299">
        <f>IF(FK17=Detail!$H$7,Detail!$D$22,0)</f>
        <v>0</v>
      </c>
      <c r="FL91" s="299">
        <f>IF(FL17=Detail!$H$7,Detail!$D$22,0)</f>
        <v>0</v>
      </c>
      <c r="FM91" s="299">
        <f>IF(FM17=Detail!$H$7,Detail!$D$22,0)</f>
        <v>0</v>
      </c>
      <c r="FN91" s="299">
        <f>IF(FN17=Detail!$H$7,Detail!$D$22,0)</f>
        <v>0</v>
      </c>
      <c r="FO91" s="299">
        <f>IF(FO17=Detail!$H$7,Detail!$D$22,0)</f>
        <v>0</v>
      </c>
      <c r="FP91" s="299">
        <f>IF(FP17=Detail!$H$7,Detail!$D$22,0)</f>
        <v>0</v>
      </c>
      <c r="FQ91" s="299">
        <f>IF(FQ17=Detail!$H$7,Detail!$D$22,0)</f>
        <v>0</v>
      </c>
      <c r="FR91" s="299">
        <f>IF(FR17=Detail!$H$7,Detail!$D$22,0)</f>
        <v>0</v>
      </c>
      <c r="FS91" s="299">
        <f>IF(FS17=Detail!$H$7,Detail!$D$22,0)</f>
        <v>0</v>
      </c>
    </row>
    <row r="92" spans="2:182" ht="12.75" customHeight="1">
      <c r="B92" s="517" t="s">
        <v>330</v>
      </c>
      <c r="C92" s="299"/>
      <c r="D92" s="644"/>
      <c r="E92" s="299">
        <f t="shared" ref="E92:BP92" si="132">E91+D96-D97</f>
        <v>52100000</v>
      </c>
      <c r="F92" s="299">
        <f t="shared" si="132"/>
        <v>52100000</v>
      </c>
      <c r="G92" s="299">
        <f t="shared" si="132"/>
        <v>52100000</v>
      </c>
      <c r="H92" s="299">
        <f t="shared" si="132"/>
        <v>52100000</v>
      </c>
      <c r="I92" s="299">
        <f t="shared" si="132"/>
        <v>52100000</v>
      </c>
      <c r="J92" s="299">
        <f t="shared" si="132"/>
        <v>52100000</v>
      </c>
      <c r="K92" s="299">
        <f t="shared" si="132"/>
        <v>52100000</v>
      </c>
      <c r="L92" s="299">
        <f t="shared" si="132"/>
        <v>52100000</v>
      </c>
      <c r="M92" s="299">
        <f t="shared" si="132"/>
        <v>52100000</v>
      </c>
      <c r="N92" s="299">
        <f t="shared" si="132"/>
        <v>52100000</v>
      </c>
      <c r="O92" s="299">
        <f t="shared" si="132"/>
        <v>52100000</v>
      </c>
      <c r="P92" s="299">
        <f t="shared" si="132"/>
        <v>52100000</v>
      </c>
      <c r="Q92" s="299">
        <f t="shared" si="132"/>
        <v>52100000</v>
      </c>
      <c r="R92" s="299">
        <f t="shared" si="132"/>
        <v>52100000</v>
      </c>
      <c r="S92" s="299">
        <f t="shared" si="132"/>
        <v>52100000</v>
      </c>
      <c r="T92" s="299">
        <f t="shared" si="132"/>
        <v>52100000</v>
      </c>
      <c r="U92" s="299">
        <f t="shared" si="132"/>
        <v>52100000</v>
      </c>
      <c r="V92" s="299">
        <f t="shared" si="132"/>
        <v>52100000</v>
      </c>
      <c r="W92" s="299">
        <f t="shared" si="132"/>
        <v>52100000</v>
      </c>
      <c r="X92" s="299">
        <f t="shared" si="132"/>
        <v>52100000</v>
      </c>
      <c r="Y92" s="299">
        <f t="shared" si="132"/>
        <v>52100000</v>
      </c>
      <c r="Z92" s="299">
        <f t="shared" si="132"/>
        <v>52100000</v>
      </c>
      <c r="AA92" s="299">
        <f t="shared" si="132"/>
        <v>52100000</v>
      </c>
      <c r="AB92" s="299">
        <f t="shared" si="132"/>
        <v>52100000</v>
      </c>
      <c r="AC92" s="299">
        <f t="shared" si="132"/>
        <v>52100000</v>
      </c>
      <c r="AD92" s="299">
        <f t="shared" si="132"/>
        <v>52100000</v>
      </c>
      <c r="AE92" s="299">
        <f t="shared" si="132"/>
        <v>52100000</v>
      </c>
      <c r="AF92" s="299">
        <f t="shared" si="132"/>
        <v>52100000</v>
      </c>
      <c r="AG92" s="299">
        <f t="shared" si="132"/>
        <v>52100000</v>
      </c>
      <c r="AH92" s="299">
        <f t="shared" si="132"/>
        <v>52100000</v>
      </c>
      <c r="AI92" s="299">
        <f t="shared" si="132"/>
        <v>52100000</v>
      </c>
      <c r="AJ92" s="299">
        <f t="shared" si="132"/>
        <v>52100000</v>
      </c>
      <c r="AK92" s="299">
        <f t="shared" si="132"/>
        <v>52100000</v>
      </c>
      <c r="AL92" s="299">
        <f t="shared" si="132"/>
        <v>52100000</v>
      </c>
      <c r="AM92" s="299">
        <f t="shared" si="132"/>
        <v>52100000</v>
      </c>
      <c r="AN92" s="299">
        <f t="shared" si="132"/>
        <v>52100000</v>
      </c>
      <c r="AO92" s="299">
        <f t="shared" si="132"/>
        <v>52100000</v>
      </c>
      <c r="AP92" s="299">
        <f t="shared" si="132"/>
        <v>52100000</v>
      </c>
      <c r="AQ92" s="299">
        <f t="shared" si="132"/>
        <v>52100000</v>
      </c>
      <c r="AR92" s="299">
        <f t="shared" si="132"/>
        <v>52100000</v>
      </c>
      <c r="AS92" s="299">
        <f t="shared" si="132"/>
        <v>52100000</v>
      </c>
      <c r="AT92" s="299">
        <f t="shared" si="132"/>
        <v>52100000</v>
      </c>
      <c r="AU92" s="299">
        <f t="shared" si="132"/>
        <v>52100000</v>
      </c>
      <c r="AV92" s="299">
        <f t="shared" si="132"/>
        <v>52100000</v>
      </c>
      <c r="AW92" s="299">
        <f t="shared" si="132"/>
        <v>52100000</v>
      </c>
      <c r="AX92" s="299">
        <f t="shared" si="132"/>
        <v>52100000</v>
      </c>
      <c r="AY92" s="299">
        <f t="shared" si="132"/>
        <v>52100000</v>
      </c>
      <c r="AZ92" s="299">
        <f t="shared" si="132"/>
        <v>52100000</v>
      </c>
      <c r="BA92" s="299">
        <f t="shared" si="132"/>
        <v>0</v>
      </c>
      <c r="BB92" s="299">
        <f t="shared" si="132"/>
        <v>0</v>
      </c>
      <c r="BC92" s="299">
        <f t="shared" si="132"/>
        <v>0</v>
      </c>
      <c r="BD92" s="299">
        <f t="shared" si="132"/>
        <v>0</v>
      </c>
      <c r="BE92" s="299">
        <f t="shared" si="132"/>
        <v>0</v>
      </c>
      <c r="BF92" s="299">
        <f t="shared" si="132"/>
        <v>0</v>
      </c>
      <c r="BG92" s="299">
        <f t="shared" si="132"/>
        <v>0</v>
      </c>
      <c r="BH92" s="299">
        <f t="shared" si="132"/>
        <v>0</v>
      </c>
      <c r="BI92" s="299">
        <f t="shared" si="132"/>
        <v>0</v>
      </c>
      <c r="BJ92" s="299">
        <f t="shared" si="132"/>
        <v>0</v>
      </c>
      <c r="BK92" s="299">
        <f t="shared" si="132"/>
        <v>0</v>
      </c>
      <c r="BL92" s="299">
        <f t="shared" si="132"/>
        <v>0</v>
      </c>
      <c r="BM92" s="299">
        <f t="shared" si="132"/>
        <v>0</v>
      </c>
      <c r="BN92" s="299">
        <f t="shared" si="132"/>
        <v>0</v>
      </c>
      <c r="BO92" s="299">
        <f t="shared" si="132"/>
        <v>0</v>
      </c>
      <c r="BP92" s="299">
        <f t="shared" si="132"/>
        <v>0</v>
      </c>
      <c r="BQ92" s="299">
        <f t="shared" ref="BQ92:EB92" si="133">BQ91+BP96-BP97</f>
        <v>0</v>
      </c>
      <c r="BR92" s="299">
        <f t="shared" si="133"/>
        <v>0</v>
      </c>
      <c r="BS92" s="299">
        <f t="shared" si="133"/>
        <v>0</v>
      </c>
      <c r="BT92" s="299">
        <f t="shared" si="133"/>
        <v>0</v>
      </c>
      <c r="BU92" s="299">
        <f t="shared" si="133"/>
        <v>0</v>
      </c>
      <c r="BV92" s="299">
        <f t="shared" si="133"/>
        <v>0</v>
      </c>
      <c r="BW92" s="299">
        <f t="shared" si="133"/>
        <v>0</v>
      </c>
      <c r="BX92" s="299">
        <f t="shared" si="133"/>
        <v>0</v>
      </c>
      <c r="BY92" s="299">
        <f t="shared" si="133"/>
        <v>0</v>
      </c>
      <c r="BZ92" s="299">
        <f t="shared" si="133"/>
        <v>0</v>
      </c>
      <c r="CA92" s="299">
        <f t="shared" si="133"/>
        <v>0</v>
      </c>
      <c r="CB92" s="299">
        <f t="shared" si="133"/>
        <v>0</v>
      </c>
      <c r="CC92" s="299">
        <f t="shared" si="133"/>
        <v>0</v>
      </c>
      <c r="CD92" s="299">
        <f t="shared" si="133"/>
        <v>0</v>
      </c>
      <c r="CE92" s="299">
        <f t="shared" si="133"/>
        <v>0</v>
      </c>
      <c r="CF92" s="299">
        <f t="shared" si="133"/>
        <v>0</v>
      </c>
      <c r="CG92" s="299">
        <f t="shared" si="133"/>
        <v>0</v>
      </c>
      <c r="CH92" s="299">
        <f t="shared" si="133"/>
        <v>0</v>
      </c>
      <c r="CI92" s="299">
        <f t="shared" si="133"/>
        <v>0</v>
      </c>
      <c r="CJ92" s="299">
        <f t="shared" si="133"/>
        <v>0</v>
      </c>
      <c r="CK92" s="299">
        <f t="shared" si="133"/>
        <v>0</v>
      </c>
      <c r="CL92" s="299">
        <f t="shared" si="133"/>
        <v>0</v>
      </c>
      <c r="CM92" s="299">
        <f t="shared" si="133"/>
        <v>0</v>
      </c>
      <c r="CN92" s="299">
        <f t="shared" si="133"/>
        <v>0</v>
      </c>
      <c r="CO92" s="299">
        <f t="shared" si="133"/>
        <v>0</v>
      </c>
      <c r="CP92" s="299">
        <f t="shared" si="133"/>
        <v>0</v>
      </c>
      <c r="CQ92" s="299">
        <f t="shared" si="133"/>
        <v>0</v>
      </c>
      <c r="CR92" s="299">
        <f t="shared" si="133"/>
        <v>0</v>
      </c>
      <c r="CS92" s="299">
        <f t="shared" si="133"/>
        <v>0</v>
      </c>
      <c r="CT92" s="299">
        <f t="shared" si="133"/>
        <v>0</v>
      </c>
      <c r="CU92" s="299">
        <f t="shared" si="133"/>
        <v>0</v>
      </c>
      <c r="CV92" s="299">
        <f t="shared" si="133"/>
        <v>0</v>
      </c>
      <c r="CW92" s="299">
        <f t="shared" si="133"/>
        <v>0</v>
      </c>
      <c r="CX92" s="299">
        <f t="shared" si="133"/>
        <v>0</v>
      </c>
      <c r="CY92" s="299">
        <f t="shared" si="133"/>
        <v>0</v>
      </c>
      <c r="CZ92" s="299">
        <f t="shared" si="133"/>
        <v>0</v>
      </c>
      <c r="DA92" s="299">
        <f t="shared" si="133"/>
        <v>0</v>
      </c>
      <c r="DB92" s="299">
        <f t="shared" si="133"/>
        <v>0</v>
      </c>
      <c r="DC92" s="299">
        <f t="shared" si="133"/>
        <v>0</v>
      </c>
      <c r="DD92" s="299">
        <f t="shared" si="133"/>
        <v>0</v>
      </c>
      <c r="DE92" s="299">
        <f t="shared" si="133"/>
        <v>0</v>
      </c>
      <c r="DF92" s="299">
        <f t="shared" si="133"/>
        <v>0</v>
      </c>
      <c r="DG92" s="299">
        <f t="shared" si="133"/>
        <v>0</v>
      </c>
      <c r="DH92" s="299">
        <f t="shared" si="133"/>
        <v>0</v>
      </c>
      <c r="DI92" s="299">
        <f t="shared" si="133"/>
        <v>0</v>
      </c>
      <c r="DJ92" s="299">
        <f t="shared" si="133"/>
        <v>0</v>
      </c>
      <c r="DK92" s="299">
        <f t="shared" si="133"/>
        <v>0</v>
      </c>
      <c r="DL92" s="299">
        <f t="shared" si="133"/>
        <v>0</v>
      </c>
      <c r="DM92" s="299">
        <f t="shared" si="133"/>
        <v>0</v>
      </c>
      <c r="DN92" s="299">
        <f t="shared" si="133"/>
        <v>0</v>
      </c>
      <c r="DO92" s="299">
        <f t="shared" si="133"/>
        <v>0</v>
      </c>
      <c r="DP92" s="299">
        <f t="shared" si="133"/>
        <v>0</v>
      </c>
      <c r="DQ92" s="299">
        <f t="shared" si="133"/>
        <v>0</v>
      </c>
      <c r="DR92" s="299">
        <f t="shared" si="133"/>
        <v>0</v>
      </c>
      <c r="DS92" s="299">
        <f t="shared" si="133"/>
        <v>0</v>
      </c>
      <c r="DT92" s="299">
        <f t="shared" si="133"/>
        <v>0</v>
      </c>
      <c r="DU92" s="299">
        <f t="shared" si="133"/>
        <v>0</v>
      </c>
      <c r="DV92" s="299">
        <f t="shared" si="133"/>
        <v>0</v>
      </c>
      <c r="DW92" s="299">
        <f t="shared" si="133"/>
        <v>0</v>
      </c>
      <c r="DX92" s="299">
        <f t="shared" si="133"/>
        <v>0</v>
      </c>
      <c r="DY92" s="299">
        <f t="shared" si="133"/>
        <v>0</v>
      </c>
      <c r="DZ92" s="299">
        <f t="shared" si="133"/>
        <v>0</v>
      </c>
      <c r="EA92" s="299">
        <f t="shared" si="133"/>
        <v>0</v>
      </c>
      <c r="EB92" s="299">
        <f t="shared" si="133"/>
        <v>0</v>
      </c>
      <c r="EC92" s="299">
        <f t="shared" ref="EC92:FS92" si="134">EC91+EB96-EB97</f>
        <v>0</v>
      </c>
      <c r="ED92" s="299">
        <f t="shared" si="134"/>
        <v>0</v>
      </c>
      <c r="EE92" s="299">
        <f t="shared" si="134"/>
        <v>0</v>
      </c>
      <c r="EF92" s="299">
        <f t="shared" si="134"/>
        <v>0</v>
      </c>
      <c r="EG92" s="299">
        <f t="shared" si="134"/>
        <v>0</v>
      </c>
      <c r="EH92" s="299">
        <f t="shared" si="134"/>
        <v>0</v>
      </c>
      <c r="EI92" s="299">
        <f t="shared" si="134"/>
        <v>0</v>
      </c>
      <c r="EJ92" s="299">
        <f t="shared" si="134"/>
        <v>0</v>
      </c>
      <c r="EK92" s="299">
        <f t="shared" si="134"/>
        <v>0</v>
      </c>
      <c r="EL92" s="299">
        <f t="shared" si="134"/>
        <v>0</v>
      </c>
      <c r="EM92" s="299">
        <f t="shared" si="134"/>
        <v>0</v>
      </c>
      <c r="EN92" s="299">
        <f t="shared" si="134"/>
        <v>0</v>
      </c>
      <c r="EO92" s="299">
        <f t="shared" si="134"/>
        <v>0</v>
      </c>
      <c r="EP92" s="299">
        <f t="shared" si="134"/>
        <v>0</v>
      </c>
      <c r="EQ92" s="299">
        <f t="shared" si="134"/>
        <v>0</v>
      </c>
      <c r="ER92" s="299">
        <f t="shared" si="134"/>
        <v>0</v>
      </c>
      <c r="ES92" s="299">
        <f t="shared" si="134"/>
        <v>0</v>
      </c>
      <c r="ET92" s="299">
        <f t="shared" si="134"/>
        <v>0</v>
      </c>
      <c r="EU92" s="299">
        <f t="shared" si="134"/>
        <v>0</v>
      </c>
      <c r="EV92" s="299">
        <f t="shared" si="134"/>
        <v>0</v>
      </c>
      <c r="EW92" s="299">
        <f t="shared" si="134"/>
        <v>0</v>
      </c>
      <c r="EX92" s="299">
        <f t="shared" si="134"/>
        <v>0</v>
      </c>
      <c r="EY92" s="299">
        <f t="shared" si="134"/>
        <v>0</v>
      </c>
      <c r="EZ92" s="299">
        <f t="shared" si="134"/>
        <v>0</v>
      </c>
      <c r="FA92" s="299">
        <f t="shared" si="134"/>
        <v>0</v>
      </c>
      <c r="FB92" s="299">
        <f t="shared" si="134"/>
        <v>0</v>
      </c>
      <c r="FC92" s="299">
        <f t="shared" si="134"/>
        <v>0</v>
      </c>
      <c r="FD92" s="299">
        <f t="shared" si="134"/>
        <v>0</v>
      </c>
      <c r="FE92" s="299">
        <f t="shared" si="134"/>
        <v>0</v>
      </c>
      <c r="FF92" s="299">
        <f t="shared" si="134"/>
        <v>0</v>
      </c>
      <c r="FG92" s="299">
        <f t="shared" si="134"/>
        <v>0</v>
      </c>
      <c r="FH92" s="299">
        <f t="shared" si="134"/>
        <v>0</v>
      </c>
      <c r="FI92" s="299">
        <f t="shared" si="134"/>
        <v>0</v>
      </c>
      <c r="FJ92" s="299">
        <f t="shared" si="134"/>
        <v>0</v>
      </c>
      <c r="FK92" s="299">
        <f t="shared" si="134"/>
        <v>0</v>
      </c>
      <c r="FL92" s="299">
        <f t="shared" si="134"/>
        <v>0</v>
      </c>
      <c r="FM92" s="299">
        <f t="shared" si="134"/>
        <v>0</v>
      </c>
      <c r="FN92" s="299">
        <f t="shared" si="134"/>
        <v>0</v>
      </c>
      <c r="FO92" s="299">
        <f t="shared" si="134"/>
        <v>0</v>
      </c>
      <c r="FP92" s="299">
        <f t="shared" si="134"/>
        <v>0</v>
      </c>
      <c r="FQ92" s="299">
        <f t="shared" si="134"/>
        <v>0</v>
      </c>
      <c r="FR92" s="299">
        <f t="shared" si="134"/>
        <v>0</v>
      </c>
      <c r="FS92" s="299">
        <f t="shared" si="134"/>
        <v>0</v>
      </c>
    </row>
    <row r="93" spans="2:182" ht="12.75" customHeight="1">
      <c r="B93" s="517" t="s">
        <v>331</v>
      </c>
      <c r="C93" s="299">
        <f t="shared" si="131"/>
        <v>0</v>
      </c>
      <c r="D93" s="644"/>
      <c r="E93" s="299"/>
      <c r="F93" s="299"/>
      <c r="G93" s="299"/>
      <c r="H93" s="299"/>
      <c r="I93" s="299"/>
      <c r="J93" s="299"/>
      <c r="K93" s="299"/>
      <c r="L93" s="299"/>
      <c r="M93" s="299"/>
      <c r="N93" s="299"/>
      <c r="O93" s="299"/>
      <c r="P93" s="299"/>
      <c r="Q93" s="299"/>
      <c r="R93" s="299"/>
      <c r="S93" s="299"/>
      <c r="T93" s="299"/>
      <c r="U93" s="299"/>
      <c r="V93" s="299"/>
      <c r="W93" s="299"/>
      <c r="X93" s="299"/>
      <c r="Y93" s="299"/>
      <c r="Z93" s="299"/>
      <c r="AA93" s="299"/>
      <c r="AB93" s="299"/>
      <c r="AC93" s="299"/>
      <c r="AD93" s="299"/>
      <c r="AE93" s="299"/>
      <c r="AF93" s="299"/>
      <c r="AG93" s="299"/>
      <c r="AH93" s="299"/>
      <c r="AI93" s="299"/>
      <c r="AJ93" s="299"/>
      <c r="AK93" s="299"/>
      <c r="AL93" s="299"/>
      <c r="AM93" s="299"/>
      <c r="AN93" s="299"/>
      <c r="AO93" s="299"/>
      <c r="AP93" s="299"/>
      <c r="AQ93" s="299"/>
      <c r="AR93" s="299"/>
      <c r="AS93" s="299"/>
      <c r="AT93" s="299"/>
      <c r="AU93" s="299"/>
      <c r="AV93" s="299"/>
      <c r="AW93" s="299"/>
      <c r="AX93" s="299"/>
      <c r="AY93" s="299"/>
      <c r="AZ93" s="299"/>
      <c r="BA93" s="299"/>
      <c r="BB93" s="299"/>
      <c r="BC93" s="299"/>
      <c r="BD93" s="299"/>
      <c r="BE93" s="299"/>
      <c r="BF93" s="299"/>
      <c r="BG93" s="299"/>
      <c r="BH93" s="299"/>
      <c r="BI93" s="299"/>
      <c r="BJ93" s="299"/>
      <c r="BK93" s="299"/>
      <c r="BL93" s="299"/>
      <c r="BM93" s="299"/>
      <c r="BN93" s="299"/>
      <c r="BO93" s="299"/>
      <c r="BP93" s="299"/>
      <c r="BQ93" s="299"/>
      <c r="BR93" s="299"/>
      <c r="BS93" s="299"/>
      <c r="BT93" s="299"/>
      <c r="BU93" s="299"/>
      <c r="BV93" s="299"/>
      <c r="BW93" s="299"/>
      <c r="BX93" s="299"/>
      <c r="BY93" s="299"/>
      <c r="BZ93" s="299"/>
      <c r="CA93" s="299"/>
      <c r="CB93" s="299"/>
      <c r="CC93" s="299"/>
      <c r="CD93" s="299"/>
      <c r="CE93" s="299"/>
      <c r="CF93" s="299"/>
      <c r="CG93" s="299"/>
      <c r="CH93" s="299"/>
      <c r="CI93" s="299"/>
      <c r="CJ93" s="299"/>
      <c r="CK93" s="299"/>
      <c r="CL93" s="299"/>
      <c r="CM93" s="299"/>
      <c r="CN93" s="299"/>
      <c r="CO93" s="299"/>
      <c r="CP93" s="299"/>
      <c r="CQ93" s="299"/>
      <c r="CR93" s="299"/>
      <c r="CS93" s="299"/>
      <c r="CT93" s="299"/>
      <c r="CU93" s="299"/>
      <c r="CV93" s="299"/>
      <c r="CW93" s="299"/>
      <c r="CX93" s="299"/>
      <c r="CY93" s="299"/>
      <c r="CZ93" s="299"/>
      <c r="DA93" s="299"/>
      <c r="DB93" s="299"/>
      <c r="DC93" s="299"/>
      <c r="DD93" s="299"/>
      <c r="DE93" s="299"/>
      <c r="DF93" s="299"/>
      <c r="DG93" s="299"/>
      <c r="DH93" s="299"/>
      <c r="DI93" s="299"/>
      <c r="DJ93" s="299"/>
      <c r="DK93" s="299"/>
      <c r="DL93" s="299"/>
      <c r="DM93" s="299"/>
      <c r="DN93" s="299"/>
      <c r="DO93" s="299"/>
      <c r="DP93" s="299"/>
      <c r="DQ93" s="299"/>
      <c r="DR93" s="299"/>
      <c r="DS93" s="299"/>
      <c r="DT93" s="299"/>
      <c r="DU93" s="299"/>
      <c r="DV93" s="299"/>
      <c r="DW93" s="299"/>
      <c r="DX93" s="299"/>
      <c r="DY93" s="299"/>
      <c r="DZ93" s="299"/>
      <c r="EA93" s="299"/>
      <c r="EB93" s="299"/>
      <c r="EC93" s="299"/>
      <c r="ED93" s="299"/>
      <c r="EE93" s="299"/>
      <c r="EF93" s="299"/>
      <c r="EG93" s="299"/>
      <c r="EH93" s="299"/>
      <c r="EI93" s="299"/>
      <c r="EJ93" s="299"/>
      <c r="EK93" s="299"/>
      <c r="EL93" s="299"/>
      <c r="EM93" s="299"/>
      <c r="EN93" s="299"/>
      <c r="EO93" s="299"/>
      <c r="EP93" s="299"/>
      <c r="EQ93" s="299"/>
      <c r="ER93" s="299"/>
      <c r="ES93" s="299"/>
      <c r="ET93" s="299"/>
      <c r="EU93" s="299"/>
      <c r="EV93" s="299"/>
      <c r="EW93" s="299"/>
      <c r="EX93" s="299"/>
      <c r="EY93" s="299"/>
      <c r="EZ93" s="299"/>
      <c r="FA93" s="299"/>
      <c r="FB93" s="299"/>
      <c r="FC93" s="299"/>
      <c r="FD93" s="299"/>
      <c r="FE93" s="299"/>
      <c r="FF93" s="299"/>
      <c r="FG93" s="299"/>
      <c r="FH93" s="299"/>
      <c r="FI93" s="299"/>
      <c r="FJ93" s="299"/>
      <c r="FK93" s="299"/>
      <c r="FL93" s="299"/>
      <c r="FM93" s="299"/>
      <c r="FN93" s="299"/>
      <c r="FO93" s="299"/>
      <c r="FP93" s="299"/>
      <c r="FQ93" s="299"/>
      <c r="FR93" s="299"/>
      <c r="FS93" s="299"/>
    </row>
    <row r="94" spans="2:182" ht="12.75" customHeight="1">
      <c r="B94" s="517" t="s">
        <v>332</v>
      </c>
      <c r="C94" s="299">
        <f t="shared" si="131"/>
        <v>0</v>
      </c>
      <c r="D94" s="644"/>
      <c r="E94" s="299"/>
      <c r="F94" s="299"/>
      <c r="G94" s="299"/>
      <c r="H94" s="299"/>
      <c r="I94" s="299"/>
      <c r="J94" s="299"/>
      <c r="K94" s="299"/>
      <c r="L94" s="299"/>
      <c r="M94" s="299"/>
      <c r="N94" s="299"/>
      <c r="O94" s="299"/>
      <c r="P94" s="299"/>
      <c r="Q94" s="299"/>
      <c r="R94" s="299"/>
      <c r="S94" s="299"/>
      <c r="T94" s="299"/>
      <c r="U94" s="299"/>
      <c r="V94" s="299"/>
      <c r="W94" s="299"/>
      <c r="X94" s="299"/>
      <c r="Y94" s="299"/>
      <c r="Z94" s="299"/>
      <c r="AA94" s="299"/>
      <c r="AB94" s="299"/>
      <c r="AC94" s="299"/>
      <c r="AD94" s="299"/>
      <c r="AE94" s="299"/>
      <c r="AF94" s="299"/>
      <c r="AG94" s="299"/>
      <c r="AH94" s="299"/>
      <c r="AI94" s="299"/>
      <c r="AJ94" s="299"/>
      <c r="AK94" s="299"/>
      <c r="AL94" s="299"/>
      <c r="AM94" s="299"/>
      <c r="AN94" s="299"/>
      <c r="AO94" s="299"/>
      <c r="AP94" s="299"/>
      <c r="AQ94" s="299"/>
      <c r="AR94" s="299"/>
      <c r="AS94" s="299"/>
      <c r="AT94" s="299"/>
      <c r="AU94" s="299"/>
      <c r="AV94" s="299"/>
      <c r="AW94" s="299"/>
      <c r="AX94" s="299"/>
      <c r="AY94" s="299"/>
      <c r="AZ94" s="299"/>
      <c r="BA94" s="299"/>
      <c r="BB94" s="299"/>
      <c r="BC94" s="299"/>
      <c r="BD94" s="299"/>
      <c r="BE94" s="299"/>
      <c r="BF94" s="299"/>
      <c r="BG94" s="299"/>
      <c r="BH94" s="299"/>
      <c r="BI94" s="299"/>
      <c r="BJ94" s="299"/>
      <c r="BK94" s="299"/>
      <c r="BL94" s="299"/>
      <c r="BM94" s="299"/>
      <c r="BN94" s="299"/>
      <c r="BO94" s="299"/>
      <c r="BP94" s="299"/>
      <c r="BQ94" s="299"/>
      <c r="BR94" s="299"/>
      <c r="BS94" s="299"/>
      <c r="BT94" s="299"/>
      <c r="BU94" s="299"/>
      <c r="BV94" s="299"/>
      <c r="BW94" s="299"/>
      <c r="BX94" s="299"/>
      <c r="BY94" s="299"/>
      <c r="BZ94" s="299"/>
      <c r="CA94" s="299"/>
      <c r="CB94" s="299"/>
      <c r="CC94" s="299"/>
      <c r="CD94" s="299"/>
      <c r="CE94" s="299"/>
      <c r="CF94" s="299"/>
      <c r="CG94" s="299"/>
      <c r="CH94" s="299"/>
      <c r="CI94" s="299"/>
      <c r="CJ94" s="299"/>
      <c r="CK94" s="299"/>
      <c r="CL94" s="299"/>
      <c r="CM94" s="299"/>
      <c r="CN94" s="299"/>
      <c r="CO94" s="299"/>
      <c r="CP94" s="299"/>
      <c r="CQ94" s="299"/>
      <c r="CR94" s="299"/>
      <c r="CS94" s="299"/>
      <c r="CT94" s="299"/>
      <c r="CU94" s="299"/>
      <c r="CV94" s="299"/>
      <c r="CW94" s="299"/>
      <c r="CX94" s="299"/>
      <c r="CY94" s="299"/>
      <c r="CZ94" s="299"/>
      <c r="DA94" s="299"/>
      <c r="DB94" s="299"/>
      <c r="DC94" s="299"/>
      <c r="DD94" s="299"/>
      <c r="DE94" s="299"/>
      <c r="DF94" s="299"/>
      <c r="DG94" s="299"/>
      <c r="DH94" s="299"/>
      <c r="DI94" s="299"/>
      <c r="DJ94" s="299"/>
      <c r="DK94" s="299"/>
      <c r="DL94" s="299"/>
      <c r="DM94" s="299"/>
      <c r="DN94" s="299"/>
      <c r="DO94" s="299"/>
      <c r="DP94" s="299"/>
      <c r="DQ94" s="299"/>
      <c r="DR94" s="299"/>
      <c r="DS94" s="299"/>
      <c r="DT94" s="299"/>
      <c r="DU94" s="299"/>
      <c r="DV94" s="299"/>
      <c r="DW94" s="299"/>
      <c r="DX94" s="299"/>
      <c r="DY94" s="299"/>
      <c r="DZ94" s="299"/>
      <c r="EA94" s="299"/>
      <c r="EB94" s="299"/>
      <c r="EC94" s="299"/>
      <c r="ED94" s="299"/>
      <c r="EE94" s="299"/>
      <c r="EF94" s="299"/>
      <c r="EG94" s="299"/>
      <c r="EH94" s="299"/>
      <c r="EI94" s="299"/>
      <c r="EJ94" s="299"/>
      <c r="EK94" s="299"/>
      <c r="EL94" s="299"/>
      <c r="EM94" s="299"/>
      <c r="EN94" s="299"/>
      <c r="EO94" s="299"/>
      <c r="EP94" s="299"/>
      <c r="EQ94" s="299"/>
      <c r="ER94" s="299"/>
      <c r="ES94" s="299"/>
      <c r="ET94" s="299"/>
      <c r="EU94" s="299"/>
      <c r="EV94" s="299"/>
      <c r="EW94" s="299"/>
      <c r="EX94" s="299"/>
      <c r="EY94" s="299"/>
      <c r="EZ94" s="299"/>
      <c r="FA94" s="299"/>
      <c r="FB94" s="299"/>
      <c r="FC94" s="299"/>
      <c r="FD94" s="299"/>
      <c r="FE94" s="299"/>
      <c r="FF94" s="299"/>
      <c r="FG94" s="299"/>
      <c r="FH94" s="299"/>
      <c r="FI94" s="299"/>
      <c r="FJ94" s="299"/>
      <c r="FK94" s="299"/>
      <c r="FL94" s="299"/>
      <c r="FM94" s="299"/>
      <c r="FN94" s="299"/>
      <c r="FO94" s="299"/>
      <c r="FP94" s="299"/>
      <c r="FQ94" s="299"/>
      <c r="FR94" s="299"/>
      <c r="FS94" s="299"/>
    </row>
    <row r="95" spans="2:182" ht="12.75" customHeight="1">
      <c r="B95" s="517" t="s">
        <v>333</v>
      </c>
      <c r="C95" s="299">
        <f t="shared" si="131"/>
        <v>12157752.083333341</v>
      </c>
      <c r="D95" s="644"/>
      <c r="E95" s="299">
        <f>((E5-D5)/360)*E92*Detail!$D$26</f>
        <v>249645.83333333328</v>
      </c>
      <c r="F95" s="299">
        <f>((F5-E5)/360)*F92*Detail!$D$26</f>
        <v>257967.36111111109</v>
      </c>
      <c r="G95" s="299">
        <f>((G5-F5)/360)*G92*Detail!$D$26</f>
        <v>257967.36111111109</v>
      </c>
      <c r="H95" s="299">
        <f>((H5-G5)/360)*H92*Detail!$D$26</f>
        <v>249645.83333333328</v>
      </c>
      <c r="I95" s="299">
        <f>((I5-H5)/360)*I92*Detail!$D$26</f>
        <v>257967.36111111109</v>
      </c>
      <c r="J95" s="299">
        <f>((J5-I5)/360)*J92*Detail!$D$26</f>
        <v>249645.83333333328</v>
      </c>
      <c r="K95" s="299">
        <f>((K5-J5)/360)*K92*Detail!$D$26</f>
        <v>257967.36111111109</v>
      </c>
      <c r="L95" s="299">
        <f>((L5-K5)/360)*L92*Detail!$D$26</f>
        <v>257967.36111111109</v>
      </c>
      <c r="M95" s="299">
        <f>((M5-L5)/360)*M92*Detail!$D$26</f>
        <v>233002.77777777778</v>
      </c>
      <c r="N95" s="299">
        <f>((N5-M5)/360)*N92*Detail!$D$26</f>
        <v>257967.36111111109</v>
      </c>
      <c r="O95" s="299">
        <f>((O5-N5)/360)*O92*Detail!$D$26</f>
        <v>249645.83333333328</v>
      </c>
      <c r="P95" s="299">
        <f>((P5-O5)/360)*P92*Detail!$D$26</f>
        <v>257967.36111111109</v>
      </c>
      <c r="Q95" s="299">
        <f>((Q5-P5)/360)*Q92*Detail!$D$26</f>
        <v>249645.83333333328</v>
      </c>
      <c r="R95" s="299">
        <f>((R5-Q5)/360)*R92*Detail!$D$26</f>
        <v>257967.36111111109</v>
      </c>
      <c r="S95" s="299">
        <f>((S5-R5)/360)*S92*Detail!$D$26</f>
        <v>257967.36111111109</v>
      </c>
      <c r="T95" s="299">
        <f>((T5-S5)/360)*T92*Detail!$D$26</f>
        <v>249645.83333333328</v>
      </c>
      <c r="U95" s="299">
        <f>((U5-T5)/360)*U92*Detail!$D$26</f>
        <v>257967.36111111109</v>
      </c>
      <c r="V95" s="299">
        <f>((V5-U5)/360)*V92*Detail!$D$26</f>
        <v>249645.83333333328</v>
      </c>
      <c r="W95" s="299">
        <f>((W5-V5)/360)*W92*Detail!$D$26</f>
        <v>257967.36111111109</v>
      </c>
      <c r="X95" s="299">
        <f>((X5-W5)/360)*X92*Detail!$D$26</f>
        <v>257967.36111111109</v>
      </c>
      <c r="Y95" s="299">
        <f>((Y5-X5)/360)*Y92*Detail!$D$26</f>
        <v>241324.30555555556</v>
      </c>
      <c r="Z95" s="299">
        <f>((Z5-Y5)/360)*Z92*Detail!$D$26</f>
        <v>257967.36111111109</v>
      </c>
      <c r="AA95" s="299">
        <f>((AA5-Z5)/360)*AA92*Detail!$D$26</f>
        <v>249645.83333333328</v>
      </c>
      <c r="AB95" s="299">
        <f>((AB5-AA5)/360)*AB92*Detail!$D$26</f>
        <v>257967.36111111109</v>
      </c>
      <c r="AC95" s="299">
        <f>((AC5-AB5)/360)*AC92*Detail!$D$26</f>
        <v>249645.83333333328</v>
      </c>
      <c r="AD95" s="299">
        <f>((AD5-AC5)/360)*AD92*Detail!$D$26</f>
        <v>257967.36111111109</v>
      </c>
      <c r="AE95" s="299">
        <f>((AE5-AD5)/360)*AE92*Detail!$D$26</f>
        <v>257967.36111111109</v>
      </c>
      <c r="AF95" s="299">
        <f>((AF5-AE5)/360)*AF92*Detail!$D$26</f>
        <v>249645.83333333328</v>
      </c>
      <c r="AG95" s="299">
        <f>((AG5-AF5)/360)*AG92*Detail!$D$26</f>
        <v>257967.36111111109</v>
      </c>
      <c r="AH95" s="299">
        <f>((AH5-AG5)/360)*AH92*Detail!$D$26</f>
        <v>249645.83333333328</v>
      </c>
      <c r="AI95" s="299">
        <f>((AI5-AH5)/360)*AI92*Detail!$D$26</f>
        <v>257967.36111111109</v>
      </c>
      <c r="AJ95" s="299">
        <f>((AJ5-AI5)/360)*AJ92*Detail!$D$26</f>
        <v>257967.36111111109</v>
      </c>
      <c r="AK95" s="299">
        <f>((AK5-AJ5)/360)*AK92*Detail!$D$26</f>
        <v>233002.77777777778</v>
      </c>
      <c r="AL95" s="299">
        <f>((AL5-AK5)/360)*AL92*Detail!$D$26</f>
        <v>257967.36111111109</v>
      </c>
      <c r="AM95" s="299">
        <f>((AM5-AL5)/360)*AM92*Detail!$D$26</f>
        <v>249645.83333333328</v>
      </c>
      <c r="AN95" s="299">
        <f>((AN5-AM5)/360)*AN92*Detail!$D$26</f>
        <v>257967.36111111109</v>
      </c>
      <c r="AO95" s="299">
        <f>((AO5-AN5)/360)*AO92*Detail!$D$26</f>
        <v>249645.83333333328</v>
      </c>
      <c r="AP95" s="299">
        <f>((AP5-AO5)/360)*AP92*Detail!$D$26</f>
        <v>257967.36111111109</v>
      </c>
      <c r="AQ95" s="299">
        <f>((AQ5-AP5)/360)*AQ92*Detail!$D$26</f>
        <v>257967.36111111109</v>
      </c>
      <c r="AR95" s="299">
        <f>((AR5-AQ5)/360)*AR92*Detail!$D$26</f>
        <v>249645.83333333328</v>
      </c>
      <c r="AS95" s="299">
        <f>((AS5-AR5)/360)*AS92*Detail!$D$26</f>
        <v>257967.36111111109</v>
      </c>
      <c r="AT95" s="299">
        <f>((AT5-AS5)/360)*AT92*Detail!$D$26</f>
        <v>249645.83333333328</v>
      </c>
      <c r="AU95" s="299">
        <f>((AU5-AT5)/360)*AU92*Detail!$D$26</f>
        <v>257967.36111111109</v>
      </c>
      <c r="AV95" s="299">
        <f>((AV5-AU5)/360)*AV92*Detail!$D$26</f>
        <v>257967.36111111109</v>
      </c>
      <c r="AW95" s="299">
        <f>((AW5-AV5)/360)*AW92*Detail!$D$26</f>
        <v>233002.77777777778</v>
      </c>
      <c r="AX95" s="299">
        <f>((AX5-AW5)/360)*AX92*Detail!$D$26</f>
        <v>257967.36111111109</v>
      </c>
      <c r="AY95" s="299">
        <f>((AY5-AX5)/360)*AY92*Detail!$D$26</f>
        <v>249645.83333333328</v>
      </c>
      <c r="AZ95" s="299">
        <f>((AZ5-AY5)/360)*AZ92*Detail!$D$26</f>
        <v>257967.36111111109</v>
      </c>
      <c r="BA95" s="299">
        <f>((BA5-AZ5)/360)*BA92*Detail!$D$26</f>
        <v>0</v>
      </c>
      <c r="BB95" s="299">
        <f>((BB5-BA5)/360)*BB92*Detail!$D$26</f>
        <v>0</v>
      </c>
      <c r="BC95" s="299">
        <f>((BC5-BB5)/360)*BC92*Detail!$D$26</f>
        <v>0</v>
      </c>
      <c r="BD95" s="299">
        <f>((BD5-BC5)/360)*BD92*Detail!$D$26</f>
        <v>0</v>
      </c>
      <c r="BE95" s="299">
        <f>((BE5-BD5)/360)*BE92*Detail!$D$26</f>
        <v>0</v>
      </c>
      <c r="BF95" s="299">
        <f>((BF5-BE5)/360)*BF92*Detail!$D$26</f>
        <v>0</v>
      </c>
      <c r="BG95" s="299">
        <f>((BG5-BF5)/360)*BG92*Detail!$D$26</f>
        <v>0</v>
      </c>
      <c r="BH95" s="299">
        <f>((BH5-BG5)/360)*BH92*Detail!$D$26</f>
        <v>0</v>
      </c>
      <c r="BI95" s="299">
        <f>((BI5-BH5)/360)*BI92*Detail!$D$26</f>
        <v>0</v>
      </c>
      <c r="BJ95" s="299">
        <f>((BJ5-BI5)/360)*BJ92*Detail!$D$26</f>
        <v>0</v>
      </c>
      <c r="BK95" s="299">
        <f>((BK5-BJ5)/360)*BK92*Detail!$D$26</f>
        <v>0</v>
      </c>
      <c r="BL95" s="299">
        <f>((BL5-BK5)/360)*BL92*Detail!$D$26</f>
        <v>0</v>
      </c>
      <c r="BM95" s="299">
        <f>((BM5-BL5)/360)*BM92*Detail!$D$26</f>
        <v>0</v>
      </c>
      <c r="BN95" s="299">
        <f>((BN5-BM5)/360)*BN92*Detail!$D$26</f>
        <v>0</v>
      </c>
      <c r="BO95" s="299">
        <f>((BO5-BN5)/360)*BO92*Detail!$D$26</f>
        <v>0</v>
      </c>
      <c r="BP95" s="299">
        <f>((BP5-BO5)/360)*BP92*Detail!$D$26</f>
        <v>0</v>
      </c>
      <c r="BQ95" s="299">
        <f>((BQ5-BP5)/360)*BQ92*Detail!$D$26</f>
        <v>0</v>
      </c>
      <c r="BR95" s="299">
        <f>((BR5-BQ5)/360)*BR92*Detail!$D$26</f>
        <v>0</v>
      </c>
      <c r="BS95" s="299">
        <f>((BS5-BR5)/360)*BS92*Detail!$D$26</f>
        <v>0</v>
      </c>
      <c r="BT95" s="299">
        <f>((BT5-BS5)/360)*BT92*Detail!$D$26</f>
        <v>0</v>
      </c>
      <c r="BU95" s="299">
        <f>((BU5-BT5)/360)*BU92*Detail!$D$26</f>
        <v>0</v>
      </c>
      <c r="BV95" s="299">
        <f>((BV5-BU5)/360)*BV92*Detail!$D$26</f>
        <v>0</v>
      </c>
      <c r="BW95" s="299">
        <f>((BW5-BV5)/360)*BW92*Detail!$D$26</f>
        <v>0</v>
      </c>
      <c r="BX95" s="299">
        <f>((BX5-BW5)/360)*BX92*Detail!$D$26</f>
        <v>0</v>
      </c>
      <c r="BY95" s="299">
        <f>((BY5-BX5)/360)*BY92*Detail!$D$26</f>
        <v>0</v>
      </c>
      <c r="BZ95" s="299">
        <f>((BZ5-BY5)/360)*BZ92*Detail!$D$26</f>
        <v>0</v>
      </c>
      <c r="CA95" s="299">
        <f>((CA5-BZ5)/360)*CA92*Detail!$D$26</f>
        <v>0</v>
      </c>
      <c r="CB95" s="299">
        <f>((CB5-CA5)/360)*CB92*Detail!$D$26</f>
        <v>0</v>
      </c>
      <c r="CC95" s="299">
        <f>((CC5-CB5)/360)*CC92*Detail!$D$26</f>
        <v>0</v>
      </c>
      <c r="CD95" s="299">
        <f>((CD5-CC5)/360)*CD92*Detail!$D$26</f>
        <v>0</v>
      </c>
      <c r="CE95" s="299">
        <f>((CE5-CD5)/360)*CE92*Detail!$D$26</f>
        <v>0</v>
      </c>
      <c r="CF95" s="299">
        <f>((CF5-CE5)/360)*CF92*Detail!$D$26</f>
        <v>0</v>
      </c>
      <c r="CG95" s="299">
        <f>((CG5-CF5)/360)*CG92*Detail!$D$26</f>
        <v>0</v>
      </c>
      <c r="CH95" s="299">
        <f>((CH5-CG5)/360)*CH92*Detail!$D$26</f>
        <v>0</v>
      </c>
      <c r="CI95" s="299">
        <f>((CI5-CH5)/360)*CI92*Detail!$D$26</f>
        <v>0</v>
      </c>
      <c r="CJ95" s="299">
        <f>((CJ5-CI5)/360)*CJ92*Detail!$D$26</f>
        <v>0</v>
      </c>
      <c r="CK95" s="299">
        <f>((CK5-CJ5)/360)*CK92*Detail!$D$26</f>
        <v>0</v>
      </c>
      <c r="CL95" s="299">
        <f>((CL5-CK5)/360)*CL92*Detail!$D$26</f>
        <v>0</v>
      </c>
      <c r="CM95" s="299">
        <f>((CM5-CL5)/360)*CM92*Detail!$D$26</f>
        <v>0</v>
      </c>
      <c r="CN95" s="299">
        <f>((CN5-CM5)/360)*CN92*Detail!$D$26</f>
        <v>0</v>
      </c>
      <c r="CO95" s="299">
        <f>((CO5-CN5)/360)*CO92*Detail!$D$26</f>
        <v>0</v>
      </c>
      <c r="CP95" s="299">
        <f>((CP5-CO5)/360)*CP92*Detail!$D$26</f>
        <v>0</v>
      </c>
      <c r="CQ95" s="299">
        <f>((CQ5-CP5)/360)*CQ92*Detail!$D$26</f>
        <v>0</v>
      </c>
      <c r="CR95" s="299">
        <f>((CR5-CQ5)/360)*CR92*Detail!$D$26</f>
        <v>0</v>
      </c>
      <c r="CS95" s="299">
        <f>((CS5-CR5)/360)*CS92*Detail!$D$26</f>
        <v>0</v>
      </c>
      <c r="CT95" s="299">
        <f>((CT5-CS5)/360)*CT92*Detail!$D$26</f>
        <v>0</v>
      </c>
      <c r="CU95" s="299">
        <f>((CU5-CT5)/360)*CU92*Detail!$D$26</f>
        <v>0</v>
      </c>
      <c r="CV95" s="299">
        <f>((CV5-CU5)/360)*CV92*Detail!$D$26</f>
        <v>0</v>
      </c>
      <c r="CW95" s="299">
        <f>((CW5-CV5)/360)*CW92*Detail!$D$26</f>
        <v>0</v>
      </c>
      <c r="CX95" s="299">
        <f>((CX5-CW5)/360)*CX92*Detail!$D$26</f>
        <v>0</v>
      </c>
      <c r="CY95" s="299">
        <f>((CY5-CX5)/360)*CY92*Detail!$D$26</f>
        <v>0</v>
      </c>
      <c r="CZ95" s="299">
        <f>((CZ5-CY5)/360)*CZ92*Detail!$D$26</f>
        <v>0</v>
      </c>
      <c r="DA95" s="299">
        <f>((DA5-CZ5)/360)*DA92*Detail!$D$26</f>
        <v>0</v>
      </c>
      <c r="DB95" s="299">
        <f>((DB5-DA5)/360)*DB92*Detail!$D$26</f>
        <v>0</v>
      </c>
      <c r="DC95" s="299">
        <f>((DC5-DB5)/360)*DC92*Detail!$D$26</f>
        <v>0</v>
      </c>
      <c r="DD95" s="299">
        <f>((DD5-DC5)/360)*DD92*Detail!$D$26</f>
        <v>0</v>
      </c>
      <c r="DE95" s="299">
        <f>((DE5-DD5)/360)*DE92*Detail!$D$26</f>
        <v>0</v>
      </c>
      <c r="DF95" s="299">
        <f>((DF5-DE5)/360)*DF92*Detail!$D$26</f>
        <v>0</v>
      </c>
      <c r="DG95" s="299">
        <f>((DG5-DF5)/360)*DG92*Detail!$D$26</f>
        <v>0</v>
      </c>
      <c r="DH95" s="299">
        <f>((DH5-DG5)/360)*DH92*Detail!$D$26</f>
        <v>0</v>
      </c>
      <c r="DI95" s="299">
        <f>((DI5-DH5)/360)*DI92*Detail!$D$26</f>
        <v>0</v>
      </c>
      <c r="DJ95" s="299">
        <f>((DJ5-DI5)/360)*DJ92*Detail!$D$26</f>
        <v>0</v>
      </c>
      <c r="DK95" s="299">
        <f>((DK5-DJ5)/360)*DK92*Detail!$D$26</f>
        <v>0</v>
      </c>
      <c r="DL95" s="299">
        <f>((DL5-DK5)/360)*DL92*Detail!$D$26</f>
        <v>0</v>
      </c>
      <c r="DM95" s="299">
        <f>((DM5-DL5)/360)*DM92*Detail!$D$26</f>
        <v>0</v>
      </c>
      <c r="DN95" s="299">
        <f>((DN5-DM5)/360)*DN92*Detail!$D$26</f>
        <v>0</v>
      </c>
      <c r="DO95" s="299">
        <f>((DO5-DN5)/360)*DO92*Detail!$D$26</f>
        <v>0</v>
      </c>
      <c r="DP95" s="299">
        <f>((DP5-DO5)/360)*DP92*Detail!$D$26</f>
        <v>0</v>
      </c>
      <c r="DQ95" s="299">
        <f>((DQ5-DP5)/360)*DQ92*Detail!$D$26</f>
        <v>0</v>
      </c>
      <c r="DR95" s="299">
        <f>((DR5-DQ5)/360)*DR92*Detail!$D$26</f>
        <v>0</v>
      </c>
      <c r="DS95" s="299">
        <f>((DS5-DR5)/360)*DS92*Detail!$D$26</f>
        <v>0</v>
      </c>
      <c r="DT95" s="299">
        <f>((DT5-DS5)/360)*DT92*Detail!$D$26</f>
        <v>0</v>
      </c>
      <c r="DU95" s="299">
        <f>((DU5-DT5)/360)*DU92*Detail!$D$26</f>
        <v>0</v>
      </c>
      <c r="DV95" s="299">
        <f>((DV5-DU5)/360)*DV92*Detail!$D$26</f>
        <v>0</v>
      </c>
      <c r="DW95" s="299">
        <f>((DW5-DV5)/360)*DW92*Detail!$D$26</f>
        <v>0</v>
      </c>
      <c r="DX95" s="299">
        <f>((DX5-DW5)/360)*DX92*Detail!$D$26</f>
        <v>0</v>
      </c>
      <c r="DY95" s="299">
        <f>((DY5-DX5)/360)*DY92*Detail!$D$26</f>
        <v>0</v>
      </c>
      <c r="DZ95" s="299">
        <f>((DZ5-DY5)/360)*DZ92*Detail!$D$26</f>
        <v>0</v>
      </c>
      <c r="EA95" s="299">
        <f>((EA5-DZ5)/360)*EA92*Detail!$D$26</f>
        <v>0</v>
      </c>
      <c r="EB95" s="299">
        <f>((EB5-EA5)/360)*EB92*Detail!$D$26</f>
        <v>0</v>
      </c>
      <c r="EC95" s="299">
        <f>((EC5-EB5)/360)*EC92*Detail!$D$26</f>
        <v>0</v>
      </c>
      <c r="ED95" s="299">
        <f>((ED5-EC5)/360)*ED92*Detail!$D$26</f>
        <v>0</v>
      </c>
      <c r="EE95" s="299">
        <f>((EE5-ED5)/360)*EE92*Detail!$D$26</f>
        <v>0</v>
      </c>
      <c r="EF95" s="299">
        <f>((EF5-EE5)/360)*EF92*Detail!$D$26</f>
        <v>0</v>
      </c>
      <c r="EG95" s="299">
        <f>((EG5-EF5)/360)*EG92*Detail!$D$26</f>
        <v>0</v>
      </c>
      <c r="EH95" s="299">
        <f>((EH5-EG5)/360)*EH92*Detail!$D$26</f>
        <v>0</v>
      </c>
      <c r="EI95" s="299">
        <f>((EI5-EH5)/360)*EI92*Detail!$D$26</f>
        <v>0</v>
      </c>
      <c r="EJ95" s="299">
        <f>((EJ5-EI5)/360)*EJ92*Detail!$D$26</f>
        <v>0</v>
      </c>
      <c r="EK95" s="299">
        <f>((EK5-EJ5)/360)*EK92*Detail!$D$26</f>
        <v>0</v>
      </c>
      <c r="EL95" s="299">
        <f>((EL5-EK5)/360)*EL92*Detail!$D$26</f>
        <v>0</v>
      </c>
      <c r="EM95" s="299">
        <f>((EM5-EL5)/360)*EM92*Detail!$D$26</f>
        <v>0</v>
      </c>
      <c r="EN95" s="299">
        <f>((EN5-EM5)/360)*EN92*Detail!$D$26</f>
        <v>0</v>
      </c>
      <c r="EO95" s="299">
        <f>((EO5-EN5)/360)*EO92*Detail!$D$26</f>
        <v>0</v>
      </c>
      <c r="EP95" s="299">
        <f>((EP5-EO5)/360)*EP92*Detail!$D$26</f>
        <v>0</v>
      </c>
      <c r="EQ95" s="299">
        <f>((EQ5-EP5)/360)*EQ92*Detail!$D$26</f>
        <v>0</v>
      </c>
      <c r="ER95" s="299">
        <f>((ER5-EQ5)/360)*ER92*Detail!$D$26</f>
        <v>0</v>
      </c>
      <c r="ES95" s="299">
        <f>((ES5-ER5)/360)*ES92*Detail!$D$26</f>
        <v>0</v>
      </c>
      <c r="ET95" s="299">
        <f>((ET5-ES5)/360)*ET92*Detail!$D$26</f>
        <v>0</v>
      </c>
      <c r="EU95" s="299">
        <f>((EU5-ET5)/360)*EU92*Detail!$D$26</f>
        <v>0</v>
      </c>
      <c r="EV95" s="299">
        <f>((EV5-EU5)/360)*EV92*Detail!$D$26</f>
        <v>0</v>
      </c>
      <c r="EW95" s="299">
        <f>((EW5-EV5)/360)*EW92*Detail!$D$26</f>
        <v>0</v>
      </c>
      <c r="EX95" s="299">
        <f>((EX5-EW5)/360)*EX92*Detail!$D$26</f>
        <v>0</v>
      </c>
      <c r="EY95" s="299">
        <f>((EY5-EX5)/360)*EY92*Detail!$D$26</f>
        <v>0</v>
      </c>
      <c r="EZ95" s="299">
        <f>((EZ5-EY5)/360)*EZ92*Detail!$D$26</f>
        <v>0</v>
      </c>
      <c r="FA95" s="299">
        <f>((FA5-EZ5)/360)*FA92*Detail!$D$26</f>
        <v>0</v>
      </c>
      <c r="FB95" s="299">
        <f>((FB5-FA5)/360)*FB92*Detail!$D$26</f>
        <v>0</v>
      </c>
      <c r="FC95" s="299">
        <f>((FC5-FB5)/360)*FC92*Detail!$D$26</f>
        <v>0</v>
      </c>
      <c r="FD95" s="299">
        <f>((FD5-FC5)/360)*FD92*Detail!$D$26</f>
        <v>0</v>
      </c>
      <c r="FE95" s="299">
        <f>((FE5-FD5)/360)*FE92*Detail!$D$26</f>
        <v>0</v>
      </c>
      <c r="FF95" s="299">
        <f>((FF5-FE5)/360)*FF92*Detail!$D$26</f>
        <v>0</v>
      </c>
      <c r="FG95" s="299">
        <f>((FG5-FF5)/360)*FG92*Detail!$D$26</f>
        <v>0</v>
      </c>
      <c r="FH95" s="299">
        <f>((FH5-FG5)/360)*FH92*Detail!$D$26</f>
        <v>0</v>
      </c>
      <c r="FI95" s="299">
        <f>((FI5-FH5)/360)*FI92*Detail!$D$26</f>
        <v>0</v>
      </c>
      <c r="FJ95" s="299">
        <f>((FJ5-FI5)/360)*FJ92*Detail!$D$26</f>
        <v>0</v>
      </c>
      <c r="FK95" s="299">
        <f>((FK5-FJ5)/360)*FK92*Detail!$D$26</f>
        <v>0</v>
      </c>
      <c r="FL95" s="299">
        <f>((FL5-FK5)/360)*FL92*Detail!$D$26</f>
        <v>0</v>
      </c>
      <c r="FM95" s="299">
        <f>((FM5-FL5)/360)*FM92*Detail!$D$26</f>
        <v>0</v>
      </c>
      <c r="FN95" s="299">
        <f>((FN5-FM5)/360)*FN92*Detail!$D$26</f>
        <v>0</v>
      </c>
      <c r="FO95" s="299">
        <f>((FO5-FN5)/360)*FO92*Detail!$D$26</f>
        <v>0</v>
      </c>
      <c r="FP95" s="299">
        <f>((FP5-FO5)/360)*FP92*Detail!$D$26</f>
        <v>0</v>
      </c>
      <c r="FQ95" s="299">
        <f>((FQ5-FP5)/360)*FQ92*Detail!$D$26</f>
        <v>0</v>
      </c>
      <c r="FR95" s="299">
        <f>((FR5-FQ5)/360)*FR92*Detail!$D$26</f>
        <v>0</v>
      </c>
      <c r="FS95" s="299">
        <f>((FS5-FR5)/360)*FS92*Detail!$D$26</f>
        <v>0</v>
      </c>
    </row>
    <row r="96" spans="2:182" ht="12.75" customHeight="1">
      <c r="B96" s="517" t="s">
        <v>334</v>
      </c>
      <c r="C96" s="299"/>
      <c r="D96" s="644"/>
      <c r="E96" s="299">
        <f t="shared" ref="E96:BP96" si="135">E92-E94</f>
        <v>52100000</v>
      </c>
      <c r="F96" s="299">
        <f t="shared" si="135"/>
        <v>52100000</v>
      </c>
      <c r="G96" s="299">
        <f t="shared" si="135"/>
        <v>52100000</v>
      </c>
      <c r="H96" s="299">
        <f t="shared" si="135"/>
        <v>52100000</v>
      </c>
      <c r="I96" s="299">
        <f t="shared" si="135"/>
        <v>52100000</v>
      </c>
      <c r="J96" s="299">
        <f t="shared" si="135"/>
        <v>52100000</v>
      </c>
      <c r="K96" s="299">
        <f t="shared" si="135"/>
        <v>52100000</v>
      </c>
      <c r="L96" s="299">
        <f t="shared" si="135"/>
        <v>52100000</v>
      </c>
      <c r="M96" s="299">
        <f t="shared" si="135"/>
        <v>52100000</v>
      </c>
      <c r="N96" s="299">
        <f t="shared" si="135"/>
        <v>52100000</v>
      </c>
      <c r="O96" s="299">
        <f t="shared" si="135"/>
        <v>52100000</v>
      </c>
      <c r="P96" s="299">
        <f t="shared" si="135"/>
        <v>52100000</v>
      </c>
      <c r="Q96" s="299">
        <f t="shared" si="135"/>
        <v>52100000</v>
      </c>
      <c r="R96" s="299">
        <f t="shared" si="135"/>
        <v>52100000</v>
      </c>
      <c r="S96" s="299">
        <f t="shared" si="135"/>
        <v>52100000</v>
      </c>
      <c r="T96" s="299">
        <f t="shared" si="135"/>
        <v>52100000</v>
      </c>
      <c r="U96" s="299">
        <f t="shared" si="135"/>
        <v>52100000</v>
      </c>
      <c r="V96" s="299">
        <f t="shared" si="135"/>
        <v>52100000</v>
      </c>
      <c r="W96" s="299">
        <f t="shared" si="135"/>
        <v>52100000</v>
      </c>
      <c r="X96" s="299">
        <f t="shared" si="135"/>
        <v>52100000</v>
      </c>
      <c r="Y96" s="299">
        <f t="shared" si="135"/>
        <v>52100000</v>
      </c>
      <c r="Z96" s="299">
        <f t="shared" si="135"/>
        <v>52100000</v>
      </c>
      <c r="AA96" s="299">
        <f t="shared" si="135"/>
        <v>52100000</v>
      </c>
      <c r="AB96" s="299">
        <f t="shared" si="135"/>
        <v>52100000</v>
      </c>
      <c r="AC96" s="299">
        <f t="shared" si="135"/>
        <v>52100000</v>
      </c>
      <c r="AD96" s="299">
        <f t="shared" si="135"/>
        <v>52100000</v>
      </c>
      <c r="AE96" s="299">
        <f t="shared" si="135"/>
        <v>52100000</v>
      </c>
      <c r="AF96" s="299">
        <f t="shared" si="135"/>
        <v>52100000</v>
      </c>
      <c r="AG96" s="299">
        <f t="shared" si="135"/>
        <v>52100000</v>
      </c>
      <c r="AH96" s="299">
        <f t="shared" si="135"/>
        <v>52100000</v>
      </c>
      <c r="AI96" s="299">
        <f t="shared" si="135"/>
        <v>52100000</v>
      </c>
      <c r="AJ96" s="299">
        <f t="shared" si="135"/>
        <v>52100000</v>
      </c>
      <c r="AK96" s="299">
        <f t="shared" si="135"/>
        <v>52100000</v>
      </c>
      <c r="AL96" s="299">
        <f t="shared" si="135"/>
        <v>52100000</v>
      </c>
      <c r="AM96" s="299">
        <f t="shared" si="135"/>
        <v>52100000</v>
      </c>
      <c r="AN96" s="299">
        <f t="shared" si="135"/>
        <v>52100000</v>
      </c>
      <c r="AO96" s="299">
        <f t="shared" si="135"/>
        <v>52100000</v>
      </c>
      <c r="AP96" s="299">
        <f t="shared" si="135"/>
        <v>52100000</v>
      </c>
      <c r="AQ96" s="299">
        <f t="shared" si="135"/>
        <v>52100000</v>
      </c>
      <c r="AR96" s="299">
        <f t="shared" si="135"/>
        <v>52100000</v>
      </c>
      <c r="AS96" s="299">
        <f t="shared" si="135"/>
        <v>52100000</v>
      </c>
      <c r="AT96" s="299">
        <f t="shared" si="135"/>
        <v>52100000</v>
      </c>
      <c r="AU96" s="299">
        <f t="shared" si="135"/>
        <v>52100000</v>
      </c>
      <c r="AV96" s="299">
        <f t="shared" si="135"/>
        <v>52100000</v>
      </c>
      <c r="AW96" s="299">
        <f t="shared" si="135"/>
        <v>52100000</v>
      </c>
      <c r="AX96" s="299">
        <f t="shared" si="135"/>
        <v>52100000</v>
      </c>
      <c r="AY96" s="299">
        <f t="shared" si="135"/>
        <v>52100000</v>
      </c>
      <c r="AZ96" s="299">
        <f t="shared" si="135"/>
        <v>52100000</v>
      </c>
      <c r="BA96" s="299">
        <f t="shared" si="135"/>
        <v>0</v>
      </c>
      <c r="BB96" s="299">
        <f t="shared" si="135"/>
        <v>0</v>
      </c>
      <c r="BC96" s="299">
        <f t="shared" si="135"/>
        <v>0</v>
      </c>
      <c r="BD96" s="299">
        <f t="shared" si="135"/>
        <v>0</v>
      </c>
      <c r="BE96" s="299">
        <f t="shared" si="135"/>
        <v>0</v>
      </c>
      <c r="BF96" s="299">
        <f t="shared" si="135"/>
        <v>0</v>
      </c>
      <c r="BG96" s="299">
        <f t="shared" si="135"/>
        <v>0</v>
      </c>
      <c r="BH96" s="299">
        <f t="shared" si="135"/>
        <v>0</v>
      </c>
      <c r="BI96" s="299">
        <f t="shared" si="135"/>
        <v>0</v>
      </c>
      <c r="BJ96" s="299">
        <f t="shared" si="135"/>
        <v>0</v>
      </c>
      <c r="BK96" s="299">
        <f t="shared" si="135"/>
        <v>0</v>
      </c>
      <c r="BL96" s="299">
        <f t="shared" si="135"/>
        <v>0</v>
      </c>
      <c r="BM96" s="299">
        <f t="shared" si="135"/>
        <v>0</v>
      </c>
      <c r="BN96" s="299">
        <f t="shared" si="135"/>
        <v>0</v>
      </c>
      <c r="BO96" s="299">
        <f t="shared" si="135"/>
        <v>0</v>
      </c>
      <c r="BP96" s="299">
        <f t="shared" si="135"/>
        <v>0</v>
      </c>
      <c r="BQ96" s="299">
        <f t="shared" ref="BQ96:EB96" si="136">BQ92-BQ94</f>
        <v>0</v>
      </c>
      <c r="BR96" s="299">
        <f t="shared" si="136"/>
        <v>0</v>
      </c>
      <c r="BS96" s="299">
        <f t="shared" si="136"/>
        <v>0</v>
      </c>
      <c r="BT96" s="299">
        <f t="shared" si="136"/>
        <v>0</v>
      </c>
      <c r="BU96" s="299">
        <f t="shared" si="136"/>
        <v>0</v>
      </c>
      <c r="BV96" s="299">
        <f t="shared" si="136"/>
        <v>0</v>
      </c>
      <c r="BW96" s="299">
        <f t="shared" si="136"/>
        <v>0</v>
      </c>
      <c r="BX96" s="299">
        <f t="shared" si="136"/>
        <v>0</v>
      </c>
      <c r="BY96" s="299">
        <f t="shared" si="136"/>
        <v>0</v>
      </c>
      <c r="BZ96" s="299">
        <f t="shared" si="136"/>
        <v>0</v>
      </c>
      <c r="CA96" s="299">
        <f t="shared" si="136"/>
        <v>0</v>
      </c>
      <c r="CB96" s="299">
        <f t="shared" si="136"/>
        <v>0</v>
      </c>
      <c r="CC96" s="299">
        <f t="shared" si="136"/>
        <v>0</v>
      </c>
      <c r="CD96" s="299">
        <f t="shared" si="136"/>
        <v>0</v>
      </c>
      <c r="CE96" s="299">
        <f t="shared" si="136"/>
        <v>0</v>
      </c>
      <c r="CF96" s="299">
        <f t="shared" si="136"/>
        <v>0</v>
      </c>
      <c r="CG96" s="299">
        <f t="shared" si="136"/>
        <v>0</v>
      </c>
      <c r="CH96" s="299">
        <f t="shared" si="136"/>
        <v>0</v>
      </c>
      <c r="CI96" s="299">
        <f t="shared" si="136"/>
        <v>0</v>
      </c>
      <c r="CJ96" s="299">
        <f t="shared" si="136"/>
        <v>0</v>
      </c>
      <c r="CK96" s="299">
        <f t="shared" si="136"/>
        <v>0</v>
      </c>
      <c r="CL96" s="299">
        <f t="shared" si="136"/>
        <v>0</v>
      </c>
      <c r="CM96" s="299">
        <f t="shared" si="136"/>
        <v>0</v>
      </c>
      <c r="CN96" s="299">
        <f t="shared" si="136"/>
        <v>0</v>
      </c>
      <c r="CO96" s="299">
        <f t="shared" si="136"/>
        <v>0</v>
      </c>
      <c r="CP96" s="299">
        <f t="shared" si="136"/>
        <v>0</v>
      </c>
      <c r="CQ96" s="299">
        <f t="shared" si="136"/>
        <v>0</v>
      </c>
      <c r="CR96" s="299">
        <f t="shared" si="136"/>
        <v>0</v>
      </c>
      <c r="CS96" s="299">
        <f t="shared" si="136"/>
        <v>0</v>
      </c>
      <c r="CT96" s="299">
        <f t="shared" si="136"/>
        <v>0</v>
      </c>
      <c r="CU96" s="299">
        <f t="shared" si="136"/>
        <v>0</v>
      </c>
      <c r="CV96" s="299">
        <f t="shared" si="136"/>
        <v>0</v>
      </c>
      <c r="CW96" s="299">
        <f t="shared" si="136"/>
        <v>0</v>
      </c>
      <c r="CX96" s="299">
        <f t="shared" si="136"/>
        <v>0</v>
      </c>
      <c r="CY96" s="299">
        <f t="shared" si="136"/>
        <v>0</v>
      </c>
      <c r="CZ96" s="299">
        <f t="shared" si="136"/>
        <v>0</v>
      </c>
      <c r="DA96" s="299">
        <f t="shared" si="136"/>
        <v>0</v>
      </c>
      <c r="DB96" s="299">
        <f t="shared" si="136"/>
        <v>0</v>
      </c>
      <c r="DC96" s="299">
        <f t="shared" si="136"/>
        <v>0</v>
      </c>
      <c r="DD96" s="299">
        <f t="shared" si="136"/>
        <v>0</v>
      </c>
      <c r="DE96" s="299">
        <f t="shared" si="136"/>
        <v>0</v>
      </c>
      <c r="DF96" s="299">
        <f t="shared" si="136"/>
        <v>0</v>
      </c>
      <c r="DG96" s="299">
        <f t="shared" si="136"/>
        <v>0</v>
      </c>
      <c r="DH96" s="299">
        <f t="shared" si="136"/>
        <v>0</v>
      </c>
      <c r="DI96" s="299">
        <f t="shared" si="136"/>
        <v>0</v>
      </c>
      <c r="DJ96" s="299">
        <f t="shared" si="136"/>
        <v>0</v>
      </c>
      <c r="DK96" s="299">
        <f t="shared" si="136"/>
        <v>0</v>
      </c>
      <c r="DL96" s="299">
        <f t="shared" si="136"/>
        <v>0</v>
      </c>
      <c r="DM96" s="299">
        <f t="shared" si="136"/>
        <v>0</v>
      </c>
      <c r="DN96" s="299">
        <f t="shared" si="136"/>
        <v>0</v>
      </c>
      <c r="DO96" s="299">
        <f t="shared" si="136"/>
        <v>0</v>
      </c>
      <c r="DP96" s="299">
        <f t="shared" si="136"/>
        <v>0</v>
      </c>
      <c r="DQ96" s="299">
        <f t="shared" si="136"/>
        <v>0</v>
      </c>
      <c r="DR96" s="299">
        <f t="shared" si="136"/>
        <v>0</v>
      </c>
      <c r="DS96" s="299">
        <f t="shared" si="136"/>
        <v>0</v>
      </c>
      <c r="DT96" s="299">
        <f t="shared" si="136"/>
        <v>0</v>
      </c>
      <c r="DU96" s="299">
        <f t="shared" si="136"/>
        <v>0</v>
      </c>
      <c r="DV96" s="299">
        <f t="shared" si="136"/>
        <v>0</v>
      </c>
      <c r="DW96" s="299">
        <f t="shared" si="136"/>
        <v>0</v>
      </c>
      <c r="DX96" s="299">
        <f t="shared" si="136"/>
        <v>0</v>
      </c>
      <c r="DY96" s="299">
        <f t="shared" si="136"/>
        <v>0</v>
      </c>
      <c r="DZ96" s="299">
        <f t="shared" si="136"/>
        <v>0</v>
      </c>
      <c r="EA96" s="299">
        <f t="shared" si="136"/>
        <v>0</v>
      </c>
      <c r="EB96" s="299">
        <f t="shared" si="136"/>
        <v>0</v>
      </c>
      <c r="EC96" s="299">
        <f t="shared" ref="EC96:FS96" si="137">EC92-EC94</f>
        <v>0</v>
      </c>
      <c r="ED96" s="299">
        <f t="shared" si="137"/>
        <v>0</v>
      </c>
      <c r="EE96" s="299">
        <f t="shared" si="137"/>
        <v>0</v>
      </c>
      <c r="EF96" s="299">
        <f t="shared" si="137"/>
        <v>0</v>
      </c>
      <c r="EG96" s="299">
        <f t="shared" si="137"/>
        <v>0</v>
      </c>
      <c r="EH96" s="299">
        <f t="shared" si="137"/>
        <v>0</v>
      </c>
      <c r="EI96" s="299">
        <f t="shared" si="137"/>
        <v>0</v>
      </c>
      <c r="EJ96" s="299">
        <f t="shared" si="137"/>
        <v>0</v>
      </c>
      <c r="EK96" s="299">
        <f t="shared" si="137"/>
        <v>0</v>
      </c>
      <c r="EL96" s="299">
        <f t="shared" si="137"/>
        <v>0</v>
      </c>
      <c r="EM96" s="299">
        <f t="shared" si="137"/>
        <v>0</v>
      </c>
      <c r="EN96" s="299">
        <f t="shared" si="137"/>
        <v>0</v>
      </c>
      <c r="EO96" s="299">
        <f t="shared" si="137"/>
        <v>0</v>
      </c>
      <c r="EP96" s="299">
        <f t="shared" si="137"/>
        <v>0</v>
      </c>
      <c r="EQ96" s="299">
        <f t="shared" si="137"/>
        <v>0</v>
      </c>
      <c r="ER96" s="299">
        <f t="shared" si="137"/>
        <v>0</v>
      </c>
      <c r="ES96" s="299">
        <f t="shared" si="137"/>
        <v>0</v>
      </c>
      <c r="ET96" s="299">
        <f t="shared" si="137"/>
        <v>0</v>
      </c>
      <c r="EU96" s="299">
        <f t="shared" si="137"/>
        <v>0</v>
      </c>
      <c r="EV96" s="299">
        <f t="shared" si="137"/>
        <v>0</v>
      </c>
      <c r="EW96" s="299">
        <f t="shared" si="137"/>
        <v>0</v>
      </c>
      <c r="EX96" s="299">
        <f t="shared" si="137"/>
        <v>0</v>
      </c>
      <c r="EY96" s="299">
        <f t="shared" si="137"/>
        <v>0</v>
      </c>
      <c r="EZ96" s="299">
        <f t="shared" si="137"/>
        <v>0</v>
      </c>
      <c r="FA96" s="299">
        <f t="shared" si="137"/>
        <v>0</v>
      </c>
      <c r="FB96" s="299">
        <f t="shared" si="137"/>
        <v>0</v>
      </c>
      <c r="FC96" s="299">
        <f t="shared" si="137"/>
        <v>0</v>
      </c>
      <c r="FD96" s="299">
        <f t="shared" si="137"/>
        <v>0</v>
      </c>
      <c r="FE96" s="299">
        <f t="shared" si="137"/>
        <v>0</v>
      </c>
      <c r="FF96" s="299">
        <f t="shared" si="137"/>
        <v>0</v>
      </c>
      <c r="FG96" s="299">
        <f t="shared" si="137"/>
        <v>0</v>
      </c>
      <c r="FH96" s="299">
        <f t="shared" si="137"/>
        <v>0</v>
      </c>
      <c r="FI96" s="299">
        <f t="shared" si="137"/>
        <v>0</v>
      </c>
      <c r="FJ96" s="299">
        <f t="shared" si="137"/>
        <v>0</v>
      </c>
      <c r="FK96" s="299">
        <f t="shared" si="137"/>
        <v>0</v>
      </c>
      <c r="FL96" s="299">
        <f t="shared" si="137"/>
        <v>0</v>
      </c>
      <c r="FM96" s="299">
        <f t="shared" si="137"/>
        <v>0</v>
      </c>
      <c r="FN96" s="299">
        <f t="shared" si="137"/>
        <v>0</v>
      </c>
      <c r="FO96" s="299">
        <f t="shared" si="137"/>
        <v>0</v>
      </c>
      <c r="FP96" s="299">
        <f t="shared" si="137"/>
        <v>0</v>
      </c>
      <c r="FQ96" s="299">
        <f t="shared" si="137"/>
        <v>0</v>
      </c>
      <c r="FR96" s="299">
        <f t="shared" si="137"/>
        <v>0</v>
      </c>
      <c r="FS96" s="299">
        <f t="shared" si="137"/>
        <v>0</v>
      </c>
    </row>
    <row r="97" spans="2:175" ht="12.75" customHeight="1" thickBot="1">
      <c r="B97" s="646" t="s">
        <v>52</v>
      </c>
      <c r="C97" s="647">
        <f t="shared" si="131"/>
        <v>52100000</v>
      </c>
      <c r="D97" s="644"/>
      <c r="E97" s="647">
        <f>IF(E17=MIN(IF(Detail!$E$21="NO",Detail!$H$9,Detail!$H$8)),E92-E94,0)</f>
        <v>0</v>
      </c>
      <c r="F97" s="647">
        <f>IF(F17=MIN(IF(Detail!$E$21="NO",Detail!$H$9,Detail!$H$8)),F92-F94,0)</f>
        <v>0</v>
      </c>
      <c r="G97" s="647">
        <f>IF(G17=MIN(IF(Detail!$E$21="NO",Detail!$H$9,Detail!$H$8)),G92-G94,0)</f>
        <v>0</v>
      </c>
      <c r="H97" s="647">
        <f>IF(H17=MIN(IF(Detail!$E$21="NO",Detail!$H$9,Detail!$H$8)),H92-H94,0)</f>
        <v>0</v>
      </c>
      <c r="I97" s="647">
        <f>IF(I17=MIN(IF(Detail!$E$21="NO",Detail!$H$9,Detail!$H$8)),I92-I94,0)</f>
        <v>0</v>
      </c>
      <c r="J97" s="647">
        <f>IF(J17=MIN(IF(Detail!$E$21="NO",Detail!$H$9,Detail!$H$8)),J92-J94,0)</f>
        <v>0</v>
      </c>
      <c r="K97" s="647">
        <f>IF(K17=MIN(IF(Detail!$E$21="NO",Detail!$H$9,Detail!$H$8)),K92-K94,0)</f>
        <v>0</v>
      </c>
      <c r="L97" s="647">
        <f>IF(L17=MIN(IF(Detail!$E$21="NO",Detail!$H$9,Detail!$H$8)),L92-L94,0)</f>
        <v>0</v>
      </c>
      <c r="M97" s="647">
        <f>IF(M17=MIN(IF(Detail!$E$21="NO",Detail!$H$9,Detail!$H$8)),M92-M94,0)</f>
        <v>0</v>
      </c>
      <c r="N97" s="647">
        <f>IF(N17=MIN(IF(Detail!$E$21="NO",Detail!$H$9,Detail!$H$8)),N92-N94,0)</f>
        <v>0</v>
      </c>
      <c r="O97" s="647">
        <f>IF(O17=MIN(IF(Detail!$E$21="NO",Detail!$H$9,Detail!$H$8)),O92-O94,0)</f>
        <v>0</v>
      </c>
      <c r="P97" s="647">
        <f>IF(P17=MIN(IF(Detail!$E$21="NO",Detail!$H$9,Detail!$H$8)),P92-P94,0)</f>
        <v>0</v>
      </c>
      <c r="Q97" s="647">
        <f>IF(Q17=MIN(IF(Detail!$E$21="NO",Detail!$H$9,Detail!$H$8)),Q92-Q94,0)</f>
        <v>0</v>
      </c>
      <c r="R97" s="647">
        <f>IF(R17=MIN(IF(Detail!$E$21="NO",Detail!$H$9,Detail!$H$8)),R92-R94,0)</f>
        <v>0</v>
      </c>
      <c r="S97" s="647">
        <f>IF(S17=MIN(IF(Detail!$E$21="NO",Detail!$H$9,Detail!$H$8)),S92-S94,0)</f>
        <v>0</v>
      </c>
      <c r="T97" s="647">
        <f>IF(T17=MIN(IF(Detail!$E$21="NO",Detail!$H$9,Detail!$H$8)),T92-T94,0)</f>
        <v>0</v>
      </c>
      <c r="U97" s="647">
        <f>IF(U17=MIN(IF(Detail!$E$21="NO",Detail!$H$9,Detail!$H$8)),U92-U94,0)</f>
        <v>0</v>
      </c>
      <c r="V97" s="647">
        <f>IF(V17=MIN(IF(Detail!$E$21="NO",Detail!$H$9,Detail!$H$8)),V92-V94,0)</f>
        <v>0</v>
      </c>
      <c r="W97" s="647">
        <f>IF(W17=MIN(IF(Detail!$E$21="NO",Detail!$H$9,Detail!$H$8)),W92-W94,0)</f>
        <v>0</v>
      </c>
      <c r="X97" s="647">
        <f>IF(X17=MIN(IF(Detail!$E$21="NO",Detail!$H$9,Detail!$H$8)),X92-X94,0)</f>
        <v>0</v>
      </c>
      <c r="Y97" s="647">
        <f>IF(Y17=MIN(IF(Detail!$E$21="NO",Detail!$H$9,Detail!$H$8)),Y92-Y94,0)</f>
        <v>0</v>
      </c>
      <c r="Z97" s="647">
        <f>IF(Z17=MIN(IF(Detail!$E$21="NO",Detail!$H$9,Detail!$H$8)),Z92-Z94,0)</f>
        <v>0</v>
      </c>
      <c r="AA97" s="647">
        <f>IF(AA17=MIN(IF(Detail!$E$21="NO",Detail!$H$9,Detail!$H$8)),AA92-AA94,0)</f>
        <v>0</v>
      </c>
      <c r="AB97" s="647">
        <f>IF(AB17=MIN(IF(Detail!$E$21="NO",Detail!$H$9,Detail!$H$8)),AB92-AB94,0)</f>
        <v>0</v>
      </c>
      <c r="AC97" s="647">
        <f>IF(AC17=MIN(IF(Detail!$E$21="NO",Detail!$H$9,Detail!$H$8)),AC92-AC94,0)</f>
        <v>0</v>
      </c>
      <c r="AD97" s="647">
        <f>IF(AD17=MIN(IF(Detail!$E$21="NO",Detail!$H$9,Detail!$H$8)),AD92-AD94,0)</f>
        <v>0</v>
      </c>
      <c r="AE97" s="647">
        <f>IF(AE17=MIN(IF(Detail!$E$21="NO",Detail!$H$9,Detail!$H$8)),AE92-AE94,0)</f>
        <v>0</v>
      </c>
      <c r="AF97" s="647">
        <f>IF(AF17=MIN(IF(Detail!$E$21="NO",Detail!$H$9,Detail!$H$8)),AF92-AF94,0)</f>
        <v>0</v>
      </c>
      <c r="AG97" s="647">
        <f>IF(AG17=MIN(IF(Detail!$E$21="NO",Detail!$H$9,Detail!$H$8)),AG92-AG94,0)</f>
        <v>0</v>
      </c>
      <c r="AH97" s="647">
        <f>IF(AH17=MIN(IF(Detail!$E$21="NO",Detail!$H$9,Detail!$H$8)),AH92-AH94,0)</f>
        <v>0</v>
      </c>
      <c r="AI97" s="647">
        <f>IF(AI17=MIN(IF(Detail!$E$21="NO",Detail!$H$9,Detail!$H$8)),AI92-AI94,0)</f>
        <v>0</v>
      </c>
      <c r="AJ97" s="647">
        <f>IF(AJ17=MIN(IF(Detail!$E$21="NO",Detail!$H$9,Detail!$H$8)),AJ92-AJ94,0)</f>
        <v>0</v>
      </c>
      <c r="AK97" s="647">
        <f>IF(AK17=MIN(IF(Detail!$E$21="NO",Detail!$H$9,Detail!$H$8)),AK92-AK94,0)</f>
        <v>0</v>
      </c>
      <c r="AL97" s="647">
        <f>IF(AL17=MIN(IF(Detail!$E$21="NO",Detail!$H$9,Detail!$H$8)),AL92-AL94,0)</f>
        <v>0</v>
      </c>
      <c r="AM97" s="647">
        <f>IF(AM17=MIN(IF(Detail!$E$21="NO",Detail!$H$9,Detail!$H$8)),AM92-AM94,0)</f>
        <v>0</v>
      </c>
      <c r="AN97" s="647">
        <f>IF(AN17=MIN(IF(Detail!$E$21="NO",Detail!$H$9,Detail!$H$8)),AN92-AN94,0)</f>
        <v>0</v>
      </c>
      <c r="AO97" s="647">
        <f>IF(AO17=MIN(IF(Detail!$E$21="NO",Detail!$H$9,Detail!$H$8)),AO92-AO94,0)</f>
        <v>0</v>
      </c>
      <c r="AP97" s="647">
        <f>IF(AP17=MIN(IF(Detail!$E$21="NO",Detail!$H$9,Detail!$H$8)),AP92-AP94,0)</f>
        <v>0</v>
      </c>
      <c r="AQ97" s="647">
        <f>IF(AQ17=MIN(IF(Detail!$E$21="NO",Detail!$H$9,Detail!$H$8)),AQ92-AQ94,0)</f>
        <v>0</v>
      </c>
      <c r="AR97" s="647">
        <f>IF(AR17=MIN(IF(Detail!$E$21="NO",Detail!$H$9,Detail!$H$8)),AR92-AR94,0)</f>
        <v>0</v>
      </c>
      <c r="AS97" s="647">
        <f>IF(AS17=MIN(IF(Detail!$E$21="NO",Detail!$H$9,Detail!$H$8)),AS92-AS94,0)</f>
        <v>0</v>
      </c>
      <c r="AT97" s="647">
        <f>IF(AT17=MIN(IF(Detail!$E$21="NO",Detail!$H$9,Detail!$H$8)),AT92-AT94,0)</f>
        <v>0</v>
      </c>
      <c r="AU97" s="647">
        <f>IF(AU17=MIN(IF(Detail!$E$21="NO",Detail!$H$9,Detail!$H$8)),AU92-AU94,0)</f>
        <v>0</v>
      </c>
      <c r="AV97" s="647">
        <f>IF(AV17=MIN(IF(Detail!$E$21="NO",Detail!$H$9,Detail!$H$8)),AV92-AV94,0)</f>
        <v>0</v>
      </c>
      <c r="AW97" s="647">
        <f>IF(AW17=MIN(IF(Detail!$E$21="NO",Detail!$H$9,Detail!$H$8)),AW92-AW94,0)</f>
        <v>0</v>
      </c>
      <c r="AX97" s="647">
        <f>IF(AX17=MIN(IF(Detail!$E$21="NO",Detail!$H$9,Detail!$H$8)),AX92-AX94,0)</f>
        <v>0</v>
      </c>
      <c r="AY97" s="647">
        <f>IF(AY17=MIN(IF(Detail!$E$21="NO",Detail!$H$9,Detail!$H$8)),AY92-AY94,0)</f>
        <v>0</v>
      </c>
      <c r="AZ97" s="647">
        <f>IF(AZ17=MIN(IF(Detail!$E$21="NO",Detail!$H$9,Detail!$H$8)),AZ92-AZ94,0)</f>
        <v>52100000</v>
      </c>
      <c r="BA97" s="647">
        <f>IF(BA17=MIN(IF(Detail!$E$21="NO",Detail!$H$9,Detail!$H$8)),BA92-BA94,0)</f>
        <v>0</v>
      </c>
      <c r="BB97" s="647">
        <f>IF(BB17=MIN(IF(Detail!$E$21="NO",Detail!$H$9,Detail!$H$8)),BB92-BB94,0)</f>
        <v>0</v>
      </c>
      <c r="BC97" s="647">
        <f>IF(BC17=MIN(IF(Detail!$E$21="NO",Detail!$H$9,Detail!$H$8)),BC92-BC94,0)</f>
        <v>0</v>
      </c>
      <c r="BD97" s="647">
        <f>IF(BD17=MIN(IF(Detail!$E$21="NO",Detail!$H$9,Detail!$H$8)),BD92-BD94,0)</f>
        <v>0</v>
      </c>
      <c r="BE97" s="647">
        <f>IF(BE17=MIN(IF(Detail!$E$21="NO",Detail!$H$9,Detail!$H$8)),BE92-BE94,0)</f>
        <v>0</v>
      </c>
      <c r="BF97" s="647">
        <f>IF(BF17=MIN(IF(Detail!$E$21="NO",Detail!$H$9,Detail!$H$8)),BF92-BF94,0)</f>
        <v>0</v>
      </c>
      <c r="BG97" s="647">
        <f>IF(BG17=MIN(IF(Detail!$E$21="NO",Detail!$H$9,Detail!$H$8)),BG92-BG94,0)</f>
        <v>0</v>
      </c>
      <c r="BH97" s="647">
        <f>IF(BH17=MIN(IF(Detail!$E$21="NO",Detail!$H$9,Detail!$H$8)),BH92-BH94,0)</f>
        <v>0</v>
      </c>
      <c r="BI97" s="647">
        <f>IF(BI17=MIN(IF(Detail!$E$21="NO",Detail!$H$9,Detail!$H$8)),BI92-BI94,0)</f>
        <v>0</v>
      </c>
      <c r="BJ97" s="647">
        <f>IF(BJ17=MIN(IF(Detail!$E$21="NO",Detail!$H$9,Detail!$H$8)),BJ92-BJ94,0)</f>
        <v>0</v>
      </c>
      <c r="BK97" s="647">
        <f>IF(BK17=MIN(IF(Detail!$E$21="NO",Detail!$H$9,Detail!$H$8)),BK92-BK94,0)</f>
        <v>0</v>
      </c>
      <c r="BL97" s="647">
        <f>IF(BL17=MIN(IF(Detail!$E$21="NO",Detail!$H$9,Detail!$H$8)),BL92-BL94,0)</f>
        <v>0</v>
      </c>
      <c r="BM97" s="647">
        <f>IF(BM17=MIN(IF(Detail!$E$21="NO",Detail!$H$9,Detail!$H$8)),BM92-BM94,0)</f>
        <v>0</v>
      </c>
      <c r="BN97" s="647">
        <f>IF(BN17=MIN(IF(Detail!$E$21="NO",Detail!$H$9,Detail!$H$8)),BN92-BN94,0)</f>
        <v>0</v>
      </c>
      <c r="BO97" s="647">
        <f>IF(BO17=MIN(IF(Detail!$E$21="NO",Detail!$H$9,Detail!$H$8)),BO92-BO94,0)</f>
        <v>0</v>
      </c>
      <c r="BP97" s="647">
        <f>IF(BP17=MIN(IF(Detail!$E$21="NO",Detail!$H$9,Detail!$H$8)),BP92-BP94,0)</f>
        <v>0</v>
      </c>
      <c r="BQ97" s="647">
        <f>IF(BQ17=MIN(IF(Detail!$E$21="NO",Detail!$H$9,Detail!$H$8)),BQ92-BQ94,0)</f>
        <v>0</v>
      </c>
      <c r="BR97" s="647">
        <f>IF(BR17=MIN(IF(Detail!$E$21="NO",Detail!$H$9,Detail!$H$8)),BR92-BR94,0)</f>
        <v>0</v>
      </c>
      <c r="BS97" s="647">
        <f>IF(BS17=MIN(IF(Detail!$E$21="NO",Detail!$H$9,Detail!$H$8)),BS92-BS94,0)</f>
        <v>0</v>
      </c>
      <c r="BT97" s="647">
        <f>IF(BT17=MIN(IF(Detail!$E$21="NO",Detail!$H$9,Detail!$H$8)),BT92-BT94,0)</f>
        <v>0</v>
      </c>
      <c r="BU97" s="647">
        <f>IF(BU17=MIN(IF(Detail!$E$21="NO",Detail!$H$9,Detail!$H$8)),BU92-BU94,0)</f>
        <v>0</v>
      </c>
      <c r="BV97" s="647">
        <f>IF(BV17=MIN(IF(Detail!$E$21="NO",Detail!$H$9,Detail!$H$8)),BV92-BV94,0)</f>
        <v>0</v>
      </c>
      <c r="BW97" s="647">
        <f>IF(BW17=MIN(IF(Detail!$E$21="NO",Detail!$H$9,Detail!$H$8)),BW92-BW94,0)</f>
        <v>0</v>
      </c>
      <c r="BX97" s="647">
        <f>IF(BX17=MIN(IF(Detail!$E$21="NO",Detail!$H$9,Detail!$H$8)),BX92-BX94,0)</f>
        <v>0</v>
      </c>
      <c r="BY97" s="647">
        <f>IF(BY17=MIN(IF(Detail!$E$21="NO",Detail!$H$9,Detail!$H$8)),BY92-BY94,0)</f>
        <v>0</v>
      </c>
      <c r="BZ97" s="647">
        <f>IF(BZ17=MIN(IF(Detail!$E$21="NO",Detail!$H$9,Detail!$H$8)),BZ92-BZ94,0)</f>
        <v>0</v>
      </c>
      <c r="CA97" s="647">
        <f>IF(CA17=MIN(IF(Detail!$E$21="NO",Detail!$H$9,Detail!$H$8)),CA92-CA94,0)</f>
        <v>0</v>
      </c>
      <c r="CB97" s="647">
        <f>IF(CB17=MIN(IF(Detail!$E$21="NO",Detail!$H$9,Detail!$H$8)),CB92-CB94,0)</f>
        <v>0</v>
      </c>
      <c r="CC97" s="647">
        <f>IF(CC17=MIN(IF(Detail!$E$21="NO",Detail!$H$9,Detail!$H$8)),CC92-CC94,0)</f>
        <v>0</v>
      </c>
      <c r="CD97" s="647">
        <f>IF(CD17=MIN(IF(Detail!$E$21="NO",Detail!$H$9,Detail!$H$8)),CD92-CD94,0)</f>
        <v>0</v>
      </c>
      <c r="CE97" s="647">
        <f>IF(CE17=MIN(IF(Detail!$E$21="NO",Detail!$H$9,Detail!$H$8)),CE92-CE94,0)</f>
        <v>0</v>
      </c>
      <c r="CF97" s="647">
        <f>IF(CF17=MIN(IF(Detail!$E$21="NO",Detail!$H$9,Detail!$H$8)),CF92-CF94,0)</f>
        <v>0</v>
      </c>
      <c r="CG97" s="647">
        <f>IF(CG17=MIN(IF(Detail!$E$21="NO",Detail!$H$9,Detail!$H$8)),CG92-CG94,0)</f>
        <v>0</v>
      </c>
      <c r="CH97" s="647">
        <f>IF(CH17=MIN(IF(Detail!$E$21="NO",Detail!$H$9,Detail!$H$8)),CH92-CH94,0)</f>
        <v>0</v>
      </c>
      <c r="CI97" s="647">
        <f>IF(CI17=MIN(IF(Detail!$E$21="NO",Detail!$H$9,Detail!$H$8)),CI92-CI94,0)</f>
        <v>0</v>
      </c>
      <c r="CJ97" s="647">
        <f>IF(CJ17=MIN(IF(Detail!$E$21="NO",Detail!$H$9,Detail!$H$8)),CJ92-CJ94,0)</f>
        <v>0</v>
      </c>
      <c r="CK97" s="647">
        <f>IF(CK17=MIN(IF(Detail!$E$21="NO",Detail!$H$9,Detail!$H$8)),CK92-CK94,0)</f>
        <v>0</v>
      </c>
      <c r="CL97" s="647">
        <f>IF(CL17=MIN(IF(Detail!$E$21="NO",Detail!$H$9,Detail!$H$8)),CL92-CL94,0)</f>
        <v>0</v>
      </c>
      <c r="CM97" s="647">
        <f>IF(CM17=MIN(IF(Detail!$E$21="NO",Detail!$H$9,Detail!$H$8)),CM92-CM94,0)</f>
        <v>0</v>
      </c>
      <c r="CN97" s="647">
        <f>IF(CN17=MIN(IF(Detail!$E$21="NO",Detail!$H$9,Detail!$H$8)),CN92-CN94,0)</f>
        <v>0</v>
      </c>
      <c r="CO97" s="647">
        <f>IF(CO17=MIN(IF(Detail!$E$21="NO",Detail!$H$9,Detail!$H$8)),CO92-CO94,0)</f>
        <v>0</v>
      </c>
      <c r="CP97" s="647">
        <f>IF(CP17=MIN(IF(Detail!$E$21="NO",Detail!$H$9,Detail!$H$8)),CP92-CP94,0)</f>
        <v>0</v>
      </c>
      <c r="CQ97" s="647">
        <f>IF(CQ17=MIN(IF(Detail!$E$21="NO",Detail!$H$9,Detail!$H$8)),CQ92-CQ94,0)</f>
        <v>0</v>
      </c>
      <c r="CR97" s="647">
        <f>IF(CR17=MIN(IF(Detail!$E$21="NO",Detail!$H$9,Detail!$H$8)),CR92-CR94,0)</f>
        <v>0</v>
      </c>
      <c r="CS97" s="647">
        <f>IF(CS17=MIN(IF(Detail!$E$21="NO",Detail!$H$9,Detail!$H$8)),CS92-CS94,0)</f>
        <v>0</v>
      </c>
      <c r="CT97" s="647">
        <f>IF(CT17=MIN(IF(Detail!$E$21="NO",Detail!$H$9,Detail!$H$8)),CT92-CT94,0)</f>
        <v>0</v>
      </c>
      <c r="CU97" s="647">
        <f>IF(CU17=MIN(IF(Detail!$E$21="NO",Detail!$H$9,Detail!$H$8)),CU92-CU94,0)</f>
        <v>0</v>
      </c>
      <c r="CV97" s="647">
        <f>IF(CV17=MIN(IF(Detail!$E$21="NO",Detail!$H$9,Detail!$H$8)),CV92-CV94,0)</f>
        <v>0</v>
      </c>
      <c r="CW97" s="647">
        <f>IF(CW17=MIN(IF(Detail!$E$21="NO",Detail!$H$9,Detail!$H$8)),CW92-CW94,0)</f>
        <v>0</v>
      </c>
      <c r="CX97" s="647">
        <f>IF(CX17=MIN(IF(Detail!$E$21="NO",Detail!$H$9,Detail!$H$8)),CX92-CX94,0)</f>
        <v>0</v>
      </c>
      <c r="CY97" s="647">
        <f>IF(CY17=MIN(IF(Detail!$E$21="NO",Detail!$H$9,Detail!$H$8)),CY92-CY94,0)</f>
        <v>0</v>
      </c>
      <c r="CZ97" s="647">
        <f>IF(CZ17=MIN(IF(Detail!$E$21="NO",Detail!$H$9,Detail!$H$8)),CZ92-CZ94,0)</f>
        <v>0</v>
      </c>
      <c r="DA97" s="647">
        <f>IF(DA17=MIN(IF(Detail!$E$21="NO",Detail!$H$9,Detail!$H$8)),DA92-DA94,0)</f>
        <v>0</v>
      </c>
      <c r="DB97" s="647">
        <f>IF(DB17=MIN(IF(Detail!$E$21="NO",Detail!$H$9,Detail!$H$8)),DB92-DB94,0)</f>
        <v>0</v>
      </c>
      <c r="DC97" s="647">
        <f>IF(DC17=MIN(IF(Detail!$E$21="NO",Detail!$H$9,Detail!$H$8)),DC92-DC94,0)</f>
        <v>0</v>
      </c>
      <c r="DD97" s="647">
        <f>IF(DD17=MIN(IF(Detail!$E$21="NO",Detail!$H$9,Detail!$H$8)),DD92-DD94,0)</f>
        <v>0</v>
      </c>
      <c r="DE97" s="647">
        <f>IF(DE17=MIN(IF(Detail!$E$21="NO",Detail!$H$9,Detail!$H$8)),DE92-DE94,0)</f>
        <v>0</v>
      </c>
      <c r="DF97" s="647">
        <f>IF(DF17=MIN(IF(Detail!$E$21="NO",Detail!$H$9,Detail!$H$8)),DF92-DF94,0)</f>
        <v>0</v>
      </c>
      <c r="DG97" s="647">
        <f>IF(DG17=MIN(IF(Detail!$E$21="NO",Detail!$H$9,Detail!$H$8)),DG92-DG94,0)</f>
        <v>0</v>
      </c>
      <c r="DH97" s="647">
        <f>IF(DH17=MIN(IF(Detail!$E$21="NO",Detail!$H$9,Detail!$H$8)),DH92-DH94,0)</f>
        <v>0</v>
      </c>
      <c r="DI97" s="647">
        <f>IF(DI17=MIN(IF(Detail!$E$21="NO",Detail!$H$9,Detail!$H$8)),DI92-DI94,0)</f>
        <v>0</v>
      </c>
      <c r="DJ97" s="647">
        <f>IF(DJ17=MIN(IF(Detail!$E$21="NO",Detail!$H$9,Detail!$H$8)),DJ92-DJ94,0)</f>
        <v>0</v>
      </c>
      <c r="DK97" s="647">
        <f>IF(DK17=MIN(IF(Detail!$E$21="NO",Detail!$H$9,Detail!$H$8)),DK92-DK94,0)</f>
        <v>0</v>
      </c>
      <c r="DL97" s="647">
        <f>IF(DL17=MIN(IF(Detail!$E$21="NO",Detail!$H$9,Detail!$H$8)),DL92-DL94,0)</f>
        <v>0</v>
      </c>
      <c r="DM97" s="647">
        <f>IF(DM17=MIN(IF(Detail!$E$21="NO",Detail!$H$9,Detail!$H$8)),DM92-DM94,0)</f>
        <v>0</v>
      </c>
      <c r="DN97" s="647">
        <f>IF(DN17=MIN(IF(Detail!$E$21="NO",Detail!$H$9,Detail!$H$8)),DN92-DN94,0)</f>
        <v>0</v>
      </c>
      <c r="DO97" s="647">
        <f>IF(DO17=MIN(IF(Detail!$E$21="NO",Detail!$H$9,Detail!$H$8)),DO92-DO94,0)</f>
        <v>0</v>
      </c>
      <c r="DP97" s="647">
        <f>IF(DP17=MIN(IF(Detail!$E$21="NO",Detail!$H$9,Detail!$H$8)),DP92-DP94,0)</f>
        <v>0</v>
      </c>
      <c r="DQ97" s="647">
        <f>IF(DQ17=MIN(IF(Detail!$E$21="NO",Detail!$H$9,Detail!$H$8)),DQ92-DQ94,0)</f>
        <v>0</v>
      </c>
      <c r="DR97" s="647">
        <f>IF(DR17=MIN(IF(Detail!$E$21="NO",Detail!$H$9,Detail!$H$8)),DR92-DR94,0)</f>
        <v>0</v>
      </c>
      <c r="DS97" s="647">
        <f>IF(DS17=MIN(IF(Detail!$E$21="NO",Detail!$H$9,Detail!$H$8)),DS92-DS94,0)</f>
        <v>0</v>
      </c>
      <c r="DT97" s="647">
        <f>IF(DT17=MIN(IF(Detail!$E$21="NO",Detail!$H$9,Detail!$H$8)),DT92-DT94,0)</f>
        <v>0</v>
      </c>
      <c r="DU97" s="647">
        <f>IF(DU17=MIN(IF(Detail!$E$21="NO",Detail!$H$9,Detail!$H$8)),DU92-DU94,0)</f>
        <v>0</v>
      </c>
      <c r="DV97" s="647">
        <f>IF(DV17=MIN(IF(Detail!$E$21="NO",Detail!$H$9,Detail!$H$8)),DV92-DV94,0)</f>
        <v>0</v>
      </c>
      <c r="DW97" s="647">
        <f>IF(DW17=MIN(IF(Detail!$E$21="NO",Detail!$H$9,Detail!$H$8)),DW92-DW94,0)</f>
        <v>0</v>
      </c>
      <c r="DX97" s="647">
        <f>IF(DX17=MIN(IF(Detail!$E$21="NO",Detail!$H$9,Detail!$H$8)),DX92-DX94,0)</f>
        <v>0</v>
      </c>
      <c r="DY97" s="647">
        <f>IF(DY17=MIN(IF(Detail!$E$21="NO",Detail!$H$9,Detail!$H$8)),DY92-DY94,0)</f>
        <v>0</v>
      </c>
      <c r="DZ97" s="647">
        <f>IF(DZ17=MIN(IF(Detail!$E$21="NO",Detail!$H$9,Detail!$H$8)),DZ92-DZ94,0)</f>
        <v>0</v>
      </c>
      <c r="EA97" s="647">
        <f>IF(EA17=MIN(IF(Detail!$E$21="NO",Detail!$H$9,Detail!$H$8)),EA92-EA94,0)</f>
        <v>0</v>
      </c>
      <c r="EB97" s="647">
        <f>IF(EB17=MIN(IF(Detail!$E$21="NO",Detail!$H$9,Detail!$H$8)),EB92-EB94,0)</f>
        <v>0</v>
      </c>
      <c r="EC97" s="647">
        <f>IF(EC17=MIN(IF(Detail!$E$21="NO",Detail!$H$9,Detail!$H$8)),EC92-EC94,0)</f>
        <v>0</v>
      </c>
      <c r="ED97" s="647">
        <f>IF(ED17=MIN(IF(Detail!$E$21="NO",Detail!$H$9,Detail!$H$8)),ED92-ED94,0)</f>
        <v>0</v>
      </c>
      <c r="EE97" s="647">
        <f>IF(EE17=MIN(IF(Detail!$E$21="NO",Detail!$H$9,Detail!$H$8)),EE92-EE94,0)</f>
        <v>0</v>
      </c>
      <c r="EF97" s="647">
        <f>IF(EF17=MIN(IF(Detail!$E$21="NO",Detail!$H$9,Detail!$H$8)),EF92-EF94,0)</f>
        <v>0</v>
      </c>
      <c r="EG97" s="647">
        <f>IF(EG17=MIN(IF(Detail!$E$21="NO",Detail!$H$9,Detail!$H$8)),EG92-EG94,0)</f>
        <v>0</v>
      </c>
      <c r="EH97" s="647">
        <f>IF(EH17=MIN(IF(Detail!$E$21="NO",Detail!$H$9,Detail!$H$8)),EH92-EH94,0)</f>
        <v>0</v>
      </c>
      <c r="EI97" s="647">
        <f>IF(EI17=MIN(IF(Detail!$E$21="NO",Detail!$H$9,Detail!$H$8)),EI92-EI94,0)</f>
        <v>0</v>
      </c>
      <c r="EJ97" s="647">
        <f>IF(EJ17=MIN(IF(Detail!$E$21="NO",Detail!$H$9,Detail!$H$8)),EJ92-EJ94,0)</f>
        <v>0</v>
      </c>
      <c r="EK97" s="647">
        <f>IF(EK17=MIN(IF(Detail!$E$21="NO",Detail!$H$9,Detail!$H$8)),EK92-EK94,0)</f>
        <v>0</v>
      </c>
      <c r="EL97" s="647">
        <f>IF(EL17=MIN(IF(Detail!$E$21="NO",Detail!$H$9,Detail!$H$8)),EL92-EL94,0)</f>
        <v>0</v>
      </c>
      <c r="EM97" s="647">
        <f>IF(EM17=MIN(IF(Detail!$E$21="NO",Detail!$H$9,Detail!$H$8)),EM92-EM94,0)</f>
        <v>0</v>
      </c>
      <c r="EN97" s="647">
        <f>IF(EN17=MIN(IF(Detail!$E$21="NO",Detail!$H$9,Detail!$H$8)),EN92-EN94,0)</f>
        <v>0</v>
      </c>
      <c r="EO97" s="647">
        <f>IF(EO17=MIN(IF(Detail!$E$21="NO",Detail!$H$9,Detail!$H$8)),EO92-EO94,0)</f>
        <v>0</v>
      </c>
      <c r="EP97" s="647">
        <f>IF(EP17=MIN(IF(Detail!$E$21="NO",Detail!$H$9,Detail!$H$8)),EP92-EP94,0)</f>
        <v>0</v>
      </c>
      <c r="EQ97" s="647">
        <f>IF(EQ17=MIN(IF(Detail!$E$21="NO",Detail!$H$9,Detail!$H$8)),EQ92-EQ94,0)</f>
        <v>0</v>
      </c>
      <c r="ER97" s="647">
        <f>IF(ER17=MIN(IF(Detail!$E$21="NO",Detail!$H$9,Detail!$H$8)),ER92-ER94,0)</f>
        <v>0</v>
      </c>
      <c r="ES97" s="647">
        <f>IF(ES17=MIN(IF(Detail!$E$21="NO",Detail!$H$9,Detail!$H$8)),ES92-ES94,0)</f>
        <v>0</v>
      </c>
      <c r="ET97" s="647">
        <f>IF(ET17=MIN(IF(Detail!$E$21="NO",Detail!$H$9,Detail!$H$8)),ET92-ET94,0)</f>
        <v>0</v>
      </c>
      <c r="EU97" s="647">
        <f>IF(EU17=MIN(IF(Detail!$E$21="NO",Detail!$H$9,Detail!$H$8)),EU92-EU94,0)</f>
        <v>0</v>
      </c>
      <c r="EV97" s="647">
        <f>IF(EV17=MIN(IF(Detail!$E$21="NO",Detail!$H$9,Detail!$H$8)),EV92-EV94,0)</f>
        <v>0</v>
      </c>
      <c r="EW97" s="647">
        <f>IF(EW17=MIN(IF(Detail!$E$21="NO",Detail!$H$9,Detail!$H$8)),EW92-EW94,0)</f>
        <v>0</v>
      </c>
      <c r="EX97" s="647">
        <f>IF(EX17=MIN(IF(Detail!$E$21="NO",Detail!$H$9,Detail!$H$8)),EX92-EX94,0)</f>
        <v>0</v>
      </c>
      <c r="EY97" s="647">
        <f>IF(EY17=MIN(IF(Detail!$E$21="NO",Detail!$H$9,Detail!$H$8)),EY92-EY94,0)</f>
        <v>0</v>
      </c>
      <c r="EZ97" s="647">
        <f>IF(EZ17=MIN(IF(Detail!$E$21="NO",Detail!$H$9,Detail!$H$8)),EZ92-EZ94,0)</f>
        <v>0</v>
      </c>
      <c r="FA97" s="647">
        <f>IF(FA17=MIN(IF(Detail!$E$21="NO",Detail!$H$9,Detail!$H$8)),FA92-FA94,0)</f>
        <v>0</v>
      </c>
      <c r="FB97" s="647">
        <f>IF(FB17=MIN(IF(Detail!$E$21="NO",Detail!$H$9,Detail!$H$8)),FB92-FB94,0)</f>
        <v>0</v>
      </c>
      <c r="FC97" s="647">
        <f>IF(FC17=MIN(IF(Detail!$E$21="NO",Detail!$H$9,Detail!$H$8)),FC92-FC94,0)</f>
        <v>0</v>
      </c>
      <c r="FD97" s="647">
        <f>IF(FD17=MIN(IF(Detail!$E$21="NO",Detail!$H$9,Detail!$H$8)),FD92-FD94,0)</f>
        <v>0</v>
      </c>
      <c r="FE97" s="647">
        <f>IF(FE17=MIN(IF(Detail!$E$21="NO",Detail!$H$9,Detail!$H$8)),FE92-FE94,0)</f>
        <v>0</v>
      </c>
      <c r="FF97" s="647">
        <f>IF(FF17=MIN(IF(Detail!$E$21="NO",Detail!$H$9,Detail!$H$8)),FF92-FF94,0)</f>
        <v>0</v>
      </c>
      <c r="FG97" s="647">
        <f>IF(FG17=MIN(IF(Detail!$E$21="NO",Detail!$H$9,Detail!$H$8)),FG92-FG94,0)</f>
        <v>0</v>
      </c>
      <c r="FH97" s="647">
        <f>IF(FH17=MIN(IF(Detail!$E$21="NO",Detail!$H$9,Detail!$H$8)),FH92-FH94,0)</f>
        <v>0</v>
      </c>
      <c r="FI97" s="647">
        <f>IF(FI17=MIN(IF(Detail!$E$21="NO",Detail!$H$9,Detail!$H$8)),FI92-FI94,0)</f>
        <v>0</v>
      </c>
      <c r="FJ97" s="647">
        <f>IF(FJ17=MIN(IF(Detail!$E$21="NO",Detail!$H$9,Detail!$H$8)),FJ92-FJ94,0)</f>
        <v>0</v>
      </c>
      <c r="FK97" s="647">
        <f>IF(FK17=MIN(IF(Detail!$E$21="NO",Detail!$H$9,Detail!$H$8)),FK92-FK94,0)</f>
        <v>0</v>
      </c>
      <c r="FL97" s="647">
        <f>IF(FL17=MIN(IF(Detail!$E$21="NO",Detail!$H$9,Detail!$H$8)),FL92-FL94,0)</f>
        <v>0</v>
      </c>
      <c r="FM97" s="647">
        <f>IF(FM17=MIN(IF(Detail!$E$21="NO",Detail!$H$9,Detail!$H$8)),FM92-FM94,0)</f>
        <v>0</v>
      </c>
      <c r="FN97" s="647">
        <f>IF(FN17=MIN(IF(Detail!$E$21="NO",Detail!$H$9,Detail!$H$8)),FN92-FN94,0)</f>
        <v>0</v>
      </c>
      <c r="FO97" s="647">
        <f>IF(FO17=MIN(IF(Detail!$E$21="NO",Detail!$H$9,Detail!$H$8)),FO92-FO94,0)</f>
        <v>0</v>
      </c>
      <c r="FP97" s="647">
        <f>IF(FP17=MIN(IF(Detail!$E$21="NO",Detail!$H$9,Detail!$H$8)),FP92-FP94,0)</f>
        <v>0</v>
      </c>
      <c r="FQ97" s="647">
        <f>IF(FQ17=MIN(IF(Detail!$E$21="NO",Detail!$H$9,Detail!$H$8)),FQ92-FQ94,0)</f>
        <v>0</v>
      </c>
      <c r="FR97" s="647">
        <f>IF(FR17=MIN(IF(Detail!$E$21="NO",Detail!$H$9,Detail!$H$8)),FR92-FR94,0)</f>
        <v>0</v>
      </c>
      <c r="FS97" s="647">
        <f>IF(FS17=MIN(IF(Detail!$E$21="NO",Detail!$H$9,Detail!$H$8)),FS92-FS94,0)</f>
        <v>0</v>
      </c>
    </row>
    <row r="98" spans="2:175" ht="12.75" customHeight="1">
      <c r="D98" s="644"/>
    </row>
    <row r="99" spans="2:175" ht="12.75" customHeight="1">
      <c r="D99" s="644"/>
    </row>
    <row r="100" spans="2:175" ht="12.75" customHeight="1">
      <c r="B100" s="648" t="s">
        <v>335</v>
      </c>
      <c r="C100" s="299"/>
      <c r="D100" s="644"/>
      <c r="E100" s="299"/>
      <c r="F100" s="299"/>
      <c r="G100" s="299"/>
      <c r="H100" s="299"/>
      <c r="I100" s="299"/>
      <c r="J100" s="299"/>
      <c r="K100" s="299"/>
      <c r="L100" s="299"/>
      <c r="M100" s="299"/>
      <c r="N100" s="299"/>
      <c r="O100" s="299"/>
      <c r="P100" s="299"/>
      <c r="Q100" s="299"/>
      <c r="R100" s="299"/>
      <c r="S100" s="299"/>
      <c r="T100" s="299"/>
      <c r="U100" s="299"/>
      <c r="V100" s="299"/>
      <c r="W100" s="299"/>
      <c r="X100" s="299"/>
      <c r="Y100" s="299"/>
      <c r="Z100" s="299"/>
      <c r="AA100" s="299"/>
      <c r="AB100" s="299"/>
      <c r="AC100" s="299"/>
      <c r="AD100" s="299"/>
      <c r="AE100" s="299"/>
      <c r="AF100" s="299"/>
      <c r="AG100" s="299"/>
      <c r="AH100" s="299"/>
      <c r="AI100" s="299"/>
      <c r="AJ100" s="299"/>
      <c r="AK100" s="299"/>
      <c r="AL100" s="299"/>
      <c r="AM100" s="299"/>
      <c r="AN100" s="299"/>
      <c r="AO100" s="299"/>
      <c r="AP100" s="299"/>
      <c r="AQ100" s="299"/>
      <c r="AR100" s="299"/>
      <c r="AS100" s="299"/>
      <c r="AT100" s="299"/>
      <c r="AU100" s="299"/>
      <c r="AV100" s="299"/>
      <c r="AW100" s="299"/>
      <c r="AX100" s="299"/>
      <c r="AY100" s="299"/>
      <c r="AZ100" s="299"/>
      <c r="BA100" s="299"/>
      <c r="BB100" s="299"/>
      <c r="BC100" s="299"/>
      <c r="BD100" s="299"/>
      <c r="BE100" s="299"/>
      <c r="BF100" s="299"/>
      <c r="BG100" s="299"/>
      <c r="BH100" s="299"/>
      <c r="BI100" s="299"/>
      <c r="BJ100" s="299"/>
      <c r="BK100" s="299"/>
      <c r="BL100" s="299"/>
      <c r="BM100" s="299"/>
      <c r="BN100" s="299"/>
      <c r="BO100" s="299"/>
      <c r="BP100" s="299"/>
      <c r="BQ100" s="299"/>
      <c r="BR100" s="299"/>
      <c r="BS100" s="299"/>
      <c r="BT100" s="299"/>
      <c r="BU100" s="299"/>
      <c r="BV100" s="299"/>
      <c r="BW100" s="299"/>
      <c r="BX100" s="299"/>
      <c r="BY100" s="299"/>
      <c r="BZ100" s="299"/>
      <c r="CA100" s="299"/>
      <c r="CB100" s="299"/>
      <c r="CC100" s="299"/>
      <c r="CD100" s="299"/>
      <c r="CE100" s="299"/>
      <c r="CF100" s="299"/>
      <c r="CG100" s="299"/>
      <c r="CH100" s="299"/>
      <c r="CI100" s="299"/>
      <c r="CJ100" s="299"/>
      <c r="CK100" s="299"/>
      <c r="CL100" s="299"/>
      <c r="CM100" s="299"/>
      <c r="CN100" s="299"/>
      <c r="CO100" s="299"/>
      <c r="CP100" s="299"/>
      <c r="CQ100" s="299"/>
      <c r="CR100" s="299"/>
      <c r="CS100" s="299"/>
      <c r="CT100" s="299"/>
      <c r="CU100" s="299"/>
      <c r="CV100" s="299"/>
      <c r="CW100" s="299"/>
      <c r="CX100" s="299"/>
      <c r="CY100" s="299"/>
      <c r="CZ100" s="299"/>
      <c r="DA100" s="299"/>
      <c r="DB100" s="299"/>
      <c r="DC100" s="299"/>
      <c r="DD100" s="299"/>
      <c r="DE100" s="299"/>
      <c r="DF100" s="299"/>
      <c r="DG100" s="299"/>
      <c r="DH100" s="299"/>
      <c r="DI100" s="299"/>
      <c r="DJ100" s="299"/>
      <c r="DK100" s="299"/>
      <c r="DL100" s="299"/>
      <c r="DM100" s="299"/>
      <c r="DN100" s="299"/>
      <c r="DO100" s="299"/>
      <c r="DP100" s="299"/>
      <c r="DQ100" s="299"/>
      <c r="DR100" s="299"/>
      <c r="DS100" s="299"/>
      <c r="DT100" s="299"/>
      <c r="DU100" s="299"/>
      <c r="DV100" s="299"/>
      <c r="DW100" s="299"/>
      <c r="DX100" s="299"/>
      <c r="DY100" s="299"/>
      <c r="DZ100" s="299"/>
      <c r="EA100" s="299"/>
      <c r="EB100" s="299"/>
      <c r="EC100" s="299"/>
      <c r="ED100" s="299"/>
      <c r="EE100" s="299"/>
      <c r="EF100" s="299"/>
      <c r="EG100" s="299"/>
      <c r="EH100" s="299"/>
      <c r="EI100" s="299"/>
      <c r="EJ100" s="299"/>
      <c r="EK100" s="299"/>
      <c r="EL100" s="299"/>
      <c r="EM100" s="299"/>
      <c r="EN100" s="299"/>
      <c r="EO100" s="299"/>
      <c r="EP100" s="299"/>
      <c r="EQ100" s="299"/>
      <c r="ER100" s="299"/>
      <c r="ES100" s="299"/>
      <c r="ET100" s="299"/>
      <c r="EU100" s="299"/>
      <c r="EV100" s="299"/>
      <c r="EW100" s="299"/>
      <c r="EX100" s="299"/>
      <c r="EY100" s="299"/>
      <c r="EZ100" s="299"/>
      <c r="FA100" s="299"/>
      <c r="FB100" s="299"/>
      <c r="FC100" s="299"/>
      <c r="FD100" s="299"/>
      <c r="FE100" s="299"/>
      <c r="FF100" s="299"/>
      <c r="FG100" s="299"/>
      <c r="FH100" s="299"/>
      <c r="FI100" s="299"/>
      <c r="FJ100" s="299"/>
      <c r="FK100" s="299"/>
      <c r="FL100" s="299"/>
      <c r="FM100" s="299"/>
      <c r="FN100" s="299"/>
      <c r="FO100" s="299"/>
      <c r="FP100" s="299"/>
      <c r="FQ100" s="299"/>
      <c r="FR100" s="299"/>
      <c r="FS100" s="299"/>
    </row>
    <row r="101" spans="2:175" ht="12.75" customHeight="1">
      <c r="D101" s="644"/>
    </row>
    <row r="102" spans="2:175" ht="12.75" customHeight="1">
      <c r="B102" s="517" t="s">
        <v>336</v>
      </c>
      <c r="C102" s="299">
        <f t="shared" si="131"/>
        <v>0</v>
      </c>
      <c r="D102" s="644"/>
      <c r="E102" s="299">
        <f>IF(AND(E17=Detail!$H$8,Detail!$E$21="YES"),Detail!$E$22+Detail!$E$30,0)</f>
        <v>0</v>
      </c>
      <c r="F102" s="299">
        <f>IF(AND(F17=Detail!$H$8,Detail!$E$21="YES"),Detail!$E$22+Detail!$E$30,0)</f>
        <v>0</v>
      </c>
      <c r="G102" s="299">
        <f>IF(AND(G17=Detail!$H$8,Detail!$E$21="YES"),Detail!$E$22+Detail!$E$30,0)</f>
        <v>0</v>
      </c>
      <c r="H102" s="299">
        <f>IF(AND(H17=Detail!$H$8,Detail!$E$21="YES"),Detail!$E$22+Detail!$E$30,0)</f>
        <v>0</v>
      </c>
      <c r="I102" s="299">
        <f>IF(AND(I17=Detail!$H$8,Detail!$E$21="YES"),Detail!$E$22+Detail!$E$30,0)</f>
        <v>0</v>
      </c>
      <c r="J102" s="299">
        <f>IF(AND(J17=Detail!$H$8,Detail!$E$21="YES"),Detail!$E$22+Detail!$E$30,0)</f>
        <v>0</v>
      </c>
      <c r="K102" s="299">
        <f>IF(AND(K17=Detail!$H$8,Detail!$E$21="YES"),Detail!$E$22+Detail!$E$30,0)</f>
        <v>0</v>
      </c>
      <c r="L102" s="299">
        <f>IF(AND(L17=Detail!$H$8,Detail!$E$21="YES"),Detail!$E$22+Detail!$E$30,0)</f>
        <v>0</v>
      </c>
      <c r="M102" s="299">
        <f>IF(AND(M17=Detail!$H$8,Detail!$E$21="YES"),Detail!$E$22+Detail!$E$30,0)</f>
        <v>0</v>
      </c>
      <c r="N102" s="299">
        <f>IF(AND(N17=Detail!$H$8,Detail!$E$21="YES"),Detail!$E$22+Detail!$E$30,0)</f>
        <v>0</v>
      </c>
      <c r="O102" s="299">
        <f>IF(AND(O17=Detail!$H$8,Detail!$E$21="YES"),Detail!$E$22+Detail!$E$30,0)</f>
        <v>0</v>
      </c>
      <c r="P102" s="299">
        <f>IF(AND(P17=Detail!$H$8,Detail!$E$21="YES"),Detail!$E$22+Detail!$E$30,0)</f>
        <v>0</v>
      </c>
      <c r="Q102" s="299">
        <f>IF(AND(Q17=Detail!$H$8,Detail!$E$21="YES"),Detail!$E$22+Detail!$E$30,0)</f>
        <v>0</v>
      </c>
      <c r="R102" s="299">
        <f>IF(AND(R17=Detail!$H$8,Detail!$E$21="YES"),Detail!$E$22+Detail!$E$30,0)</f>
        <v>0</v>
      </c>
      <c r="S102" s="299">
        <f>IF(AND(S17=Detail!$H$8,Detail!$E$21="YES"),Detail!$E$22+Detail!$E$30,0)</f>
        <v>0</v>
      </c>
      <c r="T102" s="299">
        <f>IF(AND(T17=Detail!$H$8,Detail!$E$21="YES"),Detail!$E$22+Detail!$E$30,0)</f>
        <v>0</v>
      </c>
      <c r="U102" s="299">
        <f>IF(AND(U17=Detail!$H$8,Detail!$E$21="YES"),Detail!$E$22+Detail!$E$30,0)</f>
        <v>0</v>
      </c>
      <c r="V102" s="299">
        <f>IF(AND(V17=Detail!$H$8,Detail!$E$21="YES"),Detail!$E$22+Detail!$E$30,0)</f>
        <v>0</v>
      </c>
      <c r="W102" s="299">
        <f>IF(AND(W17=Detail!$H$8,Detail!$E$21="YES"),Detail!$E$22+Detail!$E$30,0)</f>
        <v>0</v>
      </c>
      <c r="X102" s="299">
        <f>IF(AND(X17=Detail!$H$8,Detail!$E$21="YES"),Detail!$E$22+Detail!$E$30,0)</f>
        <v>0</v>
      </c>
      <c r="Y102" s="299">
        <f>IF(AND(Y17=Detail!$H$8,Detail!$E$21="YES"),Detail!$E$22+Detail!$E$30,0)</f>
        <v>0</v>
      </c>
      <c r="Z102" s="299">
        <f>IF(AND(Z17=Detail!$H$8,Detail!$E$21="YES"),Detail!$E$22+Detail!$E$30,0)</f>
        <v>0</v>
      </c>
      <c r="AA102" s="299">
        <f>IF(AND(AA17=Detail!$H$8,Detail!$E$21="YES"),Detail!$E$22+Detail!$E$30,0)</f>
        <v>0</v>
      </c>
      <c r="AB102" s="299">
        <f>IF(AND(AB17=Detail!$H$8,Detail!$E$21="YES"),Detail!$E$22+Detail!$E$30,0)</f>
        <v>0</v>
      </c>
      <c r="AC102" s="299">
        <f>IF(AND(AC17=Detail!$H$8,Detail!$E$21="YES"),Detail!$E$22+Detail!$E$30,0)</f>
        <v>0</v>
      </c>
      <c r="AD102" s="299">
        <f>IF(AND(AD17=Detail!$H$8,Detail!$E$21="YES"),Detail!$E$22+Detail!$E$30,0)</f>
        <v>0</v>
      </c>
      <c r="AE102" s="299">
        <f>IF(AND(AE17=Detail!$H$8,Detail!$E$21="YES"),Detail!$E$22+Detail!$E$30,0)</f>
        <v>0</v>
      </c>
      <c r="AF102" s="299">
        <f>IF(AND(AF17=Detail!$H$8,Detail!$E$21="YES"),Detail!$E$22+Detail!$E$30,0)</f>
        <v>0</v>
      </c>
      <c r="AG102" s="299">
        <f>IF(AND(AG17=Detail!$H$8,Detail!$E$21="YES"),Detail!$E$22+Detail!$E$30,0)</f>
        <v>0</v>
      </c>
      <c r="AH102" s="299">
        <f>IF(AND(AH17=Detail!$H$8,Detail!$E$21="YES"),Detail!$E$22+Detail!$E$30,0)</f>
        <v>0</v>
      </c>
      <c r="AI102" s="299">
        <f>IF(AND(AI17=Detail!$H$8,Detail!$E$21="YES"),Detail!$E$22+Detail!$E$30,0)</f>
        <v>0</v>
      </c>
      <c r="AJ102" s="299">
        <f>IF(AND(AJ17=Detail!$H$8,Detail!$E$21="YES"),Detail!$E$22+Detail!$E$30,0)</f>
        <v>0</v>
      </c>
      <c r="AK102" s="299">
        <f>IF(AND(AK17=Detail!$H$8,Detail!$E$21="YES"),Detail!$E$22+Detail!$E$30,0)</f>
        <v>0</v>
      </c>
      <c r="AL102" s="299">
        <f>IF(AND(AL17=Detail!$H$8,Detail!$E$21="YES"),Detail!$E$22+Detail!$E$30,0)</f>
        <v>0</v>
      </c>
      <c r="AM102" s="299">
        <f>IF(AND(AM17=Detail!$H$8,Detail!$E$21="YES"),Detail!$E$22+Detail!$E$30,0)</f>
        <v>0</v>
      </c>
      <c r="AN102" s="299">
        <f>IF(AND(AN17=Detail!$H$8,Detail!$E$21="YES"),Detail!$E$22+Detail!$E$30,0)</f>
        <v>0</v>
      </c>
      <c r="AO102" s="299">
        <f>IF(AND(AO17=Detail!$H$8,Detail!$E$21="YES"),Detail!$E$22+Detail!$E$30,0)</f>
        <v>0</v>
      </c>
      <c r="AP102" s="299">
        <f>IF(AND(AP17=Detail!$H$8,Detail!$E$21="YES"),Detail!$E$22+Detail!$E$30,0)</f>
        <v>0</v>
      </c>
      <c r="AQ102" s="299">
        <f>IF(AND(AQ17=Detail!$H$8,Detail!$E$21="YES"),Detail!$E$22+Detail!$E$30,0)</f>
        <v>0</v>
      </c>
      <c r="AR102" s="299">
        <f>IF(AND(AR17=Detail!$H$8,Detail!$E$21="YES"),Detail!$E$22+Detail!$E$30,0)</f>
        <v>0</v>
      </c>
      <c r="AS102" s="299">
        <f>IF(AND(AS17=Detail!$H$8,Detail!$E$21="YES"),Detail!$E$22+Detail!$E$30,0)</f>
        <v>0</v>
      </c>
      <c r="AT102" s="299">
        <f>IF(AND(AT17=Detail!$H$8,Detail!$E$21="YES"),Detail!$E$22+Detail!$E$30,0)</f>
        <v>0</v>
      </c>
      <c r="AU102" s="299">
        <f>IF(AND(AU17=Detail!$H$8,Detail!$E$21="YES"),Detail!$E$22+Detail!$E$30,0)</f>
        <v>0</v>
      </c>
      <c r="AV102" s="299">
        <f>IF(AND(AV17=Detail!$H$8,Detail!$E$21="YES"),Detail!$E$22+Detail!$E$30,0)</f>
        <v>0</v>
      </c>
      <c r="AW102" s="299">
        <f>IF(AND(AW17=Detail!$H$8,Detail!$E$21="YES"),Detail!$E$22+Detail!$E$30,0)</f>
        <v>0</v>
      </c>
      <c r="AX102" s="299">
        <f>IF(AND(AX17=Detail!$H$8,Detail!$E$21="YES"),Detail!$E$22+Detail!$E$30,0)</f>
        <v>0</v>
      </c>
      <c r="AY102" s="299">
        <f>IF(AND(AY17=Detail!$H$8,Detail!$E$21="YES"),Detail!$E$22+Detail!$E$30,0)</f>
        <v>0</v>
      </c>
      <c r="AZ102" s="299">
        <f>IF(AND(AZ17=Detail!$H$8,Detail!$E$21="YES"),Detail!$E$22+Detail!$E$30,0)</f>
        <v>0</v>
      </c>
      <c r="BA102" s="299">
        <f>IF(AND(BA17=Detail!$H$8,Detail!$E$21="YES"),Detail!$E$22+Detail!$E$30,0)</f>
        <v>0</v>
      </c>
      <c r="BB102" s="299">
        <f>IF(AND(BB17=Detail!$H$8,Detail!$E$21="YES"),Detail!$E$22+Detail!$E$30,0)</f>
        <v>0</v>
      </c>
      <c r="BC102" s="299">
        <f>IF(AND(BC17=Detail!$H$8,Detail!$E$21="YES"),Detail!$E$22+Detail!$E$30,0)</f>
        <v>0</v>
      </c>
      <c r="BD102" s="299">
        <f>IF(AND(BD17=Detail!$H$8,Detail!$E$21="YES"),Detail!$E$22+Detail!$E$30,0)</f>
        <v>0</v>
      </c>
      <c r="BE102" s="299">
        <f>IF(AND(BE17=Detail!$H$8,Detail!$E$21="YES"),Detail!$E$22+Detail!$E$30,0)</f>
        <v>0</v>
      </c>
      <c r="BF102" s="299">
        <f>IF(AND(BF17=Detail!$H$8,Detail!$E$21="YES"),Detail!$E$22+Detail!$E$30,0)</f>
        <v>0</v>
      </c>
      <c r="BG102" s="299">
        <f>IF(AND(BG17=Detail!$H$8,Detail!$E$21="YES"),Detail!$E$22+Detail!$E$30,0)</f>
        <v>0</v>
      </c>
      <c r="BH102" s="299">
        <f>IF(AND(BH17=Detail!$H$8,Detail!$E$21="YES"),Detail!$E$22+Detail!$E$30,0)</f>
        <v>0</v>
      </c>
      <c r="BI102" s="299">
        <f>IF(AND(BI17=Detail!$H$8,Detail!$E$21="YES"),Detail!$E$22+Detail!$E$30,0)</f>
        <v>0</v>
      </c>
      <c r="BJ102" s="299">
        <f>IF(AND(BJ17=Detail!$H$8,Detail!$E$21="YES"),Detail!$E$22+Detail!$E$30,0)</f>
        <v>0</v>
      </c>
      <c r="BK102" s="299">
        <f>IF(AND(BK17=Detail!$H$8,Detail!$E$21="YES"),Detail!$E$22+Detail!$E$30,0)</f>
        <v>0</v>
      </c>
      <c r="BL102" s="299">
        <f>IF(AND(BL17=Detail!$H$8,Detail!$E$21="YES"),Detail!$E$22+Detail!$E$30,0)</f>
        <v>0</v>
      </c>
      <c r="BM102" s="299">
        <f>IF(AND(BM17=Detail!$H$8,Detail!$E$21="YES"),Detail!$E$22+Detail!$E$30,0)</f>
        <v>0</v>
      </c>
      <c r="BN102" s="299">
        <f>IF(AND(BN17=Detail!$H$8,Detail!$E$21="YES"),Detail!$E$22+Detail!$E$30,0)</f>
        <v>0</v>
      </c>
      <c r="BO102" s="299">
        <f>IF(AND(BO17=Detail!$H$8,Detail!$E$21="YES"),Detail!$E$22+Detail!$E$30,0)</f>
        <v>0</v>
      </c>
      <c r="BP102" s="299">
        <f>IF(AND(BP17=Detail!$H$8,Detail!$E$21="YES"),Detail!$E$22+Detail!$E$30,0)</f>
        <v>0</v>
      </c>
      <c r="BQ102" s="299">
        <f>IF(AND(BQ17=Detail!$H$8,Detail!$E$21="YES"),Detail!$E$22+Detail!$E$30,0)</f>
        <v>0</v>
      </c>
      <c r="BR102" s="299">
        <f>IF(AND(BR17=Detail!$H$8,Detail!$E$21="YES"),Detail!$E$22+Detail!$E$30,0)</f>
        <v>0</v>
      </c>
      <c r="BS102" s="299">
        <f>IF(AND(BS17=Detail!$H$8,Detail!$E$21="YES"),Detail!$E$22+Detail!$E$30,0)</f>
        <v>0</v>
      </c>
      <c r="BT102" s="299">
        <f>IF(AND(BT17=Detail!$H$8,Detail!$E$21="YES"),Detail!$E$22+Detail!$E$30,0)</f>
        <v>0</v>
      </c>
      <c r="BU102" s="299">
        <f>IF(AND(BU17=Detail!$H$8,Detail!$E$21="YES"),Detail!$E$22+Detail!$E$30,0)</f>
        <v>0</v>
      </c>
      <c r="BV102" s="299">
        <f>IF(AND(BV17=Detail!$H$8,Detail!$E$21="YES"),Detail!$E$22+Detail!$E$30,0)</f>
        <v>0</v>
      </c>
      <c r="BW102" s="299">
        <f>IF(AND(BW17=Detail!$H$8,Detail!$E$21="YES"),Detail!$E$22+Detail!$E$30,0)</f>
        <v>0</v>
      </c>
      <c r="BX102" s="299">
        <f>IF(AND(BX17=Detail!$H$8,Detail!$E$21="YES"),Detail!$E$22+Detail!$E$30,0)</f>
        <v>0</v>
      </c>
      <c r="BY102" s="299">
        <f>IF(AND(BY17=Detail!$H$8,Detail!$E$21="YES"),Detail!$E$22+Detail!$E$30,0)</f>
        <v>0</v>
      </c>
      <c r="BZ102" s="299">
        <f>IF(AND(BZ17=Detail!$H$8,Detail!$E$21="YES"),Detail!$E$22+Detail!$E$30,0)</f>
        <v>0</v>
      </c>
      <c r="CA102" s="299">
        <f>IF(AND(CA17=Detail!$H$8,Detail!$E$21="YES"),Detail!$E$22+Detail!$E$30,0)</f>
        <v>0</v>
      </c>
      <c r="CB102" s="299">
        <f>IF(AND(CB17=Detail!$H$8,Detail!$E$21="YES"),Detail!$E$22+Detail!$E$30,0)</f>
        <v>0</v>
      </c>
      <c r="CC102" s="299">
        <f>IF(AND(CC17=Detail!$H$8,Detail!$E$21="YES"),Detail!$E$22+Detail!$E$30,0)</f>
        <v>0</v>
      </c>
      <c r="CD102" s="299">
        <f>IF(AND(CD17=Detail!$H$8,Detail!$E$21="YES"),Detail!$E$22+Detail!$E$30,0)</f>
        <v>0</v>
      </c>
      <c r="CE102" s="299">
        <f>IF(AND(CE17=Detail!$H$8,Detail!$E$21="YES"),Detail!$E$22+Detail!$E$30,0)</f>
        <v>0</v>
      </c>
      <c r="CF102" s="299">
        <f>IF(AND(CF17=Detail!$H$8,Detail!$E$21="YES"),Detail!$E$22+Detail!$E$30,0)</f>
        <v>0</v>
      </c>
      <c r="CG102" s="299">
        <f>IF(AND(CG17=Detail!$H$8,Detail!$E$21="YES"),Detail!$E$22+Detail!$E$30,0)</f>
        <v>0</v>
      </c>
      <c r="CH102" s="299">
        <f>IF(AND(CH17=Detail!$H$8,Detail!$E$21="YES"),Detail!$E$22+Detail!$E$30,0)</f>
        <v>0</v>
      </c>
      <c r="CI102" s="299">
        <f>IF(AND(CI17=Detail!$H$8,Detail!$E$21="YES"),Detail!$E$22+Detail!$E$30,0)</f>
        <v>0</v>
      </c>
      <c r="CJ102" s="299">
        <f>IF(AND(CJ17=Detail!$H$8,Detail!$E$21="YES"),Detail!$E$22+Detail!$E$30,0)</f>
        <v>0</v>
      </c>
      <c r="CK102" s="299">
        <f>IF(AND(CK17=Detail!$H$8,Detail!$E$21="YES"),Detail!$E$22+Detail!$E$30,0)</f>
        <v>0</v>
      </c>
      <c r="CL102" s="299">
        <f>IF(AND(CL17=Detail!$H$8,Detail!$E$21="YES"),Detail!$E$22+Detail!$E$30,0)</f>
        <v>0</v>
      </c>
      <c r="CM102" s="299">
        <f>IF(AND(CM17=Detail!$H$8,Detail!$E$21="YES"),Detail!$E$22+Detail!$E$30,0)</f>
        <v>0</v>
      </c>
      <c r="CN102" s="299">
        <f>IF(AND(CN17=Detail!$H$8,Detail!$E$21="YES"),Detail!$E$22+Detail!$E$30,0)</f>
        <v>0</v>
      </c>
      <c r="CO102" s="299">
        <f>IF(AND(CO17=Detail!$H$8,Detail!$E$21="YES"),Detail!$E$22+Detail!$E$30,0)</f>
        <v>0</v>
      </c>
      <c r="CP102" s="299">
        <f>IF(AND(CP17=Detail!$H$8,Detail!$E$21="YES"),Detail!$E$22+Detail!$E$30,0)</f>
        <v>0</v>
      </c>
      <c r="CQ102" s="299">
        <f>IF(AND(CQ17=Detail!$H$8,Detail!$E$21="YES"),Detail!$E$22+Detail!$E$30,0)</f>
        <v>0</v>
      </c>
      <c r="CR102" s="299">
        <f>IF(AND(CR17=Detail!$H$8,Detail!$E$21="YES"),Detail!$E$22+Detail!$E$30,0)</f>
        <v>0</v>
      </c>
      <c r="CS102" s="299">
        <f>IF(AND(CS17=Detail!$H$8,Detail!$E$21="YES"),Detail!$E$22+Detail!$E$30,0)</f>
        <v>0</v>
      </c>
      <c r="CT102" s="299">
        <f>IF(AND(CT17=Detail!$H$8,Detail!$E$21="YES"),Detail!$E$22+Detail!$E$30,0)</f>
        <v>0</v>
      </c>
      <c r="CU102" s="299">
        <f>IF(AND(CU17=Detail!$H$8,Detail!$E$21="YES"),Detail!$E$22+Detail!$E$30,0)</f>
        <v>0</v>
      </c>
      <c r="CV102" s="299">
        <f>IF(AND(CV17=Detail!$H$8,Detail!$E$21="YES"),Detail!$E$22+Detail!$E$30,0)</f>
        <v>0</v>
      </c>
      <c r="CW102" s="299">
        <f>IF(AND(CW17=Detail!$H$8,Detail!$E$21="YES"),Detail!$E$22+Detail!$E$30,0)</f>
        <v>0</v>
      </c>
      <c r="CX102" s="299">
        <f>IF(AND(CX17=Detail!$H$8,Detail!$E$21="YES"),Detail!$E$22+Detail!$E$30,0)</f>
        <v>0</v>
      </c>
      <c r="CY102" s="299">
        <f>IF(AND(CY17=Detail!$H$8,Detail!$E$21="YES"),Detail!$E$22+Detail!$E$30,0)</f>
        <v>0</v>
      </c>
      <c r="CZ102" s="299">
        <f>IF(AND(CZ17=Detail!$H$8,Detail!$E$21="YES"),Detail!$E$22+Detail!$E$30,0)</f>
        <v>0</v>
      </c>
      <c r="DA102" s="299">
        <f>IF(AND(DA17=Detail!$H$8,Detail!$E$21="YES"),Detail!$E$22+Detail!$E$30,0)</f>
        <v>0</v>
      </c>
      <c r="DB102" s="299">
        <f>IF(AND(DB17=Detail!$H$8,Detail!$E$21="YES"),Detail!$E$22+Detail!$E$30,0)</f>
        <v>0</v>
      </c>
      <c r="DC102" s="299">
        <f>IF(AND(DC17=Detail!$H$8,Detail!$E$21="YES"),Detail!$E$22+Detail!$E$30,0)</f>
        <v>0</v>
      </c>
      <c r="DD102" s="299">
        <f>IF(AND(DD17=Detail!$H$8,Detail!$E$21="YES"),Detail!$E$22+Detail!$E$30,0)</f>
        <v>0</v>
      </c>
      <c r="DE102" s="299">
        <f>IF(AND(DE17=Detail!$H$8,Detail!$E$21="YES"),Detail!$E$22+Detail!$E$30,0)</f>
        <v>0</v>
      </c>
      <c r="DF102" s="299">
        <f>IF(AND(DF17=Detail!$H$8,Detail!$E$21="YES"),Detail!$E$22+Detail!$E$30,0)</f>
        <v>0</v>
      </c>
      <c r="DG102" s="299">
        <f>IF(AND(DG17=Detail!$H$8,Detail!$E$21="YES"),Detail!$E$22+Detail!$E$30,0)</f>
        <v>0</v>
      </c>
      <c r="DH102" s="299">
        <f>IF(AND(DH17=Detail!$H$8,Detail!$E$21="YES"),Detail!$E$22+Detail!$E$30,0)</f>
        <v>0</v>
      </c>
      <c r="DI102" s="299">
        <f>IF(AND(DI17=Detail!$H$8,Detail!$E$21="YES"),Detail!$E$22+Detail!$E$30,0)</f>
        <v>0</v>
      </c>
      <c r="DJ102" s="299">
        <f>IF(AND(DJ17=Detail!$H$8,Detail!$E$21="YES"),Detail!$E$22+Detail!$E$30,0)</f>
        <v>0</v>
      </c>
      <c r="DK102" s="299">
        <f>IF(AND(DK17=Detail!$H$8,Detail!$E$21="YES"),Detail!$E$22+Detail!$E$30,0)</f>
        <v>0</v>
      </c>
      <c r="DL102" s="299">
        <f>IF(AND(DL17=Detail!$H$8,Detail!$E$21="YES"),Detail!$E$22+Detail!$E$30,0)</f>
        <v>0</v>
      </c>
      <c r="DM102" s="299">
        <f>IF(AND(DM17=Detail!$H$8,Detail!$E$21="YES"),Detail!$E$22+Detail!$E$30,0)</f>
        <v>0</v>
      </c>
      <c r="DN102" s="299">
        <f>IF(AND(DN17=Detail!$H$8,Detail!$E$21="YES"),Detail!$E$22+Detail!$E$30,0)</f>
        <v>0</v>
      </c>
      <c r="DO102" s="299">
        <f>IF(AND(DO17=Detail!$H$8,Detail!$E$21="YES"),Detail!$E$22+Detail!$E$30,0)</f>
        <v>0</v>
      </c>
      <c r="DP102" s="299">
        <f>IF(AND(DP17=Detail!$H$8,Detail!$E$21="YES"),Detail!$E$22+Detail!$E$30,0)</f>
        <v>0</v>
      </c>
      <c r="DQ102" s="299">
        <f>IF(AND(DQ17=Detail!$H$8,Detail!$E$21="YES"),Detail!$E$22+Detail!$E$30,0)</f>
        <v>0</v>
      </c>
      <c r="DR102" s="299">
        <f>IF(AND(DR17=Detail!$H$8,Detail!$E$21="YES"),Detail!$E$22+Detail!$E$30,0)</f>
        <v>0</v>
      </c>
      <c r="DS102" s="299">
        <f>IF(AND(DS17=Detail!$H$8,Detail!$E$21="YES"),Detail!$E$22+Detail!$E$30,0)</f>
        <v>0</v>
      </c>
      <c r="DT102" s="299">
        <f>IF(AND(DT17=Detail!$H$8,Detail!$E$21="YES"),Detail!$E$22+Detail!$E$30,0)</f>
        <v>0</v>
      </c>
      <c r="DU102" s="299">
        <f>IF(AND(DU17=Detail!$H$8,Detail!$E$21="YES"),Detail!$E$22+Detail!$E$30,0)</f>
        <v>0</v>
      </c>
      <c r="DV102" s="299">
        <f>IF(AND(DV17=Detail!$H$8,Detail!$E$21="YES"),Detail!$E$22+Detail!$E$30,0)</f>
        <v>0</v>
      </c>
      <c r="DW102" s="299">
        <f>IF(AND(DW17=Detail!$H$8,Detail!$E$21="YES"),Detail!$E$22+Detail!$E$30,0)</f>
        <v>0</v>
      </c>
      <c r="DX102" s="299">
        <f>IF(AND(DX17=Detail!$H$8,Detail!$E$21="YES"),Detail!$E$22+Detail!$E$30,0)</f>
        <v>0</v>
      </c>
      <c r="DY102" s="299">
        <f>IF(AND(DY17=Detail!$H$8,Detail!$E$21="YES"),Detail!$E$22+Detail!$E$30,0)</f>
        <v>0</v>
      </c>
      <c r="DZ102" s="299">
        <f>IF(AND(DZ17=Detail!$H$8,Detail!$E$21="YES"),Detail!$E$22+Detail!$E$30,0)</f>
        <v>0</v>
      </c>
      <c r="EA102" s="299">
        <f>IF(AND(EA17=Detail!$H$8,Detail!$E$21="YES"),Detail!$E$22+Detail!$E$30,0)</f>
        <v>0</v>
      </c>
      <c r="EB102" s="299">
        <f>IF(AND(EB17=Detail!$H$8,Detail!$E$21="YES"),Detail!$E$22+Detail!$E$30,0)</f>
        <v>0</v>
      </c>
      <c r="EC102" s="299">
        <f>IF(AND(EC17=Detail!$H$8,Detail!$E$21="YES"),Detail!$E$22+Detail!$E$30,0)</f>
        <v>0</v>
      </c>
      <c r="ED102" s="299">
        <f>IF(AND(ED17=Detail!$H$8,Detail!$E$21="YES"),Detail!$E$22+Detail!$E$30,0)</f>
        <v>0</v>
      </c>
      <c r="EE102" s="299">
        <f>IF(AND(EE17=Detail!$H$8,Detail!$E$21="YES"),Detail!$E$22+Detail!$E$30,0)</f>
        <v>0</v>
      </c>
      <c r="EF102" s="299">
        <f>IF(AND(EF17=Detail!$H$8,Detail!$E$21="YES"),Detail!$E$22+Detail!$E$30,0)</f>
        <v>0</v>
      </c>
      <c r="EG102" s="299">
        <f>IF(AND(EG17=Detail!$H$8,Detail!$E$21="YES"),Detail!$E$22+Detail!$E$30,0)</f>
        <v>0</v>
      </c>
      <c r="EH102" s="299">
        <f>IF(AND(EH17=Detail!$H$8,Detail!$E$21="YES"),Detail!$E$22+Detail!$E$30,0)</f>
        <v>0</v>
      </c>
      <c r="EI102" s="299">
        <f>IF(AND(EI17=Detail!$H$8,Detail!$E$21="YES"),Detail!$E$22+Detail!$E$30,0)</f>
        <v>0</v>
      </c>
      <c r="EJ102" s="299">
        <f>IF(AND(EJ17=Detail!$H$8,Detail!$E$21="YES"),Detail!$E$22+Detail!$E$30,0)</f>
        <v>0</v>
      </c>
      <c r="EK102" s="299">
        <f>IF(AND(EK17=Detail!$H$8,Detail!$E$21="YES"),Detail!$E$22+Detail!$E$30,0)</f>
        <v>0</v>
      </c>
      <c r="EL102" s="299">
        <f>IF(AND(EL17=Detail!$H$8,Detail!$E$21="YES"),Detail!$E$22+Detail!$E$30,0)</f>
        <v>0</v>
      </c>
      <c r="EM102" s="299">
        <f>IF(AND(EM17=Detail!$H$8,Detail!$E$21="YES"),Detail!$E$22+Detail!$E$30,0)</f>
        <v>0</v>
      </c>
      <c r="EN102" s="299">
        <f>IF(AND(EN17=Detail!$H$8,Detail!$E$21="YES"),Detail!$E$22+Detail!$E$30,0)</f>
        <v>0</v>
      </c>
      <c r="EO102" s="299">
        <f>IF(AND(EO17=Detail!$H$8,Detail!$E$21="YES"),Detail!$E$22+Detail!$E$30,0)</f>
        <v>0</v>
      </c>
      <c r="EP102" s="299">
        <f>IF(AND(EP17=Detail!$H$8,Detail!$E$21="YES"),Detail!$E$22+Detail!$E$30,0)</f>
        <v>0</v>
      </c>
      <c r="EQ102" s="299">
        <f>IF(AND(EQ17=Detail!$H$8,Detail!$E$21="YES"),Detail!$E$22+Detail!$E$30,0)</f>
        <v>0</v>
      </c>
      <c r="ER102" s="299">
        <f>IF(AND(ER17=Detail!$H$8,Detail!$E$21="YES"),Detail!$E$22+Detail!$E$30,0)</f>
        <v>0</v>
      </c>
      <c r="ES102" s="299">
        <f>IF(AND(ES17=Detail!$H$8,Detail!$E$21="YES"),Detail!$E$22+Detail!$E$30,0)</f>
        <v>0</v>
      </c>
      <c r="ET102" s="299">
        <f>IF(AND(ET17=Detail!$H$8,Detail!$E$21="YES"),Detail!$E$22+Detail!$E$30,0)</f>
        <v>0</v>
      </c>
      <c r="EU102" s="299">
        <f>IF(AND(EU17=Detail!$H$8,Detail!$E$21="YES"),Detail!$E$22+Detail!$E$30,0)</f>
        <v>0</v>
      </c>
      <c r="EV102" s="299">
        <f>IF(AND(EV17=Detail!$H$8,Detail!$E$21="YES"),Detail!$E$22+Detail!$E$30,0)</f>
        <v>0</v>
      </c>
      <c r="EW102" s="299">
        <f>IF(AND(EW17=Detail!$H$8,Detail!$E$21="YES"),Detail!$E$22+Detail!$E$30,0)</f>
        <v>0</v>
      </c>
      <c r="EX102" s="299">
        <f>IF(AND(EX17=Detail!$H$8,Detail!$E$21="YES"),Detail!$E$22+Detail!$E$30,0)</f>
        <v>0</v>
      </c>
      <c r="EY102" s="299">
        <f>IF(AND(EY17=Detail!$H$8,Detail!$E$21="YES"),Detail!$E$22+Detail!$E$30,0)</f>
        <v>0</v>
      </c>
      <c r="EZ102" s="299">
        <f>IF(AND(EZ17=Detail!$H$8,Detail!$E$21="YES"),Detail!$E$22+Detail!$E$30,0)</f>
        <v>0</v>
      </c>
      <c r="FA102" s="299">
        <f>IF(AND(FA17=Detail!$H$8,Detail!$E$21="YES"),Detail!$E$22+Detail!$E$30,0)</f>
        <v>0</v>
      </c>
      <c r="FB102" s="299">
        <f>IF(AND(FB17=Detail!$H$8,Detail!$E$21="YES"),Detail!$E$22+Detail!$E$30,0)</f>
        <v>0</v>
      </c>
      <c r="FC102" s="299">
        <f>IF(AND(FC17=Detail!$H$8,Detail!$E$21="YES"),Detail!$E$22+Detail!$E$30,0)</f>
        <v>0</v>
      </c>
      <c r="FD102" s="299">
        <f>IF(AND(FD17=Detail!$H$8,Detail!$E$21="YES"),Detail!$E$22+Detail!$E$30,0)</f>
        <v>0</v>
      </c>
      <c r="FE102" s="299">
        <f>IF(AND(FE17=Detail!$H$8,Detail!$E$21="YES"),Detail!$E$22+Detail!$E$30,0)</f>
        <v>0</v>
      </c>
      <c r="FF102" s="299">
        <f>IF(AND(FF17=Detail!$H$8,Detail!$E$21="YES"),Detail!$E$22+Detail!$E$30,0)</f>
        <v>0</v>
      </c>
      <c r="FG102" s="299">
        <f>IF(AND(FG17=Detail!$H$8,Detail!$E$21="YES"),Detail!$E$22+Detail!$E$30,0)</f>
        <v>0</v>
      </c>
      <c r="FH102" s="299">
        <f>IF(AND(FH17=Detail!$H$8,Detail!$E$21="YES"),Detail!$E$22+Detail!$E$30,0)</f>
        <v>0</v>
      </c>
      <c r="FI102" s="299">
        <f>IF(AND(FI17=Detail!$H$8,Detail!$E$21="YES"),Detail!$E$22+Detail!$E$30,0)</f>
        <v>0</v>
      </c>
      <c r="FJ102" s="299">
        <f>IF(AND(FJ17=Detail!$H$8,Detail!$E$21="YES"),Detail!$E$22+Detail!$E$30,0)</f>
        <v>0</v>
      </c>
      <c r="FK102" s="299">
        <f>IF(AND(FK17=Detail!$H$8,Detail!$E$21="YES"),Detail!$E$22+Detail!$E$30,0)</f>
        <v>0</v>
      </c>
      <c r="FL102" s="299">
        <f>IF(AND(FL17=Detail!$H$8,Detail!$E$21="YES"),Detail!$E$22+Detail!$E$30,0)</f>
        <v>0</v>
      </c>
      <c r="FM102" s="299">
        <f>IF(AND(FM17=Detail!$H$8,Detail!$E$21="YES"),Detail!$E$22+Detail!$E$30,0)</f>
        <v>0</v>
      </c>
      <c r="FN102" s="299">
        <f>IF(AND(FN17=Detail!$H$8,Detail!$E$21="YES"),Detail!$E$22+Detail!$E$30,0)</f>
        <v>0</v>
      </c>
      <c r="FO102" s="299">
        <f>IF(AND(FO17=Detail!$H$8,Detail!$E$21="YES"),Detail!$E$22+Detail!$E$30,0)</f>
        <v>0</v>
      </c>
      <c r="FP102" s="299">
        <f>IF(AND(FP17=Detail!$H$8,Detail!$E$21="YES"),Detail!$E$22+Detail!$E$30,0)</f>
        <v>0</v>
      </c>
      <c r="FQ102" s="299">
        <f>IF(AND(FQ17=Detail!$H$8,Detail!$E$21="YES"),Detail!$E$22+Detail!$E$30,0)</f>
        <v>0</v>
      </c>
      <c r="FR102" s="299">
        <f>IF(AND(FR17=Detail!$H$8,Detail!$E$21="YES"),Detail!$E$22+Detail!$E$30,0)</f>
        <v>0</v>
      </c>
      <c r="FS102" s="299">
        <f>IF(AND(FS17=Detail!$H$8,Detail!$E$21="YES"),Detail!$E$22+Detail!$E$30,0)</f>
        <v>0</v>
      </c>
    </row>
    <row r="103" spans="2:175" ht="12.75" customHeight="1">
      <c r="B103" s="517" t="s">
        <v>337</v>
      </c>
      <c r="C103" s="299"/>
      <c r="D103" s="644"/>
      <c r="E103" s="299"/>
      <c r="F103" s="299">
        <f>+F102+E107-E108</f>
        <v>0</v>
      </c>
      <c r="G103" s="299">
        <f t="shared" ref="G103:BR103" si="138">+G102+F107-F108</f>
        <v>0</v>
      </c>
      <c r="H103" s="299">
        <f t="shared" si="138"/>
        <v>0</v>
      </c>
      <c r="I103" s="299">
        <f t="shared" si="138"/>
        <v>0</v>
      </c>
      <c r="J103" s="299">
        <f t="shared" si="138"/>
        <v>0</v>
      </c>
      <c r="K103" s="299">
        <f t="shared" si="138"/>
        <v>0</v>
      </c>
      <c r="L103" s="299">
        <f t="shared" si="138"/>
        <v>0</v>
      </c>
      <c r="M103" s="299">
        <f t="shared" si="138"/>
        <v>0</v>
      </c>
      <c r="N103" s="299">
        <f t="shared" si="138"/>
        <v>0</v>
      </c>
      <c r="O103" s="299">
        <f t="shared" si="138"/>
        <v>0</v>
      </c>
      <c r="P103" s="299">
        <f t="shared" si="138"/>
        <v>0</v>
      </c>
      <c r="Q103" s="299">
        <f t="shared" si="138"/>
        <v>0</v>
      </c>
      <c r="R103" s="299">
        <f t="shared" si="138"/>
        <v>0</v>
      </c>
      <c r="S103" s="299">
        <f t="shared" si="138"/>
        <v>0</v>
      </c>
      <c r="T103" s="299">
        <f t="shared" si="138"/>
        <v>0</v>
      </c>
      <c r="U103" s="299">
        <f t="shared" si="138"/>
        <v>0</v>
      </c>
      <c r="V103" s="299">
        <f t="shared" si="138"/>
        <v>0</v>
      </c>
      <c r="W103" s="299">
        <f t="shared" si="138"/>
        <v>0</v>
      </c>
      <c r="X103" s="299">
        <f t="shared" si="138"/>
        <v>0</v>
      </c>
      <c r="Y103" s="299">
        <f t="shared" si="138"/>
        <v>0</v>
      </c>
      <c r="Z103" s="299">
        <f t="shared" si="138"/>
        <v>0</v>
      </c>
      <c r="AA103" s="299">
        <f t="shared" si="138"/>
        <v>0</v>
      </c>
      <c r="AB103" s="299">
        <f t="shared" si="138"/>
        <v>0</v>
      </c>
      <c r="AC103" s="299">
        <f t="shared" si="138"/>
        <v>0</v>
      </c>
      <c r="AD103" s="299">
        <f t="shared" si="138"/>
        <v>0</v>
      </c>
      <c r="AE103" s="299">
        <f t="shared" si="138"/>
        <v>0</v>
      </c>
      <c r="AF103" s="299">
        <f t="shared" si="138"/>
        <v>0</v>
      </c>
      <c r="AG103" s="299">
        <f t="shared" si="138"/>
        <v>0</v>
      </c>
      <c r="AH103" s="299">
        <f t="shared" si="138"/>
        <v>0</v>
      </c>
      <c r="AI103" s="299">
        <f t="shared" si="138"/>
        <v>0</v>
      </c>
      <c r="AJ103" s="299">
        <f t="shared" si="138"/>
        <v>0</v>
      </c>
      <c r="AK103" s="299">
        <f t="shared" si="138"/>
        <v>0</v>
      </c>
      <c r="AL103" s="299">
        <f t="shared" si="138"/>
        <v>0</v>
      </c>
      <c r="AM103" s="299">
        <f t="shared" si="138"/>
        <v>0</v>
      </c>
      <c r="AN103" s="299">
        <f t="shared" si="138"/>
        <v>0</v>
      </c>
      <c r="AO103" s="299">
        <f t="shared" si="138"/>
        <v>0</v>
      </c>
      <c r="AP103" s="299">
        <f t="shared" si="138"/>
        <v>0</v>
      </c>
      <c r="AQ103" s="299">
        <f t="shared" si="138"/>
        <v>0</v>
      </c>
      <c r="AR103" s="299">
        <f t="shared" si="138"/>
        <v>0</v>
      </c>
      <c r="AS103" s="299">
        <f t="shared" si="138"/>
        <v>0</v>
      </c>
      <c r="AT103" s="299">
        <f t="shared" si="138"/>
        <v>0</v>
      </c>
      <c r="AU103" s="299">
        <f t="shared" si="138"/>
        <v>0</v>
      </c>
      <c r="AV103" s="299">
        <f t="shared" si="138"/>
        <v>0</v>
      </c>
      <c r="AW103" s="299">
        <f t="shared" si="138"/>
        <v>0</v>
      </c>
      <c r="AX103" s="299">
        <f t="shared" si="138"/>
        <v>0</v>
      </c>
      <c r="AY103" s="299">
        <f t="shared" si="138"/>
        <v>0</v>
      </c>
      <c r="AZ103" s="299">
        <f t="shared" si="138"/>
        <v>0</v>
      </c>
      <c r="BA103" s="299">
        <f t="shared" si="138"/>
        <v>0</v>
      </c>
      <c r="BB103" s="299">
        <f t="shared" si="138"/>
        <v>0</v>
      </c>
      <c r="BC103" s="299">
        <f t="shared" si="138"/>
        <v>0</v>
      </c>
      <c r="BD103" s="299">
        <f t="shared" si="138"/>
        <v>0</v>
      </c>
      <c r="BE103" s="299">
        <f t="shared" si="138"/>
        <v>0</v>
      </c>
      <c r="BF103" s="299">
        <f t="shared" si="138"/>
        <v>0</v>
      </c>
      <c r="BG103" s="299">
        <f t="shared" si="138"/>
        <v>0</v>
      </c>
      <c r="BH103" s="299">
        <f t="shared" si="138"/>
        <v>0</v>
      </c>
      <c r="BI103" s="299">
        <f t="shared" si="138"/>
        <v>0</v>
      </c>
      <c r="BJ103" s="299">
        <f t="shared" si="138"/>
        <v>0</v>
      </c>
      <c r="BK103" s="299">
        <f t="shared" si="138"/>
        <v>0</v>
      </c>
      <c r="BL103" s="299">
        <f t="shared" si="138"/>
        <v>0</v>
      </c>
      <c r="BM103" s="299">
        <f t="shared" si="138"/>
        <v>0</v>
      </c>
      <c r="BN103" s="299">
        <f t="shared" si="138"/>
        <v>0</v>
      </c>
      <c r="BO103" s="299">
        <f t="shared" si="138"/>
        <v>0</v>
      </c>
      <c r="BP103" s="299">
        <f t="shared" si="138"/>
        <v>0</v>
      </c>
      <c r="BQ103" s="299">
        <f t="shared" si="138"/>
        <v>0</v>
      </c>
      <c r="BR103" s="299">
        <f t="shared" si="138"/>
        <v>0</v>
      </c>
      <c r="BS103" s="299">
        <f t="shared" ref="BS103:ED103" si="139">+BS102+BR107-BR108</f>
        <v>0</v>
      </c>
      <c r="BT103" s="299">
        <f t="shared" si="139"/>
        <v>0</v>
      </c>
      <c r="BU103" s="299">
        <f t="shared" si="139"/>
        <v>0</v>
      </c>
      <c r="BV103" s="299">
        <f t="shared" si="139"/>
        <v>0</v>
      </c>
      <c r="BW103" s="299">
        <f t="shared" si="139"/>
        <v>0</v>
      </c>
      <c r="BX103" s="299">
        <f t="shared" si="139"/>
        <v>0</v>
      </c>
      <c r="BY103" s="299">
        <f t="shared" si="139"/>
        <v>0</v>
      </c>
      <c r="BZ103" s="299">
        <f t="shared" si="139"/>
        <v>0</v>
      </c>
      <c r="CA103" s="299">
        <f t="shared" si="139"/>
        <v>0</v>
      </c>
      <c r="CB103" s="299">
        <f t="shared" si="139"/>
        <v>0</v>
      </c>
      <c r="CC103" s="299">
        <f t="shared" si="139"/>
        <v>0</v>
      </c>
      <c r="CD103" s="299">
        <f t="shared" si="139"/>
        <v>0</v>
      </c>
      <c r="CE103" s="299">
        <f t="shared" si="139"/>
        <v>0</v>
      </c>
      <c r="CF103" s="299">
        <f t="shared" si="139"/>
        <v>0</v>
      </c>
      <c r="CG103" s="299">
        <f t="shared" si="139"/>
        <v>0</v>
      </c>
      <c r="CH103" s="299">
        <f t="shared" si="139"/>
        <v>0</v>
      </c>
      <c r="CI103" s="299">
        <f t="shared" si="139"/>
        <v>0</v>
      </c>
      <c r="CJ103" s="299">
        <f t="shared" si="139"/>
        <v>0</v>
      </c>
      <c r="CK103" s="299">
        <f t="shared" si="139"/>
        <v>0</v>
      </c>
      <c r="CL103" s="299">
        <f t="shared" si="139"/>
        <v>0</v>
      </c>
      <c r="CM103" s="299">
        <f t="shared" si="139"/>
        <v>0</v>
      </c>
      <c r="CN103" s="299">
        <f t="shared" si="139"/>
        <v>0</v>
      </c>
      <c r="CO103" s="299">
        <f t="shared" si="139"/>
        <v>0</v>
      </c>
      <c r="CP103" s="299">
        <f t="shared" si="139"/>
        <v>0</v>
      </c>
      <c r="CQ103" s="299">
        <f t="shared" si="139"/>
        <v>0</v>
      </c>
      <c r="CR103" s="299">
        <f t="shared" si="139"/>
        <v>0</v>
      </c>
      <c r="CS103" s="299">
        <f t="shared" si="139"/>
        <v>0</v>
      </c>
      <c r="CT103" s="299">
        <f t="shared" si="139"/>
        <v>0</v>
      </c>
      <c r="CU103" s="299">
        <f t="shared" si="139"/>
        <v>0</v>
      </c>
      <c r="CV103" s="299">
        <f t="shared" si="139"/>
        <v>0</v>
      </c>
      <c r="CW103" s="299">
        <f t="shared" si="139"/>
        <v>0</v>
      </c>
      <c r="CX103" s="299">
        <f t="shared" si="139"/>
        <v>0</v>
      </c>
      <c r="CY103" s="299">
        <f t="shared" si="139"/>
        <v>0</v>
      </c>
      <c r="CZ103" s="299">
        <f t="shared" si="139"/>
        <v>0</v>
      </c>
      <c r="DA103" s="299">
        <f t="shared" si="139"/>
        <v>0</v>
      </c>
      <c r="DB103" s="299">
        <f t="shared" si="139"/>
        <v>0</v>
      </c>
      <c r="DC103" s="299">
        <f t="shared" si="139"/>
        <v>0</v>
      </c>
      <c r="DD103" s="299">
        <f t="shared" si="139"/>
        <v>0</v>
      </c>
      <c r="DE103" s="299">
        <f t="shared" si="139"/>
        <v>0</v>
      </c>
      <c r="DF103" s="299">
        <f t="shared" si="139"/>
        <v>0</v>
      </c>
      <c r="DG103" s="299">
        <f t="shared" si="139"/>
        <v>0</v>
      </c>
      <c r="DH103" s="299">
        <f t="shared" si="139"/>
        <v>0</v>
      </c>
      <c r="DI103" s="299">
        <f t="shared" si="139"/>
        <v>0</v>
      </c>
      <c r="DJ103" s="299">
        <f t="shared" si="139"/>
        <v>0</v>
      </c>
      <c r="DK103" s="299">
        <f t="shared" si="139"/>
        <v>0</v>
      </c>
      <c r="DL103" s="299">
        <f t="shared" si="139"/>
        <v>0</v>
      </c>
      <c r="DM103" s="299">
        <f t="shared" si="139"/>
        <v>0</v>
      </c>
      <c r="DN103" s="299">
        <f t="shared" si="139"/>
        <v>0</v>
      </c>
      <c r="DO103" s="299">
        <f t="shared" si="139"/>
        <v>0</v>
      </c>
      <c r="DP103" s="299">
        <f t="shared" si="139"/>
        <v>0</v>
      </c>
      <c r="DQ103" s="299">
        <f t="shared" si="139"/>
        <v>0</v>
      </c>
      <c r="DR103" s="299">
        <f t="shared" si="139"/>
        <v>0</v>
      </c>
      <c r="DS103" s="299">
        <f t="shared" si="139"/>
        <v>0</v>
      </c>
      <c r="DT103" s="299">
        <f t="shared" si="139"/>
        <v>0</v>
      </c>
      <c r="DU103" s="299">
        <f t="shared" si="139"/>
        <v>0</v>
      </c>
      <c r="DV103" s="299">
        <f t="shared" si="139"/>
        <v>0</v>
      </c>
      <c r="DW103" s="299">
        <f t="shared" si="139"/>
        <v>0</v>
      </c>
      <c r="DX103" s="299">
        <f t="shared" si="139"/>
        <v>0</v>
      </c>
      <c r="DY103" s="299">
        <f t="shared" si="139"/>
        <v>0</v>
      </c>
      <c r="DZ103" s="299">
        <f t="shared" si="139"/>
        <v>0</v>
      </c>
      <c r="EA103" s="299">
        <f t="shared" si="139"/>
        <v>0</v>
      </c>
      <c r="EB103" s="299">
        <f t="shared" si="139"/>
        <v>0</v>
      </c>
      <c r="EC103" s="299">
        <f t="shared" si="139"/>
        <v>0</v>
      </c>
      <c r="ED103" s="299">
        <f t="shared" si="139"/>
        <v>0</v>
      </c>
      <c r="EE103" s="299">
        <f t="shared" ref="EE103:FS103" si="140">+EE102+ED107-ED108</f>
        <v>0</v>
      </c>
      <c r="EF103" s="299">
        <f t="shared" si="140"/>
        <v>0</v>
      </c>
      <c r="EG103" s="299">
        <f t="shared" si="140"/>
        <v>0</v>
      </c>
      <c r="EH103" s="299">
        <f t="shared" si="140"/>
        <v>0</v>
      </c>
      <c r="EI103" s="299">
        <f t="shared" si="140"/>
        <v>0</v>
      </c>
      <c r="EJ103" s="299">
        <f t="shared" si="140"/>
        <v>0</v>
      </c>
      <c r="EK103" s="299">
        <f t="shared" si="140"/>
        <v>0</v>
      </c>
      <c r="EL103" s="299">
        <f t="shared" si="140"/>
        <v>0</v>
      </c>
      <c r="EM103" s="299">
        <f t="shared" si="140"/>
        <v>0</v>
      </c>
      <c r="EN103" s="299">
        <f t="shared" si="140"/>
        <v>0</v>
      </c>
      <c r="EO103" s="299">
        <f t="shared" si="140"/>
        <v>0</v>
      </c>
      <c r="EP103" s="299">
        <f t="shared" si="140"/>
        <v>0</v>
      </c>
      <c r="EQ103" s="299">
        <f t="shared" si="140"/>
        <v>0</v>
      </c>
      <c r="ER103" s="299">
        <f t="shared" si="140"/>
        <v>0</v>
      </c>
      <c r="ES103" s="299">
        <f t="shared" si="140"/>
        <v>0</v>
      </c>
      <c r="ET103" s="299">
        <f t="shared" si="140"/>
        <v>0</v>
      </c>
      <c r="EU103" s="299">
        <f t="shared" si="140"/>
        <v>0</v>
      </c>
      <c r="EV103" s="299">
        <f>+EV102+EU107-EU108</f>
        <v>0</v>
      </c>
      <c r="EW103" s="299">
        <f t="shared" si="140"/>
        <v>0</v>
      </c>
      <c r="EX103" s="299">
        <f t="shared" si="140"/>
        <v>0</v>
      </c>
      <c r="EY103" s="299">
        <f t="shared" si="140"/>
        <v>0</v>
      </c>
      <c r="EZ103" s="299">
        <f t="shared" si="140"/>
        <v>0</v>
      </c>
      <c r="FA103" s="299">
        <f t="shared" si="140"/>
        <v>0</v>
      </c>
      <c r="FB103" s="299">
        <f t="shared" si="140"/>
        <v>0</v>
      </c>
      <c r="FC103" s="299">
        <f t="shared" si="140"/>
        <v>0</v>
      </c>
      <c r="FD103" s="299">
        <f t="shared" si="140"/>
        <v>0</v>
      </c>
      <c r="FE103" s="299">
        <f t="shared" si="140"/>
        <v>0</v>
      </c>
      <c r="FF103" s="299">
        <f t="shared" si="140"/>
        <v>0</v>
      </c>
      <c r="FG103" s="299">
        <f t="shared" si="140"/>
        <v>0</v>
      </c>
      <c r="FH103" s="299">
        <f t="shared" si="140"/>
        <v>0</v>
      </c>
      <c r="FI103" s="299">
        <f t="shared" si="140"/>
        <v>0</v>
      </c>
      <c r="FJ103" s="299">
        <f t="shared" si="140"/>
        <v>0</v>
      </c>
      <c r="FK103" s="299">
        <f t="shared" si="140"/>
        <v>0</v>
      </c>
      <c r="FL103" s="299">
        <f t="shared" si="140"/>
        <v>0</v>
      </c>
      <c r="FM103" s="299">
        <f t="shared" si="140"/>
        <v>0</v>
      </c>
      <c r="FN103" s="299">
        <f t="shared" si="140"/>
        <v>0</v>
      </c>
      <c r="FO103" s="299">
        <f t="shared" si="140"/>
        <v>0</v>
      </c>
      <c r="FP103" s="299">
        <f t="shared" si="140"/>
        <v>0</v>
      </c>
      <c r="FQ103" s="299">
        <f t="shared" si="140"/>
        <v>0</v>
      </c>
      <c r="FR103" s="299">
        <f t="shared" si="140"/>
        <v>0</v>
      </c>
      <c r="FS103" s="299">
        <f t="shared" si="140"/>
        <v>0</v>
      </c>
    </row>
    <row r="104" spans="2:175" ht="12.75" customHeight="1">
      <c r="B104" s="517" t="s">
        <v>338</v>
      </c>
      <c r="C104" s="299">
        <f t="shared" si="131"/>
        <v>0</v>
      </c>
      <c r="D104" s="644"/>
      <c r="E104" s="299"/>
      <c r="F104" s="299">
        <f>IF(AND(F17=Detail!$H$8,Detail!$E$21="YES"),-Detail!$E$30,0)</f>
        <v>0</v>
      </c>
      <c r="G104" s="299">
        <f>IF(AND(G17=Detail!$H$8,Detail!$E$21="YES"),-Detail!$E$30,0)</f>
        <v>0</v>
      </c>
      <c r="H104" s="299">
        <f>IF(AND(H17=Detail!$H$8,Detail!$E$21="YES"),-Detail!$E$30,0)</f>
        <v>0</v>
      </c>
      <c r="I104" s="299">
        <f>IF(AND(I17=Detail!$H$8,Detail!$E$21="YES"),-Detail!$E$30,0)</f>
        <v>0</v>
      </c>
      <c r="J104" s="299">
        <f>IF(AND(J17=Detail!$H$8,Detail!$E$21="YES"),-Detail!$E$30,0)</f>
        <v>0</v>
      </c>
      <c r="K104" s="299">
        <f>IF(AND(K17=Detail!$H$8,Detail!$E$21="YES"),-Detail!$E$30,0)</f>
        <v>0</v>
      </c>
      <c r="L104" s="299">
        <f>IF(AND(L17=Detail!$H$8,Detail!$E$21="YES"),-Detail!$E$30,0)</f>
        <v>0</v>
      </c>
      <c r="M104" s="299">
        <f>IF(AND(M17=Detail!$H$8,Detail!$E$21="YES"),-Detail!$E$30,0)</f>
        <v>0</v>
      </c>
      <c r="N104" s="299">
        <f>IF(AND(N17=Detail!$H$8,Detail!$E$21="YES"),-Detail!$E$30,0)</f>
        <v>0</v>
      </c>
      <c r="O104" s="299">
        <f>IF(AND(O17=Detail!$H$8,Detail!$E$21="YES"),-Detail!$E$30,0)</f>
        <v>0</v>
      </c>
      <c r="P104" s="299">
        <f>IF(AND(P17=Detail!$H$8,Detail!$E$21="YES"),-Detail!$E$30,0)</f>
        <v>0</v>
      </c>
      <c r="Q104" s="299">
        <f>IF(AND(Q17=Detail!$H$8,Detail!$E$21="YES"),-Detail!$E$30,0)</f>
        <v>0</v>
      </c>
      <c r="R104" s="299">
        <f>IF(AND(R17=Detail!$H$8,Detail!$E$21="YES"),-Detail!$E$30,0)</f>
        <v>0</v>
      </c>
      <c r="S104" s="299">
        <f>IF(AND(S17=Detail!$H$8,Detail!$E$21="YES"),-Detail!$E$30,0)</f>
        <v>0</v>
      </c>
      <c r="T104" s="299">
        <f>IF(AND(T17=Detail!$H$8,Detail!$E$21="YES"),-Detail!$E$30,0)</f>
        <v>0</v>
      </c>
      <c r="U104" s="299">
        <f>IF(AND(U17=Detail!$H$8,Detail!$E$21="YES"),-Detail!$E$30,0)</f>
        <v>0</v>
      </c>
      <c r="V104" s="299">
        <f>IF(AND(V17=Detail!$H$8,Detail!$E$21="YES"),-Detail!$E$30,0)</f>
        <v>0</v>
      </c>
      <c r="W104" s="299">
        <f>IF(AND(W17=Detail!$H$8,Detail!$E$21="YES"),-Detail!$E$30,0)</f>
        <v>0</v>
      </c>
      <c r="X104" s="299">
        <f>IF(AND(X17=Detail!$H$8,Detail!$E$21="YES"),-Detail!$E$30,0)</f>
        <v>0</v>
      </c>
      <c r="Y104" s="299">
        <f>IF(AND(Y17=Detail!$H$8,Detail!$E$21="YES"),-Detail!$E$30,0)</f>
        <v>0</v>
      </c>
      <c r="Z104" s="299">
        <f>IF(AND(Z17=Detail!$H$8,Detail!$E$21="YES"),-Detail!$E$30,0)</f>
        <v>0</v>
      </c>
      <c r="AA104" s="299">
        <f>IF(AND(AA17=Detail!$H$8,Detail!$E$21="YES"),-Detail!$E$30,0)</f>
        <v>0</v>
      </c>
      <c r="AB104" s="299">
        <f>IF(AND(AB17=Detail!$H$8,Detail!$E$21="YES"),-Detail!$E$30,0)</f>
        <v>0</v>
      </c>
      <c r="AC104" s="299">
        <f>IF(AND(AC17=Detail!$H$8,Detail!$E$21="YES"),-Detail!$E$30,0)</f>
        <v>0</v>
      </c>
      <c r="AD104" s="299">
        <f>IF(AND(AD17=Detail!$H$8,Detail!$E$21="YES"),-Detail!$E$30,0)</f>
        <v>0</v>
      </c>
      <c r="AE104" s="299">
        <f>IF(AND(AE17=Detail!$H$8,Detail!$E$21="YES"),-Detail!$E$30,0)</f>
        <v>0</v>
      </c>
      <c r="AF104" s="299">
        <f>IF(AND(AF17=Detail!$H$8,Detail!$E$21="YES"),-Detail!$E$30,0)</f>
        <v>0</v>
      </c>
      <c r="AG104" s="299">
        <f>IF(AND(AG17=Detail!$H$8,Detail!$E$21="YES"),-Detail!$E$30,0)</f>
        <v>0</v>
      </c>
      <c r="AH104" s="299">
        <f>IF(AND(AH17=Detail!$H$8,Detail!$E$21="YES"),-Detail!$E$30,0)</f>
        <v>0</v>
      </c>
      <c r="AI104" s="299">
        <f>IF(AND(AI17=Detail!$H$8,Detail!$E$21="YES"),-Detail!$E$30,0)</f>
        <v>0</v>
      </c>
      <c r="AJ104" s="299">
        <f>IF(AND(AJ17=Detail!$H$8,Detail!$E$21="YES"),-Detail!$E$30,0)</f>
        <v>0</v>
      </c>
      <c r="AK104" s="299">
        <f>IF(AND(AK17=Detail!$H$8,Detail!$E$21="YES"),-Detail!$E$30,0)</f>
        <v>0</v>
      </c>
      <c r="AL104" s="299">
        <f>IF(AND(AL17=Detail!$H$8,Detail!$E$21="YES"),-Detail!$E$30,0)</f>
        <v>0</v>
      </c>
      <c r="AM104" s="299">
        <f>IF(AND(AM17=Detail!$H$8,Detail!$E$21="YES"),-Detail!$E$30,0)</f>
        <v>0</v>
      </c>
      <c r="AN104" s="299">
        <f>IF(AND(AN17=Detail!$H$8,Detail!$E$21="YES"),-Detail!$E$30,0)</f>
        <v>0</v>
      </c>
      <c r="AO104" s="299">
        <f>IF(AND(AO17=Detail!$H$8,Detail!$E$21="YES"),-Detail!$E$30,0)</f>
        <v>0</v>
      </c>
      <c r="AP104" s="299">
        <f>IF(AND(AP17=Detail!$H$8,Detail!$E$21="YES"),-Detail!$E$30,0)</f>
        <v>0</v>
      </c>
      <c r="AQ104" s="299">
        <f>IF(AND(AQ17=Detail!$H$8,Detail!$E$21="YES"),-Detail!$E$30,0)</f>
        <v>0</v>
      </c>
      <c r="AR104" s="299">
        <f>IF(AND(AR17=Detail!$H$8,Detail!$E$21="YES"),-Detail!$E$30,0)</f>
        <v>0</v>
      </c>
      <c r="AS104" s="299">
        <f>IF(AND(AS17=Detail!$H$8,Detail!$E$21="YES"),-Detail!$E$30,0)</f>
        <v>0</v>
      </c>
      <c r="AT104" s="299">
        <f>IF(AND(AT17=Detail!$H$8,Detail!$E$21="YES"),-Detail!$E$30,0)</f>
        <v>0</v>
      </c>
      <c r="AU104" s="299">
        <f>IF(AND(AU17=Detail!$H$8,Detail!$E$21="YES"),-Detail!$E$30,0)</f>
        <v>0</v>
      </c>
      <c r="AV104" s="299">
        <f>IF(AND(AV17=Detail!$H$8,Detail!$E$21="YES"),-Detail!$E$30,0)</f>
        <v>0</v>
      </c>
      <c r="AW104" s="299">
        <f>IF(AND(AW17=Detail!$H$8,Detail!$E$21="YES"),-Detail!$E$30,0)</f>
        <v>0</v>
      </c>
      <c r="AX104" s="299">
        <f>IF(AND(AX17=Detail!$H$8,Detail!$E$21="YES"),-Detail!$E$30,0)</f>
        <v>0</v>
      </c>
      <c r="AY104" s="299">
        <f>IF(AND(AY17=Detail!$H$8,Detail!$E$21="YES"),-Detail!$E$30,0)</f>
        <v>0</v>
      </c>
      <c r="AZ104" s="299">
        <f>IF(AND(AZ17=Detail!$H$8,Detail!$E$21="YES"),-Detail!$E$30,0)</f>
        <v>0</v>
      </c>
      <c r="BA104" s="299">
        <f>IF(AND(BA17=Detail!$H$8,Detail!$E$21="YES"),-Detail!$E$30,0)</f>
        <v>0</v>
      </c>
      <c r="BB104" s="299">
        <f>IF(AND(BB17=Detail!$H$8,Detail!$E$21="YES"),-Detail!$E$30,0)</f>
        <v>0</v>
      </c>
      <c r="BC104" s="299">
        <f>IF(AND(BC17=Detail!$H$8,Detail!$E$21="YES"),-Detail!$E$30,0)</f>
        <v>0</v>
      </c>
      <c r="BD104" s="299">
        <f>IF(AND(BD17=Detail!$H$8,Detail!$E$21="YES"),-Detail!$E$30,0)</f>
        <v>0</v>
      </c>
      <c r="BE104" s="299">
        <f>IF(AND(BE17=Detail!$H$8,Detail!$E$21="YES"),-Detail!$E$30,0)</f>
        <v>0</v>
      </c>
      <c r="BF104" s="299">
        <f>IF(AND(BF17=Detail!$H$8,Detail!$E$21="YES"),-Detail!$E$30,0)</f>
        <v>0</v>
      </c>
      <c r="BG104" s="299">
        <f>IF(AND(BG17=Detail!$H$8,Detail!$E$21="YES"),-Detail!$E$30,0)</f>
        <v>0</v>
      </c>
      <c r="BH104" s="299">
        <f>IF(AND(BH17=Detail!$H$8,Detail!$E$21="YES"),-Detail!$E$30,0)</f>
        <v>0</v>
      </c>
      <c r="BI104" s="299">
        <f>IF(AND(BI17=Detail!$H$8,Detail!$E$21="YES"),-Detail!$E$30,0)</f>
        <v>0</v>
      </c>
      <c r="BJ104" s="299">
        <f>IF(AND(BJ17=Detail!$H$8,Detail!$E$21="YES"),-Detail!$E$30,0)</f>
        <v>0</v>
      </c>
      <c r="BK104" s="299">
        <f>IF(AND(BK17=Detail!$H$8,Detail!$E$21="YES"),-Detail!$E$30,0)</f>
        <v>0</v>
      </c>
      <c r="BL104" s="299">
        <f>IF(AND(BL17=Detail!$H$8,Detail!$E$21="YES"),-Detail!$E$30,0)</f>
        <v>0</v>
      </c>
      <c r="BM104" s="299">
        <f>IF(AND(BM17=Detail!$H$8,Detail!$E$21="YES"),-Detail!$E$30,0)</f>
        <v>0</v>
      </c>
      <c r="BN104" s="299">
        <f>IF(AND(BN17=Detail!$H$8,Detail!$E$21="YES"),-Detail!$E$30,0)</f>
        <v>0</v>
      </c>
      <c r="BO104" s="299">
        <f>IF(AND(BO17=Detail!$H$8,Detail!$E$21="YES"),-Detail!$E$30,0)</f>
        <v>0</v>
      </c>
      <c r="BP104" s="299">
        <f>IF(AND(BP17=Detail!$H$8,Detail!$E$21="YES"),-Detail!$E$30,0)</f>
        <v>0</v>
      </c>
      <c r="BQ104" s="299">
        <f>IF(AND(BQ17=Detail!$H$8,Detail!$E$21="YES"),-Detail!$E$30,0)</f>
        <v>0</v>
      </c>
      <c r="BR104" s="299">
        <f>IF(AND(BR17=Detail!$H$8,Detail!$E$21="YES"),-Detail!$E$30,0)</f>
        <v>0</v>
      </c>
      <c r="BS104" s="299">
        <f>IF(AND(BS17=Detail!$H$8,Detail!$E$21="YES"),-Detail!$E$30,0)</f>
        <v>0</v>
      </c>
      <c r="BT104" s="299">
        <f>IF(AND(BT17=Detail!$H$8,Detail!$E$21="YES"),-Detail!$E$30,0)</f>
        <v>0</v>
      </c>
      <c r="BU104" s="299">
        <f>IF(AND(BU17=Detail!$H$8,Detail!$E$21="YES"),-Detail!$E$30,0)</f>
        <v>0</v>
      </c>
      <c r="BV104" s="299">
        <f>IF(AND(BV17=Detail!$H$8,Detail!$E$21="YES"),-Detail!$E$30,0)</f>
        <v>0</v>
      </c>
      <c r="BW104" s="299">
        <f>IF(AND(BW17=Detail!$H$8,Detail!$E$21="YES"),-Detail!$E$30,0)</f>
        <v>0</v>
      </c>
      <c r="BX104" s="299">
        <f>IF(AND(BX17=Detail!$H$8,Detail!$E$21="YES"),-Detail!$E$30,0)</f>
        <v>0</v>
      </c>
      <c r="BY104" s="299">
        <f>IF(AND(BY17=Detail!$H$8,Detail!$E$21="YES"),-Detail!$E$30,0)</f>
        <v>0</v>
      </c>
      <c r="BZ104" s="299">
        <f>IF(AND(BZ17=Detail!$H$8,Detail!$E$21="YES"),-Detail!$E$30,0)</f>
        <v>0</v>
      </c>
      <c r="CA104" s="299">
        <f>IF(AND(CA17=Detail!$H$8,Detail!$E$21="YES"),-Detail!$E$30,0)</f>
        <v>0</v>
      </c>
      <c r="CB104" s="299">
        <f>IF(AND(CB17=Detail!$H$8,Detail!$E$21="YES"),-Detail!$E$30,0)</f>
        <v>0</v>
      </c>
      <c r="CC104" s="299">
        <f>IF(AND(CC17=Detail!$H$8,Detail!$E$21="YES"),-Detail!$E$30,0)</f>
        <v>0</v>
      </c>
      <c r="CD104" s="299">
        <f>IF(AND(CD17=Detail!$H$8,Detail!$E$21="YES"),-Detail!$E$30,0)</f>
        <v>0</v>
      </c>
      <c r="CE104" s="299">
        <f>IF(AND(CE17=Detail!$H$8,Detail!$E$21="YES"),-Detail!$E$30,0)</f>
        <v>0</v>
      </c>
      <c r="CF104" s="299">
        <f>IF(AND(CF17=Detail!$H$8,Detail!$E$21="YES"),-Detail!$E$30,0)</f>
        <v>0</v>
      </c>
      <c r="CG104" s="299">
        <f>IF(AND(CG17=Detail!$H$8,Detail!$E$21="YES"),-Detail!$E$30,0)</f>
        <v>0</v>
      </c>
      <c r="CH104" s="299">
        <f>IF(AND(CH17=Detail!$H$8,Detail!$E$21="YES"),-Detail!$E$30,0)</f>
        <v>0</v>
      </c>
      <c r="CI104" s="299">
        <f>IF(AND(CI17=Detail!$H$8,Detail!$E$21="YES"),-Detail!$E$30,0)</f>
        <v>0</v>
      </c>
      <c r="CJ104" s="299">
        <f>IF(AND(CJ17=Detail!$H$8,Detail!$E$21="YES"),-Detail!$E$30,0)</f>
        <v>0</v>
      </c>
      <c r="CK104" s="299">
        <f>IF(AND(CK17=Detail!$H$8,Detail!$E$21="YES"),-Detail!$E$30,0)</f>
        <v>0</v>
      </c>
      <c r="CL104" s="299">
        <f>IF(AND(CL17=Detail!$H$8,Detail!$E$21="YES"),-Detail!$E$30,0)</f>
        <v>0</v>
      </c>
      <c r="CM104" s="299">
        <f>IF(AND(CM17=Detail!$H$8,Detail!$E$21="YES"),-Detail!$E$30,0)</f>
        <v>0</v>
      </c>
      <c r="CN104" s="299">
        <f>IF(AND(CN17=Detail!$H$8,Detail!$E$21="YES"),-Detail!$E$30,0)</f>
        <v>0</v>
      </c>
      <c r="CO104" s="299">
        <f>IF(AND(CO17=Detail!$H$8,Detail!$E$21="YES"),-Detail!$E$30,0)</f>
        <v>0</v>
      </c>
      <c r="CP104" s="299">
        <f>IF(AND(CP17=Detail!$H$8,Detail!$E$21="YES"),-Detail!$E$30,0)</f>
        <v>0</v>
      </c>
      <c r="CQ104" s="299">
        <f>IF(AND(CQ17=Detail!$H$8,Detail!$E$21="YES"),-Detail!$E$30,0)</f>
        <v>0</v>
      </c>
      <c r="CR104" s="299">
        <f>IF(AND(CR17=Detail!$H$8,Detail!$E$21="YES"),-Detail!$E$30,0)</f>
        <v>0</v>
      </c>
      <c r="CS104" s="299">
        <f>IF(AND(CS17=Detail!$H$8,Detail!$E$21="YES"),-Detail!$E$30,0)</f>
        <v>0</v>
      </c>
      <c r="CT104" s="299">
        <f>IF(AND(CT17=Detail!$H$8,Detail!$E$21="YES"),-Detail!$E$30,0)</f>
        <v>0</v>
      </c>
      <c r="CU104" s="299">
        <f>IF(AND(CU17=Detail!$H$8,Detail!$E$21="YES"),-Detail!$E$30,0)</f>
        <v>0</v>
      </c>
      <c r="CV104" s="299">
        <f>IF(AND(CV17=Detail!$H$8,Detail!$E$21="YES"),-Detail!$E$30,0)</f>
        <v>0</v>
      </c>
      <c r="CW104" s="299">
        <f>IF(AND(CW17=Detail!$H$8,Detail!$E$21="YES"),-Detail!$E$30,0)</f>
        <v>0</v>
      </c>
      <c r="CX104" s="299">
        <f>IF(AND(CX17=Detail!$H$8,Detail!$E$21="YES"),-Detail!$E$30,0)</f>
        <v>0</v>
      </c>
      <c r="CY104" s="299">
        <f>IF(AND(CY17=Detail!$H$8,Detail!$E$21="YES"),-Detail!$E$30,0)</f>
        <v>0</v>
      </c>
      <c r="CZ104" s="299">
        <f>IF(AND(CZ17=Detail!$H$8,Detail!$E$21="YES"),-Detail!$E$30,0)</f>
        <v>0</v>
      </c>
      <c r="DA104" s="299">
        <f>IF(AND(DA17=Detail!$H$8,Detail!$E$21="YES"),-Detail!$E$30,0)</f>
        <v>0</v>
      </c>
      <c r="DB104" s="299">
        <f>IF(AND(DB17=Detail!$H$8,Detail!$E$21="YES"),-Detail!$E$30,0)</f>
        <v>0</v>
      </c>
      <c r="DC104" s="299">
        <f>IF(AND(DC17=Detail!$H$8,Detail!$E$21="YES"),-Detail!$E$30,0)</f>
        <v>0</v>
      </c>
      <c r="DD104" s="299">
        <f>IF(AND(DD17=Detail!$H$8,Detail!$E$21="YES"),-Detail!$E$30,0)</f>
        <v>0</v>
      </c>
      <c r="DE104" s="299">
        <f>IF(AND(DE17=Detail!$H$8,Detail!$E$21="YES"),-Detail!$E$30,0)</f>
        <v>0</v>
      </c>
      <c r="DF104" s="299">
        <f>IF(AND(DF17=Detail!$H$8,Detail!$E$21="YES"),-Detail!$E$30,0)</f>
        <v>0</v>
      </c>
      <c r="DG104" s="299">
        <f>IF(AND(DG17=Detail!$H$8,Detail!$E$21="YES"),-Detail!$E$30,0)</f>
        <v>0</v>
      </c>
      <c r="DH104" s="299">
        <f>IF(AND(DH17=Detail!$H$8,Detail!$E$21="YES"),-Detail!$E$30,0)</f>
        <v>0</v>
      </c>
      <c r="DI104" s="299">
        <f>IF(AND(DI17=Detail!$H$8,Detail!$E$21="YES"),-Detail!$E$30,0)</f>
        <v>0</v>
      </c>
      <c r="DJ104" s="299">
        <f>IF(AND(DJ17=Detail!$H$8,Detail!$E$21="YES"),-Detail!$E$30,0)</f>
        <v>0</v>
      </c>
      <c r="DK104" s="299">
        <f>IF(AND(DK17=Detail!$H$8,Detail!$E$21="YES"),-Detail!$E$30,0)</f>
        <v>0</v>
      </c>
      <c r="DL104" s="299">
        <f>IF(AND(DL17=Detail!$H$8,Detail!$E$21="YES"),-Detail!$E$30,0)</f>
        <v>0</v>
      </c>
      <c r="DM104" s="299">
        <f>IF(AND(DM17=Detail!$H$8,Detail!$E$21="YES"),-Detail!$E$30,0)</f>
        <v>0</v>
      </c>
      <c r="DN104" s="299">
        <f>IF(AND(DN17=Detail!$H$8,Detail!$E$21="YES"),-Detail!$E$30,0)</f>
        <v>0</v>
      </c>
      <c r="DO104" s="299">
        <f>IF(AND(DO17=Detail!$H$8,Detail!$E$21="YES"),-Detail!$E$30,0)</f>
        <v>0</v>
      </c>
      <c r="DP104" s="299">
        <f>IF(AND(DP17=Detail!$H$8,Detail!$E$21="YES"),-Detail!$E$30,0)</f>
        <v>0</v>
      </c>
      <c r="DQ104" s="299">
        <f>IF(AND(DQ17=Detail!$H$8,Detail!$E$21="YES"),-Detail!$E$30,0)</f>
        <v>0</v>
      </c>
      <c r="DR104" s="299">
        <f>IF(AND(DR17=Detail!$H$8,Detail!$E$21="YES"),-Detail!$E$30,0)</f>
        <v>0</v>
      </c>
      <c r="DS104" s="299">
        <f>IF(AND(DS17=Detail!$H$8,Detail!$E$21="YES"),-Detail!$E$30,0)</f>
        <v>0</v>
      </c>
      <c r="DT104" s="299">
        <f>IF(AND(DT17=Detail!$H$8,Detail!$E$21="YES"),-Detail!$E$30,0)</f>
        <v>0</v>
      </c>
      <c r="DU104" s="299">
        <f>IF(AND(DU17=Detail!$H$8,Detail!$E$21="YES"),-Detail!$E$30,0)</f>
        <v>0</v>
      </c>
      <c r="DV104" s="299">
        <f>IF(AND(DV17=Detail!$H$8,Detail!$E$21="YES"),-Detail!$E$30,0)</f>
        <v>0</v>
      </c>
      <c r="DW104" s="299">
        <f>IF(AND(DW17=Detail!$H$8,Detail!$E$21="YES"),-Detail!$E$30,0)</f>
        <v>0</v>
      </c>
      <c r="DX104" s="299">
        <f>IF(AND(DX17=Detail!$H$8,Detail!$E$21="YES"),-Detail!$E$30,0)</f>
        <v>0</v>
      </c>
      <c r="DY104" s="299">
        <f>IF(AND(DY17=Detail!$H$8,Detail!$E$21="YES"),-Detail!$E$30,0)</f>
        <v>0</v>
      </c>
      <c r="DZ104" s="299">
        <f>IF(AND(DZ17=Detail!$H$8,Detail!$E$21="YES"),-Detail!$E$30,0)</f>
        <v>0</v>
      </c>
      <c r="EA104" s="299">
        <f>IF(AND(EA17=Detail!$H$8,Detail!$E$21="YES"),-Detail!$E$30,0)</f>
        <v>0</v>
      </c>
      <c r="EB104" s="299">
        <f>IF(AND(EB17=Detail!$H$8,Detail!$E$21="YES"),-Detail!$E$30,0)</f>
        <v>0</v>
      </c>
      <c r="EC104" s="299">
        <f>IF(AND(EC17=Detail!$H$8,Detail!$E$21="YES"),-Detail!$E$30,0)</f>
        <v>0</v>
      </c>
      <c r="ED104" s="299">
        <f>IF(AND(ED17=Detail!$H$8,Detail!$E$21="YES"),-Detail!$E$30,0)</f>
        <v>0</v>
      </c>
      <c r="EE104" s="299">
        <f>IF(AND(EE17=Detail!$H$8,Detail!$E$21="YES"),-Detail!$E$30,0)</f>
        <v>0</v>
      </c>
      <c r="EF104" s="299">
        <f>IF(AND(EF17=Detail!$H$8,Detail!$E$21="YES"),-Detail!$E$30,0)</f>
        <v>0</v>
      </c>
      <c r="EG104" s="299">
        <f>IF(AND(EG17=Detail!$H$8,Detail!$E$21="YES"),-Detail!$E$30,0)</f>
        <v>0</v>
      </c>
      <c r="EH104" s="299">
        <f>IF(AND(EH17=Detail!$H$8,Detail!$E$21="YES"),-Detail!$E$30,0)</f>
        <v>0</v>
      </c>
      <c r="EI104" s="299">
        <f>IF(AND(EI17=Detail!$H$8,Detail!$E$21="YES"),-Detail!$E$30,0)</f>
        <v>0</v>
      </c>
      <c r="EJ104" s="299">
        <f>IF(AND(EJ17=Detail!$H$8,Detail!$E$21="YES"),-Detail!$E$30,0)</f>
        <v>0</v>
      </c>
      <c r="EK104" s="299">
        <f>IF(AND(EK17=Detail!$H$8,Detail!$E$21="YES"),-Detail!$E$30,0)</f>
        <v>0</v>
      </c>
      <c r="EL104" s="299">
        <f>IF(AND(EL17=Detail!$H$8,Detail!$E$21="YES"),-Detail!$E$30,0)</f>
        <v>0</v>
      </c>
      <c r="EM104" s="299">
        <f>IF(AND(EM17=Detail!$H$8,Detail!$E$21="YES"),-Detail!$E$30,0)</f>
        <v>0</v>
      </c>
      <c r="EN104" s="299">
        <f>IF(AND(EN17=Detail!$H$8,Detail!$E$21="YES"),-Detail!$E$30,0)</f>
        <v>0</v>
      </c>
      <c r="EO104" s="299">
        <f>IF(AND(EO17=Detail!$H$8,Detail!$E$21="YES"),-Detail!$E$30,0)</f>
        <v>0</v>
      </c>
      <c r="EP104" s="299">
        <f>IF(AND(EP17=Detail!$H$8,Detail!$E$21="YES"),-Detail!$E$30,0)</f>
        <v>0</v>
      </c>
      <c r="EQ104" s="299">
        <f>IF(AND(EQ17=Detail!$H$8,Detail!$E$21="YES"),-Detail!$E$30,0)</f>
        <v>0</v>
      </c>
      <c r="ER104" s="299">
        <f>IF(AND(ER17=Detail!$H$8,Detail!$E$21="YES"),-Detail!$E$30,0)</f>
        <v>0</v>
      </c>
      <c r="ES104" s="299">
        <f>IF(AND(ES17=Detail!$H$8,Detail!$E$21="YES"),-Detail!$E$30,0)</f>
        <v>0</v>
      </c>
      <c r="ET104" s="299">
        <f>IF(AND(ET17=Detail!$H$8,Detail!$E$21="YES"),-Detail!$E$30,0)</f>
        <v>0</v>
      </c>
      <c r="EU104" s="299">
        <f>IF(AND(EU17=Detail!$H$8,Detail!$E$21="YES"),-Detail!$E$30,0)</f>
        <v>0</v>
      </c>
      <c r="EV104" s="299">
        <f>IF(AND(EV17=Detail!$H$8,Detail!$E$21="YES"),-Detail!$E$30,0)</f>
        <v>0</v>
      </c>
      <c r="EW104" s="299">
        <f>IF(AND(EW17=Detail!$H$8,Detail!$E$21="YES"),-Detail!$E$30,0)</f>
        <v>0</v>
      </c>
      <c r="EX104" s="299">
        <f>IF(AND(EX17=Detail!$H$8,Detail!$E$21="YES"),-Detail!$E$30,0)</f>
        <v>0</v>
      </c>
      <c r="EY104" s="299">
        <f>IF(AND(EY17=Detail!$H$8,Detail!$E$21="YES"),-Detail!$E$30,0)</f>
        <v>0</v>
      </c>
      <c r="EZ104" s="299">
        <f>IF(AND(EZ17=Detail!$H$8,Detail!$E$21="YES"),-Detail!$E$30,0)</f>
        <v>0</v>
      </c>
      <c r="FA104" s="299">
        <f>IF(AND(FA17=Detail!$H$8,Detail!$E$21="YES"),-Detail!$E$30,0)</f>
        <v>0</v>
      </c>
      <c r="FB104" s="299">
        <f>IF(AND(FB17=Detail!$H$8,Detail!$E$21="YES"),-Detail!$E$30,0)</f>
        <v>0</v>
      </c>
      <c r="FC104" s="299">
        <f>IF(AND(FC17=Detail!$H$8,Detail!$E$21="YES"),-Detail!$E$30,0)</f>
        <v>0</v>
      </c>
      <c r="FD104" s="299">
        <f>IF(AND(FD17=Detail!$H$8,Detail!$E$21="YES"),-Detail!$E$30,0)</f>
        <v>0</v>
      </c>
      <c r="FE104" s="299">
        <f>IF(AND(FE17=Detail!$H$8,Detail!$E$21="YES"),-Detail!$E$30,0)</f>
        <v>0</v>
      </c>
      <c r="FF104" s="299">
        <f>IF(AND(FF17=Detail!$H$8,Detail!$E$21="YES"),-Detail!$E$30,0)</f>
        <v>0</v>
      </c>
      <c r="FG104" s="299">
        <f>IF(AND(FG17=Detail!$H$8,Detail!$E$21="YES"),-Detail!$E$30,0)</f>
        <v>0</v>
      </c>
      <c r="FH104" s="299">
        <f>IF(AND(FH17=Detail!$H$8,Detail!$E$21="YES"),-Detail!$E$30,0)</f>
        <v>0</v>
      </c>
      <c r="FI104" s="299">
        <f>IF(AND(FI17=Detail!$H$8,Detail!$E$21="YES"),-Detail!$E$30,0)</f>
        <v>0</v>
      </c>
      <c r="FJ104" s="299">
        <f>IF(AND(FJ17=Detail!$H$8,Detail!$E$21="YES"),-Detail!$E$30,0)</f>
        <v>0</v>
      </c>
      <c r="FK104" s="299">
        <f>IF(AND(FK17=Detail!$H$8,Detail!$E$21="YES"),-Detail!$E$30,0)</f>
        <v>0</v>
      </c>
      <c r="FL104" s="299">
        <f>IF(AND(FL17=Detail!$H$8,Detail!$E$21="YES"),-Detail!$E$30,0)</f>
        <v>0</v>
      </c>
      <c r="FM104" s="299">
        <f>IF(AND(FM17=Detail!$H$8,Detail!$E$21="YES"),-Detail!$E$30,0)</f>
        <v>0</v>
      </c>
      <c r="FN104" s="299">
        <f>IF(AND(FN17=Detail!$H$8,Detail!$E$21="YES"),-Detail!$E$30,0)</f>
        <v>0</v>
      </c>
      <c r="FO104" s="299">
        <f>IF(AND(FO17=Detail!$H$8,Detail!$E$21="YES"),-Detail!$E$30,0)</f>
        <v>0</v>
      </c>
      <c r="FP104" s="299">
        <f>IF(AND(FP17=Detail!$H$8,Detail!$E$21="YES"),-Detail!$E$30,0)</f>
        <v>0</v>
      </c>
      <c r="FQ104" s="299">
        <f>IF(AND(FQ17=Detail!$H$8,Detail!$E$21="YES"),-Detail!$E$30,0)</f>
        <v>0</v>
      </c>
      <c r="FR104" s="299">
        <f>IF(AND(FR17=Detail!$H$8,Detail!$E$21="YES"),-Detail!$E$30,0)</f>
        <v>0</v>
      </c>
      <c r="FS104" s="299">
        <f>IF(AND(FS17=Detail!$H$8,Detail!$E$21="YES"),-Detail!$E$30,0)</f>
        <v>0</v>
      </c>
    </row>
    <row r="105" spans="2:175" ht="12.75" customHeight="1">
      <c r="B105" s="517" t="s">
        <v>332</v>
      </c>
      <c r="C105" s="299">
        <f t="shared" si="131"/>
        <v>0</v>
      </c>
      <c r="D105" s="644"/>
      <c r="E105" s="299"/>
      <c r="F105" s="299"/>
      <c r="G105" s="299"/>
      <c r="H105" s="299"/>
      <c r="I105" s="299"/>
      <c r="J105" s="299"/>
      <c r="K105" s="299"/>
      <c r="L105" s="299"/>
      <c r="M105" s="299"/>
      <c r="N105" s="299"/>
      <c r="O105" s="299"/>
      <c r="P105" s="299"/>
      <c r="Q105" s="299"/>
      <c r="R105" s="299"/>
      <c r="S105" s="299"/>
      <c r="T105" s="299"/>
      <c r="U105" s="299"/>
      <c r="V105" s="299"/>
      <c r="W105" s="299"/>
      <c r="X105" s="299"/>
      <c r="Y105" s="299"/>
      <c r="Z105" s="299"/>
      <c r="AA105" s="299"/>
      <c r="AB105" s="299"/>
      <c r="AC105" s="299"/>
      <c r="AD105" s="299"/>
      <c r="AE105" s="299"/>
      <c r="AF105" s="299"/>
      <c r="AG105" s="299"/>
      <c r="AH105" s="299"/>
      <c r="AI105" s="299"/>
      <c r="AJ105" s="299"/>
      <c r="AK105" s="299"/>
      <c r="AL105" s="299"/>
      <c r="AM105" s="299"/>
      <c r="AN105" s="299"/>
      <c r="AO105" s="299"/>
      <c r="AP105" s="299"/>
      <c r="AQ105" s="299"/>
      <c r="AR105" s="299"/>
      <c r="AS105" s="299"/>
      <c r="AT105" s="299"/>
      <c r="AU105" s="299"/>
      <c r="AV105" s="299"/>
      <c r="AW105" s="299"/>
      <c r="AX105" s="299"/>
      <c r="AY105" s="299"/>
      <c r="AZ105" s="299"/>
      <c r="BA105" s="299"/>
      <c r="BB105" s="299"/>
      <c r="BC105" s="299"/>
      <c r="BD105" s="299"/>
      <c r="BE105" s="299"/>
      <c r="BF105" s="299"/>
      <c r="BG105" s="299"/>
      <c r="BH105" s="299"/>
      <c r="BI105" s="299"/>
      <c r="BJ105" s="299"/>
      <c r="BK105" s="299"/>
      <c r="BL105" s="299"/>
      <c r="BM105" s="299"/>
      <c r="BN105" s="299"/>
      <c r="BO105" s="299"/>
      <c r="BP105" s="299"/>
      <c r="BQ105" s="299"/>
      <c r="BR105" s="299"/>
      <c r="BS105" s="299"/>
      <c r="BT105" s="299"/>
      <c r="BU105" s="299"/>
      <c r="BV105" s="299"/>
      <c r="BW105" s="299"/>
      <c r="BX105" s="299"/>
      <c r="BY105" s="299"/>
      <c r="BZ105" s="299"/>
      <c r="CA105" s="299"/>
      <c r="CB105" s="299"/>
      <c r="CC105" s="299"/>
      <c r="CD105" s="299"/>
      <c r="CE105" s="299"/>
      <c r="CF105" s="299"/>
      <c r="CG105" s="299"/>
      <c r="CH105" s="299"/>
      <c r="CI105" s="299"/>
      <c r="CJ105" s="299"/>
      <c r="CK105" s="299"/>
      <c r="CL105" s="299"/>
      <c r="CM105" s="299"/>
      <c r="CN105" s="299"/>
      <c r="CO105" s="299"/>
      <c r="CP105" s="299"/>
      <c r="CQ105" s="299"/>
      <c r="CR105" s="299"/>
      <c r="CS105" s="299"/>
      <c r="CT105" s="299"/>
      <c r="CU105" s="299"/>
      <c r="CV105" s="299"/>
      <c r="CW105" s="299"/>
      <c r="CX105" s="299"/>
      <c r="CY105" s="299"/>
      <c r="CZ105" s="299"/>
      <c r="DA105" s="299"/>
      <c r="DB105" s="299"/>
      <c r="DC105" s="299"/>
      <c r="DD105" s="299"/>
      <c r="DE105" s="299"/>
      <c r="DF105" s="299"/>
      <c r="DG105" s="299"/>
      <c r="DH105" s="299"/>
      <c r="DI105" s="299"/>
      <c r="DJ105" s="299"/>
      <c r="DK105" s="299"/>
      <c r="DL105" s="299"/>
      <c r="DM105" s="299"/>
      <c r="DN105" s="299"/>
      <c r="DO105" s="299"/>
      <c r="DP105" s="299"/>
      <c r="DQ105" s="299"/>
      <c r="DR105" s="299"/>
      <c r="DS105" s="299"/>
      <c r="DT105" s="299"/>
      <c r="DU105" s="299"/>
      <c r="DV105" s="299"/>
      <c r="DW105" s="299"/>
      <c r="DX105" s="299"/>
      <c r="DY105" s="299"/>
      <c r="DZ105" s="299"/>
      <c r="EA105" s="299"/>
      <c r="EB105" s="299"/>
      <c r="EC105" s="299"/>
      <c r="ED105" s="299"/>
      <c r="EE105" s="299"/>
      <c r="EF105" s="299"/>
      <c r="EG105" s="299"/>
      <c r="EH105" s="299"/>
      <c r="EI105" s="299"/>
      <c r="EJ105" s="299"/>
      <c r="EK105" s="299"/>
      <c r="EL105" s="299"/>
      <c r="EM105" s="299"/>
      <c r="EN105" s="299"/>
      <c r="EO105" s="299"/>
      <c r="EP105" s="299"/>
      <c r="EQ105" s="299"/>
      <c r="ER105" s="299"/>
      <c r="ES105" s="299"/>
      <c r="ET105" s="299"/>
      <c r="EU105" s="299"/>
      <c r="EV105" s="299"/>
      <c r="EW105" s="299"/>
      <c r="EX105" s="299"/>
      <c r="EY105" s="299"/>
      <c r="EZ105" s="299"/>
      <c r="FA105" s="299"/>
      <c r="FB105" s="299"/>
      <c r="FC105" s="299"/>
      <c r="FD105" s="299"/>
      <c r="FE105" s="299"/>
      <c r="FF105" s="299"/>
      <c r="FG105" s="299"/>
      <c r="FH105" s="299"/>
      <c r="FI105" s="299"/>
      <c r="FJ105" s="299"/>
      <c r="FK105" s="299"/>
      <c r="FL105" s="299"/>
      <c r="FM105" s="299"/>
      <c r="FN105" s="299"/>
      <c r="FO105" s="299"/>
      <c r="FP105" s="299"/>
      <c r="FQ105" s="299"/>
      <c r="FR105" s="299"/>
      <c r="FS105" s="299"/>
    </row>
    <row r="106" spans="2:175" ht="12.75" customHeight="1">
      <c r="B106" s="517" t="s">
        <v>333</v>
      </c>
      <c r="C106" s="299">
        <f t="shared" si="131"/>
        <v>0</v>
      </c>
      <c r="D106" s="644"/>
      <c r="E106" s="299"/>
      <c r="F106" s="299">
        <f>(F5-E5)/360*F103*Detail!$E$26</f>
        <v>0</v>
      </c>
      <c r="G106" s="299">
        <f>(G5-F5)/360*G103*Detail!$E$26</f>
        <v>0</v>
      </c>
      <c r="H106" s="299">
        <f>(H5-G5)/360*H103*Detail!$E$26</f>
        <v>0</v>
      </c>
      <c r="I106" s="299">
        <f>(I5-H5)/360*I103*Detail!$E$26</f>
        <v>0</v>
      </c>
      <c r="J106" s="299">
        <f>(J5-I5)/360*J103*Detail!$E$26</f>
        <v>0</v>
      </c>
      <c r="K106" s="299">
        <f>(K5-J5)/360*K103*Detail!$E$26</f>
        <v>0</v>
      </c>
      <c r="L106" s="299">
        <f>(L5-K5)/360*L103*Detail!$E$26</f>
        <v>0</v>
      </c>
      <c r="M106" s="299">
        <f>(M5-L5)/360*M103*Detail!$E$26</f>
        <v>0</v>
      </c>
      <c r="N106" s="299">
        <f>(N5-M5)/360*N103*Detail!$E$26</f>
        <v>0</v>
      </c>
      <c r="O106" s="299">
        <f>(O5-N5)/360*O103*Detail!$E$26</f>
        <v>0</v>
      </c>
      <c r="P106" s="299">
        <f>(P5-O5)/360*P103*Detail!$E$26</f>
        <v>0</v>
      </c>
      <c r="Q106" s="299">
        <f>(Q5-P5)/360*Q103*Detail!$E$26</f>
        <v>0</v>
      </c>
      <c r="R106" s="299">
        <f>(R5-Q5)/360*R103*Detail!$E$26</f>
        <v>0</v>
      </c>
      <c r="S106" s="299">
        <f>(S5-R5)/360*S103*Detail!$E$26</f>
        <v>0</v>
      </c>
      <c r="T106" s="299">
        <f>(T5-S5)/360*T103*Detail!$E$26</f>
        <v>0</v>
      </c>
      <c r="U106" s="299">
        <f>(U5-T5)/360*U103*Detail!$E$26</f>
        <v>0</v>
      </c>
      <c r="V106" s="299">
        <f>(V5-U5)/360*V103*Detail!$E$26</f>
        <v>0</v>
      </c>
      <c r="W106" s="299">
        <f>(W5-V5)/360*W103*Detail!$E$26</f>
        <v>0</v>
      </c>
      <c r="X106" s="299">
        <f>(X5-W5)/360*X103*Detail!$E$26</f>
        <v>0</v>
      </c>
      <c r="Y106" s="299">
        <f>(Y5-X5)/360*Y103*Detail!$E$26</f>
        <v>0</v>
      </c>
      <c r="Z106" s="299">
        <f>(Z5-Y5)/360*Z103*Detail!$E$26</f>
        <v>0</v>
      </c>
      <c r="AA106" s="299">
        <f>(AA5-Z5)/360*AA103*Detail!$E$26</f>
        <v>0</v>
      </c>
      <c r="AB106" s="299">
        <f>(AB5-AA5)/360*AB103*Detail!$E$26</f>
        <v>0</v>
      </c>
      <c r="AC106" s="299">
        <f>(AC5-AB5)/360*AC103*Detail!$E$26</f>
        <v>0</v>
      </c>
      <c r="AD106" s="299">
        <f>(AD5-AC5)/360*AD103*Detail!$E$26</f>
        <v>0</v>
      </c>
      <c r="AE106" s="299">
        <f>(AE5-AD5)/360*AE103*Detail!$E$26</f>
        <v>0</v>
      </c>
      <c r="AF106" s="299">
        <f>(AF5-AE5)/360*AF103*Detail!$E$26</f>
        <v>0</v>
      </c>
      <c r="AG106" s="299">
        <f>(AG5-AF5)/360*AG103*Detail!$E$26</f>
        <v>0</v>
      </c>
      <c r="AH106" s="299">
        <f>(AH5-AG5)/360*AH103*Detail!$E$26</f>
        <v>0</v>
      </c>
      <c r="AI106" s="299">
        <f>(AI5-AH5)/360*AI103*Detail!$E$26</f>
        <v>0</v>
      </c>
      <c r="AJ106" s="299">
        <f>(AJ5-AI5)/360*AJ103*Detail!$E$26</f>
        <v>0</v>
      </c>
      <c r="AK106" s="299">
        <f>(AK5-AJ5)/360*AK103*Detail!$E$26</f>
        <v>0</v>
      </c>
      <c r="AL106" s="299">
        <f>(AL5-AK5)/360*AL103*Detail!$E$26</f>
        <v>0</v>
      </c>
      <c r="AM106" s="299">
        <f>(AM5-AL5)/360*AM103*Detail!$E$26</f>
        <v>0</v>
      </c>
      <c r="AN106" s="299">
        <f>(AN5-AM5)/360*AN103*Detail!$E$26</f>
        <v>0</v>
      </c>
      <c r="AO106" s="299">
        <f>(AO5-AN5)/360*AO103*Detail!$E$26</f>
        <v>0</v>
      </c>
      <c r="AP106" s="299">
        <f>(AP5-AO5)/360*AP103*Detail!$E$26</f>
        <v>0</v>
      </c>
      <c r="AQ106" s="299">
        <f>(AQ5-AP5)/360*AQ103*Detail!$E$26</f>
        <v>0</v>
      </c>
      <c r="AR106" s="299">
        <f>(AR5-AQ5)/360*AR103*Detail!$E$26</f>
        <v>0</v>
      </c>
      <c r="AS106" s="299">
        <f>(AS5-AR5)/360*AS103*Detail!$E$26</f>
        <v>0</v>
      </c>
      <c r="AT106" s="299">
        <f>(AT5-AS5)/360*AT103*Detail!$E$26</f>
        <v>0</v>
      </c>
      <c r="AU106" s="299">
        <f>(AU5-AT5)/360*AU103*Detail!$E$26</f>
        <v>0</v>
      </c>
      <c r="AV106" s="299">
        <f>(AV5-AU5)/360*AV103*Detail!$E$26</f>
        <v>0</v>
      </c>
      <c r="AW106" s="299">
        <f>(AW5-AV5)/360*AW103*Detail!$E$26</f>
        <v>0</v>
      </c>
      <c r="AX106" s="299">
        <f>(AX5-AW5)/360*AX103*Detail!$E$26</f>
        <v>0</v>
      </c>
      <c r="AY106" s="299">
        <f>(AY5-AX5)/360*AY103*Detail!$E$26</f>
        <v>0</v>
      </c>
      <c r="AZ106" s="299">
        <f>(AZ5-AY5)/360*AZ103*Detail!$E$26</f>
        <v>0</v>
      </c>
      <c r="BA106" s="299">
        <f>(BA5-AZ5)/360*BA103*Detail!$E$26</f>
        <v>0</v>
      </c>
      <c r="BB106" s="299">
        <f>(BB5-BA5)/360*BB103*Detail!$E$26</f>
        <v>0</v>
      </c>
      <c r="BC106" s="299">
        <f>(BC5-BB5)/360*BC103*Detail!$E$26</f>
        <v>0</v>
      </c>
      <c r="BD106" s="299">
        <f>(BD5-BC5)/360*BD103*Detail!$E$26</f>
        <v>0</v>
      </c>
      <c r="BE106" s="299">
        <f>(BE5-BD5)/360*BE103*Detail!$E$26</f>
        <v>0</v>
      </c>
      <c r="BF106" s="299">
        <f>(BF5-BE5)/360*BF103*Detail!$E$26</f>
        <v>0</v>
      </c>
      <c r="BG106" s="299">
        <f>(BG5-BF5)/360*BG103*Detail!$E$26</f>
        <v>0</v>
      </c>
      <c r="BH106" s="299">
        <f>(BH5-BG5)/360*BH103*Detail!$E$26</f>
        <v>0</v>
      </c>
      <c r="BI106" s="299">
        <f>(BI5-BH5)/360*BI103*Detail!$E$26</f>
        <v>0</v>
      </c>
      <c r="BJ106" s="299">
        <f>(BJ5-BI5)/360*BJ103*Detail!$E$26</f>
        <v>0</v>
      </c>
      <c r="BK106" s="299">
        <f>(BK5-BJ5)/360*BK103*Detail!$E$26</f>
        <v>0</v>
      </c>
      <c r="BL106" s="299">
        <f>(BL5-BK5)/360*BL103*Detail!$E$26</f>
        <v>0</v>
      </c>
      <c r="BM106" s="299">
        <f>(BM5-BL5)/360*BM103*Detail!$E$26</f>
        <v>0</v>
      </c>
      <c r="BN106" s="299">
        <f>(BN5-BM5)/360*BN103*Detail!$E$26</f>
        <v>0</v>
      </c>
      <c r="BO106" s="299">
        <f>(BO5-BN5)/360*BO103*Detail!$E$26</f>
        <v>0</v>
      </c>
      <c r="BP106" s="299">
        <f>(BP5-BO5)/360*BP103*Detail!$E$26</f>
        <v>0</v>
      </c>
      <c r="BQ106" s="299">
        <f>(BQ5-BP5)/360*BQ103*Detail!$E$26</f>
        <v>0</v>
      </c>
      <c r="BR106" s="299">
        <f>(BR5-BQ5)/360*BR103*Detail!$E$26</f>
        <v>0</v>
      </c>
      <c r="BS106" s="299">
        <f>(BS5-BR5)/360*BS103*Detail!$E$26</f>
        <v>0</v>
      </c>
      <c r="BT106" s="299">
        <f>(BT5-BS5)/360*BT103*Detail!$E$26</f>
        <v>0</v>
      </c>
      <c r="BU106" s="299">
        <f>(BU5-BT5)/360*BU103*Detail!$E$26</f>
        <v>0</v>
      </c>
      <c r="BV106" s="299">
        <f>(BV5-BU5)/360*BV103*Detail!$E$26</f>
        <v>0</v>
      </c>
      <c r="BW106" s="299">
        <f>(BW5-BV5)/360*BW103*Detail!$E$26</f>
        <v>0</v>
      </c>
      <c r="BX106" s="299">
        <f>(BX5-BW5)/360*BX103*Detail!$E$26</f>
        <v>0</v>
      </c>
      <c r="BY106" s="299">
        <f>(BY5-BX5)/360*BY103*Detail!$E$26</f>
        <v>0</v>
      </c>
      <c r="BZ106" s="299">
        <f>(BZ5-BY5)/360*BZ103*Detail!$E$26</f>
        <v>0</v>
      </c>
      <c r="CA106" s="299">
        <f>(CA5-BZ5)/360*CA103*Detail!$E$26</f>
        <v>0</v>
      </c>
      <c r="CB106" s="299">
        <f>(CB5-CA5)/360*CB103*Detail!$E$26</f>
        <v>0</v>
      </c>
      <c r="CC106" s="299">
        <f>(CC5-CB5)/360*CC103*Detail!$E$26</f>
        <v>0</v>
      </c>
      <c r="CD106" s="299">
        <f>(CD5-CC5)/360*CD103*Detail!$E$26</f>
        <v>0</v>
      </c>
      <c r="CE106" s="299">
        <f>(CE5-CD5)/360*CE103*Detail!$E$26</f>
        <v>0</v>
      </c>
      <c r="CF106" s="299">
        <f>(CF5-CE5)/360*CF103*Detail!$E$26</f>
        <v>0</v>
      </c>
      <c r="CG106" s="299">
        <f>(CG5-CF5)/360*CG103*Detail!$E$26</f>
        <v>0</v>
      </c>
      <c r="CH106" s="299">
        <f>(CH5-CG5)/360*CH103*Detail!$E$26</f>
        <v>0</v>
      </c>
      <c r="CI106" s="299">
        <f>(CI5-CH5)/360*CI103*Detail!$E$26</f>
        <v>0</v>
      </c>
      <c r="CJ106" s="299">
        <f>(CJ5-CI5)/360*CJ103*Detail!$E$26</f>
        <v>0</v>
      </c>
      <c r="CK106" s="299">
        <f>(CK5-CJ5)/360*CK103*Detail!$E$26</f>
        <v>0</v>
      </c>
      <c r="CL106" s="299">
        <f>(CL5-CK5)/360*CL103*Detail!$E$26</f>
        <v>0</v>
      </c>
      <c r="CM106" s="299">
        <f>(CM5-CL5)/360*CM103*Detail!$E$26</f>
        <v>0</v>
      </c>
      <c r="CN106" s="299">
        <f>(CN5-CM5)/360*CN103*Detail!$E$26</f>
        <v>0</v>
      </c>
      <c r="CO106" s="299">
        <f>(CO5-CN5)/360*CO103*Detail!$E$26</f>
        <v>0</v>
      </c>
      <c r="CP106" s="299">
        <f>(CP5-CO5)/360*CP103*Detail!$E$26</f>
        <v>0</v>
      </c>
      <c r="CQ106" s="299">
        <f>(CQ5-CP5)/360*CQ103*Detail!$E$26</f>
        <v>0</v>
      </c>
      <c r="CR106" s="299">
        <f>(CR5-CQ5)/360*CR103*Detail!$E$26</f>
        <v>0</v>
      </c>
      <c r="CS106" s="299">
        <f>(CS5-CR5)/360*CS103*Detail!$E$26</f>
        <v>0</v>
      </c>
      <c r="CT106" s="299">
        <f>(CT5-CS5)/360*CT103*Detail!$E$26</f>
        <v>0</v>
      </c>
      <c r="CU106" s="299">
        <f>(CU5-CT5)/360*CU103*Detail!$E$26</f>
        <v>0</v>
      </c>
      <c r="CV106" s="299">
        <f>(CV5-CU5)/360*CV103*Detail!$E$26</f>
        <v>0</v>
      </c>
      <c r="CW106" s="299">
        <f>(CW5-CV5)/360*CW103*Detail!$E$26</f>
        <v>0</v>
      </c>
      <c r="CX106" s="299">
        <f>(CX5-CW5)/360*CX103*Detail!$E$26</f>
        <v>0</v>
      </c>
      <c r="CY106" s="299">
        <f>(CY5-CX5)/360*CY103*Detail!$E$26</f>
        <v>0</v>
      </c>
      <c r="CZ106" s="299">
        <f>(CZ5-CY5)/360*CZ103*Detail!$E$26</f>
        <v>0</v>
      </c>
      <c r="DA106" s="299">
        <f>(DA5-CZ5)/360*DA103*Detail!$E$26</f>
        <v>0</v>
      </c>
      <c r="DB106" s="299">
        <f>(DB5-DA5)/360*DB103*Detail!$E$26</f>
        <v>0</v>
      </c>
      <c r="DC106" s="299">
        <f>(DC5-DB5)/360*DC103*Detail!$E$26</f>
        <v>0</v>
      </c>
      <c r="DD106" s="299">
        <f>(DD5-DC5)/360*DD103*Detail!$E$26</f>
        <v>0</v>
      </c>
      <c r="DE106" s="299">
        <f>(DE5-DD5)/360*DE103*Detail!$E$26</f>
        <v>0</v>
      </c>
      <c r="DF106" s="299">
        <f>(DF5-DE5)/360*DF103*Detail!$E$26</f>
        <v>0</v>
      </c>
      <c r="DG106" s="299">
        <f>(DG5-DF5)/360*DG103*Detail!$E$26</f>
        <v>0</v>
      </c>
      <c r="DH106" s="299">
        <f>(DH5-DG5)/360*DH103*Detail!$E$26</f>
        <v>0</v>
      </c>
      <c r="DI106" s="299">
        <f>(DI5-DH5)/360*DI103*Detail!$E$26</f>
        <v>0</v>
      </c>
      <c r="DJ106" s="299">
        <f>(DJ5-DI5)/360*DJ103*Detail!$E$26</f>
        <v>0</v>
      </c>
      <c r="DK106" s="299">
        <f>(DK5-DJ5)/360*DK103*Detail!$E$26</f>
        <v>0</v>
      </c>
      <c r="DL106" s="299">
        <f>(DL5-DK5)/360*DL103*Detail!$E$26</f>
        <v>0</v>
      </c>
      <c r="DM106" s="299">
        <f>(DM5-DL5)/360*DM103*Detail!$E$26</f>
        <v>0</v>
      </c>
      <c r="DN106" s="299">
        <f>(DN5-DM5)/360*DN103*Detail!$E$26</f>
        <v>0</v>
      </c>
      <c r="DO106" s="299">
        <f>(DO5-DN5)/360*DO103*Detail!$E$26</f>
        <v>0</v>
      </c>
      <c r="DP106" s="299">
        <f>(DP5-DO5)/360*DP103*Detail!$E$26</f>
        <v>0</v>
      </c>
      <c r="DQ106" s="299">
        <f>(DQ5-DP5)/360*DQ103*Detail!$E$26</f>
        <v>0</v>
      </c>
      <c r="DR106" s="299">
        <f>(DR5-DQ5)/360*DR103*Detail!$E$26</f>
        <v>0</v>
      </c>
      <c r="DS106" s="299">
        <f>(DS5-DR5)/360*DS103*Detail!$E$26</f>
        <v>0</v>
      </c>
      <c r="DT106" s="299">
        <f>(DT5-DS5)/360*DT103*Detail!$E$26</f>
        <v>0</v>
      </c>
      <c r="DU106" s="299">
        <f>(DU5-DT5)/360*DU103*Detail!$E$26</f>
        <v>0</v>
      </c>
      <c r="DV106" s="299">
        <f>(DV5-DU5)/360*DV103*Detail!$E$26</f>
        <v>0</v>
      </c>
      <c r="DW106" s="299">
        <f>(DW5-DV5)/360*DW103*Detail!$E$26</f>
        <v>0</v>
      </c>
      <c r="DX106" s="299">
        <f>(DX5-DW5)/360*DX103*Detail!$E$26</f>
        <v>0</v>
      </c>
      <c r="DY106" s="299">
        <f>(DY5-DX5)/360*DY103*Detail!$E$26</f>
        <v>0</v>
      </c>
      <c r="DZ106" s="299">
        <f>(DZ5-DY5)/360*DZ103*Detail!$E$26</f>
        <v>0</v>
      </c>
      <c r="EA106" s="299">
        <f>(EA5-DZ5)/360*EA103*Detail!$E$26</f>
        <v>0</v>
      </c>
      <c r="EB106" s="299">
        <f>(EB5-EA5)/360*EB103*Detail!$E$26</f>
        <v>0</v>
      </c>
      <c r="EC106" s="299">
        <f>(EC5-EB5)/360*EC103*Detail!$E$26</f>
        <v>0</v>
      </c>
      <c r="ED106" s="299">
        <f>(ED5-EC5)/360*ED103*Detail!$E$26</f>
        <v>0</v>
      </c>
      <c r="EE106" s="299">
        <f>(EE5-ED5)/360*EE103*Detail!$E$26</f>
        <v>0</v>
      </c>
      <c r="EF106" s="299">
        <f>(EF5-EE5)/360*EF103*Detail!$E$26</f>
        <v>0</v>
      </c>
      <c r="EG106" s="299">
        <f>(EG5-EF5)/360*EG103*Detail!$E$26</f>
        <v>0</v>
      </c>
      <c r="EH106" s="299">
        <f>(EH5-EG5)/360*EH103*Detail!$E$26</f>
        <v>0</v>
      </c>
      <c r="EI106" s="299">
        <f>(EI5-EH5)/360*EI103*Detail!$E$26</f>
        <v>0</v>
      </c>
      <c r="EJ106" s="299">
        <f>(EJ5-EI5)/360*EJ103*Detail!$E$26</f>
        <v>0</v>
      </c>
      <c r="EK106" s="299">
        <f>(EK5-EJ5)/360*EK103*Detail!$E$26</f>
        <v>0</v>
      </c>
      <c r="EL106" s="299">
        <f>(EL5-EK5)/360*EL103*Detail!$E$26</f>
        <v>0</v>
      </c>
      <c r="EM106" s="299">
        <f>(EM5-EL5)/360*EM103*Detail!$E$26</f>
        <v>0</v>
      </c>
      <c r="EN106" s="299">
        <f>(EN5-EM5)/360*EN103*Detail!$E$26</f>
        <v>0</v>
      </c>
      <c r="EO106" s="299">
        <f>(EO5-EN5)/360*EO103*Detail!$E$26</f>
        <v>0</v>
      </c>
      <c r="EP106" s="299">
        <f>(EP5-EO5)/360*EP103*Detail!$E$26</f>
        <v>0</v>
      </c>
      <c r="EQ106" s="299">
        <f>(EQ5-EP5)/360*EQ103*Detail!$E$26</f>
        <v>0</v>
      </c>
      <c r="ER106" s="299">
        <f>(ER5-EQ5)/360*ER103*Detail!$E$26</f>
        <v>0</v>
      </c>
      <c r="ES106" s="299">
        <f>(ES5-ER5)/360*ES103*Detail!$E$26</f>
        <v>0</v>
      </c>
      <c r="ET106" s="299">
        <f>(ET5-ES5)/360*ET103*Detail!$E$26</f>
        <v>0</v>
      </c>
      <c r="EU106" s="299">
        <f>(EU5-ET5)/360*EU103*Detail!$E$26</f>
        <v>0</v>
      </c>
      <c r="EV106" s="299">
        <f>(EV5-EU5)/360*EV103*Detail!$E$26</f>
        <v>0</v>
      </c>
      <c r="EW106" s="299">
        <f>(EW5-EV5)/360*EW103*Detail!$E$26</f>
        <v>0</v>
      </c>
      <c r="EX106" s="299">
        <f>(EX5-EW5)/360*EX103*Detail!$E$26</f>
        <v>0</v>
      </c>
      <c r="EY106" s="299">
        <f>(EY5-EX5)/360*EY103*Detail!$E$26</f>
        <v>0</v>
      </c>
      <c r="EZ106" s="299">
        <f>(EZ5-EY5)/360*EZ103*Detail!$E$26</f>
        <v>0</v>
      </c>
      <c r="FA106" s="299">
        <f>(FA5-EZ5)/360*FA103*Detail!$E$26</f>
        <v>0</v>
      </c>
      <c r="FB106" s="299">
        <f>(FB5-FA5)/360*FB103*Detail!$E$26</f>
        <v>0</v>
      </c>
      <c r="FC106" s="299">
        <f>(FC5-FB5)/360*FC103*Detail!$E$26</f>
        <v>0</v>
      </c>
      <c r="FD106" s="299">
        <f>(FD5-FC5)/360*FD103*Detail!$E$26</f>
        <v>0</v>
      </c>
      <c r="FE106" s="299">
        <f>(FE5-FD5)/360*FE103*Detail!$E$26</f>
        <v>0</v>
      </c>
      <c r="FF106" s="299">
        <f>(FF5-FE5)/360*FF103*Detail!$E$26</f>
        <v>0</v>
      </c>
      <c r="FG106" s="299">
        <f>(FG5-FF5)/360*FG103*Detail!$E$26</f>
        <v>0</v>
      </c>
      <c r="FH106" s="299">
        <f>(FH5-FG5)/360*FH103*Detail!$E$26</f>
        <v>0</v>
      </c>
      <c r="FI106" s="299">
        <f>(FI5-FH5)/360*FI103*Detail!$E$26</f>
        <v>0</v>
      </c>
      <c r="FJ106" s="299">
        <f>(FJ5-FI5)/360*FJ103*Detail!$E$26</f>
        <v>0</v>
      </c>
      <c r="FK106" s="299">
        <f>(FK5-FJ5)/360*FK103*Detail!$E$26</f>
        <v>0</v>
      </c>
      <c r="FL106" s="299">
        <f>(FL5-FK5)/360*FL103*Detail!$E$26</f>
        <v>0</v>
      </c>
      <c r="FM106" s="299">
        <f>(FM5-FL5)/360*FM103*Detail!$E$26</f>
        <v>0</v>
      </c>
      <c r="FN106" s="299">
        <f>(FN5-FM5)/360*FN103*Detail!$E$26</f>
        <v>0</v>
      </c>
      <c r="FO106" s="299">
        <f>(FO5-FN5)/360*FO103*Detail!$E$26</f>
        <v>0</v>
      </c>
      <c r="FP106" s="299">
        <f>(FP5-FO5)/360*FP103*Detail!$E$26</f>
        <v>0</v>
      </c>
      <c r="FQ106" s="299">
        <f>(FQ5-FP5)/360*FQ103*Detail!$E$26</f>
        <v>0</v>
      </c>
      <c r="FR106" s="299">
        <f>(FR5-FQ5)/360*FR103*Detail!$E$26</f>
        <v>0</v>
      </c>
      <c r="FS106" s="299">
        <f>(FS5-FR5)/360*FS103*Detail!$E$26</f>
        <v>0</v>
      </c>
    </row>
    <row r="107" spans="2:175" ht="12.75" customHeight="1">
      <c r="B107" s="517" t="s">
        <v>339</v>
      </c>
      <c r="C107" s="299"/>
      <c r="D107" s="644"/>
      <c r="E107" s="299"/>
      <c r="F107" s="299">
        <f t="shared" ref="F107:BB107" si="141">+F103-F105+F104</f>
        <v>0</v>
      </c>
      <c r="G107" s="299">
        <f t="shared" si="141"/>
        <v>0</v>
      </c>
      <c r="H107" s="299">
        <f t="shared" si="141"/>
        <v>0</v>
      </c>
      <c r="I107" s="299">
        <f t="shared" si="141"/>
        <v>0</v>
      </c>
      <c r="J107" s="299">
        <f t="shared" si="141"/>
        <v>0</v>
      </c>
      <c r="K107" s="299">
        <f t="shared" si="141"/>
        <v>0</v>
      </c>
      <c r="L107" s="299">
        <f t="shared" si="141"/>
        <v>0</v>
      </c>
      <c r="M107" s="299">
        <f t="shared" si="141"/>
        <v>0</v>
      </c>
      <c r="N107" s="299">
        <f t="shared" si="141"/>
        <v>0</v>
      </c>
      <c r="O107" s="299">
        <f t="shared" si="141"/>
        <v>0</v>
      </c>
      <c r="P107" s="299">
        <f t="shared" si="141"/>
        <v>0</v>
      </c>
      <c r="Q107" s="299">
        <f t="shared" si="141"/>
        <v>0</v>
      </c>
      <c r="R107" s="299">
        <f t="shared" si="141"/>
        <v>0</v>
      </c>
      <c r="S107" s="299">
        <f t="shared" si="141"/>
        <v>0</v>
      </c>
      <c r="T107" s="299">
        <f t="shared" si="141"/>
        <v>0</v>
      </c>
      <c r="U107" s="299">
        <f t="shared" si="141"/>
        <v>0</v>
      </c>
      <c r="V107" s="299">
        <f t="shared" si="141"/>
        <v>0</v>
      </c>
      <c r="W107" s="299">
        <f t="shared" si="141"/>
        <v>0</v>
      </c>
      <c r="X107" s="299">
        <f t="shared" si="141"/>
        <v>0</v>
      </c>
      <c r="Y107" s="299">
        <f t="shared" si="141"/>
        <v>0</v>
      </c>
      <c r="Z107" s="299">
        <f t="shared" si="141"/>
        <v>0</v>
      </c>
      <c r="AA107" s="299">
        <f t="shared" si="141"/>
        <v>0</v>
      </c>
      <c r="AB107" s="299">
        <f t="shared" si="141"/>
        <v>0</v>
      </c>
      <c r="AC107" s="299">
        <f t="shared" si="141"/>
        <v>0</v>
      </c>
      <c r="AD107" s="299">
        <f t="shared" si="141"/>
        <v>0</v>
      </c>
      <c r="AE107" s="299">
        <f t="shared" si="141"/>
        <v>0</v>
      </c>
      <c r="AF107" s="299">
        <f t="shared" si="141"/>
        <v>0</v>
      </c>
      <c r="AG107" s="299">
        <f t="shared" si="141"/>
        <v>0</v>
      </c>
      <c r="AH107" s="299">
        <f t="shared" si="141"/>
        <v>0</v>
      </c>
      <c r="AI107" s="299">
        <f t="shared" si="141"/>
        <v>0</v>
      </c>
      <c r="AJ107" s="299">
        <f t="shared" si="141"/>
        <v>0</v>
      </c>
      <c r="AK107" s="299">
        <f t="shared" si="141"/>
        <v>0</v>
      </c>
      <c r="AL107" s="299">
        <f t="shared" si="141"/>
        <v>0</v>
      </c>
      <c r="AM107" s="299">
        <f t="shared" si="141"/>
        <v>0</v>
      </c>
      <c r="AN107" s="299">
        <f t="shared" si="141"/>
        <v>0</v>
      </c>
      <c r="AO107" s="299">
        <f t="shared" si="141"/>
        <v>0</v>
      </c>
      <c r="AP107" s="299">
        <f t="shared" si="141"/>
        <v>0</v>
      </c>
      <c r="AQ107" s="299">
        <f t="shared" si="141"/>
        <v>0</v>
      </c>
      <c r="AR107" s="299">
        <f t="shared" si="141"/>
        <v>0</v>
      </c>
      <c r="AS107" s="299">
        <f t="shared" si="141"/>
        <v>0</v>
      </c>
      <c r="AT107" s="299">
        <f t="shared" si="141"/>
        <v>0</v>
      </c>
      <c r="AU107" s="299">
        <f t="shared" si="141"/>
        <v>0</v>
      </c>
      <c r="AV107" s="299">
        <f t="shared" si="141"/>
        <v>0</v>
      </c>
      <c r="AW107" s="299">
        <f t="shared" si="141"/>
        <v>0</v>
      </c>
      <c r="AX107" s="299">
        <f t="shared" si="141"/>
        <v>0</v>
      </c>
      <c r="AY107" s="299">
        <f t="shared" si="141"/>
        <v>0</v>
      </c>
      <c r="AZ107" s="299">
        <f t="shared" si="141"/>
        <v>0</v>
      </c>
      <c r="BA107" s="299">
        <f t="shared" si="141"/>
        <v>0</v>
      </c>
      <c r="BB107" s="299">
        <f t="shared" si="141"/>
        <v>0</v>
      </c>
      <c r="BC107" s="299">
        <f>+BC103-BC105+BC104</f>
        <v>0</v>
      </c>
      <c r="BD107" s="299">
        <f t="shared" ref="BD107:DO107" si="142">+BD103-BD105+BD104</f>
        <v>0</v>
      </c>
      <c r="BE107" s="299">
        <f t="shared" si="142"/>
        <v>0</v>
      </c>
      <c r="BF107" s="299">
        <f t="shared" si="142"/>
        <v>0</v>
      </c>
      <c r="BG107" s="299">
        <f t="shared" si="142"/>
        <v>0</v>
      </c>
      <c r="BH107" s="299">
        <f t="shared" si="142"/>
        <v>0</v>
      </c>
      <c r="BI107" s="299">
        <f t="shared" si="142"/>
        <v>0</v>
      </c>
      <c r="BJ107" s="299">
        <f t="shared" si="142"/>
        <v>0</v>
      </c>
      <c r="BK107" s="299">
        <f t="shared" si="142"/>
        <v>0</v>
      </c>
      <c r="BL107" s="299">
        <f t="shared" si="142"/>
        <v>0</v>
      </c>
      <c r="BM107" s="299">
        <f t="shared" si="142"/>
        <v>0</v>
      </c>
      <c r="BN107" s="299">
        <f t="shared" si="142"/>
        <v>0</v>
      </c>
      <c r="BO107" s="299">
        <f t="shared" si="142"/>
        <v>0</v>
      </c>
      <c r="BP107" s="299">
        <f t="shared" si="142"/>
        <v>0</v>
      </c>
      <c r="BQ107" s="299">
        <f t="shared" si="142"/>
        <v>0</v>
      </c>
      <c r="BR107" s="299">
        <f t="shared" si="142"/>
        <v>0</v>
      </c>
      <c r="BS107" s="299">
        <f t="shared" si="142"/>
        <v>0</v>
      </c>
      <c r="BT107" s="299">
        <f t="shared" si="142"/>
        <v>0</v>
      </c>
      <c r="BU107" s="299">
        <f t="shared" si="142"/>
        <v>0</v>
      </c>
      <c r="BV107" s="299">
        <f t="shared" si="142"/>
        <v>0</v>
      </c>
      <c r="BW107" s="299">
        <f t="shared" si="142"/>
        <v>0</v>
      </c>
      <c r="BX107" s="299">
        <f t="shared" si="142"/>
        <v>0</v>
      </c>
      <c r="BY107" s="299">
        <f t="shared" si="142"/>
        <v>0</v>
      </c>
      <c r="BZ107" s="299">
        <f t="shared" si="142"/>
        <v>0</v>
      </c>
      <c r="CA107" s="299">
        <f t="shared" si="142"/>
        <v>0</v>
      </c>
      <c r="CB107" s="299">
        <f t="shared" si="142"/>
        <v>0</v>
      </c>
      <c r="CC107" s="299">
        <f t="shared" si="142"/>
        <v>0</v>
      </c>
      <c r="CD107" s="299">
        <f t="shared" si="142"/>
        <v>0</v>
      </c>
      <c r="CE107" s="299">
        <f t="shared" si="142"/>
        <v>0</v>
      </c>
      <c r="CF107" s="299">
        <f t="shared" si="142"/>
        <v>0</v>
      </c>
      <c r="CG107" s="299">
        <f t="shared" si="142"/>
        <v>0</v>
      </c>
      <c r="CH107" s="299">
        <f t="shared" si="142"/>
        <v>0</v>
      </c>
      <c r="CI107" s="299">
        <f t="shared" si="142"/>
        <v>0</v>
      </c>
      <c r="CJ107" s="299">
        <f t="shared" si="142"/>
        <v>0</v>
      </c>
      <c r="CK107" s="299">
        <f t="shared" si="142"/>
        <v>0</v>
      </c>
      <c r="CL107" s="299">
        <f t="shared" si="142"/>
        <v>0</v>
      </c>
      <c r="CM107" s="299">
        <f t="shared" si="142"/>
        <v>0</v>
      </c>
      <c r="CN107" s="299">
        <f t="shared" si="142"/>
        <v>0</v>
      </c>
      <c r="CO107" s="299">
        <f t="shared" si="142"/>
        <v>0</v>
      </c>
      <c r="CP107" s="299">
        <f t="shared" si="142"/>
        <v>0</v>
      </c>
      <c r="CQ107" s="299">
        <f t="shared" si="142"/>
        <v>0</v>
      </c>
      <c r="CR107" s="299">
        <f t="shared" si="142"/>
        <v>0</v>
      </c>
      <c r="CS107" s="299">
        <f t="shared" si="142"/>
        <v>0</v>
      </c>
      <c r="CT107" s="299">
        <f t="shared" si="142"/>
        <v>0</v>
      </c>
      <c r="CU107" s="299">
        <f t="shared" si="142"/>
        <v>0</v>
      </c>
      <c r="CV107" s="299">
        <f t="shared" si="142"/>
        <v>0</v>
      </c>
      <c r="CW107" s="299">
        <f t="shared" si="142"/>
        <v>0</v>
      </c>
      <c r="CX107" s="299">
        <f t="shared" si="142"/>
        <v>0</v>
      </c>
      <c r="CY107" s="299">
        <f t="shared" si="142"/>
        <v>0</v>
      </c>
      <c r="CZ107" s="299">
        <f t="shared" si="142"/>
        <v>0</v>
      </c>
      <c r="DA107" s="299">
        <f t="shared" si="142"/>
        <v>0</v>
      </c>
      <c r="DB107" s="299">
        <f t="shared" si="142"/>
        <v>0</v>
      </c>
      <c r="DC107" s="299">
        <f t="shared" si="142"/>
        <v>0</v>
      </c>
      <c r="DD107" s="299">
        <f t="shared" si="142"/>
        <v>0</v>
      </c>
      <c r="DE107" s="299">
        <f t="shared" si="142"/>
        <v>0</v>
      </c>
      <c r="DF107" s="299">
        <f t="shared" si="142"/>
        <v>0</v>
      </c>
      <c r="DG107" s="299">
        <f t="shared" si="142"/>
        <v>0</v>
      </c>
      <c r="DH107" s="299">
        <f t="shared" si="142"/>
        <v>0</v>
      </c>
      <c r="DI107" s="299">
        <f t="shared" si="142"/>
        <v>0</v>
      </c>
      <c r="DJ107" s="299">
        <f t="shared" si="142"/>
        <v>0</v>
      </c>
      <c r="DK107" s="299">
        <f t="shared" si="142"/>
        <v>0</v>
      </c>
      <c r="DL107" s="299">
        <f t="shared" si="142"/>
        <v>0</v>
      </c>
      <c r="DM107" s="299">
        <f t="shared" si="142"/>
        <v>0</v>
      </c>
      <c r="DN107" s="299">
        <f t="shared" si="142"/>
        <v>0</v>
      </c>
      <c r="DO107" s="299">
        <f t="shared" si="142"/>
        <v>0</v>
      </c>
      <c r="DP107" s="299">
        <f t="shared" ref="DP107:FS107" si="143">+DP103-DP105+DP104</f>
        <v>0</v>
      </c>
      <c r="DQ107" s="299">
        <f t="shared" si="143"/>
        <v>0</v>
      </c>
      <c r="DR107" s="299">
        <f t="shared" si="143"/>
        <v>0</v>
      </c>
      <c r="DS107" s="299">
        <f t="shared" si="143"/>
        <v>0</v>
      </c>
      <c r="DT107" s="299">
        <f t="shared" si="143"/>
        <v>0</v>
      </c>
      <c r="DU107" s="299">
        <f t="shared" si="143"/>
        <v>0</v>
      </c>
      <c r="DV107" s="299">
        <f t="shared" si="143"/>
        <v>0</v>
      </c>
      <c r="DW107" s="299">
        <f t="shared" si="143"/>
        <v>0</v>
      </c>
      <c r="DX107" s="299">
        <f t="shared" si="143"/>
        <v>0</v>
      </c>
      <c r="DY107" s="299">
        <f t="shared" si="143"/>
        <v>0</v>
      </c>
      <c r="DZ107" s="299">
        <f t="shared" si="143"/>
        <v>0</v>
      </c>
      <c r="EA107" s="299">
        <f t="shared" si="143"/>
        <v>0</v>
      </c>
      <c r="EB107" s="299">
        <f t="shared" si="143"/>
        <v>0</v>
      </c>
      <c r="EC107" s="299">
        <f t="shared" si="143"/>
        <v>0</v>
      </c>
      <c r="ED107" s="299">
        <f t="shared" si="143"/>
        <v>0</v>
      </c>
      <c r="EE107" s="299">
        <f t="shared" si="143"/>
        <v>0</v>
      </c>
      <c r="EF107" s="299">
        <f t="shared" si="143"/>
        <v>0</v>
      </c>
      <c r="EG107" s="299">
        <f t="shared" si="143"/>
        <v>0</v>
      </c>
      <c r="EH107" s="299">
        <f t="shared" si="143"/>
        <v>0</v>
      </c>
      <c r="EI107" s="299">
        <f t="shared" si="143"/>
        <v>0</v>
      </c>
      <c r="EJ107" s="299">
        <f t="shared" si="143"/>
        <v>0</v>
      </c>
      <c r="EK107" s="299">
        <f t="shared" si="143"/>
        <v>0</v>
      </c>
      <c r="EL107" s="299">
        <f t="shared" si="143"/>
        <v>0</v>
      </c>
      <c r="EM107" s="299">
        <f t="shared" si="143"/>
        <v>0</v>
      </c>
      <c r="EN107" s="299">
        <f t="shared" si="143"/>
        <v>0</v>
      </c>
      <c r="EO107" s="299">
        <f t="shared" si="143"/>
        <v>0</v>
      </c>
      <c r="EP107" s="299">
        <f t="shared" si="143"/>
        <v>0</v>
      </c>
      <c r="EQ107" s="299">
        <f t="shared" si="143"/>
        <v>0</v>
      </c>
      <c r="ER107" s="299">
        <f t="shared" si="143"/>
        <v>0</v>
      </c>
      <c r="ES107" s="299">
        <f t="shared" si="143"/>
        <v>0</v>
      </c>
      <c r="ET107" s="299">
        <f t="shared" si="143"/>
        <v>0</v>
      </c>
      <c r="EU107" s="299">
        <f t="shared" si="143"/>
        <v>0</v>
      </c>
      <c r="EV107" s="299">
        <f t="shared" si="143"/>
        <v>0</v>
      </c>
      <c r="EW107" s="299">
        <f t="shared" si="143"/>
        <v>0</v>
      </c>
      <c r="EX107" s="299">
        <f t="shared" si="143"/>
        <v>0</v>
      </c>
      <c r="EY107" s="299">
        <f t="shared" si="143"/>
        <v>0</v>
      </c>
      <c r="EZ107" s="299">
        <f t="shared" si="143"/>
        <v>0</v>
      </c>
      <c r="FA107" s="299">
        <f t="shared" si="143"/>
        <v>0</v>
      </c>
      <c r="FB107" s="299">
        <f t="shared" si="143"/>
        <v>0</v>
      </c>
      <c r="FC107" s="299">
        <f t="shared" si="143"/>
        <v>0</v>
      </c>
      <c r="FD107" s="299">
        <f t="shared" si="143"/>
        <v>0</v>
      </c>
      <c r="FE107" s="299">
        <f t="shared" si="143"/>
        <v>0</v>
      </c>
      <c r="FF107" s="299">
        <f t="shared" si="143"/>
        <v>0</v>
      </c>
      <c r="FG107" s="299">
        <f t="shared" si="143"/>
        <v>0</v>
      </c>
      <c r="FH107" s="299">
        <f t="shared" si="143"/>
        <v>0</v>
      </c>
      <c r="FI107" s="299">
        <f t="shared" si="143"/>
        <v>0</v>
      </c>
      <c r="FJ107" s="299">
        <f t="shared" si="143"/>
        <v>0</v>
      </c>
      <c r="FK107" s="299">
        <f t="shared" si="143"/>
        <v>0</v>
      </c>
      <c r="FL107" s="299">
        <f t="shared" si="143"/>
        <v>0</v>
      </c>
      <c r="FM107" s="299">
        <f t="shared" si="143"/>
        <v>0</v>
      </c>
      <c r="FN107" s="299">
        <f t="shared" si="143"/>
        <v>0</v>
      </c>
      <c r="FO107" s="299">
        <f t="shared" si="143"/>
        <v>0</v>
      </c>
      <c r="FP107" s="299">
        <f t="shared" si="143"/>
        <v>0</v>
      </c>
      <c r="FQ107" s="299">
        <f t="shared" si="143"/>
        <v>0</v>
      </c>
      <c r="FR107" s="299">
        <f t="shared" si="143"/>
        <v>0</v>
      </c>
      <c r="FS107" s="299">
        <f t="shared" si="143"/>
        <v>0</v>
      </c>
    </row>
    <row r="108" spans="2:175" ht="12.75" customHeight="1" thickBot="1">
      <c r="B108" s="646" t="s">
        <v>340</v>
      </c>
      <c r="C108" s="647">
        <f t="shared" si="131"/>
        <v>0</v>
      </c>
      <c r="D108" s="644"/>
      <c r="E108" s="647"/>
      <c r="F108" s="647">
        <f>IF(F17=Detail!$H$9,F103-F105,0)</f>
        <v>0</v>
      </c>
      <c r="G108" s="647">
        <f>IF(G17=Detail!$H$9,G103-G105,0)</f>
        <v>0</v>
      </c>
      <c r="H108" s="647">
        <f>IF(H17=Detail!$H$9,H103-H105,0)</f>
        <v>0</v>
      </c>
      <c r="I108" s="647">
        <f>IF(I17=Detail!$H$9,I103-I105,0)</f>
        <v>0</v>
      </c>
      <c r="J108" s="647">
        <f>IF(J17=Detail!$H$9,J103-J105,0)</f>
        <v>0</v>
      </c>
      <c r="K108" s="647">
        <f>IF(K17=Detail!$H$9,K103-K105,0)</f>
        <v>0</v>
      </c>
      <c r="L108" s="647">
        <f>IF(L17=Detail!$H$9,L103-L105,0)</f>
        <v>0</v>
      </c>
      <c r="M108" s="647">
        <f>IF(M17=Detail!$H$9,M103-M105,0)</f>
        <v>0</v>
      </c>
      <c r="N108" s="647">
        <f>IF(N17=Detail!$H$9,N103-N105,0)</f>
        <v>0</v>
      </c>
      <c r="O108" s="647">
        <f>IF(O17=Detail!$H$9,O103-O105,0)</f>
        <v>0</v>
      </c>
      <c r="P108" s="647">
        <f>IF(P17=Detail!$H$9,P103-P105,0)</f>
        <v>0</v>
      </c>
      <c r="Q108" s="647">
        <f>IF(Q17=Detail!$H$9,Q103-Q105,0)</f>
        <v>0</v>
      </c>
      <c r="R108" s="647">
        <f>IF(R17=Detail!$H$9,R103-R105,0)</f>
        <v>0</v>
      </c>
      <c r="S108" s="647">
        <f>IF(S17=Detail!$H$9,S103-S105,0)</f>
        <v>0</v>
      </c>
      <c r="T108" s="647">
        <f>IF(T17=Detail!$H$9,T103-T105,0)</f>
        <v>0</v>
      </c>
      <c r="U108" s="647">
        <f>IF(U17=Detail!$H$9,U103-U105,0)</f>
        <v>0</v>
      </c>
      <c r="V108" s="647">
        <f>IF(V17=Detail!$H$9,V103-V105,0)</f>
        <v>0</v>
      </c>
      <c r="W108" s="647">
        <f>IF(W17=Detail!$H$9,W103-W105,0)</f>
        <v>0</v>
      </c>
      <c r="X108" s="647">
        <f>IF(X17=Detail!$H$9,X103-X105,0)</f>
        <v>0</v>
      </c>
      <c r="Y108" s="647">
        <f>IF(Y17=Detail!$H$9,Y103-Y105,0)</f>
        <v>0</v>
      </c>
      <c r="Z108" s="647">
        <f>IF(Z17=Detail!$H$9,Z103-Z105,0)</f>
        <v>0</v>
      </c>
      <c r="AA108" s="647">
        <f>IF(AA17=Detail!$H$9,AA103-AA105,0)</f>
        <v>0</v>
      </c>
      <c r="AB108" s="647">
        <f>IF(AB17=Detail!$H$9,AB103-AB105,0)</f>
        <v>0</v>
      </c>
      <c r="AC108" s="647">
        <f>IF(AC17=Detail!$H$9,AC103-AC105,0)</f>
        <v>0</v>
      </c>
      <c r="AD108" s="647">
        <f>IF(AD17=Detail!$H$9,AD103-AD105,0)</f>
        <v>0</v>
      </c>
      <c r="AE108" s="647">
        <f>IF(AE17=Detail!$H$9,AE103-AE105,0)</f>
        <v>0</v>
      </c>
      <c r="AF108" s="647">
        <f>IF(AF17=Detail!$H$9,AF103-AF105,0)</f>
        <v>0</v>
      </c>
      <c r="AG108" s="647">
        <f>IF(AG17=Detail!$H$9,AG103-AG105,0)</f>
        <v>0</v>
      </c>
      <c r="AH108" s="647">
        <f>IF(AH17=Detail!$H$9,AH103-AH105,0)</f>
        <v>0</v>
      </c>
      <c r="AI108" s="647">
        <f>IF(AI17=Detail!$H$9,AI103-AI105,0)</f>
        <v>0</v>
      </c>
      <c r="AJ108" s="647">
        <f>IF(AJ17=Detail!$H$9,AJ103-AJ105,0)</f>
        <v>0</v>
      </c>
      <c r="AK108" s="647">
        <f>IF(AK17=Detail!$H$9,AK103-AK105,0)</f>
        <v>0</v>
      </c>
      <c r="AL108" s="647">
        <f>IF(AL17=Detail!$H$9,AL103-AL105,0)</f>
        <v>0</v>
      </c>
      <c r="AM108" s="647">
        <f>IF(AM17=Detail!$H$9,AM103-AM105,0)</f>
        <v>0</v>
      </c>
      <c r="AN108" s="647">
        <f>IF(AN17=Detail!$H$9,AN103-AN105,0)</f>
        <v>0</v>
      </c>
      <c r="AO108" s="647">
        <f>IF(AO17=Detail!$H$9,AO103-AO105,0)</f>
        <v>0</v>
      </c>
      <c r="AP108" s="647">
        <f>IF(AP17=Detail!$H$9,AP103-AP105,0)</f>
        <v>0</v>
      </c>
      <c r="AQ108" s="647">
        <f>IF(AQ17=Detail!$H$9,AQ103-AQ105,0)</f>
        <v>0</v>
      </c>
      <c r="AR108" s="647">
        <f>IF(AR17=Detail!$H$9,AR103-AR105,0)</f>
        <v>0</v>
      </c>
      <c r="AS108" s="647">
        <f>IF(AS17=Detail!$H$9,AS103-AS105,0)</f>
        <v>0</v>
      </c>
      <c r="AT108" s="647">
        <f>IF(AT17=Detail!$H$9,AT103-AT105,0)</f>
        <v>0</v>
      </c>
      <c r="AU108" s="647">
        <f>IF(AU17=Detail!$H$9,AU103-AU105,0)</f>
        <v>0</v>
      </c>
      <c r="AV108" s="647">
        <f>IF(AV17=Detail!$H$9,AV103-AV105,0)</f>
        <v>0</v>
      </c>
      <c r="AW108" s="647">
        <f>IF(AW17=Detail!$H$9,AW103-AW105,0)</f>
        <v>0</v>
      </c>
      <c r="AX108" s="647">
        <f>IF(AX17=Detail!$H$9,AX103-AX105,0)</f>
        <v>0</v>
      </c>
      <c r="AY108" s="647">
        <f>IF(AY17=Detail!$H$9,AY103-AY105,0)</f>
        <v>0</v>
      </c>
      <c r="AZ108" s="647">
        <f>IF(AZ17=Detail!$H$9,AZ103-AZ105,0)</f>
        <v>0</v>
      </c>
      <c r="BA108" s="647">
        <f>IF(BA17=Detail!$H$9,BA103-BA105,0)</f>
        <v>0</v>
      </c>
      <c r="BB108" s="647">
        <f>IF(BB17=Detail!$H$9,BB103-BB105,0)</f>
        <v>0</v>
      </c>
      <c r="BC108" s="647">
        <f>IF(BC17=Detail!$H$9,BC103-BC105,0)</f>
        <v>0</v>
      </c>
      <c r="BD108" s="647">
        <f>IF(BD17=Detail!$H$9,BD103-BD105,0)</f>
        <v>0</v>
      </c>
      <c r="BE108" s="647">
        <f>IF(BE17=Detail!$H$9,BE103-BE105,0)</f>
        <v>0</v>
      </c>
      <c r="BF108" s="647">
        <f>IF(BF17=Detail!$H$9,BF103-BF105,0)</f>
        <v>0</v>
      </c>
      <c r="BG108" s="647">
        <f>IF(BG17=Detail!$H$9,BG103-BG105,0)</f>
        <v>0</v>
      </c>
      <c r="BH108" s="647">
        <f>IF(BH17=Detail!$H$9,BH103-BH105,0)</f>
        <v>0</v>
      </c>
      <c r="BI108" s="647">
        <f>IF(BI17=Detail!$H$9,BI103-BI105,0)</f>
        <v>0</v>
      </c>
      <c r="BJ108" s="647">
        <f>IF(BJ17=Detail!$H$9,BJ103-BJ105,0)</f>
        <v>0</v>
      </c>
      <c r="BK108" s="647">
        <f>IF(BK17=Detail!$H$9,BK103-BK105,0)</f>
        <v>0</v>
      </c>
      <c r="BL108" s="647">
        <f>IF(BL17=Detail!$H$9,BL103-BL105,0)</f>
        <v>0</v>
      </c>
      <c r="BM108" s="647">
        <f>IF(BM17=Detail!$H$9,BM103-BM105,0)</f>
        <v>0</v>
      </c>
      <c r="BN108" s="647">
        <f>IF(BN17=Detail!$H$9,BN103-BN105,0)</f>
        <v>0</v>
      </c>
      <c r="BO108" s="647">
        <f>IF(BO17=Detail!$H$9,BO103-BO105,0)</f>
        <v>0</v>
      </c>
      <c r="BP108" s="647">
        <f>IF(BP17=Detail!$H$9,BP103-BP105,0)</f>
        <v>0</v>
      </c>
      <c r="BQ108" s="647">
        <f>IF(BQ17=Detail!$H$9,BQ103-BQ105,0)</f>
        <v>0</v>
      </c>
      <c r="BR108" s="647">
        <f>IF(BR17=Detail!$H$9,BR103-BR105,0)</f>
        <v>0</v>
      </c>
      <c r="BS108" s="647">
        <f>IF(BS17=Detail!$H$9,BS103-BS105,0)</f>
        <v>0</v>
      </c>
      <c r="BT108" s="647">
        <f>IF(BT17=Detail!$H$9,BT103-BT105,0)</f>
        <v>0</v>
      </c>
      <c r="BU108" s="647">
        <f>IF(BU17=Detail!$H$9,BU103-BU105,0)</f>
        <v>0</v>
      </c>
      <c r="BV108" s="647">
        <f>IF(BV17=Detail!$H$9,BV103-BV105,0)</f>
        <v>0</v>
      </c>
      <c r="BW108" s="647">
        <f>IF(BW17=Detail!$H$9,BW103-BW105,0)</f>
        <v>0</v>
      </c>
      <c r="BX108" s="647">
        <f>IF(BX17=Detail!$H$9,BX103-BX105,0)</f>
        <v>0</v>
      </c>
      <c r="BY108" s="647">
        <f>IF(BY17=Detail!$H$9,BY103-BY105,0)</f>
        <v>0</v>
      </c>
      <c r="BZ108" s="647">
        <f>IF(BZ17=Detail!$H$9,BZ103-BZ105,0)</f>
        <v>0</v>
      </c>
      <c r="CA108" s="647">
        <f>IF(CA17=Detail!$H$9,CA103-CA105,0)</f>
        <v>0</v>
      </c>
      <c r="CB108" s="647">
        <f>IF(CB17=Detail!$H$9,CB103-CB105,0)</f>
        <v>0</v>
      </c>
      <c r="CC108" s="647">
        <f>IF(CC17=Detail!$H$9,CC103-CC105,0)</f>
        <v>0</v>
      </c>
      <c r="CD108" s="647">
        <f>IF(CD17=Detail!$H$9,CD103-CD105,0)</f>
        <v>0</v>
      </c>
      <c r="CE108" s="647">
        <f>IF(CE17=Detail!$H$9,CE103-CE105,0)</f>
        <v>0</v>
      </c>
      <c r="CF108" s="647">
        <f>IF(CF17=Detail!$H$9,CF103-CF105,0)</f>
        <v>0</v>
      </c>
      <c r="CG108" s="647">
        <f>IF(CG17=Detail!$H$9,CG103-CG105,0)</f>
        <v>0</v>
      </c>
      <c r="CH108" s="647">
        <f>IF(CH17=Detail!$H$9,CH103-CH105,0)</f>
        <v>0</v>
      </c>
      <c r="CI108" s="647">
        <f>IF(CI17=Detail!$H$9,CI103-CI105,0)</f>
        <v>0</v>
      </c>
      <c r="CJ108" s="647">
        <f>IF(CJ17=Detail!$H$9,CJ103-CJ105,0)</f>
        <v>0</v>
      </c>
      <c r="CK108" s="647">
        <f>IF(CK17=Detail!$H$9,CK103-CK105,0)</f>
        <v>0</v>
      </c>
      <c r="CL108" s="647">
        <f>IF(CL17=Detail!$H$9,CL103-CL105,0)</f>
        <v>0</v>
      </c>
      <c r="CM108" s="647">
        <f>IF(CM17=Detail!$H$9,CM103-CM105,0)</f>
        <v>0</v>
      </c>
      <c r="CN108" s="647">
        <f>IF(CN17=Detail!$H$9,CN103-CN105,0)</f>
        <v>0</v>
      </c>
      <c r="CO108" s="647">
        <f>IF(CO17=Detail!$H$9,CO103-CO105,0)</f>
        <v>0</v>
      </c>
      <c r="CP108" s="647">
        <f>IF(CP17=Detail!$H$9,CP103-CP105,0)</f>
        <v>0</v>
      </c>
      <c r="CQ108" s="647">
        <f>IF(CQ17=Detail!$H$9,CQ103-CQ105,0)</f>
        <v>0</v>
      </c>
      <c r="CR108" s="647">
        <f>IF(CR17=Detail!$H$9,CR103-CR105,0)</f>
        <v>0</v>
      </c>
      <c r="CS108" s="647">
        <f>IF(CS17=Detail!$H$9,CS103-CS105,0)</f>
        <v>0</v>
      </c>
      <c r="CT108" s="647">
        <f>IF(CT17=Detail!$H$9,CT103-CT105,0)</f>
        <v>0</v>
      </c>
      <c r="CU108" s="647">
        <f>IF(CU17=Detail!$H$9,CU103-CU105,0)</f>
        <v>0</v>
      </c>
      <c r="CV108" s="647">
        <f>IF(CV17=Detail!$H$9,CV103-CV105,0)</f>
        <v>0</v>
      </c>
      <c r="CW108" s="647">
        <f>IF(CW17=Detail!$H$9,CW103-CW105,0)</f>
        <v>0</v>
      </c>
      <c r="CX108" s="647">
        <f>IF(CX17=Detail!$H$9,CX103-CX105,0)</f>
        <v>0</v>
      </c>
      <c r="CY108" s="647">
        <f>IF(CY17=Detail!$H$9,CY103-CY105,0)</f>
        <v>0</v>
      </c>
      <c r="CZ108" s="647">
        <f>IF(CZ17=Detail!$H$9,CZ103-CZ105,0)</f>
        <v>0</v>
      </c>
      <c r="DA108" s="647">
        <f>IF(DA17=Detail!$H$9,DA103-DA105,0)</f>
        <v>0</v>
      </c>
      <c r="DB108" s="647">
        <f>IF(DB17=Detail!$H$9,DB103-DB105,0)</f>
        <v>0</v>
      </c>
      <c r="DC108" s="647">
        <f>IF(DC17=Detail!$H$9,DC103-DC105,0)</f>
        <v>0</v>
      </c>
      <c r="DD108" s="647">
        <f>IF(DD17=Detail!$H$9,DD103-DD105,0)</f>
        <v>0</v>
      </c>
      <c r="DE108" s="647">
        <f>IF(DE17=Detail!$H$9,DE103-DE105,0)</f>
        <v>0</v>
      </c>
      <c r="DF108" s="647">
        <f>IF(DF17=Detail!$H$9,DF103-DF105,0)</f>
        <v>0</v>
      </c>
      <c r="DG108" s="647">
        <f>IF(DG17=Detail!$H$9,DG103-DG105,0)</f>
        <v>0</v>
      </c>
      <c r="DH108" s="647">
        <f>IF(DH17=Detail!$H$9,DH103-DH105,0)</f>
        <v>0</v>
      </c>
      <c r="DI108" s="647">
        <f>IF(DI17=Detail!$H$9,DI103-DI105,0)</f>
        <v>0</v>
      </c>
      <c r="DJ108" s="647">
        <f>IF(DJ17=Detail!$H$9,DJ103-DJ105,0)</f>
        <v>0</v>
      </c>
      <c r="DK108" s="647">
        <f>IF(DK17=Detail!$H$9,DK103-DK105,0)</f>
        <v>0</v>
      </c>
      <c r="DL108" s="647">
        <f>IF(DL17=Detail!$H$9,DL103-DL105,0)</f>
        <v>0</v>
      </c>
      <c r="DM108" s="647">
        <f>IF(DM17=Detail!$H$9,DM103-DM105,0)</f>
        <v>0</v>
      </c>
      <c r="DN108" s="647">
        <f>IF(DN17=Detail!$H$9,DN103-DN105,0)</f>
        <v>0</v>
      </c>
      <c r="DO108" s="647">
        <f>IF(DO17=Detail!$H$9,DO103-DO105,0)</f>
        <v>0</v>
      </c>
      <c r="DP108" s="647">
        <f>IF(DP17=Detail!$H$9,DP103-DP105,0)</f>
        <v>0</v>
      </c>
      <c r="DQ108" s="647">
        <f>IF(DQ17=Detail!$H$9,DQ103-DQ105,0)</f>
        <v>0</v>
      </c>
      <c r="DR108" s="647">
        <f>IF(DR17=Detail!$H$9,DR103-DR105,0)</f>
        <v>0</v>
      </c>
      <c r="DS108" s="647">
        <f>IF(DS17=Detail!$H$9,DS103-DS105,0)</f>
        <v>0</v>
      </c>
      <c r="DT108" s="647">
        <f>IF(DT17=Detail!$H$9,DT103-DT105,0)</f>
        <v>0</v>
      </c>
      <c r="DU108" s="647">
        <f>IF(DU17=Detail!$H$9,DU103-DU105,0)</f>
        <v>0</v>
      </c>
      <c r="DV108" s="647">
        <f>IF(DV17=Detail!$H$9,DV103-DV105,0)</f>
        <v>0</v>
      </c>
      <c r="DW108" s="647">
        <f>IF(DW17=Detail!$H$9,DW103-DW105,0)</f>
        <v>0</v>
      </c>
      <c r="DX108" s="647">
        <f>IF(DX17=Detail!$H$9,DX103-DX105,0)</f>
        <v>0</v>
      </c>
      <c r="DY108" s="647">
        <f>IF(DY17=Detail!$H$9,DY103-DY105,0)</f>
        <v>0</v>
      </c>
      <c r="DZ108" s="647">
        <f>IF(DZ17=Detail!$H$9,DZ103-DZ105,0)</f>
        <v>0</v>
      </c>
      <c r="EA108" s="647">
        <f>IF(EA17=Detail!$H$9,EA103-EA105,0)</f>
        <v>0</v>
      </c>
      <c r="EB108" s="647">
        <f>IF(EB17=Detail!$H$9,EB103-EB105,0)</f>
        <v>0</v>
      </c>
      <c r="EC108" s="647">
        <f>IF(EC17=Detail!$H$9,EC103-EC105,0)</f>
        <v>0</v>
      </c>
      <c r="ED108" s="647">
        <f>IF(ED17=Detail!$H$9,ED103-ED105,0)</f>
        <v>0</v>
      </c>
      <c r="EE108" s="647">
        <f>IF(EE17=Detail!$H$9,EE103-EE105,0)</f>
        <v>0</v>
      </c>
      <c r="EF108" s="647">
        <f>IF(EF17=Detail!$H$9,EF103-EF105,0)</f>
        <v>0</v>
      </c>
      <c r="EG108" s="647">
        <f>IF(EG17=Detail!$H$9,EG103-EG105,0)</f>
        <v>0</v>
      </c>
      <c r="EH108" s="647">
        <f>IF(EH17=Detail!$H$9,EH103-EH105,0)</f>
        <v>0</v>
      </c>
      <c r="EI108" s="647">
        <f>IF(EI17=Detail!$H$9,EI103-EI105,0)</f>
        <v>0</v>
      </c>
      <c r="EJ108" s="647">
        <f>IF(EJ17=Detail!$H$9,EJ103-EJ105,0)</f>
        <v>0</v>
      </c>
      <c r="EK108" s="647">
        <f>IF(EK17=Detail!$H$9,EK103-EK105,0)</f>
        <v>0</v>
      </c>
      <c r="EL108" s="647">
        <f>IF(EL17=Detail!$H$9,EL103-EL105,0)</f>
        <v>0</v>
      </c>
      <c r="EM108" s="647">
        <f>IF(EM17=Detail!$H$9,EM103-EM105,0)</f>
        <v>0</v>
      </c>
      <c r="EN108" s="647">
        <f>IF(EN17=Detail!$H$9,EN103-EN105,0)</f>
        <v>0</v>
      </c>
      <c r="EO108" s="647">
        <f>IF(EO17=Detail!$H$9,EO103-EO105,0)</f>
        <v>0</v>
      </c>
      <c r="EP108" s="647">
        <f>IF(EP17=Detail!$H$9,EP103-EP105,0)</f>
        <v>0</v>
      </c>
      <c r="EQ108" s="647">
        <f>IF(EQ17=Detail!$H$9,EQ103-EQ105,0)</f>
        <v>0</v>
      </c>
      <c r="ER108" s="647">
        <f>IF(ER17=Detail!$H$9,ER103-ER105,0)</f>
        <v>0</v>
      </c>
      <c r="ES108" s="647">
        <f>IF(ES17=Detail!$H$9,ES103-ES105,0)</f>
        <v>0</v>
      </c>
      <c r="ET108" s="647">
        <f>IF(ET17=Detail!$H$9,ET103-ET105,0)</f>
        <v>0</v>
      </c>
      <c r="EU108" s="647">
        <f>IF(EU17=Detail!$H$9,EU103-EU105,0)</f>
        <v>0</v>
      </c>
      <c r="EV108" s="647">
        <f>IF(EV17=Detail!$H$9,EV103-EV105,0)</f>
        <v>0</v>
      </c>
      <c r="EW108" s="647">
        <f>IF(EW17=Detail!$H$9,EW103-EW105,0)</f>
        <v>0</v>
      </c>
      <c r="EX108" s="647">
        <f>IF(EX17=Detail!$H$9,EX103-EX105,0)</f>
        <v>0</v>
      </c>
      <c r="EY108" s="647">
        <f>IF(EY17=Detail!$H$9,EY103-EY105,0)</f>
        <v>0</v>
      </c>
      <c r="EZ108" s="647">
        <f>IF(EZ17=Detail!$H$9,EZ103-EZ105,0)</f>
        <v>0</v>
      </c>
      <c r="FA108" s="647">
        <f>IF(FA17=Detail!$H$9,FA103-FA105,0)</f>
        <v>0</v>
      </c>
      <c r="FB108" s="647">
        <f>IF(FB17=Detail!$H$9,FB103-FB105,0)</f>
        <v>0</v>
      </c>
      <c r="FC108" s="647">
        <f>IF(FC17=Detail!$H$9,FC103-FC105,0)</f>
        <v>0</v>
      </c>
      <c r="FD108" s="647">
        <f>IF(FD17=Detail!$H$9,FD103-FD105,0)</f>
        <v>0</v>
      </c>
      <c r="FE108" s="647">
        <f>IF(FE17=Detail!$H$9,FE103-FE105,0)</f>
        <v>0</v>
      </c>
      <c r="FF108" s="647">
        <f>IF(FF17=Detail!$H$9,FF103-FF105,0)</f>
        <v>0</v>
      </c>
      <c r="FG108" s="647">
        <f>IF(FG17=Detail!$H$9,FG103-FG105,0)</f>
        <v>0</v>
      </c>
      <c r="FH108" s="647">
        <f>IF(FH17=Detail!$H$9,FH103-FH105,0)</f>
        <v>0</v>
      </c>
      <c r="FI108" s="647">
        <f>IF(FI17=Detail!$H$9,FI103-FI105,0)</f>
        <v>0</v>
      </c>
      <c r="FJ108" s="647">
        <f>IF(FJ17=Detail!$H$9,FJ103-FJ105,0)</f>
        <v>0</v>
      </c>
      <c r="FK108" s="647">
        <f>IF(FK17=Detail!$H$9,FK103-FK105,0)</f>
        <v>0</v>
      </c>
      <c r="FL108" s="647">
        <f>IF(FL17=Detail!$H$9,FL103-FL105,0)</f>
        <v>0</v>
      </c>
      <c r="FM108" s="647">
        <f>IF(FM17=Detail!$H$9,FM103-FM105,0)</f>
        <v>0</v>
      </c>
      <c r="FN108" s="647">
        <f>IF(FN17=Detail!$H$9,FN103-FN105,0)</f>
        <v>0</v>
      </c>
      <c r="FO108" s="647">
        <f>IF(FO17=Detail!$H$9,FO103-FO105,0)</f>
        <v>0</v>
      </c>
      <c r="FP108" s="647">
        <f>IF(FP17=Detail!$H$9,FP103-FP105,0)</f>
        <v>0</v>
      </c>
      <c r="FQ108" s="647">
        <f>IF(FQ17=Detail!$H$9,FQ103-FQ105,0)</f>
        <v>0</v>
      </c>
      <c r="FR108" s="647">
        <f>IF(FR17=Detail!$H$9,FR103-FR105,0)</f>
        <v>0</v>
      </c>
      <c r="FS108" s="647">
        <f>IF(FS17=Detail!$H$9,FS103-FS105,0)</f>
        <v>0</v>
      </c>
    </row>
    <row r="109" spans="2:175" ht="12.75" customHeight="1">
      <c r="C109" s="299"/>
      <c r="D109" s="644"/>
      <c r="E109" s="299"/>
      <c r="F109" s="299"/>
      <c r="G109" s="299"/>
      <c r="H109" s="299"/>
      <c r="I109" s="299"/>
      <c r="J109" s="299"/>
      <c r="K109" s="299"/>
      <c r="L109" s="299"/>
      <c r="M109" s="299"/>
      <c r="N109" s="299"/>
      <c r="O109" s="299"/>
      <c r="P109" s="299"/>
      <c r="Q109" s="299"/>
      <c r="R109" s="299"/>
      <c r="S109" s="299"/>
      <c r="T109" s="299"/>
      <c r="U109" s="299"/>
      <c r="V109" s="299"/>
      <c r="W109" s="299"/>
      <c r="X109" s="299"/>
      <c r="Y109" s="299"/>
      <c r="Z109" s="299"/>
      <c r="AA109" s="299"/>
      <c r="AB109" s="299"/>
      <c r="AC109" s="299"/>
      <c r="AD109" s="299"/>
      <c r="AE109" s="299"/>
      <c r="AF109" s="299"/>
      <c r="AG109" s="299"/>
      <c r="AH109" s="299"/>
      <c r="AI109" s="299"/>
      <c r="AJ109" s="299"/>
      <c r="AK109" s="299"/>
      <c r="AL109" s="299"/>
      <c r="AM109" s="299"/>
      <c r="AN109" s="299"/>
      <c r="AO109" s="299"/>
      <c r="AP109" s="299"/>
      <c r="AQ109" s="299"/>
      <c r="AR109" s="299"/>
      <c r="AS109" s="299"/>
      <c r="AT109" s="299"/>
      <c r="AU109" s="299"/>
      <c r="AV109" s="299"/>
      <c r="AW109" s="299"/>
      <c r="AX109" s="299"/>
      <c r="AY109" s="299"/>
      <c r="AZ109" s="299"/>
      <c r="BA109" s="299"/>
      <c r="BB109" s="299"/>
      <c r="BC109" s="299"/>
      <c r="BD109" s="299"/>
      <c r="BE109" s="299"/>
      <c r="BF109" s="299"/>
      <c r="BG109" s="299"/>
      <c r="BH109" s="299"/>
      <c r="BI109" s="299"/>
      <c r="BJ109" s="299"/>
      <c r="BK109" s="299"/>
      <c r="BL109" s="299"/>
      <c r="BM109" s="299"/>
      <c r="BN109" s="299"/>
      <c r="BO109" s="299"/>
      <c r="BP109" s="299"/>
      <c r="BQ109" s="299"/>
      <c r="BR109" s="299"/>
      <c r="BS109" s="299"/>
      <c r="BT109" s="299"/>
      <c r="BU109" s="299"/>
      <c r="BV109" s="299"/>
      <c r="BW109" s="299"/>
      <c r="BX109" s="299"/>
      <c r="BY109" s="299"/>
      <c r="BZ109" s="299"/>
      <c r="CA109" s="299"/>
      <c r="CB109" s="299"/>
      <c r="CC109" s="299"/>
      <c r="CD109" s="299"/>
      <c r="CE109" s="299"/>
      <c r="CF109" s="299"/>
      <c r="CG109" s="299"/>
      <c r="CH109" s="299"/>
      <c r="CI109" s="299"/>
      <c r="CJ109" s="299"/>
      <c r="CK109" s="299"/>
      <c r="CL109" s="299"/>
      <c r="CM109" s="299"/>
      <c r="CN109" s="299"/>
      <c r="CO109" s="299"/>
      <c r="CP109" s="299"/>
      <c r="CQ109" s="299"/>
      <c r="CR109" s="299"/>
      <c r="CS109" s="299"/>
      <c r="CT109" s="299"/>
      <c r="CU109" s="299"/>
      <c r="CV109" s="299"/>
      <c r="CW109" s="299"/>
      <c r="CX109" s="299"/>
      <c r="CY109" s="299"/>
      <c r="CZ109" s="299"/>
      <c r="DA109" s="299"/>
      <c r="DB109" s="299"/>
      <c r="DC109" s="299"/>
      <c r="DD109" s="299"/>
      <c r="DE109" s="299"/>
      <c r="DF109" s="299"/>
      <c r="DG109" s="299"/>
      <c r="DH109" s="299"/>
      <c r="DI109" s="299"/>
      <c r="DJ109" s="299"/>
      <c r="DK109" s="299"/>
      <c r="DL109" s="299"/>
      <c r="DM109" s="299"/>
      <c r="DN109" s="299"/>
      <c r="DO109" s="299"/>
      <c r="DP109" s="299"/>
      <c r="DQ109" s="299"/>
      <c r="DR109" s="299"/>
      <c r="DS109" s="299"/>
      <c r="DT109" s="299"/>
      <c r="DU109" s="299"/>
      <c r="DV109" s="299"/>
      <c r="DW109" s="299"/>
      <c r="DX109" s="299"/>
      <c r="DY109" s="299"/>
      <c r="DZ109" s="299"/>
      <c r="EA109" s="299"/>
      <c r="EB109" s="299"/>
      <c r="EC109" s="299"/>
      <c r="ED109" s="299"/>
      <c r="EE109" s="299"/>
      <c r="EF109" s="299"/>
      <c r="EG109" s="299"/>
      <c r="EH109" s="299"/>
      <c r="EI109" s="299"/>
      <c r="EJ109" s="299"/>
      <c r="EK109" s="299"/>
      <c r="EL109" s="299"/>
      <c r="EM109" s="299"/>
      <c r="EN109" s="299"/>
      <c r="EO109" s="299"/>
      <c r="EP109" s="299"/>
      <c r="EQ109" s="299"/>
      <c r="ER109" s="299"/>
      <c r="ES109" s="299"/>
      <c r="ET109" s="299"/>
      <c r="EU109" s="299"/>
      <c r="EV109" s="299"/>
      <c r="EW109" s="299"/>
      <c r="EX109" s="299"/>
      <c r="EY109" s="299"/>
      <c r="EZ109" s="299"/>
      <c r="FA109" s="299"/>
      <c r="FB109" s="299"/>
      <c r="FC109" s="299"/>
      <c r="FD109" s="299"/>
      <c r="FE109" s="299"/>
      <c r="FF109" s="299"/>
      <c r="FG109" s="299"/>
      <c r="FH109" s="299"/>
      <c r="FI109" s="299"/>
      <c r="FJ109" s="299"/>
      <c r="FK109" s="299"/>
      <c r="FL109" s="299"/>
      <c r="FM109" s="299"/>
      <c r="FN109" s="299"/>
      <c r="FO109" s="299"/>
      <c r="FP109" s="299"/>
      <c r="FQ109" s="299"/>
      <c r="FR109" s="299"/>
      <c r="FS109" s="299"/>
    </row>
    <row r="110" spans="2:175" ht="12.75" customHeight="1">
      <c r="C110" s="299"/>
      <c r="D110" s="644"/>
      <c r="E110" s="299"/>
      <c r="F110" s="299"/>
      <c r="G110" s="299"/>
      <c r="H110" s="299"/>
      <c r="I110" s="299"/>
      <c r="J110" s="299"/>
      <c r="K110" s="299"/>
      <c r="L110" s="299"/>
      <c r="M110" s="299"/>
      <c r="N110" s="299"/>
      <c r="O110" s="299"/>
      <c r="P110" s="299"/>
      <c r="Q110" s="299"/>
      <c r="R110" s="299"/>
      <c r="S110" s="299"/>
      <c r="T110" s="299"/>
      <c r="U110" s="299"/>
      <c r="V110" s="299"/>
      <c r="W110" s="299"/>
      <c r="X110" s="299"/>
      <c r="Y110" s="299"/>
      <c r="Z110" s="299"/>
      <c r="AA110" s="299"/>
      <c r="AB110" s="299"/>
      <c r="AC110" s="299"/>
      <c r="AD110" s="299"/>
      <c r="AE110" s="299"/>
      <c r="AF110" s="299"/>
      <c r="AG110" s="299"/>
      <c r="AH110" s="299"/>
      <c r="AI110" s="299"/>
      <c r="AJ110" s="299"/>
      <c r="AK110" s="299"/>
      <c r="AL110" s="299"/>
      <c r="AM110" s="299"/>
      <c r="AN110" s="299"/>
      <c r="AO110" s="299"/>
      <c r="AP110" s="299"/>
      <c r="AQ110" s="299"/>
      <c r="AR110" s="299"/>
      <c r="AS110" s="299"/>
      <c r="AT110" s="299"/>
      <c r="AU110" s="299"/>
      <c r="AV110" s="299"/>
      <c r="AW110" s="299"/>
      <c r="AX110" s="299"/>
      <c r="AY110" s="299"/>
      <c r="AZ110" s="299"/>
      <c r="BA110" s="299"/>
      <c r="BB110" s="299"/>
      <c r="BC110" s="299"/>
      <c r="BD110" s="299"/>
      <c r="BE110" s="299"/>
      <c r="BF110" s="299"/>
      <c r="BG110" s="299"/>
      <c r="BH110" s="299"/>
      <c r="BI110" s="299"/>
      <c r="BJ110" s="299"/>
      <c r="BK110" s="299"/>
      <c r="BL110" s="299"/>
      <c r="BM110" s="299"/>
      <c r="BN110" s="299"/>
      <c r="BO110" s="299"/>
      <c r="BP110" s="299"/>
      <c r="BQ110" s="299"/>
      <c r="BR110" s="299"/>
      <c r="BS110" s="299"/>
      <c r="BT110" s="299"/>
      <c r="BU110" s="299"/>
      <c r="BV110" s="299"/>
      <c r="BW110" s="299"/>
      <c r="BX110" s="299"/>
      <c r="BY110" s="299"/>
      <c r="BZ110" s="299"/>
      <c r="CA110" s="299"/>
      <c r="CB110" s="299"/>
      <c r="CC110" s="299"/>
      <c r="CD110" s="299"/>
      <c r="CE110" s="299"/>
      <c r="CF110" s="299"/>
      <c r="CG110" s="299"/>
      <c r="CH110" s="299"/>
      <c r="CI110" s="299"/>
      <c r="CJ110" s="299"/>
      <c r="CK110" s="299"/>
      <c r="CL110" s="299"/>
      <c r="CM110" s="299"/>
      <c r="CN110" s="299"/>
      <c r="CO110" s="299"/>
      <c r="CP110" s="299"/>
      <c r="CQ110" s="299"/>
      <c r="CR110" s="299"/>
      <c r="CS110" s="299"/>
      <c r="CT110" s="299"/>
      <c r="CU110" s="299"/>
      <c r="CV110" s="299"/>
      <c r="CW110" s="299"/>
      <c r="CX110" s="299"/>
      <c r="CY110" s="299"/>
      <c r="CZ110" s="299"/>
      <c r="DA110" s="299"/>
      <c r="DB110" s="299"/>
      <c r="DC110" s="299"/>
      <c r="DD110" s="299"/>
      <c r="DE110" s="299"/>
      <c r="DF110" s="299"/>
      <c r="DG110" s="299"/>
      <c r="DH110" s="299"/>
      <c r="DI110" s="299"/>
      <c r="DJ110" s="299"/>
      <c r="DK110" s="299"/>
      <c r="DL110" s="299"/>
      <c r="DM110" s="299"/>
      <c r="DN110" s="299"/>
      <c r="DO110" s="299"/>
      <c r="DP110" s="299"/>
      <c r="DQ110" s="299"/>
      <c r="DR110" s="299"/>
      <c r="DS110" s="299"/>
      <c r="DT110" s="299"/>
      <c r="DU110" s="299"/>
      <c r="DV110" s="299"/>
      <c r="DW110" s="299"/>
      <c r="DX110" s="299"/>
      <c r="DY110" s="299"/>
      <c r="DZ110" s="299"/>
      <c r="EA110" s="299"/>
      <c r="EB110" s="299"/>
      <c r="EC110" s="299"/>
      <c r="ED110" s="299"/>
      <c r="EE110" s="299"/>
      <c r="EF110" s="299"/>
      <c r="EG110" s="299"/>
      <c r="EH110" s="299"/>
      <c r="EI110" s="299"/>
      <c r="EJ110" s="299"/>
      <c r="EK110" s="299"/>
      <c r="EL110" s="299"/>
      <c r="EM110" s="299"/>
      <c r="EN110" s="299"/>
      <c r="EO110" s="299"/>
      <c r="EP110" s="299"/>
      <c r="EQ110" s="299"/>
      <c r="ER110" s="299"/>
      <c r="ES110" s="299"/>
      <c r="ET110" s="299"/>
      <c r="EU110" s="299"/>
      <c r="EV110" s="299"/>
      <c r="EW110" s="299"/>
      <c r="EX110" s="299"/>
      <c r="EY110" s="299"/>
      <c r="EZ110" s="299"/>
      <c r="FA110" s="299"/>
      <c r="FB110" s="299"/>
      <c r="FC110" s="299"/>
      <c r="FD110" s="299"/>
      <c r="FE110" s="299"/>
      <c r="FF110" s="299"/>
      <c r="FG110" s="299"/>
      <c r="FH110" s="299"/>
      <c r="FI110" s="299"/>
      <c r="FJ110" s="299"/>
      <c r="FK110" s="299"/>
      <c r="FL110" s="299"/>
      <c r="FM110" s="299"/>
      <c r="FN110" s="299"/>
      <c r="FO110" s="299"/>
      <c r="FP110" s="299"/>
      <c r="FQ110" s="299"/>
      <c r="FR110" s="299"/>
      <c r="FS110" s="299"/>
    </row>
    <row r="111" spans="2:175" ht="12.75" customHeight="1">
      <c r="B111" s="648" t="s">
        <v>341</v>
      </c>
      <c r="C111" s="299"/>
      <c r="D111" s="644"/>
      <c r="E111" s="299"/>
      <c r="F111" s="299"/>
      <c r="G111" s="299"/>
      <c r="H111" s="299"/>
      <c r="I111" s="299"/>
      <c r="J111" s="299"/>
      <c r="K111" s="299"/>
      <c r="L111" s="299"/>
      <c r="M111" s="299"/>
      <c r="N111" s="299"/>
      <c r="O111" s="299"/>
      <c r="P111" s="299"/>
      <c r="Q111" s="299"/>
      <c r="R111" s="299"/>
      <c r="S111" s="299"/>
      <c r="T111" s="299"/>
      <c r="U111" s="299"/>
      <c r="V111" s="299"/>
      <c r="W111" s="299"/>
      <c r="X111" s="299"/>
      <c r="Y111" s="299"/>
      <c r="Z111" s="299"/>
      <c r="AA111" s="299"/>
      <c r="AB111" s="299"/>
      <c r="AC111" s="299"/>
      <c r="AD111" s="299"/>
      <c r="AE111" s="299"/>
      <c r="AF111" s="299"/>
      <c r="AG111" s="299"/>
      <c r="AH111" s="299"/>
      <c r="AI111" s="299"/>
      <c r="AJ111" s="299"/>
      <c r="AK111" s="299"/>
      <c r="AL111" s="299"/>
      <c r="AM111" s="299"/>
      <c r="AN111" s="299"/>
      <c r="AO111" s="299"/>
      <c r="AP111" s="299"/>
      <c r="AQ111" s="299"/>
      <c r="AR111" s="299"/>
      <c r="AS111" s="299"/>
      <c r="AT111" s="299"/>
      <c r="AU111" s="299"/>
      <c r="AV111" s="299"/>
      <c r="AW111" s="299"/>
      <c r="AX111" s="299"/>
      <c r="AY111" s="299"/>
      <c r="AZ111" s="299"/>
      <c r="BA111" s="299"/>
      <c r="BB111" s="299"/>
      <c r="BC111" s="299"/>
      <c r="BD111" s="299"/>
      <c r="BE111" s="299"/>
      <c r="BF111" s="299"/>
      <c r="BG111" s="299"/>
      <c r="BH111" s="299"/>
      <c r="BI111" s="299"/>
      <c r="BJ111" s="299"/>
      <c r="BK111" s="299"/>
      <c r="BL111" s="299"/>
      <c r="BM111" s="299"/>
      <c r="BN111" s="299"/>
      <c r="BO111" s="299"/>
      <c r="BP111" s="299"/>
      <c r="BQ111" s="299"/>
      <c r="BR111" s="299"/>
      <c r="BS111" s="299"/>
      <c r="BT111" s="299"/>
      <c r="BU111" s="299"/>
      <c r="BV111" s="299"/>
      <c r="BW111" s="299"/>
      <c r="BX111" s="299"/>
      <c r="BY111" s="299"/>
      <c r="BZ111" s="299"/>
      <c r="CA111" s="299"/>
      <c r="CB111" s="299"/>
      <c r="CC111" s="299"/>
      <c r="CD111" s="299"/>
      <c r="CE111" s="299"/>
      <c r="CF111" s="299"/>
      <c r="CG111" s="299"/>
      <c r="CH111" s="299"/>
      <c r="CI111" s="299"/>
      <c r="CJ111" s="299"/>
      <c r="CK111" s="299"/>
      <c r="CL111" s="299"/>
      <c r="CM111" s="299"/>
      <c r="CN111" s="299"/>
      <c r="CO111" s="299"/>
      <c r="CP111" s="299"/>
      <c r="CQ111" s="299"/>
      <c r="CR111" s="299"/>
      <c r="CS111" s="299"/>
      <c r="CT111" s="299"/>
      <c r="CU111" s="299"/>
      <c r="CV111" s="299"/>
      <c r="CW111" s="299"/>
      <c r="CX111" s="299"/>
      <c r="CY111" s="299"/>
      <c r="CZ111" s="299"/>
      <c r="DA111" s="299"/>
      <c r="DB111" s="299"/>
      <c r="DC111" s="299"/>
      <c r="DD111" s="299"/>
      <c r="DE111" s="299"/>
      <c r="DF111" s="299"/>
      <c r="DG111" s="299"/>
      <c r="DH111" s="299"/>
      <c r="DI111" s="299"/>
      <c r="DJ111" s="299"/>
      <c r="DK111" s="299"/>
      <c r="DL111" s="299"/>
      <c r="DM111" s="299"/>
      <c r="DN111" s="299"/>
      <c r="DO111" s="299"/>
      <c r="DP111" s="299"/>
      <c r="DQ111" s="299"/>
      <c r="DR111" s="299"/>
      <c r="DS111" s="299"/>
      <c r="DT111" s="299"/>
      <c r="DU111" s="299"/>
      <c r="DV111" s="299"/>
      <c r="DW111" s="299"/>
      <c r="DX111" s="299"/>
      <c r="DY111" s="299"/>
      <c r="DZ111" s="299"/>
      <c r="EA111" s="299"/>
      <c r="EB111" s="299"/>
      <c r="EC111" s="299"/>
      <c r="ED111" s="299"/>
      <c r="EE111" s="299"/>
      <c r="EF111" s="299"/>
      <c r="EG111" s="299"/>
      <c r="EH111" s="299"/>
      <c r="EI111" s="299"/>
      <c r="EJ111" s="299"/>
      <c r="EK111" s="299"/>
      <c r="EL111" s="299"/>
      <c r="EM111" s="299"/>
      <c r="EN111" s="299"/>
      <c r="EO111" s="299"/>
      <c r="EP111" s="299"/>
      <c r="EQ111" s="299"/>
      <c r="ER111" s="299"/>
      <c r="ES111" s="299"/>
      <c r="ET111" s="299"/>
      <c r="EU111" s="299"/>
      <c r="EV111" s="299"/>
      <c r="EW111" s="299"/>
      <c r="EX111" s="299"/>
      <c r="EY111" s="299"/>
      <c r="EZ111" s="299"/>
      <c r="FA111" s="299"/>
      <c r="FB111" s="299"/>
      <c r="FC111" s="299"/>
      <c r="FD111" s="299"/>
      <c r="FE111" s="299"/>
      <c r="FF111" s="299"/>
      <c r="FG111" s="299"/>
      <c r="FH111" s="299"/>
      <c r="FI111" s="299"/>
      <c r="FJ111" s="299"/>
      <c r="FK111" s="299"/>
      <c r="FL111" s="299"/>
      <c r="FM111" s="299"/>
      <c r="FN111" s="299"/>
      <c r="FO111" s="299"/>
      <c r="FP111" s="299"/>
      <c r="FQ111" s="299"/>
      <c r="FR111" s="299"/>
      <c r="FS111" s="299"/>
    </row>
    <row r="112" spans="2:175" ht="12.75" customHeight="1">
      <c r="B112" s="517" t="s">
        <v>51</v>
      </c>
      <c r="C112" s="299">
        <f t="shared" ref="C112:C118" si="144">SUM(E112:FS112)</f>
        <v>-18929066.165800005</v>
      </c>
      <c r="D112" s="644"/>
      <c r="E112" s="299">
        <f>IF(E17=Detail!$H$7,-Detail!$C$22,0)</f>
        <v>-18929066.165800005</v>
      </c>
      <c r="F112" s="299">
        <f>IF(F17=Detail!$H$7,-Detail!$C$22,0)</f>
        <v>0</v>
      </c>
      <c r="G112" s="299">
        <f>IF(G17=Detail!$H$7,-Detail!$C$22,0)</f>
        <v>0</v>
      </c>
      <c r="H112" s="299">
        <f>IF(H17=Detail!$H$7,-Detail!$C$22,0)</f>
        <v>0</v>
      </c>
      <c r="I112" s="299">
        <f>IF(I17=Detail!$H$7,-Detail!$C$22,0)</f>
        <v>0</v>
      </c>
      <c r="J112" s="299">
        <f>IF(J17=Detail!$H$7,-Detail!$C$22,0)</f>
        <v>0</v>
      </c>
      <c r="K112" s="299">
        <f>IF(K17=Detail!$H$7,-Detail!$C$22,0)</f>
        <v>0</v>
      </c>
      <c r="L112" s="299">
        <f>IF(L17=Detail!$H$7,-Detail!$C$22,0)</f>
        <v>0</v>
      </c>
      <c r="M112" s="299">
        <f>IF(M17=Detail!$H$7,-Detail!$C$22,0)</f>
        <v>0</v>
      </c>
      <c r="N112" s="299">
        <f>IF(N17=Detail!$H$7,-Detail!$C$22,0)</f>
        <v>0</v>
      </c>
      <c r="O112" s="299">
        <f>IF(O17=Detail!$H$7,-Detail!$C$22,0)</f>
        <v>0</v>
      </c>
      <c r="P112" s="299">
        <f>IF(P17=Detail!$H$7,-Detail!$C$22,0)</f>
        <v>0</v>
      </c>
      <c r="Q112" s="299">
        <f>IF(Q17=Detail!$H$7,-Detail!$C$22,0)</f>
        <v>0</v>
      </c>
      <c r="R112" s="299">
        <f>IF(R17=Detail!$H$7,-Detail!$C$22,0)</f>
        <v>0</v>
      </c>
      <c r="S112" s="299">
        <f>IF(S17=Detail!$H$7,-Detail!$C$22,0)</f>
        <v>0</v>
      </c>
      <c r="T112" s="299">
        <f>IF(T17=Detail!$H$7,-Detail!$C$22,0)</f>
        <v>0</v>
      </c>
      <c r="U112" s="299">
        <f>IF(U17=Detail!$H$7,-Detail!$C$22,0)</f>
        <v>0</v>
      </c>
      <c r="V112" s="299">
        <f>IF(V17=Detail!$H$7,-Detail!$C$22,0)</f>
        <v>0</v>
      </c>
      <c r="W112" s="299">
        <f>IF(W17=Detail!$H$7,-Detail!$C$22,0)</f>
        <v>0</v>
      </c>
      <c r="X112" s="299">
        <f>IF(X17=Detail!$H$7,-Detail!$C$22,0)</f>
        <v>0</v>
      </c>
      <c r="Y112" s="299">
        <f>IF(Y17=Detail!$H$7,-Detail!$C$22,0)</f>
        <v>0</v>
      </c>
      <c r="Z112" s="299">
        <f>IF(Z17=Detail!$H$7,-Detail!$C$22,0)</f>
        <v>0</v>
      </c>
      <c r="AA112" s="299">
        <f>IF(AA17=Detail!$H$7,-Detail!$C$22,0)</f>
        <v>0</v>
      </c>
      <c r="AB112" s="299">
        <f>IF(AB17=Detail!$H$7,-Detail!$C$22,0)</f>
        <v>0</v>
      </c>
      <c r="AC112" s="299">
        <f>IF(AC17=Detail!$H$7,-Detail!$C$22,0)</f>
        <v>0</v>
      </c>
      <c r="AD112" s="299">
        <f>IF(AD17=Detail!$H$7,-Detail!$C$22,0)</f>
        <v>0</v>
      </c>
      <c r="AE112" s="299">
        <f>IF(AE17=Detail!$H$7,-Detail!$C$22,0)</f>
        <v>0</v>
      </c>
      <c r="AF112" s="299">
        <f>IF(AF17=Detail!$H$7,-Detail!$C$22,0)</f>
        <v>0</v>
      </c>
      <c r="AG112" s="299">
        <f>IF(AG17=Detail!$H$7,-Detail!$C$22,0)</f>
        <v>0</v>
      </c>
      <c r="AH112" s="299">
        <f>IF(AH17=Detail!$H$7,-Detail!$C$22,0)</f>
        <v>0</v>
      </c>
      <c r="AI112" s="299">
        <f>IF(AI17=Detail!$H$7,-Detail!$C$22,0)</f>
        <v>0</v>
      </c>
      <c r="AJ112" s="299">
        <f>IF(AJ17=Detail!$H$7,-Detail!$C$22,0)</f>
        <v>0</v>
      </c>
      <c r="AK112" s="299">
        <f>IF(AK17=Detail!$H$7,-Detail!$C$22,0)</f>
        <v>0</v>
      </c>
      <c r="AL112" s="299">
        <f>IF(AL17=Detail!$H$7,-Detail!$C$22,0)</f>
        <v>0</v>
      </c>
      <c r="AM112" s="299">
        <f>IF(AM17=Detail!$H$7,-Detail!$C$22,0)</f>
        <v>0</v>
      </c>
      <c r="AN112" s="299">
        <f>IF(AN17=Detail!$H$7,-Detail!$C$22,0)</f>
        <v>0</v>
      </c>
      <c r="AO112" s="299">
        <f>IF(AO17=Detail!$H$7,-Detail!$C$22,0)</f>
        <v>0</v>
      </c>
      <c r="AP112" s="299">
        <f>IF(AP17=Detail!$H$7,-Detail!$C$22,0)</f>
        <v>0</v>
      </c>
      <c r="AQ112" s="299">
        <f>IF(AQ17=Detail!$H$7,-Detail!$C$22,0)</f>
        <v>0</v>
      </c>
      <c r="AR112" s="299">
        <f>IF(AR17=Detail!$H$7,-Detail!$C$22,0)</f>
        <v>0</v>
      </c>
      <c r="AS112" s="299">
        <f>IF(AS17=Detail!$H$7,-Detail!$C$22,0)</f>
        <v>0</v>
      </c>
      <c r="AT112" s="299">
        <f>IF(AT17=Detail!$H$7,-Detail!$C$22,0)</f>
        <v>0</v>
      </c>
      <c r="AU112" s="299">
        <f>IF(AU17=Detail!$H$7,-Detail!$C$22,0)</f>
        <v>0</v>
      </c>
      <c r="AV112" s="299">
        <f>IF(AV17=Detail!$H$7,-Detail!$C$22,0)</f>
        <v>0</v>
      </c>
      <c r="AW112" s="299">
        <f>IF(AW17=Detail!$H$7,-Detail!$C$22,0)</f>
        <v>0</v>
      </c>
      <c r="AX112" s="299">
        <f>IF(AX17=Detail!$H$7,-Detail!$C$22,0)</f>
        <v>0</v>
      </c>
      <c r="AY112" s="299">
        <f>IF(AY17=Detail!$H$7,-Detail!$C$22,0)</f>
        <v>0</v>
      </c>
      <c r="AZ112" s="299">
        <f>IF(AZ17=Detail!$H$7,-Detail!$C$22,0)</f>
        <v>0</v>
      </c>
      <c r="BA112" s="299">
        <f>IF(BA17=Detail!$H$7,-Detail!$C$22,0)</f>
        <v>0</v>
      </c>
      <c r="BB112" s="299">
        <f>IF(BB17=Detail!$H$7,-Detail!$C$22,0)</f>
        <v>0</v>
      </c>
      <c r="BC112" s="299">
        <f>IF(BC17=Detail!$H$7,-Detail!$C$22,0)</f>
        <v>0</v>
      </c>
      <c r="BD112" s="299">
        <f>IF(BD17=Detail!$H$7,-Detail!$C$22,0)</f>
        <v>0</v>
      </c>
      <c r="BE112" s="299">
        <f>IF(BE17=Detail!$H$7,-Detail!$C$22,0)</f>
        <v>0</v>
      </c>
      <c r="BF112" s="299">
        <f>IF(BF17=Detail!$H$7,-Detail!$C$22,0)</f>
        <v>0</v>
      </c>
      <c r="BG112" s="299">
        <f>IF(BG17=Detail!$H$7,-Detail!$C$22,0)</f>
        <v>0</v>
      </c>
      <c r="BH112" s="299">
        <f>IF(BH17=Detail!$H$7,-Detail!$C$22,0)</f>
        <v>0</v>
      </c>
      <c r="BI112" s="299">
        <f>IF(BI17=Detail!$H$7,-Detail!$C$22,0)</f>
        <v>0</v>
      </c>
      <c r="BJ112" s="299">
        <f>IF(BJ17=Detail!$H$7,-Detail!$C$22,0)</f>
        <v>0</v>
      </c>
      <c r="BK112" s="299">
        <f>IF(BK17=Detail!$H$7,-Detail!$C$22,0)</f>
        <v>0</v>
      </c>
      <c r="BL112" s="299">
        <f>IF(BL17=Detail!$H$7,-Detail!$C$22,0)</f>
        <v>0</v>
      </c>
      <c r="BM112" s="299">
        <f>IF(BM17=Detail!$H$7,-Detail!$C$22,0)</f>
        <v>0</v>
      </c>
      <c r="BN112" s="299">
        <f>IF(BN17=Detail!$H$7,-Detail!$C$22,0)</f>
        <v>0</v>
      </c>
      <c r="BO112" s="299">
        <f>IF(BO17=Detail!$H$7,-Detail!$C$22,0)</f>
        <v>0</v>
      </c>
      <c r="BP112" s="299">
        <f>IF(BP17=Detail!$H$7,-Detail!$C$22,0)</f>
        <v>0</v>
      </c>
      <c r="BQ112" s="299">
        <f>IF(BQ17=Detail!$H$7,-Detail!$C$22,0)</f>
        <v>0</v>
      </c>
      <c r="BR112" s="299">
        <f>IF(BR17=Detail!$H$7,-Detail!$C$22,0)</f>
        <v>0</v>
      </c>
      <c r="BS112" s="299">
        <f>IF(BS17=Detail!$H$7,-Detail!$C$22,0)</f>
        <v>0</v>
      </c>
      <c r="BT112" s="299">
        <f>IF(BT17=Detail!$H$7,-Detail!$C$22,0)</f>
        <v>0</v>
      </c>
      <c r="BU112" s="299">
        <f>IF(BU17=Detail!$H$7,-Detail!$C$22,0)</f>
        <v>0</v>
      </c>
      <c r="BV112" s="299">
        <f>IF(BV17=Detail!$H$7,-Detail!$C$22,0)</f>
        <v>0</v>
      </c>
      <c r="BW112" s="299">
        <f>IF(BW17=Detail!$H$7,-Detail!$C$22,0)</f>
        <v>0</v>
      </c>
      <c r="BX112" s="299">
        <f>IF(BX17=Detail!$H$7,-Detail!$C$22,0)</f>
        <v>0</v>
      </c>
      <c r="BY112" s="299">
        <f>IF(BY17=Detail!$H$7,-Detail!$C$22,0)</f>
        <v>0</v>
      </c>
      <c r="BZ112" s="299">
        <f>IF(BZ17=Detail!$H$7,-Detail!$C$22,0)</f>
        <v>0</v>
      </c>
      <c r="CA112" s="299">
        <f>IF(CA17=Detail!$H$7,-Detail!$C$22,0)</f>
        <v>0</v>
      </c>
      <c r="CB112" s="299">
        <f>IF(CB17=Detail!$H$7,-Detail!$C$22,0)</f>
        <v>0</v>
      </c>
      <c r="CC112" s="299">
        <f>IF(CC17=Detail!$H$7,-Detail!$C$22,0)</f>
        <v>0</v>
      </c>
      <c r="CD112" s="299">
        <f>IF(CD17=Detail!$H$7,-Detail!$C$22,0)</f>
        <v>0</v>
      </c>
      <c r="CE112" s="299">
        <f>IF(CE17=Detail!$H$7,-Detail!$C$22,0)</f>
        <v>0</v>
      </c>
      <c r="CF112" s="299">
        <f>IF(CF17=Detail!$H$7,-Detail!$C$22,0)</f>
        <v>0</v>
      </c>
      <c r="CG112" s="299">
        <f>IF(CG17=Detail!$H$7,-Detail!$C$22,0)</f>
        <v>0</v>
      </c>
      <c r="CH112" s="299">
        <f>IF(CH17=Detail!$H$7,-Detail!$C$22,0)</f>
        <v>0</v>
      </c>
      <c r="CI112" s="299">
        <f>IF(CI17=Detail!$H$7,-Detail!$C$22,0)</f>
        <v>0</v>
      </c>
      <c r="CJ112" s="299">
        <f>IF(CJ17=Detail!$H$7,-Detail!$C$22,0)</f>
        <v>0</v>
      </c>
      <c r="CK112" s="299">
        <f>IF(CK17=Detail!$H$7,-Detail!$C$22,0)</f>
        <v>0</v>
      </c>
      <c r="CL112" s="299">
        <f>IF(CL17=Detail!$H$7,-Detail!$C$22,0)</f>
        <v>0</v>
      </c>
      <c r="CM112" s="299">
        <f>IF(CM17=Detail!$H$7,-Detail!$C$22,0)</f>
        <v>0</v>
      </c>
      <c r="CN112" s="299">
        <f>IF(CN17=Detail!$H$7,-Detail!$C$22,0)</f>
        <v>0</v>
      </c>
      <c r="CO112" s="299">
        <f>IF(CO17=Detail!$H$7,-Detail!$C$22,0)</f>
        <v>0</v>
      </c>
      <c r="CP112" s="299">
        <f>IF(CP17=Detail!$H$7,-Detail!$C$22,0)</f>
        <v>0</v>
      </c>
      <c r="CQ112" s="299">
        <f>IF(CQ17=Detail!$H$7,-Detail!$C$22,0)</f>
        <v>0</v>
      </c>
      <c r="CR112" s="299">
        <f>IF(CR17=Detail!$H$7,-Detail!$C$22,0)</f>
        <v>0</v>
      </c>
      <c r="CS112" s="299">
        <f>IF(CS17=Detail!$H$7,-Detail!$C$22,0)</f>
        <v>0</v>
      </c>
      <c r="CT112" s="299">
        <f>IF(CT17=Detail!$H$7,-Detail!$C$22,0)</f>
        <v>0</v>
      </c>
      <c r="CU112" s="299">
        <f>IF(CU17=Detail!$H$7,-Detail!$C$22,0)</f>
        <v>0</v>
      </c>
      <c r="CV112" s="299">
        <f>IF(CV17=Detail!$H$7,-Detail!$C$22,0)</f>
        <v>0</v>
      </c>
      <c r="CW112" s="299">
        <f>IF(CW17=Detail!$H$7,-Detail!$C$22,0)</f>
        <v>0</v>
      </c>
      <c r="CX112" s="299">
        <f>IF(CX17=Detail!$H$7,-Detail!$C$22,0)</f>
        <v>0</v>
      </c>
      <c r="CY112" s="299">
        <f>IF(CY17=Detail!$H$7,-Detail!$C$22,0)</f>
        <v>0</v>
      </c>
      <c r="CZ112" s="299">
        <f>IF(CZ17=Detail!$H$7,-Detail!$C$22,0)</f>
        <v>0</v>
      </c>
      <c r="DA112" s="299">
        <f>IF(DA17=Detail!$H$7,-Detail!$C$22,0)</f>
        <v>0</v>
      </c>
      <c r="DB112" s="299">
        <f>IF(DB17=Detail!$H$7,-Detail!$C$22,0)</f>
        <v>0</v>
      </c>
      <c r="DC112" s="299">
        <f>IF(DC17=Detail!$H$7,-Detail!$C$22,0)</f>
        <v>0</v>
      </c>
      <c r="DD112" s="299">
        <f>IF(DD17=Detail!$H$7,-Detail!$C$22,0)</f>
        <v>0</v>
      </c>
      <c r="DE112" s="299">
        <f>IF(DE17=Detail!$H$7,-Detail!$C$22,0)</f>
        <v>0</v>
      </c>
      <c r="DF112" s="299">
        <f>IF(DF17=Detail!$H$7,-Detail!$C$22,0)</f>
        <v>0</v>
      </c>
      <c r="DG112" s="299">
        <f>IF(DG17=Detail!$H$7,-Detail!$C$22,0)</f>
        <v>0</v>
      </c>
      <c r="DH112" s="299">
        <f>IF(DH17=Detail!$H$7,-Detail!$C$22,0)</f>
        <v>0</v>
      </c>
      <c r="DI112" s="299">
        <f>IF(DI17=Detail!$H$7,-Detail!$C$22,0)</f>
        <v>0</v>
      </c>
      <c r="DJ112" s="299">
        <f>IF(DJ17=Detail!$H$7,-Detail!$C$22,0)</f>
        <v>0</v>
      </c>
      <c r="DK112" s="299">
        <f>IF(DK17=Detail!$H$7,-Detail!$C$22,0)</f>
        <v>0</v>
      </c>
      <c r="DL112" s="299">
        <f>IF(DL17=Detail!$H$7,-Detail!$C$22,0)</f>
        <v>0</v>
      </c>
      <c r="DM112" s="299">
        <f>IF(DM17=Detail!$H$7,-Detail!$C$22,0)</f>
        <v>0</v>
      </c>
      <c r="DN112" s="299">
        <f>IF(DN17=Detail!$H$7,-Detail!$C$22,0)</f>
        <v>0</v>
      </c>
      <c r="DO112" s="299">
        <f>IF(DO17=Detail!$H$7,-Detail!$C$22,0)</f>
        <v>0</v>
      </c>
      <c r="DP112" s="299">
        <f>IF(DP17=Detail!$H$7,-Detail!$C$22,0)</f>
        <v>0</v>
      </c>
      <c r="DQ112" s="299">
        <f>IF(DQ17=Detail!$H$7,-Detail!$C$22,0)</f>
        <v>0</v>
      </c>
      <c r="DR112" s="299">
        <f>IF(DR17=Detail!$H$7,-Detail!$C$22,0)</f>
        <v>0</v>
      </c>
      <c r="DS112" s="299">
        <f>IF(DS17=Detail!$H$7,-Detail!$C$22,0)</f>
        <v>0</v>
      </c>
      <c r="DT112" s="299">
        <f>IF(DT17=Detail!$H$7,-Detail!$C$22,0)</f>
        <v>0</v>
      </c>
      <c r="DU112" s="299">
        <f>IF(DU17=Detail!$H$7,-Detail!$C$22,0)</f>
        <v>0</v>
      </c>
      <c r="DV112" s="299">
        <f>IF(DV17=Detail!$H$7,-Detail!$C$22,0)</f>
        <v>0</v>
      </c>
      <c r="DW112" s="299">
        <f>IF(DW17=Detail!$H$7,-Detail!$C$22,0)</f>
        <v>0</v>
      </c>
      <c r="DX112" s="299">
        <f>IF(DX17=Detail!$H$7,-Detail!$C$22,0)</f>
        <v>0</v>
      </c>
      <c r="DY112" s="299">
        <f>IF(DY17=Detail!$H$7,-Detail!$C$22,0)</f>
        <v>0</v>
      </c>
      <c r="DZ112" s="299">
        <f>IF(DZ17=Detail!$H$7,-Detail!$C$22,0)</f>
        <v>0</v>
      </c>
      <c r="EA112" s="299">
        <f>IF(EA17=Detail!$H$7,-Detail!$C$22,0)</f>
        <v>0</v>
      </c>
      <c r="EB112" s="299">
        <f>IF(EB17=Detail!$H$7,-Detail!$C$22,0)</f>
        <v>0</v>
      </c>
      <c r="EC112" s="299">
        <f>IF(EC17=Detail!$H$7,-Detail!$C$22,0)</f>
        <v>0</v>
      </c>
      <c r="ED112" s="299">
        <f>IF(ED17=Detail!$H$7,-Detail!$C$22,0)</f>
        <v>0</v>
      </c>
      <c r="EE112" s="299">
        <f>IF(EE17=Detail!$H$7,-Detail!$C$22,0)</f>
        <v>0</v>
      </c>
      <c r="EF112" s="299">
        <f>IF(EF17=Detail!$H$7,-Detail!$C$22,0)</f>
        <v>0</v>
      </c>
      <c r="EG112" s="299">
        <f>IF(EG17=Detail!$H$7,-Detail!$C$22,0)</f>
        <v>0</v>
      </c>
      <c r="EH112" s="299">
        <f>IF(EH17=Detail!$H$7,-Detail!$C$22,0)</f>
        <v>0</v>
      </c>
      <c r="EI112" s="299">
        <f>IF(EI17=Detail!$H$7,-Detail!$C$22,0)</f>
        <v>0</v>
      </c>
      <c r="EJ112" s="299">
        <f>IF(EJ17=Detail!$H$7,-Detail!$C$22,0)</f>
        <v>0</v>
      </c>
      <c r="EK112" s="299">
        <f>IF(EK17=Detail!$H$7,-Detail!$C$22,0)</f>
        <v>0</v>
      </c>
      <c r="EL112" s="299">
        <f>IF(EL17=Detail!$H$7,-Detail!$C$22,0)</f>
        <v>0</v>
      </c>
      <c r="EM112" s="299">
        <f>IF(EM17=Detail!$H$7,-Detail!$C$22,0)</f>
        <v>0</v>
      </c>
      <c r="EN112" s="299">
        <f>IF(EN17=Detail!$H$7,-Detail!$C$22,0)</f>
        <v>0</v>
      </c>
      <c r="EO112" s="299">
        <f>IF(EO17=Detail!$H$7,-Detail!$C$22,0)</f>
        <v>0</v>
      </c>
      <c r="EP112" s="299">
        <f>IF(EP17=Detail!$H$7,-Detail!$C$22,0)</f>
        <v>0</v>
      </c>
      <c r="EQ112" s="299">
        <f>IF(EQ17=Detail!$H$7,-Detail!$C$22,0)</f>
        <v>0</v>
      </c>
      <c r="ER112" s="299">
        <f>IF(ER17=Detail!$H$7,-Detail!$C$22,0)</f>
        <v>0</v>
      </c>
      <c r="ES112" s="299">
        <f>IF(ES17=Detail!$H$7,-Detail!$C$22,0)</f>
        <v>0</v>
      </c>
      <c r="ET112" s="299">
        <f>IF(ET17=Detail!$H$7,-Detail!$C$22,0)</f>
        <v>0</v>
      </c>
      <c r="EU112" s="299">
        <f>IF(EU17=Detail!$H$7,-Detail!$C$22,0)</f>
        <v>0</v>
      </c>
      <c r="EV112" s="299">
        <f>IF(EV17=Detail!$H$7,-Detail!$C$22,0)</f>
        <v>0</v>
      </c>
      <c r="EW112" s="299">
        <f>IF(EW17=Detail!$H$7,-Detail!$C$22,0)</f>
        <v>0</v>
      </c>
      <c r="EX112" s="299">
        <f>IF(EX17=Detail!$H$7,-Detail!$C$22,0)</f>
        <v>0</v>
      </c>
      <c r="EY112" s="299">
        <f>IF(EY17=Detail!$H$7,-Detail!$C$22,0)</f>
        <v>0</v>
      </c>
      <c r="EZ112" s="299">
        <f>IF(EZ17=Detail!$H$7,-Detail!$C$22,0)</f>
        <v>0</v>
      </c>
      <c r="FA112" s="299">
        <f>IF(FA17=Detail!$H$7,-Detail!$C$22,0)</f>
        <v>0</v>
      </c>
      <c r="FB112" s="299">
        <f>IF(FB17=Detail!$H$7,-Detail!$C$22,0)</f>
        <v>0</v>
      </c>
      <c r="FC112" s="299">
        <f>IF(FC17=Detail!$H$7,-Detail!$C$22,0)</f>
        <v>0</v>
      </c>
      <c r="FD112" s="299">
        <f>IF(FD17=Detail!$H$7,-Detail!$C$22,0)</f>
        <v>0</v>
      </c>
      <c r="FE112" s="299">
        <f>IF(FE17=Detail!$H$7,-Detail!$C$22,0)</f>
        <v>0</v>
      </c>
      <c r="FF112" s="299">
        <f>IF(FF17=Detail!$H$7,-Detail!$C$22,0)</f>
        <v>0</v>
      </c>
      <c r="FG112" s="299">
        <f>IF(FG17=Detail!$H$7,-Detail!$C$22,0)</f>
        <v>0</v>
      </c>
      <c r="FH112" s="299">
        <f>IF(FH17=Detail!$H$7,-Detail!$C$22,0)</f>
        <v>0</v>
      </c>
      <c r="FI112" s="299">
        <f>IF(FI17=Detail!$H$7,-Detail!$C$22,0)</f>
        <v>0</v>
      </c>
      <c r="FJ112" s="299">
        <f>IF(FJ17=Detail!$H$7,-Detail!$C$22,0)</f>
        <v>0</v>
      </c>
      <c r="FK112" s="299">
        <f>IF(FK17=Detail!$H$7,-Detail!$C$22,0)</f>
        <v>0</v>
      </c>
      <c r="FL112" s="299">
        <f>IF(FL17=Detail!$H$7,-Detail!$C$22,0)</f>
        <v>0</v>
      </c>
      <c r="FM112" s="299">
        <f>IF(FM17=Detail!$H$7,-Detail!$C$22,0)</f>
        <v>0</v>
      </c>
      <c r="FN112" s="299">
        <f>IF(FN17=Detail!$H$7,-Detail!$C$22,0)</f>
        <v>0</v>
      </c>
      <c r="FO112" s="299">
        <f>IF(FO17=Detail!$H$7,-Detail!$C$22,0)</f>
        <v>0</v>
      </c>
      <c r="FP112" s="299">
        <f>IF(FP17=Detail!$H$7,-Detail!$C$22,0)</f>
        <v>0</v>
      </c>
      <c r="FQ112" s="299">
        <f>IF(FQ17=Detail!$H$7,-Detail!$C$22,0)</f>
        <v>0</v>
      </c>
      <c r="FR112" s="299">
        <f>IF(FR17=Detail!$H$7,-Detail!$C$22,0)</f>
        <v>0</v>
      </c>
      <c r="FS112" s="299">
        <f>IF(FS17=Detail!$H$7,-Detail!$C$22,0)</f>
        <v>0</v>
      </c>
    </row>
    <row r="113" spans="2:175" ht="12.75" customHeight="1">
      <c r="B113" s="517" t="s">
        <v>52</v>
      </c>
      <c r="C113" s="299">
        <f t="shared" si="144"/>
        <v>-52100000</v>
      </c>
      <c r="D113" s="644"/>
      <c r="E113" s="299">
        <f>-E97</f>
        <v>0</v>
      </c>
      <c r="F113" s="299">
        <f t="shared" ref="F113:BQ113" si="145">-F97</f>
        <v>0</v>
      </c>
      <c r="G113" s="299">
        <f t="shared" si="145"/>
        <v>0</v>
      </c>
      <c r="H113" s="299">
        <f t="shared" si="145"/>
        <v>0</v>
      </c>
      <c r="I113" s="299">
        <f t="shared" si="145"/>
        <v>0</v>
      </c>
      <c r="J113" s="299">
        <f t="shared" si="145"/>
        <v>0</v>
      </c>
      <c r="K113" s="299">
        <f t="shared" si="145"/>
        <v>0</v>
      </c>
      <c r="L113" s="299">
        <f t="shared" si="145"/>
        <v>0</v>
      </c>
      <c r="M113" s="299">
        <f t="shared" si="145"/>
        <v>0</v>
      </c>
      <c r="N113" s="299">
        <f t="shared" si="145"/>
        <v>0</v>
      </c>
      <c r="O113" s="299">
        <f t="shared" si="145"/>
        <v>0</v>
      </c>
      <c r="P113" s="299">
        <f t="shared" si="145"/>
        <v>0</v>
      </c>
      <c r="Q113" s="299">
        <f t="shared" si="145"/>
        <v>0</v>
      </c>
      <c r="R113" s="299">
        <f t="shared" si="145"/>
        <v>0</v>
      </c>
      <c r="S113" s="299">
        <f t="shared" si="145"/>
        <v>0</v>
      </c>
      <c r="T113" s="299">
        <f t="shared" si="145"/>
        <v>0</v>
      </c>
      <c r="U113" s="299">
        <f t="shared" si="145"/>
        <v>0</v>
      </c>
      <c r="V113" s="299">
        <f t="shared" si="145"/>
        <v>0</v>
      </c>
      <c r="W113" s="299">
        <f t="shared" si="145"/>
        <v>0</v>
      </c>
      <c r="X113" s="299">
        <f t="shared" si="145"/>
        <v>0</v>
      </c>
      <c r="Y113" s="299">
        <f t="shared" si="145"/>
        <v>0</v>
      </c>
      <c r="Z113" s="299">
        <f t="shared" si="145"/>
        <v>0</v>
      </c>
      <c r="AA113" s="299">
        <f t="shared" si="145"/>
        <v>0</v>
      </c>
      <c r="AB113" s="299">
        <f t="shared" si="145"/>
        <v>0</v>
      </c>
      <c r="AC113" s="299">
        <f t="shared" si="145"/>
        <v>0</v>
      </c>
      <c r="AD113" s="299">
        <f t="shared" si="145"/>
        <v>0</v>
      </c>
      <c r="AE113" s="299">
        <f t="shared" si="145"/>
        <v>0</v>
      </c>
      <c r="AF113" s="299">
        <f t="shared" si="145"/>
        <v>0</v>
      </c>
      <c r="AG113" s="299">
        <f t="shared" si="145"/>
        <v>0</v>
      </c>
      <c r="AH113" s="299">
        <f t="shared" si="145"/>
        <v>0</v>
      </c>
      <c r="AI113" s="299">
        <f t="shared" si="145"/>
        <v>0</v>
      </c>
      <c r="AJ113" s="299">
        <f t="shared" si="145"/>
        <v>0</v>
      </c>
      <c r="AK113" s="299">
        <f t="shared" si="145"/>
        <v>0</v>
      </c>
      <c r="AL113" s="299">
        <f t="shared" si="145"/>
        <v>0</v>
      </c>
      <c r="AM113" s="299">
        <f t="shared" si="145"/>
        <v>0</v>
      </c>
      <c r="AN113" s="299">
        <f t="shared" si="145"/>
        <v>0</v>
      </c>
      <c r="AO113" s="299">
        <f t="shared" si="145"/>
        <v>0</v>
      </c>
      <c r="AP113" s="299">
        <f t="shared" si="145"/>
        <v>0</v>
      </c>
      <c r="AQ113" s="299">
        <f t="shared" si="145"/>
        <v>0</v>
      </c>
      <c r="AR113" s="299">
        <f t="shared" si="145"/>
        <v>0</v>
      </c>
      <c r="AS113" s="299">
        <f t="shared" si="145"/>
        <v>0</v>
      </c>
      <c r="AT113" s="299">
        <f t="shared" si="145"/>
        <v>0</v>
      </c>
      <c r="AU113" s="299">
        <f t="shared" si="145"/>
        <v>0</v>
      </c>
      <c r="AV113" s="299">
        <f t="shared" si="145"/>
        <v>0</v>
      </c>
      <c r="AW113" s="299">
        <f t="shared" si="145"/>
        <v>0</v>
      </c>
      <c r="AX113" s="299">
        <f t="shared" si="145"/>
        <v>0</v>
      </c>
      <c r="AY113" s="299">
        <f t="shared" si="145"/>
        <v>0</v>
      </c>
      <c r="AZ113" s="299">
        <f t="shared" si="145"/>
        <v>-52100000</v>
      </c>
      <c r="BA113" s="299">
        <f t="shared" si="145"/>
        <v>0</v>
      </c>
      <c r="BB113" s="299">
        <f t="shared" si="145"/>
        <v>0</v>
      </c>
      <c r="BC113" s="299">
        <f t="shared" si="145"/>
        <v>0</v>
      </c>
      <c r="BD113" s="299">
        <f t="shared" si="145"/>
        <v>0</v>
      </c>
      <c r="BE113" s="299">
        <f t="shared" si="145"/>
        <v>0</v>
      </c>
      <c r="BF113" s="299">
        <f t="shared" si="145"/>
        <v>0</v>
      </c>
      <c r="BG113" s="299">
        <f t="shared" si="145"/>
        <v>0</v>
      </c>
      <c r="BH113" s="299">
        <f t="shared" si="145"/>
        <v>0</v>
      </c>
      <c r="BI113" s="299">
        <f t="shared" si="145"/>
        <v>0</v>
      </c>
      <c r="BJ113" s="299">
        <f t="shared" si="145"/>
        <v>0</v>
      </c>
      <c r="BK113" s="299">
        <f t="shared" si="145"/>
        <v>0</v>
      </c>
      <c r="BL113" s="299">
        <f t="shared" si="145"/>
        <v>0</v>
      </c>
      <c r="BM113" s="299">
        <f t="shared" si="145"/>
        <v>0</v>
      </c>
      <c r="BN113" s="299">
        <f t="shared" si="145"/>
        <v>0</v>
      </c>
      <c r="BO113" s="299">
        <f t="shared" si="145"/>
        <v>0</v>
      </c>
      <c r="BP113" s="299">
        <f t="shared" si="145"/>
        <v>0</v>
      </c>
      <c r="BQ113" s="299">
        <f t="shared" si="145"/>
        <v>0</v>
      </c>
      <c r="BR113" s="299">
        <f t="shared" ref="BR113:EC113" si="146">-BR97</f>
        <v>0</v>
      </c>
      <c r="BS113" s="299">
        <f t="shared" si="146"/>
        <v>0</v>
      </c>
      <c r="BT113" s="299">
        <f t="shared" si="146"/>
        <v>0</v>
      </c>
      <c r="BU113" s="299">
        <f t="shared" si="146"/>
        <v>0</v>
      </c>
      <c r="BV113" s="299">
        <f t="shared" si="146"/>
        <v>0</v>
      </c>
      <c r="BW113" s="299">
        <f t="shared" si="146"/>
        <v>0</v>
      </c>
      <c r="BX113" s="299">
        <f t="shared" si="146"/>
        <v>0</v>
      </c>
      <c r="BY113" s="299">
        <f t="shared" si="146"/>
        <v>0</v>
      </c>
      <c r="BZ113" s="299">
        <f t="shared" si="146"/>
        <v>0</v>
      </c>
      <c r="CA113" s="299">
        <f t="shared" si="146"/>
        <v>0</v>
      </c>
      <c r="CB113" s="299">
        <f t="shared" si="146"/>
        <v>0</v>
      </c>
      <c r="CC113" s="299">
        <f t="shared" si="146"/>
        <v>0</v>
      </c>
      <c r="CD113" s="299">
        <f t="shared" si="146"/>
        <v>0</v>
      </c>
      <c r="CE113" s="299">
        <f t="shared" si="146"/>
        <v>0</v>
      </c>
      <c r="CF113" s="299">
        <f t="shared" si="146"/>
        <v>0</v>
      </c>
      <c r="CG113" s="299">
        <f t="shared" si="146"/>
        <v>0</v>
      </c>
      <c r="CH113" s="299">
        <f t="shared" si="146"/>
        <v>0</v>
      </c>
      <c r="CI113" s="299">
        <f t="shared" si="146"/>
        <v>0</v>
      </c>
      <c r="CJ113" s="299">
        <f t="shared" si="146"/>
        <v>0</v>
      </c>
      <c r="CK113" s="299">
        <f t="shared" si="146"/>
        <v>0</v>
      </c>
      <c r="CL113" s="299">
        <f t="shared" si="146"/>
        <v>0</v>
      </c>
      <c r="CM113" s="299">
        <f t="shared" si="146"/>
        <v>0</v>
      </c>
      <c r="CN113" s="299">
        <f t="shared" si="146"/>
        <v>0</v>
      </c>
      <c r="CO113" s="299">
        <f t="shared" si="146"/>
        <v>0</v>
      </c>
      <c r="CP113" s="299">
        <f t="shared" si="146"/>
        <v>0</v>
      </c>
      <c r="CQ113" s="299">
        <f t="shared" si="146"/>
        <v>0</v>
      </c>
      <c r="CR113" s="299">
        <f t="shared" si="146"/>
        <v>0</v>
      </c>
      <c r="CS113" s="299">
        <f t="shared" si="146"/>
        <v>0</v>
      </c>
      <c r="CT113" s="299">
        <f t="shared" si="146"/>
        <v>0</v>
      </c>
      <c r="CU113" s="299">
        <f t="shared" si="146"/>
        <v>0</v>
      </c>
      <c r="CV113" s="299">
        <f t="shared" si="146"/>
        <v>0</v>
      </c>
      <c r="CW113" s="299">
        <f t="shared" si="146"/>
        <v>0</v>
      </c>
      <c r="CX113" s="299">
        <f t="shared" si="146"/>
        <v>0</v>
      </c>
      <c r="CY113" s="299">
        <f t="shared" si="146"/>
        <v>0</v>
      </c>
      <c r="CZ113" s="299">
        <f t="shared" si="146"/>
        <v>0</v>
      </c>
      <c r="DA113" s="299">
        <f t="shared" si="146"/>
        <v>0</v>
      </c>
      <c r="DB113" s="299">
        <f t="shared" si="146"/>
        <v>0</v>
      </c>
      <c r="DC113" s="299">
        <f t="shared" si="146"/>
        <v>0</v>
      </c>
      <c r="DD113" s="299">
        <f t="shared" si="146"/>
        <v>0</v>
      </c>
      <c r="DE113" s="299">
        <f t="shared" si="146"/>
        <v>0</v>
      </c>
      <c r="DF113" s="299">
        <f t="shared" si="146"/>
        <v>0</v>
      </c>
      <c r="DG113" s="299">
        <f t="shared" si="146"/>
        <v>0</v>
      </c>
      <c r="DH113" s="299">
        <f t="shared" si="146"/>
        <v>0</v>
      </c>
      <c r="DI113" s="299">
        <f t="shared" si="146"/>
        <v>0</v>
      </c>
      <c r="DJ113" s="299">
        <f t="shared" si="146"/>
        <v>0</v>
      </c>
      <c r="DK113" s="299">
        <f t="shared" si="146"/>
        <v>0</v>
      </c>
      <c r="DL113" s="299">
        <f t="shared" si="146"/>
        <v>0</v>
      </c>
      <c r="DM113" s="299">
        <f t="shared" si="146"/>
        <v>0</v>
      </c>
      <c r="DN113" s="299">
        <f t="shared" si="146"/>
        <v>0</v>
      </c>
      <c r="DO113" s="299">
        <f t="shared" si="146"/>
        <v>0</v>
      </c>
      <c r="DP113" s="299">
        <f t="shared" si="146"/>
        <v>0</v>
      </c>
      <c r="DQ113" s="299">
        <f t="shared" si="146"/>
        <v>0</v>
      </c>
      <c r="DR113" s="299">
        <f t="shared" si="146"/>
        <v>0</v>
      </c>
      <c r="DS113" s="299">
        <f t="shared" si="146"/>
        <v>0</v>
      </c>
      <c r="DT113" s="299">
        <f t="shared" si="146"/>
        <v>0</v>
      </c>
      <c r="DU113" s="299">
        <f t="shared" si="146"/>
        <v>0</v>
      </c>
      <c r="DV113" s="299">
        <f t="shared" si="146"/>
        <v>0</v>
      </c>
      <c r="DW113" s="299">
        <f t="shared" si="146"/>
        <v>0</v>
      </c>
      <c r="DX113" s="299">
        <f t="shared" si="146"/>
        <v>0</v>
      </c>
      <c r="DY113" s="299">
        <f t="shared" si="146"/>
        <v>0</v>
      </c>
      <c r="DZ113" s="299">
        <f t="shared" si="146"/>
        <v>0</v>
      </c>
      <c r="EA113" s="299">
        <f t="shared" si="146"/>
        <v>0</v>
      </c>
      <c r="EB113" s="299">
        <f t="shared" si="146"/>
        <v>0</v>
      </c>
      <c r="EC113" s="299">
        <f t="shared" si="146"/>
        <v>0</v>
      </c>
      <c r="ED113" s="299">
        <f t="shared" ref="ED113:FS113" si="147">-ED97</f>
        <v>0</v>
      </c>
      <c r="EE113" s="299">
        <f t="shared" si="147"/>
        <v>0</v>
      </c>
      <c r="EF113" s="299">
        <f t="shared" si="147"/>
        <v>0</v>
      </c>
      <c r="EG113" s="299">
        <f t="shared" si="147"/>
        <v>0</v>
      </c>
      <c r="EH113" s="299">
        <f t="shared" si="147"/>
        <v>0</v>
      </c>
      <c r="EI113" s="299">
        <f t="shared" si="147"/>
        <v>0</v>
      </c>
      <c r="EJ113" s="299">
        <f t="shared" si="147"/>
        <v>0</v>
      </c>
      <c r="EK113" s="299">
        <f t="shared" si="147"/>
        <v>0</v>
      </c>
      <c r="EL113" s="299">
        <f t="shared" si="147"/>
        <v>0</v>
      </c>
      <c r="EM113" s="299">
        <f t="shared" si="147"/>
        <v>0</v>
      </c>
      <c r="EN113" s="299">
        <f t="shared" si="147"/>
        <v>0</v>
      </c>
      <c r="EO113" s="299">
        <f t="shared" si="147"/>
        <v>0</v>
      </c>
      <c r="EP113" s="299">
        <f t="shared" si="147"/>
        <v>0</v>
      </c>
      <c r="EQ113" s="299">
        <f t="shared" si="147"/>
        <v>0</v>
      </c>
      <c r="ER113" s="299">
        <f t="shared" si="147"/>
        <v>0</v>
      </c>
      <c r="ES113" s="299">
        <f t="shared" si="147"/>
        <v>0</v>
      </c>
      <c r="ET113" s="299">
        <f t="shared" si="147"/>
        <v>0</v>
      </c>
      <c r="EU113" s="299">
        <f t="shared" si="147"/>
        <v>0</v>
      </c>
      <c r="EV113" s="299">
        <f t="shared" si="147"/>
        <v>0</v>
      </c>
      <c r="EW113" s="299">
        <f t="shared" si="147"/>
        <v>0</v>
      </c>
      <c r="EX113" s="299">
        <f t="shared" si="147"/>
        <v>0</v>
      </c>
      <c r="EY113" s="299">
        <f t="shared" si="147"/>
        <v>0</v>
      </c>
      <c r="EZ113" s="299">
        <f t="shared" si="147"/>
        <v>0</v>
      </c>
      <c r="FA113" s="299">
        <f t="shared" si="147"/>
        <v>0</v>
      </c>
      <c r="FB113" s="299">
        <f t="shared" si="147"/>
        <v>0</v>
      </c>
      <c r="FC113" s="299">
        <f t="shared" si="147"/>
        <v>0</v>
      </c>
      <c r="FD113" s="299">
        <f t="shared" si="147"/>
        <v>0</v>
      </c>
      <c r="FE113" s="299">
        <f t="shared" si="147"/>
        <v>0</v>
      </c>
      <c r="FF113" s="299">
        <f t="shared" si="147"/>
        <v>0</v>
      </c>
      <c r="FG113" s="299">
        <f t="shared" si="147"/>
        <v>0</v>
      </c>
      <c r="FH113" s="299">
        <f t="shared" si="147"/>
        <v>0</v>
      </c>
      <c r="FI113" s="299">
        <f t="shared" si="147"/>
        <v>0</v>
      </c>
      <c r="FJ113" s="299">
        <f t="shared" si="147"/>
        <v>0</v>
      </c>
      <c r="FK113" s="299">
        <f t="shared" si="147"/>
        <v>0</v>
      </c>
      <c r="FL113" s="299">
        <f t="shared" si="147"/>
        <v>0</v>
      </c>
      <c r="FM113" s="299">
        <f t="shared" si="147"/>
        <v>0</v>
      </c>
      <c r="FN113" s="299">
        <f t="shared" si="147"/>
        <v>0</v>
      </c>
      <c r="FO113" s="299">
        <f t="shared" si="147"/>
        <v>0</v>
      </c>
      <c r="FP113" s="299">
        <f t="shared" si="147"/>
        <v>0</v>
      </c>
      <c r="FQ113" s="299">
        <f t="shared" si="147"/>
        <v>0</v>
      </c>
      <c r="FR113" s="299">
        <f t="shared" si="147"/>
        <v>0</v>
      </c>
      <c r="FS113" s="299">
        <f t="shared" si="147"/>
        <v>0</v>
      </c>
    </row>
    <row r="114" spans="2:175" ht="12.75" customHeight="1">
      <c r="B114" s="517" t="s">
        <v>336</v>
      </c>
      <c r="C114" s="299">
        <f t="shared" si="144"/>
        <v>0</v>
      </c>
      <c r="D114" s="644"/>
      <c r="E114" s="299">
        <f>E102</f>
        <v>0</v>
      </c>
      <c r="F114" s="299">
        <f t="shared" ref="F114:BQ114" si="148">F102</f>
        <v>0</v>
      </c>
      <c r="G114" s="299">
        <f t="shared" si="148"/>
        <v>0</v>
      </c>
      <c r="H114" s="299">
        <f t="shared" si="148"/>
        <v>0</v>
      </c>
      <c r="I114" s="299">
        <f t="shared" si="148"/>
        <v>0</v>
      </c>
      <c r="J114" s="299">
        <f t="shared" si="148"/>
        <v>0</v>
      </c>
      <c r="K114" s="299">
        <f t="shared" si="148"/>
        <v>0</v>
      </c>
      <c r="L114" s="299">
        <f t="shared" si="148"/>
        <v>0</v>
      </c>
      <c r="M114" s="299">
        <f t="shared" si="148"/>
        <v>0</v>
      </c>
      <c r="N114" s="299">
        <f t="shared" si="148"/>
        <v>0</v>
      </c>
      <c r="O114" s="299">
        <f t="shared" si="148"/>
        <v>0</v>
      </c>
      <c r="P114" s="299">
        <f t="shared" si="148"/>
        <v>0</v>
      </c>
      <c r="Q114" s="299">
        <f t="shared" si="148"/>
        <v>0</v>
      </c>
      <c r="R114" s="299">
        <f t="shared" si="148"/>
        <v>0</v>
      </c>
      <c r="S114" s="299">
        <f t="shared" si="148"/>
        <v>0</v>
      </c>
      <c r="T114" s="299">
        <f t="shared" si="148"/>
        <v>0</v>
      </c>
      <c r="U114" s="299">
        <f t="shared" si="148"/>
        <v>0</v>
      </c>
      <c r="V114" s="299">
        <f t="shared" si="148"/>
        <v>0</v>
      </c>
      <c r="W114" s="299">
        <f t="shared" si="148"/>
        <v>0</v>
      </c>
      <c r="X114" s="299">
        <f t="shared" si="148"/>
        <v>0</v>
      </c>
      <c r="Y114" s="299">
        <f t="shared" si="148"/>
        <v>0</v>
      </c>
      <c r="Z114" s="299">
        <f t="shared" si="148"/>
        <v>0</v>
      </c>
      <c r="AA114" s="299">
        <f t="shared" si="148"/>
        <v>0</v>
      </c>
      <c r="AB114" s="299">
        <f t="shared" si="148"/>
        <v>0</v>
      </c>
      <c r="AC114" s="299">
        <f t="shared" si="148"/>
        <v>0</v>
      </c>
      <c r="AD114" s="299">
        <f t="shared" si="148"/>
        <v>0</v>
      </c>
      <c r="AE114" s="299">
        <f t="shared" si="148"/>
        <v>0</v>
      </c>
      <c r="AF114" s="299">
        <f t="shared" si="148"/>
        <v>0</v>
      </c>
      <c r="AG114" s="299">
        <f t="shared" si="148"/>
        <v>0</v>
      </c>
      <c r="AH114" s="299">
        <f t="shared" si="148"/>
        <v>0</v>
      </c>
      <c r="AI114" s="299">
        <f t="shared" si="148"/>
        <v>0</v>
      </c>
      <c r="AJ114" s="299">
        <f t="shared" si="148"/>
        <v>0</v>
      </c>
      <c r="AK114" s="299">
        <f t="shared" si="148"/>
        <v>0</v>
      </c>
      <c r="AL114" s="299">
        <f t="shared" si="148"/>
        <v>0</v>
      </c>
      <c r="AM114" s="299">
        <f t="shared" si="148"/>
        <v>0</v>
      </c>
      <c r="AN114" s="299">
        <f t="shared" si="148"/>
        <v>0</v>
      </c>
      <c r="AO114" s="299">
        <f t="shared" si="148"/>
        <v>0</v>
      </c>
      <c r="AP114" s="299">
        <f t="shared" si="148"/>
        <v>0</v>
      </c>
      <c r="AQ114" s="299">
        <f t="shared" si="148"/>
        <v>0</v>
      </c>
      <c r="AR114" s="299">
        <f t="shared" si="148"/>
        <v>0</v>
      </c>
      <c r="AS114" s="299">
        <f t="shared" si="148"/>
        <v>0</v>
      </c>
      <c r="AT114" s="299">
        <f t="shared" si="148"/>
        <v>0</v>
      </c>
      <c r="AU114" s="299">
        <f t="shared" si="148"/>
        <v>0</v>
      </c>
      <c r="AV114" s="299">
        <f t="shared" si="148"/>
        <v>0</v>
      </c>
      <c r="AW114" s="299">
        <f t="shared" si="148"/>
        <v>0</v>
      </c>
      <c r="AX114" s="299">
        <f t="shared" si="148"/>
        <v>0</v>
      </c>
      <c r="AY114" s="299">
        <f t="shared" si="148"/>
        <v>0</v>
      </c>
      <c r="AZ114" s="299">
        <f t="shared" si="148"/>
        <v>0</v>
      </c>
      <c r="BA114" s="299">
        <f t="shared" si="148"/>
        <v>0</v>
      </c>
      <c r="BB114" s="299">
        <f t="shared" si="148"/>
        <v>0</v>
      </c>
      <c r="BC114" s="299">
        <f t="shared" si="148"/>
        <v>0</v>
      </c>
      <c r="BD114" s="299">
        <f t="shared" si="148"/>
        <v>0</v>
      </c>
      <c r="BE114" s="299">
        <f t="shared" si="148"/>
        <v>0</v>
      </c>
      <c r="BF114" s="299">
        <f t="shared" si="148"/>
        <v>0</v>
      </c>
      <c r="BG114" s="299">
        <f t="shared" si="148"/>
        <v>0</v>
      </c>
      <c r="BH114" s="299">
        <f t="shared" si="148"/>
        <v>0</v>
      </c>
      <c r="BI114" s="299">
        <f t="shared" si="148"/>
        <v>0</v>
      </c>
      <c r="BJ114" s="299">
        <f t="shared" si="148"/>
        <v>0</v>
      </c>
      <c r="BK114" s="299">
        <f t="shared" si="148"/>
        <v>0</v>
      </c>
      <c r="BL114" s="299">
        <f t="shared" si="148"/>
        <v>0</v>
      </c>
      <c r="BM114" s="299">
        <f t="shared" si="148"/>
        <v>0</v>
      </c>
      <c r="BN114" s="299">
        <f t="shared" si="148"/>
        <v>0</v>
      </c>
      <c r="BO114" s="299">
        <f t="shared" si="148"/>
        <v>0</v>
      </c>
      <c r="BP114" s="299">
        <f t="shared" si="148"/>
        <v>0</v>
      </c>
      <c r="BQ114" s="299">
        <f t="shared" si="148"/>
        <v>0</v>
      </c>
      <c r="BR114" s="299">
        <f t="shared" ref="BR114:EC114" si="149">BR102</f>
        <v>0</v>
      </c>
      <c r="BS114" s="299">
        <f t="shared" si="149"/>
        <v>0</v>
      </c>
      <c r="BT114" s="299">
        <f t="shared" si="149"/>
        <v>0</v>
      </c>
      <c r="BU114" s="299">
        <f t="shared" si="149"/>
        <v>0</v>
      </c>
      <c r="BV114" s="299">
        <f t="shared" si="149"/>
        <v>0</v>
      </c>
      <c r="BW114" s="299">
        <f t="shared" si="149"/>
        <v>0</v>
      </c>
      <c r="BX114" s="299">
        <f t="shared" si="149"/>
        <v>0</v>
      </c>
      <c r="BY114" s="299">
        <f t="shared" si="149"/>
        <v>0</v>
      </c>
      <c r="BZ114" s="299">
        <f t="shared" si="149"/>
        <v>0</v>
      </c>
      <c r="CA114" s="299">
        <f t="shared" si="149"/>
        <v>0</v>
      </c>
      <c r="CB114" s="299">
        <f t="shared" si="149"/>
        <v>0</v>
      </c>
      <c r="CC114" s="299">
        <f t="shared" si="149"/>
        <v>0</v>
      </c>
      <c r="CD114" s="299">
        <f t="shared" si="149"/>
        <v>0</v>
      </c>
      <c r="CE114" s="299">
        <f t="shared" si="149"/>
        <v>0</v>
      </c>
      <c r="CF114" s="299">
        <f t="shared" si="149"/>
        <v>0</v>
      </c>
      <c r="CG114" s="299">
        <f t="shared" si="149"/>
        <v>0</v>
      </c>
      <c r="CH114" s="299">
        <f t="shared" si="149"/>
        <v>0</v>
      </c>
      <c r="CI114" s="299">
        <f t="shared" si="149"/>
        <v>0</v>
      </c>
      <c r="CJ114" s="299">
        <f t="shared" si="149"/>
        <v>0</v>
      </c>
      <c r="CK114" s="299">
        <f t="shared" si="149"/>
        <v>0</v>
      </c>
      <c r="CL114" s="299">
        <f t="shared" si="149"/>
        <v>0</v>
      </c>
      <c r="CM114" s="299">
        <f t="shared" si="149"/>
        <v>0</v>
      </c>
      <c r="CN114" s="299">
        <f t="shared" si="149"/>
        <v>0</v>
      </c>
      <c r="CO114" s="299">
        <f t="shared" si="149"/>
        <v>0</v>
      </c>
      <c r="CP114" s="299">
        <f t="shared" si="149"/>
        <v>0</v>
      </c>
      <c r="CQ114" s="299">
        <f t="shared" si="149"/>
        <v>0</v>
      </c>
      <c r="CR114" s="299">
        <f t="shared" si="149"/>
        <v>0</v>
      </c>
      <c r="CS114" s="299">
        <f t="shared" si="149"/>
        <v>0</v>
      </c>
      <c r="CT114" s="299">
        <f t="shared" si="149"/>
        <v>0</v>
      </c>
      <c r="CU114" s="299">
        <f t="shared" si="149"/>
        <v>0</v>
      </c>
      <c r="CV114" s="299">
        <f t="shared" si="149"/>
        <v>0</v>
      </c>
      <c r="CW114" s="299">
        <f t="shared" si="149"/>
        <v>0</v>
      </c>
      <c r="CX114" s="299">
        <f t="shared" si="149"/>
        <v>0</v>
      </c>
      <c r="CY114" s="299">
        <f t="shared" si="149"/>
        <v>0</v>
      </c>
      <c r="CZ114" s="299">
        <f t="shared" si="149"/>
        <v>0</v>
      </c>
      <c r="DA114" s="299">
        <f t="shared" si="149"/>
        <v>0</v>
      </c>
      <c r="DB114" s="299">
        <f t="shared" si="149"/>
        <v>0</v>
      </c>
      <c r="DC114" s="299">
        <f t="shared" si="149"/>
        <v>0</v>
      </c>
      <c r="DD114" s="299">
        <f t="shared" si="149"/>
        <v>0</v>
      </c>
      <c r="DE114" s="299">
        <f t="shared" si="149"/>
        <v>0</v>
      </c>
      <c r="DF114" s="299">
        <f t="shared" si="149"/>
        <v>0</v>
      </c>
      <c r="DG114" s="299">
        <f t="shared" si="149"/>
        <v>0</v>
      </c>
      <c r="DH114" s="299">
        <f t="shared" si="149"/>
        <v>0</v>
      </c>
      <c r="DI114" s="299">
        <f t="shared" si="149"/>
        <v>0</v>
      </c>
      <c r="DJ114" s="299">
        <f t="shared" si="149"/>
        <v>0</v>
      </c>
      <c r="DK114" s="299">
        <f t="shared" si="149"/>
        <v>0</v>
      </c>
      <c r="DL114" s="299">
        <f t="shared" si="149"/>
        <v>0</v>
      </c>
      <c r="DM114" s="299">
        <f t="shared" si="149"/>
        <v>0</v>
      </c>
      <c r="DN114" s="299">
        <f t="shared" si="149"/>
        <v>0</v>
      </c>
      <c r="DO114" s="299">
        <f t="shared" si="149"/>
        <v>0</v>
      </c>
      <c r="DP114" s="299">
        <f t="shared" si="149"/>
        <v>0</v>
      </c>
      <c r="DQ114" s="299">
        <f t="shared" si="149"/>
        <v>0</v>
      </c>
      <c r="DR114" s="299">
        <f t="shared" si="149"/>
        <v>0</v>
      </c>
      <c r="DS114" s="299">
        <f t="shared" si="149"/>
        <v>0</v>
      </c>
      <c r="DT114" s="299">
        <f t="shared" si="149"/>
        <v>0</v>
      </c>
      <c r="DU114" s="299">
        <f t="shared" si="149"/>
        <v>0</v>
      </c>
      <c r="DV114" s="299">
        <f t="shared" si="149"/>
        <v>0</v>
      </c>
      <c r="DW114" s="299">
        <f t="shared" si="149"/>
        <v>0</v>
      </c>
      <c r="DX114" s="299">
        <f t="shared" si="149"/>
        <v>0</v>
      </c>
      <c r="DY114" s="299">
        <f t="shared" si="149"/>
        <v>0</v>
      </c>
      <c r="DZ114" s="299">
        <f t="shared" si="149"/>
        <v>0</v>
      </c>
      <c r="EA114" s="299">
        <f t="shared" si="149"/>
        <v>0</v>
      </c>
      <c r="EB114" s="299">
        <f t="shared" si="149"/>
        <v>0</v>
      </c>
      <c r="EC114" s="299">
        <f t="shared" si="149"/>
        <v>0</v>
      </c>
      <c r="ED114" s="299">
        <f t="shared" ref="ED114:FS114" si="150">ED102</f>
        <v>0</v>
      </c>
      <c r="EE114" s="299">
        <f t="shared" si="150"/>
        <v>0</v>
      </c>
      <c r="EF114" s="299">
        <f t="shared" si="150"/>
        <v>0</v>
      </c>
      <c r="EG114" s="299">
        <f t="shared" si="150"/>
        <v>0</v>
      </c>
      <c r="EH114" s="299">
        <f t="shared" si="150"/>
        <v>0</v>
      </c>
      <c r="EI114" s="299">
        <f t="shared" si="150"/>
        <v>0</v>
      </c>
      <c r="EJ114" s="299">
        <f t="shared" si="150"/>
        <v>0</v>
      </c>
      <c r="EK114" s="299">
        <f t="shared" si="150"/>
        <v>0</v>
      </c>
      <c r="EL114" s="299">
        <f t="shared" si="150"/>
        <v>0</v>
      </c>
      <c r="EM114" s="299">
        <f t="shared" si="150"/>
        <v>0</v>
      </c>
      <c r="EN114" s="299">
        <f t="shared" si="150"/>
        <v>0</v>
      </c>
      <c r="EO114" s="299">
        <f t="shared" si="150"/>
        <v>0</v>
      </c>
      <c r="EP114" s="299">
        <f t="shared" si="150"/>
        <v>0</v>
      </c>
      <c r="EQ114" s="299">
        <f t="shared" si="150"/>
        <v>0</v>
      </c>
      <c r="ER114" s="299">
        <f t="shared" si="150"/>
        <v>0</v>
      </c>
      <c r="ES114" s="299">
        <f t="shared" si="150"/>
        <v>0</v>
      </c>
      <c r="ET114" s="299">
        <f t="shared" si="150"/>
        <v>0</v>
      </c>
      <c r="EU114" s="299">
        <f t="shared" si="150"/>
        <v>0</v>
      </c>
      <c r="EV114" s="299">
        <f t="shared" si="150"/>
        <v>0</v>
      </c>
      <c r="EW114" s="299">
        <f t="shared" si="150"/>
        <v>0</v>
      </c>
      <c r="EX114" s="299">
        <f t="shared" si="150"/>
        <v>0</v>
      </c>
      <c r="EY114" s="299">
        <f t="shared" si="150"/>
        <v>0</v>
      </c>
      <c r="EZ114" s="299">
        <f t="shared" si="150"/>
        <v>0</v>
      </c>
      <c r="FA114" s="299">
        <f t="shared" si="150"/>
        <v>0</v>
      </c>
      <c r="FB114" s="299">
        <f t="shared" si="150"/>
        <v>0</v>
      </c>
      <c r="FC114" s="299">
        <f t="shared" si="150"/>
        <v>0</v>
      </c>
      <c r="FD114" s="299">
        <f t="shared" si="150"/>
        <v>0</v>
      </c>
      <c r="FE114" s="299">
        <f t="shared" si="150"/>
        <v>0</v>
      </c>
      <c r="FF114" s="299">
        <f t="shared" si="150"/>
        <v>0</v>
      </c>
      <c r="FG114" s="299">
        <f t="shared" si="150"/>
        <v>0</v>
      </c>
      <c r="FH114" s="299">
        <f t="shared" si="150"/>
        <v>0</v>
      </c>
      <c r="FI114" s="299">
        <f t="shared" si="150"/>
        <v>0</v>
      </c>
      <c r="FJ114" s="299">
        <f t="shared" si="150"/>
        <v>0</v>
      </c>
      <c r="FK114" s="299">
        <f t="shared" si="150"/>
        <v>0</v>
      </c>
      <c r="FL114" s="299">
        <f t="shared" si="150"/>
        <v>0</v>
      </c>
      <c r="FM114" s="299">
        <f t="shared" si="150"/>
        <v>0</v>
      </c>
      <c r="FN114" s="299">
        <f t="shared" si="150"/>
        <v>0</v>
      </c>
      <c r="FO114" s="299">
        <f t="shared" si="150"/>
        <v>0</v>
      </c>
      <c r="FP114" s="299">
        <f t="shared" si="150"/>
        <v>0</v>
      </c>
      <c r="FQ114" s="299">
        <f t="shared" si="150"/>
        <v>0</v>
      </c>
      <c r="FR114" s="299">
        <f t="shared" si="150"/>
        <v>0</v>
      </c>
      <c r="FS114" s="299">
        <f t="shared" si="150"/>
        <v>0</v>
      </c>
    </row>
    <row r="115" spans="2:175" ht="12.75" customHeight="1">
      <c r="B115" s="517" t="s">
        <v>54</v>
      </c>
      <c r="C115" s="299">
        <f t="shared" si="144"/>
        <v>91571646.265065283</v>
      </c>
      <c r="D115" s="644"/>
      <c r="E115" s="299">
        <f>IF(E17=Detail!$H$9,Detail!$L$27,0)</f>
        <v>0</v>
      </c>
      <c r="F115" s="299">
        <f>IF(F17=Detail!$H$9,Detail!$L$27,0)</f>
        <v>0</v>
      </c>
      <c r="G115" s="299">
        <f>IF(G17=Detail!$H$9,Detail!$L$27,0)</f>
        <v>0</v>
      </c>
      <c r="H115" s="299">
        <f>IF(H17=Detail!$H$9,Detail!$L$27,0)</f>
        <v>0</v>
      </c>
      <c r="I115" s="299">
        <f>IF(I17=Detail!$H$9,Detail!$L$27,0)</f>
        <v>0</v>
      </c>
      <c r="J115" s="299">
        <f>IF(J17=Detail!$H$9,Detail!$L$27,0)</f>
        <v>0</v>
      </c>
      <c r="K115" s="299">
        <f>IF(K17=Detail!$H$9,Detail!$L$27,0)</f>
        <v>0</v>
      </c>
      <c r="L115" s="299">
        <f>IF(L17=Detail!$H$9,Detail!$L$27,0)</f>
        <v>0</v>
      </c>
      <c r="M115" s="299">
        <f>IF(M17=Detail!$H$9,Detail!$L$27,0)</f>
        <v>0</v>
      </c>
      <c r="N115" s="299">
        <f>IF(N17=Detail!$H$9,Detail!$L$27,0)</f>
        <v>0</v>
      </c>
      <c r="O115" s="299">
        <f>IF(O17=Detail!$H$9,Detail!$L$27,0)</f>
        <v>0</v>
      </c>
      <c r="P115" s="299">
        <f>IF(P17=Detail!$H$9,Detail!$L$27,0)</f>
        <v>0</v>
      </c>
      <c r="Q115" s="299">
        <f>IF(Q17=Detail!$H$9,Detail!$L$27,0)</f>
        <v>0</v>
      </c>
      <c r="R115" s="299">
        <f>IF(R17=Detail!$H$9,Detail!$L$27,0)</f>
        <v>0</v>
      </c>
      <c r="S115" s="299">
        <f>IF(S17=Detail!$H$9,Detail!$L$27,0)</f>
        <v>0</v>
      </c>
      <c r="T115" s="299">
        <f>IF(T17=Detail!$H$9,Detail!$L$27,0)</f>
        <v>0</v>
      </c>
      <c r="U115" s="299">
        <f>IF(U17=Detail!$H$9,Detail!$L$27,0)</f>
        <v>0</v>
      </c>
      <c r="V115" s="299">
        <f>IF(V17=Detail!$H$9,Detail!$L$27,0)</f>
        <v>0</v>
      </c>
      <c r="W115" s="299">
        <f>IF(W17=Detail!$H$9,Detail!$L$27,0)</f>
        <v>0</v>
      </c>
      <c r="X115" s="299">
        <f>IF(X17=Detail!$H$9,Detail!$L$27,0)</f>
        <v>0</v>
      </c>
      <c r="Y115" s="299">
        <f>IF(Y17=Detail!$H$9,Detail!$L$27,0)</f>
        <v>0</v>
      </c>
      <c r="Z115" s="299">
        <f>IF(Z17=Detail!$H$9,Detail!$L$27,0)</f>
        <v>0</v>
      </c>
      <c r="AA115" s="299">
        <f>IF(AA17=Detail!$H$9,Detail!$L$27,0)</f>
        <v>0</v>
      </c>
      <c r="AB115" s="299">
        <f>IF(AB17=Detail!$H$9,Detail!$L$27,0)</f>
        <v>0</v>
      </c>
      <c r="AC115" s="299">
        <f>IF(AC17=Detail!$H$9,Detail!$L$27,0)</f>
        <v>0</v>
      </c>
      <c r="AD115" s="299">
        <f>IF(AD17=Detail!$H$9,Detail!$L$27,0)</f>
        <v>0</v>
      </c>
      <c r="AE115" s="299">
        <f>IF(AE17=Detail!$H$9,Detail!$L$27,0)</f>
        <v>0</v>
      </c>
      <c r="AF115" s="299">
        <f>IF(AF17=Detail!$H$9,Detail!$L$27,0)</f>
        <v>0</v>
      </c>
      <c r="AG115" s="299">
        <f>IF(AG17=Detail!$H$9,Detail!$L$27,0)</f>
        <v>0</v>
      </c>
      <c r="AH115" s="299">
        <f>IF(AH17=Detail!$H$9,Detail!$L$27,0)</f>
        <v>0</v>
      </c>
      <c r="AI115" s="299">
        <f>IF(AI17=Detail!$H$9,Detail!$L$27,0)</f>
        <v>0</v>
      </c>
      <c r="AJ115" s="299">
        <f>IF(AJ17=Detail!$H$9,Detail!$L$27,0)</f>
        <v>0</v>
      </c>
      <c r="AK115" s="299">
        <f>IF(AK17=Detail!$H$9,Detail!$L$27,0)</f>
        <v>0</v>
      </c>
      <c r="AL115" s="299">
        <f>IF(AL17=Detail!$H$9,Detail!$L$27,0)</f>
        <v>0</v>
      </c>
      <c r="AM115" s="299">
        <f>IF(AM17=Detail!$H$9,Detail!$L$27,0)</f>
        <v>0</v>
      </c>
      <c r="AN115" s="299">
        <f>IF(AN17=Detail!$H$9,Detail!$L$27,0)</f>
        <v>0</v>
      </c>
      <c r="AO115" s="299">
        <f>IF(AO17=Detail!$H$9,Detail!$L$27,0)</f>
        <v>0</v>
      </c>
      <c r="AP115" s="299">
        <f>IF(AP17=Detail!$H$9,Detail!$L$27,0)</f>
        <v>0</v>
      </c>
      <c r="AQ115" s="299">
        <f>IF(AQ17=Detail!$H$9,Detail!$L$27,0)</f>
        <v>0</v>
      </c>
      <c r="AR115" s="299">
        <f>IF(AR17=Detail!$H$9,Detail!$L$27,0)</f>
        <v>0</v>
      </c>
      <c r="AS115" s="299">
        <f>IF(AS17=Detail!$H$9,Detail!$L$27,0)</f>
        <v>0</v>
      </c>
      <c r="AT115" s="299">
        <f>IF(AT17=Detail!$H$9,Detail!$L$27,0)</f>
        <v>0</v>
      </c>
      <c r="AU115" s="299">
        <f>IF(AU17=Detail!$H$9,Detail!$L$27,0)</f>
        <v>0</v>
      </c>
      <c r="AV115" s="299">
        <f>IF(AV17=Detail!$H$9,Detail!$L$27,0)</f>
        <v>0</v>
      </c>
      <c r="AW115" s="299">
        <f>IF(AW17=Detail!$H$9,Detail!$L$27,0)</f>
        <v>0</v>
      </c>
      <c r="AX115" s="299">
        <f>IF(AX17=Detail!$H$9,Detail!$L$27,0)</f>
        <v>0</v>
      </c>
      <c r="AY115" s="299">
        <f>IF(AY17=Detail!$H$9,Detail!$L$27,0)</f>
        <v>0</v>
      </c>
      <c r="AZ115" s="299">
        <f>IF(AZ17=Detail!$H$9,Detail!$L$27,0)</f>
        <v>91571646.265065283</v>
      </c>
      <c r="BA115" s="299">
        <f>IF(BA17=Detail!$H$9,Detail!$L$27,0)</f>
        <v>0</v>
      </c>
      <c r="BB115" s="299">
        <f>IF(BB17=Detail!$H$9,Detail!$L$27,0)</f>
        <v>0</v>
      </c>
      <c r="BC115" s="299">
        <f>IF(BC17=Detail!$H$9,Detail!$L$27,0)</f>
        <v>0</v>
      </c>
      <c r="BD115" s="299">
        <f>IF(BD17=Detail!$H$9,Detail!$L$27,0)</f>
        <v>0</v>
      </c>
      <c r="BE115" s="299">
        <f>IF(BE17=Detail!$H$9,Detail!$L$27,0)</f>
        <v>0</v>
      </c>
      <c r="BF115" s="299">
        <f>IF(BF17=Detail!$H$9,Detail!$L$27,0)</f>
        <v>0</v>
      </c>
      <c r="BG115" s="299">
        <f>IF(BG17=Detail!$H$9,Detail!$L$27,0)</f>
        <v>0</v>
      </c>
      <c r="BH115" s="299">
        <f>IF(BH17=Detail!$H$9,Detail!$L$27,0)</f>
        <v>0</v>
      </c>
      <c r="BI115" s="299">
        <f>IF(BI17=Detail!$H$9,Detail!$L$27,0)</f>
        <v>0</v>
      </c>
      <c r="BJ115" s="299">
        <f>IF(BJ17=Detail!$H$9,Detail!$L$27,0)</f>
        <v>0</v>
      </c>
      <c r="BK115" s="299">
        <f>IF(BK17=Detail!$H$9,Detail!$L$27,0)</f>
        <v>0</v>
      </c>
      <c r="BL115" s="299">
        <f>IF(BL17=Detail!$H$9,Detail!$L$27,0)</f>
        <v>0</v>
      </c>
      <c r="BM115" s="299">
        <f>IF(BM17=Detail!$H$9,Detail!$L$27,0)</f>
        <v>0</v>
      </c>
      <c r="BN115" s="299">
        <f>IF(BN17=Detail!$H$9,Detail!$L$27,0)</f>
        <v>0</v>
      </c>
      <c r="BO115" s="299">
        <f>IF(BO17=Detail!$H$9,Detail!$L$27,0)</f>
        <v>0</v>
      </c>
      <c r="BP115" s="299">
        <f>IF(BP17=Detail!$H$9,Detail!$L$27,0)</f>
        <v>0</v>
      </c>
      <c r="BQ115" s="299">
        <f>IF(BQ17=Detail!$H$9,Detail!$L$27,0)</f>
        <v>0</v>
      </c>
      <c r="BR115" s="299">
        <f>IF(BR17=Detail!$H$9,Detail!$L$27,0)</f>
        <v>0</v>
      </c>
      <c r="BS115" s="299">
        <f>IF(BS17=Detail!$H$9,Detail!$L$27,0)</f>
        <v>0</v>
      </c>
      <c r="BT115" s="299">
        <f>IF(BT17=Detail!$H$9,Detail!$L$27,0)</f>
        <v>0</v>
      </c>
      <c r="BU115" s="299">
        <f>IF(BU17=Detail!$H$9,Detail!$L$27,0)</f>
        <v>0</v>
      </c>
      <c r="BV115" s="299">
        <f>IF(BV17=Detail!$H$9,Detail!$L$27,0)</f>
        <v>0</v>
      </c>
      <c r="BW115" s="299">
        <f>IF(BW17=Detail!$H$9,Detail!$L$27,0)</f>
        <v>0</v>
      </c>
      <c r="BX115" s="299">
        <f>IF(BX17=Detail!$H$9,Detail!$L$27,0)</f>
        <v>0</v>
      </c>
      <c r="BY115" s="299">
        <f>IF(BY17=Detail!$H$9,Detail!$L$27,0)</f>
        <v>0</v>
      </c>
      <c r="BZ115" s="299">
        <f>IF(BZ17=Detail!$H$9,Detail!$L$27,0)</f>
        <v>0</v>
      </c>
      <c r="CA115" s="299">
        <f>IF(CA17=Detail!$H$9,Detail!$L$27,0)</f>
        <v>0</v>
      </c>
      <c r="CB115" s="299">
        <f>IF(CB17=Detail!$H$9,Detail!$L$27,0)</f>
        <v>0</v>
      </c>
      <c r="CC115" s="299">
        <f>IF(CC17=Detail!$H$9,Detail!$L$27,0)</f>
        <v>0</v>
      </c>
      <c r="CD115" s="299">
        <f>IF(CD17=Detail!$H$9,Detail!$L$27,0)</f>
        <v>0</v>
      </c>
      <c r="CE115" s="299">
        <f>IF(CE17=Detail!$H$9,Detail!$L$27,0)</f>
        <v>0</v>
      </c>
      <c r="CF115" s="299">
        <f>IF(CF17=Detail!$H$9,Detail!$L$27,0)</f>
        <v>0</v>
      </c>
      <c r="CG115" s="299">
        <f>IF(CG17=Detail!$H$9,Detail!$L$27,0)</f>
        <v>0</v>
      </c>
      <c r="CH115" s="299">
        <f>IF(CH17=Detail!$H$9,Detail!$L$27,0)</f>
        <v>0</v>
      </c>
      <c r="CI115" s="299">
        <f>IF(CI17=Detail!$H$9,Detail!$L$27,0)</f>
        <v>0</v>
      </c>
      <c r="CJ115" s="299">
        <f>IF(CJ17=Detail!$H$9,Detail!$L$27,0)</f>
        <v>0</v>
      </c>
      <c r="CK115" s="299">
        <f>IF(CK17=Detail!$H$9,Detail!$L$27,0)</f>
        <v>0</v>
      </c>
      <c r="CL115" s="299">
        <f>IF(CL17=Detail!$H$9,Detail!$L$27,0)</f>
        <v>0</v>
      </c>
      <c r="CM115" s="299">
        <f>IF(CM17=Detail!$H$9,Detail!$L$27,0)</f>
        <v>0</v>
      </c>
      <c r="CN115" s="299">
        <f>IF(CN17=Detail!$H$9,Detail!$L$27,0)</f>
        <v>0</v>
      </c>
      <c r="CO115" s="299">
        <f>IF(CO17=Detail!$H$9,Detail!$L$27,0)</f>
        <v>0</v>
      </c>
      <c r="CP115" s="299">
        <f>IF(CP17=Detail!$H$9,Detail!$L$27,0)</f>
        <v>0</v>
      </c>
      <c r="CQ115" s="299">
        <f>IF(CQ17=Detail!$H$9,Detail!$L$27,0)</f>
        <v>0</v>
      </c>
      <c r="CR115" s="299">
        <f>IF(CR17=Detail!$H$9,Detail!$L$27,0)</f>
        <v>0</v>
      </c>
      <c r="CS115" s="299">
        <f>IF(CS17=Detail!$H$9,Detail!$L$27,0)</f>
        <v>0</v>
      </c>
      <c r="CT115" s="299">
        <f>IF(CT17=Detail!$H$9,Detail!$L$27,0)</f>
        <v>0</v>
      </c>
      <c r="CU115" s="299">
        <f>IF(CU17=Detail!$H$9,Detail!$L$27,0)</f>
        <v>0</v>
      </c>
      <c r="CV115" s="299">
        <f>IF(CV17=Detail!$H$9,Detail!$L$27,0)</f>
        <v>0</v>
      </c>
      <c r="CW115" s="299">
        <f>IF(CW17=Detail!$H$9,Detail!$L$27,0)</f>
        <v>0</v>
      </c>
      <c r="CX115" s="299">
        <f>IF(CX17=Detail!$H$9,Detail!$L$27,0)</f>
        <v>0</v>
      </c>
      <c r="CY115" s="299">
        <f>IF(CY17=Detail!$H$9,Detail!$L$27,0)</f>
        <v>0</v>
      </c>
      <c r="CZ115" s="299">
        <f>IF(CZ17=Detail!$H$9,Detail!$L$27,0)</f>
        <v>0</v>
      </c>
      <c r="DA115" s="299">
        <f>IF(DA17=Detail!$H$9,Detail!$L$27,0)</f>
        <v>0</v>
      </c>
      <c r="DB115" s="299">
        <f>IF(DB17=Detail!$H$9,Detail!$L$27,0)</f>
        <v>0</v>
      </c>
      <c r="DC115" s="299">
        <f>IF(DC17=Detail!$H$9,Detail!$L$27,0)</f>
        <v>0</v>
      </c>
      <c r="DD115" s="299">
        <f>IF(DD17=Detail!$H$9,Detail!$L$27,0)</f>
        <v>0</v>
      </c>
      <c r="DE115" s="299">
        <f>IF(DE17=Detail!$H$9,Detail!$L$27,0)</f>
        <v>0</v>
      </c>
      <c r="DF115" s="299">
        <f>IF(DF17=Detail!$H$9,Detail!$L$27,0)</f>
        <v>0</v>
      </c>
      <c r="DG115" s="299">
        <f>IF(DG17=Detail!$H$9,Detail!$L$27,0)</f>
        <v>0</v>
      </c>
      <c r="DH115" s="299">
        <f>IF(DH17=Detail!$H$9,Detail!$L$27,0)</f>
        <v>0</v>
      </c>
      <c r="DI115" s="299">
        <f>IF(DI17=Detail!$H$9,Detail!$L$27,0)</f>
        <v>0</v>
      </c>
      <c r="DJ115" s="299">
        <f>IF(DJ17=Detail!$H$9,Detail!$L$27,0)</f>
        <v>0</v>
      </c>
      <c r="DK115" s="299">
        <f>IF(DK17=Detail!$H$9,Detail!$L$27,0)</f>
        <v>0</v>
      </c>
      <c r="DL115" s="299">
        <f>IF(DL17=Detail!$H$9,Detail!$L$27,0)</f>
        <v>0</v>
      </c>
      <c r="DM115" s="299">
        <f>IF(DM17=Detail!$H$9,Detail!$L$27,0)</f>
        <v>0</v>
      </c>
      <c r="DN115" s="299">
        <f>IF(DN17=Detail!$H$9,Detail!$L$27,0)</f>
        <v>0</v>
      </c>
      <c r="DO115" s="299">
        <f>IF(DO17=Detail!$H$9,Detail!$L$27,0)</f>
        <v>0</v>
      </c>
      <c r="DP115" s="299">
        <f>IF(DP17=Detail!$H$9,Detail!$L$27,0)</f>
        <v>0</v>
      </c>
      <c r="DQ115" s="299">
        <f>IF(DQ17=Detail!$H$9,Detail!$L$27,0)</f>
        <v>0</v>
      </c>
      <c r="DR115" s="299">
        <f>IF(DR17=Detail!$H$9,Detail!$L$27,0)</f>
        <v>0</v>
      </c>
      <c r="DS115" s="299">
        <f>IF(DS17=Detail!$H$9,Detail!$L$27,0)</f>
        <v>0</v>
      </c>
      <c r="DT115" s="299">
        <f>IF(DT17=Detail!$H$9,Detail!$L$27,0)</f>
        <v>0</v>
      </c>
      <c r="DU115" s="299">
        <f>IF(DU17=Detail!$H$9,Detail!$L$27,0)</f>
        <v>0</v>
      </c>
      <c r="DV115" s="299">
        <f>IF(DV17=Detail!$H$9,Detail!$L$27,0)</f>
        <v>0</v>
      </c>
      <c r="DW115" s="299">
        <f>IF(DW17=Detail!$H$9,Detail!$L$27,0)</f>
        <v>0</v>
      </c>
      <c r="DX115" s="299">
        <f>IF(DX17=Detail!$H$9,Detail!$L$27,0)</f>
        <v>0</v>
      </c>
      <c r="DY115" s="299">
        <f>IF(DY17=Detail!$H$9,Detail!$L$27,0)</f>
        <v>0</v>
      </c>
      <c r="DZ115" s="299">
        <f>IF(DZ17=Detail!$H$9,Detail!$L$27,0)</f>
        <v>0</v>
      </c>
      <c r="EA115" s="299">
        <f>IF(EA17=Detail!$H$9,Detail!$L$27,0)</f>
        <v>0</v>
      </c>
      <c r="EB115" s="299">
        <f>IF(EB17=Detail!$H$9,Detail!$L$27,0)</f>
        <v>0</v>
      </c>
      <c r="EC115" s="299">
        <f>IF(EC17=Detail!$H$9,Detail!$L$27,0)</f>
        <v>0</v>
      </c>
      <c r="ED115" s="299">
        <f>IF(ED17=Detail!$H$9,Detail!$L$27,0)</f>
        <v>0</v>
      </c>
      <c r="EE115" s="299">
        <f>IF(EE17=Detail!$H$9,Detail!$L$27,0)</f>
        <v>0</v>
      </c>
      <c r="EF115" s="299">
        <f>IF(EF17=Detail!$H$9,Detail!$L$27,0)</f>
        <v>0</v>
      </c>
      <c r="EG115" s="299">
        <f>IF(EG17=Detail!$H$9,Detail!$L$27,0)</f>
        <v>0</v>
      </c>
      <c r="EH115" s="299">
        <f>IF(EH17=Detail!$H$9,Detail!$L$27,0)</f>
        <v>0</v>
      </c>
      <c r="EI115" s="299">
        <f>IF(EI17=Detail!$H$9,Detail!$L$27,0)</f>
        <v>0</v>
      </c>
      <c r="EJ115" s="299">
        <f>IF(EJ17=Detail!$H$9,Detail!$L$27,0)</f>
        <v>0</v>
      </c>
      <c r="EK115" s="299">
        <f>IF(EK17=Detail!$H$9,Detail!$L$27,0)</f>
        <v>0</v>
      </c>
      <c r="EL115" s="299">
        <f>IF(EL17=Detail!$H$9,Detail!$L$27,0)</f>
        <v>0</v>
      </c>
      <c r="EM115" s="299">
        <f>IF(EM17=Detail!$H$9,Detail!$L$27,0)</f>
        <v>0</v>
      </c>
      <c r="EN115" s="299">
        <f>IF(EN17=Detail!$H$9,Detail!$L$27,0)</f>
        <v>0</v>
      </c>
      <c r="EO115" s="299">
        <f>IF(EO17=Detail!$H$9,Detail!$L$27,0)</f>
        <v>0</v>
      </c>
      <c r="EP115" s="299">
        <f>IF(EP17=Detail!$H$9,Detail!$L$27,0)</f>
        <v>0</v>
      </c>
      <c r="EQ115" s="299">
        <f>IF(EQ17=Detail!$H$9,Detail!$L$27,0)</f>
        <v>0</v>
      </c>
      <c r="ER115" s="299">
        <f>IF(ER17=Detail!$H$9,Detail!$L$27,0)</f>
        <v>0</v>
      </c>
      <c r="ES115" s="299">
        <f>IF(ES17=Detail!$H$9,Detail!$L$27,0)</f>
        <v>0</v>
      </c>
      <c r="ET115" s="299">
        <f>IF(ET17=Detail!$H$9,Detail!$L$27,0)</f>
        <v>0</v>
      </c>
      <c r="EU115" s="299">
        <f>IF(EU17=Detail!$H$9,Detail!$L$27,0)</f>
        <v>0</v>
      </c>
      <c r="EV115" s="299">
        <f>IF(EV17=Detail!$H$9,Detail!$L$27,0)</f>
        <v>0</v>
      </c>
      <c r="EW115" s="299">
        <f>IF(EW17=Detail!$H$9,Detail!$L$27,0)</f>
        <v>0</v>
      </c>
      <c r="EX115" s="299">
        <f>IF(EX17=Detail!$H$9,Detail!$L$27,0)</f>
        <v>0</v>
      </c>
      <c r="EY115" s="299">
        <f>IF(EY17=Detail!$H$9,Detail!$L$27,0)</f>
        <v>0</v>
      </c>
      <c r="EZ115" s="299">
        <f>IF(EZ17=Detail!$H$9,Detail!$L$27,0)</f>
        <v>0</v>
      </c>
      <c r="FA115" s="299">
        <f>IF(FA17=Detail!$H$9,Detail!$L$27,0)</f>
        <v>0</v>
      </c>
      <c r="FB115" s="299">
        <f>IF(FB17=Detail!$H$9,Detail!$L$27,0)</f>
        <v>0</v>
      </c>
      <c r="FC115" s="299">
        <f>IF(FC17=Detail!$H$9,Detail!$L$27,0)</f>
        <v>0</v>
      </c>
      <c r="FD115" s="299">
        <f>IF(FD17=Detail!$H$9,Detail!$L$27,0)</f>
        <v>0</v>
      </c>
      <c r="FE115" s="299">
        <f>IF(FE17=Detail!$H$9,Detail!$L$27,0)</f>
        <v>0</v>
      </c>
      <c r="FF115" s="299">
        <f>IF(FF17=Detail!$H$9,Detail!$L$27,0)</f>
        <v>0</v>
      </c>
      <c r="FG115" s="299">
        <f>IF(FG17=Detail!$H$9,Detail!$L$27,0)</f>
        <v>0</v>
      </c>
      <c r="FH115" s="299">
        <f>IF(FH17=Detail!$H$9,Detail!$L$27,0)</f>
        <v>0</v>
      </c>
      <c r="FI115" s="299">
        <f>IF(FI17=Detail!$H$9,Detail!$L$27,0)</f>
        <v>0</v>
      </c>
      <c r="FJ115" s="299">
        <f>IF(FJ17=Detail!$H$9,Detail!$L$27,0)</f>
        <v>0</v>
      </c>
      <c r="FK115" s="299">
        <f>IF(FK17=Detail!$H$9,Detail!$L$27,0)</f>
        <v>0</v>
      </c>
      <c r="FL115" s="299">
        <f>IF(FL17=Detail!$H$9,Detail!$L$27,0)</f>
        <v>0</v>
      </c>
      <c r="FM115" s="299">
        <f>IF(FM17=Detail!$H$9,Detail!$L$27,0)</f>
        <v>0</v>
      </c>
      <c r="FN115" s="299">
        <f>IF(FN17=Detail!$H$9,Detail!$L$27,0)</f>
        <v>0</v>
      </c>
      <c r="FO115" s="299">
        <f>IF(FO17=Detail!$H$9,Detail!$L$27,0)</f>
        <v>0</v>
      </c>
      <c r="FP115" s="299">
        <f>IF(FP17=Detail!$H$9,Detail!$L$27,0)</f>
        <v>0</v>
      </c>
      <c r="FQ115" s="299">
        <f>IF(FQ17=Detail!$H$9,Detail!$L$27,0)</f>
        <v>0</v>
      </c>
      <c r="FR115" s="299">
        <f>IF(FR17=Detail!$H$9,Detail!$L$27,0)</f>
        <v>0</v>
      </c>
      <c r="FS115" s="299">
        <f>IF(FS17=Detail!$H$9,Detail!$L$27,0)</f>
        <v>0</v>
      </c>
    </row>
    <row r="116" spans="2:175" ht="12.75" customHeight="1">
      <c r="B116" s="517" t="s">
        <v>340</v>
      </c>
      <c r="C116" s="299">
        <f t="shared" si="144"/>
        <v>0</v>
      </c>
      <c r="D116" s="644"/>
      <c r="E116" s="299">
        <f>-E108</f>
        <v>0</v>
      </c>
      <c r="F116" s="299">
        <f t="shared" ref="F116:BQ116" si="151">-F108</f>
        <v>0</v>
      </c>
      <c r="G116" s="299">
        <f t="shared" si="151"/>
        <v>0</v>
      </c>
      <c r="H116" s="299">
        <f t="shared" si="151"/>
        <v>0</v>
      </c>
      <c r="I116" s="299">
        <f t="shared" si="151"/>
        <v>0</v>
      </c>
      <c r="J116" s="299">
        <f t="shared" si="151"/>
        <v>0</v>
      </c>
      <c r="K116" s="299">
        <f t="shared" si="151"/>
        <v>0</v>
      </c>
      <c r="L116" s="299">
        <f t="shared" si="151"/>
        <v>0</v>
      </c>
      <c r="M116" s="299">
        <f t="shared" si="151"/>
        <v>0</v>
      </c>
      <c r="N116" s="299">
        <f t="shared" si="151"/>
        <v>0</v>
      </c>
      <c r="O116" s="299">
        <f t="shared" si="151"/>
        <v>0</v>
      </c>
      <c r="P116" s="299">
        <f t="shared" si="151"/>
        <v>0</v>
      </c>
      <c r="Q116" s="299">
        <f t="shared" si="151"/>
        <v>0</v>
      </c>
      <c r="R116" s="299">
        <f t="shared" si="151"/>
        <v>0</v>
      </c>
      <c r="S116" s="299">
        <f t="shared" si="151"/>
        <v>0</v>
      </c>
      <c r="T116" s="299">
        <f t="shared" si="151"/>
        <v>0</v>
      </c>
      <c r="U116" s="299">
        <f t="shared" si="151"/>
        <v>0</v>
      </c>
      <c r="V116" s="299">
        <f t="shared" si="151"/>
        <v>0</v>
      </c>
      <c r="W116" s="299">
        <f t="shared" si="151"/>
        <v>0</v>
      </c>
      <c r="X116" s="299">
        <f t="shared" si="151"/>
        <v>0</v>
      </c>
      <c r="Y116" s="299">
        <f t="shared" si="151"/>
        <v>0</v>
      </c>
      <c r="Z116" s="299">
        <f t="shared" si="151"/>
        <v>0</v>
      </c>
      <c r="AA116" s="299">
        <f t="shared" si="151"/>
        <v>0</v>
      </c>
      <c r="AB116" s="299">
        <f t="shared" si="151"/>
        <v>0</v>
      </c>
      <c r="AC116" s="299">
        <f t="shared" si="151"/>
        <v>0</v>
      </c>
      <c r="AD116" s="299">
        <f t="shared" si="151"/>
        <v>0</v>
      </c>
      <c r="AE116" s="299">
        <f t="shared" si="151"/>
        <v>0</v>
      </c>
      <c r="AF116" s="299">
        <f t="shared" si="151"/>
        <v>0</v>
      </c>
      <c r="AG116" s="299">
        <f t="shared" si="151"/>
        <v>0</v>
      </c>
      <c r="AH116" s="299">
        <f t="shared" si="151"/>
        <v>0</v>
      </c>
      <c r="AI116" s="299">
        <f t="shared" si="151"/>
        <v>0</v>
      </c>
      <c r="AJ116" s="299">
        <f t="shared" si="151"/>
        <v>0</v>
      </c>
      <c r="AK116" s="299">
        <f t="shared" si="151"/>
        <v>0</v>
      </c>
      <c r="AL116" s="299">
        <f t="shared" si="151"/>
        <v>0</v>
      </c>
      <c r="AM116" s="299">
        <f t="shared" si="151"/>
        <v>0</v>
      </c>
      <c r="AN116" s="299">
        <f t="shared" si="151"/>
        <v>0</v>
      </c>
      <c r="AO116" s="299">
        <f t="shared" si="151"/>
        <v>0</v>
      </c>
      <c r="AP116" s="299">
        <f t="shared" si="151"/>
        <v>0</v>
      </c>
      <c r="AQ116" s="299">
        <f t="shared" si="151"/>
        <v>0</v>
      </c>
      <c r="AR116" s="299">
        <f t="shared" si="151"/>
        <v>0</v>
      </c>
      <c r="AS116" s="299">
        <f t="shared" si="151"/>
        <v>0</v>
      </c>
      <c r="AT116" s="299">
        <f t="shared" si="151"/>
        <v>0</v>
      </c>
      <c r="AU116" s="299">
        <f t="shared" si="151"/>
        <v>0</v>
      </c>
      <c r="AV116" s="299">
        <f t="shared" si="151"/>
        <v>0</v>
      </c>
      <c r="AW116" s="299">
        <f t="shared" si="151"/>
        <v>0</v>
      </c>
      <c r="AX116" s="299">
        <f t="shared" si="151"/>
        <v>0</v>
      </c>
      <c r="AY116" s="299">
        <f t="shared" si="151"/>
        <v>0</v>
      </c>
      <c r="AZ116" s="299">
        <f t="shared" si="151"/>
        <v>0</v>
      </c>
      <c r="BA116" s="299">
        <f t="shared" si="151"/>
        <v>0</v>
      </c>
      <c r="BB116" s="299">
        <f t="shared" si="151"/>
        <v>0</v>
      </c>
      <c r="BC116" s="299">
        <f t="shared" si="151"/>
        <v>0</v>
      </c>
      <c r="BD116" s="299">
        <f t="shared" si="151"/>
        <v>0</v>
      </c>
      <c r="BE116" s="299">
        <f t="shared" si="151"/>
        <v>0</v>
      </c>
      <c r="BF116" s="299">
        <f t="shared" si="151"/>
        <v>0</v>
      </c>
      <c r="BG116" s="299">
        <f t="shared" si="151"/>
        <v>0</v>
      </c>
      <c r="BH116" s="299">
        <f t="shared" si="151"/>
        <v>0</v>
      </c>
      <c r="BI116" s="299">
        <f t="shared" si="151"/>
        <v>0</v>
      </c>
      <c r="BJ116" s="299">
        <f t="shared" si="151"/>
        <v>0</v>
      </c>
      <c r="BK116" s="299">
        <f t="shared" si="151"/>
        <v>0</v>
      </c>
      <c r="BL116" s="299">
        <f t="shared" si="151"/>
        <v>0</v>
      </c>
      <c r="BM116" s="299">
        <f t="shared" si="151"/>
        <v>0</v>
      </c>
      <c r="BN116" s="299">
        <f t="shared" si="151"/>
        <v>0</v>
      </c>
      <c r="BO116" s="299">
        <f t="shared" si="151"/>
        <v>0</v>
      </c>
      <c r="BP116" s="299">
        <f t="shared" si="151"/>
        <v>0</v>
      </c>
      <c r="BQ116" s="299">
        <f t="shared" si="151"/>
        <v>0</v>
      </c>
      <c r="BR116" s="299">
        <f t="shared" ref="BR116:EC116" si="152">-BR108</f>
        <v>0</v>
      </c>
      <c r="BS116" s="299">
        <f t="shared" si="152"/>
        <v>0</v>
      </c>
      <c r="BT116" s="299">
        <f t="shared" si="152"/>
        <v>0</v>
      </c>
      <c r="BU116" s="299">
        <f t="shared" si="152"/>
        <v>0</v>
      </c>
      <c r="BV116" s="299">
        <f t="shared" si="152"/>
        <v>0</v>
      </c>
      <c r="BW116" s="299">
        <f t="shared" si="152"/>
        <v>0</v>
      </c>
      <c r="BX116" s="299">
        <f t="shared" si="152"/>
        <v>0</v>
      </c>
      <c r="BY116" s="299">
        <f t="shared" si="152"/>
        <v>0</v>
      </c>
      <c r="BZ116" s="299">
        <f t="shared" si="152"/>
        <v>0</v>
      </c>
      <c r="CA116" s="299">
        <f t="shared" si="152"/>
        <v>0</v>
      </c>
      <c r="CB116" s="299">
        <f t="shared" si="152"/>
        <v>0</v>
      </c>
      <c r="CC116" s="299">
        <f t="shared" si="152"/>
        <v>0</v>
      </c>
      <c r="CD116" s="299">
        <f t="shared" si="152"/>
        <v>0</v>
      </c>
      <c r="CE116" s="299">
        <f t="shared" si="152"/>
        <v>0</v>
      </c>
      <c r="CF116" s="299">
        <f t="shared" si="152"/>
        <v>0</v>
      </c>
      <c r="CG116" s="299">
        <f t="shared" si="152"/>
        <v>0</v>
      </c>
      <c r="CH116" s="299">
        <f t="shared" si="152"/>
        <v>0</v>
      </c>
      <c r="CI116" s="299">
        <f t="shared" si="152"/>
        <v>0</v>
      </c>
      <c r="CJ116" s="299">
        <f t="shared" si="152"/>
        <v>0</v>
      </c>
      <c r="CK116" s="299">
        <f t="shared" si="152"/>
        <v>0</v>
      </c>
      <c r="CL116" s="299">
        <f t="shared" si="152"/>
        <v>0</v>
      </c>
      <c r="CM116" s="299">
        <f t="shared" si="152"/>
        <v>0</v>
      </c>
      <c r="CN116" s="299">
        <f t="shared" si="152"/>
        <v>0</v>
      </c>
      <c r="CO116" s="299">
        <f t="shared" si="152"/>
        <v>0</v>
      </c>
      <c r="CP116" s="299">
        <f t="shared" si="152"/>
        <v>0</v>
      </c>
      <c r="CQ116" s="299">
        <f t="shared" si="152"/>
        <v>0</v>
      </c>
      <c r="CR116" s="299">
        <f t="shared" si="152"/>
        <v>0</v>
      </c>
      <c r="CS116" s="299">
        <f t="shared" si="152"/>
        <v>0</v>
      </c>
      <c r="CT116" s="299">
        <f t="shared" si="152"/>
        <v>0</v>
      </c>
      <c r="CU116" s="299">
        <f t="shared" si="152"/>
        <v>0</v>
      </c>
      <c r="CV116" s="299">
        <f t="shared" si="152"/>
        <v>0</v>
      </c>
      <c r="CW116" s="299">
        <f t="shared" si="152"/>
        <v>0</v>
      </c>
      <c r="CX116" s="299">
        <f t="shared" si="152"/>
        <v>0</v>
      </c>
      <c r="CY116" s="299">
        <f t="shared" si="152"/>
        <v>0</v>
      </c>
      <c r="CZ116" s="299">
        <f t="shared" si="152"/>
        <v>0</v>
      </c>
      <c r="DA116" s="299">
        <f t="shared" si="152"/>
        <v>0</v>
      </c>
      <c r="DB116" s="299">
        <f t="shared" si="152"/>
        <v>0</v>
      </c>
      <c r="DC116" s="299">
        <f t="shared" si="152"/>
        <v>0</v>
      </c>
      <c r="DD116" s="299">
        <f t="shared" si="152"/>
        <v>0</v>
      </c>
      <c r="DE116" s="299">
        <f t="shared" si="152"/>
        <v>0</v>
      </c>
      <c r="DF116" s="299">
        <f t="shared" si="152"/>
        <v>0</v>
      </c>
      <c r="DG116" s="299">
        <f t="shared" si="152"/>
        <v>0</v>
      </c>
      <c r="DH116" s="299">
        <f t="shared" si="152"/>
        <v>0</v>
      </c>
      <c r="DI116" s="299">
        <f t="shared" si="152"/>
        <v>0</v>
      </c>
      <c r="DJ116" s="299">
        <f t="shared" si="152"/>
        <v>0</v>
      </c>
      <c r="DK116" s="299">
        <f t="shared" si="152"/>
        <v>0</v>
      </c>
      <c r="DL116" s="299">
        <f t="shared" si="152"/>
        <v>0</v>
      </c>
      <c r="DM116" s="299">
        <f t="shared" si="152"/>
        <v>0</v>
      </c>
      <c r="DN116" s="299">
        <f t="shared" si="152"/>
        <v>0</v>
      </c>
      <c r="DO116" s="299">
        <f t="shared" si="152"/>
        <v>0</v>
      </c>
      <c r="DP116" s="299">
        <f t="shared" si="152"/>
        <v>0</v>
      </c>
      <c r="DQ116" s="299">
        <f t="shared" si="152"/>
        <v>0</v>
      </c>
      <c r="DR116" s="299">
        <f t="shared" si="152"/>
        <v>0</v>
      </c>
      <c r="DS116" s="299">
        <f t="shared" si="152"/>
        <v>0</v>
      </c>
      <c r="DT116" s="299">
        <f t="shared" si="152"/>
        <v>0</v>
      </c>
      <c r="DU116" s="299">
        <f t="shared" si="152"/>
        <v>0</v>
      </c>
      <c r="DV116" s="299">
        <f t="shared" si="152"/>
        <v>0</v>
      </c>
      <c r="DW116" s="299">
        <f t="shared" si="152"/>
        <v>0</v>
      </c>
      <c r="DX116" s="299">
        <f t="shared" si="152"/>
        <v>0</v>
      </c>
      <c r="DY116" s="299">
        <f t="shared" si="152"/>
        <v>0</v>
      </c>
      <c r="DZ116" s="299">
        <f t="shared" si="152"/>
        <v>0</v>
      </c>
      <c r="EA116" s="299">
        <f t="shared" si="152"/>
        <v>0</v>
      </c>
      <c r="EB116" s="299">
        <f t="shared" si="152"/>
        <v>0</v>
      </c>
      <c r="EC116" s="299">
        <f t="shared" si="152"/>
        <v>0</v>
      </c>
      <c r="ED116" s="299">
        <f t="shared" ref="ED116:FS116" si="153">-ED108</f>
        <v>0</v>
      </c>
      <c r="EE116" s="299">
        <f t="shared" si="153"/>
        <v>0</v>
      </c>
      <c r="EF116" s="299">
        <f t="shared" si="153"/>
        <v>0</v>
      </c>
      <c r="EG116" s="299">
        <f t="shared" si="153"/>
        <v>0</v>
      </c>
      <c r="EH116" s="299">
        <f t="shared" si="153"/>
        <v>0</v>
      </c>
      <c r="EI116" s="299">
        <f t="shared" si="153"/>
        <v>0</v>
      </c>
      <c r="EJ116" s="299">
        <f t="shared" si="153"/>
        <v>0</v>
      </c>
      <c r="EK116" s="299">
        <f t="shared" si="153"/>
        <v>0</v>
      </c>
      <c r="EL116" s="299">
        <f t="shared" si="153"/>
        <v>0</v>
      </c>
      <c r="EM116" s="299">
        <f t="shared" si="153"/>
        <v>0</v>
      </c>
      <c r="EN116" s="299">
        <f t="shared" si="153"/>
        <v>0</v>
      </c>
      <c r="EO116" s="299">
        <f t="shared" si="153"/>
        <v>0</v>
      </c>
      <c r="EP116" s="299">
        <f t="shared" si="153"/>
        <v>0</v>
      </c>
      <c r="EQ116" s="299">
        <f t="shared" si="153"/>
        <v>0</v>
      </c>
      <c r="ER116" s="299">
        <f t="shared" si="153"/>
        <v>0</v>
      </c>
      <c r="ES116" s="299">
        <f t="shared" si="153"/>
        <v>0</v>
      </c>
      <c r="ET116" s="299">
        <f t="shared" si="153"/>
        <v>0</v>
      </c>
      <c r="EU116" s="299">
        <f t="shared" si="153"/>
        <v>0</v>
      </c>
      <c r="EV116" s="299">
        <f t="shared" si="153"/>
        <v>0</v>
      </c>
      <c r="EW116" s="299">
        <f t="shared" si="153"/>
        <v>0</v>
      </c>
      <c r="EX116" s="299">
        <f t="shared" si="153"/>
        <v>0</v>
      </c>
      <c r="EY116" s="299">
        <f t="shared" si="153"/>
        <v>0</v>
      </c>
      <c r="EZ116" s="299">
        <f t="shared" si="153"/>
        <v>0</v>
      </c>
      <c r="FA116" s="299">
        <f t="shared" si="153"/>
        <v>0</v>
      </c>
      <c r="FB116" s="299">
        <f t="shared" si="153"/>
        <v>0</v>
      </c>
      <c r="FC116" s="299">
        <f t="shared" si="153"/>
        <v>0</v>
      </c>
      <c r="FD116" s="299">
        <f t="shared" si="153"/>
        <v>0</v>
      </c>
      <c r="FE116" s="299">
        <f t="shared" si="153"/>
        <v>0</v>
      </c>
      <c r="FF116" s="299">
        <f t="shared" si="153"/>
        <v>0</v>
      </c>
      <c r="FG116" s="299">
        <f t="shared" si="153"/>
        <v>0</v>
      </c>
      <c r="FH116" s="299">
        <f t="shared" si="153"/>
        <v>0</v>
      </c>
      <c r="FI116" s="299">
        <f t="shared" si="153"/>
        <v>0</v>
      </c>
      <c r="FJ116" s="299">
        <f t="shared" si="153"/>
        <v>0</v>
      </c>
      <c r="FK116" s="299">
        <f t="shared" si="153"/>
        <v>0</v>
      </c>
      <c r="FL116" s="299">
        <f t="shared" si="153"/>
        <v>0</v>
      </c>
      <c r="FM116" s="299">
        <f t="shared" si="153"/>
        <v>0</v>
      </c>
      <c r="FN116" s="299">
        <f t="shared" si="153"/>
        <v>0</v>
      </c>
      <c r="FO116" s="299">
        <f t="shared" si="153"/>
        <v>0</v>
      </c>
      <c r="FP116" s="299">
        <f t="shared" si="153"/>
        <v>0</v>
      </c>
      <c r="FQ116" s="299">
        <f t="shared" si="153"/>
        <v>0</v>
      </c>
      <c r="FR116" s="299">
        <f t="shared" si="153"/>
        <v>0</v>
      </c>
      <c r="FS116" s="299">
        <f t="shared" si="153"/>
        <v>0</v>
      </c>
    </row>
    <row r="117" spans="2:175" ht="12.75" customHeight="1">
      <c r="B117" s="517" t="s">
        <v>342</v>
      </c>
      <c r="C117" s="299">
        <f t="shared" si="144"/>
        <v>4450230.2752481503</v>
      </c>
      <c r="D117" s="644"/>
      <c r="E117" s="299">
        <f t="shared" ref="E117:BP117" si="154">E84</f>
        <v>60358.090459548665</v>
      </c>
      <c r="F117" s="299">
        <f t="shared" si="154"/>
        <v>52248.378085041855</v>
      </c>
      <c r="G117" s="299">
        <f t="shared" si="154"/>
        <v>52453.132601852383</v>
      </c>
      <c r="H117" s="299">
        <f t="shared" si="154"/>
        <v>52055.327475223952</v>
      </c>
      <c r="I117" s="299">
        <f t="shared" si="154"/>
        <v>43925.130756638217</v>
      </c>
      <c r="J117" s="299">
        <f t="shared" si="154"/>
        <v>52431.611588304891</v>
      </c>
      <c r="K117" s="299">
        <f t="shared" si="154"/>
        <v>44288.871479473804</v>
      </c>
      <c r="L117" s="299">
        <f t="shared" si="154"/>
        <v>44150.745894091116</v>
      </c>
      <c r="M117" s="299">
        <f t="shared" si="154"/>
        <v>69011.525563054631</v>
      </c>
      <c r="N117" s="299">
        <f t="shared" si="154"/>
        <v>43976.401704510703</v>
      </c>
      <c r="O117" s="299">
        <f t="shared" si="154"/>
        <v>52259.628806689492</v>
      </c>
      <c r="P117" s="299">
        <f t="shared" si="154"/>
        <v>43931.051225175412</v>
      </c>
      <c r="Q117" s="299">
        <f t="shared" si="154"/>
        <v>73419.685932164633</v>
      </c>
      <c r="R117" s="299">
        <f t="shared" si="154"/>
        <v>60212.279223237856</v>
      </c>
      <c r="S117" s="299">
        <f t="shared" si="154"/>
        <v>55656.937486443407</v>
      </c>
      <c r="T117" s="299">
        <f t="shared" si="154"/>
        <v>65196.079574831267</v>
      </c>
      <c r="U117" s="299">
        <f t="shared" si="154"/>
        <v>67708.460962565063</v>
      </c>
      <c r="V117" s="299">
        <f t="shared" si="154"/>
        <v>77453.928359410231</v>
      </c>
      <c r="W117" s="299">
        <f t="shared" si="154"/>
        <v>70615.55603208908</v>
      </c>
      <c r="X117" s="299">
        <f t="shared" si="154"/>
        <v>91232.142409103661</v>
      </c>
      <c r="Y117" s="299">
        <f t="shared" si="154"/>
        <v>109261.06655539607</v>
      </c>
      <c r="Z117" s="299">
        <f t="shared" si="154"/>
        <v>94315.834280997195</v>
      </c>
      <c r="AA117" s="299">
        <f t="shared" si="154"/>
        <v>104357.85712078572</v>
      </c>
      <c r="AB117" s="299">
        <f t="shared" si="154"/>
        <v>97749.834625190852</v>
      </c>
      <c r="AC117" s="299">
        <f t="shared" si="154"/>
        <v>107769.6689900971</v>
      </c>
      <c r="AD117" s="299">
        <f t="shared" si="154"/>
        <v>100417.64617236776</v>
      </c>
      <c r="AE117" s="299">
        <f t="shared" si="154"/>
        <v>101754.47180674298</v>
      </c>
      <c r="AF117" s="299">
        <f t="shared" si="154"/>
        <v>111760.19672159452</v>
      </c>
      <c r="AG117" s="299">
        <f t="shared" si="154"/>
        <v>105094.72318791444</v>
      </c>
      <c r="AH117" s="299">
        <f t="shared" si="154"/>
        <v>115049.38924372799</v>
      </c>
      <c r="AI117" s="299">
        <f t="shared" si="154"/>
        <v>108311.27521083484</v>
      </c>
      <c r="AJ117" s="299">
        <f t="shared" si="154"/>
        <v>109846.08033182289</v>
      </c>
      <c r="AK117" s="299">
        <f t="shared" si="154"/>
        <v>136108.60043032336</v>
      </c>
      <c r="AL117" s="299">
        <f t="shared" si="154"/>
        <v>112287.43733377583</v>
      </c>
      <c r="AM117" s="299">
        <f t="shared" si="154"/>
        <v>121989.80158245491</v>
      </c>
      <c r="AN117" s="299">
        <f t="shared" si="154"/>
        <v>115032.76004343168</v>
      </c>
      <c r="AO117" s="299">
        <f t="shared" si="154"/>
        <v>124673.74039280156</v>
      </c>
      <c r="AP117" s="299">
        <f t="shared" si="154"/>
        <v>117629.24165548748</v>
      </c>
      <c r="AQ117" s="299">
        <f t="shared" si="154"/>
        <v>118323.45879980075</v>
      </c>
      <c r="AR117" s="299">
        <f t="shared" si="154"/>
        <v>127610.72835044793</v>
      </c>
      <c r="AS117" s="299">
        <f t="shared" si="154"/>
        <v>120516.11803272038</v>
      </c>
      <c r="AT117" s="299">
        <f t="shared" si="154"/>
        <v>130052.57838772182</v>
      </c>
      <c r="AU117" s="299">
        <f t="shared" si="154"/>
        <v>122947.69082828306</v>
      </c>
      <c r="AV117" s="299">
        <f t="shared" si="154"/>
        <v>124145.7100161064</v>
      </c>
      <c r="AW117" s="299">
        <f t="shared" si="154"/>
        <v>150293.64168869078</v>
      </c>
      <c r="AX117" s="299">
        <f t="shared" si="154"/>
        <v>126347.61360034774</v>
      </c>
      <c r="AY117" s="299">
        <f t="shared" si="154"/>
        <v>135587.25106696974</v>
      </c>
      <c r="AZ117" s="299">
        <f t="shared" si="154"/>
        <v>128410.89317186482</v>
      </c>
      <c r="BA117" s="299">
        <f t="shared" si="154"/>
        <v>0</v>
      </c>
      <c r="BB117" s="299">
        <f t="shared" si="154"/>
        <v>0</v>
      </c>
      <c r="BC117" s="299">
        <f t="shared" si="154"/>
        <v>0</v>
      </c>
      <c r="BD117" s="299">
        <f t="shared" si="154"/>
        <v>0</v>
      </c>
      <c r="BE117" s="299">
        <f t="shared" si="154"/>
        <v>0</v>
      </c>
      <c r="BF117" s="299">
        <f t="shared" si="154"/>
        <v>0</v>
      </c>
      <c r="BG117" s="299">
        <f t="shared" si="154"/>
        <v>0</v>
      </c>
      <c r="BH117" s="299">
        <f t="shared" si="154"/>
        <v>0</v>
      </c>
      <c r="BI117" s="299">
        <f t="shared" si="154"/>
        <v>0</v>
      </c>
      <c r="BJ117" s="299">
        <f t="shared" si="154"/>
        <v>0</v>
      </c>
      <c r="BK117" s="299">
        <f t="shared" si="154"/>
        <v>0</v>
      </c>
      <c r="BL117" s="299">
        <f t="shared" si="154"/>
        <v>0</v>
      </c>
      <c r="BM117" s="299">
        <f t="shared" si="154"/>
        <v>0</v>
      </c>
      <c r="BN117" s="299">
        <f t="shared" si="154"/>
        <v>0</v>
      </c>
      <c r="BO117" s="299">
        <f t="shared" si="154"/>
        <v>0</v>
      </c>
      <c r="BP117" s="299">
        <f t="shared" si="154"/>
        <v>0</v>
      </c>
      <c r="BQ117" s="299">
        <f t="shared" ref="BQ117:EB117" si="155">BQ84</f>
        <v>0</v>
      </c>
      <c r="BR117" s="299">
        <f t="shared" si="155"/>
        <v>0</v>
      </c>
      <c r="BS117" s="299">
        <f t="shared" si="155"/>
        <v>0</v>
      </c>
      <c r="BT117" s="299">
        <f t="shared" si="155"/>
        <v>0</v>
      </c>
      <c r="BU117" s="299">
        <f t="shared" si="155"/>
        <v>0</v>
      </c>
      <c r="BV117" s="299">
        <f t="shared" si="155"/>
        <v>0</v>
      </c>
      <c r="BW117" s="299">
        <f t="shared" si="155"/>
        <v>0</v>
      </c>
      <c r="BX117" s="299">
        <f t="shared" si="155"/>
        <v>0</v>
      </c>
      <c r="BY117" s="299">
        <f t="shared" si="155"/>
        <v>0</v>
      </c>
      <c r="BZ117" s="299">
        <f t="shared" si="155"/>
        <v>0</v>
      </c>
      <c r="CA117" s="299">
        <f t="shared" si="155"/>
        <v>0</v>
      </c>
      <c r="CB117" s="299">
        <f t="shared" si="155"/>
        <v>0</v>
      </c>
      <c r="CC117" s="299">
        <f t="shared" si="155"/>
        <v>0</v>
      </c>
      <c r="CD117" s="299">
        <f t="shared" si="155"/>
        <v>0</v>
      </c>
      <c r="CE117" s="299">
        <f t="shared" si="155"/>
        <v>0</v>
      </c>
      <c r="CF117" s="299">
        <f t="shared" si="155"/>
        <v>0</v>
      </c>
      <c r="CG117" s="299">
        <f t="shared" si="155"/>
        <v>0</v>
      </c>
      <c r="CH117" s="299">
        <f t="shared" si="155"/>
        <v>0</v>
      </c>
      <c r="CI117" s="299">
        <f t="shared" si="155"/>
        <v>0</v>
      </c>
      <c r="CJ117" s="299">
        <f t="shared" si="155"/>
        <v>0</v>
      </c>
      <c r="CK117" s="299">
        <f t="shared" si="155"/>
        <v>0</v>
      </c>
      <c r="CL117" s="299">
        <f t="shared" si="155"/>
        <v>0</v>
      </c>
      <c r="CM117" s="299">
        <f t="shared" si="155"/>
        <v>0</v>
      </c>
      <c r="CN117" s="299">
        <f t="shared" si="155"/>
        <v>0</v>
      </c>
      <c r="CO117" s="299">
        <f t="shared" si="155"/>
        <v>0</v>
      </c>
      <c r="CP117" s="299">
        <f t="shared" si="155"/>
        <v>0</v>
      </c>
      <c r="CQ117" s="299">
        <f t="shared" si="155"/>
        <v>0</v>
      </c>
      <c r="CR117" s="299">
        <f t="shared" si="155"/>
        <v>0</v>
      </c>
      <c r="CS117" s="299">
        <f t="shared" si="155"/>
        <v>0</v>
      </c>
      <c r="CT117" s="299">
        <f t="shared" si="155"/>
        <v>0</v>
      </c>
      <c r="CU117" s="299">
        <f t="shared" si="155"/>
        <v>0</v>
      </c>
      <c r="CV117" s="299">
        <f t="shared" si="155"/>
        <v>0</v>
      </c>
      <c r="CW117" s="299">
        <f t="shared" si="155"/>
        <v>0</v>
      </c>
      <c r="CX117" s="299">
        <f t="shared" si="155"/>
        <v>0</v>
      </c>
      <c r="CY117" s="299">
        <f t="shared" si="155"/>
        <v>0</v>
      </c>
      <c r="CZ117" s="299">
        <f t="shared" si="155"/>
        <v>0</v>
      </c>
      <c r="DA117" s="299">
        <f t="shared" si="155"/>
        <v>0</v>
      </c>
      <c r="DB117" s="299">
        <f t="shared" si="155"/>
        <v>0</v>
      </c>
      <c r="DC117" s="299">
        <f t="shared" si="155"/>
        <v>0</v>
      </c>
      <c r="DD117" s="299">
        <f t="shared" si="155"/>
        <v>0</v>
      </c>
      <c r="DE117" s="299">
        <f t="shared" si="155"/>
        <v>0</v>
      </c>
      <c r="DF117" s="299">
        <f t="shared" si="155"/>
        <v>0</v>
      </c>
      <c r="DG117" s="299">
        <f t="shared" si="155"/>
        <v>0</v>
      </c>
      <c r="DH117" s="299">
        <f t="shared" si="155"/>
        <v>0</v>
      </c>
      <c r="DI117" s="299">
        <f t="shared" si="155"/>
        <v>0</v>
      </c>
      <c r="DJ117" s="299">
        <f t="shared" si="155"/>
        <v>0</v>
      </c>
      <c r="DK117" s="299">
        <f t="shared" si="155"/>
        <v>0</v>
      </c>
      <c r="DL117" s="299">
        <f t="shared" si="155"/>
        <v>0</v>
      </c>
      <c r="DM117" s="299">
        <f t="shared" si="155"/>
        <v>0</v>
      </c>
      <c r="DN117" s="299">
        <f t="shared" si="155"/>
        <v>0</v>
      </c>
      <c r="DO117" s="299">
        <f t="shared" si="155"/>
        <v>0</v>
      </c>
      <c r="DP117" s="299">
        <f t="shared" si="155"/>
        <v>0</v>
      </c>
      <c r="DQ117" s="299">
        <f t="shared" si="155"/>
        <v>0</v>
      </c>
      <c r="DR117" s="299">
        <f t="shared" si="155"/>
        <v>0</v>
      </c>
      <c r="DS117" s="299">
        <f t="shared" si="155"/>
        <v>0</v>
      </c>
      <c r="DT117" s="299">
        <f t="shared" si="155"/>
        <v>0</v>
      </c>
      <c r="DU117" s="299">
        <f t="shared" si="155"/>
        <v>0</v>
      </c>
      <c r="DV117" s="299">
        <f t="shared" si="155"/>
        <v>0</v>
      </c>
      <c r="DW117" s="299">
        <f t="shared" si="155"/>
        <v>0</v>
      </c>
      <c r="DX117" s="299">
        <f t="shared" si="155"/>
        <v>0</v>
      </c>
      <c r="DY117" s="299">
        <f t="shared" si="155"/>
        <v>0</v>
      </c>
      <c r="DZ117" s="299">
        <f t="shared" si="155"/>
        <v>0</v>
      </c>
      <c r="EA117" s="299">
        <f t="shared" si="155"/>
        <v>0</v>
      </c>
      <c r="EB117" s="299">
        <f t="shared" si="155"/>
        <v>0</v>
      </c>
      <c r="EC117" s="299">
        <f t="shared" ref="EC117:FS117" si="156">EC84</f>
        <v>0</v>
      </c>
      <c r="ED117" s="299">
        <f t="shared" si="156"/>
        <v>0</v>
      </c>
      <c r="EE117" s="299">
        <f t="shared" si="156"/>
        <v>0</v>
      </c>
      <c r="EF117" s="299">
        <f t="shared" si="156"/>
        <v>0</v>
      </c>
      <c r="EG117" s="299">
        <f t="shared" si="156"/>
        <v>0</v>
      </c>
      <c r="EH117" s="299">
        <f t="shared" si="156"/>
        <v>0</v>
      </c>
      <c r="EI117" s="299">
        <f t="shared" si="156"/>
        <v>0</v>
      </c>
      <c r="EJ117" s="299">
        <f t="shared" si="156"/>
        <v>0</v>
      </c>
      <c r="EK117" s="299">
        <f t="shared" si="156"/>
        <v>0</v>
      </c>
      <c r="EL117" s="299">
        <f t="shared" si="156"/>
        <v>0</v>
      </c>
      <c r="EM117" s="299">
        <f t="shared" si="156"/>
        <v>0</v>
      </c>
      <c r="EN117" s="299">
        <f t="shared" si="156"/>
        <v>0</v>
      </c>
      <c r="EO117" s="299">
        <f t="shared" si="156"/>
        <v>0</v>
      </c>
      <c r="EP117" s="299">
        <f t="shared" si="156"/>
        <v>0</v>
      </c>
      <c r="EQ117" s="299">
        <f t="shared" si="156"/>
        <v>0</v>
      </c>
      <c r="ER117" s="299">
        <f t="shared" si="156"/>
        <v>0</v>
      </c>
      <c r="ES117" s="299">
        <f t="shared" si="156"/>
        <v>0</v>
      </c>
      <c r="ET117" s="299">
        <f t="shared" si="156"/>
        <v>0</v>
      </c>
      <c r="EU117" s="299">
        <f t="shared" si="156"/>
        <v>0</v>
      </c>
      <c r="EV117" s="299">
        <f t="shared" si="156"/>
        <v>0</v>
      </c>
      <c r="EW117" s="299">
        <f t="shared" si="156"/>
        <v>0</v>
      </c>
      <c r="EX117" s="299">
        <f t="shared" si="156"/>
        <v>0</v>
      </c>
      <c r="EY117" s="299">
        <f t="shared" si="156"/>
        <v>0</v>
      </c>
      <c r="EZ117" s="299">
        <f t="shared" si="156"/>
        <v>0</v>
      </c>
      <c r="FA117" s="299">
        <f t="shared" si="156"/>
        <v>0</v>
      </c>
      <c r="FB117" s="299">
        <f t="shared" si="156"/>
        <v>0</v>
      </c>
      <c r="FC117" s="299">
        <f t="shared" si="156"/>
        <v>0</v>
      </c>
      <c r="FD117" s="299">
        <f t="shared" si="156"/>
        <v>0</v>
      </c>
      <c r="FE117" s="299">
        <f t="shared" si="156"/>
        <v>0</v>
      </c>
      <c r="FF117" s="299">
        <f t="shared" si="156"/>
        <v>0</v>
      </c>
      <c r="FG117" s="299">
        <f t="shared" si="156"/>
        <v>0</v>
      </c>
      <c r="FH117" s="299">
        <f t="shared" si="156"/>
        <v>0</v>
      </c>
      <c r="FI117" s="299">
        <f t="shared" si="156"/>
        <v>0</v>
      </c>
      <c r="FJ117" s="299">
        <f t="shared" si="156"/>
        <v>0</v>
      </c>
      <c r="FK117" s="299">
        <f t="shared" si="156"/>
        <v>0</v>
      </c>
      <c r="FL117" s="299">
        <f t="shared" si="156"/>
        <v>0</v>
      </c>
      <c r="FM117" s="299">
        <f t="shared" si="156"/>
        <v>0</v>
      </c>
      <c r="FN117" s="299">
        <f t="shared" si="156"/>
        <v>0</v>
      </c>
      <c r="FO117" s="299">
        <f t="shared" si="156"/>
        <v>0</v>
      </c>
      <c r="FP117" s="299">
        <f t="shared" si="156"/>
        <v>0</v>
      </c>
      <c r="FQ117" s="299">
        <f t="shared" si="156"/>
        <v>0</v>
      </c>
      <c r="FR117" s="299">
        <f t="shared" si="156"/>
        <v>0</v>
      </c>
      <c r="FS117" s="299">
        <f t="shared" si="156"/>
        <v>0</v>
      </c>
    </row>
    <row r="118" spans="2:175" ht="12.75" customHeight="1" thickBot="1">
      <c r="B118" s="646" t="s">
        <v>343</v>
      </c>
      <c r="C118" s="647">
        <f t="shared" si="144"/>
        <v>24992810.374513425</v>
      </c>
      <c r="D118" s="644"/>
      <c r="E118" s="647">
        <f t="shared" ref="E118:AJ118" si="157">SUM(E112:E117)</f>
        <v>-18868708.075340457</v>
      </c>
      <c r="F118" s="647">
        <f t="shared" si="157"/>
        <v>52248.378085041855</v>
      </c>
      <c r="G118" s="647">
        <f t="shared" si="157"/>
        <v>52453.132601852383</v>
      </c>
      <c r="H118" s="647">
        <f t="shared" si="157"/>
        <v>52055.327475223952</v>
      </c>
      <c r="I118" s="647">
        <f t="shared" si="157"/>
        <v>43925.130756638217</v>
      </c>
      <c r="J118" s="647">
        <f t="shared" si="157"/>
        <v>52431.611588304891</v>
      </c>
      <c r="K118" s="647">
        <f t="shared" si="157"/>
        <v>44288.871479473804</v>
      </c>
      <c r="L118" s="647">
        <f t="shared" si="157"/>
        <v>44150.745894091116</v>
      </c>
      <c r="M118" s="647">
        <f t="shared" si="157"/>
        <v>69011.525563054631</v>
      </c>
      <c r="N118" s="647">
        <f t="shared" si="157"/>
        <v>43976.401704510703</v>
      </c>
      <c r="O118" s="647">
        <f t="shared" si="157"/>
        <v>52259.628806689492</v>
      </c>
      <c r="P118" s="647">
        <f t="shared" si="157"/>
        <v>43931.051225175412</v>
      </c>
      <c r="Q118" s="647">
        <f t="shared" si="157"/>
        <v>73419.685932164633</v>
      </c>
      <c r="R118" s="647">
        <f t="shared" si="157"/>
        <v>60212.279223237856</v>
      </c>
      <c r="S118" s="647">
        <f t="shared" si="157"/>
        <v>55656.937486443407</v>
      </c>
      <c r="T118" s="647">
        <f t="shared" si="157"/>
        <v>65196.079574831267</v>
      </c>
      <c r="U118" s="647">
        <f t="shared" si="157"/>
        <v>67708.460962565063</v>
      </c>
      <c r="V118" s="647">
        <f t="shared" si="157"/>
        <v>77453.928359410231</v>
      </c>
      <c r="W118" s="647">
        <f t="shared" si="157"/>
        <v>70615.55603208908</v>
      </c>
      <c r="X118" s="647">
        <f t="shared" si="157"/>
        <v>91232.142409103661</v>
      </c>
      <c r="Y118" s="647">
        <f t="shared" si="157"/>
        <v>109261.06655539607</v>
      </c>
      <c r="Z118" s="647">
        <f t="shared" si="157"/>
        <v>94315.834280997195</v>
      </c>
      <c r="AA118" s="647">
        <f t="shared" si="157"/>
        <v>104357.85712078572</v>
      </c>
      <c r="AB118" s="647">
        <f t="shared" si="157"/>
        <v>97749.834625190852</v>
      </c>
      <c r="AC118" s="647">
        <f t="shared" si="157"/>
        <v>107769.6689900971</v>
      </c>
      <c r="AD118" s="647">
        <f t="shared" si="157"/>
        <v>100417.64617236776</v>
      </c>
      <c r="AE118" s="647">
        <f t="shared" si="157"/>
        <v>101754.47180674298</v>
      </c>
      <c r="AF118" s="647">
        <f t="shared" si="157"/>
        <v>111760.19672159452</v>
      </c>
      <c r="AG118" s="647">
        <f t="shared" si="157"/>
        <v>105094.72318791444</v>
      </c>
      <c r="AH118" s="647">
        <f t="shared" si="157"/>
        <v>115049.38924372799</v>
      </c>
      <c r="AI118" s="647">
        <f t="shared" si="157"/>
        <v>108311.27521083484</v>
      </c>
      <c r="AJ118" s="647">
        <f t="shared" si="157"/>
        <v>109846.08033182289</v>
      </c>
      <c r="AK118" s="647">
        <f t="shared" ref="AK118:CV118" si="158">SUM(AK112:AK117)</f>
        <v>136108.60043032336</v>
      </c>
      <c r="AL118" s="647">
        <f t="shared" si="158"/>
        <v>112287.43733377583</v>
      </c>
      <c r="AM118" s="647">
        <f t="shared" si="158"/>
        <v>121989.80158245491</v>
      </c>
      <c r="AN118" s="647">
        <f t="shared" si="158"/>
        <v>115032.76004343168</v>
      </c>
      <c r="AO118" s="647">
        <f t="shared" si="158"/>
        <v>124673.74039280156</v>
      </c>
      <c r="AP118" s="647">
        <f t="shared" si="158"/>
        <v>117629.24165548748</v>
      </c>
      <c r="AQ118" s="647">
        <f t="shared" si="158"/>
        <v>118323.45879980075</v>
      </c>
      <c r="AR118" s="647">
        <f t="shared" si="158"/>
        <v>127610.72835044793</v>
      </c>
      <c r="AS118" s="647">
        <f t="shared" si="158"/>
        <v>120516.11803272038</v>
      </c>
      <c r="AT118" s="647">
        <f t="shared" si="158"/>
        <v>130052.57838772182</v>
      </c>
      <c r="AU118" s="647">
        <f t="shared" si="158"/>
        <v>122947.69082828306</v>
      </c>
      <c r="AV118" s="647">
        <f t="shared" si="158"/>
        <v>124145.7100161064</v>
      </c>
      <c r="AW118" s="647">
        <f t="shared" si="158"/>
        <v>150293.64168869078</v>
      </c>
      <c r="AX118" s="647">
        <f t="shared" si="158"/>
        <v>126347.61360034774</v>
      </c>
      <c r="AY118" s="647">
        <f t="shared" si="158"/>
        <v>135587.25106696974</v>
      </c>
      <c r="AZ118" s="647">
        <f t="shared" si="158"/>
        <v>39600057.158237144</v>
      </c>
      <c r="BA118" s="647">
        <f t="shared" si="158"/>
        <v>0</v>
      </c>
      <c r="BB118" s="647">
        <f t="shared" si="158"/>
        <v>0</v>
      </c>
      <c r="BC118" s="647">
        <f t="shared" si="158"/>
        <v>0</v>
      </c>
      <c r="BD118" s="647">
        <f t="shared" si="158"/>
        <v>0</v>
      </c>
      <c r="BE118" s="647">
        <f t="shared" si="158"/>
        <v>0</v>
      </c>
      <c r="BF118" s="647">
        <f t="shared" si="158"/>
        <v>0</v>
      </c>
      <c r="BG118" s="647">
        <f t="shared" si="158"/>
        <v>0</v>
      </c>
      <c r="BH118" s="647">
        <f t="shared" si="158"/>
        <v>0</v>
      </c>
      <c r="BI118" s="647">
        <f t="shared" si="158"/>
        <v>0</v>
      </c>
      <c r="BJ118" s="647">
        <f t="shared" si="158"/>
        <v>0</v>
      </c>
      <c r="BK118" s="647">
        <f t="shared" si="158"/>
        <v>0</v>
      </c>
      <c r="BL118" s="647">
        <f t="shared" si="158"/>
        <v>0</v>
      </c>
      <c r="BM118" s="647">
        <f t="shared" si="158"/>
        <v>0</v>
      </c>
      <c r="BN118" s="647">
        <f t="shared" si="158"/>
        <v>0</v>
      </c>
      <c r="BO118" s="647">
        <f t="shared" si="158"/>
        <v>0</v>
      </c>
      <c r="BP118" s="647">
        <f t="shared" si="158"/>
        <v>0</v>
      </c>
      <c r="BQ118" s="647">
        <f t="shared" si="158"/>
        <v>0</v>
      </c>
      <c r="BR118" s="647">
        <f t="shared" si="158"/>
        <v>0</v>
      </c>
      <c r="BS118" s="647">
        <f t="shared" si="158"/>
        <v>0</v>
      </c>
      <c r="BT118" s="647">
        <f t="shared" si="158"/>
        <v>0</v>
      </c>
      <c r="BU118" s="647">
        <f t="shared" si="158"/>
        <v>0</v>
      </c>
      <c r="BV118" s="647">
        <f t="shared" si="158"/>
        <v>0</v>
      </c>
      <c r="BW118" s="647">
        <f t="shared" si="158"/>
        <v>0</v>
      </c>
      <c r="BX118" s="647">
        <f t="shared" si="158"/>
        <v>0</v>
      </c>
      <c r="BY118" s="647">
        <f t="shared" si="158"/>
        <v>0</v>
      </c>
      <c r="BZ118" s="647">
        <f t="shared" si="158"/>
        <v>0</v>
      </c>
      <c r="CA118" s="647">
        <f t="shared" si="158"/>
        <v>0</v>
      </c>
      <c r="CB118" s="647">
        <f t="shared" si="158"/>
        <v>0</v>
      </c>
      <c r="CC118" s="647">
        <f t="shared" si="158"/>
        <v>0</v>
      </c>
      <c r="CD118" s="647">
        <f t="shared" si="158"/>
        <v>0</v>
      </c>
      <c r="CE118" s="647">
        <f t="shared" si="158"/>
        <v>0</v>
      </c>
      <c r="CF118" s="647">
        <f t="shared" si="158"/>
        <v>0</v>
      </c>
      <c r="CG118" s="647">
        <f t="shared" si="158"/>
        <v>0</v>
      </c>
      <c r="CH118" s="647">
        <f t="shared" si="158"/>
        <v>0</v>
      </c>
      <c r="CI118" s="647">
        <f t="shared" si="158"/>
        <v>0</v>
      </c>
      <c r="CJ118" s="647">
        <f t="shared" si="158"/>
        <v>0</v>
      </c>
      <c r="CK118" s="647">
        <f t="shared" si="158"/>
        <v>0</v>
      </c>
      <c r="CL118" s="647">
        <f t="shared" si="158"/>
        <v>0</v>
      </c>
      <c r="CM118" s="647">
        <f t="shared" si="158"/>
        <v>0</v>
      </c>
      <c r="CN118" s="647">
        <f t="shared" si="158"/>
        <v>0</v>
      </c>
      <c r="CO118" s="647">
        <f t="shared" si="158"/>
        <v>0</v>
      </c>
      <c r="CP118" s="647">
        <f t="shared" si="158"/>
        <v>0</v>
      </c>
      <c r="CQ118" s="647">
        <f t="shared" si="158"/>
        <v>0</v>
      </c>
      <c r="CR118" s="647">
        <f t="shared" si="158"/>
        <v>0</v>
      </c>
      <c r="CS118" s="647">
        <f t="shared" si="158"/>
        <v>0</v>
      </c>
      <c r="CT118" s="647">
        <f t="shared" si="158"/>
        <v>0</v>
      </c>
      <c r="CU118" s="647">
        <f t="shared" si="158"/>
        <v>0</v>
      </c>
      <c r="CV118" s="647">
        <f t="shared" si="158"/>
        <v>0</v>
      </c>
      <c r="CW118" s="647">
        <f t="shared" ref="CW118:FH118" si="159">SUM(CW112:CW117)</f>
        <v>0</v>
      </c>
      <c r="CX118" s="647">
        <f t="shared" si="159"/>
        <v>0</v>
      </c>
      <c r="CY118" s="647">
        <f t="shared" si="159"/>
        <v>0</v>
      </c>
      <c r="CZ118" s="647">
        <f t="shared" si="159"/>
        <v>0</v>
      </c>
      <c r="DA118" s="647">
        <f t="shared" si="159"/>
        <v>0</v>
      </c>
      <c r="DB118" s="647">
        <f t="shared" si="159"/>
        <v>0</v>
      </c>
      <c r="DC118" s="647">
        <f t="shared" si="159"/>
        <v>0</v>
      </c>
      <c r="DD118" s="647">
        <f t="shared" si="159"/>
        <v>0</v>
      </c>
      <c r="DE118" s="647">
        <f t="shared" si="159"/>
        <v>0</v>
      </c>
      <c r="DF118" s="647">
        <f t="shared" si="159"/>
        <v>0</v>
      </c>
      <c r="DG118" s="647">
        <f t="shared" si="159"/>
        <v>0</v>
      </c>
      <c r="DH118" s="647">
        <f t="shared" si="159"/>
        <v>0</v>
      </c>
      <c r="DI118" s="647">
        <f t="shared" si="159"/>
        <v>0</v>
      </c>
      <c r="DJ118" s="647">
        <f t="shared" si="159"/>
        <v>0</v>
      </c>
      <c r="DK118" s="647">
        <f t="shared" si="159"/>
        <v>0</v>
      </c>
      <c r="DL118" s="647">
        <f t="shared" si="159"/>
        <v>0</v>
      </c>
      <c r="DM118" s="647">
        <f t="shared" si="159"/>
        <v>0</v>
      </c>
      <c r="DN118" s="647">
        <f t="shared" si="159"/>
        <v>0</v>
      </c>
      <c r="DO118" s="647">
        <f t="shared" si="159"/>
        <v>0</v>
      </c>
      <c r="DP118" s="647">
        <f t="shared" si="159"/>
        <v>0</v>
      </c>
      <c r="DQ118" s="647">
        <f t="shared" si="159"/>
        <v>0</v>
      </c>
      <c r="DR118" s="647">
        <f t="shared" si="159"/>
        <v>0</v>
      </c>
      <c r="DS118" s="647">
        <f t="shared" si="159"/>
        <v>0</v>
      </c>
      <c r="DT118" s="647">
        <f t="shared" si="159"/>
        <v>0</v>
      </c>
      <c r="DU118" s="647">
        <f t="shared" si="159"/>
        <v>0</v>
      </c>
      <c r="DV118" s="647">
        <f t="shared" si="159"/>
        <v>0</v>
      </c>
      <c r="DW118" s="647">
        <f t="shared" si="159"/>
        <v>0</v>
      </c>
      <c r="DX118" s="647">
        <f t="shared" si="159"/>
        <v>0</v>
      </c>
      <c r="DY118" s="647">
        <f t="shared" si="159"/>
        <v>0</v>
      </c>
      <c r="DZ118" s="647">
        <f t="shared" si="159"/>
        <v>0</v>
      </c>
      <c r="EA118" s="647">
        <f t="shared" si="159"/>
        <v>0</v>
      </c>
      <c r="EB118" s="647">
        <f t="shared" si="159"/>
        <v>0</v>
      </c>
      <c r="EC118" s="647">
        <f t="shared" si="159"/>
        <v>0</v>
      </c>
      <c r="ED118" s="647">
        <f t="shared" si="159"/>
        <v>0</v>
      </c>
      <c r="EE118" s="647">
        <f t="shared" si="159"/>
        <v>0</v>
      </c>
      <c r="EF118" s="647">
        <f t="shared" si="159"/>
        <v>0</v>
      </c>
      <c r="EG118" s="647">
        <f t="shared" si="159"/>
        <v>0</v>
      </c>
      <c r="EH118" s="647">
        <f t="shared" si="159"/>
        <v>0</v>
      </c>
      <c r="EI118" s="647">
        <f t="shared" si="159"/>
        <v>0</v>
      </c>
      <c r="EJ118" s="647">
        <f t="shared" si="159"/>
        <v>0</v>
      </c>
      <c r="EK118" s="647">
        <f t="shared" si="159"/>
        <v>0</v>
      </c>
      <c r="EL118" s="647">
        <f t="shared" si="159"/>
        <v>0</v>
      </c>
      <c r="EM118" s="647">
        <f t="shared" si="159"/>
        <v>0</v>
      </c>
      <c r="EN118" s="647">
        <f t="shared" si="159"/>
        <v>0</v>
      </c>
      <c r="EO118" s="647">
        <f t="shared" si="159"/>
        <v>0</v>
      </c>
      <c r="EP118" s="647">
        <f t="shared" si="159"/>
        <v>0</v>
      </c>
      <c r="EQ118" s="647">
        <f t="shared" si="159"/>
        <v>0</v>
      </c>
      <c r="ER118" s="647">
        <f t="shared" si="159"/>
        <v>0</v>
      </c>
      <c r="ES118" s="647">
        <f t="shared" si="159"/>
        <v>0</v>
      </c>
      <c r="ET118" s="647">
        <f t="shared" si="159"/>
        <v>0</v>
      </c>
      <c r="EU118" s="647">
        <f t="shared" si="159"/>
        <v>0</v>
      </c>
      <c r="EV118" s="647">
        <f t="shared" si="159"/>
        <v>0</v>
      </c>
      <c r="EW118" s="647">
        <f t="shared" si="159"/>
        <v>0</v>
      </c>
      <c r="EX118" s="647">
        <f t="shared" si="159"/>
        <v>0</v>
      </c>
      <c r="EY118" s="647">
        <f t="shared" si="159"/>
        <v>0</v>
      </c>
      <c r="EZ118" s="647">
        <f t="shared" si="159"/>
        <v>0</v>
      </c>
      <c r="FA118" s="647">
        <f t="shared" si="159"/>
        <v>0</v>
      </c>
      <c r="FB118" s="647">
        <f t="shared" si="159"/>
        <v>0</v>
      </c>
      <c r="FC118" s="647">
        <f t="shared" si="159"/>
        <v>0</v>
      </c>
      <c r="FD118" s="647">
        <f t="shared" si="159"/>
        <v>0</v>
      </c>
      <c r="FE118" s="647">
        <f t="shared" si="159"/>
        <v>0</v>
      </c>
      <c r="FF118" s="647">
        <f t="shared" si="159"/>
        <v>0</v>
      </c>
      <c r="FG118" s="647">
        <f t="shared" si="159"/>
        <v>0</v>
      </c>
      <c r="FH118" s="647">
        <f t="shared" si="159"/>
        <v>0</v>
      </c>
      <c r="FI118" s="647">
        <f t="shared" ref="FI118:FS118" si="160">SUM(FI112:FI117)</f>
        <v>0</v>
      </c>
      <c r="FJ118" s="647">
        <f t="shared" si="160"/>
        <v>0</v>
      </c>
      <c r="FK118" s="647">
        <f t="shared" si="160"/>
        <v>0</v>
      </c>
      <c r="FL118" s="647">
        <f t="shared" si="160"/>
        <v>0</v>
      </c>
      <c r="FM118" s="647">
        <f t="shared" si="160"/>
        <v>0</v>
      </c>
      <c r="FN118" s="647">
        <f t="shared" si="160"/>
        <v>0</v>
      </c>
      <c r="FO118" s="647">
        <f t="shared" si="160"/>
        <v>0</v>
      </c>
      <c r="FP118" s="647">
        <f t="shared" si="160"/>
        <v>0</v>
      </c>
      <c r="FQ118" s="647">
        <f t="shared" si="160"/>
        <v>0</v>
      </c>
      <c r="FR118" s="647">
        <f t="shared" si="160"/>
        <v>0</v>
      </c>
      <c r="FS118" s="647">
        <f t="shared" si="160"/>
        <v>0</v>
      </c>
    </row>
    <row r="119" spans="2:175" ht="12.75" customHeight="1">
      <c r="C119" s="639"/>
      <c r="D119" s="639"/>
      <c r="E119" s="650">
        <f>IF(E118&lt;0,IF(AND(E118&lt;0,SUM($E118:E118)&lt;0),SUM($D119:D119)+1,1),0)</f>
        <v>1</v>
      </c>
      <c r="F119" s="650">
        <f>IF(F118&lt;0,IF(AND(F118&lt;0,SUM($E118:F118)&lt;0),SUM($D119:E119)+1,1),0)</f>
        <v>0</v>
      </c>
      <c r="G119" s="650">
        <f>IF(G118&lt;0,IF(AND(G118&lt;0,SUM($E118:G118)&lt;0),SUM($D119:F119)+1,1),0)</f>
        <v>0</v>
      </c>
      <c r="H119" s="650">
        <f>IF(H118&lt;0,IF(AND(H118&lt;0,SUM($E118:H118)&lt;0),SUM($D119:G119)+1,1),0)</f>
        <v>0</v>
      </c>
      <c r="I119" s="650">
        <f>IF(I118&lt;0,IF(AND(I118&lt;0,SUM($E118:I118)&lt;0),SUM($D119:H119)+1,1),0)</f>
        <v>0</v>
      </c>
      <c r="J119" s="650">
        <f>IF(J118&lt;0,IF(AND(J118&lt;0,SUM($E118:J118)&lt;0),SUM($D119:I119)+1,1),0)</f>
        <v>0</v>
      </c>
      <c r="K119" s="650">
        <f>IF(K118&lt;0,IF(AND(K118&lt;0,SUM($E118:K118)&lt;0),SUM($D119:J119)+1,1),0)</f>
        <v>0</v>
      </c>
      <c r="L119" s="650">
        <f>IF(L118&lt;0,IF(AND(L118&lt;0,SUM($E118:L118)&lt;0),SUM($D119:K119)+1,1),0)</f>
        <v>0</v>
      </c>
      <c r="M119" s="650">
        <f>IF(M118&lt;0,IF(AND(M118&lt;0,SUM($E118:M118)&lt;0),SUM($D119:L119)+1,1),0)</f>
        <v>0</v>
      </c>
      <c r="N119" s="650">
        <f>IF(N118&lt;0,IF(AND(N118&lt;0,SUM($E118:N118)&lt;0),SUM($D119:M119)+1,1),0)</f>
        <v>0</v>
      </c>
      <c r="O119" s="650">
        <f>IF(O118&lt;0,IF(AND(O118&lt;0,SUM($E118:O118)&lt;0),SUM($D119:N119)+1,1),0)</f>
        <v>0</v>
      </c>
      <c r="P119" s="650">
        <f>IF(P118&lt;0,IF(AND(P118&lt;0,SUM($E118:P118)&lt;0),SUM($D119:O119)+1,1),0)</f>
        <v>0</v>
      </c>
      <c r="Q119" s="650">
        <f>IF(Q118&lt;0,IF(AND(Q118&lt;0,SUM($E118:Q118)&lt;0),SUM($D119:P119)+1,1),0)</f>
        <v>0</v>
      </c>
      <c r="R119" s="650">
        <f>IF(R118&lt;0,IF(AND(R118&lt;0,SUM($E118:R118)&lt;0),SUM($D119:Q119)+1,1),0)</f>
        <v>0</v>
      </c>
      <c r="S119" s="650">
        <f>IF(S118&lt;0,IF(AND(S118&lt;0,SUM($E118:S118)&lt;0),SUM($D119:R119)+1,1),0)</f>
        <v>0</v>
      </c>
      <c r="T119" s="650">
        <f>IF(T118&lt;0,IF(AND(T118&lt;0,SUM($E118:T118)&lt;0),SUM($D119:S119)+1,1),0)</f>
        <v>0</v>
      </c>
      <c r="U119" s="650">
        <f>IF(U118&lt;0,IF(AND(U118&lt;0,SUM($E118:U118)&lt;0),SUM($D119:T119)+1,1),0)</f>
        <v>0</v>
      </c>
      <c r="V119" s="650">
        <f>IF(V118&lt;0,IF(AND(V118&lt;0,SUM($E118:V118)&lt;0),SUM($D119:U119)+1,1),0)</f>
        <v>0</v>
      </c>
      <c r="W119" s="650">
        <f>IF(W118&lt;0,IF(AND(W118&lt;0,SUM($E118:W118)&lt;0),SUM($D119:V119)+1,1),0)</f>
        <v>0</v>
      </c>
      <c r="X119" s="650">
        <f>IF(X118&lt;0,IF(AND(X118&lt;0,SUM($E118:X118)&lt;0),SUM($D119:W119)+1,1),0)</f>
        <v>0</v>
      </c>
      <c r="Y119" s="650">
        <f>IF(Y118&lt;0,IF(AND(Y118&lt;0,SUM($E118:Y118)&lt;0),SUM($D119:X119)+1,1),0)</f>
        <v>0</v>
      </c>
      <c r="Z119" s="650">
        <f>IF(Z118&lt;0,IF(AND(Z118&lt;0,SUM($E118:Z118)&lt;0),SUM($D119:Y119)+1,1),0)</f>
        <v>0</v>
      </c>
      <c r="AA119" s="650">
        <f>IF(AA118&lt;0,IF(AND(AA118&lt;0,SUM($E118:AA118)&lt;0),SUM($D119:Z119)+1,1),0)</f>
        <v>0</v>
      </c>
      <c r="AB119" s="650">
        <f>IF(AB118&lt;0,IF(AND(AB118&lt;0,SUM($E118:AB118)&lt;0),SUM($D119:AA119)+1,1),0)</f>
        <v>0</v>
      </c>
      <c r="AC119" s="650">
        <f>IF(AC118&lt;0,IF(AND(AC118&lt;0,SUM($E118:AC118)&lt;0),SUM($D119:AB119)+1,1),0)</f>
        <v>0</v>
      </c>
      <c r="AD119" s="650">
        <f>IF(AD118&lt;0,IF(AND(AD118&lt;0,SUM($E118:AD118)&lt;0),SUM($D119:AC119)+1,1),0)</f>
        <v>0</v>
      </c>
      <c r="AE119" s="650">
        <f>IF(AE118&lt;0,IF(AND(AE118&lt;0,SUM($E118:AE118)&lt;0),SUM($D119:AD119)+1,1),0)</f>
        <v>0</v>
      </c>
      <c r="AF119" s="650">
        <f>IF(AF118&lt;0,IF(AND(AF118&lt;0,SUM($E118:AF118)&lt;0),SUM($D119:AE119)+1,1),0)</f>
        <v>0</v>
      </c>
      <c r="AG119" s="650">
        <f>IF(AG118&lt;0,IF(AND(AG118&lt;0,SUM($E118:AG118)&lt;0),SUM($D119:AF119)+1,1),0)</f>
        <v>0</v>
      </c>
      <c r="AH119" s="650">
        <f>IF(AH118&lt;0,IF(AND(AH118&lt;0,SUM($E118:AH118)&lt;0),SUM($D119:AG119)+1,1),0)</f>
        <v>0</v>
      </c>
      <c r="AI119" s="650">
        <f>IF(AI118&lt;0,IF(AND(AI118&lt;0,SUM($E118:AI118)&lt;0),SUM($D119:AH119)+1,1),0)</f>
        <v>0</v>
      </c>
      <c r="AJ119" s="650">
        <f>IF(AJ118&lt;0,IF(AND(AJ118&lt;0,SUM($E118:AJ118)&lt;0),SUM($D119:AI119)+1,1),0)</f>
        <v>0</v>
      </c>
      <c r="AK119" s="650">
        <f>IF(AK118&lt;0,IF(AND(AK118&lt;0,SUM($E118:AK118)&lt;0),SUM($D119:AJ119)+1,1),0)</f>
        <v>0</v>
      </c>
      <c r="AL119" s="650">
        <f>IF(AL118&lt;0,IF(AND(AL118&lt;0,SUM($E118:AL118)&lt;0),SUM($D119:AK119)+1,1),0)</f>
        <v>0</v>
      </c>
      <c r="AM119" s="650">
        <f>IF(AM118&lt;0,IF(AND(AM118&lt;0,SUM($E118:AM118)&lt;0),SUM($D119:AL119)+1,1),0)</f>
        <v>0</v>
      </c>
      <c r="AN119" s="650">
        <f>IF(AN118&lt;0,IF(AND(AN118&lt;0,SUM($E118:AN118)&lt;0),SUM($D119:AM119)+1,1),0)</f>
        <v>0</v>
      </c>
      <c r="AO119" s="650">
        <f>IF(AO118&lt;0,IF(AND(AO118&lt;0,SUM($E118:AO118)&lt;0),SUM($D119:AN119)+1,1),0)</f>
        <v>0</v>
      </c>
      <c r="AP119" s="650">
        <f>IF(AP118&lt;0,IF(AND(AP118&lt;0,SUM($E118:AP118)&lt;0),SUM($D119:AO119)+1,1),0)</f>
        <v>0</v>
      </c>
      <c r="AQ119" s="650">
        <f>IF(AQ118&lt;0,IF(AND(AQ118&lt;0,SUM($E118:AQ118)&lt;0),SUM($D119:AP119)+1,1),0)</f>
        <v>0</v>
      </c>
      <c r="AR119" s="650">
        <f>IF(AR118&lt;0,IF(AND(AR118&lt;0,SUM($E118:AR118)&lt;0),SUM($D119:AQ119)+1,1),0)</f>
        <v>0</v>
      </c>
      <c r="AS119" s="650">
        <f>IF(AS118&lt;0,IF(AND(AS118&lt;0,SUM($E118:AS118)&lt;0),SUM($D119:AR119)+1,1),0)</f>
        <v>0</v>
      </c>
      <c r="AT119" s="650">
        <f>IF(AT118&lt;0,IF(AND(AT118&lt;0,SUM($E118:AT118)&lt;0),SUM($D119:AS119)+1,1),0)</f>
        <v>0</v>
      </c>
      <c r="AU119" s="650">
        <f>IF(AU118&lt;0,IF(AND(AU118&lt;0,SUM($E118:AU118)&lt;0),SUM($D119:AT119)+1,1),0)</f>
        <v>0</v>
      </c>
      <c r="AV119" s="650">
        <f>IF(AV118&lt;0,IF(AND(AV118&lt;0,SUM($E118:AV118)&lt;0),SUM($D119:AU119)+1,1),0)</f>
        <v>0</v>
      </c>
      <c r="AW119" s="650">
        <f>IF(AW118&lt;0,IF(AND(AW118&lt;0,SUM($E118:AW118)&lt;0),SUM($D119:AV119)+1,1),0)</f>
        <v>0</v>
      </c>
      <c r="AX119" s="650">
        <f>IF(AX118&lt;0,IF(AND(AX118&lt;0,SUM($E118:AX118)&lt;0),SUM($D119:AW119)+1,1),0)</f>
        <v>0</v>
      </c>
      <c r="AY119" s="650">
        <f>IF(AY118&lt;0,IF(AND(AY118&lt;0,SUM($E118:AY118)&lt;0),SUM($D119:AX119)+1,1),0)</f>
        <v>0</v>
      </c>
      <c r="AZ119" s="650">
        <f>IF(AZ118&lt;0,IF(AND(AZ118&lt;0,SUM($E118:AZ118)&lt;0),SUM($D119:AY119)+1,1),0)</f>
        <v>0</v>
      </c>
      <c r="BA119" s="650">
        <f>IF(BA118&lt;0,IF(AND(BA118&lt;0,SUM($E118:BA118)&lt;0),SUM($D119:AZ119)+1,1),0)</f>
        <v>0</v>
      </c>
      <c r="BB119" s="650">
        <f>IF(BB118&lt;0,IF(AND(BB118&lt;0,SUM($E118:BB118)&lt;0),SUM($D119:BA119)+1,1),0)</f>
        <v>0</v>
      </c>
      <c r="BC119" s="650">
        <f>IF(BC118&lt;0,IF(AND(BC118&lt;0,SUM($E118:BC118)&lt;0),SUM($D119:BB119)+1,1),0)</f>
        <v>0</v>
      </c>
      <c r="BD119" s="650">
        <f>IF(BD118&lt;0,IF(AND(BD118&lt;0,SUM($E118:BD118)&lt;0),SUM($D119:BC119)+1,1),0)</f>
        <v>0</v>
      </c>
      <c r="BE119" s="650">
        <f>IF(BE118&lt;0,IF(AND(BE118&lt;0,SUM($E118:BE118)&lt;0),SUM($D119:BD119)+1,1),0)</f>
        <v>0</v>
      </c>
      <c r="BF119" s="650">
        <f>IF(BF118&lt;0,IF(AND(BF118&lt;0,SUM($E118:BF118)&lt;0),SUM($D119:BE119)+1,1),0)</f>
        <v>0</v>
      </c>
      <c r="BG119" s="650">
        <f>IF(BG118&lt;0,IF(AND(BG118&lt;0,SUM($E118:BG118)&lt;0),SUM($D119:BF119)+1,1),0)</f>
        <v>0</v>
      </c>
      <c r="BH119" s="650">
        <f>IF(BH118&lt;0,IF(AND(BH118&lt;0,SUM($E118:BH118)&lt;0),SUM($D119:BG119)+1,1),0)</f>
        <v>0</v>
      </c>
      <c r="BI119" s="650">
        <f>IF(BI118&lt;0,IF(AND(BI118&lt;0,SUM($E118:BI118)&lt;0),SUM($D119:BH119)+1,1),0)</f>
        <v>0</v>
      </c>
      <c r="BJ119" s="650">
        <f>IF(BJ118&lt;0,IF(AND(BJ118&lt;0,SUM($E118:BJ118)&lt;0),SUM($D119:BI119)+1,1),0)</f>
        <v>0</v>
      </c>
      <c r="BK119" s="650">
        <f>IF(BK118&lt;0,IF(AND(BK118&lt;0,SUM($E118:BK118)&lt;0),SUM($D119:BJ119)+1,1),0)</f>
        <v>0</v>
      </c>
      <c r="BL119" s="650">
        <f>IF(BL118&lt;0,IF(AND(BL118&lt;0,SUM($E118:BL118)&lt;0),SUM($D119:BK119)+1,1),0)</f>
        <v>0</v>
      </c>
      <c r="BM119" s="650">
        <f>IF(BM118&lt;0,IF(AND(BM118&lt;0,SUM($E118:BM118)&lt;0),SUM($D119:BL119)+1,1),0)</f>
        <v>0</v>
      </c>
      <c r="BN119" s="650">
        <f>IF(BN118&lt;0,IF(AND(BN118&lt;0,SUM($E118:BN118)&lt;0),SUM($D119:BM119)+1,1),0)</f>
        <v>0</v>
      </c>
      <c r="BO119" s="650">
        <f>IF(BO118&lt;0,IF(AND(BO118&lt;0,SUM($E118:BO118)&lt;0),SUM($D119:BN119)+1,1),0)</f>
        <v>0</v>
      </c>
      <c r="BP119" s="650">
        <f>IF(BP118&lt;0,IF(AND(BP118&lt;0,SUM($E118:BP118)&lt;0),SUM($D119:BO119)+1,1),0)</f>
        <v>0</v>
      </c>
      <c r="BQ119" s="650">
        <f>IF(BQ118&lt;0,IF(AND(BQ118&lt;0,SUM($E118:BQ118)&lt;0),SUM($D119:BP119)+1,1),0)</f>
        <v>0</v>
      </c>
      <c r="BR119" s="650">
        <f>IF(BR118&lt;0,IF(AND(BR118&lt;0,SUM($E118:BR118)&lt;0),SUM($D119:BQ119)+1,1),0)</f>
        <v>0</v>
      </c>
      <c r="BS119" s="650">
        <f>IF(BS118&lt;0,IF(AND(BS118&lt;0,SUM($E118:BS118)&lt;0),SUM($D119:BR119)+1,1),0)</f>
        <v>0</v>
      </c>
      <c r="BT119" s="650">
        <f>IF(BT118&lt;0,IF(AND(BT118&lt;0,SUM($E118:BT118)&lt;0),SUM($D119:BS119)+1,1),0)</f>
        <v>0</v>
      </c>
      <c r="BU119" s="650">
        <f>IF(BU118&lt;0,IF(AND(BU118&lt;0,SUM($E118:BU118)&lt;0),SUM($D119:BT119)+1,1),0)</f>
        <v>0</v>
      </c>
      <c r="BV119" s="650">
        <f>IF(BV118&lt;0,IF(AND(BV118&lt;0,SUM($E118:BV118)&lt;0),SUM($D119:BU119)+1,1),0)</f>
        <v>0</v>
      </c>
      <c r="BW119" s="650">
        <f>IF(BW118&lt;0,IF(AND(BW118&lt;0,SUM($E118:BW118)&lt;0),SUM($D119:BV119)+1,1),0)</f>
        <v>0</v>
      </c>
      <c r="BX119" s="650">
        <f>IF(BX118&lt;0,IF(AND(BX118&lt;0,SUM($E118:BX118)&lt;0),SUM($D119:BW119)+1,1),0)</f>
        <v>0</v>
      </c>
      <c r="BY119" s="650">
        <f>IF(BY118&lt;0,IF(AND(BY118&lt;0,SUM($E118:BY118)&lt;0),SUM($D119:BX119)+1,1),0)</f>
        <v>0</v>
      </c>
      <c r="BZ119" s="650">
        <f>IF(BZ118&lt;0,IF(AND(BZ118&lt;0,SUM($E118:BZ118)&lt;0),SUM($D119:BY119)+1,1),0)</f>
        <v>0</v>
      </c>
      <c r="CA119" s="650">
        <f>IF(CA118&lt;0,IF(AND(CA118&lt;0,SUM($E118:CA118)&lt;0),SUM($D119:BZ119)+1,1),0)</f>
        <v>0</v>
      </c>
      <c r="CB119" s="650">
        <f>IF(CB118&lt;0,IF(AND(CB118&lt;0,SUM($E118:CB118)&lt;0),SUM($D119:CA119)+1,1),0)</f>
        <v>0</v>
      </c>
      <c r="CC119" s="650">
        <f>IF(CC118&lt;0,IF(AND(CC118&lt;0,SUM($E118:CC118)&lt;0),SUM($D119:CB119)+1,1),0)</f>
        <v>0</v>
      </c>
      <c r="CD119" s="650">
        <f>IF(CD118&lt;0,IF(AND(CD118&lt;0,SUM($E118:CD118)&lt;0),SUM($D119:CC119)+1,1),0)</f>
        <v>0</v>
      </c>
      <c r="CE119" s="650">
        <f>IF(CE118&lt;0,IF(AND(CE118&lt;0,SUM($E118:CE118)&lt;0),SUM($D119:CD119)+1,1),0)</f>
        <v>0</v>
      </c>
      <c r="CF119" s="650">
        <f>IF(CF118&lt;0,IF(AND(CF118&lt;0,SUM($E118:CF118)&lt;0),SUM($D119:CE119)+1,1),0)</f>
        <v>0</v>
      </c>
      <c r="CG119" s="650">
        <f>IF(CG118&lt;0,IF(AND(CG118&lt;0,SUM($E118:CG118)&lt;0),SUM($D119:CF119)+1,1),0)</f>
        <v>0</v>
      </c>
      <c r="CH119" s="650">
        <f>IF(CH118&lt;0,IF(AND(CH118&lt;0,SUM($E118:CH118)&lt;0),SUM($D119:CG119)+1,1),0)</f>
        <v>0</v>
      </c>
      <c r="CI119" s="650">
        <f>IF(CI118&lt;0,IF(AND(CI118&lt;0,SUM($E118:CI118)&lt;0),SUM($D119:CH119)+1,1),0)</f>
        <v>0</v>
      </c>
      <c r="CJ119" s="650">
        <f>IF(CJ118&lt;0,IF(AND(CJ118&lt;0,SUM($E118:CJ118)&lt;0),SUM($D119:CI119)+1,1),0)</f>
        <v>0</v>
      </c>
      <c r="CK119" s="650">
        <f>IF(CK118&lt;0,IF(AND(CK118&lt;0,SUM($E118:CK118)&lt;0),SUM($D119:CJ119)+1,1),0)</f>
        <v>0</v>
      </c>
      <c r="CL119" s="650">
        <f>IF(CL118&lt;0,IF(AND(CL118&lt;0,SUM($E118:CL118)&lt;0),SUM($D119:CK119)+1,1),0)</f>
        <v>0</v>
      </c>
      <c r="CM119" s="650">
        <f>IF(CM118&lt;0,IF(AND(CM118&lt;0,SUM($E118:CM118)&lt;0),SUM($D119:CL119)+1,1),0)</f>
        <v>0</v>
      </c>
      <c r="CN119" s="650">
        <f>IF(CN118&lt;0,IF(AND(CN118&lt;0,SUM($E118:CN118)&lt;0),SUM($D119:CM119)+1,1),0)</f>
        <v>0</v>
      </c>
      <c r="CO119" s="650">
        <f>IF(CO118&lt;0,IF(AND(CO118&lt;0,SUM($E118:CO118)&lt;0),SUM($D119:CN119)+1,1),0)</f>
        <v>0</v>
      </c>
      <c r="CP119" s="650">
        <f>IF(CP118&lt;0,IF(AND(CP118&lt;0,SUM($E118:CP118)&lt;0),SUM($D119:CO119)+1,1),0)</f>
        <v>0</v>
      </c>
      <c r="CQ119" s="650">
        <f>IF(CQ118&lt;0,IF(AND(CQ118&lt;0,SUM($E118:CQ118)&lt;0),SUM($D119:CP119)+1,1),0)</f>
        <v>0</v>
      </c>
      <c r="CR119" s="650">
        <f>IF(CR118&lt;0,IF(AND(CR118&lt;0,SUM($E118:CR118)&lt;0),SUM($D119:CQ119)+1,1),0)</f>
        <v>0</v>
      </c>
      <c r="CS119" s="650">
        <f>IF(CS118&lt;0,IF(AND(CS118&lt;0,SUM($E118:CS118)&lt;0),SUM($D119:CR119)+1,1),0)</f>
        <v>0</v>
      </c>
      <c r="CT119" s="650">
        <f>IF(CT118&lt;0,IF(AND(CT118&lt;0,SUM($E118:CT118)&lt;0),SUM($D119:CS119)+1,1),0)</f>
        <v>0</v>
      </c>
      <c r="CU119" s="650">
        <f>IF(CU118&lt;0,IF(AND(CU118&lt;0,SUM($E118:CU118)&lt;0),SUM($D119:CT119)+1,1),0)</f>
        <v>0</v>
      </c>
      <c r="CV119" s="650">
        <f>IF(CV118&lt;0,IF(AND(CV118&lt;0,SUM($E118:CV118)&lt;0),SUM($D119:CU119)+1,1),0)</f>
        <v>0</v>
      </c>
      <c r="CW119" s="650">
        <f>IF(CW118&lt;0,IF(AND(CW118&lt;0,SUM($E118:CW118)&lt;0),SUM($D119:CV119)+1,1),0)</f>
        <v>0</v>
      </c>
      <c r="CX119" s="650">
        <f>IF(CX118&lt;0,IF(AND(CX118&lt;0,SUM($E118:CX118)&lt;0),SUM($D119:CW119)+1,1),0)</f>
        <v>0</v>
      </c>
      <c r="CY119" s="650">
        <f>IF(CY118&lt;0,IF(AND(CY118&lt;0,SUM($E118:CY118)&lt;0),SUM($D119:CX119)+1,1),0)</f>
        <v>0</v>
      </c>
      <c r="CZ119" s="650">
        <f>IF(CZ118&lt;0,IF(AND(CZ118&lt;0,SUM($E118:CZ118)&lt;0),SUM($D119:CY119)+1,1),0)</f>
        <v>0</v>
      </c>
      <c r="DA119" s="650">
        <f>IF(DA118&lt;0,IF(AND(DA118&lt;0,SUM($E118:DA118)&lt;0),SUM($D119:CZ119)+1,1),0)</f>
        <v>0</v>
      </c>
      <c r="DB119" s="650">
        <f>IF(DB118&lt;0,IF(AND(DB118&lt;0,SUM($E118:DB118)&lt;0),SUM($D119:DA119)+1,1),0)</f>
        <v>0</v>
      </c>
      <c r="DC119" s="650">
        <f>IF(DC118&lt;0,IF(AND(DC118&lt;0,SUM($E118:DC118)&lt;0),SUM($D119:DB119)+1,1),0)</f>
        <v>0</v>
      </c>
      <c r="DD119" s="650">
        <f>IF(DD118&lt;0,IF(AND(DD118&lt;0,SUM($E118:DD118)&lt;0),SUM($D119:DC119)+1,1),0)</f>
        <v>0</v>
      </c>
      <c r="DE119" s="650">
        <f>IF(DE118&lt;0,IF(AND(DE118&lt;0,SUM($E118:DE118)&lt;0),SUM($D119:DD119)+1,1),0)</f>
        <v>0</v>
      </c>
      <c r="DF119" s="650">
        <f>IF(DF118&lt;0,IF(AND(DF118&lt;0,SUM($E118:DF118)&lt;0),SUM($D119:DE119)+1,1),0)</f>
        <v>0</v>
      </c>
      <c r="DG119" s="650">
        <f>IF(DG118&lt;0,IF(AND(DG118&lt;0,SUM($E118:DG118)&lt;0),SUM($D119:DF119)+1,1),0)</f>
        <v>0</v>
      </c>
      <c r="DH119" s="650">
        <f>IF(DH118&lt;0,IF(AND(DH118&lt;0,SUM($E118:DH118)&lt;0),SUM($D119:DG119)+1,1),0)</f>
        <v>0</v>
      </c>
      <c r="DI119" s="650">
        <f>IF(DI118&lt;0,IF(AND(DI118&lt;0,SUM($E118:DI118)&lt;0),SUM($D119:DH119)+1,1),0)</f>
        <v>0</v>
      </c>
      <c r="DJ119" s="650">
        <f>IF(DJ118&lt;0,IF(AND(DJ118&lt;0,SUM($E118:DJ118)&lt;0),SUM($D119:DI119)+1,1),0)</f>
        <v>0</v>
      </c>
      <c r="DK119" s="650">
        <f>IF(DK118&lt;0,IF(AND(DK118&lt;0,SUM($E118:DK118)&lt;0),SUM($D119:DJ119)+1,1),0)</f>
        <v>0</v>
      </c>
      <c r="DL119" s="650">
        <f>IF(DL118&lt;0,IF(AND(DL118&lt;0,SUM($E118:DL118)&lt;0),SUM($D119:DK119)+1,1),0)</f>
        <v>0</v>
      </c>
      <c r="DM119" s="650">
        <f>IF(DM118&lt;0,IF(AND(DM118&lt;0,SUM($E118:DM118)&lt;0),SUM($D119:DL119)+1,1),0)</f>
        <v>0</v>
      </c>
      <c r="DN119" s="650">
        <f>IF(DN118&lt;0,IF(AND(DN118&lt;0,SUM($E118:DN118)&lt;0),SUM($D119:DM119)+1,1),0)</f>
        <v>0</v>
      </c>
      <c r="DO119" s="650">
        <f>IF(DO118&lt;0,IF(AND(DO118&lt;0,SUM($E118:DO118)&lt;0),SUM($D119:DN119)+1,1),0)</f>
        <v>0</v>
      </c>
      <c r="DP119" s="650">
        <f>IF(DP118&lt;0,IF(AND(DP118&lt;0,SUM($E118:DP118)&lt;0),SUM($D119:DO119)+1,1),0)</f>
        <v>0</v>
      </c>
      <c r="DQ119" s="650">
        <f>IF(DQ118&lt;0,IF(AND(DQ118&lt;0,SUM($E118:DQ118)&lt;0),SUM($D119:DP119)+1,1),0)</f>
        <v>0</v>
      </c>
      <c r="DR119" s="650">
        <f>IF(DR118&lt;0,IF(AND(DR118&lt;0,SUM($E118:DR118)&lt;0),SUM($D119:DQ119)+1,1),0)</f>
        <v>0</v>
      </c>
      <c r="DS119" s="650">
        <f>IF(DS118&lt;0,IF(AND(DS118&lt;0,SUM($E118:DS118)&lt;0),SUM($D119:DR119)+1,1),0)</f>
        <v>0</v>
      </c>
      <c r="DT119" s="650">
        <f>IF(DT118&lt;0,IF(AND(DT118&lt;0,SUM($E118:DT118)&lt;0),SUM($D119:DS119)+1,1),0)</f>
        <v>0</v>
      </c>
      <c r="DU119" s="650">
        <f>IF(DU118&lt;0,IF(AND(DU118&lt;0,SUM($E118:DU118)&lt;0),SUM($D119:DT119)+1,1),0)</f>
        <v>0</v>
      </c>
      <c r="DV119" s="650">
        <f>IF(DV118&lt;0,IF(AND(DV118&lt;0,SUM($E118:DV118)&lt;0),SUM($D119:DU119)+1,1),0)</f>
        <v>0</v>
      </c>
      <c r="DW119" s="650">
        <f>IF(DW118&lt;0,IF(AND(DW118&lt;0,SUM($E118:DW118)&lt;0),SUM($D119:DV119)+1,1),0)</f>
        <v>0</v>
      </c>
      <c r="DX119" s="650">
        <f>IF(DX118&lt;0,IF(AND(DX118&lt;0,SUM($E118:DX118)&lt;0),SUM($D119:DW119)+1,1),0)</f>
        <v>0</v>
      </c>
      <c r="DY119" s="650">
        <f>IF(DY118&lt;0,IF(AND(DY118&lt;0,SUM($E118:DY118)&lt;0),SUM($D119:DX119)+1,1),0)</f>
        <v>0</v>
      </c>
      <c r="DZ119" s="650">
        <f>IF(DZ118&lt;0,IF(AND(DZ118&lt;0,SUM($E118:DZ118)&lt;0),SUM($D119:DY119)+1,1),0)</f>
        <v>0</v>
      </c>
      <c r="EA119" s="650">
        <f>IF(EA118&lt;0,IF(AND(EA118&lt;0,SUM($E118:EA118)&lt;0),SUM($D119:DZ119)+1,1),0)</f>
        <v>0</v>
      </c>
      <c r="EB119" s="650">
        <f>IF(EB118&lt;0,IF(AND(EB118&lt;0,SUM($E118:EB118)&lt;0),SUM($D119:EA119)+1,1),0)</f>
        <v>0</v>
      </c>
      <c r="EC119" s="650">
        <f>IF(EC118&lt;0,IF(AND(EC118&lt;0,SUM($E118:EC118)&lt;0),SUM($D119:EB119)+1,1),0)</f>
        <v>0</v>
      </c>
      <c r="ED119" s="650">
        <f>IF(ED118&lt;0,IF(AND(ED118&lt;0,SUM($E118:ED118)&lt;0),SUM($D119:EC119)+1,1),0)</f>
        <v>0</v>
      </c>
      <c r="EE119" s="650">
        <f>IF(EE118&lt;0,IF(AND(EE118&lt;0,SUM($E118:EE118)&lt;0),SUM($D119:ED119)+1,1),0)</f>
        <v>0</v>
      </c>
      <c r="EF119" s="650">
        <f>IF(EF118&lt;0,IF(AND(EF118&lt;0,SUM($E118:EF118)&lt;0),SUM($D119:EE119)+1,1),0)</f>
        <v>0</v>
      </c>
      <c r="EG119" s="650">
        <f>IF(EG118&lt;0,IF(AND(EG118&lt;0,SUM($E118:EG118)&lt;0),SUM($D119:EF119)+1,1),0)</f>
        <v>0</v>
      </c>
      <c r="EH119" s="650">
        <f>IF(EH118&lt;0,IF(AND(EH118&lt;0,SUM($E118:EH118)&lt;0),SUM($D119:EG119)+1,1),0)</f>
        <v>0</v>
      </c>
      <c r="EI119" s="650">
        <f>IF(EI118&lt;0,IF(AND(EI118&lt;0,SUM($E118:EI118)&lt;0),SUM($D119:EH119)+1,1),0)</f>
        <v>0</v>
      </c>
      <c r="EJ119" s="650">
        <f>IF(EJ118&lt;0,IF(AND(EJ118&lt;0,SUM($E118:EJ118)&lt;0),SUM($D119:EI119)+1,1),0)</f>
        <v>0</v>
      </c>
      <c r="EK119" s="650">
        <f>IF(EK118&lt;0,IF(AND(EK118&lt;0,SUM($E118:EK118)&lt;0),SUM($D119:EJ119)+1,1),0)</f>
        <v>0</v>
      </c>
      <c r="EL119" s="650">
        <f>IF(EL118&lt;0,IF(AND(EL118&lt;0,SUM($E118:EL118)&lt;0),SUM($D119:EK119)+1,1),0)</f>
        <v>0</v>
      </c>
      <c r="EM119" s="650">
        <f>IF(EM118&lt;0,IF(AND(EM118&lt;0,SUM($E118:EM118)&lt;0),SUM($D119:EL119)+1,1),0)</f>
        <v>0</v>
      </c>
      <c r="EN119" s="650">
        <f>IF(EN118&lt;0,IF(AND(EN118&lt;0,SUM($E118:EN118)&lt;0),SUM($D119:EM119)+1,1),0)</f>
        <v>0</v>
      </c>
      <c r="EO119" s="650">
        <f>IF(EO118&lt;0,IF(AND(EO118&lt;0,SUM($E118:EO118)&lt;0),SUM($D119:EN119)+1,1),0)</f>
        <v>0</v>
      </c>
      <c r="EP119" s="650">
        <f>IF(EP118&lt;0,IF(AND(EP118&lt;0,SUM($E118:EP118)&lt;0),SUM($D119:EO119)+1,1),0)</f>
        <v>0</v>
      </c>
      <c r="EQ119" s="650">
        <f>IF(EQ118&lt;0,IF(AND(EQ118&lt;0,SUM($E118:EQ118)&lt;0),SUM($D119:EP119)+1,1),0)</f>
        <v>0</v>
      </c>
      <c r="ER119" s="650">
        <f>IF(ER118&lt;0,IF(AND(ER118&lt;0,SUM($E118:ER118)&lt;0),SUM($D119:EQ119)+1,1),0)</f>
        <v>0</v>
      </c>
      <c r="ES119" s="650">
        <f>IF(ES118&lt;0,IF(AND(ES118&lt;0,SUM($E118:ES118)&lt;0),SUM($D119:ER119)+1,1),0)</f>
        <v>0</v>
      </c>
      <c r="ET119" s="650">
        <f>IF(ET118&lt;0,IF(AND(ET118&lt;0,SUM($E118:ET118)&lt;0),SUM($D119:ES119)+1,1),0)</f>
        <v>0</v>
      </c>
      <c r="EU119" s="650">
        <f>IF(EU118&lt;0,IF(AND(EU118&lt;0,SUM($E118:EU118)&lt;0),SUM($D119:ET119)+1,1),0)</f>
        <v>0</v>
      </c>
      <c r="EV119" s="650">
        <f>IF(EV118&lt;0,IF(AND(EV118&lt;0,SUM($E118:EV118)&lt;0),SUM($D119:EU119)+1,1),0)</f>
        <v>0</v>
      </c>
      <c r="EW119" s="650">
        <f>IF(EW118&lt;0,IF(AND(EW118&lt;0,SUM($E118:EW118)&lt;0),SUM($D119:EV119)+1,1),0)</f>
        <v>0</v>
      </c>
      <c r="EX119" s="650">
        <f>IF(EX118&lt;0,IF(AND(EX118&lt;0,SUM($E118:EX118)&lt;0),SUM($D119:EW119)+1,1),0)</f>
        <v>0</v>
      </c>
      <c r="EY119" s="650">
        <f>IF(EY118&lt;0,IF(AND(EY118&lt;0,SUM($E118:EY118)&lt;0),SUM($D119:EX119)+1,1),0)</f>
        <v>0</v>
      </c>
      <c r="EZ119" s="650">
        <f>IF(EZ118&lt;0,IF(AND(EZ118&lt;0,SUM($E118:EZ118)&lt;0),SUM($D119:EY119)+1,1),0)</f>
        <v>0</v>
      </c>
      <c r="FA119" s="650">
        <f>IF(FA118&lt;0,IF(AND(FA118&lt;0,SUM($E118:FA118)&lt;0),SUM($D119:EZ119)+1,1),0)</f>
        <v>0</v>
      </c>
      <c r="FB119" s="650">
        <f>IF(FB118&lt;0,IF(AND(FB118&lt;0,SUM($E118:FB118)&lt;0),SUM($D119:FA119)+1,1),0)</f>
        <v>0</v>
      </c>
      <c r="FC119" s="650">
        <f>IF(FC118&lt;0,IF(AND(FC118&lt;0,SUM($E118:FC118)&lt;0),SUM($D119:FB119)+1,1),0)</f>
        <v>0</v>
      </c>
      <c r="FD119" s="650">
        <f>IF(FD118&lt;0,IF(AND(FD118&lt;0,SUM($E118:FD118)&lt;0),SUM($D119:FC119)+1,1),0)</f>
        <v>0</v>
      </c>
      <c r="FE119" s="650">
        <f>IF(FE118&lt;0,IF(AND(FE118&lt;0,SUM($E118:FE118)&lt;0),SUM($D119:FD119)+1,1),0)</f>
        <v>0</v>
      </c>
      <c r="FF119" s="650">
        <f>IF(FF118&lt;0,IF(AND(FF118&lt;0,SUM($E118:FF118)&lt;0),SUM($D119:FE119)+1,1),0)</f>
        <v>0</v>
      </c>
      <c r="FG119" s="650">
        <f>IF(FG118&lt;0,IF(AND(FG118&lt;0,SUM($E118:FG118)&lt;0),SUM($D119:FF119)+1,1),0)</f>
        <v>0</v>
      </c>
      <c r="FH119" s="650">
        <f>IF(FH118&lt;0,IF(AND(FH118&lt;0,SUM($E118:FH118)&lt;0),SUM($D119:FG119)+1,1),0)</f>
        <v>0</v>
      </c>
      <c r="FI119" s="650">
        <f>IF(FI118&lt;0,IF(AND(FI118&lt;0,SUM($E118:FI118)&lt;0),SUM($D119:FH119)+1,1),0)</f>
        <v>0</v>
      </c>
      <c r="FJ119" s="650">
        <f>IF(FJ118&lt;0,IF(AND(FJ118&lt;0,SUM($E118:FJ118)&lt;0),SUM($D119:FI119)+1,1),0)</f>
        <v>0</v>
      </c>
      <c r="FK119" s="650">
        <f>IF(FK118&lt;0,IF(AND(FK118&lt;0,SUM($E118:FK118)&lt;0),SUM($D119:FJ119)+1,1),0)</f>
        <v>0</v>
      </c>
      <c r="FL119" s="650">
        <f>IF(FL118&lt;0,IF(AND(FL118&lt;0,SUM($E118:FL118)&lt;0),SUM($D119:FK119)+1,1),0)</f>
        <v>0</v>
      </c>
      <c r="FM119" s="650">
        <f>IF(FM118&lt;0,IF(AND(FM118&lt;0,SUM($E118:FM118)&lt;0),SUM($D119:FL119)+1,1),0)</f>
        <v>0</v>
      </c>
      <c r="FN119" s="650">
        <f>IF(FN118&lt;0,IF(AND(FN118&lt;0,SUM($E118:FN118)&lt;0),SUM($D119:FM119)+1,1),0)</f>
        <v>0</v>
      </c>
      <c r="FO119" s="650">
        <f>IF(FO118&lt;0,IF(AND(FO118&lt;0,SUM($E118:FO118)&lt;0),SUM($D119:FN119)+1,1),0)</f>
        <v>0</v>
      </c>
      <c r="FP119" s="650">
        <f>IF(FP118&lt;0,IF(AND(FP118&lt;0,SUM($E118:FP118)&lt;0),SUM($D119:FO119)+1,1),0)</f>
        <v>0</v>
      </c>
      <c r="FQ119" s="650">
        <f>IF(FQ118&lt;0,IF(AND(FQ118&lt;0,SUM($E118:FQ118)&lt;0),SUM($D119:FP119)+1,1),0)</f>
        <v>0</v>
      </c>
      <c r="FR119" s="650">
        <f>IF(FR118&lt;0,IF(AND(FR118&lt;0,SUM($E118:FR118)&lt;0),SUM($D119:FQ119)+1,1),0)</f>
        <v>0</v>
      </c>
      <c r="FS119" s="650">
        <f>IF(FS118&lt;0,IF(AND(FS118&lt;0,SUM($E118:FS118)&lt;0),SUM($D119:FR119)+1,1),0)</f>
        <v>0</v>
      </c>
    </row>
    <row r="120" spans="2:175" ht="12.75" customHeight="1">
      <c r="B120" s="651" t="s">
        <v>87</v>
      </c>
      <c r="C120" s="652">
        <f>XIRR(INDEX($E$118:$FS$118,0,MATCH(1,$E$119:$FS$119,0)):$FS118,INDEX($E$5:$FS$5,0,MATCH(1,$E$119:$FS$119,0)):$FS$5)</f>
        <v>0.25455542206764215</v>
      </c>
      <c r="D120" s="639"/>
      <c r="E120" s="326"/>
      <c r="F120" s="326"/>
      <c r="G120" s="326"/>
      <c r="H120" s="326"/>
      <c r="I120" s="326"/>
      <c r="J120" s="326"/>
      <c r="K120" s="326"/>
      <c r="L120" s="326"/>
      <c r="M120" s="326"/>
      <c r="N120" s="326"/>
      <c r="O120" s="326"/>
      <c r="P120" s="326"/>
      <c r="Q120" s="326"/>
      <c r="R120" s="326"/>
      <c r="S120" s="326"/>
      <c r="T120" s="326"/>
      <c r="U120" s="326"/>
      <c r="V120" s="326"/>
      <c r="W120" s="326"/>
      <c r="X120" s="326"/>
      <c r="Y120" s="326"/>
      <c r="Z120" s="326"/>
      <c r="AA120" s="326"/>
      <c r="AB120" s="326"/>
      <c r="AC120" s="326"/>
      <c r="AD120" s="326"/>
      <c r="AE120" s="326"/>
      <c r="AF120" s="326"/>
      <c r="AG120" s="326"/>
      <c r="AH120" s="326"/>
      <c r="AI120" s="326"/>
      <c r="AJ120" s="326"/>
      <c r="AK120" s="326"/>
      <c r="AL120" s="326"/>
      <c r="AM120" s="326"/>
      <c r="AN120" s="326"/>
      <c r="AO120" s="326"/>
      <c r="AP120" s="326"/>
      <c r="AQ120" s="326"/>
      <c r="AR120" s="326"/>
      <c r="AS120" s="326"/>
      <c r="AT120" s="326"/>
      <c r="AU120" s="326"/>
      <c r="AV120" s="326"/>
      <c r="AW120" s="326"/>
      <c r="AX120" s="326"/>
      <c r="AY120" s="326"/>
      <c r="AZ120" s="326"/>
      <c r="BA120" s="326"/>
      <c r="BB120" s="326"/>
      <c r="BC120" s="326"/>
      <c r="BD120" s="326"/>
      <c r="BE120" s="326"/>
      <c r="BF120" s="326"/>
      <c r="BG120" s="326"/>
      <c r="BH120" s="326"/>
      <c r="BI120" s="326"/>
      <c r="BJ120" s="326"/>
      <c r="BK120" s="326"/>
      <c r="BL120" s="326"/>
      <c r="BM120" s="326"/>
      <c r="BN120" s="326"/>
      <c r="BO120" s="326"/>
      <c r="BP120" s="326"/>
      <c r="BQ120" s="326"/>
      <c r="BR120" s="326"/>
      <c r="BS120" s="326"/>
      <c r="BT120" s="326"/>
      <c r="BU120" s="326"/>
      <c r="BV120" s="326"/>
      <c r="BW120" s="326"/>
      <c r="BX120" s="326"/>
      <c r="BY120" s="326"/>
      <c r="BZ120" s="326"/>
      <c r="CA120" s="326"/>
      <c r="CB120" s="326"/>
      <c r="CC120" s="326"/>
      <c r="CD120" s="326"/>
      <c r="CE120" s="326"/>
      <c r="CF120" s="326"/>
      <c r="CG120" s="326"/>
      <c r="CH120" s="326"/>
      <c r="CI120" s="326"/>
      <c r="CJ120" s="326"/>
      <c r="CK120" s="326"/>
      <c r="CL120" s="326"/>
      <c r="CM120" s="326"/>
      <c r="CN120" s="326"/>
      <c r="CO120" s="326"/>
      <c r="CP120" s="326"/>
      <c r="CQ120" s="326"/>
      <c r="CR120" s="326"/>
      <c r="CS120" s="326"/>
      <c r="CT120" s="326"/>
      <c r="CU120" s="326"/>
      <c r="CV120" s="326"/>
      <c r="CW120" s="326"/>
      <c r="CX120" s="326"/>
      <c r="CY120" s="326"/>
      <c r="CZ120" s="326"/>
      <c r="DA120" s="326"/>
      <c r="DB120" s="326"/>
      <c r="DC120" s="326"/>
      <c r="DD120" s="326"/>
      <c r="DE120" s="326"/>
      <c r="DF120" s="326"/>
      <c r="DG120" s="326"/>
      <c r="DH120" s="326"/>
      <c r="DI120" s="326"/>
      <c r="DJ120" s="326"/>
      <c r="DK120" s="326"/>
      <c r="DL120" s="326"/>
      <c r="DM120" s="326"/>
      <c r="DN120" s="326"/>
      <c r="DO120" s="326"/>
      <c r="DP120" s="326"/>
      <c r="DQ120" s="326"/>
      <c r="DR120" s="326"/>
      <c r="DS120" s="326"/>
      <c r="DT120" s="326"/>
      <c r="DU120" s="326"/>
      <c r="DV120" s="326"/>
      <c r="DW120" s="326"/>
      <c r="DX120" s="326"/>
      <c r="DY120" s="326"/>
      <c r="DZ120" s="326"/>
      <c r="EA120" s="326"/>
      <c r="EB120" s="326"/>
      <c r="EC120" s="326"/>
      <c r="ED120" s="326"/>
      <c r="EE120" s="326"/>
      <c r="EF120" s="326"/>
      <c r="EG120" s="326"/>
      <c r="EH120" s="326"/>
      <c r="EI120" s="326"/>
      <c r="EJ120" s="326"/>
      <c r="EK120" s="326"/>
      <c r="EL120" s="326"/>
      <c r="EM120" s="326"/>
      <c r="EN120" s="326"/>
      <c r="EO120" s="326"/>
      <c r="EP120" s="326"/>
      <c r="EQ120" s="326"/>
      <c r="ER120" s="326"/>
      <c r="ES120" s="326"/>
      <c r="ET120" s="326"/>
      <c r="EU120" s="326"/>
      <c r="EV120" s="326"/>
      <c r="EW120" s="326"/>
      <c r="EX120" s="326"/>
      <c r="EY120" s="326"/>
      <c r="EZ120" s="326"/>
      <c r="FA120" s="326"/>
      <c r="FB120" s="326"/>
      <c r="FC120" s="326"/>
      <c r="FD120" s="326"/>
      <c r="FE120" s="326"/>
      <c r="FF120" s="326"/>
      <c r="FG120" s="326"/>
      <c r="FH120" s="326"/>
      <c r="FI120" s="326"/>
      <c r="FJ120" s="326"/>
      <c r="FK120" s="326"/>
      <c r="FL120" s="326"/>
      <c r="FM120" s="326"/>
      <c r="FN120" s="326"/>
      <c r="FO120" s="326"/>
      <c r="FP120" s="326"/>
      <c r="FQ120" s="326"/>
      <c r="FR120" s="326"/>
      <c r="FS120" s="326"/>
    </row>
    <row r="121" spans="2:175" ht="12.75" customHeight="1">
      <c r="B121" s="653" t="s">
        <v>58</v>
      </c>
      <c r="C121" s="654">
        <f>SUMIF(E118:FS118,"&gt;0")/-SUMIF(E118:FS118,"&lt;0")</f>
        <v>2.3245639433669849</v>
      </c>
      <c r="D121" s="639"/>
      <c r="E121" s="326"/>
      <c r="F121" s="326"/>
      <c r="G121" s="326"/>
      <c r="H121" s="326"/>
      <c r="I121" s="326"/>
      <c r="J121" s="326"/>
      <c r="K121" s="326"/>
      <c r="L121" s="326"/>
      <c r="M121" s="326"/>
      <c r="N121" s="326"/>
      <c r="O121" s="326"/>
      <c r="P121" s="326"/>
      <c r="Q121" s="326"/>
      <c r="R121" s="326"/>
      <c r="S121" s="326"/>
      <c r="T121" s="326"/>
      <c r="U121" s="326"/>
      <c r="V121" s="326"/>
      <c r="W121" s="326"/>
      <c r="X121" s="326"/>
      <c r="Y121" s="326"/>
      <c r="Z121" s="326"/>
      <c r="AA121" s="326"/>
      <c r="AB121" s="326"/>
      <c r="AC121" s="326"/>
      <c r="AD121" s="326"/>
      <c r="AE121" s="326"/>
      <c r="AF121" s="326"/>
      <c r="AG121" s="326"/>
      <c r="AH121" s="326"/>
      <c r="AI121" s="326"/>
      <c r="AJ121" s="326"/>
      <c r="AK121" s="326"/>
      <c r="AL121" s="326"/>
      <c r="AM121" s="326"/>
      <c r="AN121" s="326"/>
      <c r="AO121" s="326"/>
      <c r="AP121" s="326"/>
      <c r="AQ121" s="326"/>
      <c r="AR121" s="326"/>
      <c r="AS121" s="326"/>
      <c r="AT121" s="326"/>
      <c r="AU121" s="326"/>
      <c r="AV121" s="326"/>
      <c r="AW121" s="326"/>
      <c r="AX121" s="326"/>
      <c r="AY121" s="326"/>
      <c r="AZ121" s="326"/>
      <c r="BA121" s="326"/>
      <c r="BB121" s="326"/>
      <c r="BC121" s="326"/>
      <c r="BD121" s="326"/>
      <c r="BE121" s="326"/>
      <c r="BF121" s="326"/>
      <c r="BG121" s="326"/>
      <c r="BH121" s="326"/>
      <c r="BI121" s="326"/>
      <c r="BJ121" s="326"/>
      <c r="BK121" s="326"/>
      <c r="BL121" s="326"/>
      <c r="BM121" s="326"/>
      <c r="BN121" s="326"/>
      <c r="BO121" s="326"/>
      <c r="BP121" s="326"/>
      <c r="BQ121" s="326"/>
      <c r="BR121" s="326"/>
      <c r="BS121" s="326"/>
      <c r="BT121" s="326"/>
      <c r="BU121" s="326"/>
      <c r="BV121" s="326"/>
      <c r="BW121" s="326"/>
      <c r="BX121" s="326"/>
      <c r="BY121" s="326"/>
      <c r="BZ121" s="326"/>
      <c r="CA121" s="326"/>
      <c r="CB121" s="326"/>
      <c r="CC121" s="326"/>
      <c r="CD121" s="326"/>
      <c r="CE121" s="326"/>
      <c r="CF121" s="326"/>
      <c r="CG121" s="326"/>
      <c r="CH121" s="326"/>
      <c r="CI121" s="326"/>
      <c r="CJ121" s="326"/>
      <c r="CK121" s="326"/>
      <c r="CL121" s="326"/>
      <c r="CM121" s="326"/>
      <c r="CN121" s="326"/>
      <c r="CO121" s="326"/>
      <c r="CP121" s="326"/>
      <c r="CQ121" s="326"/>
      <c r="CR121" s="326"/>
      <c r="CS121" s="326"/>
      <c r="CT121" s="326"/>
      <c r="CU121" s="326"/>
      <c r="CV121" s="326"/>
      <c r="CW121" s="326"/>
      <c r="CX121" s="326"/>
      <c r="CY121" s="326"/>
      <c r="CZ121" s="326"/>
      <c r="DA121" s="326"/>
      <c r="DB121" s="326"/>
      <c r="DC121" s="326"/>
      <c r="DD121" s="326"/>
      <c r="DE121" s="326"/>
      <c r="DF121" s="326"/>
      <c r="DG121" s="326"/>
      <c r="DH121" s="326"/>
      <c r="DI121" s="326"/>
      <c r="DJ121" s="326"/>
      <c r="DK121" s="326"/>
      <c r="DL121" s="326"/>
      <c r="DM121" s="326"/>
      <c r="DN121" s="326"/>
      <c r="DO121" s="326"/>
      <c r="DP121" s="326"/>
      <c r="DQ121" s="326"/>
      <c r="DR121" s="326"/>
      <c r="DS121" s="326"/>
      <c r="DT121" s="326"/>
      <c r="DU121" s="326"/>
      <c r="DV121" s="326"/>
      <c r="DW121" s="326"/>
      <c r="DX121" s="326"/>
      <c r="DY121" s="326"/>
      <c r="DZ121" s="326"/>
      <c r="EA121" s="326"/>
      <c r="EB121" s="326"/>
      <c r="EC121" s="326"/>
      <c r="ED121" s="326"/>
      <c r="EE121" s="326"/>
      <c r="EF121" s="326"/>
      <c r="EG121" s="326"/>
      <c r="EH121" s="326"/>
      <c r="EI121" s="326"/>
      <c r="EJ121" s="326"/>
      <c r="EK121" s="326"/>
      <c r="EL121" s="326"/>
      <c r="EM121" s="326"/>
      <c r="EN121" s="326"/>
      <c r="EO121" s="326"/>
      <c r="EP121" s="326"/>
      <c r="EQ121" s="326"/>
      <c r="ER121" s="326"/>
      <c r="ES121" s="326"/>
      <c r="ET121" s="326"/>
      <c r="EU121" s="326"/>
      <c r="EV121" s="326"/>
      <c r="EW121" s="326"/>
      <c r="EX121" s="326"/>
      <c r="EY121" s="326"/>
      <c r="EZ121" s="326"/>
      <c r="FA121" s="326"/>
      <c r="FB121" s="326"/>
      <c r="FC121" s="326"/>
      <c r="FD121" s="326"/>
      <c r="FE121" s="326"/>
      <c r="FF121" s="326"/>
      <c r="FG121" s="326"/>
      <c r="FH121" s="326"/>
      <c r="FI121" s="326"/>
      <c r="FJ121" s="326"/>
      <c r="FK121" s="326"/>
      <c r="FL121" s="326"/>
      <c r="FM121" s="326"/>
      <c r="FN121" s="326"/>
      <c r="FO121" s="326"/>
      <c r="FP121" s="326"/>
      <c r="FQ121" s="326"/>
      <c r="FR121" s="326"/>
      <c r="FS121" s="326"/>
    </row>
    <row r="122" spans="2:175" ht="12.75" customHeight="1">
      <c r="B122" s="655" t="s">
        <v>344</v>
      </c>
      <c r="C122" s="656">
        <f>SUM(E118:FS118)</f>
        <v>24992810.374513425</v>
      </c>
    </row>
    <row r="123" spans="2:175" ht="12.75" customHeight="1">
      <c r="G123" s="603"/>
    </row>
    <row r="124" spans="2:175" ht="13.5">
      <c r="B124" s="657" t="s">
        <v>345</v>
      </c>
      <c r="C124" s="658"/>
      <c r="D124" s="658"/>
      <c r="E124" s="659"/>
      <c r="F124" s="659"/>
      <c r="G124" s="660"/>
      <c r="H124" s="659"/>
      <c r="I124" s="659"/>
      <c r="J124" s="659"/>
      <c r="K124" s="659"/>
      <c r="L124" s="659"/>
      <c r="M124" s="659"/>
      <c r="N124" s="659"/>
      <c r="O124" s="659"/>
      <c r="P124" s="659"/>
      <c r="Q124" s="659"/>
      <c r="R124" s="659"/>
      <c r="S124" s="659"/>
      <c r="T124" s="659"/>
      <c r="U124" s="659"/>
      <c r="V124" s="659"/>
      <c r="W124" s="659"/>
      <c r="X124" s="659"/>
      <c r="Y124" s="659"/>
      <c r="Z124" s="659"/>
      <c r="AA124" s="659"/>
      <c r="AB124" s="659"/>
      <c r="AC124" s="659"/>
      <c r="AD124" s="659"/>
      <c r="AE124" s="659"/>
      <c r="AF124" s="659"/>
      <c r="AG124" s="659"/>
      <c r="AH124" s="659"/>
      <c r="AI124" s="659"/>
      <c r="AJ124" s="659"/>
      <c r="AK124" s="659"/>
      <c r="AL124" s="659"/>
      <c r="AM124" s="659"/>
      <c r="AN124" s="659"/>
      <c r="AO124" s="659"/>
      <c r="AP124" s="659"/>
      <c r="AQ124" s="659"/>
      <c r="AR124" s="659"/>
      <c r="AS124" s="659"/>
      <c r="AT124" s="659"/>
      <c r="AU124" s="659"/>
      <c r="AV124" s="659"/>
      <c r="AW124" s="659"/>
      <c r="AX124" s="659"/>
      <c r="AY124" s="659"/>
      <c r="AZ124" s="659"/>
      <c r="BA124" s="659"/>
      <c r="BB124" s="659"/>
      <c r="BC124" s="659"/>
      <c r="BD124" s="659"/>
      <c r="BE124" s="659"/>
      <c r="BF124" s="659"/>
      <c r="BG124" s="659"/>
      <c r="BH124" s="659"/>
      <c r="BI124" s="659"/>
      <c r="BJ124" s="659"/>
      <c r="BK124" s="659"/>
      <c r="BL124" s="659"/>
      <c r="BM124" s="659"/>
      <c r="BN124" s="659"/>
      <c r="BO124" s="659"/>
      <c r="BP124" s="659"/>
      <c r="BQ124" s="659"/>
      <c r="BR124" s="659"/>
      <c r="BS124" s="659"/>
      <c r="BT124" s="659"/>
      <c r="BU124" s="659"/>
      <c r="BV124" s="659"/>
      <c r="BW124" s="659"/>
      <c r="BX124" s="659"/>
      <c r="BY124" s="659"/>
      <c r="BZ124" s="659"/>
      <c r="CA124" s="659"/>
      <c r="CB124" s="659"/>
      <c r="CC124" s="659"/>
      <c r="CD124" s="659"/>
      <c r="CE124" s="659"/>
      <c r="CF124" s="659"/>
      <c r="CG124" s="659"/>
      <c r="CH124" s="659"/>
      <c r="CI124" s="659"/>
      <c r="CJ124" s="659"/>
      <c r="CK124" s="659"/>
      <c r="CL124" s="659"/>
      <c r="CM124" s="659"/>
      <c r="CN124" s="659"/>
      <c r="CO124" s="659"/>
      <c r="CP124" s="659"/>
      <c r="CQ124" s="659"/>
      <c r="CR124" s="659"/>
      <c r="CS124" s="659"/>
      <c r="CT124" s="659"/>
      <c r="CU124" s="659"/>
      <c r="CV124" s="659"/>
      <c r="CW124" s="659"/>
      <c r="CX124" s="659"/>
      <c r="CY124" s="659"/>
      <c r="CZ124" s="659"/>
      <c r="DA124" s="659"/>
      <c r="DB124" s="659"/>
      <c r="DC124" s="659"/>
      <c r="DD124" s="659"/>
      <c r="DE124" s="659"/>
      <c r="DF124" s="659"/>
      <c r="DG124" s="659"/>
      <c r="DH124" s="659"/>
      <c r="DI124" s="659"/>
      <c r="DJ124" s="659"/>
      <c r="DK124" s="659"/>
      <c r="DL124" s="659"/>
      <c r="DM124" s="659"/>
      <c r="DN124" s="659"/>
      <c r="DO124" s="659"/>
      <c r="DP124" s="659"/>
      <c r="DQ124" s="659"/>
      <c r="DR124" s="659"/>
      <c r="DS124" s="659"/>
      <c r="DT124" s="659"/>
      <c r="DU124" s="659"/>
      <c r="DV124" s="659"/>
      <c r="DW124" s="659"/>
      <c r="DX124" s="659"/>
      <c r="DY124" s="659"/>
      <c r="DZ124" s="659"/>
      <c r="EA124" s="659"/>
      <c r="EB124" s="659"/>
      <c r="EC124" s="659"/>
      <c r="ED124" s="659"/>
      <c r="EE124" s="659"/>
      <c r="EF124" s="659"/>
      <c r="EG124" s="659"/>
      <c r="EH124" s="659"/>
      <c r="EI124" s="659"/>
      <c r="EJ124" s="659"/>
      <c r="EK124" s="659"/>
      <c r="EL124" s="659"/>
      <c r="EM124" s="659"/>
      <c r="EN124" s="659"/>
      <c r="EO124" s="659"/>
      <c r="EP124" s="659"/>
      <c r="EQ124" s="659"/>
      <c r="ER124" s="659"/>
      <c r="ES124" s="659"/>
      <c r="ET124" s="659"/>
      <c r="EU124" s="659"/>
      <c r="EV124" s="659"/>
      <c r="EW124" s="659"/>
      <c r="EX124" s="659"/>
      <c r="EY124" s="659"/>
      <c r="EZ124" s="659"/>
      <c r="FA124" s="659"/>
      <c r="FB124" s="659"/>
      <c r="FC124" s="659"/>
      <c r="FD124" s="659"/>
      <c r="FE124" s="659"/>
      <c r="FF124" s="659"/>
      <c r="FG124" s="659"/>
      <c r="FH124" s="659"/>
      <c r="FI124" s="659"/>
      <c r="FJ124" s="659"/>
      <c r="FK124" s="659"/>
      <c r="FL124" s="659"/>
      <c r="FM124" s="659"/>
      <c r="FN124" s="659"/>
      <c r="FO124" s="659"/>
      <c r="FP124" s="659"/>
      <c r="FQ124" s="659"/>
      <c r="FR124" s="659"/>
      <c r="FS124" s="659"/>
    </row>
    <row r="125" spans="2:175" ht="13.5">
      <c r="B125" s="661" t="s">
        <v>269</v>
      </c>
      <c r="C125" s="662" t="s">
        <v>346</v>
      </c>
      <c r="D125" s="662"/>
      <c r="E125" s="663">
        <f>IFERROR((1+(INDEX(Detail!$D143:$M143,MATCH(E$16,Detail!$D$142:$M$142))/12))^(MAX(0,E$15)),1)</f>
        <v>1</v>
      </c>
      <c r="F125" s="664">
        <f>IFERROR((1+(INDEX(Detail!$D143:$M143,MATCH(F$16,Detail!$D$142:$M$142))/12))^(MAX(0,F$15)),1)</f>
        <v>1</v>
      </c>
      <c r="G125" s="664">
        <f>IFERROR((1+(INDEX(Detail!$D143:$M143,MATCH(G$16,Detail!$D$142:$M$142))/12))^(MAX(0,G$15)),1)</f>
        <v>1</v>
      </c>
      <c r="H125" s="664">
        <f>IFERROR((1+(INDEX(Detail!$D143:$M143,MATCH(H$16,Detail!$D$142:$M$142))/12))^(MAX(0,H$15)),1)</f>
        <v>1</v>
      </c>
      <c r="I125" s="664">
        <f>IFERROR((1+(INDEX(Detail!$D143:$M143,MATCH(I$16,Detail!$D$142:$M$142))/12))^(MAX(0,I$15)),1)</f>
        <v>1</v>
      </c>
      <c r="J125" s="664">
        <f>IFERROR((1+(INDEX(Detail!$D143:$M143,MATCH(J$16,Detail!$D$142:$M$142))/12))^(MAX(0,J$15)),1)</f>
        <v>1</v>
      </c>
      <c r="K125" s="664">
        <f>IFERROR((1+(INDEX(Detail!$D143:$M143,MATCH(K$16,Detail!$D$142:$M$142))/12))^(MAX(0,K$15)),1)</f>
        <v>1</v>
      </c>
      <c r="L125" s="664">
        <f>IFERROR((1+(INDEX(Detail!$D143:$M143,MATCH(L$16,Detail!$D$142:$M$142))/12))^(MAX(0,L$15)),1)</f>
        <v>1.0024999999999999</v>
      </c>
      <c r="M125" s="664">
        <f>IFERROR((1+(INDEX(Detail!$D143:$M143,MATCH(M$16,Detail!$D$142:$M$142))/12))^(MAX(0,M$15)),1)</f>
        <v>1.0050062499999999</v>
      </c>
      <c r="N125" s="664">
        <f>IFERROR((1+(INDEX(Detail!$D143:$M143,MATCH(N$16,Detail!$D$142:$M$142))/12))^(MAX(0,N$15)),1)</f>
        <v>1.0075187656249998</v>
      </c>
      <c r="O125" s="664">
        <f>IFERROR((1+(INDEX(Detail!$D143:$M143,MATCH(O$16,Detail!$D$142:$M$142))/12))^(MAX(0,O$15)),1)</f>
        <v>1.0100375625390623</v>
      </c>
      <c r="P125" s="664">
        <f>IFERROR((1+(INDEX(Detail!$D143:$M143,MATCH(P$16,Detail!$D$142:$M$142))/12))^(MAX(0,P$15)),1)</f>
        <v>1.01256265644541</v>
      </c>
      <c r="Q125" s="664">
        <f>IFERROR((1+(INDEX(Detail!$D143:$M143,MATCH(Q$16,Detail!$D$142:$M$142))/12))^(MAX(0,Q$15)),1)</f>
        <v>1.0150940630865233</v>
      </c>
      <c r="R125" s="664">
        <f>IFERROR((1+(INDEX(Detail!$D143:$M143,MATCH(R$16,Detail!$D$142:$M$142))/12))^(MAX(0,R$15)),1)</f>
        <v>1.0176317982442395</v>
      </c>
      <c r="S125" s="664">
        <f>IFERROR((1+(INDEX(Detail!$D143:$M143,MATCH(S$16,Detail!$D$142:$M$142))/12))^(MAX(0,S$15)),1)</f>
        <v>1.0201758777398502</v>
      </c>
      <c r="T125" s="664">
        <f>IFERROR((1+(INDEX(Detail!$D143:$M143,MATCH(T$16,Detail!$D$142:$M$142))/12))^(MAX(0,T$15)),1)</f>
        <v>1.0227263174341998</v>
      </c>
      <c r="U125" s="664">
        <f>IFERROR((1+(INDEX(Detail!$D143:$M143,MATCH(U$16,Detail!$D$142:$M$142))/12))^(MAX(0,U$15)),1)</f>
        <v>1.0252831332277852</v>
      </c>
      <c r="V125" s="664">
        <f>IFERROR((1+(INDEX(Detail!$D143:$M143,MATCH(V$16,Detail!$D$142:$M$142))/12))^(MAX(0,V$15)),1)</f>
        <v>1.0278463410608545</v>
      </c>
      <c r="W125" s="664">
        <f>IFERROR((1+(INDEX(Detail!$D143:$M143,MATCH(W$16,Detail!$D$142:$M$142))/12))^(MAX(0,W$15)),1)</f>
        <v>1.0304159569135067</v>
      </c>
      <c r="X125" s="664">
        <f>IFERROR((1+(INDEX(Detail!$D143:$M143,MATCH(X$16,Detail!$D$142:$M$142))/12))^(MAX(0,X$15)),1)</f>
        <v>1.0329919968057906</v>
      </c>
      <c r="Y125" s="664">
        <f>IFERROR((1+(INDEX(Detail!$D143:$M143,MATCH(Y$16,Detail!$D$142:$M$142))/12))^(MAX(0,Y$15)),1)</f>
        <v>1.0355744767978048</v>
      </c>
      <c r="Z125" s="664">
        <f>IFERROR((1+(INDEX(Detail!$D143:$M143,MATCH(Z$16,Detail!$D$142:$M$142))/12))^(MAX(0,Z$15)),1)</f>
        <v>1.0381634129897992</v>
      </c>
      <c r="AA125" s="664">
        <f>IFERROR((1+(INDEX(Detail!$D143:$M143,MATCH(AA$16,Detail!$D$142:$M$142))/12))^(MAX(0,AA$15)),1)</f>
        <v>1.0407588215222738</v>
      </c>
      <c r="AB125" s="664">
        <f>IFERROR((1+(INDEX(Detail!$D143:$M143,MATCH(AB$16,Detail!$D$142:$M$142))/12))^(MAX(0,AB$15)),1)</f>
        <v>1.0433607185760794</v>
      </c>
      <c r="AC125" s="664">
        <f>IFERROR((1+(INDEX(Detail!$D143:$M143,MATCH(AC$16,Detail!$D$142:$M$142))/12))^(MAX(0,AC$15)),1)</f>
        <v>1.0459691203725197</v>
      </c>
      <c r="AD125" s="664">
        <f>IFERROR((1+(INDEX(Detail!$D143:$M143,MATCH(AD$16,Detail!$D$142:$M$142))/12))^(MAX(0,AD$15)),1)</f>
        <v>1.0485840431734508</v>
      </c>
      <c r="AE125" s="664">
        <f>IFERROR((1+(INDEX(Detail!$D143:$M143,MATCH(AE$16,Detail!$D$142:$M$142))/12))^(MAX(0,AE$15)),1)</f>
        <v>1.0512055032813845</v>
      </c>
      <c r="AF125" s="664">
        <f>IFERROR((1+(INDEX(Detail!$D143:$M143,MATCH(AF$16,Detail!$D$142:$M$142))/12))^(MAX(0,AF$15)),1)</f>
        <v>1.0538335170395878</v>
      </c>
      <c r="AG125" s="664">
        <f>IFERROR((1+(INDEX(Detail!$D143:$M143,MATCH(AG$16,Detail!$D$142:$M$142))/12))^(MAX(0,AG$15)),1)</f>
        <v>1.0564681008321866</v>
      </c>
      <c r="AH125" s="664">
        <f>IFERROR((1+(INDEX(Detail!$D143:$M143,MATCH(AH$16,Detail!$D$142:$M$142))/12))^(MAX(0,AH$15)),1)</f>
        <v>1.0591092710842671</v>
      </c>
      <c r="AI125" s="664">
        <f>IFERROR((1+(INDEX(Detail!$D143:$M143,MATCH(AI$16,Detail!$D$142:$M$142))/12))^(MAX(0,AI$15)),1)</f>
        <v>1.0617570442619777</v>
      </c>
      <c r="AJ125" s="664">
        <f>IFERROR((1+(INDEX(Detail!$D143:$M143,MATCH(AJ$16,Detail!$D$142:$M$142))/12))^(MAX(0,AJ$15)),1)</f>
        <v>1.0644114368726327</v>
      </c>
      <c r="AK125" s="664">
        <f>IFERROR((1+(INDEX(Detail!$D143:$M143,MATCH(AK$16,Detail!$D$142:$M$142))/12))^(MAX(0,AK$15)),1)</f>
        <v>1.0670724654648143</v>
      </c>
      <c r="AL125" s="664">
        <f>IFERROR((1+(INDEX(Detail!$D143:$M143,MATCH(AL$16,Detail!$D$142:$M$142))/12))^(MAX(0,AL$15)),1)</f>
        <v>1.0697401466284762</v>
      </c>
      <c r="AM125" s="664">
        <f>IFERROR((1+(INDEX(Detail!$D143:$M143,MATCH(AM$16,Detail!$D$142:$M$142))/12))^(MAX(0,AM$15)),1)</f>
        <v>1.0724144969950473</v>
      </c>
      <c r="AN125" s="664">
        <f>IFERROR((1+(INDEX(Detail!$D143:$M143,MATCH(AN$16,Detail!$D$142:$M$142))/12))^(MAX(0,AN$15)),1)</f>
        <v>1.0750955332375352</v>
      </c>
      <c r="AO125" s="664">
        <f>IFERROR((1+(INDEX(Detail!$D143:$M143,MATCH(AO$16,Detail!$D$142:$M$142))/12))^(MAX(0,AO$15)),1)</f>
        <v>1.0777832720706286</v>
      </c>
      <c r="AP125" s="664">
        <f>IFERROR((1+(INDEX(Detail!$D143:$M143,MATCH(AP$16,Detail!$D$142:$M$142))/12))^(MAX(0,AP$15)),1)</f>
        <v>1.0804777302508051</v>
      </c>
      <c r="AQ125" s="664">
        <f>IFERROR((1+(INDEX(Detail!$D143:$M143,MATCH(AQ$16,Detail!$D$142:$M$142))/12))^(MAX(0,AQ$15)),1)</f>
        <v>1.0831789245764323</v>
      </c>
      <c r="AR125" s="664">
        <f>IFERROR((1+(INDEX(Detail!$D143:$M143,MATCH(AR$16,Detail!$D$142:$M$142))/12))^(MAX(0,AR$15)),1)</f>
        <v>1.0858868718878734</v>
      </c>
      <c r="AS125" s="664">
        <f>IFERROR((1+(INDEX(Detail!$D143:$M143,MATCH(AS$16,Detail!$D$142:$M$142))/12))^(MAX(0,AS$15)),1)</f>
        <v>1.0886015890675929</v>
      </c>
      <c r="AT125" s="664">
        <f>IFERROR((1+(INDEX(Detail!$D143:$M143,MATCH(AT$16,Detail!$D$142:$M$142))/12))^(MAX(0,AT$15)),1)</f>
        <v>1.0913230930402618</v>
      </c>
      <c r="AU125" s="664">
        <f>IFERROR((1+(INDEX(Detail!$D143:$M143,MATCH(AU$16,Detail!$D$142:$M$142))/12))^(MAX(0,AU$15)),1)</f>
        <v>1.0940514007728626</v>
      </c>
      <c r="AV125" s="664">
        <f>IFERROR((1+(INDEX(Detail!$D143:$M143,MATCH(AV$16,Detail!$D$142:$M$142))/12))^(MAX(0,AV$15)),1)</f>
        <v>1.0967865292747947</v>
      </c>
      <c r="AW125" s="664">
        <f>IFERROR((1+(INDEX(Detail!$D143:$M143,MATCH(AW$16,Detail!$D$142:$M$142))/12))^(MAX(0,AW$15)),1)</f>
        <v>1.0995284955979814</v>
      </c>
      <c r="AX125" s="664">
        <f>IFERROR((1+(INDEX(Detail!$D143:$M143,MATCH(AX$16,Detail!$D$142:$M$142))/12))^(MAX(0,AX$15)),1)</f>
        <v>1.1022773168369764</v>
      </c>
      <c r="AY125" s="664">
        <f>IFERROR((1+(INDEX(Detail!$D143:$M143,MATCH(AY$16,Detail!$D$142:$M$142))/12))^(MAX(0,AY$15)),1)</f>
        <v>1.1050330101290688</v>
      </c>
      <c r="AZ125" s="664">
        <f>IFERROR((1+(INDEX(Detail!$D143:$M143,MATCH(AZ$16,Detail!$D$142:$M$142))/12))^(MAX(0,AZ$15)),1)</f>
        <v>1.1077955926543914</v>
      </c>
      <c r="BA125" s="664">
        <f>IFERROR((1+(INDEX(Detail!$D143:$M143,MATCH(BA$16,Detail!$D$142:$M$142))/12))^(MAX(0,BA$15)),1)</f>
        <v>1.1105650816360273</v>
      </c>
      <c r="BB125" s="664">
        <f>IFERROR((1+(INDEX(Detail!$D143:$M143,MATCH(BB$16,Detail!$D$142:$M$142))/12))^(MAX(0,BB$15)),1)</f>
        <v>1.1133414943401172</v>
      </c>
      <c r="BC125" s="664">
        <f>IFERROR((1+(INDEX(Detail!$D143:$M143,MATCH(BC$16,Detail!$D$142:$M$142))/12))^(MAX(0,BC$15)),1)</f>
        <v>1.1161248480759676</v>
      </c>
      <c r="BD125" s="664">
        <f>IFERROR((1+(INDEX(Detail!$D143:$M143,MATCH(BD$16,Detail!$D$142:$M$142))/12))^(MAX(0,BD$15)),1)</f>
        <v>1.1189151601961576</v>
      </c>
      <c r="BE125" s="664">
        <f>IFERROR((1+(INDEX(Detail!$D143:$M143,MATCH(BE$16,Detail!$D$142:$M$142))/12))^(MAX(0,BE$15)),1)</f>
        <v>1.1217124480966476</v>
      </c>
      <c r="BF125" s="664">
        <f>IFERROR((1+(INDEX(Detail!$D143:$M143,MATCH(BF$16,Detail!$D$142:$M$142))/12))^(MAX(0,BF$15)),1)</f>
        <v>1.1245167292168892</v>
      </c>
      <c r="BG125" s="664">
        <f>IFERROR((1+(INDEX(Detail!$D143:$M143,MATCH(BG$16,Detail!$D$142:$M$142))/12))^(MAX(0,BG$15)),1)</f>
        <v>1.1273280210399317</v>
      </c>
      <c r="BH125" s="664">
        <f>IFERROR((1+(INDEX(Detail!$D143:$M143,MATCH(BH$16,Detail!$D$142:$M$142))/12))^(MAX(0,BH$15)),1)</f>
        <v>1.1301463410925312</v>
      </c>
      <c r="BI125" s="664">
        <f>IFERROR((1+(INDEX(Detail!$D143:$M143,MATCH(BI$16,Detail!$D$142:$M$142))/12))^(MAX(0,BI$15)),1)</f>
        <v>1.1329717069452627</v>
      </c>
      <c r="BJ125" s="664">
        <f>IFERROR((1+(INDEX(Detail!$D143:$M143,MATCH(BJ$16,Detail!$D$142:$M$142))/12))^(MAX(0,BJ$15)),1)</f>
        <v>1.1358041362126257</v>
      </c>
      <c r="BK125" s="664">
        <f>IFERROR((1+(INDEX(Detail!$D143:$M143,MATCH(BK$16,Detail!$D$142:$M$142))/12))^(MAX(0,BK$15)),1)</f>
        <v>1.1386436465531573</v>
      </c>
      <c r="BL125" s="664">
        <f>IFERROR((1+(INDEX(Detail!$D143:$M143,MATCH(BL$16,Detail!$D$142:$M$142))/12))^(MAX(0,BL$15)),1)</f>
        <v>1.1414902556695401</v>
      </c>
      <c r="BM125" s="664">
        <f>IFERROR((1+(INDEX(Detail!$D143:$M143,MATCH(BM$16,Detail!$D$142:$M$142))/12))^(MAX(0,BM$15)),1)</f>
        <v>1.1443439813087137</v>
      </c>
      <c r="BN125" s="664">
        <f>IFERROR((1+(INDEX(Detail!$D143:$M143,MATCH(BN$16,Detail!$D$142:$M$142))/12))^(MAX(0,BN$15)),1)</f>
        <v>1.1472048412619855</v>
      </c>
      <c r="BO125" s="664">
        <f>IFERROR((1+(INDEX(Detail!$D143:$M143,MATCH(BO$16,Detail!$D$142:$M$142))/12))^(MAX(0,BO$15)),1)</f>
        <v>1.1500728533651403</v>
      </c>
      <c r="BP125" s="664">
        <f>IFERROR((1+(INDEX(Detail!$D143:$M143,MATCH(BP$16,Detail!$D$142:$M$142))/12))^(MAX(0,BP$15)),1)</f>
        <v>1.1529480354985533</v>
      </c>
      <c r="BQ125" s="664">
        <f>IFERROR((1+(INDEX(Detail!$D143:$M143,MATCH(BQ$16,Detail!$D$142:$M$142))/12))^(MAX(0,BQ$15)),1)</f>
        <v>1.1558304055872997</v>
      </c>
      <c r="BR125" s="664">
        <f>IFERROR((1+(INDEX(Detail!$D143:$M143,MATCH(BR$16,Detail!$D$142:$M$142))/12))^(MAX(0,BR$15)),1)</f>
        <v>1.1587199816012679</v>
      </c>
      <c r="BS125" s="664">
        <f>IFERROR((1+(INDEX(Detail!$D143:$M143,MATCH(BS$16,Detail!$D$142:$M$142))/12))^(MAX(0,BS$15)),1)</f>
        <v>1.1616167815552709</v>
      </c>
      <c r="BT125" s="664">
        <f>IFERROR((1+(INDEX(Detail!$D143:$M143,MATCH(BT$16,Detail!$D$142:$M$142))/12))^(MAX(0,BT$15)),1)</f>
        <v>1.1645208235091593</v>
      </c>
      <c r="BU125" s="664">
        <f>IFERROR((1+(INDEX(Detail!$D143:$M143,MATCH(BU$16,Detail!$D$142:$M$142))/12))^(MAX(0,BU$15)),1)</f>
        <v>1.1674321255679319</v>
      </c>
      <c r="BV125" s="664">
        <f>IFERROR((1+(INDEX(Detail!$D143:$M143,MATCH(BV$16,Detail!$D$142:$M$142))/12))^(MAX(0,BV$15)),1)</f>
        <v>1.1703507058818514</v>
      </c>
      <c r="BW125" s="664">
        <f>IFERROR((1+(INDEX(Detail!$D143:$M143,MATCH(BW$16,Detail!$D$142:$M$142))/12))^(MAX(0,BW$15)),1)</f>
        <v>1.1732765826465563</v>
      </c>
      <c r="BX125" s="664">
        <f>IFERROR((1+(INDEX(Detail!$D143:$M143,MATCH(BX$16,Detail!$D$142:$M$142))/12))^(MAX(0,BX$15)),1)</f>
        <v>1.1762097741031727</v>
      </c>
      <c r="BY125" s="664">
        <f>IFERROR((1+(INDEX(Detail!$D143:$M143,MATCH(BY$16,Detail!$D$142:$M$142))/12))^(MAX(0,BY$15)),1)</f>
        <v>1.1791502985384306</v>
      </c>
      <c r="BZ125" s="664">
        <f>IFERROR((1+(INDEX(Detail!$D143:$M143,MATCH(BZ$16,Detail!$D$142:$M$142))/12))^(MAX(0,BZ$15)),1)</f>
        <v>1.1820981742847765</v>
      </c>
      <c r="CA125" s="664">
        <f>IFERROR((1+(INDEX(Detail!$D143:$M143,MATCH(CA$16,Detail!$D$142:$M$142))/12))^(MAX(0,CA$15)),1)</f>
        <v>1.1850534197204885</v>
      </c>
      <c r="CB125" s="664">
        <f>IFERROR((1+(INDEX(Detail!$D143:$M143,MATCH(CB$16,Detail!$D$142:$M$142))/12))^(MAX(0,CB$15)),1)</f>
        <v>1.1880160532697897</v>
      </c>
      <c r="CC125" s="664">
        <f>IFERROR((1+(INDEX(Detail!$D143:$M143,MATCH(CC$16,Detail!$D$142:$M$142))/12))^(MAX(0,CC$15)),1)</f>
        <v>1.1909860934029639</v>
      </c>
      <c r="CD125" s="664">
        <f>IFERROR((1+(INDEX(Detail!$D143:$M143,MATCH(CD$16,Detail!$D$142:$M$142))/12))^(MAX(0,CD$15)),1)</f>
        <v>1.1939635586364712</v>
      </c>
      <c r="CE125" s="664">
        <f>IFERROR((1+(INDEX(Detail!$D143:$M143,MATCH(CE$16,Detail!$D$142:$M$142))/12))^(MAX(0,CE$15)),1)</f>
        <v>1.1969484675330624</v>
      </c>
      <c r="CF125" s="664">
        <f>IFERROR((1+(INDEX(Detail!$D143:$M143,MATCH(CF$16,Detail!$D$142:$M$142))/12))^(MAX(0,CF$15)),1)</f>
        <v>1.1999408387018951</v>
      </c>
      <c r="CG125" s="664">
        <f>IFERROR((1+(INDEX(Detail!$D143:$M143,MATCH(CG$16,Detail!$D$142:$M$142))/12))^(MAX(0,CG$15)),1)</f>
        <v>1.2029406907986497</v>
      </c>
      <c r="CH125" s="664">
        <f>IFERROR((1+(INDEX(Detail!$D143:$M143,MATCH(CH$16,Detail!$D$142:$M$142))/12))^(MAX(0,CH$15)),1)</f>
        <v>1.2059480425256461</v>
      </c>
      <c r="CI125" s="664">
        <f>IFERROR((1+(INDEX(Detail!$D143:$M143,MATCH(CI$16,Detail!$D$142:$M$142))/12))^(MAX(0,CI$15)),1)</f>
        <v>1.2089629126319603</v>
      </c>
      <c r="CJ125" s="664">
        <f>IFERROR((1+(INDEX(Detail!$D143:$M143,MATCH(CJ$16,Detail!$D$142:$M$142))/12))^(MAX(0,CJ$15)),1)</f>
        <v>1.2119853199135404</v>
      </c>
      <c r="CK125" s="664">
        <f>IFERROR((1+(INDEX(Detail!$D143:$M143,MATCH(CK$16,Detail!$D$142:$M$142))/12))^(MAX(0,CK$15)),1)</f>
        <v>1.2150152832133239</v>
      </c>
      <c r="CL125" s="664">
        <f>IFERROR((1+(INDEX(Detail!$D143:$M143,MATCH(CL$16,Detail!$D$142:$M$142))/12))^(MAX(0,CL$15)),1)</f>
        <v>1.2180528214213571</v>
      </c>
      <c r="CM125" s="664">
        <f>IFERROR((1+(INDEX(Detail!$D143:$M143,MATCH(CM$16,Detail!$D$142:$M$142))/12))^(MAX(0,CM$15)),1)</f>
        <v>1.2210979534749107</v>
      </c>
      <c r="CN125" s="664">
        <f>IFERROR((1+(INDEX(Detail!$D143:$M143,MATCH(CN$16,Detail!$D$142:$M$142))/12))^(MAX(0,CN$15)),1)</f>
        <v>1.2241506983585977</v>
      </c>
      <c r="CO125" s="664">
        <f>IFERROR((1+(INDEX(Detail!$D143:$M143,MATCH(CO$16,Detail!$D$142:$M$142))/12))^(MAX(0,CO$15)),1)</f>
        <v>1.2272110751044945</v>
      </c>
      <c r="CP125" s="664">
        <f>IFERROR((1+(INDEX(Detail!$D143:$M143,MATCH(CP$16,Detail!$D$142:$M$142))/12))^(MAX(0,CP$15)),1)</f>
        <v>1.2302791027922555</v>
      </c>
      <c r="CQ125" s="664">
        <f>IFERROR((1+(INDEX(Detail!$D143:$M143,MATCH(CQ$16,Detail!$D$142:$M$142))/12))^(MAX(0,CQ$15)),1)</f>
        <v>1.2333548005492361</v>
      </c>
      <c r="CR125" s="664">
        <f>IFERROR((1+(INDEX(Detail!$D143:$M143,MATCH(CR$16,Detail!$D$142:$M$142))/12))^(MAX(0,CR$15)),1)</f>
        <v>1.2364381875506092</v>
      </c>
      <c r="CS125" s="664">
        <f>IFERROR((1+(INDEX(Detail!$D143:$M143,MATCH(CS$16,Detail!$D$142:$M$142))/12))^(MAX(0,CS$15)),1)</f>
        <v>1.2395292830194853</v>
      </c>
      <c r="CT125" s="664">
        <f>IFERROR((1+(INDEX(Detail!$D143:$M143,MATCH(CT$16,Detail!$D$142:$M$142))/12))^(MAX(0,CT$15)),1)</f>
        <v>1.2426281062270341</v>
      </c>
      <c r="CU125" s="664">
        <f>IFERROR((1+(INDEX(Detail!$D143:$M143,MATCH(CU$16,Detail!$D$142:$M$142))/12))^(MAX(0,CU$15)),1)</f>
        <v>1.2457346764926016</v>
      </c>
      <c r="CV125" s="664">
        <f>IFERROR((1+(INDEX(Detail!$D143:$M143,MATCH(CV$16,Detail!$D$142:$M$142))/12))^(MAX(0,CV$15)),1)</f>
        <v>1.2488490131838332</v>
      </c>
      <c r="CW125" s="664">
        <f>IFERROR((1+(INDEX(Detail!$D143:$M143,MATCH(CW$16,Detail!$D$142:$M$142))/12))^(MAX(0,CW$15)),1)</f>
        <v>1.2519711357167929</v>
      </c>
      <c r="CX125" s="664">
        <f>IFERROR((1+(INDEX(Detail!$D143:$M143,MATCH(CX$16,Detail!$D$142:$M$142))/12))^(MAX(0,CX$15)),1)</f>
        <v>1.2551010635560846</v>
      </c>
      <c r="CY125" s="664">
        <f>IFERROR((1+(INDEX(Detail!$D143:$M143,MATCH(CY$16,Detail!$D$142:$M$142))/12))^(MAX(0,CY$15)),1)</f>
        <v>1.2582388162149747</v>
      </c>
      <c r="CZ125" s="664">
        <f>IFERROR((1+(INDEX(Detail!$D143:$M143,MATCH(CZ$16,Detail!$D$142:$M$142))/12))^(MAX(0,CZ$15)),1)</f>
        <v>1.2613844132555125</v>
      </c>
      <c r="DA125" s="664">
        <f>IFERROR((1+(INDEX(Detail!$D143:$M143,MATCH(DA$16,Detail!$D$142:$M$142))/12))^(MAX(0,DA$15)),1)</f>
        <v>1.2645378742886508</v>
      </c>
      <c r="DB125" s="664">
        <f>IFERROR((1+(INDEX(Detail!$D143:$M143,MATCH(DB$16,Detail!$D$142:$M$142))/12))^(MAX(0,DB$15)),1)</f>
        <v>1.2676992189743723</v>
      </c>
      <c r="DC125" s="664">
        <f>IFERROR((1+(INDEX(Detail!$D143:$M143,MATCH(DC$16,Detail!$D$142:$M$142))/12))^(MAX(0,DC$15)),1)</f>
        <v>1.2708684670218084</v>
      </c>
      <c r="DD125" s="664">
        <f>IFERROR((1+(INDEX(Detail!$D143:$M143,MATCH(DD$16,Detail!$D$142:$M$142))/12))^(MAX(0,DD$15)),1)</f>
        <v>1.274045638189363</v>
      </c>
      <c r="DE125" s="664">
        <f>IFERROR((1+(INDEX(Detail!$D143:$M143,MATCH(DE$16,Detail!$D$142:$M$142))/12))^(MAX(0,DE$15)),1)</f>
        <v>1.2772307522848361</v>
      </c>
      <c r="DF125" s="664">
        <f>IFERROR((1+(INDEX(Detail!$D143:$M143,MATCH(DF$16,Detail!$D$142:$M$142))/12))^(MAX(0,DF$15)),1)</f>
        <v>1.2804238291655481</v>
      </c>
      <c r="DG125" s="664">
        <f>IFERROR((1+(INDEX(Detail!$D143:$M143,MATCH(DG$16,Detail!$D$142:$M$142))/12))^(MAX(0,DG$15)),1)</f>
        <v>1.2836248887384623</v>
      </c>
      <c r="DH125" s="664">
        <f>IFERROR((1+(INDEX(Detail!$D143:$M143,MATCH(DH$16,Detail!$D$142:$M$142))/12))^(MAX(0,DH$15)),1)</f>
        <v>1.2868339509603084</v>
      </c>
      <c r="DI125" s="664">
        <f>IFERROR((1+(INDEX(Detail!$D143:$M143,MATCH(DI$16,Detail!$D$142:$M$142))/12))^(MAX(0,DI$15)),1)</f>
        <v>1.2900510358377086</v>
      </c>
      <c r="DJ125" s="664">
        <f>IFERROR((1+(INDEX(Detail!$D143:$M143,MATCH(DJ$16,Detail!$D$142:$M$142))/12))^(MAX(0,DJ$15)),1)</f>
        <v>1.2932761634273031</v>
      </c>
      <c r="DK125" s="664">
        <f>IFERROR((1+(INDEX(Detail!$D143:$M143,MATCH(DK$16,Detail!$D$142:$M$142))/12))^(MAX(0,DK$15)),1)</f>
        <v>1.2965093538358714</v>
      </c>
      <c r="DL125" s="664">
        <f>IFERROR((1+(INDEX(Detail!$D143:$M143,MATCH(DL$16,Detail!$D$142:$M$142))/12))^(MAX(0,DL$15)),1)</f>
        <v>1.2997506272204609</v>
      </c>
      <c r="DM125" s="664">
        <f>IFERROR((1+(INDEX(Detail!$D143:$M143,MATCH(DM$16,Detail!$D$142:$M$142))/12))^(MAX(0,DM$15)),1)</f>
        <v>1.3030000037885119</v>
      </c>
      <c r="DN125" s="664">
        <f>IFERROR((1+(INDEX(Detail!$D143:$M143,MATCH(DN$16,Detail!$D$142:$M$142))/12))^(MAX(0,DN$15)),1)</f>
        <v>1.3062575037979831</v>
      </c>
      <c r="DO125" s="664">
        <f>IFERROR((1+(INDEX(Detail!$D143:$M143,MATCH(DO$16,Detail!$D$142:$M$142))/12))^(MAX(0,DO$15)),1)</f>
        <v>1.309523147557478</v>
      </c>
      <c r="DP125" s="664">
        <f>IFERROR((1+(INDEX(Detail!$D143:$M143,MATCH(DP$16,Detail!$D$142:$M$142))/12))^(MAX(0,DP$15)),1)</f>
        <v>1.3127969554263719</v>
      </c>
      <c r="DQ125" s="664">
        <f>IFERROR((1+(INDEX(Detail!$D143:$M143,MATCH(DQ$16,Detail!$D$142:$M$142))/12))^(MAX(0,DQ$15)),1)</f>
        <v>1.3160789478149373</v>
      </c>
      <c r="DR125" s="664">
        <f>IFERROR((1+(INDEX(Detail!$D143:$M143,MATCH(DR$16,Detail!$D$142:$M$142))/12))^(MAX(0,DR$15)),1)</f>
        <v>1.3193691451844747</v>
      </c>
      <c r="DS125" s="664">
        <f>IFERROR((1+(INDEX(Detail!$D143:$M143,MATCH(DS$16,Detail!$D$142:$M$142))/12))^(MAX(0,DS$15)),1)</f>
        <v>1.3226675680474362</v>
      </c>
      <c r="DT125" s="664">
        <f>IFERROR((1+(INDEX(Detail!$D143:$M143,MATCH(DT$16,Detail!$D$142:$M$142))/12))^(MAX(0,DT$15)),1)</f>
        <v>1.3259742369675545</v>
      </c>
      <c r="DU125" s="664">
        <f>IFERROR((1+(INDEX(Detail!$D143:$M143,MATCH(DU$16,Detail!$D$142:$M$142))/12))^(MAX(0,DU$15)),1)</f>
        <v>1.3292891725599736</v>
      </c>
      <c r="DV125" s="664">
        <f>IFERROR((1+(INDEX(Detail!$D143:$M143,MATCH(DV$16,Detail!$D$142:$M$142))/12))^(MAX(0,DV$15)),1)</f>
        <v>1.3326123954913731</v>
      </c>
      <c r="DW125" s="664">
        <f>IFERROR((1+(INDEX(Detail!$D143:$M143,MATCH(DW$16,Detail!$D$142:$M$142))/12))^(MAX(0,DW$15)),1)</f>
        <v>1.3359439264801016</v>
      </c>
      <c r="DX125" s="664">
        <f>IFERROR((1+(INDEX(Detail!$D143:$M143,MATCH(DX$16,Detail!$D$142:$M$142))/12))^(MAX(0,DX$15)),1)</f>
        <v>1.3392837862963018</v>
      </c>
      <c r="DY125" s="664">
        <f>IFERROR((1+(INDEX(Detail!$D143:$M143,MATCH(DY$16,Detail!$D$142:$M$142))/12))^(MAX(0,DY$15)),1)</f>
        <v>1.3426319957620423</v>
      </c>
      <c r="DZ125" s="664">
        <f>IFERROR((1+(INDEX(Detail!$D143:$M143,MATCH(DZ$16,Detail!$D$142:$M$142))/12))^(MAX(0,DZ$15)),1)</f>
        <v>1.3459885757514474</v>
      </c>
      <c r="EA125" s="664">
        <f>IFERROR((1+(INDEX(Detail!$D143:$M143,MATCH(EA$16,Detail!$D$142:$M$142))/12))^(MAX(0,EA$15)),1)</f>
        <v>1.3493535471908258</v>
      </c>
      <c r="EB125" s="664">
        <f>IFERROR((1+(INDEX(Detail!$D143:$M143,MATCH(EB$16,Detail!$D$142:$M$142))/12))^(MAX(0,EB$15)),1)</f>
        <v>1.352726931058803</v>
      </c>
      <c r="EC125" s="664">
        <f>IFERROR((1+(INDEX(Detail!$D143:$M143,MATCH(EC$16,Detail!$D$142:$M$142))/12))^(MAX(0,EC$15)),1)</f>
        <v>1.35610874838645</v>
      </c>
      <c r="ED125" s="664">
        <f>IFERROR((1+(INDEX(Detail!$D143:$M143,MATCH(ED$16,Detail!$D$142:$M$142))/12))^(MAX(0,ED$15)),1)</f>
        <v>1.3594990202574162</v>
      </c>
      <c r="EE125" s="664">
        <f>IFERROR((1+(INDEX(Detail!$D143:$M143,MATCH(EE$16,Detail!$D$142:$M$142))/12))^(MAX(0,EE$15)),1)</f>
        <v>1.3628977678080596</v>
      </c>
      <c r="EF125" s="664">
        <f>IFERROR((1+(INDEX(Detail!$D143:$M143,MATCH(EF$16,Detail!$D$142:$M$142))/12))^(MAX(0,EF$15)),1)</f>
        <v>1.3663050122275799</v>
      </c>
      <c r="EG125" s="664">
        <f>IFERROR((1+(INDEX(Detail!$D143:$M143,MATCH(EG$16,Detail!$D$142:$M$142))/12))^(MAX(0,EG$15)),1)</f>
        <v>1.3697207747581486</v>
      </c>
      <c r="EH125" s="664">
        <f>IFERROR((1+(INDEX(Detail!$D143:$M143,MATCH(EH$16,Detail!$D$142:$M$142))/12))^(MAX(0,EH$15)),1)</f>
        <v>1.3731450766950435</v>
      </c>
      <c r="EI125" s="664">
        <f>IFERROR((1+(INDEX(Detail!$D143:$M143,MATCH(EI$16,Detail!$D$142:$M$142))/12))^(MAX(0,EI$15)),1)</f>
        <v>1.3765779393867814</v>
      </c>
      <c r="EJ125" s="664">
        <f>IFERROR((1+(INDEX(Detail!$D143:$M143,MATCH(EJ$16,Detail!$D$142:$M$142))/12))^(MAX(0,EJ$15)),1)</f>
        <v>1.3800193842352484</v>
      </c>
      <c r="EK125" s="664">
        <f>IFERROR((1+(INDEX(Detail!$D143:$M143,MATCH(EK$16,Detail!$D$142:$M$142))/12))^(MAX(0,EK$15)),1)</f>
        <v>1.3834694326958363</v>
      </c>
      <c r="EL125" s="664">
        <f>IFERROR((1+(INDEX(Detail!$D143:$M143,MATCH(EL$16,Detail!$D$142:$M$142))/12))^(MAX(0,EL$15)),1)</f>
        <v>1.3869281062775758</v>
      </c>
      <c r="EM125" s="664">
        <f>IFERROR((1+(INDEX(Detail!$D143:$M143,MATCH(EM$16,Detail!$D$142:$M$142))/12))^(MAX(0,EM$15)),1)</f>
        <v>1.3903954265432696</v>
      </c>
      <c r="EN125" s="664">
        <f>IFERROR((1+(INDEX(Detail!$D143:$M143,MATCH(EN$16,Detail!$D$142:$M$142))/12))^(MAX(0,EN$15)),1)</f>
        <v>1.3938714151096279</v>
      </c>
      <c r="EO125" s="664">
        <f>IFERROR((1+(INDEX(Detail!$D143:$M143,MATCH(EO$16,Detail!$D$142:$M$142))/12))^(MAX(0,EO$15)),1)</f>
        <v>1.3973560936474017</v>
      </c>
      <c r="EP125" s="664">
        <f>IFERROR((1+(INDEX(Detail!$D143:$M143,MATCH(EP$16,Detail!$D$142:$M$142))/12))^(MAX(0,EP$15)),1)</f>
        <v>1.4008494838815202</v>
      </c>
      <c r="EQ125" s="664">
        <f>IFERROR((1+(INDEX(Detail!$D143:$M143,MATCH(EQ$16,Detail!$D$142:$M$142))/12))^(MAX(0,EQ$15)),1)</f>
        <v>1.4043516075912241</v>
      </c>
      <c r="ER125" s="664">
        <f>IFERROR((1+(INDEX(Detail!$D143:$M143,MATCH(ER$16,Detail!$D$142:$M$142))/12))^(MAX(0,ER$15)),1)</f>
        <v>1.4078624866102021</v>
      </c>
      <c r="ES125" s="664">
        <f>IFERROR((1+(INDEX(Detail!$D143:$M143,MATCH(ES$16,Detail!$D$142:$M$142))/12))^(MAX(0,ES$15)),1)</f>
        <v>1.4113821428267275</v>
      </c>
      <c r="ET125" s="664">
        <f>IFERROR((1+(INDEX(Detail!$D143:$M143,MATCH(ET$16,Detail!$D$142:$M$142))/12))^(MAX(0,ET$15)),1)</f>
        <v>1.4149105981837939</v>
      </c>
      <c r="EU125" s="664">
        <f>IFERROR((1+(INDEX(Detail!$D143:$M143,MATCH(EU$16,Detail!$D$142:$M$142))/12))^(MAX(0,EU$15)),1)</f>
        <v>1.4184478746792537</v>
      </c>
      <c r="EV125" s="664">
        <f>IFERROR((1+(INDEX(Detail!$D143:$M143,MATCH(EV$16,Detail!$D$142:$M$142))/12))^(MAX(0,EV$15)),1)</f>
        <v>1.4219939943659519</v>
      </c>
      <c r="EW125" s="664">
        <f>IFERROR((1+(INDEX(Detail!$D143:$M143,MATCH(EW$16,Detail!$D$142:$M$142))/12))^(MAX(0,EW$15)),1)</f>
        <v>1.4255489793518663</v>
      </c>
      <c r="EX125" s="664">
        <f>IFERROR((1+(INDEX(Detail!$D143:$M143,MATCH(EX$16,Detail!$D$142:$M$142))/12))^(MAX(0,EX$15)),1)</f>
        <v>1.4291128518002458</v>
      </c>
      <c r="EY125" s="664">
        <f>IFERROR((1+(INDEX(Detail!$D143:$M143,MATCH(EY$16,Detail!$D$142:$M$142))/12))^(MAX(0,EY$15)),1)</f>
        <v>1.4326856339297467</v>
      </c>
      <c r="EZ125" s="664">
        <f>IFERROR((1+(INDEX(Detail!$D143:$M143,MATCH(EZ$16,Detail!$D$142:$M$142))/12))^(MAX(0,EZ$15)),1)</f>
        <v>1.4362673480145709</v>
      </c>
      <c r="FA125" s="664">
        <f>IFERROR((1+(INDEX(Detail!$D143:$M143,MATCH(FA$16,Detail!$D$142:$M$142))/12))^(MAX(0,FA$15)),1)</f>
        <v>1.4398580163846075</v>
      </c>
      <c r="FB125" s="664">
        <f>IFERROR((1+(INDEX(Detail!$D143:$M143,MATCH(FB$16,Detail!$D$142:$M$142))/12))^(MAX(0,FB$15)),1)</f>
        <v>1.4434576614255687</v>
      </c>
      <c r="FC125" s="664">
        <f>IFERROR((1+(INDEX(Detail!$D143:$M143,MATCH(FC$16,Detail!$D$142:$M$142))/12))^(MAX(0,FC$15)),1)</f>
        <v>1.4470663055791328</v>
      </c>
      <c r="FD125" s="664">
        <f>IFERROR((1+(INDEX(Detail!$D143:$M143,MATCH(FD$16,Detail!$D$142:$M$142))/12))^(MAX(0,FD$15)),1)</f>
        <v>1.4506839713430804</v>
      </c>
      <c r="FE125" s="664">
        <f>IFERROR((1+(INDEX(Detail!$D143:$M143,MATCH(FE$16,Detail!$D$142:$M$142))/12))^(MAX(0,FE$15)),1)</f>
        <v>1.4543106812714377</v>
      </c>
      <c r="FF125" s="664">
        <f>IFERROR((1+(INDEX(Detail!$D143:$M143,MATCH(FF$16,Detail!$D$142:$M$142))/12))^(MAX(0,FF$15)),1)</f>
        <v>1.4579464579746164</v>
      </c>
      <c r="FG125" s="664">
        <f>IFERROR((1+(INDEX(Detail!$D143:$M143,MATCH(FG$16,Detail!$D$142:$M$142))/12))^(MAX(0,FG$15)),1)</f>
        <v>1.4615913241195528</v>
      </c>
      <c r="FH125" s="664">
        <f>IFERROR((1+(INDEX(Detail!$D143:$M143,MATCH(FH$16,Detail!$D$142:$M$142))/12))^(MAX(0,FH$15)),1)</f>
        <v>1.465245302429852</v>
      </c>
      <c r="FI125" s="664">
        <f>IFERROR((1+(INDEX(Detail!$D143:$M143,MATCH(FI$16,Detail!$D$142:$M$142))/12))^(MAX(0,FI$15)),1)</f>
        <v>1.4689084156859264</v>
      </c>
      <c r="FJ125" s="664">
        <f>IFERROR((1+(INDEX(Detail!$D143:$M143,MATCH(FJ$16,Detail!$D$142:$M$142))/12))^(MAX(0,FJ$15)),1)</f>
        <v>1.4725806867251412</v>
      </c>
      <c r="FK125" s="664">
        <f>IFERROR((1+(INDEX(Detail!$D143:$M143,MATCH(FK$16,Detail!$D$142:$M$142))/12))^(MAX(0,FK$15)),1)</f>
        <v>1.4762621384419539</v>
      </c>
      <c r="FL125" s="664">
        <f>IFERROR((1+(INDEX(Detail!$D143:$M143,MATCH(FL$16,Detail!$D$142:$M$142))/12))^(MAX(0,FL$15)),1)</f>
        <v>1.479952793788059</v>
      </c>
      <c r="FM125" s="664">
        <f>IFERROR((1+(INDEX(Detail!$D143:$M143,MATCH(FM$16,Detail!$D$142:$M$142))/12))^(MAX(0,FM$15)),1)</f>
        <v>1.4836526757725288</v>
      </c>
      <c r="FN125" s="664">
        <f>IFERROR((1+(INDEX(Detail!$D143:$M143,MATCH(FN$16,Detail!$D$142:$M$142))/12))^(MAX(0,FN$15)),1)</f>
        <v>1.4873618074619599</v>
      </c>
      <c r="FO125" s="664">
        <f>IFERROR((1+(INDEX(Detail!$D143:$M143,MATCH(FO$16,Detail!$D$142:$M$142))/12))^(MAX(0,FO$15)),1)</f>
        <v>1.491080211980615</v>
      </c>
      <c r="FP125" s="664">
        <f>IFERROR((1+(INDEX(Detail!$D143:$M143,MATCH(FP$16,Detail!$D$142:$M$142))/12))^(MAX(0,FP$15)),1)</f>
        <v>1.4948079125105667</v>
      </c>
      <c r="FQ125" s="664">
        <f>IFERROR((1+(INDEX(Detail!$D143:$M143,MATCH(FQ$16,Detail!$D$142:$M$142))/12))^(MAX(0,FQ$15)),1)</f>
        <v>1.4985449322918427</v>
      </c>
      <c r="FR125" s="664">
        <f>IFERROR((1+(INDEX(Detail!$D143:$M143,MATCH(FR$16,Detail!$D$142:$M$142))/12))^(MAX(0,FR$15)),1)</f>
        <v>1.5022912946225722</v>
      </c>
      <c r="FS125" s="664">
        <f>IFERROR((1+(INDEX(Detail!$D143:$M143,MATCH(FS$16,Detail!$D$142:$M$142))/12))^(MAX(0,FS$15)),1)</f>
        <v>1.5060470228591289</v>
      </c>
    </row>
    <row r="126" spans="2:175" ht="13.5">
      <c r="B126" s="178" t="s">
        <v>270</v>
      </c>
      <c r="C126" s="665" t="s">
        <v>347</v>
      </c>
      <c r="D126" s="665"/>
      <c r="E126" s="666">
        <f>IFERROR((1+(INDEX(Detail!$D144:$M144,MATCH(E$16,Detail!$D$142:$M$142))/12))^(MAX(0,E$15)),1)</f>
        <v>1</v>
      </c>
      <c r="F126" s="667">
        <f>IFERROR((1+(INDEX(Detail!$D144:$M144,MATCH(F$16,Detail!$D$142:$M$142))/12))^(MAX(0,F$15)),1)</f>
        <v>1</v>
      </c>
      <c r="G126" s="667">
        <f>IFERROR((1+(INDEX(Detail!$D144:$M144,MATCH(G$16,Detail!$D$142:$M$142))/12))^(MAX(0,G$15)),1)</f>
        <v>1</v>
      </c>
      <c r="H126" s="667">
        <f>IFERROR((1+(INDEX(Detail!$D144:$M144,MATCH(H$16,Detail!$D$142:$M$142))/12))^(MAX(0,H$15)),1)</f>
        <v>1</v>
      </c>
      <c r="I126" s="667">
        <f>IFERROR((1+(INDEX(Detail!$D144:$M144,MATCH(I$16,Detail!$D$142:$M$142))/12))^(MAX(0,I$15)),1)</f>
        <v>1</v>
      </c>
      <c r="J126" s="667">
        <f>IFERROR((1+(INDEX(Detail!$D144:$M144,MATCH(J$16,Detail!$D$142:$M$142))/12))^(MAX(0,J$15)),1)</f>
        <v>1</v>
      </c>
      <c r="K126" s="667">
        <f>IFERROR((1+(INDEX(Detail!$D144:$M144,MATCH(K$16,Detail!$D$142:$M$142))/12))^(MAX(0,K$15)),1)</f>
        <v>1</v>
      </c>
      <c r="L126" s="667">
        <f>IFERROR((1+(INDEX(Detail!$D144:$M144,MATCH(L$16,Detail!$D$142:$M$142))/12))^(MAX(0,L$15)),1)</f>
        <v>1.0024999999999999</v>
      </c>
      <c r="M126" s="667">
        <f>IFERROR((1+(INDEX(Detail!$D144:$M144,MATCH(M$16,Detail!$D$142:$M$142))/12))^(MAX(0,M$15)),1)</f>
        <v>1.0050062499999999</v>
      </c>
      <c r="N126" s="667">
        <f>IFERROR((1+(INDEX(Detail!$D144:$M144,MATCH(N$16,Detail!$D$142:$M$142))/12))^(MAX(0,N$15)),1)</f>
        <v>1.0075187656249998</v>
      </c>
      <c r="O126" s="667">
        <f>IFERROR((1+(INDEX(Detail!$D144:$M144,MATCH(O$16,Detail!$D$142:$M$142))/12))^(MAX(0,O$15)),1)</f>
        <v>1.0100375625390623</v>
      </c>
      <c r="P126" s="667">
        <f>IFERROR((1+(INDEX(Detail!$D144:$M144,MATCH(P$16,Detail!$D$142:$M$142))/12))^(MAX(0,P$15)),1)</f>
        <v>1.01256265644541</v>
      </c>
      <c r="Q126" s="667">
        <f>IFERROR((1+(INDEX(Detail!$D144:$M144,MATCH(Q$16,Detail!$D$142:$M$142))/12))^(MAX(0,Q$15)),1)</f>
        <v>1.0150940630865233</v>
      </c>
      <c r="R126" s="667">
        <f>IFERROR((1+(INDEX(Detail!$D144:$M144,MATCH(R$16,Detail!$D$142:$M$142))/12))^(MAX(0,R$15)),1)</f>
        <v>1.0176317982442395</v>
      </c>
      <c r="S126" s="667">
        <f>IFERROR((1+(INDEX(Detail!$D144:$M144,MATCH(S$16,Detail!$D$142:$M$142))/12))^(MAX(0,S$15)),1)</f>
        <v>1.0201758777398502</v>
      </c>
      <c r="T126" s="667">
        <f>IFERROR((1+(INDEX(Detail!$D144:$M144,MATCH(T$16,Detail!$D$142:$M$142))/12))^(MAX(0,T$15)),1)</f>
        <v>1.0227263174341998</v>
      </c>
      <c r="U126" s="667">
        <f>IFERROR((1+(INDEX(Detail!$D144:$M144,MATCH(U$16,Detail!$D$142:$M$142))/12))^(MAX(0,U$15)),1)</f>
        <v>1.0252831332277852</v>
      </c>
      <c r="V126" s="667">
        <f>IFERROR((1+(INDEX(Detail!$D144:$M144,MATCH(V$16,Detail!$D$142:$M$142))/12))^(MAX(0,V$15)),1)</f>
        <v>1.0278463410608545</v>
      </c>
      <c r="W126" s="667">
        <f>IFERROR((1+(INDEX(Detail!$D144:$M144,MATCH(W$16,Detail!$D$142:$M$142))/12))^(MAX(0,W$15)),1)</f>
        <v>1.0304159569135067</v>
      </c>
      <c r="X126" s="667">
        <f>IFERROR((1+(INDEX(Detail!$D144:$M144,MATCH(X$16,Detail!$D$142:$M$142))/12))^(MAX(0,X$15)),1)</f>
        <v>1.0329919968057906</v>
      </c>
      <c r="Y126" s="667">
        <f>IFERROR((1+(INDEX(Detail!$D144:$M144,MATCH(Y$16,Detail!$D$142:$M$142))/12))^(MAX(0,Y$15)),1)</f>
        <v>1.0355744767978048</v>
      </c>
      <c r="Z126" s="667">
        <f>IFERROR((1+(INDEX(Detail!$D144:$M144,MATCH(Z$16,Detail!$D$142:$M$142))/12))^(MAX(0,Z$15)),1)</f>
        <v>1.0381634129897992</v>
      </c>
      <c r="AA126" s="667">
        <f>IFERROR((1+(INDEX(Detail!$D144:$M144,MATCH(AA$16,Detail!$D$142:$M$142))/12))^(MAX(0,AA$15)),1)</f>
        <v>1.0407588215222738</v>
      </c>
      <c r="AB126" s="667">
        <f>IFERROR((1+(INDEX(Detail!$D144:$M144,MATCH(AB$16,Detail!$D$142:$M$142))/12))^(MAX(0,AB$15)),1)</f>
        <v>1.0433607185760794</v>
      </c>
      <c r="AC126" s="667">
        <f>IFERROR((1+(INDEX(Detail!$D144:$M144,MATCH(AC$16,Detail!$D$142:$M$142))/12))^(MAX(0,AC$15)),1)</f>
        <v>1.0459691203725197</v>
      </c>
      <c r="AD126" s="667">
        <f>IFERROR((1+(INDEX(Detail!$D144:$M144,MATCH(AD$16,Detail!$D$142:$M$142))/12))^(MAX(0,AD$15)),1)</f>
        <v>1.0485840431734508</v>
      </c>
      <c r="AE126" s="667">
        <f>IFERROR((1+(INDEX(Detail!$D144:$M144,MATCH(AE$16,Detail!$D$142:$M$142))/12))^(MAX(0,AE$15)),1)</f>
        <v>1.0512055032813845</v>
      </c>
      <c r="AF126" s="667">
        <f>IFERROR((1+(INDEX(Detail!$D144:$M144,MATCH(AF$16,Detail!$D$142:$M$142))/12))^(MAX(0,AF$15)),1)</f>
        <v>1.0538335170395878</v>
      </c>
      <c r="AG126" s="667">
        <f>IFERROR((1+(INDEX(Detail!$D144:$M144,MATCH(AG$16,Detail!$D$142:$M$142))/12))^(MAX(0,AG$15)),1)</f>
        <v>1.0564681008321866</v>
      </c>
      <c r="AH126" s="667">
        <f>IFERROR((1+(INDEX(Detail!$D144:$M144,MATCH(AH$16,Detail!$D$142:$M$142))/12))^(MAX(0,AH$15)),1)</f>
        <v>1.0591092710842671</v>
      </c>
      <c r="AI126" s="667">
        <f>IFERROR((1+(INDEX(Detail!$D144:$M144,MATCH(AI$16,Detail!$D$142:$M$142))/12))^(MAX(0,AI$15)),1)</f>
        <v>1.0617570442619777</v>
      </c>
      <c r="AJ126" s="667">
        <f>IFERROR((1+(INDEX(Detail!$D144:$M144,MATCH(AJ$16,Detail!$D$142:$M$142))/12))^(MAX(0,AJ$15)),1)</f>
        <v>1.0644114368726327</v>
      </c>
      <c r="AK126" s="667">
        <f>IFERROR((1+(INDEX(Detail!$D144:$M144,MATCH(AK$16,Detail!$D$142:$M$142))/12))^(MAX(0,AK$15)),1)</f>
        <v>1.0670724654648143</v>
      </c>
      <c r="AL126" s="667">
        <f>IFERROR((1+(INDEX(Detail!$D144:$M144,MATCH(AL$16,Detail!$D$142:$M$142))/12))^(MAX(0,AL$15)),1)</f>
        <v>1.0697401466284762</v>
      </c>
      <c r="AM126" s="667">
        <f>IFERROR((1+(INDEX(Detail!$D144:$M144,MATCH(AM$16,Detail!$D$142:$M$142))/12))^(MAX(0,AM$15)),1)</f>
        <v>1.0724144969950473</v>
      </c>
      <c r="AN126" s="667">
        <f>IFERROR((1+(INDEX(Detail!$D144:$M144,MATCH(AN$16,Detail!$D$142:$M$142))/12))^(MAX(0,AN$15)),1)</f>
        <v>1.0750955332375352</v>
      </c>
      <c r="AO126" s="667">
        <f>IFERROR((1+(INDEX(Detail!$D144:$M144,MATCH(AO$16,Detail!$D$142:$M$142))/12))^(MAX(0,AO$15)),1)</f>
        <v>1.0777832720706286</v>
      </c>
      <c r="AP126" s="667">
        <f>IFERROR((1+(INDEX(Detail!$D144:$M144,MATCH(AP$16,Detail!$D$142:$M$142))/12))^(MAX(0,AP$15)),1)</f>
        <v>1.0804777302508051</v>
      </c>
      <c r="AQ126" s="667">
        <f>IFERROR((1+(INDEX(Detail!$D144:$M144,MATCH(AQ$16,Detail!$D$142:$M$142))/12))^(MAX(0,AQ$15)),1)</f>
        <v>1.0831789245764323</v>
      </c>
      <c r="AR126" s="667">
        <f>IFERROR((1+(INDEX(Detail!$D144:$M144,MATCH(AR$16,Detail!$D$142:$M$142))/12))^(MAX(0,AR$15)),1)</f>
        <v>1.0858868718878734</v>
      </c>
      <c r="AS126" s="667">
        <f>IFERROR((1+(INDEX(Detail!$D144:$M144,MATCH(AS$16,Detail!$D$142:$M$142))/12))^(MAX(0,AS$15)),1)</f>
        <v>1.0886015890675929</v>
      </c>
      <c r="AT126" s="667">
        <f>IFERROR((1+(INDEX(Detail!$D144:$M144,MATCH(AT$16,Detail!$D$142:$M$142))/12))^(MAX(0,AT$15)),1)</f>
        <v>1.0913230930402618</v>
      </c>
      <c r="AU126" s="667">
        <f>IFERROR((1+(INDEX(Detail!$D144:$M144,MATCH(AU$16,Detail!$D$142:$M$142))/12))^(MAX(0,AU$15)),1)</f>
        <v>1.0940514007728626</v>
      </c>
      <c r="AV126" s="667">
        <f>IFERROR((1+(INDEX(Detail!$D144:$M144,MATCH(AV$16,Detail!$D$142:$M$142))/12))^(MAX(0,AV$15)),1)</f>
        <v>1.0967865292747947</v>
      </c>
      <c r="AW126" s="667">
        <f>IFERROR((1+(INDEX(Detail!$D144:$M144,MATCH(AW$16,Detail!$D$142:$M$142))/12))^(MAX(0,AW$15)),1)</f>
        <v>1.0995284955979814</v>
      </c>
      <c r="AX126" s="667">
        <f>IFERROR((1+(INDEX(Detail!$D144:$M144,MATCH(AX$16,Detail!$D$142:$M$142))/12))^(MAX(0,AX$15)),1)</f>
        <v>1.1022773168369764</v>
      </c>
      <c r="AY126" s="667">
        <f>IFERROR((1+(INDEX(Detail!$D144:$M144,MATCH(AY$16,Detail!$D$142:$M$142))/12))^(MAX(0,AY$15)),1)</f>
        <v>1.1050330101290688</v>
      </c>
      <c r="AZ126" s="667">
        <f>IFERROR((1+(INDEX(Detail!$D144:$M144,MATCH(AZ$16,Detail!$D$142:$M$142))/12))^(MAX(0,AZ$15)),1)</f>
        <v>1.1077955926543914</v>
      </c>
      <c r="BA126" s="667">
        <f>IFERROR((1+(INDEX(Detail!$D144:$M144,MATCH(BA$16,Detail!$D$142:$M$142))/12))^(MAX(0,BA$15)),1)</f>
        <v>1.1105650816360273</v>
      </c>
      <c r="BB126" s="667">
        <f>IFERROR((1+(INDEX(Detail!$D144:$M144,MATCH(BB$16,Detail!$D$142:$M$142))/12))^(MAX(0,BB$15)),1)</f>
        <v>1.1133414943401172</v>
      </c>
      <c r="BC126" s="667">
        <f>IFERROR((1+(INDEX(Detail!$D144:$M144,MATCH(BC$16,Detail!$D$142:$M$142))/12))^(MAX(0,BC$15)),1)</f>
        <v>1.1161248480759676</v>
      </c>
      <c r="BD126" s="667">
        <f>IFERROR((1+(INDEX(Detail!$D144:$M144,MATCH(BD$16,Detail!$D$142:$M$142))/12))^(MAX(0,BD$15)),1)</f>
        <v>1.1189151601961576</v>
      </c>
      <c r="BE126" s="667">
        <f>IFERROR((1+(INDEX(Detail!$D144:$M144,MATCH(BE$16,Detail!$D$142:$M$142))/12))^(MAX(0,BE$15)),1)</f>
        <v>1.1217124480966476</v>
      </c>
      <c r="BF126" s="667">
        <f>IFERROR((1+(INDEX(Detail!$D144:$M144,MATCH(BF$16,Detail!$D$142:$M$142))/12))^(MAX(0,BF$15)),1)</f>
        <v>1.1245167292168892</v>
      </c>
      <c r="BG126" s="667">
        <f>IFERROR((1+(INDEX(Detail!$D144:$M144,MATCH(BG$16,Detail!$D$142:$M$142))/12))^(MAX(0,BG$15)),1)</f>
        <v>1.1273280210399317</v>
      </c>
      <c r="BH126" s="667">
        <f>IFERROR((1+(INDEX(Detail!$D144:$M144,MATCH(BH$16,Detail!$D$142:$M$142))/12))^(MAX(0,BH$15)),1)</f>
        <v>1.1301463410925312</v>
      </c>
      <c r="BI126" s="667">
        <f>IFERROR((1+(INDEX(Detail!$D144:$M144,MATCH(BI$16,Detail!$D$142:$M$142))/12))^(MAX(0,BI$15)),1)</f>
        <v>1.1329717069452627</v>
      </c>
      <c r="BJ126" s="667">
        <f>IFERROR((1+(INDEX(Detail!$D144:$M144,MATCH(BJ$16,Detail!$D$142:$M$142))/12))^(MAX(0,BJ$15)),1)</f>
        <v>1.1358041362126257</v>
      </c>
      <c r="BK126" s="667">
        <f>IFERROR((1+(INDEX(Detail!$D144:$M144,MATCH(BK$16,Detail!$D$142:$M$142))/12))^(MAX(0,BK$15)),1)</f>
        <v>1.1386436465531573</v>
      </c>
      <c r="BL126" s="667">
        <f>IFERROR((1+(INDEX(Detail!$D144:$M144,MATCH(BL$16,Detail!$D$142:$M$142))/12))^(MAX(0,BL$15)),1)</f>
        <v>1.1414902556695401</v>
      </c>
      <c r="BM126" s="667">
        <f>IFERROR((1+(INDEX(Detail!$D144:$M144,MATCH(BM$16,Detail!$D$142:$M$142))/12))^(MAX(0,BM$15)),1)</f>
        <v>1.1443439813087137</v>
      </c>
      <c r="BN126" s="667">
        <f>IFERROR((1+(INDEX(Detail!$D144:$M144,MATCH(BN$16,Detail!$D$142:$M$142))/12))^(MAX(0,BN$15)),1)</f>
        <v>1.1472048412619855</v>
      </c>
      <c r="BO126" s="667">
        <f>IFERROR((1+(INDEX(Detail!$D144:$M144,MATCH(BO$16,Detail!$D$142:$M$142))/12))^(MAX(0,BO$15)),1)</f>
        <v>1.1500728533651403</v>
      </c>
      <c r="BP126" s="667">
        <f>IFERROR((1+(INDEX(Detail!$D144:$M144,MATCH(BP$16,Detail!$D$142:$M$142))/12))^(MAX(0,BP$15)),1)</f>
        <v>1.1529480354985533</v>
      </c>
      <c r="BQ126" s="667">
        <f>IFERROR((1+(INDEX(Detail!$D144:$M144,MATCH(BQ$16,Detail!$D$142:$M$142))/12))^(MAX(0,BQ$15)),1)</f>
        <v>1.1558304055872997</v>
      </c>
      <c r="BR126" s="667">
        <f>IFERROR((1+(INDEX(Detail!$D144:$M144,MATCH(BR$16,Detail!$D$142:$M$142))/12))^(MAX(0,BR$15)),1)</f>
        <v>1.1587199816012679</v>
      </c>
      <c r="BS126" s="667">
        <f>IFERROR((1+(INDEX(Detail!$D144:$M144,MATCH(BS$16,Detail!$D$142:$M$142))/12))^(MAX(0,BS$15)),1)</f>
        <v>1.1616167815552709</v>
      </c>
      <c r="BT126" s="667">
        <f>IFERROR((1+(INDEX(Detail!$D144:$M144,MATCH(BT$16,Detail!$D$142:$M$142))/12))^(MAX(0,BT$15)),1)</f>
        <v>1.1645208235091593</v>
      </c>
      <c r="BU126" s="667">
        <f>IFERROR((1+(INDEX(Detail!$D144:$M144,MATCH(BU$16,Detail!$D$142:$M$142))/12))^(MAX(0,BU$15)),1)</f>
        <v>1.1674321255679319</v>
      </c>
      <c r="BV126" s="667">
        <f>IFERROR((1+(INDEX(Detail!$D144:$M144,MATCH(BV$16,Detail!$D$142:$M$142))/12))^(MAX(0,BV$15)),1)</f>
        <v>1.1703507058818514</v>
      </c>
      <c r="BW126" s="667">
        <f>IFERROR((1+(INDEX(Detail!$D144:$M144,MATCH(BW$16,Detail!$D$142:$M$142))/12))^(MAX(0,BW$15)),1)</f>
        <v>1.1732765826465563</v>
      </c>
      <c r="BX126" s="667">
        <f>IFERROR((1+(INDEX(Detail!$D144:$M144,MATCH(BX$16,Detail!$D$142:$M$142))/12))^(MAX(0,BX$15)),1)</f>
        <v>1.1762097741031727</v>
      </c>
      <c r="BY126" s="667">
        <f>IFERROR((1+(INDEX(Detail!$D144:$M144,MATCH(BY$16,Detail!$D$142:$M$142))/12))^(MAX(0,BY$15)),1)</f>
        <v>1.1791502985384306</v>
      </c>
      <c r="BZ126" s="667">
        <f>IFERROR((1+(INDEX(Detail!$D144:$M144,MATCH(BZ$16,Detail!$D$142:$M$142))/12))^(MAX(0,BZ$15)),1)</f>
        <v>1.1820981742847765</v>
      </c>
      <c r="CA126" s="667">
        <f>IFERROR((1+(INDEX(Detail!$D144:$M144,MATCH(CA$16,Detail!$D$142:$M$142))/12))^(MAX(0,CA$15)),1)</f>
        <v>1.1850534197204885</v>
      </c>
      <c r="CB126" s="667">
        <f>IFERROR((1+(INDEX(Detail!$D144:$M144,MATCH(CB$16,Detail!$D$142:$M$142))/12))^(MAX(0,CB$15)),1)</f>
        <v>1.1880160532697897</v>
      </c>
      <c r="CC126" s="667">
        <f>IFERROR((1+(INDEX(Detail!$D144:$M144,MATCH(CC$16,Detail!$D$142:$M$142))/12))^(MAX(0,CC$15)),1)</f>
        <v>1.1909860934029639</v>
      </c>
      <c r="CD126" s="667">
        <f>IFERROR((1+(INDEX(Detail!$D144:$M144,MATCH(CD$16,Detail!$D$142:$M$142))/12))^(MAX(0,CD$15)),1)</f>
        <v>1.1939635586364712</v>
      </c>
      <c r="CE126" s="667">
        <f>IFERROR((1+(INDEX(Detail!$D144:$M144,MATCH(CE$16,Detail!$D$142:$M$142))/12))^(MAX(0,CE$15)),1)</f>
        <v>1.1969484675330624</v>
      </c>
      <c r="CF126" s="667">
        <f>IFERROR((1+(INDEX(Detail!$D144:$M144,MATCH(CF$16,Detail!$D$142:$M$142))/12))^(MAX(0,CF$15)),1)</f>
        <v>1.1999408387018951</v>
      </c>
      <c r="CG126" s="667">
        <f>IFERROR((1+(INDEX(Detail!$D144:$M144,MATCH(CG$16,Detail!$D$142:$M$142))/12))^(MAX(0,CG$15)),1)</f>
        <v>1.2029406907986497</v>
      </c>
      <c r="CH126" s="667">
        <f>IFERROR((1+(INDEX(Detail!$D144:$M144,MATCH(CH$16,Detail!$D$142:$M$142))/12))^(MAX(0,CH$15)),1)</f>
        <v>1.2059480425256461</v>
      </c>
      <c r="CI126" s="667">
        <f>IFERROR((1+(INDEX(Detail!$D144:$M144,MATCH(CI$16,Detail!$D$142:$M$142))/12))^(MAX(0,CI$15)),1)</f>
        <v>1.2089629126319603</v>
      </c>
      <c r="CJ126" s="667">
        <f>IFERROR((1+(INDEX(Detail!$D144:$M144,MATCH(CJ$16,Detail!$D$142:$M$142))/12))^(MAX(0,CJ$15)),1)</f>
        <v>1.2119853199135404</v>
      </c>
      <c r="CK126" s="667">
        <f>IFERROR((1+(INDEX(Detail!$D144:$M144,MATCH(CK$16,Detail!$D$142:$M$142))/12))^(MAX(0,CK$15)),1)</f>
        <v>1.2150152832133239</v>
      </c>
      <c r="CL126" s="667">
        <f>IFERROR((1+(INDEX(Detail!$D144:$M144,MATCH(CL$16,Detail!$D$142:$M$142))/12))^(MAX(0,CL$15)),1)</f>
        <v>1.2180528214213571</v>
      </c>
      <c r="CM126" s="667">
        <f>IFERROR((1+(INDEX(Detail!$D144:$M144,MATCH(CM$16,Detail!$D$142:$M$142))/12))^(MAX(0,CM$15)),1)</f>
        <v>1.2210979534749107</v>
      </c>
      <c r="CN126" s="667">
        <f>IFERROR((1+(INDEX(Detail!$D144:$M144,MATCH(CN$16,Detail!$D$142:$M$142))/12))^(MAX(0,CN$15)),1)</f>
        <v>1.2241506983585977</v>
      </c>
      <c r="CO126" s="667">
        <f>IFERROR((1+(INDEX(Detail!$D144:$M144,MATCH(CO$16,Detail!$D$142:$M$142))/12))^(MAX(0,CO$15)),1)</f>
        <v>1.2272110751044945</v>
      </c>
      <c r="CP126" s="667">
        <f>IFERROR((1+(INDEX(Detail!$D144:$M144,MATCH(CP$16,Detail!$D$142:$M$142))/12))^(MAX(0,CP$15)),1)</f>
        <v>1.2302791027922555</v>
      </c>
      <c r="CQ126" s="667">
        <f>IFERROR((1+(INDEX(Detail!$D144:$M144,MATCH(CQ$16,Detail!$D$142:$M$142))/12))^(MAX(0,CQ$15)),1)</f>
        <v>1.2333548005492361</v>
      </c>
      <c r="CR126" s="667">
        <f>IFERROR((1+(INDEX(Detail!$D144:$M144,MATCH(CR$16,Detail!$D$142:$M$142))/12))^(MAX(0,CR$15)),1)</f>
        <v>1.2364381875506092</v>
      </c>
      <c r="CS126" s="667">
        <f>IFERROR((1+(INDEX(Detail!$D144:$M144,MATCH(CS$16,Detail!$D$142:$M$142))/12))^(MAX(0,CS$15)),1)</f>
        <v>1.2395292830194853</v>
      </c>
      <c r="CT126" s="667">
        <f>IFERROR((1+(INDEX(Detail!$D144:$M144,MATCH(CT$16,Detail!$D$142:$M$142))/12))^(MAX(0,CT$15)),1)</f>
        <v>1.2426281062270341</v>
      </c>
      <c r="CU126" s="667">
        <f>IFERROR((1+(INDEX(Detail!$D144:$M144,MATCH(CU$16,Detail!$D$142:$M$142))/12))^(MAX(0,CU$15)),1)</f>
        <v>1.2457346764926016</v>
      </c>
      <c r="CV126" s="667">
        <f>IFERROR((1+(INDEX(Detail!$D144:$M144,MATCH(CV$16,Detail!$D$142:$M$142))/12))^(MAX(0,CV$15)),1)</f>
        <v>1.2488490131838332</v>
      </c>
      <c r="CW126" s="667">
        <f>IFERROR((1+(INDEX(Detail!$D144:$M144,MATCH(CW$16,Detail!$D$142:$M$142))/12))^(MAX(0,CW$15)),1)</f>
        <v>1.2519711357167929</v>
      </c>
      <c r="CX126" s="667">
        <f>IFERROR((1+(INDEX(Detail!$D144:$M144,MATCH(CX$16,Detail!$D$142:$M$142))/12))^(MAX(0,CX$15)),1)</f>
        <v>1.2551010635560846</v>
      </c>
      <c r="CY126" s="667">
        <f>IFERROR((1+(INDEX(Detail!$D144:$M144,MATCH(CY$16,Detail!$D$142:$M$142))/12))^(MAX(0,CY$15)),1)</f>
        <v>1.2582388162149747</v>
      </c>
      <c r="CZ126" s="667">
        <f>IFERROR((1+(INDEX(Detail!$D144:$M144,MATCH(CZ$16,Detail!$D$142:$M$142))/12))^(MAX(0,CZ$15)),1)</f>
        <v>1.2613844132555125</v>
      </c>
      <c r="DA126" s="667">
        <f>IFERROR((1+(INDEX(Detail!$D144:$M144,MATCH(DA$16,Detail!$D$142:$M$142))/12))^(MAX(0,DA$15)),1)</f>
        <v>1.2645378742886508</v>
      </c>
      <c r="DB126" s="667">
        <f>IFERROR((1+(INDEX(Detail!$D144:$M144,MATCH(DB$16,Detail!$D$142:$M$142))/12))^(MAX(0,DB$15)),1)</f>
        <v>1.2676992189743723</v>
      </c>
      <c r="DC126" s="667">
        <f>IFERROR((1+(INDEX(Detail!$D144:$M144,MATCH(DC$16,Detail!$D$142:$M$142))/12))^(MAX(0,DC$15)),1)</f>
        <v>1.2708684670218084</v>
      </c>
      <c r="DD126" s="667">
        <f>IFERROR((1+(INDEX(Detail!$D144:$M144,MATCH(DD$16,Detail!$D$142:$M$142))/12))^(MAX(0,DD$15)),1)</f>
        <v>1.274045638189363</v>
      </c>
      <c r="DE126" s="667">
        <f>IFERROR((1+(INDEX(Detail!$D144:$M144,MATCH(DE$16,Detail!$D$142:$M$142))/12))^(MAX(0,DE$15)),1)</f>
        <v>1.2772307522848361</v>
      </c>
      <c r="DF126" s="667">
        <f>IFERROR((1+(INDEX(Detail!$D144:$M144,MATCH(DF$16,Detail!$D$142:$M$142))/12))^(MAX(0,DF$15)),1)</f>
        <v>1.2804238291655481</v>
      </c>
      <c r="DG126" s="667">
        <f>IFERROR((1+(INDEX(Detail!$D144:$M144,MATCH(DG$16,Detail!$D$142:$M$142))/12))^(MAX(0,DG$15)),1)</f>
        <v>1.2836248887384623</v>
      </c>
      <c r="DH126" s="667">
        <f>IFERROR((1+(INDEX(Detail!$D144:$M144,MATCH(DH$16,Detail!$D$142:$M$142))/12))^(MAX(0,DH$15)),1)</f>
        <v>1.2868339509603084</v>
      </c>
      <c r="DI126" s="667">
        <f>IFERROR((1+(INDEX(Detail!$D144:$M144,MATCH(DI$16,Detail!$D$142:$M$142))/12))^(MAX(0,DI$15)),1)</f>
        <v>1.2900510358377086</v>
      </c>
      <c r="DJ126" s="667">
        <f>IFERROR((1+(INDEX(Detail!$D144:$M144,MATCH(DJ$16,Detail!$D$142:$M$142))/12))^(MAX(0,DJ$15)),1)</f>
        <v>1.2932761634273031</v>
      </c>
      <c r="DK126" s="667">
        <f>IFERROR((1+(INDEX(Detail!$D144:$M144,MATCH(DK$16,Detail!$D$142:$M$142))/12))^(MAX(0,DK$15)),1)</f>
        <v>1.2965093538358714</v>
      </c>
      <c r="DL126" s="667">
        <f>IFERROR((1+(INDEX(Detail!$D144:$M144,MATCH(DL$16,Detail!$D$142:$M$142))/12))^(MAX(0,DL$15)),1)</f>
        <v>1.2997506272204609</v>
      </c>
      <c r="DM126" s="667">
        <f>IFERROR((1+(INDEX(Detail!$D144:$M144,MATCH(DM$16,Detail!$D$142:$M$142))/12))^(MAX(0,DM$15)),1)</f>
        <v>1.3030000037885119</v>
      </c>
      <c r="DN126" s="667">
        <f>IFERROR((1+(INDEX(Detail!$D144:$M144,MATCH(DN$16,Detail!$D$142:$M$142))/12))^(MAX(0,DN$15)),1)</f>
        <v>1.3062575037979831</v>
      </c>
      <c r="DO126" s="667">
        <f>IFERROR((1+(INDEX(Detail!$D144:$M144,MATCH(DO$16,Detail!$D$142:$M$142))/12))^(MAX(0,DO$15)),1)</f>
        <v>1.309523147557478</v>
      </c>
      <c r="DP126" s="667">
        <f>IFERROR((1+(INDEX(Detail!$D144:$M144,MATCH(DP$16,Detail!$D$142:$M$142))/12))^(MAX(0,DP$15)),1)</f>
        <v>1.3127969554263719</v>
      </c>
      <c r="DQ126" s="667">
        <f>IFERROR((1+(INDEX(Detail!$D144:$M144,MATCH(DQ$16,Detail!$D$142:$M$142))/12))^(MAX(0,DQ$15)),1)</f>
        <v>1.3160789478149373</v>
      </c>
      <c r="DR126" s="667">
        <f>IFERROR((1+(INDEX(Detail!$D144:$M144,MATCH(DR$16,Detail!$D$142:$M$142))/12))^(MAX(0,DR$15)),1)</f>
        <v>1.3193691451844747</v>
      </c>
      <c r="DS126" s="667">
        <f>IFERROR((1+(INDEX(Detail!$D144:$M144,MATCH(DS$16,Detail!$D$142:$M$142))/12))^(MAX(0,DS$15)),1)</f>
        <v>1.3226675680474362</v>
      </c>
      <c r="DT126" s="667">
        <f>IFERROR((1+(INDEX(Detail!$D144:$M144,MATCH(DT$16,Detail!$D$142:$M$142))/12))^(MAX(0,DT$15)),1)</f>
        <v>1.3259742369675545</v>
      </c>
      <c r="DU126" s="667">
        <f>IFERROR((1+(INDEX(Detail!$D144:$M144,MATCH(DU$16,Detail!$D$142:$M$142))/12))^(MAX(0,DU$15)),1)</f>
        <v>1.3292891725599736</v>
      </c>
      <c r="DV126" s="667">
        <f>IFERROR((1+(INDEX(Detail!$D144:$M144,MATCH(DV$16,Detail!$D$142:$M$142))/12))^(MAX(0,DV$15)),1)</f>
        <v>1.3326123954913731</v>
      </c>
      <c r="DW126" s="667">
        <f>IFERROR((1+(INDEX(Detail!$D144:$M144,MATCH(DW$16,Detail!$D$142:$M$142))/12))^(MAX(0,DW$15)),1)</f>
        <v>1.3359439264801016</v>
      </c>
      <c r="DX126" s="667">
        <f>IFERROR((1+(INDEX(Detail!$D144:$M144,MATCH(DX$16,Detail!$D$142:$M$142))/12))^(MAX(0,DX$15)),1)</f>
        <v>1.3392837862963018</v>
      </c>
      <c r="DY126" s="667">
        <f>IFERROR((1+(INDEX(Detail!$D144:$M144,MATCH(DY$16,Detail!$D$142:$M$142))/12))^(MAX(0,DY$15)),1)</f>
        <v>1.3426319957620423</v>
      </c>
      <c r="DZ126" s="667">
        <f>IFERROR((1+(INDEX(Detail!$D144:$M144,MATCH(DZ$16,Detail!$D$142:$M$142))/12))^(MAX(0,DZ$15)),1)</f>
        <v>1.3459885757514474</v>
      </c>
      <c r="EA126" s="667">
        <f>IFERROR((1+(INDEX(Detail!$D144:$M144,MATCH(EA$16,Detail!$D$142:$M$142))/12))^(MAX(0,EA$15)),1)</f>
        <v>1.3493535471908258</v>
      </c>
      <c r="EB126" s="667">
        <f>IFERROR((1+(INDEX(Detail!$D144:$M144,MATCH(EB$16,Detail!$D$142:$M$142))/12))^(MAX(0,EB$15)),1)</f>
        <v>1.352726931058803</v>
      </c>
      <c r="EC126" s="667">
        <f>IFERROR((1+(INDEX(Detail!$D144:$M144,MATCH(EC$16,Detail!$D$142:$M$142))/12))^(MAX(0,EC$15)),1)</f>
        <v>1.35610874838645</v>
      </c>
      <c r="ED126" s="667">
        <f>IFERROR((1+(INDEX(Detail!$D144:$M144,MATCH(ED$16,Detail!$D$142:$M$142))/12))^(MAX(0,ED$15)),1)</f>
        <v>1.3594990202574162</v>
      </c>
      <c r="EE126" s="667">
        <f>IFERROR((1+(INDEX(Detail!$D144:$M144,MATCH(EE$16,Detail!$D$142:$M$142))/12))^(MAX(0,EE$15)),1)</f>
        <v>1.3628977678080596</v>
      </c>
      <c r="EF126" s="667">
        <f>IFERROR((1+(INDEX(Detail!$D144:$M144,MATCH(EF$16,Detail!$D$142:$M$142))/12))^(MAX(0,EF$15)),1)</f>
        <v>1.3663050122275799</v>
      </c>
      <c r="EG126" s="667">
        <f>IFERROR((1+(INDEX(Detail!$D144:$M144,MATCH(EG$16,Detail!$D$142:$M$142))/12))^(MAX(0,EG$15)),1)</f>
        <v>1.3697207747581486</v>
      </c>
      <c r="EH126" s="667">
        <f>IFERROR((1+(INDEX(Detail!$D144:$M144,MATCH(EH$16,Detail!$D$142:$M$142))/12))^(MAX(0,EH$15)),1)</f>
        <v>1.3731450766950435</v>
      </c>
      <c r="EI126" s="667">
        <f>IFERROR((1+(INDEX(Detail!$D144:$M144,MATCH(EI$16,Detail!$D$142:$M$142))/12))^(MAX(0,EI$15)),1)</f>
        <v>1.3765779393867814</v>
      </c>
      <c r="EJ126" s="667">
        <f>IFERROR((1+(INDEX(Detail!$D144:$M144,MATCH(EJ$16,Detail!$D$142:$M$142))/12))^(MAX(0,EJ$15)),1)</f>
        <v>1.3800193842352484</v>
      </c>
      <c r="EK126" s="667">
        <f>IFERROR((1+(INDEX(Detail!$D144:$M144,MATCH(EK$16,Detail!$D$142:$M$142))/12))^(MAX(0,EK$15)),1)</f>
        <v>1.3834694326958363</v>
      </c>
      <c r="EL126" s="667">
        <f>IFERROR((1+(INDEX(Detail!$D144:$M144,MATCH(EL$16,Detail!$D$142:$M$142))/12))^(MAX(0,EL$15)),1)</f>
        <v>1.3869281062775758</v>
      </c>
      <c r="EM126" s="667">
        <f>IFERROR((1+(INDEX(Detail!$D144:$M144,MATCH(EM$16,Detail!$D$142:$M$142))/12))^(MAX(0,EM$15)),1)</f>
        <v>1.3903954265432696</v>
      </c>
      <c r="EN126" s="667">
        <f>IFERROR((1+(INDEX(Detail!$D144:$M144,MATCH(EN$16,Detail!$D$142:$M$142))/12))^(MAX(0,EN$15)),1)</f>
        <v>1.3938714151096279</v>
      </c>
      <c r="EO126" s="667">
        <f>IFERROR((1+(INDEX(Detail!$D144:$M144,MATCH(EO$16,Detail!$D$142:$M$142))/12))^(MAX(0,EO$15)),1)</f>
        <v>1.3973560936474017</v>
      </c>
      <c r="EP126" s="667">
        <f>IFERROR((1+(INDEX(Detail!$D144:$M144,MATCH(EP$16,Detail!$D$142:$M$142))/12))^(MAX(0,EP$15)),1)</f>
        <v>1.4008494838815202</v>
      </c>
      <c r="EQ126" s="667">
        <f>IFERROR((1+(INDEX(Detail!$D144:$M144,MATCH(EQ$16,Detail!$D$142:$M$142))/12))^(MAX(0,EQ$15)),1)</f>
        <v>1.4043516075912241</v>
      </c>
      <c r="ER126" s="667">
        <f>IFERROR((1+(INDEX(Detail!$D144:$M144,MATCH(ER$16,Detail!$D$142:$M$142))/12))^(MAX(0,ER$15)),1)</f>
        <v>1.4078624866102021</v>
      </c>
      <c r="ES126" s="667">
        <f>IFERROR((1+(INDEX(Detail!$D144:$M144,MATCH(ES$16,Detail!$D$142:$M$142))/12))^(MAX(0,ES$15)),1)</f>
        <v>1.4113821428267275</v>
      </c>
      <c r="ET126" s="667">
        <f>IFERROR((1+(INDEX(Detail!$D144:$M144,MATCH(ET$16,Detail!$D$142:$M$142))/12))^(MAX(0,ET$15)),1)</f>
        <v>1.4149105981837939</v>
      </c>
      <c r="EU126" s="667">
        <f>IFERROR((1+(INDEX(Detail!$D144:$M144,MATCH(EU$16,Detail!$D$142:$M$142))/12))^(MAX(0,EU$15)),1)</f>
        <v>1.4184478746792537</v>
      </c>
      <c r="EV126" s="667">
        <f>IFERROR((1+(INDEX(Detail!$D144:$M144,MATCH(EV$16,Detail!$D$142:$M$142))/12))^(MAX(0,EV$15)),1)</f>
        <v>1.4219939943659519</v>
      </c>
      <c r="EW126" s="667">
        <f>IFERROR((1+(INDEX(Detail!$D144:$M144,MATCH(EW$16,Detail!$D$142:$M$142))/12))^(MAX(0,EW$15)),1)</f>
        <v>1.4255489793518663</v>
      </c>
      <c r="EX126" s="667">
        <f>IFERROR((1+(INDEX(Detail!$D144:$M144,MATCH(EX$16,Detail!$D$142:$M$142))/12))^(MAX(0,EX$15)),1)</f>
        <v>1.4291128518002458</v>
      </c>
      <c r="EY126" s="667">
        <f>IFERROR((1+(INDEX(Detail!$D144:$M144,MATCH(EY$16,Detail!$D$142:$M$142))/12))^(MAX(0,EY$15)),1)</f>
        <v>1.4326856339297467</v>
      </c>
      <c r="EZ126" s="667">
        <f>IFERROR((1+(INDEX(Detail!$D144:$M144,MATCH(EZ$16,Detail!$D$142:$M$142))/12))^(MAX(0,EZ$15)),1)</f>
        <v>1.4362673480145709</v>
      </c>
      <c r="FA126" s="667">
        <f>IFERROR((1+(INDEX(Detail!$D144:$M144,MATCH(FA$16,Detail!$D$142:$M$142))/12))^(MAX(0,FA$15)),1)</f>
        <v>1.4398580163846075</v>
      </c>
      <c r="FB126" s="667">
        <f>IFERROR((1+(INDEX(Detail!$D144:$M144,MATCH(FB$16,Detail!$D$142:$M$142))/12))^(MAX(0,FB$15)),1)</f>
        <v>1.4434576614255687</v>
      </c>
      <c r="FC126" s="667">
        <f>IFERROR((1+(INDEX(Detail!$D144:$M144,MATCH(FC$16,Detail!$D$142:$M$142))/12))^(MAX(0,FC$15)),1)</f>
        <v>1.4470663055791328</v>
      </c>
      <c r="FD126" s="667">
        <f>IFERROR((1+(INDEX(Detail!$D144:$M144,MATCH(FD$16,Detail!$D$142:$M$142))/12))^(MAX(0,FD$15)),1)</f>
        <v>1.4506839713430804</v>
      </c>
      <c r="FE126" s="667">
        <f>IFERROR((1+(INDEX(Detail!$D144:$M144,MATCH(FE$16,Detail!$D$142:$M$142))/12))^(MAX(0,FE$15)),1)</f>
        <v>1.4543106812714377</v>
      </c>
      <c r="FF126" s="667">
        <f>IFERROR((1+(INDEX(Detail!$D144:$M144,MATCH(FF$16,Detail!$D$142:$M$142))/12))^(MAX(0,FF$15)),1)</f>
        <v>1.4579464579746164</v>
      </c>
      <c r="FG126" s="667">
        <f>IFERROR((1+(INDEX(Detail!$D144:$M144,MATCH(FG$16,Detail!$D$142:$M$142))/12))^(MAX(0,FG$15)),1)</f>
        <v>1.4615913241195528</v>
      </c>
      <c r="FH126" s="667">
        <f>IFERROR((1+(INDEX(Detail!$D144:$M144,MATCH(FH$16,Detail!$D$142:$M$142))/12))^(MAX(0,FH$15)),1)</f>
        <v>1.465245302429852</v>
      </c>
      <c r="FI126" s="667">
        <f>IFERROR((1+(INDEX(Detail!$D144:$M144,MATCH(FI$16,Detail!$D$142:$M$142))/12))^(MAX(0,FI$15)),1)</f>
        <v>1.4689084156859264</v>
      </c>
      <c r="FJ126" s="667">
        <f>IFERROR((1+(INDEX(Detail!$D144:$M144,MATCH(FJ$16,Detail!$D$142:$M$142))/12))^(MAX(0,FJ$15)),1)</f>
        <v>1.4725806867251412</v>
      </c>
      <c r="FK126" s="667">
        <f>IFERROR((1+(INDEX(Detail!$D144:$M144,MATCH(FK$16,Detail!$D$142:$M$142))/12))^(MAX(0,FK$15)),1)</f>
        <v>1.4762621384419539</v>
      </c>
      <c r="FL126" s="667">
        <f>IFERROR((1+(INDEX(Detail!$D144:$M144,MATCH(FL$16,Detail!$D$142:$M$142))/12))^(MAX(0,FL$15)),1)</f>
        <v>1.479952793788059</v>
      </c>
      <c r="FM126" s="667">
        <f>IFERROR((1+(INDEX(Detail!$D144:$M144,MATCH(FM$16,Detail!$D$142:$M$142))/12))^(MAX(0,FM$15)),1)</f>
        <v>1.4836526757725288</v>
      </c>
      <c r="FN126" s="667">
        <f>IFERROR((1+(INDEX(Detail!$D144:$M144,MATCH(FN$16,Detail!$D$142:$M$142))/12))^(MAX(0,FN$15)),1)</f>
        <v>1.4873618074619599</v>
      </c>
      <c r="FO126" s="667">
        <f>IFERROR((1+(INDEX(Detail!$D144:$M144,MATCH(FO$16,Detail!$D$142:$M$142))/12))^(MAX(0,FO$15)),1)</f>
        <v>1.491080211980615</v>
      </c>
      <c r="FP126" s="667">
        <f>IFERROR((1+(INDEX(Detail!$D144:$M144,MATCH(FP$16,Detail!$D$142:$M$142))/12))^(MAX(0,FP$15)),1)</f>
        <v>1.4948079125105667</v>
      </c>
      <c r="FQ126" s="667">
        <f>IFERROR((1+(INDEX(Detail!$D144:$M144,MATCH(FQ$16,Detail!$D$142:$M$142))/12))^(MAX(0,FQ$15)),1)</f>
        <v>1.4985449322918427</v>
      </c>
      <c r="FR126" s="667">
        <f>IFERROR((1+(INDEX(Detail!$D144:$M144,MATCH(FR$16,Detail!$D$142:$M$142))/12))^(MAX(0,FR$15)),1)</f>
        <v>1.5022912946225722</v>
      </c>
      <c r="FS126" s="667">
        <f>IFERROR((1+(INDEX(Detail!$D144:$M144,MATCH(FS$16,Detail!$D$142:$M$142))/12))^(MAX(0,FS$15)),1)</f>
        <v>1.5060470228591289</v>
      </c>
    </row>
    <row r="127" spans="2:175" ht="13.5">
      <c r="B127" s="178" t="s">
        <v>271</v>
      </c>
      <c r="C127" s="665" t="s">
        <v>347</v>
      </c>
      <c r="D127" s="665"/>
      <c r="E127" s="666">
        <f>IFERROR((1+(INDEX(Detail!$D145:$M145,MATCH(E$16,Detail!$D$142:$M$142))/12))^(MAX(0,E$15)),1)</f>
        <v>1</v>
      </c>
      <c r="F127" s="667">
        <f>IFERROR((1+(INDEX(Detail!$D145:$M145,MATCH(F$16,Detail!$D$142:$M$142))/12))^(MAX(0,F$15)),1)</f>
        <v>1</v>
      </c>
      <c r="G127" s="667">
        <f>IFERROR((1+(INDEX(Detail!$D145:$M145,MATCH(G$16,Detail!$D$142:$M$142))/12))^(MAX(0,G$15)),1)</f>
        <v>1</v>
      </c>
      <c r="H127" s="667">
        <f>IFERROR((1+(INDEX(Detail!$D145:$M145,MATCH(H$16,Detail!$D$142:$M$142))/12))^(MAX(0,H$15)),1)</f>
        <v>1</v>
      </c>
      <c r="I127" s="667">
        <f>IFERROR((1+(INDEX(Detail!$D145:$M145,MATCH(I$16,Detail!$D$142:$M$142))/12))^(MAX(0,I$15)),1)</f>
        <v>1</v>
      </c>
      <c r="J127" s="667">
        <f>IFERROR((1+(INDEX(Detail!$D145:$M145,MATCH(J$16,Detail!$D$142:$M$142))/12))^(MAX(0,J$15)),1)</f>
        <v>1</v>
      </c>
      <c r="K127" s="667">
        <f>IFERROR((1+(INDEX(Detail!$D145:$M145,MATCH(K$16,Detail!$D$142:$M$142))/12))^(MAX(0,K$15)),1)</f>
        <v>1</v>
      </c>
      <c r="L127" s="667">
        <f>IFERROR((1+(INDEX(Detail!$D145:$M145,MATCH(L$16,Detail!$D$142:$M$142))/12))^(MAX(0,L$15)),1)</f>
        <v>1.0016666666666667</v>
      </c>
      <c r="M127" s="667">
        <f>IFERROR((1+(INDEX(Detail!$D145:$M145,MATCH(M$16,Detail!$D$142:$M$142))/12))^(MAX(0,M$15)),1)</f>
        <v>1.0033361111111112</v>
      </c>
      <c r="N127" s="667">
        <f>IFERROR((1+(INDEX(Detail!$D145:$M145,MATCH(N$16,Detail!$D$142:$M$142))/12))^(MAX(0,N$15)),1)</f>
        <v>1.0050083379629631</v>
      </c>
      <c r="O127" s="667">
        <f>IFERROR((1+(INDEX(Detail!$D145:$M145,MATCH(O$16,Detail!$D$142:$M$142))/12))^(MAX(0,O$15)),1)</f>
        <v>1.0066833518595681</v>
      </c>
      <c r="P127" s="667">
        <f>IFERROR((1+(INDEX(Detail!$D145:$M145,MATCH(P$16,Detail!$D$142:$M$142))/12))^(MAX(0,P$15)),1)</f>
        <v>1.0083611574460007</v>
      </c>
      <c r="Q127" s="667">
        <f>IFERROR((1+(INDEX(Detail!$D145:$M145,MATCH(Q$16,Detail!$D$142:$M$142))/12))^(MAX(0,Q$15)),1)</f>
        <v>1.0100417593750775</v>
      </c>
      <c r="R127" s="667">
        <f>IFERROR((1+(INDEX(Detail!$D145:$M145,MATCH(R$16,Detail!$D$142:$M$142))/12))^(MAX(0,R$15)),1)</f>
        <v>1.0117251623073693</v>
      </c>
      <c r="S127" s="667">
        <f>IFERROR((1+(INDEX(Detail!$D145:$M145,MATCH(S$16,Detail!$D$142:$M$142))/12))^(MAX(0,S$15)),1)</f>
        <v>1.0134113709112151</v>
      </c>
      <c r="T127" s="667">
        <f>IFERROR((1+(INDEX(Detail!$D145:$M145,MATCH(T$16,Detail!$D$142:$M$142))/12))^(MAX(0,T$15)),1)</f>
        <v>1.0151003898627338</v>
      </c>
      <c r="U127" s="667">
        <f>IFERROR((1+(INDEX(Detail!$D145:$M145,MATCH(U$16,Detail!$D$142:$M$142))/12))^(MAX(0,U$15)),1)</f>
        <v>1.0167922238458384</v>
      </c>
      <c r="V127" s="667">
        <f>IFERROR((1+(INDEX(Detail!$D145:$M145,MATCH(V$16,Detail!$D$142:$M$142))/12))^(MAX(0,V$15)),1)</f>
        <v>1.0184868775522482</v>
      </c>
      <c r="W127" s="667">
        <f>IFERROR((1+(INDEX(Detail!$D145:$M145,MATCH(W$16,Detail!$D$142:$M$142))/12))^(MAX(0,W$15)),1)</f>
        <v>1.020184355681502</v>
      </c>
      <c r="X127" s="667">
        <f>IFERROR((1+(INDEX(Detail!$D145:$M145,MATCH(X$16,Detail!$D$142:$M$142))/12))^(MAX(0,X$15)),1)</f>
        <v>1.0218846629409712</v>
      </c>
      <c r="Y127" s="667">
        <f>IFERROR((1+(INDEX(Detail!$D145:$M145,MATCH(Y$16,Detail!$D$142:$M$142))/12))^(MAX(0,Y$15)),1)</f>
        <v>1.023587804045873</v>
      </c>
      <c r="Z127" s="667">
        <f>IFERROR((1+(INDEX(Detail!$D145:$M145,MATCH(Z$16,Detail!$D$142:$M$142))/12))^(MAX(0,Z$15)),1)</f>
        <v>1.0252937837192828</v>
      </c>
      <c r="AA127" s="667">
        <f>IFERROR((1+(INDEX(Detail!$D145:$M145,MATCH(AA$16,Detail!$D$142:$M$142))/12))^(MAX(0,AA$15)),1)</f>
        <v>1.0270026066921485</v>
      </c>
      <c r="AB127" s="667">
        <f>IFERROR((1+(INDEX(Detail!$D145:$M145,MATCH(AB$16,Detail!$D$142:$M$142))/12))^(MAX(0,AB$15)),1)</f>
        <v>1.028714277703302</v>
      </c>
      <c r="AC127" s="667">
        <f>IFERROR((1+(INDEX(Detail!$D145:$M145,MATCH(AC$16,Detail!$D$142:$M$142))/12))^(MAX(0,AC$15)),1)</f>
        <v>1.0304288014994742</v>
      </c>
      <c r="AD127" s="667">
        <f>IFERROR((1+(INDEX(Detail!$D145:$M145,MATCH(AD$16,Detail!$D$142:$M$142))/12))^(MAX(0,AD$15)),1)</f>
        <v>1.0321461828353069</v>
      </c>
      <c r="AE127" s="667">
        <f>IFERROR((1+(INDEX(Detail!$D145:$M145,MATCH(AE$16,Detail!$D$142:$M$142))/12))^(MAX(0,AE$15)),1)</f>
        <v>1.0338664264733657</v>
      </c>
      <c r="AF127" s="667">
        <f>IFERROR((1+(INDEX(Detail!$D145:$M145,MATCH(AF$16,Detail!$D$142:$M$142))/12))^(MAX(0,AF$15)),1)</f>
        <v>1.0355895371841548</v>
      </c>
      <c r="AG127" s="667">
        <f>IFERROR((1+(INDEX(Detail!$D145:$M145,MATCH(AG$16,Detail!$D$142:$M$142))/12))^(MAX(0,AG$15)),1)</f>
        <v>1.0373155197461283</v>
      </c>
      <c r="AH127" s="667">
        <f>IFERROR((1+(INDEX(Detail!$D145:$M145,MATCH(AH$16,Detail!$D$142:$M$142))/12))^(MAX(0,AH$15)),1)</f>
        <v>1.0390443789457053</v>
      </c>
      <c r="AI127" s="667">
        <f>IFERROR((1+(INDEX(Detail!$D145:$M145,MATCH(AI$16,Detail!$D$142:$M$142))/12))^(MAX(0,AI$15)),1)</f>
        <v>1.0407761195772818</v>
      </c>
      <c r="AJ127" s="667">
        <f>IFERROR((1+(INDEX(Detail!$D145:$M145,MATCH(AJ$16,Detail!$D$142:$M$142))/12))^(MAX(0,AJ$15)),1)</f>
        <v>1.0425107464432437</v>
      </c>
      <c r="AK127" s="667">
        <f>IFERROR((1+(INDEX(Detail!$D145:$M145,MATCH(AK$16,Detail!$D$142:$M$142))/12))^(MAX(0,AK$15)),1)</f>
        <v>1.0442482643539825</v>
      </c>
      <c r="AL127" s="667">
        <f>IFERROR((1+(INDEX(Detail!$D145:$M145,MATCH(AL$16,Detail!$D$142:$M$142))/12))^(MAX(0,AL$15)),1)</f>
        <v>1.045988678127906</v>
      </c>
      <c r="AM127" s="667">
        <f>IFERROR((1+(INDEX(Detail!$D145:$M145,MATCH(AM$16,Detail!$D$142:$M$142))/12))^(MAX(0,AM$15)),1)</f>
        <v>1.0477319925914526</v>
      </c>
      <c r="AN127" s="667">
        <f>IFERROR((1+(INDEX(Detail!$D145:$M145,MATCH(AN$16,Detail!$D$142:$M$142))/12))^(MAX(0,AN$15)),1)</f>
        <v>1.0494782125791051</v>
      </c>
      <c r="AO127" s="667">
        <f>IFERROR((1+(INDEX(Detail!$D145:$M145,MATCH(AO$16,Detail!$D$142:$M$142))/12))^(MAX(0,AO$15)),1)</f>
        <v>1.0512273429334036</v>
      </c>
      <c r="AP127" s="667">
        <f>IFERROR((1+(INDEX(Detail!$D145:$M145,MATCH(AP$16,Detail!$D$142:$M$142))/12))^(MAX(0,AP$15)),1)</f>
        <v>1.0529793885049594</v>
      </c>
      <c r="AQ127" s="667">
        <f>IFERROR((1+(INDEX(Detail!$D145:$M145,MATCH(AQ$16,Detail!$D$142:$M$142))/12))^(MAX(0,AQ$15)),1)</f>
        <v>1.0547343541524679</v>
      </c>
      <c r="AR127" s="667">
        <f>IFERROR((1+(INDEX(Detail!$D145:$M145,MATCH(AR$16,Detail!$D$142:$M$142))/12))^(MAX(0,AR$15)),1)</f>
        <v>1.0564922447427221</v>
      </c>
      <c r="AS127" s="667">
        <f>IFERROR((1+(INDEX(Detail!$D145:$M145,MATCH(AS$16,Detail!$D$142:$M$142))/12))^(MAX(0,AS$15)),1)</f>
        <v>1.0582530651506266</v>
      </c>
      <c r="AT127" s="667">
        <f>IFERROR((1+(INDEX(Detail!$D145:$M145,MATCH(AT$16,Detail!$D$142:$M$142))/12))^(MAX(0,AT$15)),1)</f>
        <v>1.0600168202592111</v>
      </c>
      <c r="AU127" s="667">
        <f>IFERROR((1+(INDEX(Detail!$D145:$M145,MATCH(AU$16,Detail!$D$142:$M$142))/12))^(MAX(0,AU$15)),1)</f>
        <v>1.0617835149596431</v>
      </c>
      <c r="AV127" s="667">
        <f>IFERROR((1+(INDEX(Detail!$D145:$M145,MATCH(AV$16,Detail!$D$142:$M$142))/12))^(MAX(0,AV$15)),1)</f>
        <v>1.0635531541512426</v>
      </c>
      <c r="AW127" s="667">
        <f>IFERROR((1+(INDEX(Detail!$D145:$M145,MATCH(AW$16,Detail!$D$142:$M$142))/12))^(MAX(0,AW$15)),1)</f>
        <v>1.0653257427414946</v>
      </c>
      <c r="AX127" s="667">
        <f>IFERROR((1+(INDEX(Detail!$D145:$M145,MATCH(AX$16,Detail!$D$142:$M$142))/12))^(MAX(0,AX$15)),1)</f>
        <v>1.067101285646064</v>
      </c>
      <c r="AY127" s="667">
        <f>IFERROR((1+(INDEX(Detail!$D145:$M145,MATCH(AY$16,Detail!$D$142:$M$142))/12))^(MAX(0,AY$15)),1)</f>
        <v>1.0688797877888077</v>
      </c>
      <c r="AZ127" s="667">
        <f>IFERROR((1+(INDEX(Detail!$D145:$M145,MATCH(AZ$16,Detail!$D$142:$M$142))/12))^(MAX(0,AZ$15)),1)</f>
        <v>1.0706612541017888</v>
      </c>
      <c r="BA127" s="667">
        <f>IFERROR((1+(INDEX(Detail!$D145:$M145,MATCH(BA$16,Detail!$D$142:$M$142))/12))^(MAX(0,BA$15)),1)</f>
        <v>1.0724456895252918</v>
      </c>
      <c r="BB127" s="667">
        <f>IFERROR((1+(INDEX(Detail!$D145:$M145,MATCH(BB$16,Detail!$D$142:$M$142))/12))^(MAX(0,BB$15)),1)</f>
        <v>1.0742330990078341</v>
      </c>
      <c r="BC127" s="667">
        <f>IFERROR((1+(INDEX(Detail!$D145:$M145,MATCH(BC$16,Detail!$D$142:$M$142))/12))^(MAX(0,BC$15)),1)</f>
        <v>1.0760234875061805</v>
      </c>
      <c r="BD127" s="667">
        <f>IFERROR((1+(INDEX(Detail!$D145:$M145,MATCH(BD$16,Detail!$D$142:$M$142))/12))^(MAX(0,BD$15)),1)</f>
        <v>1.0778168599853577</v>
      </c>
      <c r="BE127" s="667">
        <f>IFERROR((1+(INDEX(Detail!$D145:$M145,MATCH(BE$16,Detail!$D$142:$M$142))/12))^(MAX(0,BE$15)),1)</f>
        <v>1.0796132214186667</v>
      </c>
      <c r="BF127" s="667">
        <f>IFERROR((1+(INDEX(Detail!$D145:$M145,MATCH(BF$16,Detail!$D$142:$M$142))/12))^(MAX(0,BF$15)),1)</f>
        <v>1.0814125767876979</v>
      </c>
      <c r="BG127" s="667">
        <f>IFERROR((1+(INDEX(Detail!$D145:$M145,MATCH(BG$16,Detail!$D$142:$M$142))/12))^(MAX(0,BG$15)),1)</f>
        <v>1.0832149310823442</v>
      </c>
      <c r="BH127" s="667">
        <f>IFERROR((1+(INDEX(Detail!$D145:$M145,MATCH(BH$16,Detail!$D$142:$M$142))/12))^(MAX(0,BH$15)),1)</f>
        <v>1.0850202893008147</v>
      </c>
      <c r="BI127" s="667">
        <f>IFERROR((1+(INDEX(Detail!$D145:$M145,MATCH(BI$16,Detail!$D$142:$M$142))/12))^(MAX(0,BI$15)),1)</f>
        <v>1.0868286564496494</v>
      </c>
      <c r="BJ127" s="667">
        <f>IFERROR((1+(INDEX(Detail!$D145:$M145,MATCH(BJ$16,Detail!$D$142:$M$142))/12))^(MAX(0,BJ$15)),1)</f>
        <v>1.0886400375437324</v>
      </c>
      <c r="BK127" s="667">
        <f>IFERROR((1+(INDEX(Detail!$D145:$M145,MATCH(BK$16,Detail!$D$142:$M$142))/12))^(MAX(0,BK$15)),1)</f>
        <v>1.0904544376063052</v>
      </c>
      <c r="BL127" s="667">
        <f>IFERROR((1+(INDEX(Detail!$D145:$M145,MATCH(BL$16,Detail!$D$142:$M$142))/12))^(MAX(0,BL$15)),1)</f>
        <v>1.0922718616689826</v>
      </c>
      <c r="BM127" s="667">
        <f>IFERROR((1+(INDEX(Detail!$D145:$M145,MATCH(BM$16,Detail!$D$142:$M$142))/12))^(MAX(0,BM$15)),1)</f>
        <v>1.0940923147717643</v>
      </c>
      <c r="BN127" s="667">
        <f>IFERROR((1+(INDEX(Detail!$D145:$M145,MATCH(BN$16,Detail!$D$142:$M$142))/12))^(MAX(0,BN$15)),1)</f>
        <v>1.0959158019630506</v>
      </c>
      <c r="BO127" s="667">
        <f>IFERROR((1+(INDEX(Detail!$D145:$M145,MATCH(BO$16,Detail!$D$142:$M$142))/12))^(MAX(0,BO$15)),1)</f>
        <v>1.0977423282996559</v>
      </c>
      <c r="BP127" s="667">
        <f>IFERROR((1+(INDEX(Detail!$D145:$M145,MATCH(BP$16,Detail!$D$142:$M$142))/12))^(MAX(0,BP$15)),1)</f>
        <v>1.0995718988468219</v>
      </c>
      <c r="BQ127" s="667">
        <f>IFERROR((1+(INDEX(Detail!$D145:$M145,MATCH(BQ$16,Detail!$D$142:$M$142))/12))^(MAX(0,BQ$15)),1)</f>
        <v>1.1014045186782333</v>
      </c>
      <c r="BR127" s="667">
        <f>IFERROR((1+(INDEX(Detail!$D145:$M145,MATCH(BR$16,Detail!$D$142:$M$142))/12))^(MAX(0,BR$15)),1)</f>
        <v>1.1032401928760305</v>
      </c>
      <c r="BS127" s="667">
        <f>IFERROR((1+(INDEX(Detail!$D145:$M145,MATCH(BS$16,Detail!$D$142:$M$142))/12))^(MAX(0,BS$15)),1)</f>
        <v>1.1050789265308238</v>
      </c>
      <c r="BT127" s="667">
        <f>IFERROR((1+(INDEX(Detail!$D145:$M145,MATCH(BT$16,Detail!$D$142:$M$142))/12))^(MAX(0,BT$15)),1)</f>
        <v>1.1069207247417088</v>
      </c>
      <c r="BU127" s="667">
        <f>IFERROR((1+(INDEX(Detail!$D145:$M145,MATCH(BU$16,Detail!$D$142:$M$142))/12))^(MAX(0,BU$15)),1)</f>
        <v>1.1087655926162783</v>
      </c>
      <c r="BV127" s="667">
        <f>IFERROR((1+(INDEX(Detail!$D145:$M145,MATCH(BV$16,Detail!$D$142:$M$142))/12))^(MAX(0,BV$15)),1)</f>
        <v>1.110613535270639</v>
      </c>
      <c r="BW127" s="667">
        <f>IFERROR((1+(INDEX(Detail!$D145:$M145,MATCH(BW$16,Detail!$D$142:$M$142))/12))^(MAX(0,BW$15)),1)</f>
        <v>1.1124645578294234</v>
      </c>
      <c r="BX127" s="667">
        <f>IFERROR((1+(INDEX(Detail!$D145:$M145,MATCH(BX$16,Detail!$D$142:$M$142))/12))^(MAX(0,BX$15)),1)</f>
        <v>1.1143186654258059</v>
      </c>
      <c r="BY127" s="667">
        <f>IFERROR((1+(INDEX(Detail!$D145:$M145,MATCH(BY$16,Detail!$D$142:$M$142))/12))^(MAX(0,BY$15)),1)</f>
        <v>1.1161758632015155</v>
      </c>
      <c r="BZ127" s="667">
        <f>IFERROR((1+(INDEX(Detail!$D145:$M145,MATCH(BZ$16,Detail!$D$142:$M$142))/12))^(MAX(0,BZ$15)),1)</f>
        <v>1.1180361563068515</v>
      </c>
      <c r="CA127" s="667">
        <f>IFERROR((1+(INDEX(Detail!$D145:$M145,MATCH(CA$16,Detail!$D$142:$M$142))/12))^(MAX(0,CA$15)),1)</f>
        <v>1.1198995499006963</v>
      </c>
      <c r="CB127" s="667">
        <f>IFERROR((1+(INDEX(Detail!$D145:$M145,MATCH(CB$16,Detail!$D$142:$M$142))/12))^(MAX(0,CB$15)),1)</f>
        <v>1.1217660491505308</v>
      </c>
      <c r="CC127" s="667">
        <f>IFERROR((1+(INDEX(Detail!$D145:$M145,MATCH(CC$16,Detail!$D$142:$M$142))/12))^(MAX(0,CC$15)),1)</f>
        <v>1.1236356592324483</v>
      </c>
      <c r="CD127" s="667">
        <f>IFERROR((1+(INDEX(Detail!$D145:$M145,MATCH(CD$16,Detail!$D$142:$M$142))/12))^(MAX(0,CD$15)),1)</f>
        <v>1.1255083853311691</v>
      </c>
      <c r="CE127" s="667">
        <f>IFERROR((1+(INDEX(Detail!$D145:$M145,MATCH(CE$16,Detail!$D$142:$M$142))/12))^(MAX(0,CE$15)),1)</f>
        <v>1.1273842326400547</v>
      </c>
      <c r="CF127" s="667">
        <f>IFERROR((1+(INDEX(Detail!$D145:$M145,MATCH(CF$16,Detail!$D$142:$M$142))/12))^(MAX(0,CF$15)),1)</f>
        <v>1.1292632063611214</v>
      </c>
      <c r="CG127" s="667">
        <f>IFERROR((1+(INDEX(Detail!$D145:$M145,MATCH(CG$16,Detail!$D$142:$M$142))/12))^(MAX(0,CG$15)),1)</f>
        <v>1.1311453117050567</v>
      </c>
      <c r="CH127" s="667">
        <f>IFERROR((1+(INDEX(Detail!$D145:$M145,MATCH(CH$16,Detail!$D$142:$M$142))/12))^(MAX(0,CH$15)),1)</f>
        <v>1.133030553891232</v>
      </c>
      <c r="CI127" s="667">
        <f>IFERROR((1+(INDEX(Detail!$D145:$M145,MATCH(CI$16,Detail!$D$142:$M$142))/12))^(MAX(0,CI$15)),1)</f>
        <v>1.1349189381477174</v>
      </c>
      <c r="CJ127" s="667">
        <f>IFERROR((1+(INDEX(Detail!$D145:$M145,MATCH(CJ$16,Detail!$D$142:$M$142))/12))^(MAX(0,CJ$15)),1)</f>
        <v>1.1368104697112971</v>
      </c>
      <c r="CK127" s="667">
        <f>IFERROR((1+(INDEX(Detail!$D145:$M145,MATCH(CK$16,Detail!$D$142:$M$142))/12))^(MAX(0,CK$15)),1)</f>
        <v>1.1387051538274826</v>
      </c>
      <c r="CL127" s="667">
        <f>IFERROR((1+(INDEX(Detail!$D145:$M145,MATCH(CL$16,Detail!$D$142:$M$142))/12))^(MAX(0,CL$15)),1)</f>
        <v>1.1406029957505284</v>
      </c>
      <c r="CM127" s="667">
        <f>IFERROR((1+(INDEX(Detail!$D145:$M145,MATCH(CM$16,Detail!$D$142:$M$142))/12))^(MAX(0,CM$15)),1)</f>
        <v>1.1425040007434462</v>
      </c>
      <c r="CN127" s="667">
        <f>IFERROR((1+(INDEX(Detail!$D145:$M145,MATCH(CN$16,Detail!$D$142:$M$142))/12))^(MAX(0,CN$15)),1)</f>
        <v>1.1444081740780185</v>
      </c>
      <c r="CO127" s="667">
        <f>IFERROR((1+(INDEX(Detail!$D145:$M145,MATCH(CO$16,Detail!$D$142:$M$142))/12))^(MAX(0,CO$15)),1)</f>
        <v>1.1463155210348153</v>
      </c>
      <c r="CP127" s="667">
        <f>IFERROR((1+(INDEX(Detail!$D145:$M145,MATCH(CP$16,Detail!$D$142:$M$142))/12))^(MAX(0,CP$15)),1)</f>
        <v>1.1482260469032068</v>
      </c>
      <c r="CQ127" s="667">
        <f>IFERROR((1+(INDEX(Detail!$D145:$M145,MATCH(CQ$16,Detail!$D$142:$M$142))/12))^(MAX(0,CQ$15)),1)</f>
        <v>1.1501397569813789</v>
      </c>
      <c r="CR127" s="667">
        <f>IFERROR((1+(INDEX(Detail!$D145:$M145,MATCH(CR$16,Detail!$D$142:$M$142))/12))^(MAX(0,CR$15)),1)</f>
        <v>1.1520566565763481</v>
      </c>
      <c r="CS127" s="667">
        <f>IFERROR((1+(INDEX(Detail!$D145:$M145,MATCH(CS$16,Detail!$D$142:$M$142))/12))^(MAX(0,CS$15)),1)</f>
        <v>1.1539767510039751</v>
      </c>
      <c r="CT127" s="667">
        <f>IFERROR((1+(INDEX(Detail!$D145:$M145,MATCH(CT$16,Detail!$D$142:$M$142))/12))^(MAX(0,CT$15)),1)</f>
        <v>1.1559000455889821</v>
      </c>
      <c r="CU127" s="667">
        <f>IFERROR((1+(INDEX(Detail!$D145:$M145,MATCH(CU$16,Detail!$D$142:$M$142))/12))^(MAX(0,CU$15)),1)</f>
        <v>1.1578265456649639</v>
      </c>
      <c r="CV127" s="667">
        <f>IFERROR((1+(INDEX(Detail!$D145:$M145,MATCH(CV$16,Detail!$D$142:$M$142))/12))^(MAX(0,CV$15)),1)</f>
        <v>1.1597562565744053</v>
      </c>
      <c r="CW127" s="667">
        <f>IFERROR((1+(INDEX(Detail!$D145:$M145,MATCH(CW$16,Detail!$D$142:$M$142))/12))^(MAX(0,CW$15)),1)</f>
        <v>1.161689183668696</v>
      </c>
      <c r="CX127" s="667">
        <f>IFERROR((1+(INDEX(Detail!$D145:$M145,MATCH(CX$16,Detail!$D$142:$M$142))/12))^(MAX(0,CX$15)),1)</f>
        <v>1.163625332308144</v>
      </c>
      <c r="CY127" s="667">
        <f>IFERROR((1+(INDEX(Detail!$D145:$M145,MATCH(CY$16,Detail!$D$142:$M$142))/12))^(MAX(0,CY$15)),1)</f>
        <v>1.1655647078619911</v>
      </c>
      <c r="CZ127" s="667">
        <f>IFERROR((1+(INDEX(Detail!$D145:$M145,MATCH(CZ$16,Detail!$D$142:$M$142))/12))^(MAX(0,CZ$15)),1)</f>
        <v>1.1675073157084279</v>
      </c>
      <c r="DA127" s="667">
        <f>IFERROR((1+(INDEX(Detail!$D145:$M145,MATCH(DA$16,Detail!$D$142:$M$142))/12))^(MAX(0,DA$15)),1)</f>
        <v>1.1694531612346084</v>
      </c>
      <c r="DB127" s="667">
        <f>IFERROR((1+(INDEX(Detail!$D145:$M145,MATCH(DB$16,Detail!$D$142:$M$142))/12))^(MAX(0,DB$15)),1)</f>
        <v>1.1714022498366663</v>
      </c>
      <c r="DC127" s="667">
        <f>IFERROR((1+(INDEX(Detail!$D145:$M145,MATCH(DC$16,Detail!$D$142:$M$142))/12))^(MAX(0,DC$15)),1)</f>
        <v>1.1733545869197277</v>
      </c>
      <c r="DD127" s="667">
        <f>IFERROR((1+(INDEX(Detail!$D145:$M145,MATCH(DD$16,Detail!$D$142:$M$142))/12))^(MAX(0,DD$15)),1)</f>
        <v>1.1753101778979274</v>
      </c>
      <c r="DE127" s="667">
        <f>IFERROR((1+(INDEX(Detail!$D145:$M145,MATCH(DE$16,Detail!$D$142:$M$142))/12))^(MAX(0,DE$15)),1)</f>
        <v>1.1772690281944238</v>
      </c>
      <c r="DF127" s="667">
        <f>IFERROR((1+(INDEX(Detail!$D145:$M145,MATCH(DF$16,Detail!$D$142:$M$142))/12))^(MAX(0,DF$15)),1)</f>
        <v>1.1792311432414146</v>
      </c>
      <c r="DG127" s="667">
        <f>IFERROR((1+(INDEX(Detail!$D145:$M145,MATCH(DG$16,Detail!$D$142:$M$142))/12))^(MAX(0,DG$15)),1)</f>
        <v>1.1811965284801504</v>
      </c>
      <c r="DH127" s="667">
        <f>IFERROR((1+(INDEX(Detail!$D145:$M145,MATCH(DH$16,Detail!$D$142:$M$142))/12))^(MAX(0,DH$15)),1)</f>
        <v>1.1831651893609507</v>
      </c>
      <c r="DI127" s="667">
        <f>IFERROR((1+(INDEX(Detail!$D145:$M145,MATCH(DI$16,Detail!$D$142:$M$142))/12))^(MAX(0,DI$15)),1)</f>
        <v>1.1851371313432189</v>
      </c>
      <c r="DJ127" s="667">
        <f>IFERROR((1+(INDEX(Detail!$D145:$M145,MATCH(DJ$16,Detail!$D$142:$M$142))/12))^(MAX(0,DJ$15)),1)</f>
        <v>1.1871123598954578</v>
      </c>
      <c r="DK127" s="667">
        <f>IFERROR((1+(INDEX(Detail!$D145:$M145,MATCH(DK$16,Detail!$D$142:$M$142))/12))^(MAX(0,DK$15)),1)</f>
        <v>1.1890908804952838</v>
      </c>
      <c r="DL127" s="667">
        <f>IFERROR((1+(INDEX(Detail!$D145:$M145,MATCH(DL$16,Detail!$D$142:$M$142))/12))^(MAX(0,DL$15)),1)</f>
        <v>1.1910726986294424</v>
      </c>
      <c r="DM127" s="667">
        <f>IFERROR((1+(INDEX(Detail!$D145:$M145,MATCH(DM$16,Detail!$D$142:$M$142))/12))^(MAX(0,DM$15)),1)</f>
        <v>1.1930578197938249</v>
      </c>
      <c r="DN127" s="667">
        <f>IFERROR((1+(INDEX(Detail!$D145:$M145,MATCH(DN$16,Detail!$D$142:$M$142))/12))^(MAX(0,DN$15)),1)</f>
        <v>1.1950462494934815</v>
      </c>
      <c r="DO127" s="667">
        <f>IFERROR((1+(INDEX(Detail!$D145:$M145,MATCH(DO$16,Detail!$D$142:$M$142))/12))^(MAX(0,DO$15)),1)</f>
        <v>1.1970379932426372</v>
      </c>
      <c r="DP127" s="667">
        <f>IFERROR((1+(INDEX(Detail!$D145:$M145,MATCH(DP$16,Detail!$D$142:$M$142))/12))^(MAX(0,DP$15)),1)</f>
        <v>1.1990330565647085</v>
      </c>
      <c r="DQ127" s="667">
        <f>IFERROR((1+(INDEX(Detail!$D145:$M145,MATCH(DQ$16,Detail!$D$142:$M$142))/12))^(MAX(0,DQ$15)),1)</f>
        <v>1.2010314449923165</v>
      </c>
      <c r="DR127" s="667">
        <f>IFERROR((1+(INDEX(Detail!$D145:$M145,MATCH(DR$16,Detail!$D$142:$M$142))/12))^(MAX(0,DR$15)),1)</f>
        <v>1.2030331640673038</v>
      </c>
      <c r="DS127" s="667">
        <f>IFERROR((1+(INDEX(Detail!$D145:$M145,MATCH(DS$16,Detail!$D$142:$M$142))/12))^(MAX(0,DS$15)),1)</f>
        <v>1.2050382193407494</v>
      </c>
      <c r="DT127" s="667">
        <f>IFERROR((1+(INDEX(Detail!$D145:$M145,MATCH(DT$16,Detail!$D$142:$M$142))/12))^(MAX(0,DT$15)),1)</f>
        <v>1.207046616372984</v>
      </c>
      <c r="DU127" s="667">
        <f>IFERROR((1+(INDEX(Detail!$D145:$M145,MATCH(DU$16,Detail!$D$142:$M$142))/12))^(MAX(0,DU$15)),1)</f>
        <v>1.2090583607336056</v>
      </c>
      <c r="DV127" s="667">
        <f>IFERROR((1+(INDEX(Detail!$D145:$M145,MATCH(DV$16,Detail!$D$142:$M$142))/12))^(MAX(0,DV$15)),1)</f>
        <v>1.2110734580014952</v>
      </c>
      <c r="DW127" s="667">
        <f>IFERROR((1+(INDEX(Detail!$D145:$M145,MATCH(DW$16,Detail!$D$142:$M$142))/12))^(MAX(0,DW$15)),1)</f>
        <v>1.2130919137648311</v>
      </c>
      <c r="DX127" s="667">
        <f>IFERROR((1+(INDEX(Detail!$D145:$M145,MATCH(DX$16,Detail!$D$142:$M$142))/12))^(MAX(0,DX$15)),1)</f>
        <v>1.215113733621106</v>
      </c>
      <c r="DY127" s="667">
        <f>IFERROR((1+(INDEX(Detail!$D145:$M145,MATCH(DY$16,Detail!$D$142:$M$142))/12))^(MAX(0,DY$15)),1)</f>
        <v>1.217138923177141</v>
      </c>
      <c r="DZ127" s="667">
        <f>IFERROR((1+(INDEX(Detail!$D145:$M145,MATCH(DZ$16,Detail!$D$142:$M$142))/12))^(MAX(0,DZ$15)),1)</f>
        <v>1.219167488049103</v>
      </c>
      <c r="EA127" s="667">
        <f>IFERROR((1+(INDEX(Detail!$D145:$M145,MATCH(EA$16,Detail!$D$142:$M$142))/12))^(MAX(0,EA$15)),1)</f>
        <v>1.2211994338625185</v>
      </c>
      <c r="EB127" s="667">
        <f>IFERROR((1+(INDEX(Detail!$D145:$M145,MATCH(EB$16,Detail!$D$142:$M$142))/12))^(MAX(0,EB$15)),1)</f>
        <v>1.2232347662522893</v>
      </c>
      <c r="EC127" s="667">
        <f>IFERROR((1+(INDEX(Detail!$D145:$M145,MATCH(EC$16,Detail!$D$142:$M$142))/12))^(MAX(0,EC$15)),1)</f>
        <v>1.2252734908627099</v>
      </c>
      <c r="ED127" s="667">
        <f>IFERROR((1+(INDEX(Detail!$D145:$M145,MATCH(ED$16,Detail!$D$142:$M$142))/12))^(MAX(0,ED$15)),1)</f>
        <v>1.2273156133474812</v>
      </c>
      <c r="EE127" s="667">
        <f>IFERROR((1+(INDEX(Detail!$D145:$M145,MATCH(EE$16,Detail!$D$142:$M$142))/12))^(MAX(0,EE$15)),1)</f>
        <v>1.2293611393697268</v>
      </c>
      <c r="EF127" s="667">
        <f>IFERROR((1+(INDEX(Detail!$D145:$M145,MATCH(EF$16,Detail!$D$142:$M$142))/12))^(MAX(0,EF$15)),1)</f>
        <v>1.23141007460201</v>
      </c>
      <c r="EG127" s="667">
        <f>IFERROR((1+(INDEX(Detail!$D145:$M145,MATCH(EG$16,Detail!$D$142:$M$142))/12))^(MAX(0,EG$15)),1)</f>
        <v>1.2334624247263466</v>
      </c>
      <c r="EH127" s="667">
        <f>IFERROR((1+(INDEX(Detail!$D145:$M145,MATCH(EH$16,Detail!$D$142:$M$142))/12))^(MAX(0,EH$15)),1)</f>
        <v>1.2355181954342243</v>
      </c>
      <c r="EI127" s="667">
        <f>IFERROR((1+(INDEX(Detail!$D145:$M145,MATCH(EI$16,Detail!$D$142:$M$142))/12))^(MAX(0,EI$15)),1)</f>
        <v>1.2375773924266147</v>
      </c>
      <c r="EJ127" s="667">
        <f>IFERROR((1+(INDEX(Detail!$D145:$M145,MATCH(EJ$16,Detail!$D$142:$M$142))/12))^(MAX(0,EJ$15)),1)</f>
        <v>1.2396400214139924</v>
      </c>
      <c r="EK127" s="667">
        <f>IFERROR((1+(INDEX(Detail!$D145:$M145,MATCH(EK$16,Detail!$D$142:$M$142))/12))^(MAX(0,EK$15)),1)</f>
        <v>1.2417060881163491</v>
      </c>
      <c r="EL127" s="667">
        <f>IFERROR((1+(INDEX(Detail!$D145:$M145,MATCH(EL$16,Detail!$D$142:$M$142))/12))^(MAX(0,EL$15)),1)</f>
        <v>1.2437755982632097</v>
      </c>
      <c r="EM127" s="667">
        <f>IFERROR((1+(INDEX(Detail!$D145:$M145,MATCH(EM$16,Detail!$D$142:$M$142))/12))^(MAX(0,EM$15)),1)</f>
        <v>1.2458485575936487</v>
      </c>
      <c r="EN127" s="667">
        <f>IFERROR((1+(INDEX(Detail!$D145:$M145,MATCH(EN$16,Detail!$D$142:$M$142))/12))^(MAX(0,EN$15)),1)</f>
        <v>1.2479249718563046</v>
      </c>
      <c r="EO127" s="667">
        <f>IFERROR((1+(INDEX(Detail!$D145:$M145,MATCH(EO$16,Detail!$D$142:$M$142))/12))^(MAX(0,EO$15)),1)</f>
        <v>1.2500048468093985</v>
      </c>
      <c r="EP127" s="667">
        <f>IFERROR((1+(INDEX(Detail!$D145:$M145,MATCH(EP$16,Detail!$D$142:$M$142))/12))^(MAX(0,EP$15)),1)</f>
        <v>1.2520881882207475</v>
      </c>
      <c r="EQ127" s="667">
        <f>IFERROR((1+(INDEX(Detail!$D145:$M145,MATCH(EQ$16,Detail!$D$142:$M$142))/12))^(MAX(0,EQ$15)),1)</f>
        <v>1.2541750018677824</v>
      </c>
      <c r="ER127" s="667">
        <f>IFERROR((1+(INDEX(Detail!$D145:$M145,MATCH(ER$16,Detail!$D$142:$M$142))/12))^(MAX(0,ER$15)),1)</f>
        <v>1.256265293537562</v>
      </c>
      <c r="ES127" s="667">
        <f>IFERROR((1+(INDEX(Detail!$D145:$M145,MATCH(ES$16,Detail!$D$142:$M$142))/12))^(MAX(0,ES$15)),1)</f>
        <v>1.2583590690267914</v>
      </c>
      <c r="ET127" s="667">
        <f>IFERROR((1+(INDEX(Detail!$D145:$M145,MATCH(ET$16,Detail!$D$142:$M$142))/12))^(MAX(0,ET$15)),1)</f>
        <v>1.2604563341418362</v>
      </c>
      <c r="EU127" s="667">
        <f>IFERROR((1+(INDEX(Detail!$D145:$M145,MATCH(EU$16,Detail!$D$142:$M$142))/12))^(MAX(0,EU$15)),1)</f>
        <v>1.2625570946987392</v>
      </c>
      <c r="EV127" s="667">
        <f>IFERROR((1+(INDEX(Detail!$D145:$M145,MATCH(EV$16,Detail!$D$142:$M$142))/12))^(MAX(0,EV$15)),1)</f>
        <v>1.2646613565232372</v>
      </c>
      <c r="EW127" s="667">
        <f>IFERROR((1+(INDEX(Detail!$D145:$M145,MATCH(EW$16,Detail!$D$142:$M$142))/12))^(MAX(0,EW$15)),1)</f>
        <v>1.2667691254507762</v>
      </c>
      <c r="EX127" s="667">
        <f>IFERROR((1+(INDEX(Detail!$D145:$M145,MATCH(EX$16,Detail!$D$142:$M$142))/12))^(MAX(0,EX$15)),1)</f>
        <v>1.2688804073265274</v>
      </c>
      <c r="EY127" s="667">
        <f>IFERROR((1+(INDEX(Detail!$D145:$M145,MATCH(EY$16,Detail!$D$142:$M$142))/12))^(MAX(0,EY$15)),1)</f>
        <v>1.2709952080054052</v>
      </c>
      <c r="EZ127" s="667">
        <f>IFERROR((1+(INDEX(Detail!$D145:$M145,MATCH(EZ$16,Detail!$D$142:$M$142))/12))^(MAX(0,EZ$15)),1)</f>
        <v>1.2731135333520809</v>
      </c>
      <c r="FA127" s="667">
        <f>IFERROR((1+(INDEX(Detail!$D145:$M145,MATCH(FA$16,Detail!$D$142:$M$142))/12))^(MAX(0,FA$15)),1)</f>
        <v>1.2752353892410011</v>
      </c>
      <c r="FB127" s="667">
        <f>IFERROR((1+(INDEX(Detail!$D145:$M145,MATCH(FB$16,Detail!$D$142:$M$142))/12))^(MAX(0,FB$15)),1)</f>
        <v>1.277360781556403</v>
      </c>
      <c r="FC127" s="667">
        <f>IFERROR((1+(INDEX(Detail!$D145:$M145,MATCH(FC$16,Detail!$D$142:$M$142))/12))^(MAX(0,FC$15)),1)</f>
        <v>1.2794897161923302</v>
      </c>
      <c r="FD127" s="667">
        <f>IFERROR((1+(INDEX(Detail!$D145:$M145,MATCH(FD$16,Detail!$D$142:$M$142))/12))^(MAX(0,FD$15)),1)</f>
        <v>1.2816221990526511</v>
      </c>
      <c r="FE127" s="667">
        <f>IFERROR((1+(INDEX(Detail!$D145:$M145,MATCH(FE$16,Detail!$D$142:$M$142))/12))^(MAX(0,FE$15)),1)</f>
        <v>1.283758236051072</v>
      </c>
      <c r="FF127" s="667">
        <f>IFERROR((1+(INDEX(Detail!$D145:$M145,MATCH(FF$16,Detail!$D$142:$M$142))/12))^(MAX(0,FF$15)),1)</f>
        <v>1.2858978331111572</v>
      </c>
      <c r="FG127" s="667">
        <f>IFERROR((1+(INDEX(Detail!$D145:$M145,MATCH(FG$16,Detail!$D$142:$M$142))/12))^(MAX(0,FG$15)),1)</f>
        <v>1.2880409961663428</v>
      </c>
      <c r="FH127" s="667">
        <f>IFERROR((1+(INDEX(Detail!$D145:$M145,MATCH(FH$16,Detail!$D$142:$M$142))/12))^(MAX(0,FH$15)),1)</f>
        <v>1.2901877311599532</v>
      </c>
      <c r="FI127" s="667">
        <f>IFERROR((1+(INDEX(Detail!$D145:$M145,MATCH(FI$16,Detail!$D$142:$M$142))/12))^(MAX(0,FI$15)),1)</f>
        <v>1.2923380440452199</v>
      </c>
      <c r="FJ127" s="667">
        <f>IFERROR((1+(INDEX(Detail!$D145:$M145,MATCH(FJ$16,Detail!$D$142:$M$142))/12))^(MAX(0,FJ$15)),1)</f>
        <v>1.2944919407852955</v>
      </c>
      <c r="FK127" s="667">
        <f>IFERROR((1+(INDEX(Detail!$D145:$M145,MATCH(FK$16,Detail!$D$142:$M$142))/12))^(MAX(0,FK$15)),1)</f>
        <v>1.2966494273532709</v>
      </c>
      <c r="FL127" s="667">
        <f>IFERROR((1+(INDEX(Detail!$D145:$M145,MATCH(FL$16,Detail!$D$142:$M$142))/12))^(MAX(0,FL$15)),1)</f>
        <v>1.2988105097321934</v>
      </c>
      <c r="FM127" s="667">
        <f>IFERROR((1+(INDEX(Detail!$D145:$M145,MATCH(FM$16,Detail!$D$142:$M$142))/12))^(MAX(0,FM$15)),1)</f>
        <v>1.3009751939150802</v>
      </c>
      <c r="FN127" s="667">
        <f>IFERROR((1+(INDEX(Detail!$D145:$M145,MATCH(FN$16,Detail!$D$142:$M$142))/12))^(MAX(0,FN$15)),1)</f>
        <v>1.3031434859049389</v>
      </c>
      <c r="FO127" s="667">
        <f>IFERROR((1+(INDEX(Detail!$D145:$M145,MATCH(FO$16,Detail!$D$142:$M$142))/12))^(MAX(0,FO$15)),1)</f>
        <v>1.3053153917147806</v>
      </c>
      <c r="FP127" s="667">
        <f>IFERROR((1+(INDEX(Detail!$D145:$M145,MATCH(FP$16,Detail!$D$142:$M$142))/12))^(MAX(0,FP$15)),1)</f>
        <v>1.3074909173676388</v>
      </c>
      <c r="FQ127" s="667">
        <f>IFERROR((1+(INDEX(Detail!$D145:$M145,MATCH(FQ$16,Detail!$D$142:$M$142))/12))^(MAX(0,FQ$15)),1)</f>
        <v>1.3096700688965848</v>
      </c>
      <c r="FR127" s="667">
        <f>IFERROR((1+(INDEX(Detail!$D145:$M145,MATCH(FR$16,Detail!$D$142:$M$142))/12))^(MAX(0,FR$15)),1)</f>
        <v>1.3118528523447459</v>
      </c>
      <c r="FS127" s="667">
        <f>IFERROR((1+(INDEX(Detail!$D145:$M145,MATCH(FS$16,Detail!$D$142:$M$142))/12))^(MAX(0,FS$15)),1)</f>
        <v>1.3140392737653206</v>
      </c>
    </row>
    <row r="128" spans="2:175" ht="13.5">
      <c r="B128" s="178" t="s">
        <v>272</v>
      </c>
      <c r="C128" s="665" t="s">
        <v>347</v>
      </c>
      <c r="D128" s="665"/>
      <c r="E128" s="666">
        <f>IFERROR((1+(INDEX(Detail!$D146:$M146,MATCH(E$16,Detail!$D$142:$M$142))/12))^(MAX(0,E$15)),1)</f>
        <v>1</v>
      </c>
      <c r="F128" s="667">
        <f>IFERROR((1+(INDEX(Detail!$D146:$M146,MATCH(F$16,Detail!$D$142:$M$142))/12))^(MAX(0,F$15)),1)</f>
        <v>1</v>
      </c>
      <c r="G128" s="667">
        <f>IFERROR((1+(INDEX(Detail!$D146:$M146,MATCH(G$16,Detail!$D$142:$M$142))/12))^(MAX(0,G$15)),1)</f>
        <v>1</v>
      </c>
      <c r="H128" s="667">
        <f>IFERROR((1+(INDEX(Detail!$D146:$M146,MATCH(H$16,Detail!$D$142:$M$142))/12))^(MAX(0,H$15)),1)</f>
        <v>1</v>
      </c>
      <c r="I128" s="667">
        <f>IFERROR((1+(INDEX(Detail!$D146:$M146,MATCH(I$16,Detail!$D$142:$M$142))/12))^(MAX(0,I$15)),1)</f>
        <v>1</v>
      </c>
      <c r="J128" s="667">
        <f>IFERROR((1+(INDEX(Detail!$D146:$M146,MATCH(J$16,Detail!$D$142:$M$142))/12))^(MAX(0,J$15)),1)</f>
        <v>1</v>
      </c>
      <c r="K128" s="667">
        <f>IFERROR((1+(INDEX(Detail!$D146:$M146,MATCH(K$16,Detail!$D$142:$M$142))/12))^(MAX(0,K$15)),1)</f>
        <v>1</v>
      </c>
      <c r="L128" s="667">
        <f>IFERROR((1+(INDEX(Detail!$D146:$M146,MATCH(L$16,Detail!$D$142:$M$142))/12))^(MAX(0,L$15)),1)</f>
        <v>1.0016666666666667</v>
      </c>
      <c r="M128" s="667">
        <f>IFERROR((1+(INDEX(Detail!$D146:$M146,MATCH(M$16,Detail!$D$142:$M$142))/12))^(MAX(0,M$15)),1)</f>
        <v>1.0033361111111112</v>
      </c>
      <c r="N128" s="667">
        <f>IFERROR((1+(INDEX(Detail!$D146:$M146,MATCH(N$16,Detail!$D$142:$M$142))/12))^(MAX(0,N$15)),1)</f>
        <v>1.0050083379629631</v>
      </c>
      <c r="O128" s="667">
        <f>IFERROR((1+(INDEX(Detail!$D146:$M146,MATCH(O$16,Detail!$D$142:$M$142))/12))^(MAX(0,O$15)),1)</f>
        <v>1.0066833518595681</v>
      </c>
      <c r="P128" s="667">
        <f>IFERROR((1+(INDEX(Detail!$D146:$M146,MATCH(P$16,Detail!$D$142:$M$142))/12))^(MAX(0,P$15)),1)</f>
        <v>1.0083611574460007</v>
      </c>
      <c r="Q128" s="667">
        <f>IFERROR((1+(INDEX(Detail!$D146:$M146,MATCH(Q$16,Detail!$D$142:$M$142))/12))^(MAX(0,Q$15)),1)</f>
        <v>1.0100417593750775</v>
      </c>
      <c r="R128" s="667">
        <f>IFERROR((1+(INDEX(Detail!$D146:$M146,MATCH(R$16,Detail!$D$142:$M$142))/12))^(MAX(0,R$15)),1)</f>
        <v>1.0117251623073693</v>
      </c>
      <c r="S128" s="667">
        <f>IFERROR((1+(INDEX(Detail!$D146:$M146,MATCH(S$16,Detail!$D$142:$M$142))/12))^(MAX(0,S$15)),1)</f>
        <v>1.0134113709112151</v>
      </c>
      <c r="T128" s="667">
        <f>IFERROR((1+(INDEX(Detail!$D146:$M146,MATCH(T$16,Detail!$D$142:$M$142))/12))^(MAX(0,T$15)),1)</f>
        <v>1.0151003898627338</v>
      </c>
      <c r="U128" s="667">
        <f>IFERROR((1+(INDEX(Detail!$D146:$M146,MATCH(U$16,Detail!$D$142:$M$142))/12))^(MAX(0,U$15)),1)</f>
        <v>1.0167922238458384</v>
      </c>
      <c r="V128" s="667">
        <f>IFERROR((1+(INDEX(Detail!$D146:$M146,MATCH(V$16,Detail!$D$142:$M$142))/12))^(MAX(0,V$15)),1)</f>
        <v>1.0184868775522482</v>
      </c>
      <c r="W128" s="667">
        <f>IFERROR((1+(INDEX(Detail!$D146:$M146,MATCH(W$16,Detail!$D$142:$M$142))/12))^(MAX(0,W$15)),1)</f>
        <v>1.020184355681502</v>
      </c>
      <c r="X128" s="667">
        <f>IFERROR((1+(INDEX(Detail!$D146:$M146,MATCH(X$16,Detail!$D$142:$M$142))/12))^(MAX(0,X$15)),1)</f>
        <v>1.0218846629409712</v>
      </c>
      <c r="Y128" s="667">
        <f>IFERROR((1+(INDEX(Detail!$D146:$M146,MATCH(Y$16,Detail!$D$142:$M$142))/12))^(MAX(0,Y$15)),1)</f>
        <v>1.023587804045873</v>
      </c>
      <c r="Z128" s="667">
        <f>IFERROR((1+(INDEX(Detail!$D146:$M146,MATCH(Z$16,Detail!$D$142:$M$142))/12))^(MAX(0,Z$15)),1)</f>
        <v>1.0252937837192828</v>
      </c>
      <c r="AA128" s="667">
        <f>IFERROR((1+(INDEX(Detail!$D146:$M146,MATCH(AA$16,Detail!$D$142:$M$142))/12))^(MAX(0,AA$15)),1)</f>
        <v>1.0270026066921485</v>
      </c>
      <c r="AB128" s="667">
        <f>IFERROR((1+(INDEX(Detail!$D146:$M146,MATCH(AB$16,Detail!$D$142:$M$142))/12))^(MAX(0,AB$15)),1)</f>
        <v>1.028714277703302</v>
      </c>
      <c r="AC128" s="667">
        <f>IFERROR((1+(INDEX(Detail!$D146:$M146,MATCH(AC$16,Detail!$D$142:$M$142))/12))^(MAX(0,AC$15)),1)</f>
        <v>1.0304288014994742</v>
      </c>
      <c r="AD128" s="667">
        <f>IFERROR((1+(INDEX(Detail!$D146:$M146,MATCH(AD$16,Detail!$D$142:$M$142))/12))^(MAX(0,AD$15)),1)</f>
        <v>1.0321461828353069</v>
      </c>
      <c r="AE128" s="667">
        <f>IFERROR((1+(INDEX(Detail!$D146:$M146,MATCH(AE$16,Detail!$D$142:$M$142))/12))^(MAX(0,AE$15)),1)</f>
        <v>1.0338664264733657</v>
      </c>
      <c r="AF128" s="667">
        <f>IFERROR((1+(INDEX(Detail!$D146:$M146,MATCH(AF$16,Detail!$D$142:$M$142))/12))^(MAX(0,AF$15)),1)</f>
        <v>1.0355895371841548</v>
      </c>
      <c r="AG128" s="667">
        <f>IFERROR((1+(INDEX(Detail!$D146:$M146,MATCH(AG$16,Detail!$D$142:$M$142))/12))^(MAX(0,AG$15)),1)</f>
        <v>1.0373155197461283</v>
      </c>
      <c r="AH128" s="667">
        <f>IFERROR((1+(INDEX(Detail!$D146:$M146,MATCH(AH$16,Detail!$D$142:$M$142))/12))^(MAX(0,AH$15)),1)</f>
        <v>1.0390443789457053</v>
      </c>
      <c r="AI128" s="667">
        <f>IFERROR((1+(INDEX(Detail!$D146:$M146,MATCH(AI$16,Detail!$D$142:$M$142))/12))^(MAX(0,AI$15)),1)</f>
        <v>1.0407761195772818</v>
      </c>
      <c r="AJ128" s="667">
        <f>IFERROR((1+(INDEX(Detail!$D146:$M146,MATCH(AJ$16,Detail!$D$142:$M$142))/12))^(MAX(0,AJ$15)),1)</f>
        <v>1.0425107464432437</v>
      </c>
      <c r="AK128" s="667">
        <f>IFERROR((1+(INDEX(Detail!$D146:$M146,MATCH(AK$16,Detail!$D$142:$M$142))/12))^(MAX(0,AK$15)),1)</f>
        <v>1.0442482643539825</v>
      </c>
      <c r="AL128" s="667">
        <f>IFERROR((1+(INDEX(Detail!$D146:$M146,MATCH(AL$16,Detail!$D$142:$M$142))/12))^(MAX(0,AL$15)),1)</f>
        <v>1.045988678127906</v>
      </c>
      <c r="AM128" s="667">
        <f>IFERROR((1+(INDEX(Detail!$D146:$M146,MATCH(AM$16,Detail!$D$142:$M$142))/12))^(MAX(0,AM$15)),1)</f>
        <v>1.0477319925914526</v>
      </c>
      <c r="AN128" s="667">
        <f>IFERROR((1+(INDEX(Detail!$D146:$M146,MATCH(AN$16,Detail!$D$142:$M$142))/12))^(MAX(0,AN$15)),1)</f>
        <v>1.0494782125791051</v>
      </c>
      <c r="AO128" s="667">
        <f>IFERROR((1+(INDEX(Detail!$D146:$M146,MATCH(AO$16,Detail!$D$142:$M$142))/12))^(MAX(0,AO$15)),1)</f>
        <v>1.0512273429334036</v>
      </c>
      <c r="AP128" s="667">
        <f>IFERROR((1+(INDEX(Detail!$D146:$M146,MATCH(AP$16,Detail!$D$142:$M$142))/12))^(MAX(0,AP$15)),1)</f>
        <v>1.0529793885049594</v>
      </c>
      <c r="AQ128" s="667">
        <f>IFERROR((1+(INDEX(Detail!$D146:$M146,MATCH(AQ$16,Detail!$D$142:$M$142))/12))^(MAX(0,AQ$15)),1)</f>
        <v>1.0547343541524679</v>
      </c>
      <c r="AR128" s="667">
        <f>IFERROR((1+(INDEX(Detail!$D146:$M146,MATCH(AR$16,Detail!$D$142:$M$142))/12))^(MAX(0,AR$15)),1)</f>
        <v>1.0564922447427221</v>
      </c>
      <c r="AS128" s="667">
        <f>IFERROR((1+(INDEX(Detail!$D146:$M146,MATCH(AS$16,Detail!$D$142:$M$142))/12))^(MAX(0,AS$15)),1)</f>
        <v>1.0582530651506266</v>
      </c>
      <c r="AT128" s="667">
        <f>IFERROR((1+(INDEX(Detail!$D146:$M146,MATCH(AT$16,Detail!$D$142:$M$142))/12))^(MAX(0,AT$15)),1)</f>
        <v>1.0600168202592111</v>
      </c>
      <c r="AU128" s="667">
        <f>IFERROR((1+(INDEX(Detail!$D146:$M146,MATCH(AU$16,Detail!$D$142:$M$142))/12))^(MAX(0,AU$15)),1)</f>
        <v>1.0617835149596431</v>
      </c>
      <c r="AV128" s="667">
        <f>IFERROR((1+(INDEX(Detail!$D146:$M146,MATCH(AV$16,Detail!$D$142:$M$142))/12))^(MAX(0,AV$15)),1)</f>
        <v>1.0635531541512426</v>
      </c>
      <c r="AW128" s="667">
        <f>IFERROR((1+(INDEX(Detail!$D146:$M146,MATCH(AW$16,Detail!$D$142:$M$142))/12))^(MAX(0,AW$15)),1)</f>
        <v>1.0653257427414946</v>
      </c>
      <c r="AX128" s="667">
        <f>IFERROR((1+(INDEX(Detail!$D146:$M146,MATCH(AX$16,Detail!$D$142:$M$142))/12))^(MAX(0,AX$15)),1)</f>
        <v>1.067101285646064</v>
      </c>
      <c r="AY128" s="667">
        <f>IFERROR((1+(INDEX(Detail!$D146:$M146,MATCH(AY$16,Detail!$D$142:$M$142))/12))^(MAX(0,AY$15)),1)</f>
        <v>1.0688797877888077</v>
      </c>
      <c r="AZ128" s="667">
        <f>IFERROR((1+(INDEX(Detail!$D146:$M146,MATCH(AZ$16,Detail!$D$142:$M$142))/12))^(MAX(0,AZ$15)),1)</f>
        <v>1.0706612541017888</v>
      </c>
      <c r="BA128" s="667">
        <f>IFERROR((1+(INDEX(Detail!$D146:$M146,MATCH(BA$16,Detail!$D$142:$M$142))/12))^(MAX(0,BA$15)),1)</f>
        <v>1.0724456895252918</v>
      </c>
      <c r="BB128" s="667">
        <f>IFERROR((1+(INDEX(Detail!$D146:$M146,MATCH(BB$16,Detail!$D$142:$M$142))/12))^(MAX(0,BB$15)),1)</f>
        <v>1.0742330990078341</v>
      </c>
      <c r="BC128" s="667">
        <f>IFERROR((1+(INDEX(Detail!$D146:$M146,MATCH(BC$16,Detail!$D$142:$M$142))/12))^(MAX(0,BC$15)),1)</f>
        <v>1.0760234875061805</v>
      </c>
      <c r="BD128" s="667">
        <f>IFERROR((1+(INDEX(Detail!$D146:$M146,MATCH(BD$16,Detail!$D$142:$M$142))/12))^(MAX(0,BD$15)),1)</f>
        <v>1.0778168599853577</v>
      </c>
      <c r="BE128" s="667">
        <f>IFERROR((1+(INDEX(Detail!$D146:$M146,MATCH(BE$16,Detail!$D$142:$M$142))/12))^(MAX(0,BE$15)),1)</f>
        <v>1.0796132214186667</v>
      </c>
      <c r="BF128" s="667">
        <f>IFERROR((1+(INDEX(Detail!$D146:$M146,MATCH(BF$16,Detail!$D$142:$M$142))/12))^(MAX(0,BF$15)),1)</f>
        <v>1.0814125767876979</v>
      </c>
      <c r="BG128" s="667">
        <f>IFERROR((1+(INDEX(Detail!$D146:$M146,MATCH(BG$16,Detail!$D$142:$M$142))/12))^(MAX(0,BG$15)),1)</f>
        <v>1.0832149310823442</v>
      </c>
      <c r="BH128" s="667">
        <f>IFERROR((1+(INDEX(Detail!$D146:$M146,MATCH(BH$16,Detail!$D$142:$M$142))/12))^(MAX(0,BH$15)),1)</f>
        <v>1.0850202893008147</v>
      </c>
      <c r="BI128" s="667">
        <f>IFERROR((1+(INDEX(Detail!$D146:$M146,MATCH(BI$16,Detail!$D$142:$M$142))/12))^(MAX(0,BI$15)),1)</f>
        <v>1.0868286564496494</v>
      </c>
      <c r="BJ128" s="667">
        <f>IFERROR((1+(INDEX(Detail!$D146:$M146,MATCH(BJ$16,Detail!$D$142:$M$142))/12))^(MAX(0,BJ$15)),1)</f>
        <v>1.0886400375437324</v>
      </c>
      <c r="BK128" s="667">
        <f>IFERROR((1+(INDEX(Detail!$D146:$M146,MATCH(BK$16,Detail!$D$142:$M$142))/12))^(MAX(0,BK$15)),1)</f>
        <v>1.0904544376063052</v>
      </c>
      <c r="BL128" s="667">
        <f>IFERROR((1+(INDEX(Detail!$D146:$M146,MATCH(BL$16,Detail!$D$142:$M$142))/12))^(MAX(0,BL$15)),1)</f>
        <v>1.0922718616689826</v>
      </c>
      <c r="BM128" s="667">
        <f>IFERROR((1+(INDEX(Detail!$D146:$M146,MATCH(BM$16,Detail!$D$142:$M$142))/12))^(MAX(0,BM$15)),1)</f>
        <v>1.0940923147717643</v>
      </c>
      <c r="BN128" s="667">
        <f>IFERROR((1+(INDEX(Detail!$D146:$M146,MATCH(BN$16,Detail!$D$142:$M$142))/12))^(MAX(0,BN$15)),1)</f>
        <v>1.0959158019630506</v>
      </c>
      <c r="BO128" s="667">
        <f>IFERROR((1+(INDEX(Detail!$D146:$M146,MATCH(BO$16,Detail!$D$142:$M$142))/12))^(MAX(0,BO$15)),1)</f>
        <v>1.0977423282996559</v>
      </c>
      <c r="BP128" s="667">
        <f>IFERROR((1+(INDEX(Detail!$D146:$M146,MATCH(BP$16,Detail!$D$142:$M$142))/12))^(MAX(0,BP$15)),1)</f>
        <v>1.0995718988468219</v>
      </c>
      <c r="BQ128" s="667">
        <f>IFERROR((1+(INDEX(Detail!$D146:$M146,MATCH(BQ$16,Detail!$D$142:$M$142))/12))^(MAX(0,BQ$15)),1)</f>
        <v>1.1014045186782333</v>
      </c>
      <c r="BR128" s="667">
        <f>IFERROR((1+(INDEX(Detail!$D146:$M146,MATCH(BR$16,Detail!$D$142:$M$142))/12))^(MAX(0,BR$15)),1)</f>
        <v>1.1032401928760305</v>
      </c>
      <c r="BS128" s="667">
        <f>IFERROR((1+(INDEX(Detail!$D146:$M146,MATCH(BS$16,Detail!$D$142:$M$142))/12))^(MAX(0,BS$15)),1)</f>
        <v>1.1050789265308238</v>
      </c>
      <c r="BT128" s="667">
        <f>IFERROR((1+(INDEX(Detail!$D146:$M146,MATCH(BT$16,Detail!$D$142:$M$142))/12))^(MAX(0,BT$15)),1)</f>
        <v>1.1069207247417088</v>
      </c>
      <c r="BU128" s="667">
        <f>IFERROR((1+(INDEX(Detail!$D146:$M146,MATCH(BU$16,Detail!$D$142:$M$142))/12))^(MAX(0,BU$15)),1)</f>
        <v>1.1087655926162783</v>
      </c>
      <c r="BV128" s="667">
        <f>IFERROR((1+(INDEX(Detail!$D146:$M146,MATCH(BV$16,Detail!$D$142:$M$142))/12))^(MAX(0,BV$15)),1)</f>
        <v>1.110613535270639</v>
      </c>
      <c r="BW128" s="667">
        <f>IFERROR((1+(INDEX(Detail!$D146:$M146,MATCH(BW$16,Detail!$D$142:$M$142))/12))^(MAX(0,BW$15)),1)</f>
        <v>1.1124645578294234</v>
      </c>
      <c r="BX128" s="667">
        <f>IFERROR((1+(INDEX(Detail!$D146:$M146,MATCH(BX$16,Detail!$D$142:$M$142))/12))^(MAX(0,BX$15)),1)</f>
        <v>1.1143186654258059</v>
      </c>
      <c r="BY128" s="667">
        <f>IFERROR((1+(INDEX(Detail!$D146:$M146,MATCH(BY$16,Detail!$D$142:$M$142))/12))^(MAX(0,BY$15)),1)</f>
        <v>1.1161758632015155</v>
      </c>
      <c r="BZ128" s="667">
        <f>IFERROR((1+(INDEX(Detail!$D146:$M146,MATCH(BZ$16,Detail!$D$142:$M$142))/12))^(MAX(0,BZ$15)),1)</f>
        <v>1.1180361563068515</v>
      </c>
      <c r="CA128" s="667">
        <f>IFERROR((1+(INDEX(Detail!$D146:$M146,MATCH(CA$16,Detail!$D$142:$M$142))/12))^(MAX(0,CA$15)),1)</f>
        <v>1.1198995499006963</v>
      </c>
      <c r="CB128" s="667">
        <f>IFERROR((1+(INDEX(Detail!$D146:$M146,MATCH(CB$16,Detail!$D$142:$M$142))/12))^(MAX(0,CB$15)),1)</f>
        <v>1.1217660491505308</v>
      </c>
      <c r="CC128" s="667">
        <f>IFERROR((1+(INDEX(Detail!$D146:$M146,MATCH(CC$16,Detail!$D$142:$M$142))/12))^(MAX(0,CC$15)),1)</f>
        <v>1.1236356592324483</v>
      </c>
      <c r="CD128" s="667">
        <f>IFERROR((1+(INDEX(Detail!$D146:$M146,MATCH(CD$16,Detail!$D$142:$M$142))/12))^(MAX(0,CD$15)),1)</f>
        <v>1.1255083853311691</v>
      </c>
      <c r="CE128" s="667">
        <f>IFERROR((1+(INDEX(Detail!$D146:$M146,MATCH(CE$16,Detail!$D$142:$M$142))/12))^(MAX(0,CE$15)),1)</f>
        <v>1.1273842326400547</v>
      </c>
      <c r="CF128" s="667">
        <f>IFERROR((1+(INDEX(Detail!$D146:$M146,MATCH(CF$16,Detail!$D$142:$M$142))/12))^(MAX(0,CF$15)),1)</f>
        <v>1.1292632063611214</v>
      </c>
      <c r="CG128" s="667">
        <f>IFERROR((1+(INDEX(Detail!$D146:$M146,MATCH(CG$16,Detail!$D$142:$M$142))/12))^(MAX(0,CG$15)),1)</f>
        <v>1.1311453117050567</v>
      </c>
      <c r="CH128" s="667">
        <f>IFERROR((1+(INDEX(Detail!$D146:$M146,MATCH(CH$16,Detail!$D$142:$M$142))/12))^(MAX(0,CH$15)),1)</f>
        <v>1.133030553891232</v>
      </c>
      <c r="CI128" s="667">
        <f>IFERROR((1+(INDEX(Detail!$D146:$M146,MATCH(CI$16,Detail!$D$142:$M$142))/12))^(MAX(0,CI$15)),1)</f>
        <v>1.1349189381477174</v>
      </c>
      <c r="CJ128" s="667">
        <f>IFERROR((1+(INDEX(Detail!$D146:$M146,MATCH(CJ$16,Detail!$D$142:$M$142))/12))^(MAX(0,CJ$15)),1)</f>
        <v>1.1368104697112971</v>
      </c>
      <c r="CK128" s="667">
        <f>IFERROR((1+(INDEX(Detail!$D146:$M146,MATCH(CK$16,Detail!$D$142:$M$142))/12))^(MAX(0,CK$15)),1)</f>
        <v>1.1387051538274826</v>
      </c>
      <c r="CL128" s="667">
        <f>IFERROR((1+(INDEX(Detail!$D146:$M146,MATCH(CL$16,Detail!$D$142:$M$142))/12))^(MAX(0,CL$15)),1)</f>
        <v>1.1406029957505284</v>
      </c>
      <c r="CM128" s="667">
        <f>IFERROR((1+(INDEX(Detail!$D146:$M146,MATCH(CM$16,Detail!$D$142:$M$142))/12))^(MAX(0,CM$15)),1)</f>
        <v>1.1425040007434462</v>
      </c>
      <c r="CN128" s="667">
        <f>IFERROR((1+(INDEX(Detail!$D146:$M146,MATCH(CN$16,Detail!$D$142:$M$142))/12))^(MAX(0,CN$15)),1)</f>
        <v>1.1444081740780185</v>
      </c>
      <c r="CO128" s="667">
        <f>IFERROR((1+(INDEX(Detail!$D146:$M146,MATCH(CO$16,Detail!$D$142:$M$142))/12))^(MAX(0,CO$15)),1)</f>
        <v>1.1463155210348153</v>
      </c>
      <c r="CP128" s="667">
        <f>IFERROR((1+(INDEX(Detail!$D146:$M146,MATCH(CP$16,Detail!$D$142:$M$142))/12))^(MAX(0,CP$15)),1)</f>
        <v>1.1482260469032068</v>
      </c>
      <c r="CQ128" s="667">
        <f>IFERROR((1+(INDEX(Detail!$D146:$M146,MATCH(CQ$16,Detail!$D$142:$M$142))/12))^(MAX(0,CQ$15)),1)</f>
        <v>1.1501397569813789</v>
      </c>
      <c r="CR128" s="667">
        <f>IFERROR((1+(INDEX(Detail!$D146:$M146,MATCH(CR$16,Detail!$D$142:$M$142))/12))^(MAX(0,CR$15)),1)</f>
        <v>1.1520566565763481</v>
      </c>
      <c r="CS128" s="667">
        <f>IFERROR((1+(INDEX(Detail!$D146:$M146,MATCH(CS$16,Detail!$D$142:$M$142))/12))^(MAX(0,CS$15)),1)</f>
        <v>1.1539767510039751</v>
      </c>
      <c r="CT128" s="667">
        <f>IFERROR((1+(INDEX(Detail!$D146:$M146,MATCH(CT$16,Detail!$D$142:$M$142))/12))^(MAX(0,CT$15)),1)</f>
        <v>1.1559000455889821</v>
      </c>
      <c r="CU128" s="667">
        <f>IFERROR((1+(INDEX(Detail!$D146:$M146,MATCH(CU$16,Detail!$D$142:$M$142))/12))^(MAX(0,CU$15)),1)</f>
        <v>1.1578265456649639</v>
      </c>
      <c r="CV128" s="667">
        <f>IFERROR((1+(INDEX(Detail!$D146:$M146,MATCH(CV$16,Detail!$D$142:$M$142))/12))^(MAX(0,CV$15)),1)</f>
        <v>1.1597562565744053</v>
      </c>
      <c r="CW128" s="667">
        <f>IFERROR((1+(INDEX(Detail!$D146:$M146,MATCH(CW$16,Detail!$D$142:$M$142))/12))^(MAX(0,CW$15)),1)</f>
        <v>1.161689183668696</v>
      </c>
      <c r="CX128" s="667">
        <f>IFERROR((1+(INDEX(Detail!$D146:$M146,MATCH(CX$16,Detail!$D$142:$M$142))/12))^(MAX(0,CX$15)),1)</f>
        <v>1.163625332308144</v>
      </c>
      <c r="CY128" s="667">
        <f>IFERROR((1+(INDEX(Detail!$D146:$M146,MATCH(CY$16,Detail!$D$142:$M$142))/12))^(MAX(0,CY$15)),1)</f>
        <v>1.1655647078619911</v>
      </c>
      <c r="CZ128" s="667">
        <f>IFERROR((1+(INDEX(Detail!$D146:$M146,MATCH(CZ$16,Detail!$D$142:$M$142))/12))^(MAX(0,CZ$15)),1)</f>
        <v>1.1675073157084279</v>
      </c>
      <c r="DA128" s="667">
        <f>IFERROR((1+(INDEX(Detail!$D146:$M146,MATCH(DA$16,Detail!$D$142:$M$142))/12))^(MAX(0,DA$15)),1)</f>
        <v>1.1694531612346084</v>
      </c>
      <c r="DB128" s="667">
        <f>IFERROR((1+(INDEX(Detail!$D146:$M146,MATCH(DB$16,Detail!$D$142:$M$142))/12))^(MAX(0,DB$15)),1)</f>
        <v>1.1714022498366663</v>
      </c>
      <c r="DC128" s="667">
        <f>IFERROR((1+(INDEX(Detail!$D146:$M146,MATCH(DC$16,Detail!$D$142:$M$142))/12))^(MAX(0,DC$15)),1)</f>
        <v>1.1733545869197277</v>
      </c>
      <c r="DD128" s="667">
        <f>IFERROR((1+(INDEX(Detail!$D146:$M146,MATCH(DD$16,Detail!$D$142:$M$142))/12))^(MAX(0,DD$15)),1)</f>
        <v>1.1753101778979274</v>
      </c>
      <c r="DE128" s="667">
        <f>IFERROR((1+(INDEX(Detail!$D146:$M146,MATCH(DE$16,Detail!$D$142:$M$142))/12))^(MAX(0,DE$15)),1)</f>
        <v>1.1772690281944238</v>
      </c>
      <c r="DF128" s="667">
        <f>IFERROR((1+(INDEX(Detail!$D146:$M146,MATCH(DF$16,Detail!$D$142:$M$142))/12))^(MAX(0,DF$15)),1)</f>
        <v>1.1792311432414146</v>
      </c>
      <c r="DG128" s="667">
        <f>IFERROR((1+(INDEX(Detail!$D146:$M146,MATCH(DG$16,Detail!$D$142:$M$142))/12))^(MAX(0,DG$15)),1)</f>
        <v>1.1811965284801504</v>
      </c>
      <c r="DH128" s="667">
        <f>IFERROR((1+(INDEX(Detail!$D146:$M146,MATCH(DH$16,Detail!$D$142:$M$142))/12))^(MAX(0,DH$15)),1)</f>
        <v>1.1831651893609507</v>
      </c>
      <c r="DI128" s="667">
        <f>IFERROR((1+(INDEX(Detail!$D146:$M146,MATCH(DI$16,Detail!$D$142:$M$142))/12))^(MAX(0,DI$15)),1)</f>
        <v>1.1851371313432189</v>
      </c>
      <c r="DJ128" s="667">
        <f>IFERROR((1+(INDEX(Detail!$D146:$M146,MATCH(DJ$16,Detail!$D$142:$M$142))/12))^(MAX(0,DJ$15)),1)</f>
        <v>1.1871123598954578</v>
      </c>
      <c r="DK128" s="667">
        <f>IFERROR((1+(INDEX(Detail!$D146:$M146,MATCH(DK$16,Detail!$D$142:$M$142))/12))^(MAX(0,DK$15)),1)</f>
        <v>1.1890908804952838</v>
      </c>
      <c r="DL128" s="667">
        <f>IFERROR((1+(INDEX(Detail!$D146:$M146,MATCH(DL$16,Detail!$D$142:$M$142))/12))^(MAX(0,DL$15)),1)</f>
        <v>1.1910726986294424</v>
      </c>
      <c r="DM128" s="667">
        <f>IFERROR((1+(INDEX(Detail!$D146:$M146,MATCH(DM$16,Detail!$D$142:$M$142))/12))^(MAX(0,DM$15)),1)</f>
        <v>1.1930578197938249</v>
      </c>
      <c r="DN128" s="667">
        <f>IFERROR((1+(INDEX(Detail!$D146:$M146,MATCH(DN$16,Detail!$D$142:$M$142))/12))^(MAX(0,DN$15)),1)</f>
        <v>1.1950462494934815</v>
      </c>
      <c r="DO128" s="667">
        <f>IFERROR((1+(INDEX(Detail!$D146:$M146,MATCH(DO$16,Detail!$D$142:$M$142))/12))^(MAX(0,DO$15)),1)</f>
        <v>1.1970379932426372</v>
      </c>
      <c r="DP128" s="667">
        <f>IFERROR((1+(INDEX(Detail!$D146:$M146,MATCH(DP$16,Detail!$D$142:$M$142))/12))^(MAX(0,DP$15)),1)</f>
        <v>1.1990330565647085</v>
      </c>
      <c r="DQ128" s="667">
        <f>IFERROR((1+(INDEX(Detail!$D146:$M146,MATCH(DQ$16,Detail!$D$142:$M$142))/12))^(MAX(0,DQ$15)),1)</f>
        <v>1.2010314449923165</v>
      </c>
      <c r="DR128" s="667">
        <f>IFERROR((1+(INDEX(Detail!$D146:$M146,MATCH(DR$16,Detail!$D$142:$M$142))/12))^(MAX(0,DR$15)),1)</f>
        <v>1.2030331640673038</v>
      </c>
      <c r="DS128" s="667">
        <f>IFERROR((1+(INDEX(Detail!$D146:$M146,MATCH(DS$16,Detail!$D$142:$M$142))/12))^(MAX(0,DS$15)),1)</f>
        <v>1.2050382193407494</v>
      </c>
      <c r="DT128" s="667">
        <f>IFERROR((1+(INDEX(Detail!$D146:$M146,MATCH(DT$16,Detail!$D$142:$M$142))/12))^(MAX(0,DT$15)),1)</f>
        <v>1.207046616372984</v>
      </c>
      <c r="DU128" s="667">
        <f>IFERROR((1+(INDEX(Detail!$D146:$M146,MATCH(DU$16,Detail!$D$142:$M$142))/12))^(MAX(0,DU$15)),1)</f>
        <v>1.2090583607336056</v>
      </c>
      <c r="DV128" s="667">
        <f>IFERROR((1+(INDEX(Detail!$D146:$M146,MATCH(DV$16,Detail!$D$142:$M$142))/12))^(MAX(0,DV$15)),1)</f>
        <v>1.2110734580014952</v>
      </c>
      <c r="DW128" s="667">
        <f>IFERROR((1+(INDEX(Detail!$D146:$M146,MATCH(DW$16,Detail!$D$142:$M$142))/12))^(MAX(0,DW$15)),1)</f>
        <v>1.2130919137648311</v>
      </c>
      <c r="DX128" s="667">
        <f>IFERROR((1+(INDEX(Detail!$D146:$M146,MATCH(DX$16,Detail!$D$142:$M$142))/12))^(MAX(0,DX$15)),1)</f>
        <v>1.215113733621106</v>
      </c>
      <c r="DY128" s="667">
        <f>IFERROR((1+(INDEX(Detail!$D146:$M146,MATCH(DY$16,Detail!$D$142:$M$142))/12))^(MAX(0,DY$15)),1)</f>
        <v>1.217138923177141</v>
      </c>
      <c r="DZ128" s="667">
        <f>IFERROR((1+(INDEX(Detail!$D146:$M146,MATCH(DZ$16,Detail!$D$142:$M$142))/12))^(MAX(0,DZ$15)),1)</f>
        <v>1.219167488049103</v>
      </c>
      <c r="EA128" s="667">
        <f>IFERROR((1+(INDEX(Detail!$D146:$M146,MATCH(EA$16,Detail!$D$142:$M$142))/12))^(MAX(0,EA$15)),1)</f>
        <v>1.2211994338625185</v>
      </c>
      <c r="EB128" s="667">
        <f>IFERROR((1+(INDEX(Detail!$D146:$M146,MATCH(EB$16,Detail!$D$142:$M$142))/12))^(MAX(0,EB$15)),1)</f>
        <v>1.2232347662522893</v>
      </c>
      <c r="EC128" s="667">
        <f>IFERROR((1+(INDEX(Detail!$D146:$M146,MATCH(EC$16,Detail!$D$142:$M$142))/12))^(MAX(0,EC$15)),1)</f>
        <v>1.2252734908627099</v>
      </c>
      <c r="ED128" s="667">
        <f>IFERROR((1+(INDEX(Detail!$D146:$M146,MATCH(ED$16,Detail!$D$142:$M$142))/12))^(MAX(0,ED$15)),1)</f>
        <v>1.2273156133474812</v>
      </c>
      <c r="EE128" s="667">
        <f>IFERROR((1+(INDEX(Detail!$D146:$M146,MATCH(EE$16,Detail!$D$142:$M$142))/12))^(MAX(0,EE$15)),1)</f>
        <v>1.2293611393697268</v>
      </c>
      <c r="EF128" s="667">
        <f>IFERROR((1+(INDEX(Detail!$D146:$M146,MATCH(EF$16,Detail!$D$142:$M$142))/12))^(MAX(0,EF$15)),1)</f>
        <v>1.23141007460201</v>
      </c>
      <c r="EG128" s="667">
        <f>IFERROR((1+(INDEX(Detail!$D146:$M146,MATCH(EG$16,Detail!$D$142:$M$142))/12))^(MAX(0,EG$15)),1)</f>
        <v>1.2334624247263466</v>
      </c>
      <c r="EH128" s="667">
        <f>IFERROR((1+(INDEX(Detail!$D146:$M146,MATCH(EH$16,Detail!$D$142:$M$142))/12))^(MAX(0,EH$15)),1)</f>
        <v>1.2355181954342243</v>
      </c>
      <c r="EI128" s="667">
        <f>IFERROR((1+(INDEX(Detail!$D146:$M146,MATCH(EI$16,Detail!$D$142:$M$142))/12))^(MAX(0,EI$15)),1)</f>
        <v>1.2375773924266147</v>
      </c>
      <c r="EJ128" s="667">
        <f>IFERROR((1+(INDEX(Detail!$D146:$M146,MATCH(EJ$16,Detail!$D$142:$M$142))/12))^(MAX(0,EJ$15)),1)</f>
        <v>1.2396400214139924</v>
      </c>
      <c r="EK128" s="667">
        <f>IFERROR((1+(INDEX(Detail!$D146:$M146,MATCH(EK$16,Detail!$D$142:$M$142))/12))^(MAX(0,EK$15)),1)</f>
        <v>1.2417060881163491</v>
      </c>
      <c r="EL128" s="667">
        <f>IFERROR((1+(INDEX(Detail!$D146:$M146,MATCH(EL$16,Detail!$D$142:$M$142))/12))^(MAX(0,EL$15)),1)</f>
        <v>1.2437755982632097</v>
      </c>
      <c r="EM128" s="667">
        <f>IFERROR((1+(INDEX(Detail!$D146:$M146,MATCH(EM$16,Detail!$D$142:$M$142))/12))^(MAX(0,EM$15)),1)</f>
        <v>1.2458485575936487</v>
      </c>
      <c r="EN128" s="667">
        <f>IFERROR((1+(INDEX(Detail!$D146:$M146,MATCH(EN$16,Detail!$D$142:$M$142))/12))^(MAX(0,EN$15)),1)</f>
        <v>1.2479249718563046</v>
      </c>
      <c r="EO128" s="667">
        <f>IFERROR((1+(INDEX(Detail!$D146:$M146,MATCH(EO$16,Detail!$D$142:$M$142))/12))^(MAX(0,EO$15)),1)</f>
        <v>1.2500048468093985</v>
      </c>
      <c r="EP128" s="667">
        <f>IFERROR((1+(INDEX(Detail!$D146:$M146,MATCH(EP$16,Detail!$D$142:$M$142))/12))^(MAX(0,EP$15)),1)</f>
        <v>1.2520881882207475</v>
      </c>
      <c r="EQ128" s="667">
        <f>IFERROR((1+(INDEX(Detail!$D146:$M146,MATCH(EQ$16,Detail!$D$142:$M$142))/12))^(MAX(0,EQ$15)),1)</f>
        <v>1.2541750018677824</v>
      </c>
      <c r="ER128" s="667">
        <f>IFERROR((1+(INDEX(Detail!$D146:$M146,MATCH(ER$16,Detail!$D$142:$M$142))/12))^(MAX(0,ER$15)),1)</f>
        <v>1.256265293537562</v>
      </c>
      <c r="ES128" s="667">
        <f>IFERROR((1+(INDEX(Detail!$D146:$M146,MATCH(ES$16,Detail!$D$142:$M$142))/12))^(MAX(0,ES$15)),1)</f>
        <v>1.2583590690267914</v>
      </c>
      <c r="ET128" s="667">
        <f>IFERROR((1+(INDEX(Detail!$D146:$M146,MATCH(ET$16,Detail!$D$142:$M$142))/12))^(MAX(0,ET$15)),1)</f>
        <v>1.2604563341418362</v>
      </c>
      <c r="EU128" s="667">
        <f>IFERROR((1+(INDEX(Detail!$D146:$M146,MATCH(EU$16,Detail!$D$142:$M$142))/12))^(MAX(0,EU$15)),1)</f>
        <v>1.2625570946987392</v>
      </c>
      <c r="EV128" s="667">
        <f>IFERROR((1+(INDEX(Detail!$D146:$M146,MATCH(EV$16,Detail!$D$142:$M$142))/12))^(MAX(0,EV$15)),1)</f>
        <v>1.2646613565232372</v>
      </c>
      <c r="EW128" s="667">
        <f>IFERROR((1+(INDEX(Detail!$D146:$M146,MATCH(EW$16,Detail!$D$142:$M$142))/12))^(MAX(0,EW$15)),1)</f>
        <v>1.2667691254507762</v>
      </c>
      <c r="EX128" s="667">
        <f>IFERROR((1+(INDEX(Detail!$D146:$M146,MATCH(EX$16,Detail!$D$142:$M$142))/12))^(MAX(0,EX$15)),1)</f>
        <v>1.2688804073265274</v>
      </c>
      <c r="EY128" s="667">
        <f>IFERROR((1+(INDEX(Detail!$D146:$M146,MATCH(EY$16,Detail!$D$142:$M$142))/12))^(MAX(0,EY$15)),1)</f>
        <v>1.2709952080054052</v>
      </c>
      <c r="EZ128" s="667">
        <f>IFERROR((1+(INDEX(Detail!$D146:$M146,MATCH(EZ$16,Detail!$D$142:$M$142))/12))^(MAX(0,EZ$15)),1)</f>
        <v>1.2731135333520809</v>
      </c>
      <c r="FA128" s="667">
        <f>IFERROR((1+(INDEX(Detail!$D146:$M146,MATCH(FA$16,Detail!$D$142:$M$142))/12))^(MAX(0,FA$15)),1)</f>
        <v>1.2752353892410011</v>
      </c>
      <c r="FB128" s="667">
        <f>IFERROR((1+(INDEX(Detail!$D146:$M146,MATCH(FB$16,Detail!$D$142:$M$142))/12))^(MAX(0,FB$15)),1)</f>
        <v>1.277360781556403</v>
      </c>
      <c r="FC128" s="667">
        <f>IFERROR((1+(INDEX(Detail!$D146:$M146,MATCH(FC$16,Detail!$D$142:$M$142))/12))^(MAX(0,FC$15)),1)</f>
        <v>1.2794897161923302</v>
      </c>
      <c r="FD128" s="667">
        <f>IFERROR((1+(INDEX(Detail!$D146:$M146,MATCH(FD$16,Detail!$D$142:$M$142))/12))^(MAX(0,FD$15)),1)</f>
        <v>1.2816221990526511</v>
      </c>
      <c r="FE128" s="667">
        <f>IFERROR((1+(INDEX(Detail!$D146:$M146,MATCH(FE$16,Detail!$D$142:$M$142))/12))^(MAX(0,FE$15)),1)</f>
        <v>1.283758236051072</v>
      </c>
      <c r="FF128" s="667">
        <f>IFERROR((1+(INDEX(Detail!$D146:$M146,MATCH(FF$16,Detail!$D$142:$M$142))/12))^(MAX(0,FF$15)),1)</f>
        <v>1.2858978331111572</v>
      </c>
      <c r="FG128" s="667">
        <f>IFERROR((1+(INDEX(Detail!$D146:$M146,MATCH(FG$16,Detail!$D$142:$M$142))/12))^(MAX(0,FG$15)),1)</f>
        <v>1.2880409961663428</v>
      </c>
      <c r="FH128" s="667">
        <f>IFERROR((1+(INDEX(Detail!$D146:$M146,MATCH(FH$16,Detail!$D$142:$M$142))/12))^(MAX(0,FH$15)),1)</f>
        <v>1.2901877311599532</v>
      </c>
      <c r="FI128" s="667">
        <f>IFERROR((1+(INDEX(Detail!$D146:$M146,MATCH(FI$16,Detail!$D$142:$M$142))/12))^(MAX(0,FI$15)),1)</f>
        <v>1.2923380440452199</v>
      </c>
      <c r="FJ128" s="667">
        <f>IFERROR((1+(INDEX(Detail!$D146:$M146,MATCH(FJ$16,Detail!$D$142:$M$142))/12))^(MAX(0,FJ$15)),1)</f>
        <v>1.2944919407852955</v>
      </c>
      <c r="FK128" s="667">
        <f>IFERROR((1+(INDEX(Detail!$D146:$M146,MATCH(FK$16,Detail!$D$142:$M$142))/12))^(MAX(0,FK$15)),1)</f>
        <v>1.2966494273532709</v>
      </c>
      <c r="FL128" s="667">
        <f>IFERROR((1+(INDEX(Detail!$D146:$M146,MATCH(FL$16,Detail!$D$142:$M$142))/12))^(MAX(0,FL$15)),1)</f>
        <v>1.2988105097321934</v>
      </c>
      <c r="FM128" s="667">
        <f>IFERROR((1+(INDEX(Detail!$D146:$M146,MATCH(FM$16,Detail!$D$142:$M$142))/12))^(MAX(0,FM$15)),1)</f>
        <v>1.3009751939150802</v>
      </c>
      <c r="FN128" s="667">
        <f>IFERROR((1+(INDEX(Detail!$D146:$M146,MATCH(FN$16,Detail!$D$142:$M$142))/12))^(MAX(0,FN$15)),1)</f>
        <v>1.3031434859049389</v>
      </c>
      <c r="FO128" s="667">
        <f>IFERROR((1+(INDEX(Detail!$D146:$M146,MATCH(FO$16,Detail!$D$142:$M$142))/12))^(MAX(0,FO$15)),1)</f>
        <v>1.3053153917147806</v>
      </c>
      <c r="FP128" s="667">
        <f>IFERROR((1+(INDEX(Detail!$D146:$M146,MATCH(FP$16,Detail!$D$142:$M$142))/12))^(MAX(0,FP$15)),1)</f>
        <v>1.3074909173676388</v>
      </c>
      <c r="FQ128" s="667">
        <f>IFERROR((1+(INDEX(Detail!$D146:$M146,MATCH(FQ$16,Detail!$D$142:$M$142))/12))^(MAX(0,FQ$15)),1)</f>
        <v>1.3096700688965848</v>
      </c>
      <c r="FR128" s="667">
        <f>IFERROR((1+(INDEX(Detail!$D146:$M146,MATCH(FR$16,Detail!$D$142:$M$142))/12))^(MAX(0,FR$15)),1)</f>
        <v>1.3118528523447459</v>
      </c>
      <c r="FS128" s="667">
        <f>IFERROR((1+(INDEX(Detail!$D146:$M146,MATCH(FS$16,Detail!$D$142:$M$142))/12))^(MAX(0,FS$15)),1)</f>
        <v>1.3140392737653206</v>
      </c>
    </row>
    <row r="129" spans="2:175" ht="13.5">
      <c r="B129" s="178" t="s">
        <v>273</v>
      </c>
      <c r="C129" s="665" t="s">
        <v>347</v>
      </c>
      <c r="D129" s="665"/>
      <c r="E129" s="666">
        <f>IFERROR((1+(INDEX(Detail!$D147:$M147,MATCH(E$16,Detail!$D$142:$M$142))/12))^(MAX(0,E$15)),1)</f>
        <v>1</v>
      </c>
      <c r="F129" s="667">
        <f>IFERROR((1+(INDEX(Detail!$D147:$M147,MATCH(F$16,Detail!$D$142:$M$142))/12))^(MAX(0,F$15)),1)</f>
        <v>1</v>
      </c>
      <c r="G129" s="667">
        <f>IFERROR((1+(INDEX(Detail!$D147:$M147,MATCH(G$16,Detail!$D$142:$M$142))/12))^(MAX(0,G$15)),1)</f>
        <v>1</v>
      </c>
      <c r="H129" s="667">
        <f>IFERROR((1+(INDEX(Detail!$D147:$M147,MATCH(H$16,Detail!$D$142:$M$142))/12))^(MAX(0,H$15)),1)</f>
        <v>1</v>
      </c>
      <c r="I129" s="667">
        <f>IFERROR((1+(INDEX(Detail!$D147:$M147,MATCH(I$16,Detail!$D$142:$M$142))/12))^(MAX(0,I$15)),1)</f>
        <v>1</v>
      </c>
      <c r="J129" s="667">
        <f>IFERROR((1+(INDEX(Detail!$D147:$M147,MATCH(J$16,Detail!$D$142:$M$142))/12))^(MAX(0,J$15)),1)</f>
        <v>1</v>
      </c>
      <c r="K129" s="667">
        <f>IFERROR((1+(INDEX(Detail!$D147:$M147,MATCH(K$16,Detail!$D$142:$M$142))/12))^(MAX(0,K$15)),1)</f>
        <v>1</v>
      </c>
      <c r="L129" s="667">
        <f>IFERROR((1+(INDEX(Detail!$D147:$M147,MATCH(L$16,Detail!$D$142:$M$142))/12))^(MAX(0,L$15)),1)</f>
        <v>1.0016666666666667</v>
      </c>
      <c r="M129" s="667">
        <f>IFERROR((1+(INDEX(Detail!$D147:$M147,MATCH(M$16,Detail!$D$142:$M$142))/12))^(MAX(0,M$15)),1)</f>
        <v>1.0033361111111112</v>
      </c>
      <c r="N129" s="667">
        <f>IFERROR((1+(INDEX(Detail!$D147:$M147,MATCH(N$16,Detail!$D$142:$M$142))/12))^(MAX(0,N$15)),1)</f>
        <v>1.0050083379629631</v>
      </c>
      <c r="O129" s="667">
        <f>IFERROR((1+(INDEX(Detail!$D147:$M147,MATCH(O$16,Detail!$D$142:$M$142))/12))^(MAX(0,O$15)),1)</f>
        <v>1.0066833518595681</v>
      </c>
      <c r="P129" s="667">
        <f>IFERROR((1+(INDEX(Detail!$D147:$M147,MATCH(P$16,Detail!$D$142:$M$142))/12))^(MAX(0,P$15)),1)</f>
        <v>1.0083611574460007</v>
      </c>
      <c r="Q129" s="667">
        <f>IFERROR((1+(INDEX(Detail!$D147:$M147,MATCH(Q$16,Detail!$D$142:$M$142))/12))^(MAX(0,Q$15)),1)</f>
        <v>1.0100417593750775</v>
      </c>
      <c r="R129" s="667">
        <f>IFERROR((1+(INDEX(Detail!$D147:$M147,MATCH(R$16,Detail!$D$142:$M$142))/12))^(MAX(0,R$15)),1)</f>
        <v>1.0117251623073693</v>
      </c>
      <c r="S129" s="667">
        <f>IFERROR((1+(INDEX(Detail!$D147:$M147,MATCH(S$16,Detail!$D$142:$M$142))/12))^(MAX(0,S$15)),1)</f>
        <v>1.0134113709112151</v>
      </c>
      <c r="T129" s="667">
        <f>IFERROR((1+(INDEX(Detail!$D147:$M147,MATCH(T$16,Detail!$D$142:$M$142))/12))^(MAX(0,T$15)),1)</f>
        <v>1.0151003898627338</v>
      </c>
      <c r="U129" s="667">
        <f>IFERROR((1+(INDEX(Detail!$D147:$M147,MATCH(U$16,Detail!$D$142:$M$142))/12))^(MAX(0,U$15)),1)</f>
        <v>1.0167922238458384</v>
      </c>
      <c r="V129" s="667">
        <f>IFERROR((1+(INDEX(Detail!$D147:$M147,MATCH(V$16,Detail!$D$142:$M$142))/12))^(MAX(0,V$15)),1)</f>
        <v>1.0184868775522482</v>
      </c>
      <c r="W129" s="667">
        <f>IFERROR((1+(INDEX(Detail!$D147:$M147,MATCH(W$16,Detail!$D$142:$M$142))/12))^(MAX(0,W$15)),1)</f>
        <v>1.020184355681502</v>
      </c>
      <c r="X129" s="667">
        <f>IFERROR((1+(INDEX(Detail!$D147:$M147,MATCH(X$16,Detail!$D$142:$M$142))/12))^(MAX(0,X$15)),1)</f>
        <v>1.0218846629409712</v>
      </c>
      <c r="Y129" s="667">
        <f>IFERROR((1+(INDEX(Detail!$D147:$M147,MATCH(Y$16,Detail!$D$142:$M$142))/12))^(MAX(0,Y$15)),1)</f>
        <v>1.023587804045873</v>
      </c>
      <c r="Z129" s="667">
        <f>IFERROR((1+(INDEX(Detail!$D147:$M147,MATCH(Z$16,Detail!$D$142:$M$142))/12))^(MAX(0,Z$15)),1)</f>
        <v>1.0252937837192828</v>
      </c>
      <c r="AA129" s="667">
        <f>IFERROR((1+(INDEX(Detail!$D147:$M147,MATCH(AA$16,Detail!$D$142:$M$142))/12))^(MAX(0,AA$15)),1)</f>
        <v>1.0270026066921485</v>
      </c>
      <c r="AB129" s="667">
        <f>IFERROR((1+(INDEX(Detail!$D147:$M147,MATCH(AB$16,Detail!$D$142:$M$142))/12))^(MAX(0,AB$15)),1)</f>
        <v>1.028714277703302</v>
      </c>
      <c r="AC129" s="667">
        <f>IFERROR((1+(INDEX(Detail!$D147:$M147,MATCH(AC$16,Detail!$D$142:$M$142))/12))^(MAX(0,AC$15)),1)</f>
        <v>1.0304288014994742</v>
      </c>
      <c r="AD129" s="667">
        <f>IFERROR((1+(INDEX(Detail!$D147:$M147,MATCH(AD$16,Detail!$D$142:$M$142))/12))^(MAX(0,AD$15)),1)</f>
        <v>1.0321461828353069</v>
      </c>
      <c r="AE129" s="667">
        <f>IFERROR((1+(INDEX(Detail!$D147:$M147,MATCH(AE$16,Detail!$D$142:$M$142))/12))^(MAX(0,AE$15)),1)</f>
        <v>1.0338664264733657</v>
      </c>
      <c r="AF129" s="667">
        <f>IFERROR((1+(INDEX(Detail!$D147:$M147,MATCH(AF$16,Detail!$D$142:$M$142))/12))^(MAX(0,AF$15)),1)</f>
        <v>1.0355895371841548</v>
      </c>
      <c r="AG129" s="667">
        <f>IFERROR((1+(INDEX(Detail!$D147:$M147,MATCH(AG$16,Detail!$D$142:$M$142))/12))^(MAX(0,AG$15)),1)</f>
        <v>1.0373155197461283</v>
      </c>
      <c r="AH129" s="667">
        <f>IFERROR((1+(INDEX(Detail!$D147:$M147,MATCH(AH$16,Detail!$D$142:$M$142))/12))^(MAX(0,AH$15)),1)</f>
        <v>1.0390443789457053</v>
      </c>
      <c r="AI129" s="667">
        <f>IFERROR((1+(INDEX(Detail!$D147:$M147,MATCH(AI$16,Detail!$D$142:$M$142))/12))^(MAX(0,AI$15)),1)</f>
        <v>1.0407761195772818</v>
      </c>
      <c r="AJ129" s="667">
        <f>IFERROR((1+(INDEX(Detail!$D147:$M147,MATCH(AJ$16,Detail!$D$142:$M$142))/12))^(MAX(0,AJ$15)),1)</f>
        <v>1.0425107464432437</v>
      </c>
      <c r="AK129" s="667">
        <f>IFERROR((1+(INDEX(Detail!$D147:$M147,MATCH(AK$16,Detail!$D$142:$M$142))/12))^(MAX(0,AK$15)),1)</f>
        <v>1.0442482643539825</v>
      </c>
      <c r="AL129" s="667">
        <f>IFERROR((1+(INDEX(Detail!$D147:$M147,MATCH(AL$16,Detail!$D$142:$M$142))/12))^(MAX(0,AL$15)),1)</f>
        <v>1.045988678127906</v>
      </c>
      <c r="AM129" s="667">
        <f>IFERROR((1+(INDEX(Detail!$D147:$M147,MATCH(AM$16,Detail!$D$142:$M$142))/12))^(MAX(0,AM$15)),1)</f>
        <v>1.0477319925914526</v>
      </c>
      <c r="AN129" s="667">
        <f>IFERROR((1+(INDEX(Detail!$D147:$M147,MATCH(AN$16,Detail!$D$142:$M$142))/12))^(MAX(0,AN$15)),1)</f>
        <v>1.0494782125791051</v>
      </c>
      <c r="AO129" s="667">
        <f>IFERROR((1+(INDEX(Detail!$D147:$M147,MATCH(AO$16,Detail!$D$142:$M$142))/12))^(MAX(0,AO$15)),1)</f>
        <v>1.0512273429334036</v>
      </c>
      <c r="AP129" s="667">
        <f>IFERROR((1+(INDEX(Detail!$D147:$M147,MATCH(AP$16,Detail!$D$142:$M$142))/12))^(MAX(0,AP$15)),1)</f>
        <v>1.0529793885049594</v>
      </c>
      <c r="AQ129" s="667">
        <f>IFERROR((1+(INDEX(Detail!$D147:$M147,MATCH(AQ$16,Detail!$D$142:$M$142))/12))^(MAX(0,AQ$15)),1)</f>
        <v>1.0547343541524679</v>
      </c>
      <c r="AR129" s="667">
        <f>IFERROR((1+(INDEX(Detail!$D147:$M147,MATCH(AR$16,Detail!$D$142:$M$142))/12))^(MAX(0,AR$15)),1)</f>
        <v>1.0564922447427221</v>
      </c>
      <c r="AS129" s="667">
        <f>IFERROR((1+(INDEX(Detail!$D147:$M147,MATCH(AS$16,Detail!$D$142:$M$142))/12))^(MAX(0,AS$15)),1)</f>
        <v>1.0582530651506266</v>
      </c>
      <c r="AT129" s="667">
        <f>IFERROR((1+(INDEX(Detail!$D147:$M147,MATCH(AT$16,Detail!$D$142:$M$142))/12))^(MAX(0,AT$15)),1)</f>
        <v>1.0600168202592111</v>
      </c>
      <c r="AU129" s="667">
        <f>IFERROR((1+(INDEX(Detail!$D147:$M147,MATCH(AU$16,Detail!$D$142:$M$142))/12))^(MAX(0,AU$15)),1)</f>
        <v>1.0617835149596431</v>
      </c>
      <c r="AV129" s="667">
        <f>IFERROR((1+(INDEX(Detail!$D147:$M147,MATCH(AV$16,Detail!$D$142:$M$142))/12))^(MAX(0,AV$15)),1)</f>
        <v>1.0635531541512426</v>
      </c>
      <c r="AW129" s="667">
        <f>IFERROR((1+(INDEX(Detail!$D147:$M147,MATCH(AW$16,Detail!$D$142:$M$142))/12))^(MAX(0,AW$15)),1)</f>
        <v>1.0653257427414946</v>
      </c>
      <c r="AX129" s="667">
        <f>IFERROR((1+(INDEX(Detail!$D147:$M147,MATCH(AX$16,Detail!$D$142:$M$142))/12))^(MAX(0,AX$15)),1)</f>
        <v>1.067101285646064</v>
      </c>
      <c r="AY129" s="667">
        <f>IFERROR((1+(INDEX(Detail!$D147:$M147,MATCH(AY$16,Detail!$D$142:$M$142))/12))^(MAX(0,AY$15)),1)</f>
        <v>1.0688797877888077</v>
      </c>
      <c r="AZ129" s="667">
        <f>IFERROR((1+(INDEX(Detail!$D147:$M147,MATCH(AZ$16,Detail!$D$142:$M$142))/12))^(MAX(0,AZ$15)),1)</f>
        <v>1.0706612541017888</v>
      </c>
      <c r="BA129" s="667">
        <f>IFERROR((1+(INDEX(Detail!$D147:$M147,MATCH(BA$16,Detail!$D$142:$M$142))/12))^(MAX(0,BA$15)),1)</f>
        <v>1.0724456895252918</v>
      </c>
      <c r="BB129" s="667">
        <f>IFERROR((1+(INDEX(Detail!$D147:$M147,MATCH(BB$16,Detail!$D$142:$M$142))/12))^(MAX(0,BB$15)),1)</f>
        <v>1.0742330990078341</v>
      </c>
      <c r="BC129" s="667">
        <f>IFERROR((1+(INDEX(Detail!$D147:$M147,MATCH(BC$16,Detail!$D$142:$M$142))/12))^(MAX(0,BC$15)),1)</f>
        <v>1.0760234875061805</v>
      </c>
      <c r="BD129" s="667">
        <f>IFERROR((1+(INDEX(Detail!$D147:$M147,MATCH(BD$16,Detail!$D$142:$M$142))/12))^(MAX(0,BD$15)),1)</f>
        <v>1.0778168599853577</v>
      </c>
      <c r="BE129" s="667">
        <f>IFERROR((1+(INDEX(Detail!$D147:$M147,MATCH(BE$16,Detail!$D$142:$M$142))/12))^(MAX(0,BE$15)),1)</f>
        <v>1.0796132214186667</v>
      </c>
      <c r="BF129" s="667">
        <f>IFERROR((1+(INDEX(Detail!$D147:$M147,MATCH(BF$16,Detail!$D$142:$M$142))/12))^(MAX(0,BF$15)),1)</f>
        <v>1.0814125767876979</v>
      </c>
      <c r="BG129" s="667">
        <f>IFERROR((1+(INDEX(Detail!$D147:$M147,MATCH(BG$16,Detail!$D$142:$M$142))/12))^(MAX(0,BG$15)),1)</f>
        <v>1.0832149310823442</v>
      </c>
      <c r="BH129" s="667">
        <f>IFERROR((1+(INDEX(Detail!$D147:$M147,MATCH(BH$16,Detail!$D$142:$M$142))/12))^(MAX(0,BH$15)),1)</f>
        <v>1.0850202893008147</v>
      </c>
      <c r="BI129" s="667">
        <f>IFERROR((1+(INDEX(Detail!$D147:$M147,MATCH(BI$16,Detail!$D$142:$M$142))/12))^(MAX(0,BI$15)),1)</f>
        <v>1.0868286564496494</v>
      </c>
      <c r="BJ129" s="667">
        <f>IFERROR((1+(INDEX(Detail!$D147:$M147,MATCH(BJ$16,Detail!$D$142:$M$142))/12))^(MAX(0,BJ$15)),1)</f>
        <v>1.0886400375437324</v>
      </c>
      <c r="BK129" s="667">
        <f>IFERROR((1+(INDEX(Detail!$D147:$M147,MATCH(BK$16,Detail!$D$142:$M$142))/12))^(MAX(0,BK$15)),1)</f>
        <v>1.0904544376063052</v>
      </c>
      <c r="BL129" s="667">
        <f>IFERROR((1+(INDEX(Detail!$D147:$M147,MATCH(BL$16,Detail!$D$142:$M$142))/12))^(MAX(0,BL$15)),1)</f>
        <v>1.0922718616689826</v>
      </c>
      <c r="BM129" s="667">
        <f>IFERROR((1+(INDEX(Detail!$D147:$M147,MATCH(BM$16,Detail!$D$142:$M$142))/12))^(MAX(0,BM$15)),1)</f>
        <v>1.0940923147717643</v>
      </c>
      <c r="BN129" s="667">
        <f>IFERROR((1+(INDEX(Detail!$D147:$M147,MATCH(BN$16,Detail!$D$142:$M$142))/12))^(MAX(0,BN$15)),1)</f>
        <v>1.0959158019630506</v>
      </c>
      <c r="BO129" s="667">
        <f>IFERROR((1+(INDEX(Detail!$D147:$M147,MATCH(BO$16,Detail!$D$142:$M$142))/12))^(MAX(0,BO$15)),1)</f>
        <v>1.0977423282996559</v>
      </c>
      <c r="BP129" s="667">
        <f>IFERROR((1+(INDEX(Detail!$D147:$M147,MATCH(BP$16,Detail!$D$142:$M$142))/12))^(MAX(0,BP$15)),1)</f>
        <v>1.0995718988468219</v>
      </c>
      <c r="BQ129" s="667">
        <f>IFERROR((1+(INDEX(Detail!$D147:$M147,MATCH(BQ$16,Detail!$D$142:$M$142))/12))^(MAX(0,BQ$15)),1)</f>
        <v>1.1014045186782333</v>
      </c>
      <c r="BR129" s="667">
        <f>IFERROR((1+(INDEX(Detail!$D147:$M147,MATCH(BR$16,Detail!$D$142:$M$142))/12))^(MAX(0,BR$15)),1)</f>
        <v>1.1032401928760305</v>
      </c>
      <c r="BS129" s="667">
        <f>IFERROR((1+(INDEX(Detail!$D147:$M147,MATCH(BS$16,Detail!$D$142:$M$142))/12))^(MAX(0,BS$15)),1)</f>
        <v>1.1050789265308238</v>
      </c>
      <c r="BT129" s="667">
        <f>IFERROR((1+(INDEX(Detail!$D147:$M147,MATCH(BT$16,Detail!$D$142:$M$142))/12))^(MAX(0,BT$15)),1)</f>
        <v>1.1069207247417088</v>
      </c>
      <c r="BU129" s="667">
        <f>IFERROR((1+(INDEX(Detail!$D147:$M147,MATCH(BU$16,Detail!$D$142:$M$142))/12))^(MAX(0,BU$15)),1)</f>
        <v>1.1087655926162783</v>
      </c>
      <c r="BV129" s="667">
        <f>IFERROR((1+(INDEX(Detail!$D147:$M147,MATCH(BV$16,Detail!$D$142:$M$142))/12))^(MAX(0,BV$15)),1)</f>
        <v>1.110613535270639</v>
      </c>
      <c r="BW129" s="667">
        <f>IFERROR((1+(INDEX(Detail!$D147:$M147,MATCH(BW$16,Detail!$D$142:$M$142))/12))^(MAX(0,BW$15)),1)</f>
        <v>1.1124645578294234</v>
      </c>
      <c r="BX129" s="667">
        <f>IFERROR((1+(INDEX(Detail!$D147:$M147,MATCH(BX$16,Detail!$D$142:$M$142))/12))^(MAX(0,BX$15)),1)</f>
        <v>1.1143186654258059</v>
      </c>
      <c r="BY129" s="667">
        <f>IFERROR((1+(INDEX(Detail!$D147:$M147,MATCH(BY$16,Detail!$D$142:$M$142))/12))^(MAX(0,BY$15)),1)</f>
        <v>1.1161758632015155</v>
      </c>
      <c r="BZ129" s="667">
        <f>IFERROR((1+(INDEX(Detail!$D147:$M147,MATCH(BZ$16,Detail!$D$142:$M$142))/12))^(MAX(0,BZ$15)),1)</f>
        <v>1.1180361563068515</v>
      </c>
      <c r="CA129" s="667">
        <f>IFERROR((1+(INDEX(Detail!$D147:$M147,MATCH(CA$16,Detail!$D$142:$M$142))/12))^(MAX(0,CA$15)),1)</f>
        <v>1.1198995499006963</v>
      </c>
      <c r="CB129" s="667">
        <f>IFERROR((1+(INDEX(Detail!$D147:$M147,MATCH(CB$16,Detail!$D$142:$M$142))/12))^(MAX(0,CB$15)),1)</f>
        <v>1.1217660491505308</v>
      </c>
      <c r="CC129" s="667">
        <f>IFERROR((1+(INDEX(Detail!$D147:$M147,MATCH(CC$16,Detail!$D$142:$M$142))/12))^(MAX(0,CC$15)),1)</f>
        <v>1.1236356592324483</v>
      </c>
      <c r="CD129" s="667">
        <f>IFERROR((1+(INDEX(Detail!$D147:$M147,MATCH(CD$16,Detail!$D$142:$M$142))/12))^(MAX(0,CD$15)),1)</f>
        <v>1.1255083853311691</v>
      </c>
      <c r="CE129" s="667">
        <f>IFERROR((1+(INDEX(Detail!$D147:$M147,MATCH(CE$16,Detail!$D$142:$M$142))/12))^(MAX(0,CE$15)),1)</f>
        <v>1.1273842326400547</v>
      </c>
      <c r="CF129" s="667">
        <f>IFERROR((1+(INDEX(Detail!$D147:$M147,MATCH(CF$16,Detail!$D$142:$M$142))/12))^(MAX(0,CF$15)),1)</f>
        <v>1.1292632063611214</v>
      </c>
      <c r="CG129" s="667">
        <f>IFERROR((1+(INDEX(Detail!$D147:$M147,MATCH(CG$16,Detail!$D$142:$M$142))/12))^(MAX(0,CG$15)),1)</f>
        <v>1.1311453117050567</v>
      </c>
      <c r="CH129" s="667">
        <f>IFERROR((1+(INDEX(Detail!$D147:$M147,MATCH(CH$16,Detail!$D$142:$M$142))/12))^(MAX(0,CH$15)),1)</f>
        <v>1.133030553891232</v>
      </c>
      <c r="CI129" s="667">
        <f>IFERROR((1+(INDEX(Detail!$D147:$M147,MATCH(CI$16,Detail!$D$142:$M$142))/12))^(MAX(0,CI$15)),1)</f>
        <v>1.1349189381477174</v>
      </c>
      <c r="CJ129" s="667">
        <f>IFERROR((1+(INDEX(Detail!$D147:$M147,MATCH(CJ$16,Detail!$D$142:$M$142))/12))^(MAX(0,CJ$15)),1)</f>
        <v>1.1368104697112971</v>
      </c>
      <c r="CK129" s="667">
        <f>IFERROR((1+(INDEX(Detail!$D147:$M147,MATCH(CK$16,Detail!$D$142:$M$142))/12))^(MAX(0,CK$15)),1)</f>
        <v>1.1387051538274826</v>
      </c>
      <c r="CL129" s="667">
        <f>IFERROR((1+(INDEX(Detail!$D147:$M147,MATCH(CL$16,Detail!$D$142:$M$142))/12))^(MAX(0,CL$15)),1)</f>
        <v>1.1406029957505284</v>
      </c>
      <c r="CM129" s="667">
        <f>IFERROR((1+(INDEX(Detail!$D147:$M147,MATCH(CM$16,Detail!$D$142:$M$142))/12))^(MAX(0,CM$15)),1)</f>
        <v>1.1425040007434462</v>
      </c>
      <c r="CN129" s="667">
        <f>IFERROR((1+(INDEX(Detail!$D147:$M147,MATCH(CN$16,Detail!$D$142:$M$142))/12))^(MAX(0,CN$15)),1)</f>
        <v>1.1444081740780185</v>
      </c>
      <c r="CO129" s="667">
        <f>IFERROR((1+(INDEX(Detail!$D147:$M147,MATCH(CO$16,Detail!$D$142:$M$142))/12))^(MAX(0,CO$15)),1)</f>
        <v>1.1463155210348153</v>
      </c>
      <c r="CP129" s="667">
        <f>IFERROR((1+(INDEX(Detail!$D147:$M147,MATCH(CP$16,Detail!$D$142:$M$142))/12))^(MAX(0,CP$15)),1)</f>
        <v>1.1482260469032068</v>
      </c>
      <c r="CQ129" s="667">
        <f>IFERROR((1+(INDEX(Detail!$D147:$M147,MATCH(CQ$16,Detail!$D$142:$M$142))/12))^(MAX(0,CQ$15)),1)</f>
        <v>1.1501397569813789</v>
      </c>
      <c r="CR129" s="667">
        <f>IFERROR((1+(INDEX(Detail!$D147:$M147,MATCH(CR$16,Detail!$D$142:$M$142))/12))^(MAX(0,CR$15)),1)</f>
        <v>1.1520566565763481</v>
      </c>
      <c r="CS129" s="667">
        <f>IFERROR((1+(INDEX(Detail!$D147:$M147,MATCH(CS$16,Detail!$D$142:$M$142))/12))^(MAX(0,CS$15)),1)</f>
        <v>1.1539767510039751</v>
      </c>
      <c r="CT129" s="667">
        <f>IFERROR((1+(INDEX(Detail!$D147:$M147,MATCH(CT$16,Detail!$D$142:$M$142))/12))^(MAX(0,CT$15)),1)</f>
        <v>1.1559000455889821</v>
      </c>
      <c r="CU129" s="667">
        <f>IFERROR((1+(INDEX(Detail!$D147:$M147,MATCH(CU$16,Detail!$D$142:$M$142))/12))^(MAX(0,CU$15)),1)</f>
        <v>1.1578265456649639</v>
      </c>
      <c r="CV129" s="667">
        <f>IFERROR((1+(INDEX(Detail!$D147:$M147,MATCH(CV$16,Detail!$D$142:$M$142))/12))^(MAX(0,CV$15)),1)</f>
        <v>1.1597562565744053</v>
      </c>
      <c r="CW129" s="667">
        <f>IFERROR((1+(INDEX(Detail!$D147:$M147,MATCH(CW$16,Detail!$D$142:$M$142))/12))^(MAX(0,CW$15)),1)</f>
        <v>1.161689183668696</v>
      </c>
      <c r="CX129" s="667">
        <f>IFERROR((1+(INDEX(Detail!$D147:$M147,MATCH(CX$16,Detail!$D$142:$M$142))/12))^(MAX(0,CX$15)),1)</f>
        <v>1.163625332308144</v>
      </c>
      <c r="CY129" s="667">
        <f>IFERROR((1+(INDEX(Detail!$D147:$M147,MATCH(CY$16,Detail!$D$142:$M$142))/12))^(MAX(0,CY$15)),1)</f>
        <v>1.1655647078619911</v>
      </c>
      <c r="CZ129" s="667">
        <f>IFERROR((1+(INDEX(Detail!$D147:$M147,MATCH(CZ$16,Detail!$D$142:$M$142))/12))^(MAX(0,CZ$15)),1)</f>
        <v>1.1675073157084279</v>
      </c>
      <c r="DA129" s="667">
        <f>IFERROR((1+(INDEX(Detail!$D147:$M147,MATCH(DA$16,Detail!$D$142:$M$142))/12))^(MAX(0,DA$15)),1)</f>
        <v>1.1694531612346084</v>
      </c>
      <c r="DB129" s="667">
        <f>IFERROR((1+(INDEX(Detail!$D147:$M147,MATCH(DB$16,Detail!$D$142:$M$142))/12))^(MAX(0,DB$15)),1)</f>
        <v>1.1714022498366663</v>
      </c>
      <c r="DC129" s="667">
        <f>IFERROR((1+(INDEX(Detail!$D147:$M147,MATCH(DC$16,Detail!$D$142:$M$142))/12))^(MAX(0,DC$15)),1)</f>
        <v>1.1733545869197277</v>
      </c>
      <c r="DD129" s="667">
        <f>IFERROR((1+(INDEX(Detail!$D147:$M147,MATCH(DD$16,Detail!$D$142:$M$142))/12))^(MAX(0,DD$15)),1)</f>
        <v>1.1753101778979274</v>
      </c>
      <c r="DE129" s="667">
        <f>IFERROR((1+(INDEX(Detail!$D147:$M147,MATCH(DE$16,Detail!$D$142:$M$142))/12))^(MAX(0,DE$15)),1)</f>
        <v>1.1772690281944238</v>
      </c>
      <c r="DF129" s="667">
        <f>IFERROR((1+(INDEX(Detail!$D147:$M147,MATCH(DF$16,Detail!$D$142:$M$142))/12))^(MAX(0,DF$15)),1)</f>
        <v>1.1792311432414146</v>
      </c>
      <c r="DG129" s="667">
        <f>IFERROR((1+(INDEX(Detail!$D147:$M147,MATCH(DG$16,Detail!$D$142:$M$142))/12))^(MAX(0,DG$15)),1)</f>
        <v>1.1811965284801504</v>
      </c>
      <c r="DH129" s="667">
        <f>IFERROR((1+(INDEX(Detail!$D147:$M147,MATCH(DH$16,Detail!$D$142:$M$142))/12))^(MAX(0,DH$15)),1)</f>
        <v>1.1831651893609507</v>
      </c>
      <c r="DI129" s="667">
        <f>IFERROR((1+(INDEX(Detail!$D147:$M147,MATCH(DI$16,Detail!$D$142:$M$142))/12))^(MAX(0,DI$15)),1)</f>
        <v>1.1851371313432189</v>
      </c>
      <c r="DJ129" s="667">
        <f>IFERROR((1+(INDEX(Detail!$D147:$M147,MATCH(DJ$16,Detail!$D$142:$M$142))/12))^(MAX(0,DJ$15)),1)</f>
        <v>1.1871123598954578</v>
      </c>
      <c r="DK129" s="667">
        <f>IFERROR((1+(INDEX(Detail!$D147:$M147,MATCH(DK$16,Detail!$D$142:$M$142))/12))^(MAX(0,DK$15)),1)</f>
        <v>1.1890908804952838</v>
      </c>
      <c r="DL129" s="667">
        <f>IFERROR((1+(INDEX(Detail!$D147:$M147,MATCH(DL$16,Detail!$D$142:$M$142))/12))^(MAX(0,DL$15)),1)</f>
        <v>1.1910726986294424</v>
      </c>
      <c r="DM129" s="667">
        <f>IFERROR((1+(INDEX(Detail!$D147:$M147,MATCH(DM$16,Detail!$D$142:$M$142))/12))^(MAX(0,DM$15)),1)</f>
        <v>1.1930578197938249</v>
      </c>
      <c r="DN129" s="667">
        <f>IFERROR((1+(INDEX(Detail!$D147:$M147,MATCH(DN$16,Detail!$D$142:$M$142))/12))^(MAX(0,DN$15)),1)</f>
        <v>1.1950462494934815</v>
      </c>
      <c r="DO129" s="667">
        <f>IFERROR((1+(INDEX(Detail!$D147:$M147,MATCH(DO$16,Detail!$D$142:$M$142))/12))^(MAX(0,DO$15)),1)</f>
        <v>1.1970379932426372</v>
      </c>
      <c r="DP129" s="667">
        <f>IFERROR((1+(INDEX(Detail!$D147:$M147,MATCH(DP$16,Detail!$D$142:$M$142))/12))^(MAX(0,DP$15)),1)</f>
        <v>1.1990330565647085</v>
      </c>
      <c r="DQ129" s="667">
        <f>IFERROR((1+(INDEX(Detail!$D147:$M147,MATCH(DQ$16,Detail!$D$142:$M$142))/12))^(MAX(0,DQ$15)),1)</f>
        <v>1.2010314449923165</v>
      </c>
      <c r="DR129" s="667">
        <f>IFERROR((1+(INDEX(Detail!$D147:$M147,MATCH(DR$16,Detail!$D$142:$M$142))/12))^(MAX(0,DR$15)),1)</f>
        <v>1.2030331640673038</v>
      </c>
      <c r="DS129" s="667">
        <f>IFERROR((1+(INDEX(Detail!$D147:$M147,MATCH(DS$16,Detail!$D$142:$M$142))/12))^(MAX(0,DS$15)),1)</f>
        <v>1.2050382193407494</v>
      </c>
      <c r="DT129" s="667">
        <f>IFERROR((1+(INDEX(Detail!$D147:$M147,MATCH(DT$16,Detail!$D$142:$M$142))/12))^(MAX(0,DT$15)),1)</f>
        <v>1.207046616372984</v>
      </c>
      <c r="DU129" s="667">
        <f>IFERROR((1+(INDEX(Detail!$D147:$M147,MATCH(DU$16,Detail!$D$142:$M$142))/12))^(MAX(0,DU$15)),1)</f>
        <v>1.2090583607336056</v>
      </c>
      <c r="DV129" s="667">
        <f>IFERROR((1+(INDEX(Detail!$D147:$M147,MATCH(DV$16,Detail!$D$142:$M$142))/12))^(MAX(0,DV$15)),1)</f>
        <v>1.2110734580014952</v>
      </c>
      <c r="DW129" s="667">
        <f>IFERROR((1+(INDEX(Detail!$D147:$M147,MATCH(DW$16,Detail!$D$142:$M$142))/12))^(MAX(0,DW$15)),1)</f>
        <v>1.2130919137648311</v>
      </c>
      <c r="DX129" s="667">
        <f>IFERROR((1+(INDEX(Detail!$D147:$M147,MATCH(DX$16,Detail!$D$142:$M$142))/12))^(MAX(0,DX$15)),1)</f>
        <v>1.215113733621106</v>
      </c>
      <c r="DY129" s="667">
        <f>IFERROR((1+(INDEX(Detail!$D147:$M147,MATCH(DY$16,Detail!$D$142:$M$142))/12))^(MAX(0,DY$15)),1)</f>
        <v>1.217138923177141</v>
      </c>
      <c r="DZ129" s="667">
        <f>IFERROR((1+(INDEX(Detail!$D147:$M147,MATCH(DZ$16,Detail!$D$142:$M$142))/12))^(MAX(0,DZ$15)),1)</f>
        <v>1.219167488049103</v>
      </c>
      <c r="EA129" s="667">
        <f>IFERROR((1+(INDEX(Detail!$D147:$M147,MATCH(EA$16,Detail!$D$142:$M$142))/12))^(MAX(0,EA$15)),1)</f>
        <v>1.2211994338625185</v>
      </c>
      <c r="EB129" s="667">
        <f>IFERROR((1+(INDEX(Detail!$D147:$M147,MATCH(EB$16,Detail!$D$142:$M$142))/12))^(MAX(0,EB$15)),1)</f>
        <v>1.2232347662522893</v>
      </c>
      <c r="EC129" s="667">
        <f>IFERROR((1+(INDEX(Detail!$D147:$M147,MATCH(EC$16,Detail!$D$142:$M$142))/12))^(MAX(0,EC$15)),1)</f>
        <v>1.2252734908627099</v>
      </c>
      <c r="ED129" s="667">
        <f>IFERROR((1+(INDEX(Detail!$D147:$M147,MATCH(ED$16,Detail!$D$142:$M$142))/12))^(MAX(0,ED$15)),1)</f>
        <v>1.2273156133474812</v>
      </c>
      <c r="EE129" s="667">
        <f>IFERROR((1+(INDEX(Detail!$D147:$M147,MATCH(EE$16,Detail!$D$142:$M$142))/12))^(MAX(0,EE$15)),1)</f>
        <v>1.2293611393697268</v>
      </c>
      <c r="EF129" s="667">
        <f>IFERROR((1+(INDEX(Detail!$D147:$M147,MATCH(EF$16,Detail!$D$142:$M$142))/12))^(MAX(0,EF$15)),1)</f>
        <v>1.23141007460201</v>
      </c>
      <c r="EG129" s="667">
        <f>IFERROR((1+(INDEX(Detail!$D147:$M147,MATCH(EG$16,Detail!$D$142:$M$142))/12))^(MAX(0,EG$15)),1)</f>
        <v>1.2334624247263466</v>
      </c>
      <c r="EH129" s="667">
        <f>IFERROR((1+(INDEX(Detail!$D147:$M147,MATCH(EH$16,Detail!$D$142:$M$142))/12))^(MAX(0,EH$15)),1)</f>
        <v>1.2355181954342243</v>
      </c>
      <c r="EI129" s="667">
        <f>IFERROR((1+(INDEX(Detail!$D147:$M147,MATCH(EI$16,Detail!$D$142:$M$142))/12))^(MAX(0,EI$15)),1)</f>
        <v>1.2375773924266147</v>
      </c>
      <c r="EJ129" s="667">
        <f>IFERROR((1+(INDEX(Detail!$D147:$M147,MATCH(EJ$16,Detail!$D$142:$M$142))/12))^(MAX(0,EJ$15)),1)</f>
        <v>1.2396400214139924</v>
      </c>
      <c r="EK129" s="667">
        <f>IFERROR((1+(INDEX(Detail!$D147:$M147,MATCH(EK$16,Detail!$D$142:$M$142))/12))^(MAX(0,EK$15)),1)</f>
        <v>1.2417060881163491</v>
      </c>
      <c r="EL129" s="667">
        <f>IFERROR((1+(INDEX(Detail!$D147:$M147,MATCH(EL$16,Detail!$D$142:$M$142))/12))^(MAX(0,EL$15)),1)</f>
        <v>1.2437755982632097</v>
      </c>
      <c r="EM129" s="667">
        <f>IFERROR((1+(INDEX(Detail!$D147:$M147,MATCH(EM$16,Detail!$D$142:$M$142))/12))^(MAX(0,EM$15)),1)</f>
        <v>1.2458485575936487</v>
      </c>
      <c r="EN129" s="667">
        <f>IFERROR((1+(INDEX(Detail!$D147:$M147,MATCH(EN$16,Detail!$D$142:$M$142))/12))^(MAX(0,EN$15)),1)</f>
        <v>1.2479249718563046</v>
      </c>
      <c r="EO129" s="667">
        <f>IFERROR((1+(INDEX(Detail!$D147:$M147,MATCH(EO$16,Detail!$D$142:$M$142))/12))^(MAX(0,EO$15)),1)</f>
        <v>1.2500048468093985</v>
      </c>
      <c r="EP129" s="667">
        <f>IFERROR((1+(INDEX(Detail!$D147:$M147,MATCH(EP$16,Detail!$D$142:$M$142))/12))^(MAX(0,EP$15)),1)</f>
        <v>1.2520881882207475</v>
      </c>
      <c r="EQ129" s="667">
        <f>IFERROR((1+(INDEX(Detail!$D147:$M147,MATCH(EQ$16,Detail!$D$142:$M$142))/12))^(MAX(0,EQ$15)),1)</f>
        <v>1.2541750018677824</v>
      </c>
      <c r="ER129" s="667">
        <f>IFERROR((1+(INDEX(Detail!$D147:$M147,MATCH(ER$16,Detail!$D$142:$M$142))/12))^(MAX(0,ER$15)),1)</f>
        <v>1.256265293537562</v>
      </c>
      <c r="ES129" s="667">
        <f>IFERROR((1+(INDEX(Detail!$D147:$M147,MATCH(ES$16,Detail!$D$142:$M$142))/12))^(MAX(0,ES$15)),1)</f>
        <v>1.2583590690267914</v>
      </c>
      <c r="ET129" s="667">
        <f>IFERROR((1+(INDEX(Detail!$D147:$M147,MATCH(ET$16,Detail!$D$142:$M$142))/12))^(MAX(0,ET$15)),1)</f>
        <v>1.2604563341418362</v>
      </c>
      <c r="EU129" s="667">
        <f>IFERROR((1+(INDEX(Detail!$D147:$M147,MATCH(EU$16,Detail!$D$142:$M$142))/12))^(MAX(0,EU$15)),1)</f>
        <v>1.2625570946987392</v>
      </c>
      <c r="EV129" s="667">
        <f>IFERROR((1+(INDEX(Detail!$D147:$M147,MATCH(EV$16,Detail!$D$142:$M$142))/12))^(MAX(0,EV$15)),1)</f>
        <v>1.2646613565232372</v>
      </c>
      <c r="EW129" s="667">
        <f>IFERROR((1+(INDEX(Detail!$D147:$M147,MATCH(EW$16,Detail!$D$142:$M$142))/12))^(MAX(0,EW$15)),1)</f>
        <v>1.2667691254507762</v>
      </c>
      <c r="EX129" s="667">
        <f>IFERROR((1+(INDEX(Detail!$D147:$M147,MATCH(EX$16,Detail!$D$142:$M$142))/12))^(MAX(0,EX$15)),1)</f>
        <v>1.2688804073265274</v>
      </c>
      <c r="EY129" s="667">
        <f>IFERROR((1+(INDEX(Detail!$D147:$M147,MATCH(EY$16,Detail!$D$142:$M$142))/12))^(MAX(0,EY$15)),1)</f>
        <v>1.2709952080054052</v>
      </c>
      <c r="EZ129" s="667">
        <f>IFERROR((1+(INDEX(Detail!$D147:$M147,MATCH(EZ$16,Detail!$D$142:$M$142))/12))^(MAX(0,EZ$15)),1)</f>
        <v>1.2731135333520809</v>
      </c>
      <c r="FA129" s="667">
        <f>IFERROR((1+(INDEX(Detail!$D147:$M147,MATCH(FA$16,Detail!$D$142:$M$142))/12))^(MAX(0,FA$15)),1)</f>
        <v>1.2752353892410011</v>
      </c>
      <c r="FB129" s="667">
        <f>IFERROR((1+(INDEX(Detail!$D147:$M147,MATCH(FB$16,Detail!$D$142:$M$142))/12))^(MAX(0,FB$15)),1)</f>
        <v>1.277360781556403</v>
      </c>
      <c r="FC129" s="667">
        <f>IFERROR((1+(INDEX(Detail!$D147:$M147,MATCH(FC$16,Detail!$D$142:$M$142))/12))^(MAX(0,FC$15)),1)</f>
        <v>1.2794897161923302</v>
      </c>
      <c r="FD129" s="667">
        <f>IFERROR((1+(INDEX(Detail!$D147:$M147,MATCH(FD$16,Detail!$D$142:$M$142))/12))^(MAX(0,FD$15)),1)</f>
        <v>1.2816221990526511</v>
      </c>
      <c r="FE129" s="667">
        <f>IFERROR((1+(INDEX(Detail!$D147:$M147,MATCH(FE$16,Detail!$D$142:$M$142))/12))^(MAX(0,FE$15)),1)</f>
        <v>1.283758236051072</v>
      </c>
      <c r="FF129" s="667">
        <f>IFERROR((1+(INDEX(Detail!$D147:$M147,MATCH(FF$16,Detail!$D$142:$M$142))/12))^(MAX(0,FF$15)),1)</f>
        <v>1.2858978331111572</v>
      </c>
      <c r="FG129" s="667">
        <f>IFERROR((1+(INDEX(Detail!$D147:$M147,MATCH(FG$16,Detail!$D$142:$M$142))/12))^(MAX(0,FG$15)),1)</f>
        <v>1.2880409961663428</v>
      </c>
      <c r="FH129" s="667">
        <f>IFERROR((1+(INDEX(Detail!$D147:$M147,MATCH(FH$16,Detail!$D$142:$M$142))/12))^(MAX(0,FH$15)),1)</f>
        <v>1.2901877311599532</v>
      </c>
      <c r="FI129" s="667">
        <f>IFERROR((1+(INDEX(Detail!$D147:$M147,MATCH(FI$16,Detail!$D$142:$M$142))/12))^(MAX(0,FI$15)),1)</f>
        <v>1.2923380440452199</v>
      </c>
      <c r="FJ129" s="667">
        <f>IFERROR((1+(INDEX(Detail!$D147:$M147,MATCH(FJ$16,Detail!$D$142:$M$142))/12))^(MAX(0,FJ$15)),1)</f>
        <v>1.2944919407852955</v>
      </c>
      <c r="FK129" s="667">
        <f>IFERROR((1+(INDEX(Detail!$D147:$M147,MATCH(FK$16,Detail!$D$142:$M$142))/12))^(MAX(0,FK$15)),1)</f>
        <v>1.2966494273532709</v>
      </c>
      <c r="FL129" s="667">
        <f>IFERROR((1+(INDEX(Detail!$D147:$M147,MATCH(FL$16,Detail!$D$142:$M$142))/12))^(MAX(0,FL$15)),1)</f>
        <v>1.2988105097321934</v>
      </c>
      <c r="FM129" s="667">
        <f>IFERROR((1+(INDEX(Detail!$D147:$M147,MATCH(FM$16,Detail!$D$142:$M$142))/12))^(MAX(0,FM$15)),1)</f>
        <v>1.3009751939150802</v>
      </c>
      <c r="FN129" s="667">
        <f>IFERROR((1+(INDEX(Detail!$D147:$M147,MATCH(FN$16,Detail!$D$142:$M$142))/12))^(MAX(0,FN$15)),1)</f>
        <v>1.3031434859049389</v>
      </c>
      <c r="FO129" s="667">
        <f>IFERROR((1+(INDEX(Detail!$D147:$M147,MATCH(FO$16,Detail!$D$142:$M$142))/12))^(MAX(0,FO$15)),1)</f>
        <v>1.3053153917147806</v>
      </c>
      <c r="FP129" s="667">
        <f>IFERROR((1+(INDEX(Detail!$D147:$M147,MATCH(FP$16,Detail!$D$142:$M$142))/12))^(MAX(0,FP$15)),1)</f>
        <v>1.3074909173676388</v>
      </c>
      <c r="FQ129" s="667">
        <f>IFERROR((1+(INDEX(Detail!$D147:$M147,MATCH(FQ$16,Detail!$D$142:$M$142))/12))^(MAX(0,FQ$15)),1)</f>
        <v>1.3096700688965848</v>
      </c>
      <c r="FR129" s="667">
        <f>IFERROR((1+(INDEX(Detail!$D147:$M147,MATCH(FR$16,Detail!$D$142:$M$142))/12))^(MAX(0,FR$15)),1)</f>
        <v>1.3118528523447459</v>
      </c>
      <c r="FS129" s="667">
        <f>IFERROR((1+(INDEX(Detail!$D147:$M147,MATCH(FS$16,Detail!$D$142:$M$142))/12))^(MAX(0,FS$15)),1)</f>
        <v>1.3140392737653206</v>
      </c>
    </row>
    <row r="130" spans="2:175" ht="13.5">
      <c r="B130" s="178" t="s">
        <v>274</v>
      </c>
      <c r="C130" s="665" t="s">
        <v>347</v>
      </c>
      <c r="D130" s="665"/>
      <c r="E130" s="666">
        <f>IFERROR((1+(INDEX(Detail!$D148:$M148,MATCH(E$16,Detail!$D$142:$M$142))/12))^(MAX(0,E$15)),1)</f>
        <v>1</v>
      </c>
      <c r="F130" s="667">
        <f>IFERROR((1+(INDEX(Detail!$D148:$M148,MATCH(F$16,Detail!$D$142:$M$142))/12))^(MAX(0,F$15)),1)</f>
        <v>1</v>
      </c>
      <c r="G130" s="667">
        <f>IFERROR((1+(INDEX(Detail!$D148:$M148,MATCH(G$16,Detail!$D$142:$M$142))/12))^(MAX(0,G$15)),1)</f>
        <v>1</v>
      </c>
      <c r="H130" s="667">
        <f>IFERROR((1+(INDEX(Detail!$D148:$M148,MATCH(H$16,Detail!$D$142:$M$142))/12))^(MAX(0,H$15)),1)</f>
        <v>1</v>
      </c>
      <c r="I130" s="667">
        <f>IFERROR((1+(INDEX(Detail!$D148:$M148,MATCH(I$16,Detail!$D$142:$M$142))/12))^(MAX(0,I$15)),1)</f>
        <v>1</v>
      </c>
      <c r="J130" s="667">
        <f>IFERROR((1+(INDEX(Detail!$D148:$M148,MATCH(J$16,Detail!$D$142:$M$142))/12))^(MAX(0,J$15)),1)</f>
        <v>1</v>
      </c>
      <c r="K130" s="667">
        <f>IFERROR((1+(INDEX(Detail!$D148:$M148,MATCH(K$16,Detail!$D$142:$M$142))/12))^(MAX(0,K$15)),1)</f>
        <v>1</v>
      </c>
      <c r="L130" s="667">
        <f>IFERROR((1+(INDEX(Detail!$D148:$M148,MATCH(L$16,Detail!$D$142:$M$142))/12))^(MAX(0,L$15)),1)</f>
        <v>1.0016666666666667</v>
      </c>
      <c r="M130" s="667">
        <f>IFERROR((1+(INDEX(Detail!$D148:$M148,MATCH(M$16,Detail!$D$142:$M$142))/12))^(MAX(0,M$15)),1)</f>
        <v>1.0033361111111112</v>
      </c>
      <c r="N130" s="667">
        <f>IFERROR((1+(INDEX(Detail!$D148:$M148,MATCH(N$16,Detail!$D$142:$M$142))/12))^(MAX(0,N$15)),1)</f>
        <v>1.0050083379629631</v>
      </c>
      <c r="O130" s="667">
        <f>IFERROR((1+(INDEX(Detail!$D148:$M148,MATCH(O$16,Detail!$D$142:$M$142))/12))^(MAX(0,O$15)),1)</f>
        <v>1.0066833518595681</v>
      </c>
      <c r="P130" s="667">
        <f>IFERROR((1+(INDEX(Detail!$D148:$M148,MATCH(P$16,Detail!$D$142:$M$142))/12))^(MAX(0,P$15)),1)</f>
        <v>1.0083611574460007</v>
      </c>
      <c r="Q130" s="667">
        <f>IFERROR((1+(INDEX(Detail!$D148:$M148,MATCH(Q$16,Detail!$D$142:$M$142))/12))^(MAX(0,Q$15)),1)</f>
        <v>1.0100417593750775</v>
      </c>
      <c r="R130" s="667">
        <f>IFERROR((1+(INDEX(Detail!$D148:$M148,MATCH(R$16,Detail!$D$142:$M$142))/12))^(MAX(0,R$15)),1)</f>
        <v>1.0117251623073693</v>
      </c>
      <c r="S130" s="667">
        <f>IFERROR((1+(INDEX(Detail!$D148:$M148,MATCH(S$16,Detail!$D$142:$M$142))/12))^(MAX(0,S$15)),1)</f>
        <v>1.0134113709112151</v>
      </c>
      <c r="T130" s="667">
        <f>IFERROR((1+(INDEX(Detail!$D148:$M148,MATCH(T$16,Detail!$D$142:$M$142))/12))^(MAX(0,T$15)),1)</f>
        <v>1.0151003898627338</v>
      </c>
      <c r="U130" s="667">
        <f>IFERROR((1+(INDEX(Detail!$D148:$M148,MATCH(U$16,Detail!$D$142:$M$142))/12))^(MAX(0,U$15)),1)</f>
        <v>1.0167922238458384</v>
      </c>
      <c r="V130" s="667">
        <f>IFERROR((1+(INDEX(Detail!$D148:$M148,MATCH(V$16,Detail!$D$142:$M$142))/12))^(MAX(0,V$15)),1)</f>
        <v>1.0184868775522482</v>
      </c>
      <c r="W130" s="667">
        <f>IFERROR((1+(INDEX(Detail!$D148:$M148,MATCH(W$16,Detail!$D$142:$M$142))/12))^(MAX(0,W$15)),1)</f>
        <v>1.020184355681502</v>
      </c>
      <c r="X130" s="667">
        <f>IFERROR((1+(INDEX(Detail!$D148:$M148,MATCH(X$16,Detail!$D$142:$M$142))/12))^(MAX(0,X$15)),1)</f>
        <v>1.0218846629409712</v>
      </c>
      <c r="Y130" s="667">
        <f>IFERROR((1+(INDEX(Detail!$D148:$M148,MATCH(Y$16,Detail!$D$142:$M$142))/12))^(MAX(0,Y$15)),1)</f>
        <v>1.023587804045873</v>
      </c>
      <c r="Z130" s="667">
        <f>IFERROR((1+(INDEX(Detail!$D148:$M148,MATCH(Z$16,Detail!$D$142:$M$142))/12))^(MAX(0,Z$15)),1)</f>
        <v>1.0252937837192828</v>
      </c>
      <c r="AA130" s="667">
        <f>IFERROR((1+(INDEX(Detail!$D148:$M148,MATCH(AA$16,Detail!$D$142:$M$142))/12))^(MAX(0,AA$15)),1)</f>
        <v>1.0270026066921485</v>
      </c>
      <c r="AB130" s="667">
        <f>IFERROR((1+(INDEX(Detail!$D148:$M148,MATCH(AB$16,Detail!$D$142:$M$142))/12))^(MAX(0,AB$15)),1)</f>
        <v>1.028714277703302</v>
      </c>
      <c r="AC130" s="667">
        <f>IFERROR((1+(INDEX(Detail!$D148:$M148,MATCH(AC$16,Detail!$D$142:$M$142))/12))^(MAX(0,AC$15)),1)</f>
        <v>1.0304288014994742</v>
      </c>
      <c r="AD130" s="667">
        <f>IFERROR((1+(INDEX(Detail!$D148:$M148,MATCH(AD$16,Detail!$D$142:$M$142))/12))^(MAX(0,AD$15)),1)</f>
        <v>1.0321461828353069</v>
      </c>
      <c r="AE130" s="667">
        <f>IFERROR((1+(INDEX(Detail!$D148:$M148,MATCH(AE$16,Detail!$D$142:$M$142))/12))^(MAX(0,AE$15)),1)</f>
        <v>1.0338664264733657</v>
      </c>
      <c r="AF130" s="667">
        <f>IFERROR((1+(INDEX(Detail!$D148:$M148,MATCH(AF$16,Detail!$D$142:$M$142))/12))^(MAX(0,AF$15)),1)</f>
        <v>1.0355895371841548</v>
      </c>
      <c r="AG130" s="667">
        <f>IFERROR((1+(INDEX(Detail!$D148:$M148,MATCH(AG$16,Detail!$D$142:$M$142))/12))^(MAX(0,AG$15)),1)</f>
        <v>1.0373155197461283</v>
      </c>
      <c r="AH130" s="667">
        <f>IFERROR((1+(INDEX(Detail!$D148:$M148,MATCH(AH$16,Detail!$D$142:$M$142))/12))^(MAX(0,AH$15)),1)</f>
        <v>1.0390443789457053</v>
      </c>
      <c r="AI130" s="667">
        <f>IFERROR((1+(INDEX(Detail!$D148:$M148,MATCH(AI$16,Detail!$D$142:$M$142))/12))^(MAX(0,AI$15)),1)</f>
        <v>1.0407761195772818</v>
      </c>
      <c r="AJ130" s="667">
        <f>IFERROR((1+(INDEX(Detail!$D148:$M148,MATCH(AJ$16,Detail!$D$142:$M$142))/12))^(MAX(0,AJ$15)),1)</f>
        <v>1.0425107464432437</v>
      </c>
      <c r="AK130" s="667">
        <f>IFERROR((1+(INDEX(Detail!$D148:$M148,MATCH(AK$16,Detail!$D$142:$M$142))/12))^(MAX(0,AK$15)),1)</f>
        <v>1.0442482643539825</v>
      </c>
      <c r="AL130" s="667">
        <f>IFERROR((1+(INDEX(Detail!$D148:$M148,MATCH(AL$16,Detail!$D$142:$M$142))/12))^(MAX(0,AL$15)),1)</f>
        <v>1.045988678127906</v>
      </c>
      <c r="AM130" s="667">
        <f>IFERROR((1+(INDEX(Detail!$D148:$M148,MATCH(AM$16,Detail!$D$142:$M$142))/12))^(MAX(0,AM$15)),1)</f>
        <v>1.0477319925914526</v>
      </c>
      <c r="AN130" s="667">
        <f>IFERROR((1+(INDEX(Detail!$D148:$M148,MATCH(AN$16,Detail!$D$142:$M$142))/12))^(MAX(0,AN$15)),1)</f>
        <v>1.0494782125791051</v>
      </c>
      <c r="AO130" s="667">
        <f>IFERROR((1+(INDEX(Detail!$D148:$M148,MATCH(AO$16,Detail!$D$142:$M$142))/12))^(MAX(0,AO$15)),1)</f>
        <v>1.0512273429334036</v>
      </c>
      <c r="AP130" s="667">
        <f>IFERROR((1+(INDEX(Detail!$D148:$M148,MATCH(AP$16,Detail!$D$142:$M$142))/12))^(MAX(0,AP$15)),1)</f>
        <v>1.0529793885049594</v>
      </c>
      <c r="AQ130" s="667">
        <f>IFERROR((1+(INDEX(Detail!$D148:$M148,MATCH(AQ$16,Detail!$D$142:$M$142))/12))^(MAX(0,AQ$15)),1)</f>
        <v>1.0547343541524679</v>
      </c>
      <c r="AR130" s="667">
        <f>IFERROR((1+(INDEX(Detail!$D148:$M148,MATCH(AR$16,Detail!$D$142:$M$142))/12))^(MAX(0,AR$15)),1)</f>
        <v>1.0564922447427221</v>
      </c>
      <c r="AS130" s="667">
        <f>IFERROR((1+(INDEX(Detail!$D148:$M148,MATCH(AS$16,Detail!$D$142:$M$142))/12))^(MAX(0,AS$15)),1)</f>
        <v>1.0582530651506266</v>
      </c>
      <c r="AT130" s="667">
        <f>IFERROR((1+(INDEX(Detail!$D148:$M148,MATCH(AT$16,Detail!$D$142:$M$142))/12))^(MAX(0,AT$15)),1)</f>
        <v>1.0600168202592111</v>
      </c>
      <c r="AU130" s="667">
        <f>IFERROR((1+(INDEX(Detail!$D148:$M148,MATCH(AU$16,Detail!$D$142:$M$142))/12))^(MAX(0,AU$15)),1)</f>
        <v>1.0617835149596431</v>
      </c>
      <c r="AV130" s="667">
        <f>IFERROR((1+(INDEX(Detail!$D148:$M148,MATCH(AV$16,Detail!$D$142:$M$142))/12))^(MAX(0,AV$15)),1)</f>
        <v>1.0635531541512426</v>
      </c>
      <c r="AW130" s="667">
        <f>IFERROR((1+(INDEX(Detail!$D148:$M148,MATCH(AW$16,Detail!$D$142:$M$142))/12))^(MAX(0,AW$15)),1)</f>
        <v>1.0653257427414946</v>
      </c>
      <c r="AX130" s="667">
        <f>IFERROR((1+(INDEX(Detail!$D148:$M148,MATCH(AX$16,Detail!$D$142:$M$142))/12))^(MAX(0,AX$15)),1)</f>
        <v>1.067101285646064</v>
      </c>
      <c r="AY130" s="667">
        <f>IFERROR((1+(INDEX(Detail!$D148:$M148,MATCH(AY$16,Detail!$D$142:$M$142))/12))^(MAX(0,AY$15)),1)</f>
        <v>1.0688797877888077</v>
      </c>
      <c r="AZ130" s="667">
        <f>IFERROR((1+(INDEX(Detail!$D148:$M148,MATCH(AZ$16,Detail!$D$142:$M$142))/12))^(MAX(0,AZ$15)),1)</f>
        <v>1.0706612541017888</v>
      </c>
      <c r="BA130" s="667">
        <f>IFERROR((1+(INDEX(Detail!$D148:$M148,MATCH(BA$16,Detail!$D$142:$M$142))/12))^(MAX(0,BA$15)),1)</f>
        <v>1.0724456895252918</v>
      </c>
      <c r="BB130" s="667">
        <f>IFERROR((1+(INDEX(Detail!$D148:$M148,MATCH(BB$16,Detail!$D$142:$M$142))/12))^(MAX(0,BB$15)),1)</f>
        <v>1.0742330990078341</v>
      </c>
      <c r="BC130" s="667">
        <f>IFERROR((1+(INDEX(Detail!$D148:$M148,MATCH(BC$16,Detail!$D$142:$M$142))/12))^(MAX(0,BC$15)),1)</f>
        <v>1.0760234875061805</v>
      </c>
      <c r="BD130" s="667">
        <f>IFERROR((1+(INDEX(Detail!$D148:$M148,MATCH(BD$16,Detail!$D$142:$M$142))/12))^(MAX(0,BD$15)),1)</f>
        <v>1.0778168599853577</v>
      </c>
      <c r="BE130" s="667">
        <f>IFERROR((1+(INDEX(Detail!$D148:$M148,MATCH(BE$16,Detail!$D$142:$M$142))/12))^(MAX(0,BE$15)),1)</f>
        <v>1.0796132214186667</v>
      </c>
      <c r="BF130" s="667">
        <f>IFERROR((1+(INDEX(Detail!$D148:$M148,MATCH(BF$16,Detail!$D$142:$M$142))/12))^(MAX(0,BF$15)),1)</f>
        <v>1.0814125767876979</v>
      </c>
      <c r="BG130" s="667">
        <f>IFERROR((1+(INDEX(Detail!$D148:$M148,MATCH(BG$16,Detail!$D$142:$M$142))/12))^(MAX(0,BG$15)),1)</f>
        <v>1.0832149310823442</v>
      </c>
      <c r="BH130" s="667">
        <f>IFERROR((1+(INDEX(Detail!$D148:$M148,MATCH(BH$16,Detail!$D$142:$M$142))/12))^(MAX(0,BH$15)),1)</f>
        <v>1.0850202893008147</v>
      </c>
      <c r="BI130" s="667">
        <f>IFERROR((1+(INDEX(Detail!$D148:$M148,MATCH(BI$16,Detail!$D$142:$M$142))/12))^(MAX(0,BI$15)),1)</f>
        <v>1.0868286564496494</v>
      </c>
      <c r="BJ130" s="667">
        <f>IFERROR((1+(INDEX(Detail!$D148:$M148,MATCH(BJ$16,Detail!$D$142:$M$142))/12))^(MAX(0,BJ$15)),1)</f>
        <v>1.0886400375437324</v>
      </c>
      <c r="BK130" s="667">
        <f>IFERROR((1+(INDEX(Detail!$D148:$M148,MATCH(BK$16,Detail!$D$142:$M$142))/12))^(MAX(0,BK$15)),1)</f>
        <v>1.0904544376063052</v>
      </c>
      <c r="BL130" s="667">
        <f>IFERROR((1+(INDEX(Detail!$D148:$M148,MATCH(BL$16,Detail!$D$142:$M$142))/12))^(MAX(0,BL$15)),1)</f>
        <v>1.0922718616689826</v>
      </c>
      <c r="BM130" s="667">
        <f>IFERROR((1+(INDEX(Detail!$D148:$M148,MATCH(BM$16,Detail!$D$142:$M$142))/12))^(MAX(0,BM$15)),1)</f>
        <v>1.0940923147717643</v>
      </c>
      <c r="BN130" s="667">
        <f>IFERROR((1+(INDEX(Detail!$D148:$M148,MATCH(BN$16,Detail!$D$142:$M$142))/12))^(MAX(0,BN$15)),1)</f>
        <v>1.0959158019630506</v>
      </c>
      <c r="BO130" s="667">
        <f>IFERROR((1+(INDEX(Detail!$D148:$M148,MATCH(BO$16,Detail!$D$142:$M$142))/12))^(MAX(0,BO$15)),1)</f>
        <v>1.0977423282996559</v>
      </c>
      <c r="BP130" s="667">
        <f>IFERROR((1+(INDEX(Detail!$D148:$M148,MATCH(BP$16,Detail!$D$142:$M$142))/12))^(MAX(0,BP$15)),1)</f>
        <v>1.0995718988468219</v>
      </c>
      <c r="BQ130" s="667">
        <f>IFERROR((1+(INDEX(Detail!$D148:$M148,MATCH(BQ$16,Detail!$D$142:$M$142))/12))^(MAX(0,BQ$15)),1)</f>
        <v>1.1014045186782333</v>
      </c>
      <c r="BR130" s="667">
        <f>IFERROR((1+(INDEX(Detail!$D148:$M148,MATCH(BR$16,Detail!$D$142:$M$142))/12))^(MAX(0,BR$15)),1)</f>
        <v>1.1032401928760305</v>
      </c>
      <c r="BS130" s="667">
        <f>IFERROR((1+(INDEX(Detail!$D148:$M148,MATCH(BS$16,Detail!$D$142:$M$142))/12))^(MAX(0,BS$15)),1)</f>
        <v>1.1050789265308238</v>
      </c>
      <c r="BT130" s="667">
        <f>IFERROR((1+(INDEX(Detail!$D148:$M148,MATCH(BT$16,Detail!$D$142:$M$142))/12))^(MAX(0,BT$15)),1)</f>
        <v>1.1069207247417088</v>
      </c>
      <c r="BU130" s="667">
        <f>IFERROR((1+(INDEX(Detail!$D148:$M148,MATCH(BU$16,Detail!$D$142:$M$142))/12))^(MAX(0,BU$15)),1)</f>
        <v>1.1087655926162783</v>
      </c>
      <c r="BV130" s="667">
        <f>IFERROR((1+(INDEX(Detail!$D148:$M148,MATCH(BV$16,Detail!$D$142:$M$142))/12))^(MAX(0,BV$15)),1)</f>
        <v>1.110613535270639</v>
      </c>
      <c r="BW130" s="667">
        <f>IFERROR((1+(INDEX(Detail!$D148:$M148,MATCH(BW$16,Detail!$D$142:$M$142))/12))^(MAX(0,BW$15)),1)</f>
        <v>1.1124645578294234</v>
      </c>
      <c r="BX130" s="667">
        <f>IFERROR((1+(INDEX(Detail!$D148:$M148,MATCH(BX$16,Detail!$D$142:$M$142))/12))^(MAX(0,BX$15)),1)</f>
        <v>1.1143186654258059</v>
      </c>
      <c r="BY130" s="667">
        <f>IFERROR((1+(INDEX(Detail!$D148:$M148,MATCH(BY$16,Detail!$D$142:$M$142))/12))^(MAX(0,BY$15)),1)</f>
        <v>1.1161758632015155</v>
      </c>
      <c r="BZ130" s="667">
        <f>IFERROR((1+(INDEX(Detail!$D148:$M148,MATCH(BZ$16,Detail!$D$142:$M$142))/12))^(MAX(0,BZ$15)),1)</f>
        <v>1.1180361563068515</v>
      </c>
      <c r="CA130" s="667">
        <f>IFERROR((1+(INDEX(Detail!$D148:$M148,MATCH(CA$16,Detail!$D$142:$M$142))/12))^(MAX(0,CA$15)),1)</f>
        <v>1.1198995499006963</v>
      </c>
      <c r="CB130" s="667">
        <f>IFERROR((1+(INDEX(Detail!$D148:$M148,MATCH(CB$16,Detail!$D$142:$M$142))/12))^(MAX(0,CB$15)),1)</f>
        <v>1.1217660491505308</v>
      </c>
      <c r="CC130" s="667">
        <f>IFERROR((1+(INDEX(Detail!$D148:$M148,MATCH(CC$16,Detail!$D$142:$M$142))/12))^(MAX(0,CC$15)),1)</f>
        <v>1.1236356592324483</v>
      </c>
      <c r="CD130" s="667">
        <f>IFERROR((1+(INDEX(Detail!$D148:$M148,MATCH(CD$16,Detail!$D$142:$M$142))/12))^(MAX(0,CD$15)),1)</f>
        <v>1.1255083853311691</v>
      </c>
      <c r="CE130" s="667">
        <f>IFERROR((1+(INDEX(Detail!$D148:$M148,MATCH(CE$16,Detail!$D$142:$M$142))/12))^(MAX(0,CE$15)),1)</f>
        <v>1.1273842326400547</v>
      </c>
      <c r="CF130" s="667">
        <f>IFERROR((1+(INDEX(Detail!$D148:$M148,MATCH(CF$16,Detail!$D$142:$M$142))/12))^(MAX(0,CF$15)),1)</f>
        <v>1.1292632063611214</v>
      </c>
      <c r="CG130" s="667">
        <f>IFERROR((1+(INDEX(Detail!$D148:$M148,MATCH(CG$16,Detail!$D$142:$M$142))/12))^(MAX(0,CG$15)),1)</f>
        <v>1.1311453117050567</v>
      </c>
      <c r="CH130" s="667">
        <f>IFERROR((1+(INDEX(Detail!$D148:$M148,MATCH(CH$16,Detail!$D$142:$M$142))/12))^(MAX(0,CH$15)),1)</f>
        <v>1.133030553891232</v>
      </c>
      <c r="CI130" s="667">
        <f>IFERROR((1+(INDEX(Detail!$D148:$M148,MATCH(CI$16,Detail!$D$142:$M$142))/12))^(MAX(0,CI$15)),1)</f>
        <v>1.1349189381477174</v>
      </c>
      <c r="CJ130" s="667">
        <f>IFERROR((1+(INDEX(Detail!$D148:$M148,MATCH(CJ$16,Detail!$D$142:$M$142))/12))^(MAX(0,CJ$15)),1)</f>
        <v>1.1368104697112971</v>
      </c>
      <c r="CK130" s="667">
        <f>IFERROR((1+(INDEX(Detail!$D148:$M148,MATCH(CK$16,Detail!$D$142:$M$142))/12))^(MAX(0,CK$15)),1)</f>
        <v>1.1387051538274826</v>
      </c>
      <c r="CL130" s="667">
        <f>IFERROR((1+(INDEX(Detail!$D148:$M148,MATCH(CL$16,Detail!$D$142:$M$142))/12))^(MAX(0,CL$15)),1)</f>
        <v>1.1406029957505284</v>
      </c>
      <c r="CM130" s="667">
        <f>IFERROR((1+(INDEX(Detail!$D148:$M148,MATCH(CM$16,Detail!$D$142:$M$142))/12))^(MAX(0,CM$15)),1)</f>
        <v>1.1425040007434462</v>
      </c>
      <c r="CN130" s="667">
        <f>IFERROR((1+(INDEX(Detail!$D148:$M148,MATCH(CN$16,Detail!$D$142:$M$142))/12))^(MAX(0,CN$15)),1)</f>
        <v>1.1444081740780185</v>
      </c>
      <c r="CO130" s="667">
        <f>IFERROR((1+(INDEX(Detail!$D148:$M148,MATCH(CO$16,Detail!$D$142:$M$142))/12))^(MAX(0,CO$15)),1)</f>
        <v>1.1463155210348153</v>
      </c>
      <c r="CP130" s="667">
        <f>IFERROR((1+(INDEX(Detail!$D148:$M148,MATCH(CP$16,Detail!$D$142:$M$142))/12))^(MAX(0,CP$15)),1)</f>
        <v>1.1482260469032068</v>
      </c>
      <c r="CQ130" s="667">
        <f>IFERROR((1+(INDEX(Detail!$D148:$M148,MATCH(CQ$16,Detail!$D$142:$M$142))/12))^(MAX(0,CQ$15)),1)</f>
        <v>1.1501397569813789</v>
      </c>
      <c r="CR130" s="667">
        <f>IFERROR((1+(INDEX(Detail!$D148:$M148,MATCH(CR$16,Detail!$D$142:$M$142))/12))^(MAX(0,CR$15)),1)</f>
        <v>1.1520566565763481</v>
      </c>
      <c r="CS130" s="667">
        <f>IFERROR((1+(INDEX(Detail!$D148:$M148,MATCH(CS$16,Detail!$D$142:$M$142))/12))^(MAX(0,CS$15)),1)</f>
        <v>1.1539767510039751</v>
      </c>
      <c r="CT130" s="667">
        <f>IFERROR((1+(INDEX(Detail!$D148:$M148,MATCH(CT$16,Detail!$D$142:$M$142))/12))^(MAX(0,CT$15)),1)</f>
        <v>1.1559000455889821</v>
      </c>
      <c r="CU130" s="667">
        <f>IFERROR((1+(INDEX(Detail!$D148:$M148,MATCH(CU$16,Detail!$D$142:$M$142))/12))^(MAX(0,CU$15)),1)</f>
        <v>1.1578265456649639</v>
      </c>
      <c r="CV130" s="667">
        <f>IFERROR((1+(INDEX(Detail!$D148:$M148,MATCH(CV$16,Detail!$D$142:$M$142))/12))^(MAX(0,CV$15)),1)</f>
        <v>1.1597562565744053</v>
      </c>
      <c r="CW130" s="667">
        <f>IFERROR((1+(INDEX(Detail!$D148:$M148,MATCH(CW$16,Detail!$D$142:$M$142))/12))^(MAX(0,CW$15)),1)</f>
        <v>1.161689183668696</v>
      </c>
      <c r="CX130" s="667">
        <f>IFERROR((1+(INDEX(Detail!$D148:$M148,MATCH(CX$16,Detail!$D$142:$M$142))/12))^(MAX(0,CX$15)),1)</f>
        <v>1.163625332308144</v>
      </c>
      <c r="CY130" s="667">
        <f>IFERROR((1+(INDEX(Detail!$D148:$M148,MATCH(CY$16,Detail!$D$142:$M$142))/12))^(MAX(0,CY$15)),1)</f>
        <v>1.1655647078619911</v>
      </c>
      <c r="CZ130" s="667">
        <f>IFERROR((1+(INDEX(Detail!$D148:$M148,MATCH(CZ$16,Detail!$D$142:$M$142))/12))^(MAX(0,CZ$15)),1)</f>
        <v>1.1675073157084279</v>
      </c>
      <c r="DA130" s="667">
        <f>IFERROR((1+(INDEX(Detail!$D148:$M148,MATCH(DA$16,Detail!$D$142:$M$142))/12))^(MAX(0,DA$15)),1)</f>
        <v>1.1694531612346084</v>
      </c>
      <c r="DB130" s="667">
        <f>IFERROR((1+(INDEX(Detail!$D148:$M148,MATCH(DB$16,Detail!$D$142:$M$142))/12))^(MAX(0,DB$15)),1)</f>
        <v>1.1714022498366663</v>
      </c>
      <c r="DC130" s="667">
        <f>IFERROR((1+(INDEX(Detail!$D148:$M148,MATCH(DC$16,Detail!$D$142:$M$142))/12))^(MAX(0,DC$15)),1)</f>
        <v>1.1733545869197277</v>
      </c>
      <c r="DD130" s="667">
        <f>IFERROR((1+(INDEX(Detail!$D148:$M148,MATCH(DD$16,Detail!$D$142:$M$142))/12))^(MAX(0,DD$15)),1)</f>
        <v>1.1753101778979274</v>
      </c>
      <c r="DE130" s="667">
        <f>IFERROR((1+(INDEX(Detail!$D148:$M148,MATCH(DE$16,Detail!$D$142:$M$142))/12))^(MAX(0,DE$15)),1)</f>
        <v>1.1772690281944238</v>
      </c>
      <c r="DF130" s="667">
        <f>IFERROR((1+(INDEX(Detail!$D148:$M148,MATCH(DF$16,Detail!$D$142:$M$142))/12))^(MAX(0,DF$15)),1)</f>
        <v>1.1792311432414146</v>
      </c>
      <c r="DG130" s="667">
        <f>IFERROR((1+(INDEX(Detail!$D148:$M148,MATCH(DG$16,Detail!$D$142:$M$142))/12))^(MAX(0,DG$15)),1)</f>
        <v>1.1811965284801504</v>
      </c>
      <c r="DH130" s="667">
        <f>IFERROR((1+(INDEX(Detail!$D148:$M148,MATCH(DH$16,Detail!$D$142:$M$142))/12))^(MAX(0,DH$15)),1)</f>
        <v>1.1831651893609507</v>
      </c>
      <c r="DI130" s="667">
        <f>IFERROR((1+(INDEX(Detail!$D148:$M148,MATCH(DI$16,Detail!$D$142:$M$142))/12))^(MAX(0,DI$15)),1)</f>
        <v>1.1851371313432189</v>
      </c>
      <c r="DJ130" s="667">
        <f>IFERROR((1+(INDEX(Detail!$D148:$M148,MATCH(DJ$16,Detail!$D$142:$M$142))/12))^(MAX(0,DJ$15)),1)</f>
        <v>1.1871123598954578</v>
      </c>
      <c r="DK130" s="667">
        <f>IFERROR((1+(INDEX(Detail!$D148:$M148,MATCH(DK$16,Detail!$D$142:$M$142))/12))^(MAX(0,DK$15)),1)</f>
        <v>1.1890908804952838</v>
      </c>
      <c r="DL130" s="667">
        <f>IFERROR((1+(INDEX(Detail!$D148:$M148,MATCH(DL$16,Detail!$D$142:$M$142))/12))^(MAX(0,DL$15)),1)</f>
        <v>1.1910726986294424</v>
      </c>
      <c r="DM130" s="667">
        <f>IFERROR((1+(INDEX(Detail!$D148:$M148,MATCH(DM$16,Detail!$D$142:$M$142))/12))^(MAX(0,DM$15)),1)</f>
        <v>1.1930578197938249</v>
      </c>
      <c r="DN130" s="667">
        <f>IFERROR((1+(INDEX(Detail!$D148:$M148,MATCH(DN$16,Detail!$D$142:$M$142))/12))^(MAX(0,DN$15)),1)</f>
        <v>1.1950462494934815</v>
      </c>
      <c r="DO130" s="667">
        <f>IFERROR((1+(INDEX(Detail!$D148:$M148,MATCH(DO$16,Detail!$D$142:$M$142))/12))^(MAX(0,DO$15)),1)</f>
        <v>1.1970379932426372</v>
      </c>
      <c r="DP130" s="667">
        <f>IFERROR((1+(INDEX(Detail!$D148:$M148,MATCH(DP$16,Detail!$D$142:$M$142))/12))^(MAX(0,DP$15)),1)</f>
        <v>1.1990330565647085</v>
      </c>
      <c r="DQ130" s="667">
        <f>IFERROR((1+(INDEX(Detail!$D148:$M148,MATCH(DQ$16,Detail!$D$142:$M$142))/12))^(MAX(0,DQ$15)),1)</f>
        <v>1.2010314449923165</v>
      </c>
      <c r="DR130" s="667">
        <f>IFERROR((1+(INDEX(Detail!$D148:$M148,MATCH(DR$16,Detail!$D$142:$M$142))/12))^(MAX(0,DR$15)),1)</f>
        <v>1.2030331640673038</v>
      </c>
      <c r="DS130" s="667">
        <f>IFERROR((1+(INDEX(Detail!$D148:$M148,MATCH(DS$16,Detail!$D$142:$M$142))/12))^(MAX(0,DS$15)),1)</f>
        <v>1.2050382193407494</v>
      </c>
      <c r="DT130" s="667">
        <f>IFERROR((1+(INDEX(Detail!$D148:$M148,MATCH(DT$16,Detail!$D$142:$M$142))/12))^(MAX(0,DT$15)),1)</f>
        <v>1.207046616372984</v>
      </c>
      <c r="DU130" s="667">
        <f>IFERROR((1+(INDEX(Detail!$D148:$M148,MATCH(DU$16,Detail!$D$142:$M$142))/12))^(MAX(0,DU$15)),1)</f>
        <v>1.2090583607336056</v>
      </c>
      <c r="DV130" s="667">
        <f>IFERROR((1+(INDEX(Detail!$D148:$M148,MATCH(DV$16,Detail!$D$142:$M$142))/12))^(MAX(0,DV$15)),1)</f>
        <v>1.2110734580014952</v>
      </c>
      <c r="DW130" s="667">
        <f>IFERROR((1+(INDEX(Detail!$D148:$M148,MATCH(DW$16,Detail!$D$142:$M$142))/12))^(MAX(0,DW$15)),1)</f>
        <v>1.2130919137648311</v>
      </c>
      <c r="DX130" s="667">
        <f>IFERROR((1+(INDEX(Detail!$D148:$M148,MATCH(DX$16,Detail!$D$142:$M$142))/12))^(MAX(0,DX$15)),1)</f>
        <v>1.215113733621106</v>
      </c>
      <c r="DY130" s="667">
        <f>IFERROR((1+(INDEX(Detail!$D148:$M148,MATCH(DY$16,Detail!$D$142:$M$142))/12))^(MAX(0,DY$15)),1)</f>
        <v>1.217138923177141</v>
      </c>
      <c r="DZ130" s="667">
        <f>IFERROR((1+(INDEX(Detail!$D148:$M148,MATCH(DZ$16,Detail!$D$142:$M$142))/12))^(MAX(0,DZ$15)),1)</f>
        <v>1.219167488049103</v>
      </c>
      <c r="EA130" s="667">
        <f>IFERROR((1+(INDEX(Detail!$D148:$M148,MATCH(EA$16,Detail!$D$142:$M$142))/12))^(MAX(0,EA$15)),1)</f>
        <v>1.2211994338625185</v>
      </c>
      <c r="EB130" s="667">
        <f>IFERROR((1+(INDEX(Detail!$D148:$M148,MATCH(EB$16,Detail!$D$142:$M$142))/12))^(MAX(0,EB$15)),1)</f>
        <v>1.2232347662522893</v>
      </c>
      <c r="EC130" s="667">
        <f>IFERROR((1+(INDEX(Detail!$D148:$M148,MATCH(EC$16,Detail!$D$142:$M$142))/12))^(MAX(0,EC$15)),1)</f>
        <v>1.2252734908627099</v>
      </c>
      <c r="ED130" s="667">
        <f>IFERROR((1+(INDEX(Detail!$D148:$M148,MATCH(ED$16,Detail!$D$142:$M$142))/12))^(MAX(0,ED$15)),1)</f>
        <v>1.2273156133474812</v>
      </c>
      <c r="EE130" s="667">
        <f>IFERROR((1+(INDEX(Detail!$D148:$M148,MATCH(EE$16,Detail!$D$142:$M$142))/12))^(MAX(0,EE$15)),1)</f>
        <v>1.2293611393697268</v>
      </c>
      <c r="EF130" s="667">
        <f>IFERROR((1+(INDEX(Detail!$D148:$M148,MATCH(EF$16,Detail!$D$142:$M$142))/12))^(MAX(0,EF$15)),1)</f>
        <v>1.23141007460201</v>
      </c>
      <c r="EG130" s="667">
        <f>IFERROR((1+(INDEX(Detail!$D148:$M148,MATCH(EG$16,Detail!$D$142:$M$142))/12))^(MAX(0,EG$15)),1)</f>
        <v>1.2334624247263466</v>
      </c>
      <c r="EH130" s="667">
        <f>IFERROR((1+(INDEX(Detail!$D148:$M148,MATCH(EH$16,Detail!$D$142:$M$142))/12))^(MAX(0,EH$15)),1)</f>
        <v>1.2355181954342243</v>
      </c>
      <c r="EI130" s="667">
        <f>IFERROR((1+(INDEX(Detail!$D148:$M148,MATCH(EI$16,Detail!$D$142:$M$142))/12))^(MAX(0,EI$15)),1)</f>
        <v>1.2375773924266147</v>
      </c>
      <c r="EJ130" s="667">
        <f>IFERROR((1+(INDEX(Detail!$D148:$M148,MATCH(EJ$16,Detail!$D$142:$M$142))/12))^(MAX(0,EJ$15)),1)</f>
        <v>1.2396400214139924</v>
      </c>
      <c r="EK130" s="667">
        <f>IFERROR((1+(INDEX(Detail!$D148:$M148,MATCH(EK$16,Detail!$D$142:$M$142))/12))^(MAX(0,EK$15)),1)</f>
        <v>1.2417060881163491</v>
      </c>
      <c r="EL130" s="667">
        <f>IFERROR((1+(INDEX(Detail!$D148:$M148,MATCH(EL$16,Detail!$D$142:$M$142))/12))^(MAX(0,EL$15)),1)</f>
        <v>1.2437755982632097</v>
      </c>
      <c r="EM130" s="667">
        <f>IFERROR((1+(INDEX(Detail!$D148:$M148,MATCH(EM$16,Detail!$D$142:$M$142))/12))^(MAX(0,EM$15)),1)</f>
        <v>1.2458485575936487</v>
      </c>
      <c r="EN130" s="667">
        <f>IFERROR((1+(INDEX(Detail!$D148:$M148,MATCH(EN$16,Detail!$D$142:$M$142))/12))^(MAX(0,EN$15)),1)</f>
        <v>1.2479249718563046</v>
      </c>
      <c r="EO130" s="667">
        <f>IFERROR((1+(INDEX(Detail!$D148:$M148,MATCH(EO$16,Detail!$D$142:$M$142))/12))^(MAX(0,EO$15)),1)</f>
        <v>1.2500048468093985</v>
      </c>
      <c r="EP130" s="667">
        <f>IFERROR((1+(INDEX(Detail!$D148:$M148,MATCH(EP$16,Detail!$D$142:$M$142))/12))^(MAX(0,EP$15)),1)</f>
        <v>1.2520881882207475</v>
      </c>
      <c r="EQ130" s="667">
        <f>IFERROR((1+(INDEX(Detail!$D148:$M148,MATCH(EQ$16,Detail!$D$142:$M$142))/12))^(MAX(0,EQ$15)),1)</f>
        <v>1.2541750018677824</v>
      </c>
      <c r="ER130" s="667">
        <f>IFERROR((1+(INDEX(Detail!$D148:$M148,MATCH(ER$16,Detail!$D$142:$M$142))/12))^(MAX(0,ER$15)),1)</f>
        <v>1.256265293537562</v>
      </c>
      <c r="ES130" s="667">
        <f>IFERROR((1+(INDEX(Detail!$D148:$M148,MATCH(ES$16,Detail!$D$142:$M$142))/12))^(MAX(0,ES$15)),1)</f>
        <v>1.2583590690267914</v>
      </c>
      <c r="ET130" s="667">
        <f>IFERROR((1+(INDEX(Detail!$D148:$M148,MATCH(ET$16,Detail!$D$142:$M$142))/12))^(MAX(0,ET$15)),1)</f>
        <v>1.2604563341418362</v>
      </c>
      <c r="EU130" s="667">
        <f>IFERROR((1+(INDEX(Detail!$D148:$M148,MATCH(EU$16,Detail!$D$142:$M$142))/12))^(MAX(0,EU$15)),1)</f>
        <v>1.2625570946987392</v>
      </c>
      <c r="EV130" s="667">
        <f>IFERROR((1+(INDEX(Detail!$D148:$M148,MATCH(EV$16,Detail!$D$142:$M$142))/12))^(MAX(0,EV$15)),1)</f>
        <v>1.2646613565232372</v>
      </c>
      <c r="EW130" s="667">
        <f>IFERROR((1+(INDEX(Detail!$D148:$M148,MATCH(EW$16,Detail!$D$142:$M$142))/12))^(MAX(0,EW$15)),1)</f>
        <v>1.2667691254507762</v>
      </c>
      <c r="EX130" s="667">
        <f>IFERROR((1+(INDEX(Detail!$D148:$M148,MATCH(EX$16,Detail!$D$142:$M$142))/12))^(MAX(0,EX$15)),1)</f>
        <v>1.2688804073265274</v>
      </c>
      <c r="EY130" s="667">
        <f>IFERROR((1+(INDEX(Detail!$D148:$M148,MATCH(EY$16,Detail!$D$142:$M$142))/12))^(MAX(0,EY$15)),1)</f>
        <v>1.2709952080054052</v>
      </c>
      <c r="EZ130" s="667">
        <f>IFERROR((1+(INDEX(Detail!$D148:$M148,MATCH(EZ$16,Detail!$D$142:$M$142))/12))^(MAX(0,EZ$15)),1)</f>
        <v>1.2731135333520809</v>
      </c>
      <c r="FA130" s="667">
        <f>IFERROR((1+(INDEX(Detail!$D148:$M148,MATCH(FA$16,Detail!$D$142:$M$142))/12))^(MAX(0,FA$15)),1)</f>
        <v>1.2752353892410011</v>
      </c>
      <c r="FB130" s="667">
        <f>IFERROR((1+(INDEX(Detail!$D148:$M148,MATCH(FB$16,Detail!$D$142:$M$142))/12))^(MAX(0,FB$15)),1)</f>
        <v>1.277360781556403</v>
      </c>
      <c r="FC130" s="667">
        <f>IFERROR((1+(INDEX(Detail!$D148:$M148,MATCH(FC$16,Detail!$D$142:$M$142))/12))^(MAX(0,FC$15)),1)</f>
        <v>1.2794897161923302</v>
      </c>
      <c r="FD130" s="667">
        <f>IFERROR((1+(INDEX(Detail!$D148:$M148,MATCH(FD$16,Detail!$D$142:$M$142))/12))^(MAX(0,FD$15)),1)</f>
        <v>1.2816221990526511</v>
      </c>
      <c r="FE130" s="667">
        <f>IFERROR((1+(INDEX(Detail!$D148:$M148,MATCH(FE$16,Detail!$D$142:$M$142))/12))^(MAX(0,FE$15)),1)</f>
        <v>1.283758236051072</v>
      </c>
      <c r="FF130" s="667">
        <f>IFERROR((1+(INDEX(Detail!$D148:$M148,MATCH(FF$16,Detail!$D$142:$M$142))/12))^(MAX(0,FF$15)),1)</f>
        <v>1.2858978331111572</v>
      </c>
      <c r="FG130" s="667">
        <f>IFERROR((1+(INDEX(Detail!$D148:$M148,MATCH(FG$16,Detail!$D$142:$M$142))/12))^(MAX(0,FG$15)),1)</f>
        <v>1.2880409961663428</v>
      </c>
      <c r="FH130" s="667">
        <f>IFERROR((1+(INDEX(Detail!$D148:$M148,MATCH(FH$16,Detail!$D$142:$M$142))/12))^(MAX(0,FH$15)),1)</f>
        <v>1.2901877311599532</v>
      </c>
      <c r="FI130" s="667">
        <f>IFERROR((1+(INDEX(Detail!$D148:$M148,MATCH(FI$16,Detail!$D$142:$M$142))/12))^(MAX(0,FI$15)),1)</f>
        <v>1.2923380440452199</v>
      </c>
      <c r="FJ130" s="667">
        <f>IFERROR((1+(INDEX(Detail!$D148:$M148,MATCH(FJ$16,Detail!$D$142:$M$142))/12))^(MAX(0,FJ$15)),1)</f>
        <v>1.2944919407852955</v>
      </c>
      <c r="FK130" s="667">
        <f>IFERROR((1+(INDEX(Detail!$D148:$M148,MATCH(FK$16,Detail!$D$142:$M$142))/12))^(MAX(0,FK$15)),1)</f>
        <v>1.2966494273532709</v>
      </c>
      <c r="FL130" s="667">
        <f>IFERROR((1+(INDEX(Detail!$D148:$M148,MATCH(FL$16,Detail!$D$142:$M$142))/12))^(MAX(0,FL$15)),1)</f>
        <v>1.2988105097321934</v>
      </c>
      <c r="FM130" s="667">
        <f>IFERROR((1+(INDEX(Detail!$D148:$M148,MATCH(FM$16,Detail!$D$142:$M$142))/12))^(MAX(0,FM$15)),1)</f>
        <v>1.3009751939150802</v>
      </c>
      <c r="FN130" s="667">
        <f>IFERROR((1+(INDEX(Detail!$D148:$M148,MATCH(FN$16,Detail!$D$142:$M$142))/12))^(MAX(0,FN$15)),1)</f>
        <v>1.3031434859049389</v>
      </c>
      <c r="FO130" s="667">
        <f>IFERROR((1+(INDEX(Detail!$D148:$M148,MATCH(FO$16,Detail!$D$142:$M$142))/12))^(MAX(0,FO$15)),1)</f>
        <v>1.3053153917147806</v>
      </c>
      <c r="FP130" s="667">
        <f>IFERROR((1+(INDEX(Detail!$D148:$M148,MATCH(FP$16,Detail!$D$142:$M$142))/12))^(MAX(0,FP$15)),1)</f>
        <v>1.3074909173676388</v>
      </c>
      <c r="FQ130" s="667">
        <f>IFERROR((1+(INDEX(Detail!$D148:$M148,MATCH(FQ$16,Detail!$D$142:$M$142))/12))^(MAX(0,FQ$15)),1)</f>
        <v>1.3096700688965848</v>
      </c>
      <c r="FR130" s="667">
        <f>IFERROR((1+(INDEX(Detail!$D148:$M148,MATCH(FR$16,Detail!$D$142:$M$142))/12))^(MAX(0,FR$15)),1)</f>
        <v>1.3118528523447459</v>
      </c>
      <c r="FS130" s="667">
        <f>IFERROR((1+(INDEX(Detail!$D148:$M148,MATCH(FS$16,Detail!$D$142:$M$142))/12))^(MAX(0,FS$15)),1)</f>
        <v>1.3140392737653206</v>
      </c>
    </row>
    <row r="131" spans="2:175" ht="13.5">
      <c r="B131" s="668" t="s">
        <v>41</v>
      </c>
      <c r="C131" s="669" t="s">
        <v>347</v>
      </c>
      <c r="D131" s="669"/>
      <c r="E131" s="670">
        <f>IFERROR((1+(INDEX(Detail!$D149:$M149,MATCH(E$16,Detail!$D$142:$M$142))/12))^(MAX(0,E$15)),1)</f>
        <v>1</v>
      </c>
      <c r="F131" s="671">
        <f>IFERROR((1+(INDEX(Detail!$D149:$M149,MATCH(F$16,Detail!$D$142:$M$142))/12))^(MAX(0,F$15)),1)</f>
        <v>1</v>
      </c>
      <c r="G131" s="671">
        <f>IFERROR((1+(INDEX(Detail!$D149:$M149,MATCH(G$16,Detail!$D$142:$M$142))/12))^(MAX(0,G$15)),1)</f>
        <v>1</v>
      </c>
      <c r="H131" s="671">
        <f>IFERROR((1+(INDEX(Detail!$D149:$M149,MATCH(H$16,Detail!$D$142:$M$142))/12))^(MAX(0,H$15)),1)</f>
        <v>1</v>
      </c>
      <c r="I131" s="671">
        <f>IFERROR((1+(INDEX(Detail!$D149:$M149,MATCH(I$16,Detail!$D$142:$M$142))/12))^(MAX(0,I$15)),1)</f>
        <v>1</v>
      </c>
      <c r="J131" s="671">
        <f>IFERROR((1+(INDEX(Detail!$D149:$M149,MATCH(J$16,Detail!$D$142:$M$142))/12))^(MAX(0,J$15)),1)</f>
        <v>1</v>
      </c>
      <c r="K131" s="671">
        <f>IFERROR((1+(INDEX(Detail!$D149:$M149,MATCH(K$16,Detail!$D$142:$M$142))/12))^(MAX(0,K$15)),1)</f>
        <v>1</v>
      </c>
      <c r="L131" s="671">
        <f>IFERROR((1+(INDEX(Detail!$D149:$M149,MATCH(L$16,Detail!$D$142:$M$142))/12))^(MAX(0,L$15)),1)</f>
        <v>1.0016666666666667</v>
      </c>
      <c r="M131" s="671">
        <f>IFERROR((1+(INDEX(Detail!$D149:$M149,MATCH(M$16,Detail!$D$142:$M$142))/12))^(MAX(0,M$15)),1)</f>
        <v>1.0033361111111112</v>
      </c>
      <c r="N131" s="671">
        <f>IFERROR((1+(INDEX(Detail!$D149:$M149,MATCH(N$16,Detail!$D$142:$M$142))/12))^(MAX(0,N$15)),1)</f>
        <v>1.0050083379629631</v>
      </c>
      <c r="O131" s="671">
        <f>IFERROR((1+(INDEX(Detail!$D149:$M149,MATCH(O$16,Detail!$D$142:$M$142))/12))^(MAX(0,O$15)),1)</f>
        <v>1.0066833518595681</v>
      </c>
      <c r="P131" s="671">
        <f>IFERROR((1+(INDEX(Detail!$D149:$M149,MATCH(P$16,Detail!$D$142:$M$142))/12))^(MAX(0,P$15)),1)</f>
        <v>1.0083611574460007</v>
      </c>
      <c r="Q131" s="671">
        <f>IFERROR((1+(INDEX(Detail!$D149:$M149,MATCH(Q$16,Detail!$D$142:$M$142))/12))^(MAX(0,Q$15)),1)</f>
        <v>1.0100417593750775</v>
      </c>
      <c r="R131" s="671">
        <f>IFERROR((1+(INDEX(Detail!$D149:$M149,MATCH(R$16,Detail!$D$142:$M$142))/12))^(MAX(0,R$15)),1)</f>
        <v>1.0117251623073693</v>
      </c>
      <c r="S131" s="671">
        <f>IFERROR((1+(INDEX(Detail!$D149:$M149,MATCH(S$16,Detail!$D$142:$M$142))/12))^(MAX(0,S$15)),1)</f>
        <v>1.0134113709112151</v>
      </c>
      <c r="T131" s="671">
        <f>IFERROR((1+(INDEX(Detail!$D149:$M149,MATCH(T$16,Detail!$D$142:$M$142))/12))^(MAX(0,T$15)),1)</f>
        <v>1.0151003898627338</v>
      </c>
      <c r="U131" s="671">
        <f>IFERROR((1+(INDEX(Detail!$D149:$M149,MATCH(U$16,Detail!$D$142:$M$142))/12))^(MAX(0,U$15)),1)</f>
        <v>1.0167922238458384</v>
      </c>
      <c r="V131" s="671">
        <f>IFERROR((1+(INDEX(Detail!$D149:$M149,MATCH(V$16,Detail!$D$142:$M$142))/12))^(MAX(0,V$15)),1)</f>
        <v>1.0184868775522482</v>
      </c>
      <c r="W131" s="671">
        <f>IFERROR((1+(INDEX(Detail!$D149:$M149,MATCH(W$16,Detail!$D$142:$M$142))/12))^(MAX(0,W$15)),1)</f>
        <v>1.020184355681502</v>
      </c>
      <c r="X131" s="671">
        <f>IFERROR((1+(INDEX(Detail!$D149:$M149,MATCH(X$16,Detail!$D$142:$M$142))/12))^(MAX(0,X$15)),1)</f>
        <v>1.0218846629409712</v>
      </c>
      <c r="Y131" s="671">
        <f>IFERROR((1+(INDEX(Detail!$D149:$M149,MATCH(Y$16,Detail!$D$142:$M$142))/12))^(MAX(0,Y$15)),1)</f>
        <v>1.023587804045873</v>
      </c>
      <c r="Z131" s="671">
        <f>IFERROR((1+(INDEX(Detail!$D149:$M149,MATCH(Z$16,Detail!$D$142:$M$142))/12))^(MAX(0,Z$15)),1)</f>
        <v>1.0252937837192828</v>
      </c>
      <c r="AA131" s="671">
        <f>IFERROR((1+(INDEX(Detail!$D149:$M149,MATCH(AA$16,Detail!$D$142:$M$142))/12))^(MAX(0,AA$15)),1)</f>
        <v>1.0270026066921485</v>
      </c>
      <c r="AB131" s="671">
        <f>IFERROR((1+(INDEX(Detail!$D149:$M149,MATCH(AB$16,Detail!$D$142:$M$142))/12))^(MAX(0,AB$15)),1)</f>
        <v>1.028714277703302</v>
      </c>
      <c r="AC131" s="671">
        <f>IFERROR((1+(INDEX(Detail!$D149:$M149,MATCH(AC$16,Detail!$D$142:$M$142))/12))^(MAX(0,AC$15)),1)</f>
        <v>1.0304288014994742</v>
      </c>
      <c r="AD131" s="671">
        <f>IFERROR((1+(INDEX(Detail!$D149:$M149,MATCH(AD$16,Detail!$D$142:$M$142))/12))^(MAX(0,AD$15)),1)</f>
        <v>1.0321461828353069</v>
      </c>
      <c r="AE131" s="671">
        <f>IFERROR((1+(INDEX(Detail!$D149:$M149,MATCH(AE$16,Detail!$D$142:$M$142))/12))^(MAX(0,AE$15)),1)</f>
        <v>1.0338664264733657</v>
      </c>
      <c r="AF131" s="671">
        <f>IFERROR((1+(INDEX(Detail!$D149:$M149,MATCH(AF$16,Detail!$D$142:$M$142))/12))^(MAX(0,AF$15)),1)</f>
        <v>1.0355895371841548</v>
      </c>
      <c r="AG131" s="671">
        <f>IFERROR((1+(INDEX(Detail!$D149:$M149,MATCH(AG$16,Detail!$D$142:$M$142))/12))^(MAX(0,AG$15)),1)</f>
        <v>1.0373155197461283</v>
      </c>
      <c r="AH131" s="671">
        <f>IFERROR((1+(INDEX(Detail!$D149:$M149,MATCH(AH$16,Detail!$D$142:$M$142))/12))^(MAX(0,AH$15)),1)</f>
        <v>1.0390443789457053</v>
      </c>
      <c r="AI131" s="671">
        <f>IFERROR((1+(INDEX(Detail!$D149:$M149,MATCH(AI$16,Detail!$D$142:$M$142))/12))^(MAX(0,AI$15)),1)</f>
        <v>1.0407761195772818</v>
      </c>
      <c r="AJ131" s="671">
        <f>IFERROR((1+(INDEX(Detail!$D149:$M149,MATCH(AJ$16,Detail!$D$142:$M$142))/12))^(MAX(0,AJ$15)),1)</f>
        <v>1.0425107464432437</v>
      </c>
      <c r="AK131" s="671">
        <f>IFERROR((1+(INDEX(Detail!$D149:$M149,MATCH(AK$16,Detail!$D$142:$M$142))/12))^(MAX(0,AK$15)),1)</f>
        <v>1.0442482643539825</v>
      </c>
      <c r="AL131" s="671">
        <f>IFERROR((1+(INDEX(Detail!$D149:$M149,MATCH(AL$16,Detail!$D$142:$M$142))/12))^(MAX(0,AL$15)),1)</f>
        <v>1.045988678127906</v>
      </c>
      <c r="AM131" s="671">
        <f>IFERROR((1+(INDEX(Detail!$D149:$M149,MATCH(AM$16,Detail!$D$142:$M$142))/12))^(MAX(0,AM$15)),1)</f>
        <v>1.0477319925914526</v>
      </c>
      <c r="AN131" s="671">
        <f>IFERROR((1+(INDEX(Detail!$D149:$M149,MATCH(AN$16,Detail!$D$142:$M$142))/12))^(MAX(0,AN$15)),1)</f>
        <v>1.0494782125791051</v>
      </c>
      <c r="AO131" s="671">
        <f>IFERROR((1+(INDEX(Detail!$D149:$M149,MATCH(AO$16,Detail!$D$142:$M$142))/12))^(MAX(0,AO$15)),1)</f>
        <v>1.0512273429334036</v>
      </c>
      <c r="AP131" s="671">
        <f>IFERROR((1+(INDEX(Detail!$D149:$M149,MATCH(AP$16,Detail!$D$142:$M$142))/12))^(MAX(0,AP$15)),1)</f>
        <v>1.0529793885049594</v>
      </c>
      <c r="AQ131" s="671">
        <f>IFERROR((1+(INDEX(Detail!$D149:$M149,MATCH(AQ$16,Detail!$D$142:$M$142))/12))^(MAX(0,AQ$15)),1)</f>
        <v>1.0547343541524679</v>
      </c>
      <c r="AR131" s="671">
        <f>IFERROR((1+(INDEX(Detail!$D149:$M149,MATCH(AR$16,Detail!$D$142:$M$142))/12))^(MAX(0,AR$15)),1)</f>
        <v>1.0564922447427221</v>
      </c>
      <c r="AS131" s="671">
        <f>IFERROR((1+(INDEX(Detail!$D149:$M149,MATCH(AS$16,Detail!$D$142:$M$142))/12))^(MAX(0,AS$15)),1)</f>
        <v>1.0582530651506266</v>
      </c>
      <c r="AT131" s="671">
        <f>IFERROR((1+(INDEX(Detail!$D149:$M149,MATCH(AT$16,Detail!$D$142:$M$142))/12))^(MAX(0,AT$15)),1)</f>
        <v>1.0600168202592111</v>
      </c>
      <c r="AU131" s="671">
        <f>IFERROR((1+(INDEX(Detail!$D149:$M149,MATCH(AU$16,Detail!$D$142:$M$142))/12))^(MAX(0,AU$15)),1)</f>
        <v>1.0617835149596431</v>
      </c>
      <c r="AV131" s="671">
        <f>IFERROR((1+(INDEX(Detail!$D149:$M149,MATCH(AV$16,Detail!$D$142:$M$142))/12))^(MAX(0,AV$15)),1)</f>
        <v>1.0635531541512426</v>
      </c>
      <c r="AW131" s="671">
        <f>IFERROR((1+(INDEX(Detail!$D149:$M149,MATCH(AW$16,Detail!$D$142:$M$142))/12))^(MAX(0,AW$15)),1)</f>
        <v>1.0653257427414946</v>
      </c>
      <c r="AX131" s="671">
        <f>IFERROR((1+(INDEX(Detail!$D149:$M149,MATCH(AX$16,Detail!$D$142:$M$142))/12))^(MAX(0,AX$15)),1)</f>
        <v>1.067101285646064</v>
      </c>
      <c r="AY131" s="671">
        <f>IFERROR((1+(INDEX(Detail!$D149:$M149,MATCH(AY$16,Detail!$D$142:$M$142))/12))^(MAX(0,AY$15)),1)</f>
        <v>1.0688797877888077</v>
      </c>
      <c r="AZ131" s="671">
        <f>IFERROR((1+(INDEX(Detail!$D149:$M149,MATCH(AZ$16,Detail!$D$142:$M$142))/12))^(MAX(0,AZ$15)),1)</f>
        <v>1.0706612541017888</v>
      </c>
      <c r="BA131" s="671">
        <f>IFERROR((1+(INDEX(Detail!$D149:$M149,MATCH(BA$16,Detail!$D$142:$M$142))/12))^(MAX(0,BA$15)),1)</f>
        <v>1.0724456895252918</v>
      </c>
      <c r="BB131" s="671">
        <f>IFERROR((1+(INDEX(Detail!$D149:$M149,MATCH(BB$16,Detail!$D$142:$M$142))/12))^(MAX(0,BB$15)),1)</f>
        <v>1.0742330990078341</v>
      </c>
      <c r="BC131" s="671">
        <f>IFERROR((1+(INDEX(Detail!$D149:$M149,MATCH(BC$16,Detail!$D$142:$M$142))/12))^(MAX(0,BC$15)),1)</f>
        <v>1.0760234875061805</v>
      </c>
      <c r="BD131" s="671">
        <f>IFERROR((1+(INDEX(Detail!$D149:$M149,MATCH(BD$16,Detail!$D$142:$M$142))/12))^(MAX(0,BD$15)),1)</f>
        <v>1.0778168599853577</v>
      </c>
      <c r="BE131" s="671">
        <f>IFERROR((1+(INDEX(Detail!$D149:$M149,MATCH(BE$16,Detail!$D$142:$M$142))/12))^(MAX(0,BE$15)),1)</f>
        <v>1.0796132214186667</v>
      </c>
      <c r="BF131" s="671">
        <f>IFERROR((1+(INDEX(Detail!$D149:$M149,MATCH(BF$16,Detail!$D$142:$M$142))/12))^(MAX(0,BF$15)),1)</f>
        <v>1.0814125767876979</v>
      </c>
      <c r="BG131" s="671">
        <f>IFERROR((1+(INDEX(Detail!$D149:$M149,MATCH(BG$16,Detail!$D$142:$M$142))/12))^(MAX(0,BG$15)),1)</f>
        <v>1.0832149310823442</v>
      </c>
      <c r="BH131" s="671">
        <f>IFERROR((1+(INDEX(Detail!$D149:$M149,MATCH(BH$16,Detail!$D$142:$M$142))/12))^(MAX(0,BH$15)),1)</f>
        <v>1.0850202893008147</v>
      </c>
      <c r="BI131" s="671">
        <f>IFERROR((1+(INDEX(Detail!$D149:$M149,MATCH(BI$16,Detail!$D$142:$M$142))/12))^(MAX(0,BI$15)),1)</f>
        <v>1.0868286564496494</v>
      </c>
      <c r="BJ131" s="671">
        <f>IFERROR((1+(INDEX(Detail!$D149:$M149,MATCH(BJ$16,Detail!$D$142:$M$142))/12))^(MAX(0,BJ$15)),1)</f>
        <v>1.0886400375437324</v>
      </c>
      <c r="BK131" s="671">
        <f>IFERROR((1+(INDEX(Detail!$D149:$M149,MATCH(BK$16,Detail!$D$142:$M$142))/12))^(MAX(0,BK$15)),1)</f>
        <v>1.0904544376063052</v>
      </c>
      <c r="BL131" s="671">
        <f>IFERROR((1+(INDEX(Detail!$D149:$M149,MATCH(BL$16,Detail!$D$142:$M$142))/12))^(MAX(0,BL$15)),1)</f>
        <v>1.0922718616689826</v>
      </c>
      <c r="BM131" s="671">
        <f>IFERROR((1+(INDEX(Detail!$D149:$M149,MATCH(BM$16,Detail!$D$142:$M$142))/12))^(MAX(0,BM$15)),1)</f>
        <v>1.0940923147717643</v>
      </c>
      <c r="BN131" s="671">
        <f>IFERROR((1+(INDEX(Detail!$D149:$M149,MATCH(BN$16,Detail!$D$142:$M$142))/12))^(MAX(0,BN$15)),1)</f>
        <v>1.0959158019630506</v>
      </c>
      <c r="BO131" s="671">
        <f>IFERROR((1+(INDEX(Detail!$D149:$M149,MATCH(BO$16,Detail!$D$142:$M$142))/12))^(MAX(0,BO$15)),1)</f>
        <v>1.0977423282996559</v>
      </c>
      <c r="BP131" s="671">
        <f>IFERROR((1+(INDEX(Detail!$D149:$M149,MATCH(BP$16,Detail!$D$142:$M$142))/12))^(MAX(0,BP$15)),1)</f>
        <v>1.0995718988468219</v>
      </c>
      <c r="BQ131" s="671">
        <f>IFERROR((1+(INDEX(Detail!$D149:$M149,MATCH(BQ$16,Detail!$D$142:$M$142))/12))^(MAX(0,BQ$15)),1)</f>
        <v>1.1014045186782333</v>
      </c>
      <c r="BR131" s="671">
        <f>IFERROR((1+(INDEX(Detail!$D149:$M149,MATCH(BR$16,Detail!$D$142:$M$142))/12))^(MAX(0,BR$15)),1)</f>
        <v>1.1032401928760305</v>
      </c>
      <c r="BS131" s="671">
        <f>IFERROR((1+(INDEX(Detail!$D149:$M149,MATCH(BS$16,Detail!$D$142:$M$142))/12))^(MAX(0,BS$15)),1)</f>
        <v>1.1050789265308238</v>
      </c>
      <c r="BT131" s="671">
        <f>IFERROR((1+(INDEX(Detail!$D149:$M149,MATCH(BT$16,Detail!$D$142:$M$142))/12))^(MAX(0,BT$15)),1)</f>
        <v>1.1069207247417088</v>
      </c>
      <c r="BU131" s="671">
        <f>IFERROR((1+(INDEX(Detail!$D149:$M149,MATCH(BU$16,Detail!$D$142:$M$142))/12))^(MAX(0,BU$15)),1)</f>
        <v>1.1087655926162783</v>
      </c>
      <c r="BV131" s="671">
        <f>IFERROR((1+(INDEX(Detail!$D149:$M149,MATCH(BV$16,Detail!$D$142:$M$142))/12))^(MAX(0,BV$15)),1)</f>
        <v>1.110613535270639</v>
      </c>
      <c r="BW131" s="671">
        <f>IFERROR((1+(INDEX(Detail!$D149:$M149,MATCH(BW$16,Detail!$D$142:$M$142))/12))^(MAX(0,BW$15)),1)</f>
        <v>1.1124645578294234</v>
      </c>
      <c r="BX131" s="671">
        <f>IFERROR((1+(INDEX(Detail!$D149:$M149,MATCH(BX$16,Detail!$D$142:$M$142))/12))^(MAX(0,BX$15)),1)</f>
        <v>1.1143186654258059</v>
      </c>
      <c r="BY131" s="671">
        <f>IFERROR((1+(INDEX(Detail!$D149:$M149,MATCH(BY$16,Detail!$D$142:$M$142))/12))^(MAX(0,BY$15)),1)</f>
        <v>1.1161758632015155</v>
      </c>
      <c r="BZ131" s="671">
        <f>IFERROR((1+(INDEX(Detail!$D149:$M149,MATCH(BZ$16,Detail!$D$142:$M$142))/12))^(MAX(0,BZ$15)),1)</f>
        <v>1.1180361563068515</v>
      </c>
      <c r="CA131" s="671">
        <f>IFERROR((1+(INDEX(Detail!$D149:$M149,MATCH(CA$16,Detail!$D$142:$M$142))/12))^(MAX(0,CA$15)),1)</f>
        <v>1.1198995499006963</v>
      </c>
      <c r="CB131" s="671">
        <f>IFERROR((1+(INDEX(Detail!$D149:$M149,MATCH(CB$16,Detail!$D$142:$M$142))/12))^(MAX(0,CB$15)),1)</f>
        <v>1.1217660491505308</v>
      </c>
      <c r="CC131" s="671">
        <f>IFERROR((1+(INDEX(Detail!$D149:$M149,MATCH(CC$16,Detail!$D$142:$M$142))/12))^(MAX(0,CC$15)),1)</f>
        <v>1.1236356592324483</v>
      </c>
      <c r="CD131" s="671">
        <f>IFERROR((1+(INDEX(Detail!$D149:$M149,MATCH(CD$16,Detail!$D$142:$M$142))/12))^(MAX(0,CD$15)),1)</f>
        <v>1.1255083853311691</v>
      </c>
      <c r="CE131" s="671">
        <f>IFERROR((1+(INDEX(Detail!$D149:$M149,MATCH(CE$16,Detail!$D$142:$M$142))/12))^(MAX(0,CE$15)),1)</f>
        <v>1.1273842326400547</v>
      </c>
      <c r="CF131" s="671">
        <f>IFERROR((1+(INDEX(Detail!$D149:$M149,MATCH(CF$16,Detail!$D$142:$M$142))/12))^(MAX(0,CF$15)),1)</f>
        <v>1.1292632063611214</v>
      </c>
      <c r="CG131" s="671">
        <f>IFERROR((1+(INDEX(Detail!$D149:$M149,MATCH(CG$16,Detail!$D$142:$M$142))/12))^(MAX(0,CG$15)),1)</f>
        <v>1.1311453117050567</v>
      </c>
      <c r="CH131" s="671">
        <f>IFERROR((1+(INDEX(Detail!$D149:$M149,MATCH(CH$16,Detail!$D$142:$M$142))/12))^(MAX(0,CH$15)),1)</f>
        <v>1.133030553891232</v>
      </c>
      <c r="CI131" s="671">
        <f>IFERROR((1+(INDEX(Detail!$D149:$M149,MATCH(CI$16,Detail!$D$142:$M$142))/12))^(MAX(0,CI$15)),1)</f>
        <v>1.1349189381477174</v>
      </c>
      <c r="CJ131" s="671">
        <f>IFERROR((1+(INDEX(Detail!$D149:$M149,MATCH(CJ$16,Detail!$D$142:$M$142))/12))^(MAX(0,CJ$15)),1)</f>
        <v>1.1368104697112971</v>
      </c>
      <c r="CK131" s="671">
        <f>IFERROR((1+(INDEX(Detail!$D149:$M149,MATCH(CK$16,Detail!$D$142:$M$142))/12))^(MAX(0,CK$15)),1)</f>
        <v>1.1387051538274826</v>
      </c>
      <c r="CL131" s="671">
        <f>IFERROR((1+(INDEX(Detail!$D149:$M149,MATCH(CL$16,Detail!$D$142:$M$142))/12))^(MAX(0,CL$15)),1)</f>
        <v>1.1406029957505284</v>
      </c>
      <c r="CM131" s="671">
        <f>IFERROR((1+(INDEX(Detail!$D149:$M149,MATCH(CM$16,Detail!$D$142:$M$142))/12))^(MAX(0,CM$15)),1)</f>
        <v>1.1425040007434462</v>
      </c>
      <c r="CN131" s="671">
        <f>IFERROR((1+(INDEX(Detail!$D149:$M149,MATCH(CN$16,Detail!$D$142:$M$142))/12))^(MAX(0,CN$15)),1)</f>
        <v>1.1444081740780185</v>
      </c>
      <c r="CO131" s="671">
        <f>IFERROR((1+(INDEX(Detail!$D149:$M149,MATCH(CO$16,Detail!$D$142:$M$142))/12))^(MAX(0,CO$15)),1)</f>
        <v>1.1463155210348153</v>
      </c>
      <c r="CP131" s="671">
        <f>IFERROR((1+(INDEX(Detail!$D149:$M149,MATCH(CP$16,Detail!$D$142:$M$142))/12))^(MAX(0,CP$15)),1)</f>
        <v>1.1482260469032068</v>
      </c>
      <c r="CQ131" s="671">
        <f>IFERROR((1+(INDEX(Detail!$D149:$M149,MATCH(CQ$16,Detail!$D$142:$M$142))/12))^(MAX(0,CQ$15)),1)</f>
        <v>1.1501397569813789</v>
      </c>
      <c r="CR131" s="671">
        <f>IFERROR((1+(INDEX(Detail!$D149:$M149,MATCH(CR$16,Detail!$D$142:$M$142))/12))^(MAX(0,CR$15)),1)</f>
        <v>1.1520566565763481</v>
      </c>
      <c r="CS131" s="671">
        <f>IFERROR((1+(INDEX(Detail!$D149:$M149,MATCH(CS$16,Detail!$D$142:$M$142))/12))^(MAX(0,CS$15)),1)</f>
        <v>1.1539767510039751</v>
      </c>
      <c r="CT131" s="671">
        <f>IFERROR((1+(INDEX(Detail!$D149:$M149,MATCH(CT$16,Detail!$D$142:$M$142))/12))^(MAX(0,CT$15)),1)</f>
        <v>1.1559000455889821</v>
      </c>
      <c r="CU131" s="671">
        <f>IFERROR((1+(INDEX(Detail!$D149:$M149,MATCH(CU$16,Detail!$D$142:$M$142))/12))^(MAX(0,CU$15)),1)</f>
        <v>1.1578265456649639</v>
      </c>
      <c r="CV131" s="671">
        <f>IFERROR((1+(INDEX(Detail!$D149:$M149,MATCH(CV$16,Detail!$D$142:$M$142))/12))^(MAX(0,CV$15)),1)</f>
        <v>1.1597562565744053</v>
      </c>
      <c r="CW131" s="671">
        <f>IFERROR((1+(INDEX(Detail!$D149:$M149,MATCH(CW$16,Detail!$D$142:$M$142))/12))^(MAX(0,CW$15)),1)</f>
        <v>1.161689183668696</v>
      </c>
      <c r="CX131" s="671">
        <f>IFERROR((1+(INDEX(Detail!$D149:$M149,MATCH(CX$16,Detail!$D$142:$M$142))/12))^(MAX(0,CX$15)),1)</f>
        <v>1.163625332308144</v>
      </c>
      <c r="CY131" s="671">
        <f>IFERROR((1+(INDEX(Detail!$D149:$M149,MATCH(CY$16,Detail!$D$142:$M$142))/12))^(MAX(0,CY$15)),1)</f>
        <v>1.1655647078619911</v>
      </c>
      <c r="CZ131" s="671">
        <f>IFERROR((1+(INDEX(Detail!$D149:$M149,MATCH(CZ$16,Detail!$D$142:$M$142))/12))^(MAX(0,CZ$15)),1)</f>
        <v>1.1675073157084279</v>
      </c>
      <c r="DA131" s="671">
        <f>IFERROR((1+(INDEX(Detail!$D149:$M149,MATCH(DA$16,Detail!$D$142:$M$142))/12))^(MAX(0,DA$15)),1)</f>
        <v>1.1694531612346084</v>
      </c>
      <c r="DB131" s="671">
        <f>IFERROR((1+(INDEX(Detail!$D149:$M149,MATCH(DB$16,Detail!$D$142:$M$142))/12))^(MAX(0,DB$15)),1)</f>
        <v>1.1714022498366663</v>
      </c>
      <c r="DC131" s="671">
        <f>IFERROR((1+(INDEX(Detail!$D149:$M149,MATCH(DC$16,Detail!$D$142:$M$142))/12))^(MAX(0,DC$15)),1)</f>
        <v>1.1733545869197277</v>
      </c>
      <c r="DD131" s="671">
        <f>IFERROR((1+(INDEX(Detail!$D149:$M149,MATCH(DD$16,Detail!$D$142:$M$142))/12))^(MAX(0,DD$15)),1)</f>
        <v>1.1753101778979274</v>
      </c>
      <c r="DE131" s="671">
        <f>IFERROR((1+(INDEX(Detail!$D149:$M149,MATCH(DE$16,Detail!$D$142:$M$142))/12))^(MAX(0,DE$15)),1)</f>
        <v>1.1772690281944238</v>
      </c>
      <c r="DF131" s="671">
        <f>IFERROR((1+(INDEX(Detail!$D149:$M149,MATCH(DF$16,Detail!$D$142:$M$142))/12))^(MAX(0,DF$15)),1)</f>
        <v>1.1792311432414146</v>
      </c>
      <c r="DG131" s="671">
        <f>IFERROR((1+(INDEX(Detail!$D149:$M149,MATCH(DG$16,Detail!$D$142:$M$142))/12))^(MAX(0,DG$15)),1)</f>
        <v>1.1811965284801504</v>
      </c>
      <c r="DH131" s="671">
        <f>IFERROR((1+(INDEX(Detail!$D149:$M149,MATCH(DH$16,Detail!$D$142:$M$142))/12))^(MAX(0,DH$15)),1)</f>
        <v>1.1831651893609507</v>
      </c>
      <c r="DI131" s="671">
        <f>IFERROR((1+(INDEX(Detail!$D149:$M149,MATCH(DI$16,Detail!$D$142:$M$142))/12))^(MAX(0,DI$15)),1)</f>
        <v>1.1851371313432189</v>
      </c>
      <c r="DJ131" s="671">
        <f>IFERROR((1+(INDEX(Detail!$D149:$M149,MATCH(DJ$16,Detail!$D$142:$M$142))/12))^(MAX(0,DJ$15)),1)</f>
        <v>1.1871123598954578</v>
      </c>
      <c r="DK131" s="671">
        <f>IFERROR((1+(INDEX(Detail!$D149:$M149,MATCH(DK$16,Detail!$D$142:$M$142))/12))^(MAX(0,DK$15)),1)</f>
        <v>1.1890908804952838</v>
      </c>
      <c r="DL131" s="671">
        <f>IFERROR((1+(INDEX(Detail!$D149:$M149,MATCH(DL$16,Detail!$D$142:$M$142))/12))^(MAX(0,DL$15)),1)</f>
        <v>1.1910726986294424</v>
      </c>
      <c r="DM131" s="671">
        <f>IFERROR((1+(INDEX(Detail!$D149:$M149,MATCH(DM$16,Detail!$D$142:$M$142))/12))^(MAX(0,DM$15)),1)</f>
        <v>1.1930578197938249</v>
      </c>
      <c r="DN131" s="671">
        <f>IFERROR((1+(INDEX(Detail!$D149:$M149,MATCH(DN$16,Detail!$D$142:$M$142))/12))^(MAX(0,DN$15)),1)</f>
        <v>1.1950462494934815</v>
      </c>
      <c r="DO131" s="671">
        <f>IFERROR((1+(INDEX(Detail!$D149:$M149,MATCH(DO$16,Detail!$D$142:$M$142))/12))^(MAX(0,DO$15)),1)</f>
        <v>1.1970379932426372</v>
      </c>
      <c r="DP131" s="671">
        <f>IFERROR((1+(INDEX(Detail!$D149:$M149,MATCH(DP$16,Detail!$D$142:$M$142))/12))^(MAX(0,DP$15)),1)</f>
        <v>1.1990330565647085</v>
      </c>
      <c r="DQ131" s="671">
        <f>IFERROR((1+(INDEX(Detail!$D149:$M149,MATCH(DQ$16,Detail!$D$142:$M$142))/12))^(MAX(0,DQ$15)),1)</f>
        <v>1.2010314449923165</v>
      </c>
      <c r="DR131" s="671">
        <f>IFERROR((1+(INDEX(Detail!$D149:$M149,MATCH(DR$16,Detail!$D$142:$M$142))/12))^(MAX(0,DR$15)),1)</f>
        <v>1.2030331640673038</v>
      </c>
      <c r="DS131" s="671">
        <f>IFERROR((1+(INDEX(Detail!$D149:$M149,MATCH(DS$16,Detail!$D$142:$M$142))/12))^(MAX(0,DS$15)),1)</f>
        <v>1.2050382193407494</v>
      </c>
      <c r="DT131" s="671">
        <f>IFERROR((1+(INDEX(Detail!$D149:$M149,MATCH(DT$16,Detail!$D$142:$M$142))/12))^(MAX(0,DT$15)),1)</f>
        <v>1.207046616372984</v>
      </c>
      <c r="DU131" s="671">
        <f>IFERROR((1+(INDEX(Detail!$D149:$M149,MATCH(DU$16,Detail!$D$142:$M$142))/12))^(MAX(0,DU$15)),1)</f>
        <v>1.2090583607336056</v>
      </c>
      <c r="DV131" s="671">
        <f>IFERROR((1+(INDEX(Detail!$D149:$M149,MATCH(DV$16,Detail!$D$142:$M$142))/12))^(MAX(0,DV$15)),1)</f>
        <v>1.2110734580014952</v>
      </c>
      <c r="DW131" s="671">
        <f>IFERROR((1+(INDEX(Detail!$D149:$M149,MATCH(DW$16,Detail!$D$142:$M$142))/12))^(MAX(0,DW$15)),1)</f>
        <v>1.2130919137648311</v>
      </c>
      <c r="DX131" s="671">
        <f>IFERROR((1+(INDEX(Detail!$D149:$M149,MATCH(DX$16,Detail!$D$142:$M$142))/12))^(MAX(0,DX$15)),1)</f>
        <v>1.215113733621106</v>
      </c>
      <c r="DY131" s="671">
        <f>IFERROR((1+(INDEX(Detail!$D149:$M149,MATCH(DY$16,Detail!$D$142:$M$142))/12))^(MAX(0,DY$15)),1)</f>
        <v>1.217138923177141</v>
      </c>
      <c r="DZ131" s="671">
        <f>IFERROR((1+(INDEX(Detail!$D149:$M149,MATCH(DZ$16,Detail!$D$142:$M$142))/12))^(MAX(0,DZ$15)),1)</f>
        <v>1.219167488049103</v>
      </c>
      <c r="EA131" s="671">
        <f>IFERROR((1+(INDEX(Detail!$D149:$M149,MATCH(EA$16,Detail!$D$142:$M$142))/12))^(MAX(0,EA$15)),1)</f>
        <v>1.2211994338625185</v>
      </c>
      <c r="EB131" s="671">
        <f>IFERROR((1+(INDEX(Detail!$D149:$M149,MATCH(EB$16,Detail!$D$142:$M$142))/12))^(MAX(0,EB$15)),1)</f>
        <v>1.2232347662522893</v>
      </c>
      <c r="EC131" s="671">
        <f>IFERROR((1+(INDEX(Detail!$D149:$M149,MATCH(EC$16,Detail!$D$142:$M$142))/12))^(MAX(0,EC$15)),1)</f>
        <v>1.2252734908627099</v>
      </c>
      <c r="ED131" s="671">
        <f>IFERROR((1+(INDEX(Detail!$D149:$M149,MATCH(ED$16,Detail!$D$142:$M$142))/12))^(MAX(0,ED$15)),1)</f>
        <v>1.2273156133474812</v>
      </c>
      <c r="EE131" s="671">
        <f>IFERROR((1+(INDEX(Detail!$D149:$M149,MATCH(EE$16,Detail!$D$142:$M$142))/12))^(MAX(0,EE$15)),1)</f>
        <v>1.2293611393697268</v>
      </c>
      <c r="EF131" s="671">
        <f>IFERROR((1+(INDEX(Detail!$D149:$M149,MATCH(EF$16,Detail!$D$142:$M$142))/12))^(MAX(0,EF$15)),1)</f>
        <v>1.23141007460201</v>
      </c>
      <c r="EG131" s="671">
        <f>IFERROR((1+(INDEX(Detail!$D149:$M149,MATCH(EG$16,Detail!$D$142:$M$142))/12))^(MAX(0,EG$15)),1)</f>
        <v>1.2334624247263466</v>
      </c>
      <c r="EH131" s="671">
        <f>IFERROR((1+(INDEX(Detail!$D149:$M149,MATCH(EH$16,Detail!$D$142:$M$142))/12))^(MAX(0,EH$15)),1)</f>
        <v>1.2355181954342243</v>
      </c>
      <c r="EI131" s="671">
        <f>IFERROR((1+(INDEX(Detail!$D149:$M149,MATCH(EI$16,Detail!$D$142:$M$142))/12))^(MAX(0,EI$15)),1)</f>
        <v>1.2375773924266147</v>
      </c>
      <c r="EJ131" s="671">
        <f>IFERROR((1+(INDEX(Detail!$D149:$M149,MATCH(EJ$16,Detail!$D$142:$M$142))/12))^(MAX(0,EJ$15)),1)</f>
        <v>1.2396400214139924</v>
      </c>
      <c r="EK131" s="671">
        <f>IFERROR((1+(INDEX(Detail!$D149:$M149,MATCH(EK$16,Detail!$D$142:$M$142))/12))^(MAX(0,EK$15)),1)</f>
        <v>1.2417060881163491</v>
      </c>
      <c r="EL131" s="671">
        <f>IFERROR((1+(INDEX(Detail!$D149:$M149,MATCH(EL$16,Detail!$D$142:$M$142))/12))^(MAX(0,EL$15)),1)</f>
        <v>1.2437755982632097</v>
      </c>
      <c r="EM131" s="671">
        <f>IFERROR((1+(INDEX(Detail!$D149:$M149,MATCH(EM$16,Detail!$D$142:$M$142))/12))^(MAX(0,EM$15)),1)</f>
        <v>1.2458485575936487</v>
      </c>
      <c r="EN131" s="671">
        <f>IFERROR((1+(INDEX(Detail!$D149:$M149,MATCH(EN$16,Detail!$D$142:$M$142))/12))^(MAX(0,EN$15)),1)</f>
        <v>1.2479249718563046</v>
      </c>
      <c r="EO131" s="671">
        <f>IFERROR((1+(INDEX(Detail!$D149:$M149,MATCH(EO$16,Detail!$D$142:$M$142))/12))^(MAX(0,EO$15)),1)</f>
        <v>1.2500048468093985</v>
      </c>
      <c r="EP131" s="671">
        <f>IFERROR((1+(INDEX(Detail!$D149:$M149,MATCH(EP$16,Detail!$D$142:$M$142))/12))^(MAX(0,EP$15)),1)</f>
        <v>1.2520881882207475</v>
      </c>
      <c r="EQ131" s="671">
        <f>IFERROR((1+(INDEX(Detail!$D149:$M149,MATCH(EQ$16,Detail!$D$142:$M$142))/12))^(MAX(0,EQ$15)),1)</f>
        <v>1.2541750018677824</v>
      </c>
      <c r="ER131" s="671">
        <f>IFERROR((1+(INDEX(Detail!$D149:$M149,MATCH(ER$16,Detail!$D$142:$M$142))/12))^(MAX(0,ER$15)),1)</f>
        <v>1.256265293537562</v>
      </c>
      <c r="ES131" s="671">
        <f>IFERROR((1+(INDEX(Detail!$D149:$M149,MATCH(ES$16,Detail!$D$142:$M$142))/12))^(MAX(0,ES$15)),1)</f>
        <v>1.2583590690267914</v>
      </c>
      <c r="ET131" s="671">
        <f>IFERROR((1+(INDEX(Detail!$D149:$M149,MATCH(ET$16,Detail!$D$142:$M$142))/12))^(MAX(0,ET$15)),1)</f>
        <v>1.2604563341418362</v>
      </c>
      <c r="EU131" s="671">
        <f>IFERROR((1+(INDEX(Detail!$D149:$M149,MATCH(EU$16,Detail!$D$142:$M$142))/12))^(MAX(0,EU$15)),1)</f>
        <v>1.2625570946987392</v>
      </c>
      <c r="EV131" s="671">
        <f>IFERROR((1+(INDEX(Detail!$D149:$M149,MATCH(EV$16,Detail!$D$142:$M$142))/12))^(MAX(0,EV$15)),1)</f>
        <v>1.2646613565232372</v>
      </c>
      <c r="EW131" s="671">
        <f>IFERROR((1+(INDEX(Detail!$D149:$M149,MATCH(EW$16,Detail!$D$142:$M$142))/12))^(MAX(0,EW$15)),1)</f>
        <v>1.2667691254507762</v>
      </c>
      <c r="EX131" s="671">
        <f>IFERROR((1+(INDEX(Detail!$D149:$M149,MATCH(EX$16,Detail!$D$142:$M$142))/12))^(MAX(0,EX$15)),1)</f>
        <v>1.2688804073265274</v>
      </c>
      <c r="EY131" s="671">
        <f>IFERROR((1+(INDEX(Detail!$D149:$M149,MATCH(EY$16,Detail!$D$142:$M$142))/12))^(MAX(0,EY$15)),1)</f>
        <v>1.2709952080054052</v>
      </c>
      <c r="EZ131" s="671">
        <f>IFERROR((1+(INDEX(Detail!$D149:$M149,MATCH(EZ$16,Detail!$D$142:$M$142))/12))^(MAX(0,EZ$15)),1)</f>
        <v>1.2731135333520809</v>
      </c>
      <c r="FA131" s="671">
        <f>IFERROR((1+(INDEX(Detail!$D149:$M149,MATCH(FA$16,Detail!$D$142:$M$142))/12))^(MAX(0,FA$15)),1)</f>
        <v>1.2752353892410011</v>
      </c>
      <c r="FB131" s="671">
        <f>IFERROR((1+(INDEX(Detail!$D149:$M149,MATCH(FB$16,Detail!$D$142:$M$142))/12))^(MAX(0,FB$15)),1)</f>
        <v>1.277360781556403</v>
      </c>
      <c r="FC131" s="671">
        <f>IFERROR((1+(INDEX(Detail!$D149:$M149,MATCH(FC$16,Detail!$D$142:$M$142))/12))^(MAX(0,FC$15)),1)</f>
        <v>1.2794897161923302</v>
      </c>
      <c r="FD131" s="671">
        <f>IFERROR((1+(INDEX(Detail!$D149:$M149,MATCH(FD$16,Detail!$D$142:$M$142))/12))^(MAX(0,FD$15)),1)</f>
        <v>1.2816221990526511</v>
      </c>
      <c r="FE131" s="671">
        <f>IFERROR((1+(INDEX(Detail!$D149:$M149,MATCH(FE$16,Detail!$D$142:$M$142))/12))^(MAX(0,FE$15)),1)</f>
        <v>1.283758236051072</v>
      </c>
      <c r="FF131" s="671">
        <f>IFERROR((1+(INDEX(Detail!$D149:$M149,MATCH(FF$16,Detail!$D$142:$M$142))/12))^(MAX(0,FF$15)),1)</f>
        <v>1.2858978331111572</v>
      </c>
      <c r="FG131" s="671">
        <f>IFERROR((1+(INDEX(Detail!$D149:$M149,MATCH(FG$16,Detail!$D$142:$M$142))/12))^(MAX(0,FG$15)),1)</f>
        <v>1.2880409961663428</v>
      </c>
      <c r="FH131" s="671">
        <f>IFERROR((1+(INDEX(Detail!$D149:$M149,MATCH(FH$16,Detail!$D$142:$M$142))/12))^(MAX(0,FH$15)),1)</f>
        <v>1.2901877311599532</v>
      </c>
      <c r="FI131" s="671">
        <f>IFERROR((1+(INDEX(Detail!$D149:$M149,MATCH(FI$16,Detail!$D$142:$M$142))/12))^(MAX(0,FI$15)),1)</f>
        <v>1.2923380440452199</v>
      </c>
      <c r="FJ131" s="671">
        <f>IFERROR((1+(INDEX(Detail!$D149:$M149,MATCH(FJ$16,Detail!$D$142:$M$142))/12))^(MAX(0,FJ$15)),1)</f>
        <v>1.2944919407852955</v>
      </c>
      <c r="FK131" s="671">
        <f>IFERROR((1+(INDEX(Detail!$D149:$M149,MATCH(FK$16,Detail!$D$142:$M$142))/12))^(MAX(0,FK$15)),1)</f>
        <v>1.2966494273532709</v>
      </c>
      <c r="FL131" s="671">
        <f>IFERROR((1+(INDEX(Detail!$D149:$M149,MATCH(FL$16,Detail!$D$142:$M$142))/12))^(MAX(0,FL$15)),1)</f>
        <v>1.2988105097321934</v>
      </c>
      <c r="FM131" s="671">
        <f>IFERROR((1+(INDEX(Detail!$D149:$M149,MATCH(FM$16,Detail!$D$142:$M$142))/12))^(MAX(0,FM$15)),1)</f>
        <v>1.3009751939150802</v>
      </c>
      <c r="FN131" s="671">
        <f>IFERROR((1+(INDEX(Detail!$D149:$M149,MATCH(FN$16,Detail!$D$142:$M$142))/12))^(MAX(0,FN$15)),1)</f>
        <v>1.3031434859049389</v>
      </c>
      <c r="FO131" s="671">
        <f>IFERROR((1+(INDEX(Detail!$D149:$M149,MATCH(FO$16,Detail!$D$142:$M$142))/12))^(MAX(0,FO$15)),1)</f>
        <v>1.3053153917147806</v>
      </c>
      <c r="FP131" s="671">
        <f>IFERROR((1+(INDEX(Detail!$D149:$M149,MATCH(FP$16,Detail!$D$142:$M$142))/12))^(MAX(0,FP$15)),1)</f>
        <v>1.3074909173676388</v>
      </c>
      <c r="FQ131" s="671">
        <f>IFERROR((1+(INDEX(Detail!$D149:$M149,MATCH(FQ$16,Detail!$D$142:$M$142))/12))^(MAX(0,FQ$15)),1)</f>
        <v>1.3096700688965848</v>
      </c>
      <c r="FR131" s="671">
        <f>IFERROR((1+(INDEX(Detail!$D149:$M149,MATCH(FR$16,Detail!$D$142:$M$142))/12))^(MAX(0,FR$15)),1)</f>
        <v>1.3118528523447459</v>
      </c>
      <c r="FS131" s="671">
        <f>IFERROR((1+(INDEX(Detail!$D149:$M149,MATCH(FS$16,Detail!$D$142:$M$142))/12))^(MAX(0,FS$15)),1)</f>
        <v>1.3140392737653206</v>
      </c>
    </row>
    <row r="132" spans="2:175" ht="13.5">
      <c r="B132" s="178"/>
      <c r="C132" s="665"/>
      <c r="D132" s="665"/>
      <c r="E132" s="666"/>
      <c r="F132" s="667"/>
      <c r="G132" s="667"/>
      <c r="H132" s="667"/>
      <c r="I132" s="667"/>
      <c r="J132" s="667"/>
      <c r="K132" s="667"/>
      <c r="L132" s="667"/>
      <c r="M132" s="667"/>
      <c r="N132" s="667"/>
      <c r="O132" s="667"/>
      <c r="P132" s="667"/>
      <c r="Q132" s="667"/>
      <c r="R132" s="667"/>
      <c r="S132" s="667"/>
      <c r="T132" s="667"/>
      <c r="U132" s="667"/>
      <c r="V132" s="667"/>
      <c r="W132" s="667"/>
      <c r="X132" s="667"/>
      <c r="Y132" s="667"/>
      <c r="Z132" s="667"/>
      <c r="AA132" s="667"/>
      <c r="AB132" s="667"/>
      <c r="AC132" s="667"/>
      <c r="AD132" s="667"/>
      <c r="AE132" s="667"/>
      <c r="AF132" s="667"/>
      <c r="AG132" s="667"/>
      <c r="AH132" s="667"/>
      <c r="AI132" s="667"/>
      <c r="AJ132" s="667"/>
      <c r="AK132" s="667"/>
      <c r="AL132" s="667"/>
      <c r="AM132" s="667"/>
      <c r="AN132" s="667"/>
      <c r="AO132" s="667"/>
      <c r="AP132" s="667"/>
      <c r="AQ132" s="667"/>
      <c r="AR132" s="667"/>
      <c r="AS132" s="667"/>
      <c r="AT132" s="667"/>
      <c r="AU132" s="667"/>
      <c r="AV132" s="667"/>
      <c r="AW132" s="667"/>
      <c r="AX132" s="667"/>
      <c r="AY132" s="667"/>
      <c r="AZ132" s="667"/>
      <c r="BA132" s="667"/>
      <c r="BB132" s="667"/>
      <c r="BC132" s="667"/>
      <c r="BD132" s="667"/>
      <c r="BE132" s="667"/>
      <c r="BF132" s="667"/>
      <c r="BG132" s="667"/>
      <c r="BH132" s="667"/>
      <c r="BI132" s="667"/>
      <c r="BJ132" s="667"/>
      <c r="BK132" s="667"/>
      <c r="BL132" s="667"/>
      <c r="BM132" s="667"/>
      <c r="BN132" s="667"/>
      <c r="BO132" s="667"/>
      <c r="BP132" s="667"/>
      <c r="BQ132" s="667"/>
      <c r="BR132" s="667"/>
      <c r="BS132" s="667"/>
      <c r="BT132" s="667"/>
      <c r="BU132" s="667"/>
      <c r="BV132" s="667"/>
      <c r="BW132" s="667"/>
      <c r="BX132" s="667"/>
      <c r="BY132" s="667"/>
      <c r="BZ132" s="667"/>
      <c r="CA132" s="667"/>
      <c r="CB132" s="667"/>
      <c r="CC132" s="667"/>
      <c r="CD132" s="667"/>
      <c r="CE132" s="667"/>
      <c r="CF132" s="667"/>
      <c r="CG132" s="667"/>
      <c r="CH132" s="667"/>
      <c r="CI132" s="667"/>
      <c r="CJ132" s="667"/>
      <c r="CK132" s="667"/>
      <c r="CL132" s="667"/>
      <c r="CM132" s="667"/>
      <c r="CN132" s="667"/>
      <c r="CO132" s="667"/>
      <c r="CP132" s="667"/>
      <c r="CQ132" s="667"/>
      <c r="CR132" s="667"/>
      <c r="CS132" s="667"/>
      <c r="CT132" s="667"/>
      <c r="CU132" s="667"/>
      <c r="CV132" s="667"/>
      <c r="CW132" s="667"/>
      <c r="CX132" s="667"/>
      <c r="CY132" s="667"/>
      <c r="CZ132" s="667"/>
      <c r="DA132" s="667"/>
      <c r="DB132" s="667"/>
      <c r="DC132" s="667"/>
      <c r="DD132" s="667"/>
      <c r="DE132" s="667"/>
      <c r="DF132" s="667"/>
      <c r="DG132" s="667"/>
      <c r="DH132" s="667"/>
      <c r="DI132" s="667"/>
      <c r="DJ132" s="667"/>
      <c r="DK132" s="667"/>
      <c r="DL132" s="667"/>
      <c r="DM132" s="667"/>
      <c r="DN132" s="667"/>
      <c r="DO132" s="667"/>
      <c r="DP132" s="667"/>
      <c r="DQ132" s="667"/>
      <c r="DR132" s="667"/>
      <c r="DS132" s="667"/>
      <c r="DT132" s="667"/>
      <c r="DU132" s="667"/>
      <c r="DV132" s="667"/>
      <c r="DW132" s="667"/>
      <c r="DX132" s="667"/>
      <c r="DY132" s="667"/>
      <c r="DZ132" s="667"/>
      <c r="EA132" s="667"/>
      <c r="EB132" s="667"/>
      <c r="EC132" s="667"/>
      <c r="ED132" s="667"/>
      <c r="EE132" s="667"/>
      <c r="EF132" s="667"/>
      <c r="EG132" s="667"/>
      <c r="EH132" s="667"/>
      <c r="EI132" s="667"/>
      <c r="EJ132" s="667"/>
      <c r="EK132" s="667"/>
      <c r="EL132" s="667"/>
      <c r="EM132" s="667"/>
      <c r="EN132" s="667"/>
      <c r="EO132" s="667"/>
      <c r="EP132" s="667"/>
      <c r="EQ132" s="667"/>
      <c r="ER132" s="667"/>
      <c r="ES132" s="667"/>
      <c r="ET132" s="667"/>
      <c r="EU132" s="667"/>
      <c r="EV132" s="667"/>
      <c r="EW132" s="667"/>
      <c r="EX132" s="667"/>
      <c r="EY132" s="667"/>
      <c r="EZ132" s="667"/>
      <c r="FA132" s="667"/>
      <c r="FB132" s="667"/>
      <c r="FC132" s="667"/>
      <c r="FD132" s="667"/>
      <c r="FE132" s="667"/>
      <c r="FF132" s="667"/>
      <c r="FG132" s="667"/>
      <c r="FH132" s="667"/>
      <c r="FI132" s="667"/>
      <c r="FJ132" s="667"/>
      <c r="FK132" s="667"/>
      <c r="FL132" s="667"/>
      <c r="FM132" s="667"/>
      <c r="FN132" s="667"/>
      <c r="FO132" s="667"/>
      <c r="FP132" s="667"/>
      <c r="FQ132" s="667"/>
      <c r="FR132" s="667"/>
      <c r="FS132" s="667"/>
    </row>
    <row r="133" spans="2:175" ht="13.5"/>
    <row r="134" spans="2:175" ht="13.5"/>
    <row r="135" spans="2:175" ht="13.5"/>
    <row r="136" spans="2:175" ht="13.5"/>
    <row r="137" spans="2:175" ht="13.5"/>
    <row r="138" spans="2:175" ht="13.5"/>
    <row r="139" spans="2:175" ht="13.5"/>
    <row r="140" spans="2:175" ht="13.5"/>
    <row r="141" spans="2:175" ht="13.5"/>
    <row r="142" spans="2:175" ht="13.5"/>
    <row r="143" spans="2:175" ht="13.5"/>
    <row r="144" spans="2:175" ht="13.5"/>
    <row r="145" ht="13.5"/>
    <row r="146" ht="13.5"/>
    <row r="147" ht="13.5"/>
    <row r="148" ht="13.5"/>
    <row r="149" ht="13.5"/>
    <row r="150" ht="13.5"/>
    <row r="151" ht="13.5"/>
    <row r="152" ht="13.5"/>
    <row r="153" ht="13.5"/>
    <row r="154" ht="13.5"/>
    <row r="155" ht="13.5"/>
    <row r="156" ht="13.5"/>
    <row r="157" ht="13.5"/>
    <row r="158" ht="13.5"/>
    <row r="159" ht="13.5"/>
    <row r="160" ht="13.5"/>
    <row r="161" ht="13.5"/>
    <row r="162" ht="13.5"/>
    <row r="163" ht="13.5"/>
    <row r="164" ht="13.5"/>
    <row r="165" ht="13.5"/>
    <row r="166" ht="13.5"/>
    <row r="167" ht="13.5"/>
    <row r="168" ht="13.5"/>
    <row r="169" ht="13.5"/>
    <row r="170" ht="13.5"/>
    <row r="171" ht="13.5"/>
    <row r="172" ht="13.5"/>
    <row r="173" ht="13.5"/>
    <row r="174" ht="13.5"/>
    <row r="175" ht="13.5"/>
    <row r="176" ht="13.5"/>
    <row r="177" ht="13.5"/>
    <row r="178" ht="13.5"/>
    <row r="179" ht="13.5"/>
    <row r="180" ht="13.5"/>
    <row r="181" ht="13.5"/>
    <row r="182" ht="13.5"/>
    <row r="183" ht="13.5"/>
    <row r="184" ht="13.5"/>
    <row r="185" ht="13.5"/>
    <row r="186" ht="13.5"/>
  </sheetData>
  <printOptions horizontalCentered="1"/>
  <pageMargins left="0.25" right="0.25" top="0.3" bottom="0.3" header="0.3" footer="0.3"/>
  <pageSetup paperSize="3" scale="52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A4C21-BE30-4797-9145-9873C8A49EE7}">
  <dimension ref="B2:N11"/>
  <sheetViews>
    <sheetView showGridLines="0" workbookViewId="0"/>
  </sheetViews>
  <sheetFormatPr defaultRowHeight="15"/>
  <cols>
    <col min="1" max="1" width="2.5703125" customWidth="1"/>
    <col min="3" max="3" width="12.28515625" customWidth="1"/>
    <col min="4" max="9" width="16.42578125" customWidth="1"/>
    <col min="13" max="13" width="15.5703125" bestFit="1" customWidth="1"/>
  </cols>
  <sheetData>
    <row r="2" spans="2:14" ht="24.95" customHeight="1" thickBot="1">
      <c r="B2" s="834" t="s">
        <v>394</v>
      </c>
      <c r="C2" s="834"/>
      <c r="D2" s="834"/>
      <c r="E2" s="834"/>
      <c r="F2" s="834"/>
      <c r="G2" s="834"/>
      <c r="H2" s="834"/>
      <c r="I2" s="834"/>
    </row>
    <row r="4" spans="2:14" ht="24.95" customHeight="1">
      <c r="D4" s="833" t="s">
        <v>392</v>
      </c>
      <c r="E4" s="833"/>
      <c r="F4" s="833"/>
      <c r="G4" s="833"/>
      <c r="H4" s="833"/>
      <c r="I4" s="833"/>
    </row>
    <row r="5" spans="2:14" ht="24.95" customHeight="1">
      <c r="C5" s="820" t="str">
        <f>TEXT('Cash Flow'!C120,"0.0%")&amp;" / "&amp;TEXT('Cash Flow'!C121,"0.00")&amp;"x"</f>
        <v>25.5% / 2.32x</v>
      </c>
      <c r="D5" s="817">
        <f>E5-0.5%</f>
        <v>1.4999999999999996E-2</v>
      </c>
      <c r="E5" s="817">
        <f>F5-0.5%</f>
        <v>1.9999999999999997E-2</v>
      </c>
      <c r="F5" s="817">
        <f>G5-0.5%</f>
        <v>2.4999999999999998E-2</v>
      </c>
      <c r="G5" s="821">
        <v>0.03</v>
      </c>
      <c r="H5" s="817">
        <f>G5+0.5%</f>
        <v>3.4999999999999996E-2</v>
      </c>
      <c r="I5" s="817">
        <f>H5+0.5%</f>
        <v>3.9999999999999994E-2</v>
      </c>
      <c r="M5" t="s">
        <v>269</v>
      </c>
      <c r="N5" s="816">
        <v>0.03</v>
      </c>
    </row>
    <row r="6" spans="2:14" ht="24.95" customHeight="1">
      <c r="B6" s="832" t="s">
        <v>393</v>
      </c>
      <c r="C6" s="817">
        <f>C7-0.5%</f>
        <v>9.9999999999999985E-3</v>
      </c>
      <c r="D6" s="818" t="str">
        <f t="dataTable" ref="D6:I11" dt2D="1" dtr="1" r1="N5" r2="N6"/>
        <v>21.1% / 2.03x</v>
      </c>
      <c r="E6" s="818" t="str">
        <v>23.1% / 2.17x</v>
      </c>
      <c r="F6" s="818" t="str">
        <v>25.1% / 2.30x</v>
      </c>
      <c r="G6" s="818" t="str">
        <v>27.0% / 2.43x</v>
      </c>
      <c r="H6" s="818" t="str">
        <v>28.8% / 2.57x</v>
      </c>
      <c r="I6" s="818" t="str">
        <v>30.6% / 2.71x</v>
      </c>
      <c r="M6" t="s">
        <v>391</v>
      </c>
      <c r="N6" s="816">
        <v>0.02</v>
      </c>
    </row>
    <row r="7" spans="2:14" ht="24.95" customHeight="1">
      <c r="B7" s="832"/>
      <c r="C7" s="817">
        <f>C8-0.5%</f>
        <v>1.4999999999999999E-2</v>
      </c>
      <c r="D7" s="818" t="str">
        <v>20.3% / 1.98x</v>
      </c>
      <c r="E7" s="818" t="str">
        <v>22.3% / 2.11x</v>
      </c>
      <c r="F7" s="818" t="str">
        <v>24.3% / 2.24x</v>
      </c>
      <c r="G7" s="818" t="str">
        <v>26.2% / 2.38x</v>
      </c>
      <c r="H7" s="818" t="str">
        <v>28.1% / 2.51x</v>
      </c>
      <c r="I7" s="818" t="str">
        <v>29.9% / 2.65x</v>
      </c>
    </row>
    <row r="8" spans="2:14" ht="24.95" customHeight="1">
      <c r="B8" s="832"/>
      <c r="C8" s="821">
        <v>0.02</v>
      </c>
      <c r="D8" s="819" t="str">
        <v>19.4% / 1.93x</v>
      </c>
      <c r="E8" s="819" t="str">
        <v>21.5% / 2.06x</v>
      </c>
      <c r="F8" s="819" t="str">
        <v>23.5% / 2.19x</v>
      </c>
      <c r="G8" s="822" t="str">
        <v>25.5% / 2.32x</v>
      </c>
      <c r="H8" s="819" t="str">
        <v>27.4% / 2.46x</v>
      </c>
      <c r="I8" s="819" t="str">
        <v>29.2% / 2.60x</v>
      </c>
    </row>
    <row r="9" spans="2:14" ht="24.95" customHeight="1">
      <c r="B9" s="832"/>
      <c r="C9" s="817">
        <f>C8+0.5%</f>
        <v>2.5000000000000001E-2</v>
      </c>
      <c r="D9" s="818" t="str">
        <v>18.5% / 1.87x</v>
      </c>
      <c r="E9" s="818" t="str">
        <v>20.6% / 2.00x</v>
      </c>
      <c r="F9" s="818" t="str">
        <v>22.7% / 2.14x</v>
      </c>
      <c r="G9" s="818" t="str">
        <v>24.7% / 2.27x</v>
      </c>
      <c r="H9" s="818" t="str">
        <v>26.6% / 2.41x</v>
      </c>
      <c r="I9" s="818" t="str">
        <v>28.5% / 2.54x</v>
      </c>
    </row>
    <row r="10" spans="2:14" ht="24.95" customHeight="1">
      <c r="B10" s="832"/>
      <c r="C10" s="817">
        <f t="shared" ref="C10:C11" si="0">C9+0.5%</f>
        <v>3.0000000000000002E-2</v>
      </c>
      <c r="D10" s="818" t="str">
        <v>17.5% / 1.82x</v>
      </c>
      <c r="E10" s="818" t="str">
        <v>19.7% / 1.95x</v>
      </c>
      <c r="F10" s="818" t="str">
        <v>21.8% / 2.08x</v>
      </c>
      <c r="G10" s="818" t="str">
        <v>23.8% / 2.21x</v>
      </c>
      <c r="H10" s="818" t="str">
        <v>25.8% / 2.35x</v>
      </c>
      <c r="I10" s="818" t="str">
        <v>27.7% / 2.49x</v>
      </c>
    </row>
    <row r="11" spans="2:14" ht="24.95" customHeight="1">
      <c r="B11" s="832"/>
      <c r="C11" s="817">
        <f t="shared" si="0"/>
        <v>3.5000000000000003E-2</v>
      </c>
      <c r="D11" s="818" t="str">
        <v>16.5% / 1.76x</v>
      </c>
      <c r="E11" s="818" t="str">
        <v>18.7% / 1.89x</v>
      </c>
      <c r="F11" s="818" t="str">
        <v>20.9% / 2.02x</v>
      </c>
      <c r="G11" s="818" t="str">
        <v>23.0% / 2.16x</v>
      </c>
      <c r="H11" s="818" t="str">
        <v>25.0% / 2.29x</v>
      </c>
      <c r="I11" s="818" t="str">
        <v>26.9% / 2.43x</v>
      </c>
    </row>
  </sheetData>
  <mergeCells count="3">
    <mergeCell ref="B6:B11"/>
    <mergeCell ref="D4:I4"/>
    <mergeCell ref="B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9F190-877E-42A9-BC1B-AE2E4A62E862}">
  <sheetPr>
    <tabColor theme="0" tint="-0.14999847407452621"/>
  </sheetPr>
  <dimension ref="A2:FF78"/>
  <sheetViews>
    <sheetView showGridLines="0" zoomScale="80" zoomScaleNormal="80" zoomScaleSheetLayoutView="90" workbookViewId="0"/>
  </sheetViews>
  <sheetFormatPr defaultColWidth="9.28515625" defaultRowHeight="13.5"/>
  <cols>
    <col min="1" max="1" width="1.7109375" style="681" customWidth="1"/>
    <col min="2" max="2" width="20.42578125" style="681" customWidth="1"/>
    <col min="3" max="3" width="12.28515625" style="681" customWidth="1"/>
    <col min="4" max="4" width="2.7109375" style="681" customWidth="1"/>
    <col min="5" max="5" width="12.28515625" style="681" customWidth="1"/>
    <col min="6" max="6" width="2.7109375" style="681" customWidth="1"/>
    <col min="7" max="7" width="17" style="681" bestFit="1" customWidth="1"/>
    <col min="8" max="8" width="1.7109375" style="681" customWidth="1"/>
    <col min="9" max="10" width="12.42578125" style="681" bestFit="1" customWidth="1"/>
    <col min="11" max="11" width="12.28515625" style="681" bestFit="1" customWidth="1"/>
    <col min="12" max="17" width="12.7109375" style="681" bestFit="1" customWidth="1"/>
    <col min="18" max="43" width="12.42578125" style="681" bestFit="1" customWidth="1"/>
    <col min="44" max="45" width="12.28515625" style="681" bestFit="1" customWidth="1"/>
    <col min="46" max="50" width="10.7109375" style="681" customWidth="1"/>
    <col min="51" max="51" width="12.7109375" style="681" bestFit="1" customWidth="1"/>
    <col min="52" max="71" width="10.7109375" style="681" customWidth="1"/>
    <col min="72" max="72" width="12.7109375" style="681" bestFit="1" customWidth="1"/>
    <col min="73" max="80" width="10.7109375" style="681" customWidth="1"/>
    <col min="81" max="81" width="13.140625" style="681" bestFit="1" customWidth="1"/>
    <col min="82" max="115" width="10.7109375" style="681" customWidth="1"/>
    <col min="116" max="116" width="1.7109375" style="681" customWidth="1"/>
    <col min="117" max="117" width="13.7109375" style="681" bestFit="1" customWidth="1"/>
    <col min="118" max="159" width="9.28515625" style="681"/>
    <col min="160" max="160" width="12.28515625" style="681" bestFit="1" customWidth="1"/>
    <col min="161" max="16384" width="9.28515625" style="681"/>
  </cols>
  <sheetData>
    <row r="2" spans="1:158" s="689" customFormat="1" ht="16.5" thickBot="1">
      <c r="B2" s="690" t="s">
        <v>373</v>
      </c>
    </row>
    <row r="3" spans="1:158" s="689" customFormat="1">
      <c r="B3" s="691" t="s">
        <v>372</v>
      </c>
      <c r="C3" s="691"/>
      <c r="D3" s="691"/>
      <c r="E3" s="691"/>
      <c r="F3" s="691"/>
      <c r="G3" s="691"/>
      <c r="H3" s="691"/>
      <c r="I3" s="691"/>
      <c r="J3" s="691"/>
      <c r="K3" s="691"/>
      <c r="L3" s="691"/>
      <c r="M3" s="691"/>
      <c r="N3" s="691"/>
      <c r="O3" s="691"/>
      <c r="P3" s="691"/>
      <c r="Q3" s="691"/>
      <c r="R3" s="691"/>
      <c r="S3" s="691"/>
      <c r="T3" s="691"/>
      <c r="U3" s="691"/>
      <c r="V3" s="691"/>
      <c r="W3" s="691"/>
      <c r="X3" s="691"/>
      <c r="Y3" s="691"/>
      <c r="Z3" s="691"/>
      <c r="AA3" s="691"/>
      <c r="AB3" s="691"/>
      <c r="AC3" s="691"/>
      <c r="AD3" s="691"/>
      <c r="AE3" s="691"/>
      <c r="AF3" s="691"/>
      <c r="AG3" s="691"/>
      <c r="AH3" s="691"/>
      <c r="AI3" s="691"/>
      <c r="AJ3" s="691"/>
      <c r="AK3" s="691"/>
      <c r="AL3" s="691"/>
      <c r="AM3" s="691"/>
      <c r="AN3" s="691"/>
      <c r="AO3" s="691"/>
      <c r="AP3" s="691"/>
      <c r="AQ3" s="691"/>
      <c r="AR3" s="691"/>
      <c r="AS3" s="691"/>
      <c r="AT3" s="691"/>
      <c r="AU3" s="691"/>
      <c r="AV3" s="691"/>
      <c r="AW3" s="691"/>
      <c r="AX3" s="691"/>
      <c r="AY3" s="691"/>
      <c r="AZ3" s="691"/>
      <c r="BA3" s="691"/>
      <c r="BB3" s="691"/>
      <c r="BC3" s="691"/>
      <c r="BD3" s="691"/>
      <c r="BE3" s="691"/>
      <c r="BF3" s="691"/>
      <c r="BG3" s="691"/>
      <c r="BH3" s="691"/>
      <c r="BI3" s="691"/>
      <c r="BJ3" s="691"/>
      <c r="BK3" s="691"/>
      <c r="BL3" s="691"/>
      <c r="BM3" s="691"/>
      <c r="BN3" s="691"/>
      <c r="BO3" s="691"/>
      <c r="BP3" s="691"/>
      <c r="BQ3" s="691"/>
      <c r="BR3" s="691"/>
      <c r="BS3" s="691"/>
      <c r="BT3" s="691"/>
      <c r="BU3" s="691"/>
      <c r="BV3" s="691"/>
      <c r="BW3" s="691"/>
      <c r="BX3" s="691"/>
      <c r="BY3" s="691"/>
      <c r="BZ3" s="691"/>
      <c r="CA3" s="691"/>
      <c r="CB3" s="691"/>
      <c r="CC3" s="691"/>
      <c r="CD3" s="691"/>
      <c r="CE3" s="691"/>
      <c r="CF3" s="691"/>
      <c r="CG3" s="691"/>
      <c r="CH3" s="691"/>
      <c r="CI3" s="691"/>
      <c r="CJ3" s="691"/>
      <c r="CK3" s="691"/>
      <c r="CL3" s="691"/>
      <c r="CM3" s="691"/>
      <c r="CN3" s="691"/>
      <c r="CO3" s="691"/>
      <c r="CP3" s="691"/>
      <c r="CQ3" s="691"/>
      <c r="CR3" s="691"/>
      <c r="CS3" s="691"/>
      <c r="CT3" s="691"/>
      <c r="CU3" s="691"/>
      <c r="CV3" s="691"/>
      <c r="CW3" s="691"/>
      <c r="CX3" s="691"/>
      <c r="CY3" s="691"/>
      <c r="CZ3" s="691"/>
      <c r="DA3" s="691"/>
      <c r="DB3" s="691"/>
      <c r="DC3" s="691"/>
      <c r="DD3" s="691"/>
      <c r="DE3" s="691"/>
      <c r="DF3" s="691"/>
      <c r="DG3" s="691"/>
      <c r="DH3" s="691"/>
      <c r="DI3" s="691"/>
      <c r="DJ3" s="691"/>
      <c r="DK3" s="691"/>
      <c r="DL3" s="691"/>
      <c r="DM3" s="691"/>
    </row>
    <row r="4" spans="1:158" s="692" customFormat="1" ht="14.65" customHeight="1">
      <c r="B4" s="693" t="s">
        <v>371</v>
      </c>
      <c r="P4" s="694"/>
    </row>
    <row r="5" spans="1:158" s="692" customFormat="1">
      <c r="B5" s="692" t="s">
        <v>374</v>
      </c>
      <c r="C5" s="695">
        <f>E5/$E$7</f>
        <v>0.6826538555476529</v>
      </c>
      <c r="D5" s="696"/>
      <c r="E5" s="697">
        <f>Summary!C14</f>
        <v>12922000</v>
      </c>
      <c r="G5" s="697"/>
      <c r="K5" s="694"/>
      <c r="P5" s="694"/>
    </row>
    <row r="6" spans="1:158" s="692" customFormat="1">
      <c r="B6" s="692" t="s">
        <v>370</v>
      </c>
      <c r="C6" s="698">
        <f>1-C5</f>
        <v>0.3173461444523471</v>
      </c>
      <c r="D6" s="696"/>
      <c r="E6" s="697">
        <f>E7-E5</f>
        <v>6007066.1658000052</v>
      </c>
      <c r="G6" s="697"/>
      <c r="K6" s="694"/>
      <c r="O6" s="699"/>
      <c r="P6" s="700"/>
    </row>
    <row r="7" spans="1:158" s="692" customFormat="1">
      <c r="B7" s="699" t="s">
        <v>67</v>
      </c>
      <c r="C7" s="696">
        <f>SUM(C5:C6)</f>
        <v>1</v>
      </c>
      <c r="D7" s="696"/>
      <c r="E7" s="701">
        <f>Summary!C15</f>
        <v>18929066.165800005</v>
      </c>
      <c r="G7" s="702"/>
      <c r="I7" s="699"/>
      <c r="K7" s="694"/>
    </row>
    <row r="8" spans="1:158" s="692" customFormat="1" ht="6" customHeight="1">
      <c r="C8" s="703"/>
      <c r="D8" s="703"/>
      <c r="E8" s="703"/>
    </row>
    <row r="9" spans="1:158" s="692" customFormat="1">
      <c r="B9" s="693" t="s">
        <v>369</v>
      </c>
      <c r="C9" s="703"/>
      <c r="D9" s="703"/>
      <c r="E9" s="704" t="s">
        <v>375</v>
      </c>
      <c r="G9" s="704"/>
    </row>
    <row r="10" spans="1:158" s="692" customFormat="1" ht="12.75" customHeight="1">
      <c r="C10" s="705" t="s">
        <v>368</v>
      </c>
      <c r="D10" s="696"/>
      <c r="E10" s="705" t="s">
        <v>367</v>
      </c>
      <c r="G10" s="704"/>
      <c r="K10" s="706"/>
      <c r="AS10" s="707"/>
      <c r="AT10" s="708"/>
    </row>
    <row r="11" spans="1:158" s="692" customFormat="1" ht="14.1" customHeight="1">
      <c r="B11" s="692" t="s">
        <v>366</v>
      </c>
      <c r="C11" s="683" t="s">
        <v>365</v>
      </c>
      <c r="D11" s="709"/>
      <c r="E11" s="710">
        <v>0</v>
      </c>
      <c r="G11" s="695"/>
      <c r="J11" s="711"/>
      <c r="K11" s="706"/>
      <c r="L11" s="712"/>
      <c r="AS11" s="707"/>
    </row>
    <row r="12" spans="1:158" s="692" customFormat="1" ht="14.1" customHeight="1">
      <c r="B12" s="692" t="s">
        <v>364</v>
      </c>
      <c r="C12" s="683">
        <v>0.08</v>
      </c>
      <c r="D12" s="709"/>
      <c r="E12" s="710">
        <v>0.2</v>
      </c>
      <c r="G12" s="695"/>
      <c r="I12" s="699"/>
      <c r="J12" s="713"/>
      <c r="K12" s="700"/>
      <c r="L12" s="712"/>
      <c r="AS12" s="714"/>
    </row>
    <row r="13" spans="1:158" s="692" customFormat="1" ht="14.1" customHeight="1">
      <c r="B13" s="692" t="s">
        <v>376</v>
      </c>
      <c r="C13" s="715">
        <v>0.11</v>
      </c>
      <c r="D13" s="710"/>
      <c r="E13" s="710">
        <v>0.25</v>
      </c>
      <c r="G13" s="695"/>
      <c r="I13" s="699"/>
      <c r="J13" s="712"/>
      <c r="K13" s="716"/>
      <c r="L13" s="712"/>
      <c r="M13" s="717"/>
      <c r="N13" s="717"/>
      <c r="O13" s="717"/>
      <c r="P13" s="717"/>
      <c r="Q13" s="717"/>
      <c r="R13" s="717"/>
      <c r="S13" s="717"/>
      <c r="T13" s="717"/>
      <c r="U13" s="717"/>
      <c r="V13" s="717"/>
      <c r="W13" s="717"/>
      <c r="X13" s="717"/>
      <c r="Y13" s="717"/>
      <c r="Z13" s="717"/>
      <c r="AA13" s="717"/>
      <c r="AB13" s="717"/>
      <c r="AC13" s="717"/>
      <c r="AD13" s="717"/>
      <c r="AE13" s="717"/>
      <c r="AF13" s="717"/>
      <c r="AG13" s="717"/>
      <c r="AH13" s="717"/>
      <c r="AI13" s="717"/>
      <c r="AJ13" s="717"/>
      <c r="AK13" s="717"/>
      <c r="AL13" s="717"/>
      <c r="AM13" s="717"/>
      <c r="AN13" s="717"/>
      <c r="AO13" s="717"/>
      <c r="AP13" s="717"/>
      <c r="AQ13" s="717"/>
      <c r="AR13" s="717"/>
      <c r="AS13" s="717"/>
      <c r="AT13" s="717"/>
      <c r="AU13" s="717"/>
      <c r="AV13" s="717"/>
      <c r="AW13" s="717"/>
      <c r="AX13" s="717"/>
      <c r="AY13" s="717"/>
      <c r="AZ13" s="717"/>
      <c r="BA13" s="717"/>
      <c r="BB13" s="717"/>
      <c r="BC13" s="717"/>
      <c r="BD13" s="717"/>
      <c r="BE13" s="717"/>
      <c r="BF13" s="717"/>
      <c r="BG13" s="717"/>
      <c r="BH13" s="717"/>
      <c r="BI13" s="717"/>
      <c r="BJ13" s="717"/>
      <c r="BK13" s="717"/>
      <c r="BL13" s="717"/>
      <c r="BM13" s="717"/>
      <c r="BN13" s="717"/>
      <c r="BO13" s="717"/>
      <c r="BP13" s="717"/>
      <c r="BQ13" s="717"/>
      <c r="BR13" s="717"/>
      <c r="BS13" s="717"/>
      <c r="BT13" s="717"/>
      <c r="BU13" s="717"/>
      <c r="BV13" s="717"/>
      <c r="BW13" s="717"/>
      <c r="BX13" s="717"/>
      <c r="BY13" s="717"/>
      <c r="BZ13" s="717"/>
      <c r="CA13" s="717"/>
      <c r="CB13" s="717"/>
      <c r="CC13" s="717"/>
      <c r="CD13" s="717"/>
      <c r="CE13" s="717"/>
      <c r="CF13" s="717"/>
      <c r="CG13" s="717"/>
      <c r="CH13" s="717"/>
      <c r="CI13" s="717"/>
      <c r="CJ13" s="717"/>
      <c r="CK13" s="717"/>
      <c r="CL13" s="717"/>
      <c r="CM13" s="717"/>
      <c r="CN13" s="717"/>
      <c r="CO13" s="717"/>
      <c r="CP13" s="717"/>
      <c r="CQ13" s="717"/>
      <c r="CR13" s="717"/>
      <c r="CS13" s="717"/>
      <c r="CT13" s="717"/>
      <c r="CU13" s="717"/>
      <c r="CV13" s="717"/>
      <c r="CW13" s="717"/>
      <c r="CX13" s="717"/>
      <c r="CY13" s="717"/>
      <c r="CZ13" s="717"/>
      <c r="DA13" s="717"/>
      <c r="DB13" s="717"/>
      <c r="DC13" s="717"/>
      <c r="DD13" s="717"/>
      <c r="DE13" s="717"/>
      <c r="DF13" s="717"/>
      <c r="DG13" s="717"/>
      <c r="DH13" s="717"/>
      <c r="DI13" s="717"/>
      <c r="DJ13" s="717"/>
      <c r="DK13" s="717"/>
      <c r="DL13" s="717"/>
      <c r="DM13" s="717"/>
      <c r="DN13" s="717"/>
      <c r="DO13" s="717"/>
      <c r="DP13" s="717"/>
      <c r="DQ13" s="717"/>
      <c r="DR13" s="717"/>
      <c r="DS13" s="717"/>
      <c r="DT13" s="717"/>
      <c r="DU13" s="717"/>
      <c r="DV13" s="717"/>
      <c r="DW13" s="717"/>
      <c r="DX13" s="717"/>
      <c r="DY13" s="717"/>
      <c r="DZ13" s="717"/>
      <c r="EA13" s="717"/>
      <c r="EB13" s="717"/>
      <c r="EC13" s="717"/>
      <c r="ED13" s="717"/>
      <c r="EE13" s="717"/>
      <c r="EF13" s="717"/>
      <c r="EG13" s="717"/>
      <c r="EH13" s="717"/>
      <c r="EI13" s="717"/>
      <c r="EJ13" s="717"/>
      <c r="EK13" s="717"/>
      <c r="EL13" s="717"/>
      <c r="EM13" s="717"/>
      <c r="EN13" s="717"/>
      <c r="EO13" s="717"/>
      <c r="EP13" s="717"/>
      <c r="EQ13" s="717"/>
      <c r="ER13" s="717"/>
      <c r="ES13" s="717"/>
      <c r="ET13" s="717"/>
      <c r="EU13" s="717"/>
      <c r="EV13" s="717"/>
      <c r="EW13" s="717"/>
      <c r="EX13" s="717"/>
      <c r="EY13" s="717"/>
      <c r="EZ13" s="717"/>
      <c r="FA13" s="717"/>
      <c r="FB13" s="717"/>
    </row>
    <row r="14" spans="1:158" s="719" customFormat="1" ht="14.1" customHeight="1">
      <c r="A14" s="692"/>
      <c r="B14" s="692" t="s">
        <v>376</v>
      </c>
      <c r="C14" s="715">
        <v>0.17</v>
      </c>
      <c r="D14" s="710"/>
      <c r="E14" s="710">
        <v>0.35</v>
      </c>
      <c r="F14" s="692"/>
      <c r="G14" s="718"/>
      <c r="H14" s="692"/>
      <c r="I14" s="706"/>
      <c r="J14" s="706"/>
      <c r="K14" s="706"/>
      <c r="L14" s="706"/>
      <c r="M14" s="706"/>
      <c r="N14" s="706"/>
      <c r="O14" s="706"/>
      <c r="P14" s="706"/>
      <c r="Q14" s="706"/>
      <c r="R14" s="706"/>
      <c r="S14" s="706"/>
      <c r="T14" s="706"/>
      <c r="U14" s="706"/>
      <c r="V14" s="706"/>
      <c r="W14" s="706"/>
      <c r="X14" s="706"/>
      <c r="Y14" s="706"/>
      <c r="Z14" s="706"/>
      <c r="AA14" s="706"/>
      <c r="AB14" s="706"/>
      <c r="AC14" s="706"/>
      <c r="AD14" s="706"/>
      <c r="AE14" s="706"/>
      <c r="AF14" s="706"/>
      <c r="AG14" s="706"/>
      <c r="AH14" s="706"/>
      <c r="AI14" s="706"/>
      <c r="AJ14" s="706"/>
      <c r="AK14" s="706"/>
      <c r="AL14" s="706"/>
      <c r="AM14" s="706"/>
      <c r="AN14" s="706"/>
      <c r="AO14" s="706"/>
      <c r="AP14" s="706"/>
      <c r="AQ14" s="706"/>
      <c r="AR14" s="706"/>
      <c r="AS14" s="706"/>
      <c r="AT14" s="706"/>
      <c r="AU14" s="706"/>
      <c r="AV14" s="706"/>
      <c r="AW14" s="706"/>
      <c r="AX14" s="706"/>
      <c r="AY14" s="706"/>
      <c r="AZ14" s="706"/>
      <c r="BA14" s="706"/>
      <c r="BB14" s="706"/>
      <c r="BC14" s="706"/>
      <c r="BD14" s="706"/>
      <c r="BE14" s="706"/>
      <c r="BF14" s="706"/>
    </row>
    <row r="15" spans="1:158" s="692" customFormat="1" ht="6" customHeight="1">
      <c r="E15" s="712"/>
      <c r="F15" s="703"/>
      <c r="G15" s="712"/>
    </row>
    <row r="16" spans="1:158" s="692" customFormat="1">
      <c r="B16" s="693" t="s">
        <v>363</v>
      </c>
      <c r="E16" s="682"/>
      <c r="G16" s="720"/>
      <c r="H16" s="720"/>
      <c r="I16" s="703">
        <f t="shared" ref="I16:BT16" si="0">YEAR(I17)</f>
        <v>2026</v>
      </c>
      <c r="J16" s="703">
        <f t="shared" si="0"/>
        <v>2026</v>
      </c>
      <c r="K16" s="703">
        <f t="shared" si="0"/>
        <v>2026</v>
      </c>
      <c r="L16" s="703">
        <f t="shared" si="0"/>
        <v>2026</v>
      </c>
      <c r="M16" s="703">
        <f t="shared" si="0"/>
        <v>2026</v>
      </c>
      <c r="N16" s="703">
        <f t="shared" si="0"/>
        <v>2026</v>
      </c>
      <c r="O16" s="703">
        <f t="shared" si="0"/>
        <v>2026</v>
      </c>
      <c r="P16" s="703">
        <f t="shared" si="0"/>
        <v>2027</v>
      </c>
      <c r="Q16" s="703">
        <f t="shared" si="0"/>
        <v>2027</v>
      </c>
      <c r="R16" s="703">
        <f t="shared" si="0"/>
        <v>2027</v>
      </c>
      <c r="S16" s="703">
        <f t="shared" si="0"/>
        <v>2027</v>
      </c>
      <c r="T16" s="703">
        <f t="shared" si="0"/>
        <v>2027</v>
      </c>
      <c r="U16" s="703">
        <f t="shared" si="0"/>
        <v>2027</v>
      </c>
      <c r="V16" s="703">
        <f t="shared" si="0"/>
        <v>2027</v>
      </c>
      <c r="W16" s="703">
        <f t="shared" si="0"/>
        <v>2027</v>
      </c>
      <c r="X16" s="703">
        <f t="shared" si="0"/>
        <v>2027</v>
      </c>
      <c r="Y16" s="703">
        <f t="shared" si="0"/>
        <v>2027</v>
      </c>
      <c r="Z16" s="703">
        <f t="shared" si="0"/>
        <v>2027</v>
      </c>
      <c r="AA16" s="703">
        <f t="shared" si="0"/>
        <v>2027</v>
      </c>
      <c r="AB16" s="703">
        <f t="shared" si="0"/>
        <v>2028</v>
      </c>
      <c r="AC16" s="703">
        <f t="shared" si="0"/>
        <v>2028</v>
      </c>
      <c r="AD16" s="703">
        <f t="shared" si="0"/>
        <v>2028</v>
      </c>
      <c r="AE16" s="703">
        <f t="shared" si="0"/>
        <v>2028</v>
      </c>
      <c r="AF16" s="703">
        <f t="shared" si="0"/>
        <v>2028</v>
      </c>
      <c r="AG16" s="703">
        <f t="shared" si="0"/>
        <v>2028</v>
      </c>
      <c r="AH16" s="703">
        <f t="shared" si="0"/>
        <v>2028</v>
      </c>
      <c r="AI16" s="703">
        <f t="shared" si="0"/>
        <v>2028</v>
      </c>
      <c r="AJ16" s="703">
        <f t="shared" si="0"/>
        <v>2028</v>
      </c>
      <c r="AK16" s="703">
        <f t="shared" si="0"/>
        <v>2028</v>
      </c>
      <c r="AL16" s="703">
        <f t="shared" si="0"/>
        <v>2028</v>
      </c>
      <c r="AM16" s="703">
        <f t="shared" si="0"/>
        <v>2028</v>
      </c>
      <c r="AN16" s="703">
        <f t="shared" si="0"/>
        <v>2029</v>
      </c>
      <c r="AO16" s="703">
        <f t="shared" si="0"/>
        <v>2029</v>
      </c>
      <c r="AP16" s="703">
        <f t="shared" si="0"/>
        <v>2029</v>
      </c>
      <c r="AQ16" s="703">
        <f t="shared" si="0"/>
        <v>2029</v>
      </c>
      <c r="AR16" s="703">
        <f t="shared" si="0"/>
        <v>2029</v>
      </c>
      <c r="AS16" s="703">
        <f t="shared" si="0"/>
        <v>2029</v>
      </c>
      <c r="AT16" s="703">
        <f t="shared" si="0"/>
        <v>2029</v>
      </c>
      <c r="AU16" s="703">
        <f t="shared" si="0"/>
        <v>2029</v>
      </c>
      <c r="AV16" s="703">
        <f t="shared" si="0"/>
        <v>2029</v>
      </c>
      <c r="AW16" s="703">
        <f t="shared" si="0"/>
        <v>2029</v>
      </c>
      <c r="AX16" s="703">
        <f t="shared" si="0"/>
        <v>2029</v>
      </c>
      <c r="AY16" s="703">
        <f t="shared" si="0"/>
        <v>2029</v>
      </c>
      <c r="AZ16" s="703">
        <f t="shared" si="0"/>
        <v>2030</v>
      </c>
      <c r="BA16" s="703">
        <f t="shared" si="0"/>
        <v>2030</v>
      </c>
      <c r="BB16" s="703">
        <f t="shared" si="0"/>
        <v>2030</v>
      </c>
      <c r="BC16" s="703">
        <f t="shared" si="0"/>
        <v>2030</v>
      </c>
      <c r="BD16" s="703">
        <f t="shared" si="0"/>
        <v>2030</v>
      </c>
      <c r="BE16" s="703">
        <f t="shared" si="0"/>
        <v>2030</v>
      </c>
      <c r="BF16" s="703">
        <f t="shared" si="0"/>
        <v>2030</v>
      </c>
      <c r="BG16" s="703">
        <f t="shared" si="0"/>
        <v>2030</v>
      </c>
      <c r="BH16" s="703">
        <f t="shared" si="0"/>
        <v>2030</v>
      </c>
      <c r="BI16" s="703">
        <f t="shared" si="0"/>
        <v>2030</v>
      </c>
      <c r="BJ16" s="703">
        <f t="shared" si="0"/>
        <v>2030</v>
      </c>
      <c r="BK16" s="703">
        <f t="shared" si="0"/>
        <v>2030</v>
      </c>
      <c r="BL16" s="703">
        <f t="shared" si="0"/>
        <v>2031</v>
      </c>
      <c r="BM16" s="703">
        <f t="shared" si="0"/>
        <v>2031</v>
      </c>
      <c r="BN16" s="703">
        <f t="shared" si="0"/>
        <v>2031</v>
      </c>
      <c r="BO16" s="703">
        <f t="shared" si="0"/>
        <v>2031</v>
      </c>
      <c r="BP16" s="703">
        <f t="shared" si="0"/>
        <v>2031</v>
      </c>
      <c r="BQ16" s="703">
        <f t="shared" si="0"/>
        <v>2031</v>
      </c>
      <c r="BR16" s="703">
        <f t="shared" si="0"/>
        <v>2031</v>
      </c>
      <c r="BS16" s="703">
        <f t="shared" si="0"/>
        <v>2031</v>
      </c>
      <c r="BT16" s="703">
        <f t="shared" si="0"/>
        <v>2031</v>
      </c>
      <c r="BU16" s="703">
        <f t="shared" ref="BU16:EF16" si="1">YEAR(BU17)</f>
        <v>2031</v>
      </c>
      <c r="BV16" s="703">
        <f t="shared" si="1"/>
        <v>2031</v>
      </c>
      <c r="BW16" s="703">
        <f t="shared" si="1"/>
        <v>2031</v>
      </c>
      <c r="BX16" s="703">
        <f t="shared" si="1"/>
        <v>2032</v>
      </c>
      <c r="BY16" s="703">
        <f t="shared" si="1"/>
        <v>2032</v>
      </c>
      <c r="BZ16" s="703">
        <f t="shared" si="1"/>
        <v>2032</v>
      </c>
      <c r="CA16" s="703">
        <f t="shared" si="1"/>
        <v>2032</v>
      </c>
      <c r="CB16" s="703">
        <f t="shared" si="1"/>
        <v>2032</v>
      </c>
      <c r="CC16" s="703">
        <f t="shared" si="1"/>
        <v>2032</v>
      </c>
      <c r="CD16" s="703">
        <f t="shared" si="1"/>
        <v>2032</v>
      </c>
      <c r="CE16" s="703">
        <f t="shared" si="1"/>
        <v>2032</v>
      </c>
      <c r="CF16" s="703">
        <f t="shared" si="1"/>
        <v>2032</v>
      </c>
      <c r="CG16" s="703">
        <f t="shared" si="1"/>
        <v>2032</v>
      </c>
      <c r="CH16" s="703">
        <f t="shared" si="1"/>
        <v>2032</v>
      </c>
      <c r="CI16" s="703">
        <f t="shared" si="1"/>
        <v>2032</v>
      </c>
      <c r="CJ16" s="703">
        <f t="shared" si="1"/>
        <v>2033</v>
      </c>
      <c r="CK16" s="703">
        <f t="shared" si="1"/>
        <v>2033</v>
      </c>
      <c r="CL16" s="703">
        <f t="shared" si="1"/>
        <v>2033</v>
      </c>
      <c r="CM16" s="703">
        <f t="shared" si="1"/>
        <v>2033</v>
      </c>
      <c r="CN16" s="703">
        <f t="shared" si="1"/>
        <v>2033</v>
      </c>
      <c r="CO16" s="703">
        <f t="shared" si="1"/>
        <v>2033</v>
      </c>
      <c r="CP16" s="703">
        <f t="shared" si="1"/>
        <v>2033</v>
      </c>
      <c r="CQ16" s="703">
        <f t="shared" si="1"/>
        <v>2033</v>
      </c>
      <c r="CR16" s="703">
        <f t="shared" si="1"/>
        <v>2033</v>
      </c>
      <c r="CS16" s="703">
        <f t="shared" si="1"/>
        <v>2033</v>
      </c>
      <c r="CT16" s="703">
        <f t="shared" si="1"/>
        <v>2033</v>
      </c>
      <c r="CU16" s="703">
        <f t="shared" si="1"/>
        <v>2033</v>
      </c>
      <c r="CV16" s="703">
        <f t="shared" si="1"/>
        <v>2034</v>
      </c>
      <c r="CW16" s="703">
        <f t="shared" si="1"/>
        <v>2034</v>
      </c>
      <c r="CX16" s="703">
        <f t="shared" si="1"/>
        <v>2034</v>
      </c>
      <c r="CY16" s="703">
        <f t="shared" si="1"/>
        <v>2034</v>
      </c>
      <c r="CZ16" s="703">
        <f t="shared" si="1"/>
        <v>2034</v>
      </c>
      <c r="DA16" s="703">
        <f t="shared" si="1"/>
        <v>2034</v>
      </c>
      <c r="DB16" s="703">
        <f t="shared" si="1"/>
        <v>2034</v>
      </c>
      <c r="DC16" s="703">
        <f t="shared" si="1"/>
        <v>2034</v>
      </c>
      <c r="DD16" s="703">
        <f t="shared" si="1"/>
        <v>2034</v>
      </c>
      <c r="DE16" s="703">
        <f t="shared" si="1"/>
        <v>2034</v>
      </c>
      <c r="DF16" s="703">
        <f t="shared" si="1"/>
        <v>2034</v>
      </c>
      <c r="DG16" s="703">
        <f t="shared" si="1"/>
        <v>2034</v>
      </c>
      <c r="DH16" s="703">
        <f t="shared" si="1"/>
        <v>2035</v>
      </c>
      <c r="DI16" s="703">
        <f t="shared" si="1"/>
        <v>2035</v>
      </c>
      <c r="DJ16" s="703">
        <f t="shared" si="1"/>
        <v>2035</v>
      </c>
      <c r="DK16" s="703">
        <f t="shared" si="1"/>
        <v>2035</v>
      </c>
      <c r="DL16" s="703">
        <f t="shared" si="1"/>
        <v>2035</v>
      </c>
      <c r="DM16" s="703">
        <f t="shared" si="1"/>
        <v>2035</v>
      </c>
      <c r="DN16" s="703">
        <f t="shared" si="1"/>
        <v>2035</v>
      </c>
      <c r="DO16" s="703">
        <f t="shared" si="1"/>
        <v>2035</v>
      </c>
      <c r="DP16" s="703">
        <f t="shared" si="1"/>
        <v>2035</v>
      </c>
      <c r="DQ16" s="703">
        <f t="shared" si="1"/>
        <v>2035</v>
      </c>
      <c r="DR16" s="703">
        <f t="shared" si="1"/>
        <v>2035</v>
      </c>
      <c r="DS16" s="703">
        <f t="shared" si="1"/>
        <v>2035</v>
      </c>
      <c r="DT16" s="703">
        <f t="shared" si="1"/>
        <v>2036</v>
      </c>
      <c r="DU16" s="703">
        <f t="shared" si="1"/>
        <v>2036</v>
      </c>
      <c r="DV16" s="703">
        <f t="shared" si="1"/>
        <v>2036</v>
      </c>
      <c r="DW16" s="703">
        <f t="shared" si="1"/>
        <v>2036</v>
      </c>
      <c r="DX16" s="703">
        <f t="shared" si="1"/>
        <v>2036</v>
      </c>
      <c r="DY16" s="703">
        <f t="shared" si="1"/>
        <v>2036</v>
      </c>
      <c r="DZ16" s="703">
        <f t="shared" si="1"/>
        <v>2036</v>
      </c>
      <c r="EA16" s="703">
        <f t="shared" si="1"/>
        <v>2036</v>
      </c>
      <c r="EB16" s="703">
        <f t="shared" si="1"/>
        <v>2036</v>
      </c>
      <c r="EC16" s="703">
        <f t="shared" si="1"/>
        <v>2036</v>
      </c>
      <c r="ED16" s="703">
        <f t="shared" si="1"/>
        <v>2036</v>
      </c>
      <c r="EE16" s="703">
        <f t="shared" si="1"/>
        <v>2036</v>
      </c>
      <c r="EF16" s="703">
        <f t="shared" si="1"/>
        <v>2037</v>
      </c>
      <c r="EG16" s="703">
        <f t="shared" ref="EG16:FB16" si="2">YEAR(EG17)</f>
        <v>2037</v>
      </c>
      <c r="EH16" s="703">
        <f t="shared" si="2"/>
        <v>2037</v>
      </c>
      <c r="EI16" s="703">
        <f t="shared" si="2"/>
        <v>2037</v>
      </c>
      <c r="EJ16" s="703">
        <f t="shared" si="2"/>
        <v>2037</v>
      </c>
      <c r="EK16" s="703">
        <f t="shared" si="2"/>
        <v>2037</v>
      </c>
      <c r="EL16" s="703">
        <f t="shared" si="2"/>
        <v>2037</v>
      </c>
      <c r="EM16" s="703">
        <f t="shared" si="2"/>
        <v>2037</v>
      </c>
      <c r="EN16" s="703">
        <f t="shared" si="2"/>
        <v>2037</v>
      </c>
      <c r="EO16" s="703">
        <f t="shared" si="2"/>
        <v>2037</v>
      </c>
      <c r="EP16" s="703">
        <f t="shared" si="2"/>
        <v>2037</v>
      </c>
      <c r="EQ16" s="703">
        <f t="shared" si="2"/>
        <v>2037</v>
      </c>
      <c r="ER16" s="703">
        <f t="shared" si="2"/>
        <v>2038</v>
      </c>
      <c r="ES16" s="703">
        <f t="shared" si="2"/>
        <v>2038</v>
      </c>
      <c r="ET16" s="703">
        <f t="shared" si="2"/>
        <v>2038</v>
      </c>
      <c r="EU16" s="703">
        <f t="shared" si="2"/>
        <v>2038</v>
      </c>
      <c r="EV16" s="703">
        <f t="shared" si="2"/>
        <v>2038</v>
      </c>
      <c r="EW16" s="703">
        <f t="shared" si="2"/>
        <v>2038</v>
      </c>
      <c r="EX16" s="703">
        <f t="shared" si="2"/>
        <v>2038</v>
      </c>
      <c r="EY16" s="703">
        <f t="shared" si="2"/>
        <v>2038</v>
      </c>
      <c r="EZ16" s="703">
        <f t="shared" si="2"/>
        <v>2038</v>
      </c>
      <c r="FA16" s="703">
        <f t="shared" si="2"/>
        <v>2038</v>
      </c>
      <c r="FB16" s="703">
        <f t="shared" si="2"/>
        <v>2038</v>
      </c>
    </row>
    <row r="17" spans="2:161" s="692" customFormat="1">
      <c r="G17" s="721" t="s">
        <v>362</v>
      </c>
      <c r="H17" s="722"/>
      <c r="I17" s="723">
        <f>'Cash Flow'!E5</f>
        <v>46203</v>
      </c>
      <c r="J17" s="723">
        <f t="shared" ref="J17:BU17" si="3">EDATE(I17, 1)</f>
        <v>46233</v>
      </c>
      <c r="K17" s="723">
        <f t="shared" si="3"/>
        <v>46264</v>
      </c>
      <c r="L17" s="723">
        <f t="shared" si="3"/>
        <v>46295</v>
      </c>
      <c r="M17" s="723">
        <f t="shared" si="3"/>
        <v>46325</v>
      </c>
      <c r="N17" s="723">
        <f t="shared" si="3"/>
        <v>46356</v>
      </c>
      <c r="O17" s="723">
        <f t="shared" si="3"/>
        <v>46386</v>
      </c>
      <c r="P17" s="723">
        <f t="shared" si="3"/>
        <v>46417</v>
      </c>
      <c r="Q17" s="723">
        <f t="shared" si="3"/>
        <v>46446</v>
      </c>
      <c r="R17" s="723">
        <f t="shared" si="3"/>
        <v>46474</v>
      </c>
      <c r="S17" s="723">
        <f t="shared" si="3"/>
        <v>46505</v>
      </c>
      <c r="T17" s="723">
        <f t="shared" si="3"/>
        <v>46535</v>
      </c>
      <c r="U17" s="723">
        <f t="shared" si="3"/>
        <v>46566</v>
      </c>
      <c r="V17" s="723">
        <f t="shared" si="3"/>
        <v>46596</v>
      </c>
      <c r="W17" s="723">
        <f t="shared" si="3"/>
        <v>46627</v>
      </c>
      <c r="X17" s="723">
        <f t="shared" si="3"/>
        <v>46658</v>
      </c>
      <c r="Y17" s="723">
        <f t="shared" si="3"/>
        <v>46688</v>
      </c>
      <c r="Z17" s="723">
        <f t="shared" si="3"/>
        <v>46719</v>
      </c>
      <c r="AA17" s="723">
        <f t="shared" si="3"/>
        <v>46749</v>
      </c>
      <c r="AB17" s="723">
        <f t="shared" si="3"/>
        <v>46780</v>
      </c>
      <c r="AC17" s="723">
        <f t="shared" si="3"/>
        <v>46811</v>
      </c>
      <c r="AD17" s="723">
        <f t="shared" si="3"/>
        <v>46840</v>
      </c>
      <c r="AE17" s="723">
        <f t="shared" si="3"/>
        <v>46871</v>
      </c>
      <c r="AF17" s="723">
        <f t="shared" si="3"/>
        <v>46901</v>
      </c>
      <c r="AG17" s="723">
        <f t="shared" si="3"/>
        <v>46932</v>
      </c>
      <c r="AH17" s="723">
        <f t="shared" si="3"/>
        <v>46962</v>
      </c>
      <c r="AI17" s="723">
        <f t="shared" si="3"/>
        <v>46993</v>
      </c>
      <c r="AJ17" s="723">
        <f t="shared" si="3"/>
        <v>47024</v>
      </c>
      <c r="AK17" s="723">
        <f t="shared" si="3"/>
        <v>47054</v>
      </c>
      <c r="AL17" s="723">
        <f t="shared" si="3"/>
        <v>47085</v>
      </c>
      <c r="AM17" s="723">
        <f t="shared" si="3"/>
        <v>47115</v>
      </c>
      <c r="AN17" s="723">
        <f t="shared" si="3"/>
        <v>47146</v>
      </c>
      <c r="AO17" s="723">
        <f t="shared" si="3"/>
        <v>47177</v>
      </c>
      <c r="AP17" s="723">
        <f t="shared" si="3"/>
        <v>47205</v>
      </c>
      <c r="AQ17" s="723">
        <f t="shared" si="3"/>
        <v>47236</v>
      </c>
      <c r="AR17" s="723">
        <f t="shared" si="3"/>
        <v>47266</v>
      </c>
      <c r="AS17" s="723">
        <f t="shared" si="3"/>
        <v>47297</v>
      </c>
      <c r="AT17" s="723">
        <f t="shared" si="3"/>
        <v>47327</v>
      </c>
      <c r="AU17" s="723">
        <f t="shared" si="3"/>
        <v>47358</v>
      </c>
      <c r="AV17" s="723">
        <f t="shared" si="3"/>
        <v>47389</v>
      </c>
      <c r="AW17" s="723">
        <f t="shared" si="3"/>
        <v>47419</v>
      </c>
      <c r="AX17" s="723">
        <f t="shared" si="3"/>
        <v>47450</v>
      </c>
      <c r="AY17" s="723">
        <f t="shared" si="3"/>
        <v>47480</v>
      </c>
      <c r="AZ17" s="723">
        <f t="shared" si="3"/>
        <v>47511</v>
      </c>
      <c r="BA17" s="723">
        <f t="shared" si="3"/>
        <v>47542</v>
      </c>
      <c r="BB17" s="723">
        <f t="shared" si="3"/>
        <v>47570</v>
      </c>
      <c r="BC17" s="723">
        <f t="shared" si="3"/>
        <v>47601</v>
      </c>
      <c r="BD17" s="723">
        <f t="shared" si="3"/>
        <v>47631</v>
      </c>
      <c r="BE17" s="723">
        <f t="shared" si="3"/>
        <v>47662</v>
      </c>
      <c r="BF17" s="723">
        <f t="shared" si="3"/>
        <v>47692</v>
      </c>
      <c r="BG17" s="723">
        <f t="shared" si="3"/>
        <v>47723</v>
      </c>
      <c r="BH17" s="723">
        <f t="shared" si="3"/>
        <v>47754</v>
      </c>
      <c r="BI17" s="723">
        <f t="shared" si="3"/>
        <v>47784</v>
      </c>
      <c r="BJ17" s="723">
        <f t="shared" si="3"/>
        <v>47815</v>
      </c>
      <c r="BK17" s="723">
        <f t="shared" si="3"/>
        <v>47845</v>
      </c>
      <c r="BL17" s="723">
        <f t="shared" si="3"/>
        <v>47876</v>
      </c>
      <c r="BM17" s="723">
        <f t="shared" si="3"/>
        <v>47907</v>
      </c>
      <c r="BN17" s="723">
        <f t="shared" si="3"/>
        <v>47935</v>
      </c>
      <c r="BO17" s="723">
        <f t="shared" si="3"/>
        <v>47966</v>
      </c>
      <c r="BP17" s="723">
        <f t="shared" si="3"/>
        <v>47996</v>
      </c>
      <c r="BQ17" s="723">
        <f t="shared" si="3"/>
        <v>48027</v>
      </c>
      <c r="BR17" s="723">
        <f t="shared" si="3"/>
        <v>48057</v>
      </c>
      <c r="BS17" s="723">
        <f t="shared" si="3"/>
        <v>48088</v>
      </c>
      <c r="BT17" s="723">
        <f t="shared" si="3"/>
        <v>48119</v>
      </c>
      <c r="BU17" s="723">
        <f t="shared" si="3"/>
        <v>48149</v>
      </c>
      <c r="BV17" s="723">
        <f t="shared" ref="BV17:EG17" si="4">EDATE(BU17, 1)</f>
        <v>48180</v>
      </c>
      <c r="BW17" s="723">
        <f t="shared" si="4"/>
        <v>48210</v>
      </c>
      <c r="BX17" s="723">
        <f t="shared" si="4"/>
        <v>48241</v>
      </c>
      <c r="BY17" s="723">
        <f t="shared" si="4"/>
        <v>48272</v>
      </c>
      <c r="BZ17" s="723">
        <f t="shared" si="4"/>
        <v>48301</v>
      </c>
      <c r="CA17" s="723">
        <f t="shared" si="4"/>
        <v>48332</v>
      </c>
      <c r="CB17" s="723">
        <f t="shared" si="4"/>
        <v>48362</v>
      </c>
      <c r="CC17" s="723">
        <f t="shared" si="4"/>
        <v>48393</v>
      </c>
      <c r="CD17" s="723">
        <f t="shared" si="4"/>
        <v>48423</v>
      </c>
      <c r="CE17" s="723">
        <f t="shared" si="4"/>
        <v>48454</v>
      </c>
      <c r="CF17" s="723">
        <f t="shared" si="4"/>
        <v>48485</v>
      </c>
      <c r="CG17" s="723">
        <f t="shared" si="4"/>
        <v>48515</v>
      </c>
      <c r="CH17" s="723">
        <f t="shared" si="4"/>
        <v>48546</v>
      </c>
      <c r="CI17" s="723">
        <f t="shared" si="4"/>
        <v>48576</v>
      </c>
      <c r="CJ17" s="723">
        <f t="shared" si="4"/>
        <v>48607</v>
      </c>
      <c r="CK17" s="723">
        <f t="shared" si="4"/>
        <v>48638</v>
      </c>
      <c r="CL17" s="723">
        <f t="shared" si="4"/>
        <v>48666</v>
      </c>
      <c r="CM17" s="723">
        <f t="shared" si="4"/>
        <v>48697</v>
      </c>
      <c r="CN17" s="723">
        <f t="shared" si="4"/>
        <v>48727</v>
      </c>
      <c r="CO17" s="723">
        <f t="shared" si="4"/>
        <v>48758</v>
      </c>
      <c r="CP17" s="723">
        <f t="shared" si="4"/>
        <v>48788</v>
      </c>
      <c r="CQ17" s="723">
        <f t="shared" si="4"/>
        <v>48819</v>
      </c>
      <c r="CR17" s="723">
        <f t="shared" si="4"/>
        <v>48850</v>
      </c>
      <c r="CS17" s="723">
        <f t="shared" si="4"/>
        <v>48880</v>
      </c>
      <c r="CT17" s="723">
        <f t="shared" si="4"/>
        <v>48911</v>
      </c>
      <c r="CU17" s="723">
        <f t="shared" si="4"/>
        <v>48941</v>
      </c>
      <c r="CV17" s="723">
        <f t="shared" si="4"/>
        <v>48972</v>
      </c>
      <c r="CW17" s="723">
        <f t="shared" si="4"/>
        <v>49003</v>
      </c>
      <c r="CX17" s="723">
        <f t="shared" si="4"/>
        <v>49031</v>
      </c>
      <c r="CY17" s="723">
        <f t="shared" si="4"/>
        <v>49062</v>
      </c>
      <c r="CZ17" s="723">
        <f t="shared" si="4"/>
        <v>49092</v>
      </c>
      <c r="DA17" s="723">
        <f t="shared" si="4"/>
        <v>49123</v>
      </c>
      <c r="DB17" s="723">
        <f t="shared" si="4"/>
        <v>49153</v>
      </c>
      <c r="DC17" s="723">
        <f t="shared" si="4"/>
        <v>49184</v>
      </c>
      <c r="DD17" s="723">
        <f t="shared" si="4"/>
        <v>49215</v>
      </c>
      <c r="DE17" s="723">
        <f t="shared" si="4"/>
        <v>49245</v>
      </c>
      <c r="DF17" s="723">
        <f t="shared" si="4"/>
        <v>49276</v>
      </c>
      <c r="DG17" s="723">
        <f t="shared" si="4"/>
        <v>49306</v>
      </c>
      <c r="DH17" s="723">
        <f t="shared" si="4"/>
        <v>49337</v>
      </c>
      <c r="DI17" s="723">
        <f t="shared" si="4"/>
        <v>49368</v>
      </c>
      <c r="DJ17" s="723">
        <f t="shared" si="4"/>
        <v>49396</v>
      </c>
      <c r="DK17" s="723">
        <f t="shared" si="4"/>
        <v>49427</v>
      </c>
      <c r="DL17" s="723">
        <f t="shared" si="4"/>
        <v>49457</v>
      </c>
      <c r="DM17" s="723">
        <f t="shared" si="4"/>
        <v>49488</v>
      </c>
      <c r="DN17" s="723">
        <f t="shared" si="4"/>
        <v>49518</v>
      </c>
      <c r="DO17" s="723">
        <f t="shared" si="4"/>
        <v>49549</v>
      </c>
      <c r="DP17" s="723">
        <f t="shared" si="4"/>
        <v>49580</v>
      </c>
      <c r="DQ17" s="723">
        <f t="shared" si="4"/>
        <v>49610</v>
      </c>
      <c r="DR17" s="723">
        <f t="shared" si="4"/>
        <v>49641</v>
      </c>
      <c r="DS17" s="723">
        <f t="shared" si="4"/>
        <v>49671</v>
      </c>
      <c r="DT17" s="723">
        <f t="shared" si="4"/>
        <v>49702</v>
      </c>
      <c r="DU17" s="723">
        <f t="shared" si="4"/>
        <v>49733</v>
      </c>
      <c r="DV17" s="723">
        <f t="shared" si="4"/>
        <v>49762</v>
      </c>
      <c r="DW17" s="723">
        <f t="shared" si="4"/>
        <v>49793</v>
      </c>
      <c r="DX17" s="723">
        <f t="shared" si="4"/>
        <v>49823</v>
      </c>
      <c r="DY17" s="723">
        <f t="shared" si="4"/>
        <v>49854</v>
      </c>
      <c r="DZ17" s="723">
        <f t="shared" si="4"/>
        <v>49884</v>
      </c>
      <c r="EA17" s="723">
        <f t="shared" si="4"/>
        <v>49915</v>
      </c>
      <c r="EB17" s="723">
        <f t="shared" si="4"/>
        <v>49946</v>
      </c>
      <c r="EC17" s="723">
        <f t="shared" si="4"/>
        <v>49976</v>
      </c>
      <c r="ED17" s="723">
        <f t="shared" si="4"/>
        <v>50007</v>
      </c>
      <c r="EE17" s="723">
        <f t="shared" si="4"/>
        <v>50037</v>
      </c>
      <c r="EF17" s="723">
        <f t="shared" si="4"/>
        <v>50068</v>
      </c>
      <c r="EG17" s="723">
        <f t="shared" si="4"/>
        <v>50099</v>
      </c>
      <c r="EH17" s="723">
        <f t="shared" ref="EH17:FB17" si="5">EDATE(EG17, 1)</f>
        <v>50127</v>
      </c>
      <c r="EI17" s="723">
        <f t="shared" si="5"/>
        <v>50158</v>
      </c>
      <c r="EJ17" s="723">
        <f t="shared" si="5"/>
        <v>50188</v>
      </c>
      <c r="EK17" s="723">
        <f t="shared" si="5"/>
        <v>50219</v>
      </c>
      <c r="EL17" s="723">
        <f t="shared" si="5"/>
        <v>50249</v>
      </c>
      <c r="EM17" s="723">
        <f t="shared" si="5"/>
        <v>50280</v>
      </c>
      <c r="EN17" s="723">
        <f t="shared" si="5"/>
        <v>50311</v>
      </c>
      <c r="EO17" s="723">
        <f t="shared" si="5"/>
        <v>50341</v>
      </c>
      <c r="EP17" s="723">
        <f t="shared" si="5"/>
        <v>50372</v>
      </c>
      <c r="EQ17" s="723">
        <f t="shared" si="5"/>
        <v>50402</v>
      </c>
      <c r="ER17" s="723">
        <f t="shared" si="5"/>
        <v>50433</v>
      </c>
      <c r="ES17" s="723">
        <f t="shared" si="5"/>
        <v>50464</v>
      </c>
      <c r="ET17" s="723">
        <f t="shared" si="5"/>
        <v>50492</v>
      </c>
      <c r="EU17" s="723">
        <f t="shared" si="5"/>
        <v>50523</v>
      </c>
      <c r="EV17" s="723">
        <f t="shared" si="5"/>
        <v>50553</v>
      </c>
      <c r="EW17" s="723">
        <f t="shared" si="5"/>
        <v>50584</v>
      </c>
      <c r="EX17" s="723">
        <f t="shared" si="5"/>
        <v>50614</v>
      </c>
      <c r="EY17" s="723">
        <f t="shared" si="5"/>
        <v>50645</v>
      </c>
      <c r="EZ17" s="723">
        <f t="shared" si="5"/>
        <v>50676</v>
      </c>
      <c r="FA17" s="723">
        <f t="shared" si="5"/>
        <v>50706</v>
      </c>
      <c r="FB17" s="723">
        <f t="shared" si="5"/>
        <v>50737</v>
      </c>
      <c r="FD17" s="724" t="s">
        <v>362</v>
      </c>
    </row>
    <row r="18" spans="2:161" s="692" customFormat="1">
      <c r="B18" s="692" t="str">
        <f>'Cash Flow'!B112</f>
        <v>Equity Contribution</v>
      </c>
      <c r="C18" s="699"/>
      <c r="D18" s="699"/>
      <c r="E18" s="725"/>
      <c r="F18" s="699"/>
      <c r="G18" s="726"/>
      <c r="I18" s="727">
        <f>'Cash Flow'!E112</f>
        <v>-18929066.165800005</v>
      </c>
      <c r="J18" s="727">
        <f>'Cash Flow'!F112</f>
        <v>0</v>
      </c>
      <c r="K18" s="727">
        <f>'Cash Flow'!G112</f>
        <v>0</v>
      </c>
      <c r="L18" s="727">
        <f>'Cash Flow'!H112</f>
        <v>0</v>
      </c>
      <c r="M18" s="727">
        <f>'Cash Flow'!I112</f>
        <v>0</v>
      </c>
      <c r="N18" s="727">
        <f>'Cash Flow'!J112</f>
        <v>0</v>
      </c>
      <c r="O18" s="727">
        <f>'Cash Flow'!K112</f>
        <v>0</v>
      </c>
      <c r="P18" s="727">
        <f>'Cash Flow'!L112</f>
        <v>0</v>
      </c>
      <c r="Q18" s="727">
        <f>'Cash Flow'!M112</f>
        <v>0</v>
      </c>
      <c r="R18" s="727">
        <f>'Cash Flow'!N112</f>
        <v>0</v>
      </c>
      <c r="S18" s="727">
        <f>'Cash Flow'!O112</f>
        <v>0</v>
      </c>
      <c r="T18" s="727">
        <f>'Cash Flow'!P112</f>
        <v>0</v>
      </c>
      <c r="U18" s="727">
        <f>'Cash Flow'!Q112</f>
        <v>0</v>
      </c>
      <c r="V18" s="727">
        <f>'Cash Flow'!R112</f>
        <v>0</v>
      </c>
      <c r="W18" s="727">
        <f>'Cash Flow'!S112</f>
        <v>0</v>
      </c>
      <c r="X18" s="727">
        <f>'Cash Flow'!T112</f>
        <v>0</v>
      </c>
      <c r="Y18" s="727">
        <f>'Cash Flow'!U112</f>
        <v>0</v>
      </c>
      <c r="Z18" s="727">
        <f>'Cash Flow'!V112</f>
        <v>0</v>
      </c>
      <c r="AA18" s="727">
        <f>'Cash Flow'!W112</f>
        <v>0</v>
      </c>
      <c r="AB18" s="727">
        <f>'Cash Flow'!X112</f>
        <v>0</v>
      </c>
      <c r="AC18" s="727">
        <f>'Cash Flow'!Y112</f>
        <v>0</v>
      </c>
      <c r="AD18" s="727">
        <f>'Cash Flow'!Z112</f>
        <v>0</v>
      </c>
      <c r="AE18" s="727">
        <f>'Cash Flow'!AA112</f>
        <v>0</v>
      </c>
      <c r="AF18" s="727">
        <f>'Cash Flow'!AB112</f>
        <v>0</v>
      </c>
      <c r="AG18" s="727">
        <f>'Cash Flow'!AC112</f>
        <v>0</v>
      </c>
      <c r="AH18" s="727">
        <f>'Cash Flow'!AD112</f>
        <v>0</v>
      </c>
      <c r="AI18" s="727">
        <f>'Cash Flow'!AE112</f>
        <v>0</v>
      </c>
      <c r="AJ18" s="727">
        <f>'Cash Flow'!AF112</f>
        <v>0</v>
      </c>
      <c r="AK18" s="727">
        <f>'Cash Flow'!AG112</f>
        <v>0</v>
      </c>
      <c r="AL18" s="727">
        <f>'Cash Flow'!AH112</f>
        <v>0</v>
      </c>
      <c r="AM18" s="727">
        <f>'Cash Flow'!AI112</f>
        <v>0</v>
      </c>
      <c r="AN18" s="727">
        <f>'Cash Flow'!AJ112</f>
        <v>0</v>
      </c>
      <c r="AO18" s="727">
        <f>'Cash Flow'!AK112</f>
        <v>0</v>
      </c>
      <c r="AP18" s="727">
        <f>'Cash Flow'!AL112</f>
        <v>0</v>
      </c>
      <c r="AQ18" s="727">
        <f>'Cash Flow'!AM112</f>
        <v>0</v>
      </c>
      <c r="AR18" s="727">
        <f>'Cash Flow'!AN112</f>
        <v>0</v>
      </c>
      <c r="AS18" s="727">
        <f>'Cash Flow'!AO112</f>
        <v>0</v>
      </c>
      <c r="AT18" s="727">
        <f>'Cash Flow'!AP112</f>
        <v>0</v>
      </c>
      <c r="AU18" s="727">
        <f>'Cash Flow'!AQ112</f>
        <v>0</v>
      </c>
      <c r="AV18" s="727">
        <f>'Cash Flow'!AR112</f>
        <v>0</v>
      </c>
      <c r="AW18" s="727">
        <f>'Cash Flow'!AS112</f>
        <v>0</v>
      </c>
      <c r="AX18" s="727">
        <f>'Cash Flow'!AT112</f>
        <v>0</v>
      </c>
      <c r="AY18" s="727">
        <f>'Cash Flow'!AU112</f>
        <v>0</v>
      </c>
      <c r="AZ18" s="727">
        <f>'Cash Flow'!AV112</f>
        <v>0</v>
      </c>
      <c r="BA18" s="727">
        <f>'Cash Flow'!AW112</f>
        <v>0</v>
      </c>
      <c r="BB18" s="727">
        <f>'Cash Flow'!AX112</f>
        <v>0</v>
      </c>
      <c r="BC18" s="727">
        <f>'Cash Flow'!AY112</f>
        <v>0</v>
      </c>
      <c r="BD18" s="727">
        <f>'Cash Flow'!AZ112</f>
        <v>0</v>
      </c>
      <c r="BE18" s="727">
        <f>'Cash Flow'!BA112</f>
        <v>0</v>
      </c>
      <c r="BF18" s="727">
        <f>'Cash Flow'!BB112</f>
        <v>0</v>
      </c>
      <c r="BG18" s="727">
        <f>'Cash Flow'!BC112</f>
        <v>0</v>
      </c>
      <c r="BH18" s="727">
        <f>'Cash Flow'!BD112</f>
        <v>0</v>
      </c>
      <c r="BI18" s="727">
        <f>'Cash Flow'!BE112</f>
        <v>0</v>
      </c>
      <c r="BJ18" s="727">
        <f>'Cash Flow'!BF112</f>
        <v>0</v>
      </c>
      <c r="BK18" s="727">
        <f>'Cash Flow'!BG112</f>
        <v>0</v>
      </c>
      <c r="BL18" s="727">
        <f>'Cash Flow'!BH112</f>
        <v>0</v>
      </c>
      <c r="BM18" s="727">
        <f>'Cash Flow'!BI112</f>
        <v>0</v>
      </c>
      <c r="BN18" s="727">
        <f>'Cash Flow'!BJ112</f>
        <v>0</v>
      </c>
      <c r="BO18" s="727">
        <f>'Cash Flow'!BK112</f>
        <v>0</v>
      </c>
      <c r="BP18" s="727">
        <f>'Cash Flow'!BL112</f>
        <v>0</v>
      </c>
      <c r="BQ18" s="727">
        <f>'Cash Flow'!BM112</f>
        <v>0</v>
      </c>
      <c r="BR18" s="727">
        <f>'Cash Flow'!BN112</f>
        <v>0</v>
      </c>
      <c r="BS18" s="727">
        <f>'Cash Flow'!BO112</f>
        <v>0</v>
      </c>
      <c r="BT18" s="727">
        <f>'Cash Flow'!BP112</f>
        <v>0</v>
      </c>
      <c r="BU18" s="727">
        <f>'Cash Flow'!BQ112</f>
        <v>0</v>
      </c>
      <c r="BV18" s="727">
        <f>'Cash Flow'!BR112</f>
        <v>0</v>
      </c>
      <c r="BW18" s="727">
        <f>'Cash Flow'!BS112</f>
        <v>0</v>
      </c>
      <c r="BX18" s="727">
        <f>'Cash Flow'!BT112</f>
        <v>0</v>
      </c>
      <c r="BY18" s="727">
        <f>'Cash Flow'!BU112</f>
        <v>0</v>
      </c>
      <c r="BZ18" s="727">
        <f>'Cash Flow'!BV112</f>
        <v>0</v>
      </c>
      <c r="CA18" s="727">
        <f>'Cash Flow'!BW112</f>
        <v>0</v>
      </c>
      <c r="CB18" s="727">
        <f>'Cash Flow'!BX112</f>
        <v>0</v>
      </c>
      <c r="CC18" s="727">
        <f>'Cash Flow'!BY112</f>
        <v>0</v>
      </c>
      <c r="CD18" s="727">
        <f>'Cash Flow'!BZ112</f>
        <v>0</v>
      </c>
      <c r="CE18" s="727">
        <f>'Cash Flow'!CA112</f>
        <v>0</v>
      </c>
      <c r="CF18" s="727">
        <f>'Cash Flow'!CB112</f>
        <v>0</v>
      </c>
      <c r="CG18" s="727">
        <f>'Cash Flow'!CC112</f>
        <v>0</v>
      </c>
      <c r="CH18" s="727">
        <f>'Cash Flow'!CD112</f>
        <v>0</v>
      </c>
      <c r="CI18" s="727">
        <f>'Cash Flow'!CE112</f>
        <v>0</v>
      </c>
      <c r="CJ18" s="727">
        <f>'Cash Flow'!CF112</f>
        <v>0</v>
      </c>
      <c r="CK18" s="727">
        <f>'Cash Flow'!CG112</f>
        <v>0</v>
      </c>
      <c r="CL18" s="727">
        <f>'Cash Flow'!CH112</f>
        <v>0</v>
      </c>
      <c r="CM18" s="727">
        <f>'Cash Flow'!CI112</f>
        <v>0</v>
      </c>
      <c r="CN18" s="727">
        <f>'Cash Flow'!CJ112</f>
        <v>0</v>
      </c>
      <c r="CO18" s="727">
        <f>'Cash Flow'!CK112</f>
        <v>0</v>
      </c>
      <c r="CP18" s="727">
        <f>'Cash Flow'!CL112</f>
        <v>0</v>
      </c>
      <c r="CQ18" s="727">
        <f>'Cash Flow'!CM112</f>
        <v>0</v>
      </c>
      <c r="CR18" s="727">
        <f>'Cash Flow'!CN112</f>
        <v>0</v>
      </c>
      <c r="CS18" s="727">
        <f>'Cash Flow'!CO112</f>
        <v>0</v>
      </c>
      <c r="CT18" s="727">
        <f>'Cash Flow'!CP112</f>
        <v>0</v>
      </c>
      <c r="CU18" s="727">
        <f>'Cash Flow'!CQ112</f>
        <v>0</v>
      </c>
      <c r="CV18" s="727">
        <f>'Cash Flow'!CR112</f>
        <v>0</v>
      </c>
      <c r="CW18" s="727">
        <f>'Cash Flow'!CS112</f>
        <v>0</v>
      </c>
      <c r="CX18" s="727">
        <f>'Cash Flow'!CT112</f>
        <v>0</v>
      </c>
      <c r="CY18" s="727">
        <f>'Cash Flow'!CU112</f>
        <v>0</v>
      </c>
      <c r="CZ18" s="727">
        <f>'Cash Flow'!CV112</f>
        <v>0</v>
      </c>
      <c r="DA18" s="727">
        <f>'Cash Flow'!CW112</f>
        <v>0</v>
      </c>
      <c r="DB18" s="727">
        <f>'Cash Flow'!CX112</f>
        <v>0</v>
      </c>
      <c r="DC18" s="727">
        <f>'Cash Flow'!CY112</f>
        <v>0</v>
      </c>
      <c r="DD18" s="727">
        <f>'Cash Flow'!CZ112</f>
        <v>0</v>
      </c>
      <c r="DE18" s="727">
        <f>'Cash Flow'!DA112</f>
        <v>0</v>
      </c>
      <c r="DF18" s="727">
        <f>'Cash Flow'!DB112</f>
        <v>0</v>
      </c>
      <c r="DG18" s="727">
        <f>'Cash Flow'!DC112</f>
        <v>0</v>
      </c>
      <c r="DH18" s="727">
        <f>'Cash Flow'!DD112</f>
        <v>0</v>
      </c>
      <c r="DI18" s="727">
        <f>'Cash Flow'!DE112</f>
        <v>0</v>
      </c>
      <c r="DJ18" s="727">
        <f>'Cash Flow'!DF112</f>
        <v>0</v>
      </c>
      <c r="DK18" s="727">
        <f>'Cash Flow'!DG112</f>
        <v>0</v>
      </c>
      <c r="DL18" s="727">
        <f>'Cash Flow'!DH112</f>
        <v>0</v>
      </c>
      <c r="DM18" s="727">
        <f>'Cash Flow'!DI112</f>
        <v>0</v>
      </c>
      <c r="DN18" s="727">
        <f>'Cash Flow'!DJ112</f>
        <v>0</v>
      </c>
      <c r="DO18" s="727">
        <f>'Cash Flow'!DK112</f>
        <v>0</v>
      </c>
      <c r="DP18" s="727">
        <f>'Cash Flow'!DL112</f>
        <v>0</v>
      </c>
      <c r="DQ18" s="727">
        <f>'Cash Flow'!DM112</f>
        <v>0</v>
      </c>
      <c r="DR18" s="727">
        <f>'Cash Flow'!DN112</f>
        <v>0</v>
      </c>
      <c r="DS18" s="727">
        <f>'Cash Flow'!DO112</f>
        <v>0</v>
      </c>
      <c r="DT18" s="727">
        <f>'Cash Flow'!DP112</f>
        <v>0</v>
      </c>
      <c r="DU18" s="727">
        <f>'Cash Flow'!DQ112</f>
        <v>0</v>
      </c>
      <c r="DV18" s="727">
        <f>'Cash Flow'!DR112</f>
        <v>0</v>
      </c>
      <c r="DW18" s="727">
        <f>'Cash Flow'!DS112</f>
        <v>0</v>
      </c>
      <c r="DX18" s="727">
        <f>'Cash Flow'!DT112</f>
        <v>0</v>
      </c>
      <c r="DY18" s="727">
        <f>'Cash Flow'!DU112</f>
        <v>0</v>
      </c>
      <c r="DZ18" s="727">
        <f>'Cash Flow'!DV112</f>
        <v>0</v>
      </c>
      <c r="EA18" s="727">
        <f>'Cash Flow'!DW112</f>
        <v>0</v>
      </c>
      <c r="EB18" s="727">
        <f>'Cash Flow'!DX112</f>
        <v>0</v>
      </c>
      <c r="EC18" s="727">
        <f>'Cash Flow'!DY112</f>
        <v>0</v>
      </c>
      <c r="ED18" s="727">
        <f>'Cash Flow'!DZ112</f>
        <v>0</v>
      </c>
      <c r="EE18" s="727">
        <f>'Cash Flow'!EA112</f>
        <v>0</v>
      </c>
      <c r="EF18" s="727">
        <f>'Cash Flow'!EB112</f>
        <v>0</v>
      </c>
      <c r="EG18" s="727">
        <f>'Cash Flow'!EC112</f>
        <v>0</v>
      </c>
      <c r="EH18" s="727">
        <f>'Cash Flow'!ED112</f>
        <v>0</v>
      </c>
      <c r="EI18" s="727">
        <f>'Cash Flow'!EE112</f>
        <v>0</v>
      </c>
      <c r="EJ18" s="727">
        <f>'Cash Flow'!EF112</f>
        <v>0</v>
      </c>
      <c r="EK18" s="727">
        <f>'Cash Flow'!EG112</f>
        <v>0</v>
      </c>
      <c r="EL18" s="727">
        <f>'Cash Flow'!EH112</f>
        <v>0</v>
      </c>
      <c r="EM18" s="727">
        <f>'Cash Flow'!EI112</f>
        <v>0</v>
      </c>
      <c r="EN18" s="727">
        <f>'Cash Flow'!EJ112</f>
        <v>0</v>
      </c>
      <c r="EO18" s="727">
        <f>'Cash Flow'!EK112</f>
        <v>0</v>
      </c>
      <c r="EP18" s="727">
        <f>'Cash Flow'!EL112</f>
        <v>0</v>
      </c>
      <c r="EQ18" s="727">
        <f>'Cash Flow'!EM112</f>
        <v>0</v>
      </c>
      <c r="ER18" s="727">
        <f>'Cash Flow'!EN112</f>
        <v>0</v>
      </c>
      <c r="ES18" s="727">
        <f>'Cash Flow'!EO112</f>
        <v>0</v>
      </c>
      <c r="ET18" s="727">
        <f>'Cash Flow'!EP112</f>
        <v>0</v>
      </c>
      <c r="EU18" s="727">
        <f>'Cash Flow'!EQ112</f>
        <v>0</v>
      </c>
      <c r="EV18" s="727">
        <f>'Cash Flow'!ER112</f>
        <v>0</v>
      </c>
      <c r="EW18" s="727">
        <f>'Cash Flow'!ES112</f>
        <v>0</v>
      </c>
      <c r="EX18" s="727">
        <f>'Cash Flow'!ET112</f>
        <v>0</v>
      </c>
      <c r="EY18" s="727">
        <f>'Cash Flow'!EU112</f>
        <v>0</v>
      </c>
      <c r="EZ18" s="727">
        <f>'Cash Flow'!EV112</f>
        <v>0</v>
      </c>
      <c r="FA18" s="727">
        <f>'Cash Flow'!EW112</f>
        <v>0</v>
      </c>
      <c r="FB18" s="727">
        <f>'Cash Flow'!EX112</f>
        <v>0</v>
      </c>
      <c r="FD18" s="728">
        <f>+SUM(I18:FB18)</f>
        <v>-18929066.165800005</v>
      </c>
    </row>
    <row r="19" spans="2:161" s="692" customFormat="1">
      <c r="B19" s="692" t="str">
        <f>'Cash Flow'!B113</f>
        <v>Acquisition Loan Repayment</v>
      </c>
      <c r="C19" s="699"/>
      <c r="D19" s="699"/>
      <c r="E19" s="725"/>
      <c r="F19" s="699"/>
      <c r="G19" s="729"/>
      <c r="I19" s="727">
        <f>'Cash Flow'!E113</f>
        <v>0</v>
      </c>
      <c r="J19" s="727">
        <f>'Cash Flow'!F113</f>
        <v>0</v>
      </c>
      <c r="K19" s="727">
        <f>'Cash Flow'!G113</f>
        <v>0</v>
      </c>
      <c r="L19" s="727">
        <f>'Cash Flow'!H113</f>
        <v>0</v>
      </c>
      <c r="M19" s="727">
        <f>'Cash Flow'!I113</f>
        <v>0</v>
      </c>
      <c r="N19" s="727">
        <f>'Cash Flow'!J113</f>
        <v>0</v>
      </c>
      <c r="O19" s="727">
        <f>'Cash Flow'!K113</f>
        <v>0</v>
      </c>
      <c r="P19" s="727">
        <f>'Cash Flow'!L113</f>
        <v>0</v>
      </c>
      <c r="Q19" s="727">
        <f>'Cash Flow'!M113</f>
        <v>0</v>
      </c>
      <c r="R19" s="727">
        <f>'Cash Flow'!N113</f>
        <v>0</v>
      </c>
      <c r="S19" s="727">
        <f>'Cash Flow'!O113</f>
        <v>0</v>
      </c>
      <c r="T19" s="727">
        <f>'Cash Flow'!P113</f>
        <v>0</v>
      </c>
      <c r="U19" s="727">
        <f>'Cash Flow'!Q113</f>
        <v>0</v>
      </c>
      <c r="V19" s="727">
        <f>'Cash Flow'!R113</f>
        <v>0</v>
      </c>
      <c r="W19" s="727">
        <f>'Cash Flow'!S113</f>
        <v>0</v>
      </c>
      <c r="X19" s="727">
        <f>'Cash Flow'!T113</f>
        <v>0</v>
      </c>
      <c r="Y19" s="727">
        <f>'Cash Flow'!U113</f>
        <v>0</v>
      </c>
      <c r="Z19" s="727">
        <f>'Cash Flow'!V113</f>
        <v>0</v>
      </c>
      <c r="AA19" s="727">
        <f>'Cash Flow'!W113</f>
        <v>0</v>
      </c>
      <c r="AB19" s="727">
        <f>'Cash Flow'!X113</f>
        <v>0</v>
      </c>
      <c r="AC19" s="727">
        <f>'Cash Flow'!Y113</f>
        <v>0</v>
      </c>
      <c r="AD19" s="727">
        <f>'Cash Flow'!Z113</f>
        <v>0</v>
      </c>
      <c r="AE19" s="727">
        <f>'Cash Flow'!AA113</f>
        <v>0</v>
      </c>
      <c r="AF19" s="727">
        <f>'Cash Flow'!AB113</f>
        <v>0</v>
      </c>
      <c r="AG19" s="727">
        <f>'Cash Flow'!AC113</f>
        <v>0</v>
      </c>
      <c r="AH19" s="727">
        <f>'Cash Flow'!AD113</f>
        <v>0</v>
      </c>
      <c r="AI19" s="727">
        <f>'Cash Flow'!AE113</f>
        <v>0</v>
      </c>
      <c r="AJ19" s="727">
        <f>'Cash Flow'!AF113</f>
        <v>0</v>
      </c>
      <c r="AK19" s="727">
        <f>'Cash Flow'!AG113</f>
        <v>0</v>
      </c>
      <c r="AL19" s="727">
        <f>'Cash Flow'!AH113</f>
        <v>0</v>
      </c>
      <c r="AM19" s="727">
        <f>'Cash Flow'!AI113</f>
        <v>0</v>
      </c>
      <c r="AN19" s="727">
        <f>'Cash Flow'!AJ113</f>
        <v>0</v>
      </c>
      <c r="AO19" s="727">
        <f>'Cash Flow'!AK113</f>
        <v>0</v>
      </c>
      <c r="AP19" s="727">
        <f>'Cash Flow'!AL113</f>
        <v>0</v>
      </c>
      <c r="AQ19" s="727">
        <f>'Cash Flow'!AM113</f>
        <v>0</v>
      </c>
      <c r="AR19" s="727">
        <f>'Cash Flow'!AN113</f>
        <v>0</v>
      </c>
      <c r="AS19" s="727">
        <f>'Cash Flow'!AO113</f>
        <v>0</v>
      </c>
      <c r="AT19" s="727">
        <f>'Cash Flow'!AP113</f>
        <v>0</v>
      </c>
      <c r="AU19" s="727">
        <f>'Cash Flow'!AQ113</f>
        <v>0</v>
      </c>
      <c r="AV19" s="727">
        <f>'Cash Flow'!AR113</f>
        <v>0</v>
      </c>
      <c r="AW19" s="727">
        <f>'Cash Flow'!AS113</f>
        <v>0</v>
      </c>
      <c r="AX19" s="727">
        <f>'Cash Flow'!AT113</f>
        <v>0</v>
      </c>
      <c r="AY19" s="727">
        <f>'Cash Flow'!AU113</f>
        <v>0</v>
      </c>
      <c r="AZ19" s="727">
        <f>'Cash Flow'!AV113</f>
        <v>0</v>
      </c>
      <c r="BA19" s="727">
        <f>'Cash Flow'!AW113</f>
        <v>0</v>
      </c>
      <c r="BB19" s="727">
        <f>'Cash Flow'!AX113</f>
        <v>0</v>
      </c>
      <c r="BC19" s="727">
        <f>'Cash Flow'!AY113</f>
        <v>0</v>
      </c>
      <c r="BD19" s="727">
        <f>'Cash Flow'!AZ113</f>
        <v>-52100000</v>
      </c>
      <c r="BE19" s="727">
        <f>'Cash Flow'!BA113</f>
        <v>0</v>
      </c>
      <c r="BF19" s="727">
        <f>'Cash Flow'!BB113</f>
        <v>0</v>
      </c>
      <c r="BG19" s="727">
        <f>'Cash Flow'!BC113</f>
        <v>0</v>
      </c>
      <c r="BH19" s="727">
        <f>'Cash Flow'!BD113</f>
        <v>0</v>
      </c>
      <c r="BI19" s="727">
        <f>'Cash Flow'!BE113</f>
        <v>0</v>
      </c>
      <c r="BJ19" s="727">
        <f>'Cash Flow'!BF113</f>
        <v>0</v>
      </c>
      <c r="BK19" s="727">
        <f>'Cash Flow'!BG113</f>
        <v>0</v>
      </c>
      <c r="BL19" s="727">
        <f>'Cash Flow'!BH113</f>
        <v>0</v>
      </c>
      <c r="BM19" s="727">
        <f>'Cash Flow'!BI113</f>
        <v>0</v>
      </c>
      <c r="BN19" s="727">
        <f>'Cash Flow'!BJ113</f>
        <v>0</v>
      </c>
      <c r="BO19" s="727">
        <f>'Cash Flow'!BK113</f>
        <v>0</v>
      </c>
      <c r="BP19" s="727">
        <f>'Cash Flow'!BL113</f>
        <v>0</v>
      </c>
      <c r="BQ19" s="727">
        <f>'Cash Flow'!BM113</f>
        <v>0</v>
      </c>
      <c r="BR19" s="727">
        <f>'Cash Flow'!BN113</f>
        <v>0</v>
      </c>
      <c r="BS19" s="727">
        <f>'Cash Flow'!BO113</f>
        <v>0</v>
      </c>
      <c r="BT19" s="727">
        <f>'Cash Flow'!BP113</f>
        <v>0</v>
      </c>
      <c r="BU19" s="727">
        <f>'Cash Flow'!BQ113</f>
        <v>0</v>
      </c>
      <c r="BV19" s="727">
        <f>'Cash Flow'!BR113</f>
        <v>0</v>
      </c>
      <c r="BW19" s="727">
        <f>'Cash Flow'!BS113</f>
        <v>0</v>
      </c>
      <c r="BX19" s="727">
        <f>'Cash Flow'!BT113</f>
        <v>0</v>
      </c>
      <c r="BY19" s="727">
        <f>'Cash Flow'!BU113</f>
        <v>0</v>
      </c>
      <c r="BZ19" s="727">
        <f>'Cash Flow'!BV113</f>
        <v>0</v>
      </c>
      <c r="CA19" s="727">
        <f>'Cash Flow'!BW113</f>
        <v>0</v>
      </c>
      <c r="CB19" s="727">
        <f>'Cash Flow'!BX113</f>
        <v>0</v>
      </c>
      <c r="CC19" s="727">
        <f>'Cash Flow'!BY113</f>
        <v>0</v>
      </c>
      <c r="CD19" s="727">
        <f>'Cash Flow'!BZ113</f>
        <v>0</v>
      </c>
      <c r="CE19" s="727">
        <f>'Cash Flow'!CA113</f>
        <v>0</v>
      </c>
      <c r="CF19" s="727">
        <f>'Cash Flow'!CB113</f>
        <v>0</v>
      </c>
      <c r="CG19" s="727">
        <f>'Cash Flow'!CC113</f>
        <v>0</v>
      </c>
      <c r="CH19" s="727">
        <f>'Cash Flow'!CD113</f>
        <v>0</v>
      </c>
      <c r="CI19" s="727">
        <f>'Cash Flow'!CE113</f>
        <v>0</v>
      </c>
      <c r="CJ19" s="727">
        <f>'Cash Flow'!CF113</f>
        <v>0</v>
      </c>
      <c r="CK19" s="727">
        <f>'Cash Flow'!CG113</f>
        <v>0</v>
      </c>
      <c r="CL19" s="727">
        <f>'Cash Flow'!CH113</f>
        <v>0</v>
      </c>
      <c r="CM19" s="727">
        <f>'Cash Flow'!CI113</f>
        <v>0</v>
      </c>
      <c r="CN19" s="727">
        <f>'Cash Flow'!CJ113</f>
        <v>0</v>
      </c>
      <c r="CO19" s="727">
        <f>'Cash Flow'!CK113</f>
        <v>0</v>
      </c>
      <c r="CP19" s="727">
        <f>'Cash Flow'!CL113</f>
        <v>0</v>
      </c>
      <c r="CQ19" s="727">
        <f>'Cash Flow'!CM113</f>
        <v>0</v>
      </c>
      <c r="CR19" s="727">
        <f>'Cash Flow'!CN113</f>
        <v>0</v>
      </c>
      <c r="CS19" s="727">
        <f>'Cash Flow'!CO113</f>
        <v>0</v>
      </c>
      <c r="CT19" s="727">
        <f>'Cash Flow'!CP113</f>
        <v>0</v>
      </c>
      <c r="CU19" s="727">
        <f>'Cash Flow'!CQ113</f>
        <v>0</v>
      </c>
      <c r="CV19" s="727">
        <f>'Cash Flow'!CR113</f>
        <v>0</v>
      </c>
      <c r="CW19" s="727">
        <f>'Cash Flow'!CS113</f>
        <v>0</v>
      </c>
      <c r="CX19" s="727">
        <f>'Cash Flow'!CT113</f>
        <v>0</v>
      </c>
      <c r="CY19" s="727">
        <f>'Cash Flow'!CU113</f>
        <v>0</v>
      </c>
      <c r="CZ19" s="727">
        <f>'Cash Flow'!CV113</f>
        <v>0</v>
      </c>
      <c r="DA19" s="727">
        <f>'Cash Flow'!CW113</f>
        <v>0</v>
      </c>
      <c r="DB19" s="727">
        <f>'Cash Flow'!CX113</f>
        <v>0</v>
      </c>
      <c r="DC19" s="727">
        <f>'Cash Flow'!CY113</f>
        <v>0</v>
      </c>
      <c r="DD19" s="727">
        <f>'Cash Flow'!CZ113</f>
        <v>0</v>
      </c>
      <c r="DE19" s="727">
        <f>'Cash Flow'!DA113</f>
        <v>0</v>
      </c>
      <c r="DF19" s="727">
        <f>'Cash Flow'!DB113</f>
        <v>0</v>
      </c>
      <c r="DG19" s="727">
        <f>'Cash Flow'!DC113</f>
        <v>0</v>
      </c>
      <c r="DH19" s="727">
        <f>'Cash Flow'!DD113</f>
        <v>0</v>
      </c>
      <c r="DI19" s="727">
        <f>'Cash Flow'!DE113</f>
        <v>0</v>
      </c>
      <c r="DJ19" s="727">
        <f>'Cash Flow'!DF113</f>
        <v>0</v>
      </c>
      <c r="DK19" s="727">
        <f>'Cash Flow'!DG113</f>
        <v>0</v>
      </c>
      <c r="DL19" s="727">
        <f>'Cash Flow'!DH113</f>
        <v>0</v>
      </c>
      <c r="DM19" s="727">
        <f>'Cash Flow'!DI113</f>
        <v>0</v>
      </c>
      <c r="DN19" s="727">
        <f>'Cash Flow'!DJ113</f>
        <v>0</v>
      </c>
      <c r="DO19" s="727">
        <f>'Cash Flow'!DK113</f>
        <v>0</v>
      </c>
      <c r="DP19" s="727">
        <f>'Cash Flow'!DL113</f>
        <v>0</v>
      </c>
      <c r="DQ19" s="727">
        <f>'Cash Flow'!DM113</f>
        <v>0</v>
      </c>
      <c r="DR19" s="727">
        <f>'Cash Flow'!DN113</f>
        <v>0</v>
      </c>
      <c r="DS19" s="727">
        <f>'Cash Flow'!DO113</f>
        <v>0</v>
      </c>
      <c r="DT19" s="727">
        <f>'Cash Flow'!DP113</f>
        <v>0</v>
      </c>
      <c r="DU19" s="727">
        <f>'Cash Flow'!DQ113</f>
        <v>0</v>
      </c>
      <c r="DV19" s="727">
        <f>'Cash Flow'!DR113</f>
        <v>0</v>
      </c>
      <c r="DW19" s="727">
        <f>'Cash Flow'!DS113</f>
        <v>0</v>
      </c>
      <c r="DX19" s="727">
        <f>'Cash Flow'!DT113</f>
        <v>0</v>
      </c>
      <c r="DY19" s="727">
        <f>'Cash Flow'!DU113</f>
        <v>0</v>
      </c>
      <c r="DZ19" s="727">
        <f>'Cash Flow'!DV113</f>
        <v>0</v>
      </c>
      <c r="EA19" s="727">
        <f>'Cash Flow'!DW113</f>
        <v>0</v>
      </c>
      <c r="EB19" s="727">
        <f>'Cash Flow'!DX113</f>
        <v>0</v>
      </c>
      <c r="EC19" s="727">
        <f>'Cash Flow'!DY113</f>
        <v>0</v>
      </c>
      <c r="ED19" s="727">
        <f>'Cash Flow'!DZ113</f>
        <v>0</v>
      </c>
      <c r="EE19" s="727">
        <f>'Cash Flow'!EA113</f>
        <v>0</v>
      </c>
      <c r="EF19" s="727">
        <f>'Cash Flow'!EB113</f>
        <v>0</v>
      </c>
      <c r="EG19" s="727">
        <f>'Cash Flow'!EC113</f>
        <v>0</v>
      </c>
      <c r="EH19" s="727">
        <f>'Cash Flow'!ED113</f>
        <v>0</v>
      </c>
      <c r="EI19" s="727">
        <f>'Cash Flow'!EE113</f>
        <v>0</v>
      </c>
      <c r="EJ19" s="727">
        <f>'Cash Flow'!EF113</f>
        <v>0</v>
      </c>
      <c r="EK19" s="727">
        <f>'Cash Flow'!EG113</f>
        <v>0</v>
      </c>
      <c r="EL19" s="727">
        <f>'Cash Flow'!EH113</f>
        <v>0</v>
      </c>
      <c r="EM19" s="727">
        <f>'Cash Flow'!EI113</f>
        <v>0</v>
      </c>
      <c r="EN19" s="727">
        <f>'Cash Flow'!EJ113</f>
        <v>0</v>
      </c>
      <c r="EO19" s="727">
        <f>'Cash Flow'!EK113</f>
        <v>0</v>
      </c>
      <c r="EP19" s="727">
        <f>'Cash Flow'!EL113</f>
        <v>0</v>
      </c>
      <c r="EQ19" s="727">
        <f>'Cash Flow'!EM113</f>
        <v>0</v>
      </c>
      <c r="ER19" s="727">
        <f>'Cash Flow'!EN113</f>
        <v>0</v>
      </c>
      <c r="ES19" s="727">
        <f>'Cash Flow'!EO113</f>
        <v>0</v>
      </c>
      <c r="ET19" s="727">
        <f>'Cash Flow'!EP113</f>
        <v>0</v>
      </c>
      <c r="EU19" s="727">
        <f>'Cash Flow'!EQ113</f>
        <v>0</v>
      </c>
      <c r="EV19" s="727">
        <f>'Cash Flow'!ER113</f>
        <v>0</v>
      </c>
      <c r="EW19" s="727">
        <f>'Cash Flow'!ES113</f>
        <v>0</v>
      </c>
      <c r="EX19" s="727">
        <f>'Cash Flow'!ET113</f>
        <v>0</v>
      </c>
      <c r="EY19" s="727">
        <f>'Cash Flow'!EU113</f>
        <v>0</v>
      </c>
      <c r="EZ19" s="727">
        <f>'Cash Flow'!EV113</f>
        <v>0</v>
      </c>
      <c r="FA19" s="727">
        <f>'Cash Flow'!EW113</f>
        <v>0</v>
      </c>
      <c r="FB19" s="727">
        <f>'Cash Flow'!EX113</f>
        <v>0</v>
      </c>
      <c r="FD19" s="728">
        <f t="shared" ref="FD19:FD25" si="6">+SUM(I19:FB19)</f>
        <v>-52100000</v>
      </c>
    </row>
    <row r="20" spans="2:161" s="692" customFormat="1">
      <c r="B20" s="692" t="str">
        <f>'Cash Flow'!B114</f>
        <v>Permanent Loan Infusion</v>
      </c>
      <c r="C20" s="699"/>
      <c r="D20" s="699"/>
      <c r="E20" s="725"/>
      <c r="F20" s="699"/>
      <c r="G20" s="729"/>
      <c r="I20" s="727">
        <f>'Cash Flow'!E114</f>
        <v>0</v>
      </c>
      <c r="J20" s="727">
        <f>'Cash Flow'!F114</f>
        <v>0</v>
      </c>
      <c r="K20" s="727">
        <f>'Cash Flow'!G114</f>
        <v>0</v>
      </c>
      <c r="L20" s="727">
        <f>'Cash Flow'!H114</f>
        <v>0</v>
      </c>
      <c r="M20" s="727">
        <f>'Cash Flow'!I114</f>
        <v>0</v>
      </c>
      <c r="N20" s="727">
        <f>'Cash Flow'!J114</f>
        <v>0</v>
      </c>
      <c r="O20" s="727">
        <f>'Cash Flow'!K114</f>
        <v>0</v>
      </c>
      <c r="P20" s="727">
        <f>'Cash Flow'!L114</f>
        <v>0</v>
      </c>
      <c r="Q20" s="727">
        <f>'Cash Flow'!M114</f>
        <v>0</v>
      </c>
      <c r="R20" s="727">
        <f>'Cash Flow'!N114</f>
        <v>0</v>
      </c>
      <c r="S20" s="727">
        <f>'Cash Flow'!O114</f>
        <v>0</v>
      </c>
      <c r="T20" s="727">
        <f>'Cash Flow'!P114</f>
        <v>0</v>
      </c>
      <c r="U20" s="727">
        <f>'Cash Flow'!Q114</f>
        <v>0</v>
      </c>
      <c r="V20" s="727">
        <f>'Cash Flow'!R114</f>
        <v>0</v>
      </c>
      <c r="W20" s="727">
        <f>'Cash Flow'!S114</f>
        <v>0</v>
      </c>
      <c r="X20" s="727">
        <f>'Cash Flow'!T114</f>
        <v>0</v>
      </c>
      <c r="Y20" s="727">
        <f>'Cash Flow'!U114</f>
        <v>0</v>
      </c>
      <c r="Z20" s="727">
        <f>'Cash Flow'!V114</f>
        <v>0</v>
      </c>
      <c r="AA20" s="727">
        <f>'Cash Flow'!W114</f>
        <v>0</v>
      </c>
      <c r="AB20" s="727">
        <f>'Cash Flow'!X114</f>
        <v>0</v>
      </c>
      <c r="AC20" s="727">
        <f>'Cash Flow'!Y114</f>
        <v>0</v>
      </c>
      <c r="AD20" s="727">
        <f>'Cash Flow'!Z114</f>
        <v>0</v>
      </c>
      <c r="AE20" s="727">
        <f>'Cash Flow'!AA114</f>
        <v>0</v>
      </c>
      <c r="AF20" s="727">
        <f>'Cash Flow'!AB114</f>
        <v>0</v>
      </c>
      <c r="AG20" s="727">
        <f>'Cash Flow'!AC114</f>
        <v>0</v>
      </c>
      <c r="AH20" s="727">
        <f>'Cash Flow'!AD114</f>
        <v>0</v>
      </c>
      <c r="AI20" s="727">
        <f>'Cash Flow'!AE114</f>
        <v>0</v>
      </c>
      <c r="AJ20" s="727">
        <f>'Cash Flow'!AF114</f>
        <v>0</v>
      </c>
      <c r="AK20" s="727">
        <f>'Cash Flow'!AG114</f>
        <v>0</v>
      </c>
      <c r="AL20" s="727">
        <f>'Cash Flow'!AH114</f>
        <v>0</v>
      </c>
      <c r="AM20" s="727">
        <f>'Cash Flow'!AI114</f>
        <v>0</v>
      </c>
      <c r="AN20" s="727">
        <f>'Cash Flow'!AJ114</f>
        <v>0</v>
      </c>
      <c r="AO20" s="727">
        <f>'Cash Flow'!AK114</f>
        <v>0</v>
      </c>
      <c r="AP20" s="727">
        <f>'Cash Flow'!AL114</f>
        <v>0</v>
      </c>
      <c r="AQ20" s="727">
        <f>'Cash Flow'!AM114</f>
        <v>0</v>
      </c>
      <c r="AR20" s="727">
        <f>'Cash Flow'!AN114</f>
        <v>0</v>
      </c>
      <c r="AS20" s="727">
        <f>'Cash Flow'!AO114</f>
        <v>0</v>
      </c>
      <c r="AT20" s="727">
        <f>'Cash Flow'!AP114</f>
        <v>0</v>
      </c>
      <c r="AU20" s="727">
        <f>'Cash Flow'!AQ114</f>
        <v>0</v>
      </c>
      <c r="AV20" s="727">
        <f>'Cash Flow'!AR114</f>
        <v>0</v>
      </c>
      <c r="AW20" s="727">
        <f>'Cash Flow'!AS114</f>
        <v>0</v>
      </c>
      <c r="AX20" s="727">
        <f>'Cash Flow'!AT114</f>
        <v>0</v>
      </c>
      <c r="AY20" s="727">
        <f>'Cash Flow'!AU114</f>
        <v>0</v>
      </c>
      <c r="AZ20" s="727">
        <f>'Cash Flow'!AV114</f>
        <v>0</v>
      </c>
      <c r="BA20" s="727">
        <f>'Cash Flow'!AW114</f>
        <v>0</v>
      </c>
      <c r="BB20" s="727">
        <f>'Cash Flow'!AX114</f>
        <v>0</v>
      </c>
      <c r="BC20" s="727">
        <f>'Cash Flow'!AY114</f>
        <v>0</v>
      </c>
      <c r="BD20" s="727">
        <f>'Cash Flow'!AZ114</f>
        <v>0</v>
      </c>
      <c r="BE20" s="727">
        <f>'Cash Flow'!BA114</f>
        <v>0</v>
      </c>
      <c r="BF20" s="727">
        <f>'Cash Flow'!BB114</f>
        <v>0</v>
      </c>
      <c r="BG20" s="727">
        <f>'Cash Flow'!BC114</f>
        <v>0</v>
      </c>
      <c r="BH20" s="727">
        <f>'Cash Flow'!BD114</f>
        <v>0</v>
      </c>
      <c r="BI20" s="727">
        <f>'Cash Flow'!BE114</f>
        <v>0</v>
      </c>
      <c r="BJ20" s="727">
        <f>'Cash Flow'!BF114</f>
        <v>0</v>
      </c>
      <c r="BK20" s="727">
        <f>'Cash Flow'!BG114</f>
        <v>0</v>
      </c>
      <c r="BL20" s="727">
        <f>'Cash Flow'!BH114</f>
        <v>0</v>
      </c>
      <c r="BM20" s="727">
        <f>'Cash Flow'!BI114</f>
        <v>0</v>
      </c>
      <c r="BN20" s="727">
        <f>'Cash Flow'!BJ114</f>
        <v>0</v>
      </c>
      <c r="BO20" s="727">
        <f>'Cash Flow'!BK114</f>
        <v>0</v>
      </c>
      <c r="BP20" s="727">
        <f>'Cash Flow'!BL114</f>
        <v>0</v>
      </c>
      <c r="BQ20" s="727">
        <f>'Cash Flow'!BM114</f>
        <v>0</v>
      </c>
      <c r="BR20" s="727">
        <f>'Cash Flow'!BN114</f>
        <v>0</v>
      </c>
      <c r="BS20" s="727">
        <f>'Cash Flow'!BO114</f>
        <v>0</v>
      </c>
      <c r="BT20" s="727">
        <f>'Cash Flow'!BP114</f>
        <v>0</v>
      </c>
      <c r="BU20" s="727">
        <f>'Cash Flow'!BQ114</f>
        <v>0</v>
      </c>
      <c r="BV20" s="727">
        <f>'Cash Flow'!BR114</f>
        <v>0</v>
      </c>
      <c r="BW20" s="727">
        <f>'Cash Flow'!BS114</f>
        <v>0</v>
      </c>
      <c r="BX20" s="727">
        <f>'Cash Flow'!BT114</f>
        <v>0</v>
      </c>
      <c r="BY20" s="727">
        <f>'Cash Flow'!BU114</f>
        <v>0</v>
      </c>
      <c r="BZ20" s="727">
        <f>'Cash Flow'!BV114</f>
        <v>0</v>
      </c>
      <c r="CA20" s="727">
        <f>'Cash Flow'!BW114</f>
        <v>0</v>
      </c>
      <c r="CB20" s="727">
        <f>'Cash Flow'!BX114</f>
        <v>0</v>
      </c>
      <c r="CC20" s="727">
        <f>'Cash Flow'!BY114</f>
        <v>0</v>
      </c>
      <c r="CD20" s="727">
        <f>'Cash Flow'!BZ114</f>
        <v>0</v>
      </c>
      <c r="CE20" s="727">
        <f>'Cash Flow'!CA114</f>
        <v>0</v>
      </c>
      <c r="CF20" s="727">
        <f>'Cash Flow'!CB114</f>
        <v>0</v>
      </c>
      <c r="CG20" s="727">
        <f>'Cash Flow'!CC114</f>
        <v>0</v>
      </c>
      <c r="CH20" s="727">
        <f>'Cash Flow'!CD114</f>
        <v>0</v>
      </c>
      <c r="CI20" s="727">
        <f>'Cash Flow'!CE114</f>
        <v>0</v>
      </c>
      <c r="CJ20" s="727">
        <f>'Cash Flow'!CF114</f>
        <v>0</v>
      </c>
      <c r="CK20" s="727">
        <f>'Cash Flow'!CG114</f>
        <v>0</v>
      </c>
      <c r="CL20" s="727">
        <f>'Cash Flow'!CH114</f>
        <v>0</v>
      </c>
      <c r="CM20" s="727">
        <f>'Cash Flow'!CI114</f>
        <v>0</v>
      </c>
      <c r="CN20" s="727">
        <f>'Cash Flow'!CJ114</f>
        <v>0</v>
      </c>
      <c r="CO20" s="727">
        <f>'Cash Flow'!CK114</f>
        <v>0</v>
      </c>
      <c r="CP20" s="727">
        <f>'Cash Flow'!CL114</f>
        <v>0</v>
      </c>
      <c r="CQ20" s="727">
        <f>'Cash Flow'!CM114</f>
        <v>0</v>
      </c>
      <c r="CR20" s="727">
        <f>'Cash Flow'!CN114</f>
        <v>0</v>
      </c>
      <c r="CS20" s="727">
        <f>'Cash Flow'!CO114</f>
        <v>0</v>
      </c>
      <c r="CT20" s="727">
        <f>'Cash Flow'!CP114</f>
        <v>0</v>
      </c>
      <c r="CU20" s="727">
        <f>'Cash Flow'!CQ114</f>
        <v>0</v>
      </c>
      <c r="CV20" s="727">
        <f>'Cash Flow'!CR114</f>
        <v>0</v>
      </c>
      <c r="CW20" s="727">
        <f>'Cash Flow'!CS114</f>
        <v>0</v>
      </c>
      <c r="CX20" s="727">
        <f>'Cash Flow'!CT114</f>
        <v>0</v>
      </c>
      <c r="CY20" s="727">
        <f>'Cash Flow'!CU114</f>
        <v>0</v>
      </c>
      <c r="CZ20" s="727">
        <f>'Cash Flow'!CV114</f>
        <v>0</v>
      </c>
      <c r="DA20" s="727">
        <f>'Cash Flow'!CW114</f>
        <v>0</v>
      </c>
      <c r="DB20" s="727">
        <f>'Cash Flow'!CX114</f>
        <v>0</v>
      </c>
      <c r="DC20" s="727">
        <f>'Cash Flow'!CY114</f>
        <v>0</v>
      </c>
      <c r="DD20" s="727">
        <f>'Cash Flow'!CZ114</f>
        <v>0</v>
      </c>
      <c r="DE20" s="727">
        <f>'Cash Flow'!DA114</f>
        <v>0</v>
      </c>
      <c r="DF20" s="727">
        <f>'Cash Flow'!DB114</f>
        <v>0</v>
      </c>
      <c r="DG20" s="727">
        <f>'Cash Flow'!DC114</f>
        <v>0</v>
      </c>
      <c r="DH20" s="727">
        <f>'Cash Flow'!DD114</f>
        <v>0</v>
      </c>
      <c r="DI20" s="727">
        <f>'Cash Flow'!DE114</f>
        <v>0</v>
      </c>
      <c r="DJ20" s="727">
        <f>'Cash Flow'!DF114</f>
        <v>0</v>
      </c>
      <c r="DK20" s="727">
        <f>'Cash Flow'!DG114</f>
        <v>0</v>
      </c>
      <c r="DL20" s="727">
        <f>'Cash Flow'!DH114</f>
        <v>0</v>
      </c>
      <c r="DM20" s="727">
        <f>'Cash Flow'!DI114</f>
        <v>0</v>
      </c>
      <c r="DN20" s="727">
        <f>'Cash Flow'!DJ114</f>
        <v>0</v>
      </c>
      <c r="DO20" s="727">
        <f>'Cash Flow'!DK114</f>
        <v>0</v>
      </c>
      <c r="DP20" s="727">
        <f>'Cash Flow'!DL114</f>
        <v>0</v>
      </c>
      <c r="DQ20" s="727">
        <f>'Cash Flow'!DM114</f>
        <v>0</v>
      </c>
      <c r="DR20" s="727">
        <f>'Cash Flow'!DN114</f>
        <v>0</v>
      </c>
      <c r="DS20" s="727">
        <f>'Cash Flow'!DO114</f>
        <v>0</v>
      </c>
      <c r="DT20" s="727">
        <f>'Cash Flow'!DP114</f>
        <v>0</v>
      </c>
      <c r="DU20" s="727">
        <f>'Cash Flow'!DQ114</f>
        <v>0</v>
      </c>
      <c r="DV20" s="727">
        <f>'Cash Flow'!DR114</f>
        <v>0</v>
      </c>
      <c r="DW20" s="727">
        <f>'Cash Flow'!DS114</f>
        <v>0</v>
      </c>
      <c r="DX20" s="727">
        <f>'Cash Flow'!DT114</f>
        <v>0</v>
      </c>
      <c r="DY20" s="727">
        <f>'Cash Flow'!DU114</f>
        <v>0</v>
      </c>
      <c r="DZ20" s="727">
        <f>'Cash Flow'!DV114</f>
        <v>0</v>
      </c>
      <c r="EA20" s="727">
        <f>'Cash Flow'!DW114</f>
        <v>0</v>
      </c>
      <c r="EB20" s="727">
        <f>'Cash Flow'!DX114</f>
        <v>0</v>
      </c>
      <c r="EC20" s="727">
        <f>'Cash Flow'!DY114</f>
        <v>0</v>
      </c>
      <c r="ED20" s="727">
        <f>'Cash Flow'!DZ114</f>
        <v>0</v>
      </c>
      <c r="EE20" s="727">
        <f>'Cash Flow'!EA114</f>
        <v>0</v>
      </c>
      <c r="EF20" s="727">
        <f>'Cash Flow'!EB114</f>
        <v>0</v>
      </c>
      <c r="EG20" s="727">
        <f>'Cash Flow'!EC114</f>
        <v>0</v>
      </c>
      <c r="EH20" s="727">
        <f>'Cash Flow'!ED114</f>
        <v>0</v>
      </c>
      <c r="EI20" s="727">
        <f>'Cash Flow'!EE114</f>
        <v>0</v>
      </c>
      <c r="EJ20" s="727">
        <f>'Cash Flow'!EF114</f>
        <v>0</v>
      </c>
      <c r="EK20" s="727">
        <f>'Cash Flow'!EG114</f>
        <v>0</v>
      </c>
      <c r="EL20" s="727">
        <f>'Cash Flow'!EH114</f>
        <v>0</v>
      </c>
      <c r="EM20" s="727">
        <f>'Cash Flow'!EI114</f>
        <v>0</v>
      </c>
      <c r="EN20" s="727">
        <f>'Cash Flow'!EJ114</f>
        <v>0</v>
      </c>
      <c r="EO20" s="727">
        <f>'Cash Flow'!EK114</f>
        <v>0</v>
      </c>
      <c r="EP20" s="727">
        <f>'Cash Flow'!EL114</f>
        <v>0</v>
      </c>
      <c r="EQ20" s="727">
        <f>'Cash Flow'!EM114</f>
        <v>0</v>
      </c>
      <c r="ER20" s="727">
        <f>'Cash Flow'!EN114</f>
        <v>0</v>
      </c>
      <c r="ES20" s="727">
        <f>'Cash Flow'!EO114</f>
        <v>0</v>
      </c>
      <c r="ET20" s="727">
        <f>'Cash Flow'!EP114</f>
        <v>0</v>
      </c>
      <c r="EU20" s="727">
        <f>'Cash Flow'!EQ114</f>
        <v>0</v>
      </c>
      <c r="EV20" s="727">
        <f>'Cash Flow'!ER114</f>
        <v>0</v>
      </c>
      <c r="EW20" s="727">
        <f>'Cash Flow'!ES114</f>
        <v>0</v>
      </c>
      <c r="EX20" s="727">
        <f>'Cash Flow'!ET114</f>
        <v>0</v>
      </c>
      <c r="EY20" s="727">
        <f>'Cash Flow'!EU114</f>
        <v>0</v>
      </c>
      <c r="EZ20" s="727">
        <f>'Cash Flow'!EV114</f>
        <v>0</v>
      </c>
      <c r="FA20" s="727">
        <f>'Cash Flow'!EW114</f>
        <v>0</v>
      </c>
      <c r="FB20" s="727">
        <f>'Cash Flow'!EX114</f>
        <v>0</v>
      </c>
      <c r="FD20" s="728">
        <f t="shared" si="6"/>
        <v>0</v>
      </c>
    </row>
    <row r="21" spans="2:161" s="692" customFormat="1">
      <c r="B21" s="692" t="str">
        <f>'Cash Flow'!B115</f>
        <v>Net Sale Proceeds</v>
      </c>
      <c r="C21" s="699"/>
      <c r="D21" s="699"/>
      <c r="E21" s="725"/>
      <c r="F21" s="699"/>
      <c r="G21" s="729"/>
      <c r="I21" s="727">
        <f>'Cash Flow'!E115</f>
        <v>0</v>
      </c>
      <c r="J21" s="727">
        <f>'Cash Flow'!F115</f>
        <v>0</v>
      </c>
      <c r="K21" s="727">
        <f>'Cash Flow'!G115</f>
        <v>0</v>
      </c>
      <c r="L21" s="727">
        <f>'Cash Flow'!H115</f>
        <v>0</v>
      </c>
      <c r="M21" s="727">
        <f>'Cash Flow'!I115</f>
        <v>0</v>
      </c>
      <c r="N21" s="727">
        <f>'Cash Flow'!J115</f>
        <v>0</v>
      </c>
      <c r="O21" s="727">
        <f>'Cash Flow'!K115</f>
        <v>0</v>
      </c>
      <c r="P21" s="727">
        <f>'Cash Flow'!L115</f>
        <v>0</v>
      </c>
      <c r="Q21" s="727">
        <f>'Cash Flow'!M115</f>
        <v>0</v>
      </c>
      <c r="R21" s="727">
        <f>'Cash Flow'!N115</f>
        <v>0</v>
      </c>
      <c r="S21" s="727">
        <f>'Cash Flow'!O115</f>
        <v>0</v>
      </c>
      <c r="T21" s="727">
        <f>'Cash Flow'!P115</f>
        <v>0</v>
      </c>
      <c r="U21" s="727">
        <f>'Cash Flow'!Q115</f>
        <v>0</v>
      </c>
      <c r="V21" s="727">
        <f>'Cash Flow'!R115</f>
        <v>0</v>
      </c>
      <c r="W21" s="727">
        <f>'Cash Flow'!S115</f>
        <v>0</v>
      </c>
      <c r="X21" s="727">
        <f>'Cash Flow'!T115</f>
        <v>0</v>
      </c>
      <c r="Y21" s="727">
        <f>'Cash Flow'!U115</f>
        <v>0</v>
      </c>
      <c r="Z21" s="727">
        <f>'Cash Flow'!V115</f>
        <v>0</v>
      </c>
      <c r="AA21" s="727">
        <f>'Cash Flow'!W115</f>
        <v>0</v>
      </c>
      <c r="AB21" s="727">
        <f>'Cash Flow'!X115</f>
        <v>0</v>
      </c>
      <c r="AC21" s="727">
        <f>'Cash Flow'!Y115</f>
        <v>0</v>
      </c>
      <c r="AD21" s="727">
        <f>'Cash Flow'!Z115</f>
        <v>0</v>
      </c>
      <c r="AE21" s="727">
        <f>'Cash Flow'!AA115</f>
        <v>0</v>
      </c>
      <c r="AF21" s="727">
        <f>'Cash Flow'!AB115</f>
        <v>0</v>
      </c>
      <c r="AG21" s="727">
        <f>'Cash Flow'!AC115</f>
        <v>0</v>
      </c>
      <c r="AH21" s="727">
        <f>'Cash Flow'!AD115</f>
        <v>0</v>
      </c>
      <c r="AI21" s="727">
        <f>'Cash Flow'!AE115</f>
        <v>0</v>
      </c>
      <c r="AJ21" s="727">
        <f>'Cash Flow'!AF115</f>
        <v>0</v>
      </c>
      <c r="AK21" s="727">
        <f>'Cash Flow'!AG115</f>
        <v>0</v>
      </c>
      <c r="AL21" s="727">
        <f>'Cash Flow'!AH115</f>
        <v>0</v>
      </c>
      <c r="AM21" s="727">
        <f>'Cash Flow'!AI115</f>
        <v>0</v>
      </c>
      <c r="AN21" s="727">
        <f>'Cash Flow'!AJ115</f>
        <v>0</v>
      </c>
      <c r="AO21" s="727">
        <f>'Cash Flow'!AK115</f>
        <v>0</v>
      </c>
      <c r="AP21" s="727">
        <f>'Cash Flow'!AL115</f>
        <v>0</v>
      </c>
      <c r="AQ21" s="727">
        <f>'Cash Flow'!AM115</f>
        <v>0</v>
      </c>
      <c r="AR21" s="727">
        <f>'Cash Flow'!AN115</f>
        <v>0</v>
      </c>
      <c r="AS21" s="727">
        <f>'Cash Flow'!AO115</f>
        <v>0</v>
      </c>
      <c r="AT21" s="727">
        <f>'Cash Flow'!AP115</f>
        <v>0</v>
      </c>
      <c r="AU21" s="727">
        <f>'Cash Flow'!AQ115</f>
        <v>0</v>
      </c>
      <c r="AV21" s="727">
        <f>'Cash Flow'!AR115</f>
        <v>0</v>
      </c>
      <c r="AW21" s="727">
        <f>'Cash Flow'!AS115</f>
        <v>0</v>
      </c>
      <c r="AX21" s="727">
        <f>'Cash Flow'!AT115</f>
        <v>0</v>
      </c>
      <c r="AY21" s="727">
        <f>'Cash Flow'!AU115</f>
        <v>0</v>
      </c>
      <c r="AZ21" s="727">
        <f>'Cash Flow'!AV115</f>
        <v>0</v>
      </c>
      <c r="BA21" s="727">
        <f>'Cash Flow'!AW115</f>
        <v>0</v>
      </c>
      <c r="BB21" s="727">
        <f>'Cash Flow'!AX115</f>
        <v>0</v>
      </c>
      <c r="BC21" s="727">
        <f>'Cash Flow'!AY115</f>
        <v>0</v>
      </c>
      <c r="BD21" s="727">
        <f>'Cash Flow'!AZ115</f>
        <v>91571646.265065283</v>
      </c>
      <c r="BE21" s="727">
        <f>'Cash Flow'!BA115</f>
        <v>0</v>
      </c>
      <c r="BF21" s="727">
        <f>'Cash Flow'!BB115</f>
        <v>0</v>
      </c>
      <c r="BG21" s="727">
        <f>'Cash Flow'!BC115</f>
        <v>0</v>
      </c>
      <c r="BH21" s="727">
        <f>'Cash Flow'!BD115</f>
        <v>0</v>
      </c>
      <c r="BI21" s="727">
        <f>'Cash Flow'!BE115</f>
        <v>0</v>
      </c>
      <c r="BJ21" s="727">
        <f>'Cash Flow'!BF115</f>
        <v>0</v>
      </c>
      <c r="BK21" s="727">
        <f>'Cash Flow'!BG115</f>
        <v>0</v>
      </c>
      <c r="BL21" s="727">
        <f>'Cash Flow'!BH115</f>
        <v>0</v>
      </c>
      <c r="BM21" s="727">
        <f>'Cash Flow'!BI115</f>
        <v>0</v>
      </c>
      <c r="BN21" s="727">
        <f>'Cash Flow'!BJ115</f>
        <v>0</v>
      </c>
      <c r="BO21" s="727">
        <f>'Cash Flow'!BK115</f>
        <v>0</v>
      </c>
      <c r="BP21" s="727">
        <f>'Cash Flow'!BL115</f>
        <v>0</v>
      </c>
      <c r="BQ21" s="727">
        <f>'Cash Flow'!BM115</f>
        <v>0</v>
      </c>
      <c r="BR21" s="727">
        <f>'Cash Flow'!BN115</f>
        <v>0</v>
      </c>
      <c r="BS21" s="727">
        <f>'Cash Flow'!BO115</f>
        <v>0</v>
      </c>
      <c r="BT21" s="727">
        <f>'Cash Flow'!BP115</f>
        <v>0</v>
      </c>
      <c r="BU21" s="727">
        <f>'Cash Flow'!BQ115</f>
        <v>0</v>
      </c>
      <c r="BV21" s="727">
        <f>'Cash Flow'!BR115</f>
        <v>0</v>
      </c>
      <c r="BW21" s="727">
        <f>'Cash Flow'!BS115</f>
        <v>0</v>
      </c>
      <c r="BX21" s="727">
        <f>'Cash Flow'!BT115</f>
        <v>0</v>
      </c>
      <c r="BY21" s="727">
        <f>'Cash Flow'!BU115</f>
        <v>0</v>
      </c>
      <c r="BZ21" s="727">
        <f>'Cash Flow'!BV115</f>
        <v>0</v>
      </c>
      <c r="CA21" s="727">
        <f>'Cash Flow'!BW115</f>
        <v>0</v>
      </c>
      <c r="CB21" s="727">
        <f>'Cash Flow'!BX115</f>
        <v>0</v>
      </c>
      <c r="CC21" s="727">
        <f>'Cash Flow'!BY115</f>
        <v>0</v>
      </c>
      <c r="CD21" s="727">
        <f>'Cash Flow'!BZ115</f>
        <v>0</v>
      </c>
      <c r="CE21" s="727">
        <f>'Cash Flow'!CA115</f>
        <v>0</v>
      </c>
      <c r="CF21" s="727">
        <f>'Cash Flow'!CB115</f>
        <v>0</v>
      </c>
      <c r="CG21" s="727">
        <f>'Cash Flow'!CC115</f>
        <v>0</v>
      </c>
      <c r="CH21" s="727">
        <f>'Cash Flow'!CD115</f>
        <v>0</v>
      </c>
      <c r="CI21" s="727">
        <f>'Cash Flow'!CE115</f>
        <v>0</v>
      </c>
      <c r="CJ21" s="727">
        <f>'Cash Flow'!CF115</f>
        <v>0</v>
      </c>
      <c r="CK21" s="727">
        <f>'Cash Flow'!CG115</f>
        <v>0</v>
      </c>
      <c r="CL21" s="727">
        <f>'Cash Flow'!CH115</f>
        <v>0</v>
      </c>
      <c r="CM21" s="727">
        <f>'Cash Flow'!CI115</f>
        <v>0</v>
      </c>
      <c r="CN21" s="727">
        <f>'Cash Flow'!CJ115</f>
        <v>0</v>
      </c>
      <c r="CO21" s="727">
        <f>'Cash Flow'!CK115</f>
        <v>0</v>
      </c>
      <c r="CP21" s="727">
        <f>'Cash Flow'!CL115</f>
        <v>0</v>
      </c>
      <c r="CQ21" s="727">
        <f>'Cash Flow'!CM115</f>
        <v>0</v>
      </c>
      <c r="CR21" s="727">
        <f>'Cash Flow'!CN115</f>
        <v>0</v>
      </c>
      <c r="CS21" s="727">
        <f>'Cash Flow'!CO115</f>
        <v>0</v>
      </c>
      <c r="CT21" s="727">
        <f>'Cash Flow'!CP115</f>
        <v>0</v>
      </c>
      <c r="CU21" s="727">
        <f>'Cash Flow'!CQ115</f>
        <v>0</v>
      </c>
      <c r="CV21" s="727">
        <f>'Cash Flow'!CR115</f>
        <v>0</v>
      </c>
      <c r="CW21" s="727">
        <f>'Cash Flow'!CS115</f>
        <v>0</v>
      </c>
      <c r="CX21" s="727">
        <f>'Cash Flow'!CT115</f>
        <v>0</v>
      </c>
      <c r="CY21" s="727">
        <f>'Cash Flow'!CU115</f>
        <v>0</v>
      </c>
      <c r="CZ21" s="727">
        <f>'Cash Flow'!CV115</f>
        <v>0</v>
      </c>
      <c r="DA21" s="727">
        <f>'Cash Flow'!CW115</f>
        <v>0</v>
      </c>
      <c r="DB21" s="727">
        <f>'Cash Flow'!CX115</f>
        <v>0</v>
      </c>
      <c r="DC21" s="727">
        <f>'Cash Flow'!CY115</f>
        <v>0</v>
      </c>
      <c r="DD21" s="727">
        <f>'Cash Flow'!CZ115</f>
        <v>0</v>
      </c>
      <c r="DE21" s="727">
        <f>'Cash Flow'!DA115</f>
        <v>0</v>
      </c>
      <c r="DF21" s="727">
        <f>'Cash Flow'!DB115</f>
        <v>0</v>
      </c>
      <c r="DG21" s="727">
        <f>'Cash Flow'!DC115</f>
        <v>0</v>
      </c>
      <c r="DH21" s="727">
        <f>'Cash Flow'!DD115</f>
        <v>0</v>
      </c>
      <c r="DI21" s="727">
        <f>'Cash Flow'!DE115</f>
        <v>0</v>
      </c>
      <c r="DJ21" s="727">
        <f>'Cash Flow'!DF115</f>
        <v>0</v>
      </c>
      <c r="DK21" s="727">
        <f>'Cash Flow'!DG115</f>
        <v>0</v>
      </c>
      <c r="DL21" s="727">
        <f>'Cash Flow'!DH115</f>
        <v>0</v>
      </c>
      <c r="DM21" s="727">
        <f>'Cash Flow'!DI115</f>
        <v>0</v>
      </c>
      <c r="DN21" s="727">
        <f>'Cash Flow'!DJ115</f>
        <v>0</v>
      </c>
      <c r="DO21" s="727">
        <f>'Cash Flow'!DK115</f>
        <v>0</v>
      </c>
      <c r="DP21" s="727">
        <f>'Cash Flow'!DL115</f>
        <v>0</v>
      </c>
      <c r="DQ21" s="727">
        <f>'Cash Flow'!DM115</f>
        <v>0</v>
      </c>
      <c r="DR21" s="727">
        <f>'Cash Flow'!DN115</f>
        <v>0</v>
      </c>
      <c r="DS21" s="727">
        <f>'Cash Flow'!DO115</f>
        <v>0</v>
      </c>
      <c r="DT21" s="727">
        <f>'Cash Flow'!DP115</f>
        <v>0</v>
      </c>
      <c r="DU21" s="727">
        <f>'Cash Flow'!DQ115</f>
        <v>0</v>
      </c>
      <c r="DV21" s="727">
        <f>'Cash Flow'!DR115</f>
        <v>0</v>
      </c>
      <c r="DW21" s="727">
        <f>'Cash Flow'!DS115</f>
        <v>0</v>
      </c>
      <c r="DX21" s="727">
        <f>'Cash Flow'!DT115</f>
        <v>0</v>
      </c>
      <c r="DY21" s="727">
        <f>'Cash Flow'!DU115</f>
        <v>0</v>
      </c>
      <c r="DZ21" s="727">
        <f>'Cash Flow'!DV115</f>
        <v>0</v>
      </c>
      <c r="EA21" s="727">
        <f>'Cash Flow'!DW115</f>
        <v>0</v>
      </c>
      <c r="EB21" s="727">
        <f>'Cash Flow'!DX115</f>
        <v>0</v>
      </c>
      <c r="EC21" s="727">
        <f>'Cash Flow'!DY115</f>
        <v>0</v>
      </c>
      <c r="ED21" s="727">
        <f>'Cash Flow'!DZ115</f>
        <v>0</v>
      </c>
      <c r="EE21" s="727">
        <f>'Cash Flow'!EA115</f>
        <v>0</v>
      </c>
      <c r="EF21" s="727">
        <f>'Cash Flow'!EB115</f>
        <v>0</v>
      </c>
      <c r="EG21" s="727">
        <f>'Cash Flow'!EC115</f>
        <v>0</v>
      </c>
      <c r="EH21" s="727">
        <f>'Cash Flow'!ED115</f>
        <v>0</v>
      </c>
      <c r="EI21" s="727">
        <f>'Cash Flow'!EE115</f>
        <v>0</v>
      </c>
      <c r="EJ21" s="727">
        <f>'Cash Flow'!EF115</f>
        <v>0</v>
      </c>
      <c r="EK21" s="727">
        <f>'Cash Flow'!EG115</f>
        <v>0</v>
      </c>
      <c r="EL21" s="727">
        <f>'Cash Flow'!EH115</f>
        <v>0</v>
      </c>
      <c r="EM21" s="727">
        <f>'Cash Flow'!EI115</f>
        <v>0</v>
      </c>
      <c r="EN21" s="727">
        <f>'Cash Flow'!EJ115</f>
        <v>0</v>
      </c>
      <c r="EO21" s="727">
        <f>'Cash Flow'!EK115</f>
        <v>0</v>
      </c>
      <c r="EP21" s="727">
        <f>'Cash Flow'!EL115</f>
        <v>0</v>
      </c>
      <c r="EQ21" s="727">
        <f>'Cash Flow'!EM115</f>
        <v>0</v>
      </c>
      <c r="ER21" s="727">
        <f>'Cash Flow'!EN115</f>
        <v>0</v>
      </c>
      <c r="ES21" s="727">
        <f>'Cash Flow'!EO115</f>
        <v>0</v>
      </c>
      <c r="ET21" s="727">
        <f>'Cash Flow'!EP115</f>
        <v>0</v>
      </c>
      <c r="EU21" s="727">
        <f>'Cash Flow'!EQ115</f>
        <v>0</v>
      </c>
      <c r="EV21" s="727">
        <f>'Cash Flow'!ER115</f>
        <v>0</v>
      </c>
      <c r="EW21" s="727">
        <f>'Cash Flow'!ES115</f>
        <v>0</v>
      </c>
      <c r="EX21" s="727">
        <f>'Cash Flow'!ET115</f>
        <v>0</v>
      </c>
      <c r="EY21" s="727">
        <f>'Cash Flow'!EU115</f>
        <v>0</v>
      </c>
      <c r="EZ21" s="727">
        <f>'Cash Flow'!EV115</f>
        <v>0</v>
      </c>
      <c r="FA21" s="727">
        <f>'Cash Flow'!EW115</f>
        <v>0</v>
      </c>
      <c r="FB21" s="727">
        <f>'Cash Flow'!EX115</f>
        <v>0</v>
      </c>
      <c r="FD21" s="728">
        <f t="shared" si="6"/>
        <v>91571646.265065283</v>
      </c>
    </row>
    <row r="22" spans="2:161" s="692" customFormat="1">
      <c r="B22" s="692" t="str">
        <f>'Cash Flow'!B116</f>
        <v>Permanent Loan Repayment</v>
      </c>
      <c r="C22" s="699"/>
      <c r="D22" s="699"/>
      <c r="E22" s="725"/>
      <c r="F22" s="699"/>
      <c r="G22" s="729"/>
      <c r="I22" s="727">
        <f>'Cash Flow'!E116</f>
        <v>0</v>
      </c>
      <c r="J22" s="727">
        <f>'Cash Flow'!F116</f>
        <v>0</v>
      </c>
      <c r="K22" s="727">
        <f>'Cash Flow'!G116</f>
        <v>0</v>
      </c>
      <c r="L22" s="727">
        <f>'Cash Flow'!H116</f>
        <v>0</v>
      </c>
      <c r="M22" s="727">
        <f>'Cash Flow'!I116</f>
        <v>0</v>
      </c>
      <c r="N22" s="727">
        <f>'Cash Flow'!J116</f>
        <v>0</v>
      </c>
      <c r="O22" s="727">
        <f>'Cash Flow'!K116</f>
        <v>0</v>
      </c>
      <c r="P22" s="727">
        <f>'Cash Flow'!L116</f>
        <v>0</v>
      </c>
      <c r="Q22" s="727">
        <f>'Cash Flow'!M116</f>
        <v>0</v>
      </c>
      <c r="R22" s="727">
        <f>'Cash Flow'!N116</f>
        <v>0</v>
      </c>
      <c r="S22" s="727">
        <f>'Cash Flow'!O116</f>
        <v>0</v>
      </c>
      <c r="T22" s="727">
        <f>'Cash Flow'!P116</f>
        <v>0</v>
      </c>
      <c r="U22" s="727">
        <f>'Cash Flow'!Q116</f>
        <v>0</v>
      </c>
      <c r="V22" s="727">
        <f>'Cash Flow'!R116</f>
        <v>0</v>
      </c>
      <c r="W22" s="727">
        <f>'Cash Flow'!S116</f>
        <v>0</v>
      </c>
      <c r="X22" s="727">
        <f>'Cash Flow'!T116</f>
        <v>0</v>
      </c>
      <c r="Y22" s="727">
        <f>'Cash Flow'!U116</f>
        <v>0</v>
      </c>
      <c r="Z22" s="727">
        <f>'Cash Flow'!V116</f>
        <v>0</v>
      </c>
      <c r="AA22" s="727">
        <f>'Cash Flow'!W116</f>
        <v>0</v>
      </c>
      <c r="AB22" s="727">
        <f>'Cash Flow'!X116</f>
        <v>0</v>
      </c>
      <c r="AC22" s="727">
        <f>'Cash Flow'!Y116</f>
        <v>0</v>
      </c>
      <c r="AD22" s="727">
        <f>'Cash Flow'!Z116</f>
        <v>0</v>
      </c>
      <c r="AE22" s="727">
        <f>'Cash Flow'!AA116</f>
        <v>0</v>
      </c>
      <c r="AF22" s="727">
        <f>'Cash Flow'!AB116</f>
        <v>0</v>
      </c>
      <c r="AG22" s="727">
        <f>'Cash Flow'!AC116</f>
        <v>0</v>
      </c>
      <c r="AH22" s="727">
        <f>'Cash Flow'!AD116</f>
        <v>0</v>
      </c>
      <c r="AI22" s="727">
        <f>'Cash Flow'!AE116</f>
        <v>0</v>
      </c>
      <c r="AJ22" s="727">
        <f>'Cash Flow'!AF116</f>
        <v>0</v>
      </c>
      <c r="AK22" s="727">
        <f>'Cash Flow'!AG116</f>
        <v>0</v>
      </c>
      <c r="AL22" s="727">
        <f>'Cash Flow'!AH116</f>
        <v>0</v>
      </c>
      <c r="AM22" s="727">
        <f>'Cash Flow'!AI116</f>
        <v>0</v>
      </c>
      <c r="AN22" s="727">
        <f>'Cash Flow'!AJ116</f>
        <v>0</v>
      </c>
      <c r="AO22" s="727">
        <f>'Cash Flow'!AK116</f>
        <v>0</v>
      </c>
      <c r="AP22" s="727">
        <f>'Cash Flow'!AL116</f>
        <v>0</v>
      </c>
      <c r="AQ22" s="727">
        <f>'Cash Flow'!AM116</f>
        <v>0</v>
      </c>
      <c r="AR22" s="727">
        <f>'Cash Flow'!AN116</f>
        <v>0</v>
      </c>
      <c r="AS22" s="727">
        <f>'Cash Flow'!AO116</f>
        <v>0</v>
      </c>
      <c r="AT22" s="727">
        <f>'Cash Flow'!AP116</f>
        <v>0</v>
      </c>
      <c r="AU22" s="727">
        <f>'Cash Flow'!AQ116</f>
        <v>0</v>
      </c>
      <c r="AV22" s="727">
        <f>'Cash Flow'!AR116</f>
        <v>0</v>
      </c>
      <c r="AW22" s="727">
        <f>'Cash Flow'!AS116</f>
        <v>0</v>
      </c>
      <c r="AX22" s="727">
        <f>'Cash Flow'!AT116</f>
        <v>0</v>
      </c>
      <c r="AY22" s="727">
        <f>'Cash Flow'!AU116</f>
        <v>0</v>
      </c>
      <c r="AZ22" s="727">
        <f>'Cash Flow'!AV116</f>
        <v>0</v>
      </c>
      <c r="BA22" s="727">
        <f>'Cash Flow'!AW116</f>
        <v>0</v>
      </c>
      <c r="BB22" s="727">
        <f>'Cash Flow'!AX116</f>
        <v>0</v>
      </c>
      <c r="BC22" s="727">
        <f>'Cash Flow'!AY116</f>
        <v>0</v>
      </c>
      <c r="BD22" s="727">
        <f>'Cash Flow'!AZ116</f>
        <v>0</v>
      </c>
      <c r="BE22" s="727">
        <f>'Cash Flow'!BA116</f>
        <v>0</v>
      </c>
      <c r="BF22" s="727">
        <f>'Cash Flow'!BB116</f>
        <v>0</v>
      </c>
      <c r="BG22" s="727">
        <f>'Cash Flow'!BC116</f>
        <v>0</v>
      </c>
      <c r="BH22" s="727">
        <f>'Cash Flow'!BD116</f>
        <v>0</v>
      </c>
      <c r="BI22" s="727">
        <f>'Cash Flow'!BE116</f>
        <v>0</v>
      </c>
      <c r="BJ22" s="727">
        <f>'Cash Flow'!BF116</f>
        <v>0</v>
      </c>
      <c r="BK22" s="727">
        <f>'Cash Flow'!BG116</f>
        <v>0</v>
      </c>
      <c r="BL22" s="727">
        <f>'Cash Flow'!BH116</f>
        <v>0</v>
      </c>
      <c r="BM22" s="727">
        <f>'Cash Flow'!BI116</f>
        <v>0</v>
      </c>
      <c r="BN22" s="727">
        <f>'Cash Flow'!BJ116</f>
        <v>0</v>
      </c>
      <c r="BO22" s="727">
        <f>'Cash Flow'!BK116</f>
        <v>0</v>
      </c>
      <c r="BP22" s="727">
        <f>'Cash Flow'!BL116</f>
        <v>0</v>
      </c>
      <c r="BQ22" s="727">
        <f>'Cash Flow'!BM116</f>
        <v>0</v>
      </c>
      <c r="BR22" s="727">
        <f>'Cash Flow'!BN116</f>
        <v>0</v>
      </c>
      <c r="BS22" s="727">
        <f>'Cash Flow'!BO116</f>
        <v>0</v>
      </c>
      <c r="BT22" s="727">
        <f>'Cash Flow'!BP116</f>
        <v>0</v>
      </c>
      <c r="BU22" s="727">
        <f>'Cash Flow'!BQ116</f>
        <v>0</v>
      </c>
      <c r="BV22" s="727">
        <f>'Cash Flow'!BR116</f>
        <v>0</v>
      </c>
      <c r="BW22" s="727">
        <f>'Cash Flow'!BS116</f>
        <v>0</v>
      </c>
      <c r="BX22" s="727">
        <f>'Cash Flow'!BT116</f>
        <v>0</v>
      </c>
      <c r="BY22" s="727">
        <f>'Cash Flow'!BU116</f>
        <v>0</v>
      </c>
      <c r="BZ22" s="727">
        <f>'Cash Flow'!BV116</f>
        <v>0</v>
      </c>
      <c r="CA22" s="727">
        <f>'Cash Flow'!BW116</f>
        <v>0</v>
      </c>
      <c r="CB22" s="727">
        <f>'Cash Flow'!BX116</f>
        <v>0</v>
      </c>
      <c r="CC22" s="727">
        <f>'Cash Flow'!BY116</f>
        <v>0</v>
      </c>
      <c r="CD22" s="727">
        <f>'Cash Flow'!BZ116</f>
        <v>0</v>
      </c>
      <c r="CE22" s="727">
        <f>'Cash Flow'!CA116</f>
        <v>0</v>
      </c>
      <c r="CF22" s="727">
        <f>'Cash Flow'!CB116</f>
        <v>0</v>
      </c>
      <c r="CG22" s="727">
        <f>'Cash Flow'!CC116</f>
        <v>0</v>
      </c>
      <c r="CH22" s="727">
        <f>'Cash Flow'!CD116</f>
        <v>0</v>
      </c>
      <c r="CI22" s="727">
        <f>'Cash Flow'!CE116</f>
        <v>0</v>
      </c>
      <c r="CJ22" s="727">
        <f>'Cash Flow'!CF116</f>
        <v>0</v>
      </c>
      <c r="CK22" s="727">
        <f>'Cash Flow'!CG116</f>
        <v>0</v>
      </c>
      <c r="CL22" s="727">
        <f>'Cash Flow'!CH116</f>
        <v>0</v>
      </c>
      <c r="CM22" s="727">
        <f>'Cash Flow'!CI116</f>
        <v>0</v>
      </c>
      <c r="CN22" s="727">
        <f>'Cash Flow'!CJ116</f>
        <v>0</v>
      </c>
      <c r="CO22" s="727">
        <f>'Cash Flow'!CK116</f>
        <v>0</v>
      </c>
      <c r="CP22" s="727">
        <f>'Cash Flow'!CL116</f>
        <v>0</v>
      </c>
      <c r="CQ22" s="727">
        <f>'Cash Flow'!CM116</f>
        <v>0</v>
      </c>
      <c r="CR22" s="727">
        <f>'Cash Flow'!CN116</f>
        <v>0</v>
      </c>
      <c r="CS22" s="727">
        <f>'Cash Flow'!CO116</f>
        <v>0</v>
      </c>
      <c r="CT22" s="727">
        <f>'Cash Flow'!CP116</f>
        <v>0</v>
      </c>
      <c r="CU22" s="727">
        <f>'Cash Flow'!CQ116</f>
        <v>0</v>
      </c>
      <c r="CV22" s="727">
        <f>'Cash Flow'!CR116</f>
        <v>0</v>
      </c>
      <c r="CW22" s="727">
        <f>'Cash Flow'!CS116</f>
        <v>0</v>
      </c>
      <c r="CX22" s="727">
        <f>'Cash Flow'!CT116</f>
        <v>0</v>
      </c>
      <c r="CY22" s="727">
        <f>'Cash Flow'!CU116</f>
        <v>0</v>
      </c>
      <c r="CZ22" s="727">
        <f>'Cash Flow'!CV116</f>
        <v>0</v>
      </c>
      <c r="DA22" s="727">
        <f>'Cash Flow'!CW116</f>
        <v>0</v>
      </c>
      <c r="DB22" s="727">
        <f>'Cash Flow'!CX116</f>
        <v>0</v>
      </c>
      <c r="DC22" s="727">
        <f>'Cash Flow'!CY116</f>
        <v>0</v>
      </c>
      <c r="DD22" s="727">
        <f>'Cash Flow'!CZ116</f>
        <v>0</v>
      </c>
      <c r="DE22" s="727">
        <f>'Cash Flow'!DA116</f>
        <v>0</v>
      </c>
      <c r="DF22" s="727">
        <f>'Cash Flow'!DB116</f>
        <v>0</v>
      </c>
      <c r="DG22" s="727">
        <f>'Cash Flow'!DC116</f>
        <v>0</v>
      </c>
      <c r="DH22" s="727">
        <f>'Cash Flow'!DD116</f>
        <v>0</v>
      </c>
      <c r="DI22" s="727">
        <f>'Cash Flow'!DE116</f>
        <v>0</v>
      </c>
      <c r="DJ22" s="727">
        <f>'Cash Flow'!DF116</f>
        <v>0</v>
      </c>
      <c r="DK22" s="727">
        <f>'Cash Flow'!DG116</f>
        <v>0</v>
      </c>
      <c r="DL22" s="727">
        <f>'Cash Flow'!DH116</f>
        <v>0</v>
      </c>
      <c r="DM22" s="727">
        <f>'Cash Flow'!DI116</f>
        <v>0</v>
      </c>
      <c r="DN22" s="727">
        <f>'Cash Flow'!DJ116</f>
        <v>0</v>
      </c>
      <c r="DO22" s="727">
        <f>'Cash Flow'!DK116</f>
        <v>0</v>
      </c>
      <c r="DP22" s="727">
        <f>'Cash Flow'!DL116</f>
        <v>0</v>
      </c>
      <c r="DQ22" s="727">
        <f>'Cash Flow'!DM116</f>
        <v>0</v>
      </c>
      <c r="DR22" s="727">
        <f>'Cash Flow'!DN116</f>
        <v>0</v>
      </c>
      <c r="DS22" s="727">
        <f>'Cash Flow'!DO116</f>
        <v>0</v>
      </c>
      <c r="DT22" s="727">
        <f>'Cash Flow'!DP116</f>
        <v>0</v>
      </c>
      <c r="DU22" s="727">
        <f>'Cash Flow'!DQ116</f>
        <v>0</v>
      </c>
      <c r="DV22" s="727">
        <f>'Cash Flow'!DR116</f>
        <v>0</v>
      </c>
      <c r="DW22" s="727">
        <f>'Cash Flow'!DS116</f>
        <v>0</v>
      </c>
      <c r="DX22" s="727">
        <f>'Cash Flow'!DT116</f>
        <v>0</v>
      </c>
      <c r="DY22" s="727">
        <f>'Cash Flow'!DU116</f>
        <v>0</v>
      </c>
      <c r="DZ22" s="727">
        <f>'Cash Flow'!DV116</f>
        <v>0</v>
      </c>
      <c r="EA22" s="727">
        <f>'Cash Flow'!DW116</f>
        <v>0</v>
      </c>
      <c r="EB22" s="727">
        <f>'Cash Flow'!DX116</f>
        <v>0</v>
      </c>
      <c r="EC22" s="727">
        <f>'Cash Flow'!DY116</f>
        <v>0</v>
      </c>
      <c r="ED22" s="727">
        <f>'Cash Flow'!DZ116</f>
        <v>0</v>
      </c>
      <c r="EE22" s="727">
        <f>'Cash Flow'!EA116</f>
        <v>0</v>
      </c>
      <c r="EF22" s="727">
        <f>'Cash Flow'!EB116</f>
        <v>0</v>
      </c>
      <c r="EG22" s="727">
        <f>'Cash Flow'!EC116</f>
        <v>0</v>
      </c>
      <c r="EH22" s="727">
        <f>'Cash Flow'!ED116</f>
        <v>0</v>
      </c>
      <c r="EI22" s="727">
        <f>'Cash Flow'!EE116</f>
        <v>0</v>
      </c>
      <c r="EJ22" s="727">
        <f>'Cash Flow'!EF116</f>
        <v>0</v>
      </c>
      <c r="EK22" s="727">
        <f>'Cash Flow'!EG116</f>
        <v>0</v>
      </c>
      <c r="EL22" s="727">
        <f>'Cash Flow'!EH116</f>
        <v>0</v>
      </c>
      <c r="EM22" s="727">
        <f>'Cash Flow'!EI116</f>
        <v>0</v>
      </c>
      <c r="EN22" s="727">
        <f>'Cash Flow'!EJ116</f>
        <v>0</v>
      </c>
      <c r="EO22" s="727">
        <f>'Cash Flow'!EK116</f>
        <v>0</v>
      </c>
      <c r="EP22" s="727">
        <f>'Cash Flow'!EL116</f>
        <v>0</v>
      </c>
      <c r="EQ22" s="727">
        <f>'Cash Flow'!EM116</f>
        <v>0</v>
      </c>
      <c r="ER22" s="727">
        <f>'Cash Flow'!EN116</f>
        <v>0</v>
      </c>
      <c r="ES22" s="727">
        <f>'Cash Flow'!EO116</f>
        <v>0</v>
      </c>
      <c r="ET22" s="727">
        <f>'Cash Flow'!EP116</f>
        <v>0</v>
      </c>
      <c r="EU22" s="727">
        <f>'Cash Flow'!EQ116</f>
        <v>0</v>
      </c>
      <c r="EV22" s="727">
        <f>'Cash Flow'!ER116</f>
        <v>0</v>
      </c>
      <c r="EW22" s="727">
        <f>'Cash Flow'!ES116</f>
        <v>0</v>
      </c>
      <c r="EX22" s="727">
        <f>'Cash Flow'!ET116</f>
        <v>0</v>
      </c>
      <c r="EY22" s="727">
        <f>'Cash Flow'!EU116</f>
        <v>0</v>
      </c>
      <c r="EZ22" s="727">
        <f>'Cash Flow'!EV116</f>
        <v>0</v>
      </c>
      <c r="FA22" s="727">
        <f>'Cash Flow'!EW116</f>
        <v>0</v>
      </c>
      <c r="FB22" s="727">
        <f>'Cash Flow'!EX116</f>
        <v>0</v>
      </c>
      <c r="FD22" s="728">
        <f t="shared" si="6"/>
        <v>0</v>
      </c>
    </row>
    <row r="23" spans="2:161" s="692" customFormat="1">
      <c r="B23" s="692" t="str">
        <f>'Cash Flow'!B117</f>
        <v>CF After Debt Service</v>
      </c>
      <c r="C23" s="699"/>
      <c r="D23" s="699"/>
      <c r="E23" s="725"/>
      <c r="F23" s="699"/>
      <c r="G23" s="729"/>
      <c r="I23" s="727">
        <f>'Cash Flow'!E117</f>
        <v>60358.090459548665</v>
      </c>
      <c r="J23" s="727">
        <f>'Cash Flow'!F117</f>
        <v>52248.378085041855</v>
      </c>
      <c r="K23" s="727">
        <f>'Cash Flow'!G117</f>
        <v>52453.132601852383</v>
      </c>
      <c r="L23" s="727">
        <f>'Cash Flow'!H117</f>
        <v>52055.327475223952</v>
      </c>
      <c r="M23" s="727">
        <f>'Cash Flow'!I117</f>
        <v>43925.130756638217</v>
      </c>
      <c r="N23" s="727">
        <f>'Cash Flow'!J117</f>
        <v>52431.611588304891</v>
      </c>
      <c r="O23" s="727">
        <f>'Cash Flow'!K117</f>
        <v>44288.871479473804</v>
      </c>
      <c r="P23" s="727">
        <f>'Cash Flow'!L117</f>
        <v>44150.745894091116</v>
      </c>
      <c r="Q23" s="727">
        <f>'Cash Flow'!M117</f>
        <v>69011.525563054631</v>
      </c>
      <c r="R23" s="727">
        <f>'Cash Flow'!N117</f>
        <v>43976.401704510703</v>
      </c>
      <c r="S23" s="727">
        <f>'Cash Flow'!O117</f>
        <v>52259.628806689492</v>
      </c>
      <c r="T23" s="727">
        <f>'Cash Flow'!P117</f>
        <v>43931.051225175412</v>
      </c>
      <c r="U23" s="727">
        <f>'Cash Flow'!Q117</f>
        <v>73419.685932164633</v>
      </c>
      <c r="V23" s="727">
        <f>'Cash Flow'!R117</f>
        <v>60212.279223237856</v>
      </c>
      <c r="W23" s="727">
        <f>'Cash Flow'!S117</f>
        <v>55656.937486443407</v>
      </c>
      <c r="X23" s="727">
        <f>'Cash Flow'!T117</f>
        <v>65196.079574831267</v>
      </c>
      <c r="Y23" s="727">
        <f>'Cash Flow'!U117</f>
        <v>67708.460962565063</v>
      </c>
      <c r="Z23" s="727">
        <f>'Cash Flow'!V117</f>
        <v>77453.928359410231</v>
      </c>
      <c r="AA23" s="727">
        <f>'Cash Flow'!W117</f>
        <v>70615.55603208908</v>
      </c>
      <c r="AB23" s="727">
        <f>'Cash Flow'!X117</f>
        <v>91232.142409103661</v>
      </c>
      <c r="AC23" s="727">
        <f>'Cash Flow'!Y117</f>
        <v>109261.06655539607</v>
      </c>
      <c r="AD23" s="727">
        <f>'Cash Flow'!Z117</f>
        <v>94315.834280997195</v>
      </c>
      <c r="AE23" s="727">
        <f>'Cash Flow'!AA117</f>
        <v>104357.85712078572</v>
      </c>
      <c r="AF23" s="727">
        <f>'Cash Flow'!AB117</f>
        <v>97749.834625190852</v>
      </c>
      <c r="AG23" s="727">
        <f>'Cash Flow'!AC117</f>
        <v>107769.6689900971</v>
      </c>
      <c r="AH23" s="727">
        <f>'Cash Flow'!AD117</f>
        <v>100417.64617236776</v>
      </c>
      <c r="AI23" s="727">
        <f>'Cash Flow'!AE117</f>
        <v>101754.47180674298</v>
      </c>
      <c r="AJ23" s="727">
        <f>'Cash Flow'!AF117</f>
        <v>111760.19672159452</v>
      </c>
      <c r="AK23" s="727">
        <f>'Cash Flow'!AG117</f>
        <v>105094.72318791444</v>
      </c>
      <c r="AL23" s="727">
        <f>'Cash Flow'!AH117</f>
        <v>115049.38924372799</v>
      </c>
      <c r="AM23" s="727">
        <f>'Cash Flow'!AI117</f>
        <v>108311.27521083484</v>
      </c>
      <c r="AN23" s="727">
        <f>'Cash Flow'!AJ117</f>
        <v>109846.08033182289</v>
      </c>
      <c r="AO23" s="727">
        <f>'Cash Flow'!AK117</f>
        <v>136108.60043032336</v>
      </c>
      <c r="AP23" s="727">
        <f>'Cash Flow'!AL117</f>
        <v>112287.43733377583</v>
      </c>
      <c r="AQ23" s="727">
        <f>'Cash Flow'!AM117</f>
        <v>121989.80158245491</v>
      </c>
      <c r="AR23" s="727">
        <f>'Cash Flow'!AN117</f>
        <v>115032.76004343168</v>
      </c>
      <c r="AS23" s="727">
        <f>'Cash Flow'!AO117</f>
        <v>124673.74039280156</v>
      </c>
      <c r="AT23" s="727">
        <f>'Cash Flow'!AP117</f>
        <v>117629.24165548748</v>
      </c>
      <c r="AU23" s="727">
        <f>'Cash Flow'!AQ117</f>
        <v>118323.45879980075</v>
      </c>
      <c r="AV23" s="727">
        <f>'Cash Flow'!AR117</f>
        <v>127610.72835044793</v>
      </c>
      <c r="AW23" s="727">
        <f>'Cash Flow'!AS117</f>
        <v>120516.11803272038</v>
      </c>
      <c r="AX23" s="727">
        <f>'Cash Flow'!AT117</f>
        <v>130052.57838772182</v>
      </c>
      <c r="AY23" s="727">
        <f>'Cash Flow'!AU117</f>
        <v>122947.69082828306</v>
      </c>
      <c r="AZ23" s="727">
        <f>'Cash Flow'!AV117</f>
        <v>124145.7100161064</v>
      </c>
      <c r="BA23" s="727">
        <f>'Cash Flow'!AW117</f>
        <v>150293.64168869078</v>
      </c>
      <c r="BB23" s="727">
        <f>'Cash Flow'!AX117</f>
        <v>126347.61360034774</v>
      </c>
      <c r="BC23" s="727">
        <f>'Cash Flow'!AY117</f>
        <v>135587.25106696974</v>
      </c>
      <c r="BD23" s="727">
        <f>'Cash Flow'!AZ117</f>
        <v>128410.89317186482</v>
      </c>
      <c r="BE23" s="727">
        <f>'Cash Flow'!BA117</f>
        <v>0</v>
      </c>
      <c r="BF23" s="727">
        <f>'Cash Flow'!BB117</f>
        <v>0</v>
      </c>
      <c r="BG23" s="727">
        <f>'Cash Flow'!BC117</f>
        <v>0</v>
      </c>
      <c r="BH23" s="727">
        <f>'Cash Flow'!BD117</f>
        <v>0</v>
      </c>
      <c r="BI23" s="727">
        <f>'Cash Flow'!BE117</f>
        <v>0</v>
      </c>
      <c r="BJ23" s="727">
        <f>'Cash Flow'!BF117</f>
        <v>0</v>
      </c>
      <c r="BK23" s="727">
        <f>'Cash Flow'!BG117</f>
        <v>0</v>
      </c>
      <c r="BL23" s="727">
        <f>'Cash Flow'!BH117</f>
        <v>0</v>
      </c>
      <c r="BM23" s="727">
        <f>'Cash Flow'!BI117</f>
        <v>0</v>
      </c>
      <c r="BN23" s="727">
        <f>'Cash Flow'!BJ117</f>
        <v>0</v>
      </c>
      <c r="BO23" s="727">
        <f>'Cash Flow'!BK117</f>
        <v>0</v>
      </c>
      <c r="BP23" s="727">
        <f>'Cash Flow'!BL117</f>
        <v>0</v>
      </c>
      <c r="BQ23" s="727">
        <f>'Cash Flow'!BM117</f>
        <v>0</v>
      </c>
      <c r="BR23" s="727">
        <f>'Cash Flow'!BN117</f>
        <v>0</v>
      </c>
      <c r="BS23" s="727">
        <f>'Cash Flow'!BO117</f>
        <v>0</v>
      </c>
      <c r="BT23" s="727">
        <f>'Cash Flow'!BP117</f>
        <v>0</v>
      </c>
      <c r="BU23" s="727">
        <f>'Cash Flow'!BQ117</f>
        <v>0</v>
      </c>
      <c r="BV23" s="727">
        <f>'Cash Flow'!BR117</f>
        <v>0</v>
      </c>
      <c r="BW23" s="727">
        <f>'Cash Flow'!BS117</f>
        <v>0</v>
      </c>
      <c r="BX23" s="727">
        <f>'Cash Flow'!BT117</f>
        <v>0</v>
      </c>
      <c r="BY23" s="727">
        <f>'Cash Flow'!BU117</f>
        <v>0</v>
      </c>
      <c r="BZ23" s="727">
        <f>'Cash Flow'!BV117</f>
        <v>0</v>
      </c>
      <c r="CA23" s="727">
        <f>'Cash Flow'!BW117</f>
        <v>0</v>
      </c>
      <c r="CB23" s="727">
        <f>'Cash Flow'!BX117</f>
        <v>0</v>
      </c>
      <c r="CC23" s="727">
        <f>'Cash Flow'!BY117</f>
        <v>0</v>
      </c>
      <c r="CD23" s="727">
        <f>'Cash Flow'!BZ117</f>
        <v>0</v>
      </c>
      <c r="CE23" s="727">
        <f>'Cash Flow'!CA117</f>
        <v>0</v>
      </c>
      <c r="CF23" s="727">
        <f>'Cash Flow'!CB117</f>
        <v>0</v>
      </c>
      <c r="CG23" s="727">
        <f>'Cash Flow'!CC117</f>
        <v>0</v>
      </c>
      <c r="CH23" s="727">
        <f>'Cash Flow'!CD117</f>
        <v>0</v>
      </c>
      <c r="CI23" s="727">
        <f>'Cash Flow'!CE117</f>
        <v>0</v>
      </c>
      <c r="CJ23" s="727">
        <f>'Cash Flow'!CF117</f>
        <v>0</v>
      </c>
      <c r="CK23" s="727">
        <f>'Cash Flow'!CG117</f>
        <v>0</v>
      </c>
      <c r="CL23" s="727">
        <f>'Cash Flow'!CH117</f>
        <v>0</v>
      </c>
      <c r="CM23" s="727">
        <f>'Cash Flow'!CI117</f>
        <v>0</v>
      </c>
      <c r="CN23" s="727">
        <f>'Cash Flow'!CJ117</f>
        <v>0</v>
      </c>
      <c r="CO23" s="727">
        <f>'Cash Flow'!CK117</f>
        <v>0</v>
      </c>
      <c r="CP23" s="727">
        <f>'Cash Flow'!CL117</f>
        <v>0</v>
      </c>
      <c r="CQ23" s="727">
        <f>'Cash Flow'!CM117</f>
        <v>0</v>
      </c>
      <c r="CR23" s="727">
        <f>'Cash Flow'!CN117</f>
        <v>0</v>
      </c>
      <c r="CS23" s="727">
        <f>'Cash Flow'!CO117</f>
        <v>0</v>
      </c>
      <c r="CT23" s="727">
        <f>'Cash Flow'!CP117</f>
        <v>0</v>
      </c>
      <c r="CU23" s="727">
        <f>'Cash Flow'!CQ117</f>
        <v>0</v>
      </c>
      <c r="CV23" s="727">
        <f>'Cash Flow'!CR117</f>
        <v>0</v>
      </c>
      <c r="CW23" s="727">
        <f>'Cash Flow'!CS117</f>
        <v>0</v>
      </c>
      <c r="CX23" s="727">
        <f>'Cash Flow'!CT117</f>
        <v>0</v>
      </c>
      <c r="CY23" s="727">
        <f>'Cash Flow'!CU117</f>
        <v>0</v>
      </c>
      <c r="CZ23" s="727">
        <f>'Cash Flow'!CV117</f>
        <v>0</v>
      </c>
      <c r="DA23" s="727">
        <f>'Cash Flow'!CW117</f>
        <v>0</v>
      </c>
      <c r="DB23" s="727">
        <f>'Cash Flow'!CX117</f>
        <v>0</v>
      </c>
      <c r="DC23" s="727">
        <f>'Cash Flow'!CY117</f>
        <v>0</v>
      </c>
      <c r="DD23" s="727">
        <f>'Cash Flow'!CZ117</f>
        <v>0</v>
      </c>
      <c r="DE23" s="727">
        <f>'Cash Flow'!DA117</f>
        <v>0</v>
      </c>
      <c r="DF23" s="727">
        <f>'Cash Flow'!DB117</f>
        <v>0</v>
      </c>
      <c r="DG23" s="727">
        <f>'Cash Flow'!DC117</f>
        <v>0</v>
      </c>
      <c r="DH23" s="727">
        <f>'Cash Flow'!DD117</f>
        <v>0</v>
      </c>
      <c r="DI23" s="727">
        <f>'Cash Flow'!DE117</f>
        <v>0</v>
      </c>
      <c r="DJ23" s="727">
        <f>'Cash Flow'!DF117</f>
        <v>0</v>
      </c>
      <c r="DK23" s="727">
        <f>'Cash Flow'!DG117</f>
        <v>0</v>
      </c>
      <c r="DL23" s="727">
        <f>'Cash Flow'!DH117</f>
        <v>0</v>
      </c>
      <c r="DM23" s="727">
        <f>'Cash Flow'!DI117</f>
        <v>0</v>
      </c>
      <c r="DN23" s="727">
        <f>'Cash Flow'!DJ117</f>
        <v>0</v>
      </c>
      <c r="DO23" s="727">
        <f>'Cash Flow'!DK117</f>
        <v>0</v>
      </c>
      <c r="DP23" s="727">
        <f>'Cash Flow'!DL117</f>
        <v>0</v>
      </c>
      <c r="DQ23" s="727">
        <f>'Cash Flow'!DM117</f>
        <v>0</v>
      </c>
      <c r="DR23" s="727">
        <f>'Cash Flow'!DN117</f>
        <v>0</v>
      </c>
      <c r="DS23" s="727">
        <f>'Cash Flow'!DO117</f>
        <v>0</v>
      </c>
      <c r="DT23" s="727">
        <f>'Cash Flow'!DP117</f>
        <v>0</v>
      </c>
      <c r="DU23" s="727">
        <f>'Cash Flow'!DQ117</f>
        <v>0</v>
      </c>
      <c r="DV23" s="727">
        <f>'Cash Flow'!DR117</f>
        <v>0</v>
      </c>
      <c r="DW23" s="727">
        <f>'Cash Flow'!DS117</f>
        <v>0</v>
      </c>
      <c r="DX23" s="727">
        <f>'Cash Flow'!DT117</f>
        <v>0</v>
      </c>
      <c r="DY23" s="727">
        <f>'Cash Flow'!DU117</f>
        <v>0</v>
      </c>
      <c r="DZ23" s="727">
        <f>'Cash Flow'!DV117</f>
        <v>0</v>
      </c>
      <c r="EA23" s="727">
        <f>'Cash Flow'!DW117</f>
        <v>0</v>
      </c>
      <c r="EB23" s="727">
        <f>'Cash Flow'!DX117</f>
        <v>0</v>
      </c>
      <c r="EC23" s="727">
        <f>'Cash Flow'!DY117</f>
        <v>0</v>
      </c>
      <c r="ED23" s="727">
        <f>'Cash Flow'!DZ117</f>
        <v>0</v>
      </c>
      <c r="EE23" s="727">
        <f>'Cash Flow'!EA117</f>
        <v>0</v>
      </c>
      <c r="EF23" s="727">
        <f>'Cash Flow'!EB117</f>
        <v>0</v>
      </c>
      <c r="EG23" s="727">
        <f>'Cash Flow'!EC117</f>
        <v>0</v>
      </c>
      <c r="EH23" s="727">
        <f>'Cash Flow'!ED117</f>
        <v>0</v>
      </c>
      <c r="EI23" s="727">
        <f>'Cash Flow'!EE117</f>
        <v>0</v>
      </c>
      <c r="EJ23" s="727">
        <f>'Cash Flow'!EF117</f>
        <v>0</v>
      </c>
      <c r="EK23" s="727">
        <f>'Cash Flow'!EG117</f>
        <v>0</v>
      </c>
      <c r="EL23" s="727">
        <f>'Cash Flow'!EH117</f>
        <v>0</v>
      </c>
      <c r="EM23" s="727">
        <f>'Cash Flow'!EI117</f>
        <v>0</v>
      </c>
      <c r="EN23" s="727">
        <f>'Cash Flow'!EJ117</f>
        <v>0</v>
      </c>
      <c r="EO23" s="727">
        <f>'Cash Flow'!EK117</f>
        <v>0</v>
      </c>
      <c r="EP23" s="727">
        <f>'Cash Flow'!EL117</f>
        <v>0</v>
      </c>
      <c r="EQ23" s="727">
        <f>'Cash Flow'!EM117</f>
        <v>0</v>
      </c>
      <c r="ER23" s="727">
        <f>'Cash Flow'!EN117</f>
        <v>0</v>
      </c>
      <c r="ES23" s="727">
        <f>'Cash Flow'!EO117</f>
        <v>0</v>
      </c>
      <c r="ET23" s="727">
        <f>'Cash Flow'!EP117</f>
        <v>0</v>
      </c>
      <c r="EU23" s="727">
        <f>'Cash Flow'!EQ117</f>
        <v>0</v>
      </c>
      <c r="EV23" s="727">
        <f>'Cash Flow'!ER117</f>
        <v>0</v>
      </c>
      <c r="EW23" s="727">
        <f>'Cash Flow'!ES117</f>
        <v>0</v>
      </c>
      <c r="EX23" s="727">
        <f>'Cash Flow'!ET117</f>
        <v>0</v>
      </c>
      <c r="EY23" s="727">
        <f>'Cash Flow'!EU117</f>
        <v>0</v>
      </c>
      <c r="EZ23" s="727">
        <f>'Cash Flow'!EV117</f>
        <v>0</v>
      </c>
      <c r="FA23" s="727">
        <f>'Cash Flow'!EW117</f>
        <v>0</v>
      </c>
      <c r="FB23" s="727">
        <f>'Cash Flow'!EX117</f>
        <v>0</v>
      </c>
      <c r="FD23" s="728">
        <f t="shared" si="6"/>
        <v>4450230.2752481503</v>
      </c>
    </row>
    <row r="24" spans="2:161" s="692" customFormat="1">
      <c r="C24" s="699"/>
      <c r="D24" s="699"/>
      <c r="E24" s="725"/>
      <c r="F24" s="699"/>
      <c r="G24" s="729"/>
      <c r="I24" s="727">
        <v>0</v>
      </c>
      <c r="J24" s="727">
        <v>0</v>
      </c>
      <c r="K24" s="727">
        <v>0</v>
      </c>
      <c r="L24" s="727">
        <v>0</v>
      </c>
      <c r="M24" s="727">
        <v>0</v>
      </c>
      <c r="N24" s="727">
        <v>0</v>
      </c>
      <c r="O24" s="727">
        <v>0</v>
      </c>
      <c r="P24" s="727">
        <v>0</v>
      </c>
      <c r="Q24" s="727">
        <v>0</v>
      </c>
      <c r="R24" s="727">
        <v>0</v>
      </c>
      <c r="S24" s="727">
        <v>0</v>
      </c>
      <c r="T24" s="727">
        <v>0</v>
      </c>
      <c r="U24" s="727">
        <v>0</v>
      </c>
      <c r="V24" s="727">
        <v>0</v>
      </c>
      <c r="W24" s="727">
        <v>0</v>
      </c>
      <c r="X24" s="727">
        <v>0</v>
      </c>
      <c r="Y24" s="727">
        <v>0</v>
      </c>
      <c r="Z24" s="727">
        <v>0</v>
      </c>
      <c r="AA24" s="727">
        <v>0</v>
      </c>
      <c r="AB24" s="727">
        <v>0</v>
      </c>
      <c r="AC24" s="727">
        <v>0</v>
      </c>
      <c r="AD24" s="727">
        <v>0</v>
      </c>
      <c r="AE24" s="727">
        <v>0</v>
      </c>
      <c r="AF24" s="727">
        <v>0</v>
      </c>
      <c r="AG24" s="727">
        <v>0</v>
      </c>
      <c r="AH24" s="727">
        <v>0</v>
      </c>
      <c r="AI24" s="727">
        <v>0</v>
      </c>
      <c r="AJ24" s="727">
        <v>0</v>
      </c>
      <c r="AK24" s="727">
        <v>0</v>
      </c>
      <c r="AL24" s="727">
        <v>0</v>
      </c>
      <c r="AM24" s="727">
        <v>0</v>
      </c>
      <c r="AN24" s="727">
        <v>0</v>
      </c>
      <c r="AO24" s="727">
        <v>0</v>
      </c>
      <c r="AP24" s="727">
        <v>0</v>
      </c>
      <c r="AQ24" s="727">
        <v>0</v>
      </c>
      <c r="AR24" s="727">
        <v>0</v>
      </c>
      <c r="AS24" s="727">
        <v>0</v>
      </c>
      <c r="AT24" s="727">
        <v>0</v>
      </c>
      <c r="AU24" s="727">
        <v>0</v>
      </c>
      <c r="AV24" s="727">
        <v>0</v>
      </c>
      <c r="AW24" s="727">
        <v>0</v>
      </c>
      <c r="AX24" s="727">
        <v>0</v>
      </c>
      <c r="AY24" s="727">
        <v>0</v>
      </c>
      <c r="AZ24" s="727">
        <v>0</v>
      </c>
      <c r="BA24" s="727">
        <v>0</v>
      </c>
      <c r="BB24" s="727">
        <v>0</v>
      </c>
      <c r="BC24" s="727">
        <v>0</v>
      </c>
      <c r="BD24" s="727">
        <v>0</v>
      </c>
      <c r="BE24" s="727">
        <v>0</v>
      </c>
      <c r="BF24" s="727">
        <v>0</v>
      </c>
      <c r="BG24" s="727">
        <v>0</v>
      </c>
      <c r="BH24" s="727">
        <v>0</v>
      </c>
      <c r="BI24" s="727">
        <v>0</v>
      </c>
      <c r="BJ24" s="727">
        <v>0</v>
      </c>
      <c r="BK24" s="727">
        <v>0</v>
      </c>
      <c r="BL24" s="727">
        <v>0</v>
      </c>
      <c r="BM24" s="727">
        <v>0</v>
      </c>
      <c r="BN24" s="727">
        <v>0</v>
      </c>
      <c r="BO24" s="727">
        <v>0</v>
      </c>
      <c r="BP24" s="727">
        <v>0</v>
      </c>
      <c r="BQ24" s="727">
        <v>0</v>
      </c>
      <c r="BR24" s="727">
        <v>0</v>
      </c>
      <c r="BS24" s="727">
        <v>0</v>
      </c>
      <c r="BT24" s="727">
        <v>0</v>
      </c>
      <c r="BU24" s="727">
        <v>0</v>
      </c>
      <c r="BV24" s="727">
        <v>0</v>
      </c>
      <c r="BW24" s="727">
        <v>0</v>
      </c>
      <c r="BX24" s="727">
        <v>0</v>
      </c>
      <c r="BY24" s="727">
        <v>0</v>
      </c>
      <c r="BZ24" s="727">
        <v>0</v>
      </c>
      <c r="CA24" s="727">
        <v>0</v>
      </c>
      <c r="CB24" s="727">
        <v>0</v>
      </c>
      <c r="CC24" s="727">
        <v>0</v>
      </c>
      <c r="CD24" s="727">
        <v>0</v>
      </c>
      <c r="CE24" s="727">
        <v>0</v>
      </c>
      <c r="CF24" s="727">
        <v>0</v>
      </c>
      <c r="CG24" s="727">
        <v>0</v>
      </c>
      <c r="CH24" s="727">
        <v>0</v>
      </c>
      <c r="CI24" s="727">
        <v>0</v>
      </c>
      <c r="CJ24" s="727">
        <v>0</v>
      </c>
      <c r="CK24" s="727">
        <v>0</v>
      </c>
      <c r="CL24" s="727">
        <v>0</v>
      </c>
      <c r="CM24" s="727">
        <v>0</v>
      </c>
      <c r="CN24" s="727">
        <v>0</v>
      </c>
      <c r="CO24" s="727">
        <v>0</v>
      </c>
      <c r="CP24" s="727">
        <v>0</v>
      </c>
      <c r="CQ24" s="727">
        <v>0</v>
      </c>
      <c r="CR24" s="727">
        <v>0</v>
      </c>
      <c r="CS24" s="727">
        <v>0</v>
      </c>
      <c r="CT24" s="727">
        <v>0</v>
      </c>
      <c r="CU24" s="727">
        <v>0</v>
      </c>
      <c r="CV24" s="727">
        <v>0</v>
      </c>
      <c r="CW24" s="727">
        <v>0</v>
      </c>
      <c r="CX24" s="727">
        <v>0</v>
      </c>
      <c r="CY24" s="727">
        <v>0</v>
      </c>
      <c r="CZ24" s="727">
        <v>0</v>
      </c>
      <c r="DA24" s="727">
        <v>0</v>
      </c>
      <c r="DB24" s="727">
        <v>0</v>
      </c>
      <c r="DC24" s="727">
        <v>0</v>
      </c>
      <c r="DD24" s="727">
        <v>0</v>
      </c>
      <c r="DE24" s="727">
        <v>0</v>
      </c>
      <c r="DF24" s="727">
        <v>0</v>
      </c>
      <c r="DG24" s="727">
        <v>0</v>
      </c>
      <c r="DH24" s="727">
        <v>0</v>
      </c>
      <c r="DI24" s="727">
        <v>0</v>
      </c>
      <c r="DJ24" s="727">
        <v>0</v>
      </c>
      <c r="DK24" s="727">
        <v>0</v>
      </c>
      <c r="DL24" s="727">
        <v>0</v>
      </c>
      <c r="DM24" s="727">
        <v>0</v>
      </c>
      <c r="DN24" s="727">
        <v>0</v>
      </c>
      <c r="DO24" s="727">
        <v>0</v>
      </c>
      <c r="DP24" s="727">
        <v>0</v>
      </c>
      <c r="DQ24" s="727">
        <v>0</v>
      </c>
      <c r="DR24" s="727">
        <v>0</v>
      </c>
      <c r="DS24" s="727">
        <v>0</v>
      </c>
      <c r="DT24" s="727">
        <v>0</v>
      </c>
      <c r="DU24" s="727">
        <v>0</v>
      </c>
      <c r="DV24" s="727">
        <v>0</v>
      </c>
      <c r="DW24" s="727">
        <v>0</v>
      </c>
      <c r="DX24" s="727">
        <v>0</v>
      </c>
      <c r="DY24" s="727">
        <v>0</v>
      </c>
      <c r="DZ24" s="727">
        <v>0</v>
      </c>
      <c r="EA24" s="727">
        <v>0</v>
      </c>
      <c r="EB24" s="727">
        <v>0</v>
      </c>
      <c r="EC24" s="727">
        <v>0</v>
      </c>
      <c r="ED24" s="727">
        <v>0</v>
      </c>
      <c r="EE24" s="727">
        <v>0</v>
      </c>
      <c r="EF24" s="727">
        <v>0</v>
      </c>
      <c r="EG24" s="727">
        <v>0</v>
      </c>
      <c r="EH24" s="727">
        <v>0</v>
      </c>
      <c r="EI24" s="727">
        <v>0</v>
      </c>
      <c r="EJ24" s="727">
        <v>0</v>
      </c>
      <c r="EK24" s="727">
        <v>0</v>
      </c>
      <c r="EL24" s="727">
        <v>0</v>
      </c>
      <c r="EM24" s="727">
        <v>0</v>
      </c>
      <c r="EN24" s="727">
        <v>0</v>
      </c>
      <c r="EO24" s="727">
        <v>0</v>
      </c>
      <c r="EP24" s="727">
        <v>0</v>
      </c>
      <c r="EQ24" s="727">
        <v>0</v>
      </c>
      <c r="ER24" s="727">
        <v>0</v>
      </c>
      <c r="ES24" s="727">
        <v>0</v>
      </c>
      <c r="ET24" s="727">
        <v>0</v>
      </c>
      <c r="EU24" s="727">
        <v>0</v>
      </c>
      <c r="EV24" s="727">
        <v>0</v>
      </c>
      <c r="EW24" s="727">
        <v>0</v>
      </c>
      <c r="EX24" s="727">
        <v>0</v>
      </c>
      <c r="EY24" s="727">
        <v>0</v>
      </c>
      <c r="EZ24" s="727">
        <v>0</v>
      </c>
      <c r="FA24" s="727">
        <v>0</v>
      </c>
      <c r="FB24" s="727">
        <v>0</v>
      </c>
      <c r="FD24" s="728">
        <f t="shared" si="6"/>
        <v>0</v>
      </c>
    </row>
    <row r="25" spans="2:161" s="692" customFormat="1">
      <c r="C25" s="699"/>
      <c r="D25" s="699"/>
      <c r="E25" s="725"/>
      <c r="F25" s="699"/>
      <c r="G25" s="730"/>
      <c r="I25" s="727">
        <v>0</v>
      </c>
      <c r="J25" s="727">
        <v>0</v>
      </c>
      <c r="K25" s="727">
        <v>0</v>
      </c>
      <c r="L25" s="727">
        <v>0</v>
      </c>
      <c r="M25" s="727">
        <v>0</v>
      </c>
      <c r="N25" s="727">
        <v>0</v>
      </c>
      <c r="O25" s="727">
        <v>0</v>
      </c>
      <c r="P25" s="727">
        <v>0</v>
      </c>
      <c r="Q25" s="727">
        <v>0</v>
      </c>
      <c r="R25" s="727">
        <v>0</v>
      </c>
      <c r="S25" s="727">
        <v>0</v>
      </c>
      <c r="T25" s="727">
        <v>0</v>
      </c>
      <c r="U25" s="727">
        <v>0</v>
      </c>
      <c r="V25" s="727">
        <v>0</v>
      </c>
      <c r="W25" s="727">
        <v>0</v>
      </c>
      <c r="X25" s="727">
        <v>0</v>
      </c>
      <c r="Y25" s="727">
        <v>0</v>
      </c>
      <c r="Z25" s="727">
        <v>0</v>
      </c>
      <c r="AA25" s="727">
        <v>0</v>
      </c>
      <c r="AB25" s="727">
        <v>0</v>
      </c>
      <c r="AC25" s="727">
        <v>0</v>
      </c>
      <c r="AD25" s="727">
        <v>0</v>
      </c>
      <c r="AE25" s="727">
        <v>0</v>
      </c>
      <c r="AF25" s="727">
        <v>0</v>
      </c>
      <c r="AG25" s="727">
        <v>0</v>
      </c>
      <c r="AH25" s="727">
        <v>0</v>
      </c>
      <c r="AI25" s="727">
        <v>0</v>
      </c>
      <c r="AJ25" s="727">
        <v>0</v>
      </c>
      <c r="AK25" s="727">
        <v>0</v>
      </c>
      <c r="AL25" s="727">
        <v>0</v>
      </c>
      <c r="AM25" s="727">
        <v>0</v>
      </c>
      <c r="AN25" s="727">
        <v>0</v>
      </c>
      <c r="AO25" s="727">
        <v>0</v>
      </c>
      <c r="AP25" s="727">
        <v>0</v>
      </c>
      <c r="AQ25" s="727">
        <v>0</v>
      </c>
      <c r="AR25" s="727">
        <v>0</v>
      </c>
      <c r="AS25" s="727">
        <v>0</v>
      </c>
      <c r="AT25" s="727">
        <v>0</v>
      </c>
      <c r="AU25" s="727">
        <v>0</v>
      </c>
      <c r="AV25" s="727">
        <v>0</v>
      </c>
      <c r="AW25" s="727">
        <v>0</v>
      </c>
      <c r="AX25" s="727">
        <v>0</v>
      </c>
      <c r="AY25" s="727">
        <v>0</v>
      </c>
      <c r="AZ25" s="727">
        <v>0</v>
      </c>
      <c r="BA25" s="727">
        <v>0</v>
      </c>
      <c r="BB25" s="727">
        <v>0</v>
      </c>
      <c r="BC25" s="727">
        <v>0</v>
      </c>
      <c r="BD25" s="727">
        <v>0</v>
      </c>
      <c r="BE25" s="727">
        <v>0</v>
      </c>
      <c r="BF25" s="727">
        <v>0</v>
      </c>
      <c r="BG25" s="727">
        <v>0</v>
      </c>
      <c r="BH25" s="727">
        <v>0</v>
      </c>
      <c r="BI25" s="727">
        <v>0</v>
      </c>
      <c r="BJ25" s="727">
        <v>0</v>
      </c>
      <c r="BK25" s="727">
        <v>0</v>
      </c>
      <c r="BL25" s="727">
        <v>0</v>
      </c>
      <c r="BM25" s="727">
        <v>0</v>
      </c>
      <c r="BN25" s="727">
        <v>0</v>
      </c>
      <c r="BO25" s="727">
        <v>0</v>
      </c>
      <c r="BP25" s="727">
        <v>0</v>
      </c>
      <c r="BQ25" s="727">
        <v>0</v>
      </c>
      <c r="BR25" s="727">
        <v>0</v>
      </c>
      <c r="BS25" s="727">
        <v>0</v>
      </c>
      <c r="BT25" s="727">
        <v>0</v>
      </c>
      <c r="BU25" s="727">
        <v>0</v>
      </c>
      <c r="BV25" s="727">
        <v>0</v>
      </c>
      <c r="BW25" s="727">
        <v>0</v>
      </c>
      <c r="BX25" s="727">
        <v>0</v>
      </c>
      <c r="BY25" s="727">
        <v>0</v>
      </c>
      <c r="BZ25" s="727">
        <v>0</v>
      </c>
      <c r="CA25" s="727">
        <v>0</v>
      </c>
      <c r="CB25" s="727">
        <v>0</v>
      </c>
      <c r="CC25" s="727">
        <v>0</v>
      </c>
      <c r="CD25" s="727">
        <v>0</v>
      </c>
      <c r="CE25" s="727">
        <v>0</v>
      </c>
      <c r="CF25" s="727">
        <v>0</v>
      </c>
      <c r="CG25" s="727">
        <v>0</v>
      </c>
      <c r="CH25" s="727">
        <v>0</v>
      </c>
      <c r="CI25" s="727">
        <v>0</v>
      </c>
      <c r="CJ25" s="727">
        <v>0</v>
      </c>
      <c r="CK25" s="727">
        <v>0</v>
      </c>
      <c r="CL25" s="727">
        <v>0</v>
      </c>
      <c r="CM25" s="727">
        <v>0</v>
      </c>
      <c r="CN25" s="727">
        <v>0</v>
      </c>
      <c r="CO25" s="727">
        <v>0</v>
      </c>
      <c r="CP25" s="727">
        <v>0</v>
      </c>
      <c r="CQ25" s="727">
        <v>0</v>
      </c>
      <c r="CR25" s="727">
        <v>0</v>
      </c>
      <c r="CS25" s="727">
        <v>0</v>
      </c>
      <c r="CT25" s="727">
        <v>0</v>
      </c>
      <c r="CU25" s="727">
        <v>0</v>
      </c>
      <c r="CV25" s="727">
        <v>0</v>
      </c>
      <c r="CW25" s="727">
        <v>0</v>
      </c>
      <c r="CX25" s="727">
        <v>0</v>
      </c>
      <c r="CY25" s="727">
        <v>0</v>
      </c>
      <c r="CZ25" s="727">
        <v>0</v>
      </c>
      <c r="DA25" s="727">
        <v>0</v>
      </c>
      <c r="DB25" s="727">
        <v>0</v>
      </c>
      <c r="DC25" s="727">
        <v>0</v>
      </c>
      <c r="DD25" s="727">
        <v>0</v>
      </c>
      <c r="DE25" s="727">
        <v>0</v>
      </c>
      <c r="DF25" s="727">
        <v>0</v>
      </c>
      <c r="DG25" s="727">
        <v>0</v>
      </c>
      <c r="DH25" s="727">
        <v>0</v>
      </c>
      <c r="DI25" s="727">
        <v>0</v>
      </c>
      <c r="DJ25" s="727">
        <v>0</v>
      </c>
      <c r="DK25" s="727">
        <v>0</v>
      </c>
      <c r="DL25" s="727">
        <v>0</v>
      </c>
      <c r="DM25" s="727">
        <v>0</v>
      </c>
      <c r="DN25" s="727">
        <v>0</v>
      </c>
      <c r="DO25" s="727">
        <v>0</v>
      </c>
      <c r="DP25" s="727">
        <v>0</v>
      </c>
      <c r="DQ25" s="727">
        <v>0</v>
      </c>
      <c r="DR25" s="727">
        <v>0</v>
      </c>
      <c r="DS25" s="727">
        <v>0</v>
      </c>
      <c r="DT25" s="727">
        <v>0</v>
      </c>
      <c r="DU25" s="727">
        <v>0</v>
      </c>
      <c r="DV25" s="727">
        <v>0</v>
      </c>
      <c r="DW25" s="727">
        <v>0</v>
      </c>
      <c r="DX25" s="727">
        <v>0</v>
      </c>
      <c r="DY25" s="727">
        <v>0</v>
      </c>
      <c r="DZ25" s="727">
        <v>0</v>
      </c>
      <c r="EA25" s="727">
        <v>0</v>
      </c>
      <c r="EB25" s="727">
        <v>0</v>
      </c>
      <c r="EC25" s="727">
        <v>0</v>
      </c>
      <c r="ED25" s="727">
        <v>0</v>
      </c>
      <c r="EE25" s="727">
        <v>0</v>
      </c>
      <c r="EF25" s="727">
        <v>0</v>
      </c>
      <c r="EG25" s="727">
        <v>0</v>
      </c>
      <c r="EH25" s="727">
        <v>0</v>
      </c>
      <c r="EI25" s="727">
        <v>0</v>
      </c>
      <c r="EJ25" s="727">
        <v>0</v>
      </c>
      <c r="EK25" s="727">
        <v>0</v>
      </c>
      <c r="EL25" s="727">
        <v>0</v>
      </c>
      <c r="EM25" s="727">
        <v>0</v>
      </c>
      <c r="EN25" s="727">
        <v>0</v>
      </c>
      <c r="EO25" s="727">
        <v>0</v>
      </c>
      <c r="EP25" s="727">
        <v>0</v>
      </c>
      <c r="EQ25" s="727">
        <v>0</v>
      </c>
      <c r="ER25" s="727">
        <v>0</v>
      </c>
      <c r="ES25" s="727">
        <v>0</v>
      </c>
      <c r="ET25" s="727">
        <v>0</v>
      </c>
      <c r="EU25" s="727">
        <v>0</v>
      </c>
      <c r="EV25" s="727">
        <v>0</v>
      </c>
      <c r="EW25" s="727">
        <v>0</v>
      </c>
      <c r="EX25" s="727">
        <v>0</v>
      </c>
      <c r="EY25" s="727">
        <v>0</v>
      </c>
      <c r="EZ25" s="727">
        <v>0</v>
      </c>
      <c r="FA25" s="727">
        <v>0</v>
      </c>
      <c r="FB25" s="727">
        <v>0</v>
      </c>
      <c r="FD25" s="728">
        <f t="shared" si="6"/>
        <v>0</v>
      </c>
    </row>
    <row r="26" spans="2:161" s="692" customFormat="1">
      <c r="B26" s="731" t="s">
        <v>377</v>
      </c>
      <c r="C26" s="731"/>
      <c r="D26" s="699"/>
      <c r="E26" s="732" t="str">
        <f>IF($C$5&gt;0,TEXT(XIRR($I26:$FB26,$I$17:$FB$17),"#0.0%")&amp;" / "&amp;TEXT(((FD26-SUMIF(I26:FB26,"&lt;0")))/-SUMIF(I26:FB26,"&lt;0"),"#0.00x"),"n/m")</f>
        <v>25.5% / 2.32x</v>
      </c>
      <c r="F26" s="699"/>
      <c r="G26" s="733">
        <f>SUM(I26:FB26)</f>
        <v>24992810.374513425</v>
      </c>
      <c r="H26" s="734"/>
      <c r="I26" s="735">
        <f>+SUM(I18:I25)</f>
        <v>-18868708.075340457</v>
      </c>
      <c r="J26" s="735">
        <f t="shared" ref="J26:BU26" si="7">+SUM(J18:J25)</f>
        <v>52248.378085041855</v>
      </c>
      <c r="K26" s="735">
        <f t="shared" si="7"/>
        <v>52453.132601852383</v>
      </c>
      <c r="L26" s="735">
        <f t="shared" si="7"/>
        <v>52055.327475223952</v>
      </c>
      <c r="M26" s="735">
        <f t="shared" si="7"/>
        <v>43925.130756638217</v>
      </c>
      <c r="N26" s="735">
        <f t="shared" si="7"/>
        <v>52431.611588304891</v>
      </c>
      <c r="O26" s="735">
        <f t="shared" si="7"/>
        <v>44288.871479473804</v>
      </c>
      <c r="P26" s="735">
        <f t="shared" si="7"/>
        <v>44150.745894091116</v>
      </c>
      <c r="Q26" s="735">
        <f t="shared" si="7"/>
        <v>69011.525563054631</v>
      </c>
      <c r="R26" s="735">
        <f t="shared" si="7"/>
        <v>43976.401704510703</v>
      </c>
      <c r="S26" s="735">
        <f t="shared" si="7"/>
        <v>52259.628806689492</v>
      </c>
      <c r="T26" s="735">
        <f t="shared" si="7"/>
        <v>43931.051225175412</v>
      </c>
      <c r="U26" s="735">
        <f t="shared" si="7"/>
        <v>73419.685932164633</v>
      </c>
      <c r="V26" s="735">
        <f t="shared" si="7"/>
        <v>60212.279223237856</v>
      </c>
      <c r="W26" s="735">
        <f t="shared" si="7"/>
        <v>55656.937486443407</v>
      </c>
      <c r="X26" s="735">
        <f t="shared" si="7"/>
        <v>65196.079574831267</v>
      </c>
      <c r="Y26" s="735">
        <f t="shared" si="7"/>
        <v>67708.460962565063</v>
      </c>
      <c r="Z26" s="735">
        <f t="shared" si="7"/>
        <v>77453.928359410231</v>
      </c>
      <c r="AA26" s="735">
        <f t="shared" si="7"/>
        <v>70615.55603208908</v>
      </c>
      <c r="AB26" s="735">
        <f t="shared" si="7"/>
        <v>91232.142409103661</v>
      </c>
      <c r="AC26" s="735">
        <f t="shared" si="7"/>
        <v>109261.06655539607</v>
      </c>
      <c r="AD26" s="735">
        <f t="shared" si="7"/>
        <v>94315.834280997195</v>
      </c>
      <c r="AE26" s="735">
        <f t="shared" si="7"/>
        <v>104357.85712078572</v>
      </c>
      <c r="AF26" s="735">
        <f t="shared" si="7"/>
        <v>97749.834625190852</v>
      </c>
      <c r="AG26" s="735">
        <f t="shared" si="7"/>
        <v>107769.6689900971</v>
      </c>
      <c r="AH26" s="735">
        <f t="shared" si="7"/>
        <v>100417.64617236776</v>
      </c>
      <c r="AI26" s="735">
        <f t="shared" si="7"/>
        <v>101754.47180674298</v>
      </c>
      <c r="AJ26" s="735">
        <f t="shared" si="7"/>
        <v>111760.19672159452</v>
      </c>
      <c r="AK26" s="735">
        <f t="shared" si="7"/>
        <v>105094.72318791444</v>
      </c>
      <c r="AL26" s="735">
        <f t="shared" si="7"/>
        <v>115049.38924372799</v>
      </c>
      <c r="AM26" s="735">
        <f t="shared" si="7"/>
        <v>108311.27521083484</v>
      </c>
      <c r="AN26" s="735">
        <f t="shared" si="7"/>
        <v>109846.08033182289</v>
      </c>
      <c r="AO26" s="735">
        <f t="shared" si="7"/>
        <v>136108.60043032336</v>
      </c>
      <c r="AP26" s="735">
        <f t="shared" si="7"/>
        <v>112287.43733377583</v>
      </c>
      <c r="AQ26" s="735">
        <f t="shared" si="7"/>
        <v>121989.80158245491</v>
      </c>
      <c r="AR26" s="735">
        <f t="shared" si="7"/>
        <v>115032.76004343168</v>
      </c>
      <c r="AS26" s="735">
        <f t="shared" si="7"/>
        <v>124673.74039280156</v>
      </c>
      <c r="AT26" s="735">
        <f t="shared" si="7"/>
        <v>117629.24165548748</v>
      </c>
      <c r="AU26" s="735">
        <f t="shared" si="7"/>
        <v>118323.45879980075</v>
      </c>
      <c r="AV26" s="735">
        <f t="shared" si="7"/>
        <v>127610.72835044793</v>
      </c>
      <c r="AW26" s="735">
        <f t="shared" si="7"/>
        <v>120516.11803272038</v>
      </c>
      <c r="AX26" s="735">
        <f t="shared" si="7"/>
        <v>130052.57838772182</v>
      </c>
      <c r="AY26" s="735">
        <f t="shared" si="7"/>
        <v>122947.69082828306</v>
      </c>
      <c r="AZ26" s="735">
        <f t="shared" si="7"/>
        <v>124145.7100161064</v>
      </c>
      <c r="BA26" s="735">
        <f t="shared" si="7"/>
        <v>150293.64168869078</v>
      </c>
      <c r="BB26" s="735">
        <f t="shared" si="7"/>
        <v>126347.61360034774</v>
      </c>
      <c r="BC26" s="735">
        <f t="shared" si="7"/>
        <v>135587.25106696974</v>
      </c>
      <c r="BD26" s="735">
        <f t="shared" si="7"/>
        <v>39600057.158237144</v>
      </c>
      <c r="BE26" s="735">
        <f t="shared" si="7"/>
        <v>0</v>
      </c>
      <c r="BF26" s="735">
        <f t="shared" si="7"/>
        <v>0</v>
      </c>
      <c r="BG26" s="735">
        <f t="shared" si="7"/>
        <v>0</v>
      </c>
      <c r="BH26" s="735">
        <f t="shared" si="7"/>
        <v>0</v>
      </c>
      <c r="BI26" s="735">
        <f t="shared" si="7"/>
        <v>0</v>
      </c>
      <c r="BJ26" s="735">
        <f t="shared" si="7"/>
        <v>0</v>
      </c>
      <c r="BK26" s="735">
        <f t="shared" si="7"/>
        <v>0</v>
      </c>
      <c r="BL26" s="735">
        <f t="shared" si="7"/>
        <v>0</v>
      </c>
      <c r="BM26" s="735">
        <f t="shared" si="7"/>
        <v>0</v>
      </c>
      <c r="BN26" s="735">
        <f t="shared" si="7"/>
        <v>0</v>
      </c>
      <c r="BO26" s="735">
        <f t="shared" si="7"/>
        <v>0</v>
      </c>
      <c r="BP26" s="735">
        <f t="shared" si="7"/>
        <v>0</v>
      </c>
      <c r="BQ26" s="735">
        <f t="shared" si="7"/>
        <v>0</v>
      </c>
      <c r="BR26" s="735">
        <f t="shared" si="7"/>
        <v>0</v>
      </c>
      <c r="BS26" s="735">
        <f t="shared" si="7"/>
        <v>0</v>
      </c>
      <c r="BT26" s="735">
        <f t="shared" si="7"/>
        <v>0</v>
      </c>
      <c r="BU26" s="735">
        <f t="shared" si="7"/>
        <v>0</v>
      </c>
      <c r="BV26" s="735">
        <f t="shared" ref="BV26:EG26" si="8">+SUM(BV18:BV25)</f>
        <v>0</v>
      </c>
      <c r="BW26" s="735">
        <f t="shared" si="8"/>
        <v>0</v>
      </c>
      <c r="BX26" s="735">
        <f t="shared" si="8"/>
        <v>0</v>
      </c>
      <c r="BY26" s="735">
        <f t="shared" si="8"/>
        <v>0</v>
      </c>
      <c r="BZ26" s="735">
        <f t="shared" si="8"/>
        <v>0</v>
      </c>
      <c r="CA26" s="735">
        <f t="shared" si="8"/>
        <v>0</v>
      </c>
      <c r="CB26" s="735">
        <f t="shared" si="8"/>
        <v>0</v>
      </c>
      <c r="CC26" s="735">
        <f t="shared" si="8"/>
        <v>0</v>
      </c>
      <c r="CD26" s="735">
        <f t="shared" si="8"/>
        <v>0</v>
      </c>
      <c r="CE26" s="735">
        <f t="shared" si="8"/>
        <v>0</v>
      </c>
      <c r="CF26" s="735">
        <f t="shared" si="8"/>
        <v>0</v>
      </c>
      <c r="CG26" s="735">
        <f t="shared" si="8"/>
        <v>0</v>
      </c>
      <c r="CH26" s="735">
        <f t="shared" si="8"/>
        <v>0</v>
      </c>
      <c r="CI26" s="735">
        <f t="shared" si="8"/>
        <v>0</v>
      </c>
      <c r="CJ26" s="735">
        <f t="shared" si="8"/>
        <v>0</v>
      </c>
      <c r="CK26" s="735">
        <f t="shared" si="8"/>
        <v>0</v>
      </c>
      <c r="CL26" s="735">
        <f t="shared" si="8"/>
        <v>0</v>
      </c>
      <c r="CM26" s="735">
        <f t="shared" si="8"/>
        <v>0</v>
      </c>
      <c r="CN26" s="735">
        <f t="shared" si="8"/>
        <v>0</v>
      </c>
      <c r="CO26" s="735">
        <f t="shared" si="8"/>
        <v>0</v>
      </c>
      <c r="CP26" s="735">
        <f t="shared" si="8"/>
        <v>0</v>
      </c>
      <c r="CQ26" s="735">
        <f t="shared" si="8"/>
        <v>0</v>
      </c>
      <c r="CR26" s="735">
        <f t="shared" si="8"/>
        <v>0</v>
      </c>
      <c r="CS26" s="735">
        <f t="shared" si="8"/>
        <v>0</v>
      </c>
      <c r="CT26" s="735">
        <f t="shared" si="8"/>
        <v>0</v>
      </c>
      <c r="CU26" s="735">
        <f t="shared" si="8"/>
        <v>0</v>
      </c>
      <c r="CV26" s="735">
        <f t="shared" si="8"/>
        <v>0</v>
      </c>
      <c r="CW26" s="735">
        <f t="shared" si="8"/>
        <v>0</v>
      </c>
      <c r="CX26" s="735">
        <f t="shared" si="8"/>
        <v>0</v>
      </c>
      <c r="CY26" s="735">
        <f t="shared" si="8"/>
        <v>0</v>
      </c>
      <c r="CZ26" s="735">
        <f t="shared" si="8"/>
        <v>0</v>
      </c>
      <c r="DA26" s="735">
        <f t="shared" si="8"/>
        <v>0</v>
      </c>
      <c r="DB26" s="735">
        <f t="shared" si="8"/>
        <v>0</v>
      </c>
      <c r="DC26" s="735">
        <f t="shared" si="8"/>
        <v>0</v>
      </c>
      <c r="DD26" s="735">
        <f t="shared" si="8"/>
        <v>0</v>
      </c>
      <c r="DE26" s="735">
        <f t="shared" si="8"/>
        <v>0</v>
      </c>
      <c r="DF26" s="735">
        <f t="shared" si="8"/>
        <v>0</v>
      </c>
      <c r="DG26" s="735">
        <f t="shared" si="8"/>
        <v>0</v>
      </c>
      <c r="DH26" s="735">
        <f t="shared" si="8"/>
        <v>0</v>
      </c>
      <c r="DI26" s="735">
        <f t="shared" si="8"/>
        <v>0</v>
      </c>
      <c r="DJ26" s="735">
        <f t="shared" si="8"/>
        <v>0</v>
      </c>
      <c r="DK26" s="735">
        <f t="shared" si="8"/>
        <v>0</v>
      </c>
      <c r="DL26" s="735">
        <f t="shared" si="8"/>
        <v>0</v>
      </c>
      <c r="DM26" s="735">
        <f t="shared" si="8"/>
        <v>0</v>
      </c>
      <c r="DN26" s="735">
        <f t="shared" si="8"/>
        <v>0</v>
      </c>
      <c r="DO26" s="735">
        <f t="shared" si="8"/>
        <v>0</v>
      </c>
      <c r="DP26" s="735">
        <f t="shared" si="8"/>
        <v>0</v>
      </c>
      <c r="DQ26" s="735">
        <f t="shared" si="8"/>
        <v>0</v>
      </c>
      <c r="DR26" s="735">
        <f t="shared" si="8"/>
        <v>0</v>
      </c>
      <c r="DS26" s="735">
        <f t="shared" si="8"/>
        <v>0</v>
      </c>
      <c r="DT26" s="735">
        <f t="shared" si="8"/>
        <v>0</v>
      </c>
      <c r="DU26" s="735">
        <f t="shared" si="8"/>
        <v>0</v>
      </c>
      <c r="DV26" s="735">
        <f t="shared" si="8"/>
        <v>0</v>
      </c>
      <c r="DW26" s="735">
        <f t="shared" si="8"/>
        <v>0</v>
      </c>
      <c r="DX26" s="735">
        <f t="shared" si="8"/>
        <v>0</v>
      </c>
      <c r="DY26" s="735">
        <f t="shared" si="8"/>
        <v>0</v>
      </c>
      <c r="DZ26" s="735">
        <f t="shared" si="8"/>
        <v>0</v>
      </c>
      <c r="EA26" s="735">
        <f t="shared" si="8"/>
        <v>0</v>
      </c>
      <c r="EB26" s="735">
        <f t="shared" si="8"/>
        <v>0</v>
      </c>
      <c r="EC26" s="735">
        <f t="shared" si="8"/>
        <v>0</v>
      </c>
      <c r="ED26" s="735">
        <f t="shared" si="8"/>
        <v>0</v>
      </c>
      <c r="EE26" s="735">
        <f t="shared" si="8"/>
        <v>0</v>
      </c>
      <c r="EF26" s="735">
        <f t="shared" si="8"/>
        <v>0</v>
      </c>
      <c r="EG26" s="735">
        <f t="shared" si="8"/>
        <v>0</v>
      </c>
      <c r="EH26" s="735">
        <f t="shared" ref="EH26:FB26" si="9">+SUM(EH18:EH25)</f>
        <v>0</v>
      </c>
      <c r="EI26" s="735">
        <f t="shared" si="9"/>
        <v>0</v>
      </c>
      <c r="EJ26" s="735">
        <f t="shared" si="9"/>
        <v>0</v>
      </c>
      <c r="EK26" s="735">
        <f t="shared" si="9"/>
        <v>0</v>
      </c>
      <c r="EL26" s="735">
        <f t="shared" si="9"/>
        <v>0</v>
      </c>
      <c r="EM26" s="735">
        <f t="shared" si="9"/>
        <v>0</v>
      </c>
      <c r="EN26" s="735">
        <f t="shared" si="9"/>
        <v>0</v>
      </c>
      <c r="EO26" s="735">
        <f t="shared" si="9"/>
        <v>0</v>
      </c>
      <c r="EP26" s="735">
        <f t="shared" si="9"/>
        <v>0</v>
      </c>
      <c r="EQ26" s="735">
        <f t="shared" si="9"/>
        <v>0</v>
      </c>
      <c r="ER26" s="735">
        <f t="shared" si="9"/>
        <v>0</v>
      </c>
      <c r="ES26" s="735">
        <f t="shared" si="9"/>
        <v>0</v>
      </c>
      <c r="ET26" s="735">
        <f t="shared" si="9"/>
        <v>0</v>
      </c>
      <c r="EU26" s="735">
        <f t="shared" si="9"/>
        <v>0</v>
      </c>
      <c r="EV26" s="735">
        <f t="shared" si="9"/>
        <v>0</v>
      </c>
      <c r="EW26" s="735">
        <f t="shared" si="9"/>
        <v>0</v>
      </c>
      <c r="EX26" s="735">
        <f t="shared" si="9"/>
        <v>0</v>
      </c>
      <c r="EY26" s="735">
        <f t="shared" si="9"/>
        <v>0</v>
      </c>
      <c r="EZ26" s="735">
        <f t="shared" si="9"/>
        <v>0</v>
      </c>
      <c r="FA26" s="735">
        <f t="shared" si="9"/>
        <v>0</v>
      </c>
      <c r="FB26" s="735">
        <f t="shared" si="9"/>
        <v>0</v>
      </c>
      <c r="FD26" s="736">
        <f>SUM(I26:FB26)</f>
        <v>24992810.374513425</v>
      </c>
    </row>
    <row r="27" spans="2:161" s="692" customFormat="1">
      <c r="B27" s="699" t="str">
        <f>"Net Cash Flow to the Venture "</f>
        <v xml:space="preserve">Net Cash Flow to the Venture </v>
      </c>
      <c r="C27" s="699"/>
      <c r="D27" s="699"/>
      <c r="E27" s="725" t="str">
        <f>TEXT(XIRR($I27:$FB27,$I$17:$FB$17),"#0.0%")&amp;" / "&amp;TEXT(((FD27-SUMIF(I27:FB27,"&lt;0")))/-SUMIF(I27:FB27,"&lt;0"),"#0.00x")</f>
        <v>25.5% / 2.32x</v>
      </c>
      <c r="F27" s="699"/>
      <c r="G27" s="729">
        <f>SUM(I27:FB27)</f>
        <v>24992810.374513425</v>
      </c>
      <c r="I27" s="714">
        <f t="shared" ref="I27:BT27" si="10">SUM(I26:I26)</f>
        <v>-18868708.075340457</v>
      </c>
      <c r="J27" s="714">
        <f t="shared" si="10"/>
        <v>52248.378085041855</v>
      </c>
      <c r="K27" s="714">
        <f t="shared" si="10"/>
        <v>52453.132601852383</v>
      </c>
      <c r="L27" s="714">
        <f t="shared" si="10"/>
        <v>52055.327475223952</v>
      </c>
      <c r="M27" s="714">
        <f t="shared" si="10"/>
        <v>43925.130756638217</v>
      </c>
      <c r="N27" s="714">
        <f t="shared" si="10"/>
        <v>52431.611588304891</v>
      </c>
      <c r="O27" s="714">
        <f t="shared" si="10"/>
        <v>44288.871479473804</v>
      </c>
      <c r="P27" s="714">
        <f t="shared" si="10"/>
        <v>44150.745894091116</v>
      </c>
      <c r="Q27" s="714">
        <f t="shared" si="10"/>
        <v>69011.525563054631</v>
      </c>
      <c r="R27" s="714">
        <f t="shared" si="10"/>
        <v>43976.401704510703</v>
      </c>
      <c r="S27" s="714">
        <f t="shared" si="10"/>
        <v>52259.628806689492</v>
      </c>
      <c r="T27" s="714">
        <f t="shared" si="10"/>
        <v>43931.051225175412</v>
      </c>
      <c r="U27" s="714">
        <f t="shared" si="10"/>
        <v>73419.685932164633</v>
      </c>
      <c r="V27" s="714">
        <f t="shared" si="10"/>
        <v>60212.279223237856</v>
      </c>
      <c r="W27" s="714">
        <f t="shared" si="10"/>
        <v>55656.937486443407</v>
      </c>
      <c r="X27" s="714">
        <f t="shared" si="10"/>
        <v>65196.079574831267</v>
      </c>
      <c r="Y27" s="714">
        <f t="shared" si="10"/>
        <v>67708.460962565063</v>
      </c>
      <c r="Z27" s="714">
        <f t="shared" si="10"/>
        <v>77453.928359410231</v>
      </c>
      <c r="AA27" s="714">
        <f t="shared" si="10"/>
        <v>70615.55603208908</v>
      </c>
      <c r="AB27" s="714">
        <f t="shared" si="10"/>
        <v>91232.142409103661</v>
      </c>
      <c r="AC27" s="714">
        <f t="shared" si="10"/>
        <v>109261.06655539607</v>
      </c>
      <c r="AD27" s="714">
        <f t="shared" si="10"/>
        <v>94315.834280997195</v>
      </c>
      <c r="AE27" s="714">
        <f t="shared" si="10"/>
        <v>104357.85712078572</v>
      </c>
      <c r="AF27" s="714">
        <f t="shared" si="10"/>
        <v>97749.834625190852</v>
      </c>
      <c r="AG27" s="714">
        <f t="shared" si="10"/>
        <v>107769.6689900971</v>
      </c>
      <c r="AH27" s="714">
        <f t="shared" si="10"/>
        <v>100417.64617236776</v>
      </c>
      <c r="AI27" s="714">
        <f t="shared" si="10"/>
        <v>101754.47180674298</v>
      </c>
      <c r="AJ27" s="714">
        <f t="shared" si="10"/>
        <v>111760.19672159452</v>
      </c>
      <c r="AK27" s="714">
        <f t="shared" si="10"/>
        <v>105094.72318791444</v>
      </c>
      <c r="AL27" s="714">
        <f t="shared" si="10"/>
        <v>115049.38924372799</v>
      </c>
      <c r="AM27" s="714">
        <f t="shared" si="10"/>
        <v>108311.27521083484</v>
      </c>
      <c r="AN27" s="714">
        <f t="shared" si="10"/>
        <v>109846.08033182289</v>
      </c>
      <c r="AO27" s="714">
        <f t="shared" si="10"/>
        <v>136108.60043032336</v>
      </c>
      <c r="AP27" s="714">
        <f t="shared" si="10"/>
        <v>112287.43733377583</v>
      </c>
      <c r="AQ27" s="714">
        <f t="shared" si="10"/>
        <v>121989.80158245491</v>
      </c>
      <c r="AR27" s="714">
        <f t="shared" si="10"/>
        <v>115032.76004343168</v>
      </c>
      <c r="AS27" s="714">
        <f t="shared" si="10"/>
        <v>124673.74039280156</v>
      </c>
      <c r="AT27" s="714">
        <f t="shared" si="10"/>
        <v>117629.24165548748</v>
      </c>
      <c r="AU27" s="714">
        <f t="shared" si="10"/>
        <v>118323.45879980075</v>
      </c>
      <c r="AV27" s="714">
        <f t="shared" si="10"/>
        <v>127610.72835044793</v>
      </c>
      <c r="AW27" s="714">
        <f t="shared" si="10"/>
        <v>120516.11803272038</v>
      </c>
      <c r="AX27" s="714">
        <f t="shared" si="10"/>
        <v>130052.57838772182</v>
      </c>
      <c r="AY27" s="714">
        <f t="shared" si="10"/>
        <v>122947.69082828306</v>
      </c>
      <c r="AZ27" s="714">
        <f t="shared" si="10"/>
        <v>124145.7100161064</v>
      </c>
      <c r="BA27" s="714">
        <f t="shared" si="10"/>
        <v>150293.64168869078</v>
      </c>
      <c r="BB27" s="714">
        <f t="shared" si="10"/>
        <v>126347.61360034774</v>
      </c>
      <c r="BC27" s="714">
        <f t="shared" si="10"/>
        <v>135587.25106696974</v>
      </c>
      <c r="BD27" s="714">
        <f t="shared" si="10"/>
        <v>39600057.158237144</v>
      </c>
      <c r="BE27" s="714">
        <f t="shared" si="10"/>
        <v>0</v>
      </c>
      <c r="BF27" s="714">
        <f t="shared" si="10"/>
        <v>0</v>
      </c>
      <c r="BG27" s="714">
        <f t="shared" si="10"/>
        <v>0</v>
      </c>
      <c r="BH27" s="714">
        <f t="shared" si="10"/>
        <v>0</v>
      </c>
      <c r="BI27" s="714">
        <f t="shared" si="10"/>
        <v>0</v>
      </c>
      <c r="BJ27" s="714">
        <f t="shared" si="10"/>
        <v>0</v>
      </c>
      <c r="BK27" s="714">
        <f t="shared" si="10"/>
        <v>0</v>
      </c>
      <c r="BL27" s="714">
        <f t="shared" si="10"/>
        <v>0</v>
      </c>
      <c r="BM27" s="714">
        <f t="shared" si="10"/>
        <v>0</v>
      </c>
      <c r="BN27" s="714">
        <f t="shared" si="10"/>
        <v>0</v>
      </c>
      <c r="BO27" s="714">
        <f t="shared" si="10"/>
        <v>0</v>
      </c>
      <c r="BP27" s="714">
        <f t="shared" si="10"/>
        <v>0</v>
      </c>
      <c r="BQ27" s="714">
        <f t="shared" si="10"/>
        <v>0</v>
      </c>
      <c r="BR27" s="714">
        <f t="shared" si="10"/>
        <v>0</v>
      </c>
      <c r="BS27" s="714">
        <f t="shared" si="10"/>
        <v>0</v>
      </c>
      <c r="BT27" s="714">
        <f t="shared" si="10"/>
        <v>0</v>
      </c>
      <c r="BU27" s="714">
        <f t="shared" ref="BU27:EF27" si="11">SUM(BU26:BU26)</f>
        <v>0</v>
      </c>
      <c r="BV27" s="714">
        <f t="shared" si="11"/>
        <v>0</v>
      </c>
      <c r="BW27" s="714">
        <f t="shared" si="11"/>
        <v>0</v>
      </c>
      <c r="BX27" s="714">
        <f t="shared" si="11"/>
        <v>0</v>
      </c>
      <c r="BY27" s="714">
        <f t="shared" si="11"/>
        <v>0</v>
      </c>
      <c r="BZ27" s="714">
        <f t="shared" si="11"/>
        <v>0</v>
      </c>
      <c r="CA27" s="714">
        <f t="shared" si="11"/>
        <v>0</v>
      </c>
      <c r="CB27" s="714">
        <f t="shared" si="11"/>
        <v>0</v>
      </c>
      <c r="CC27" s="714">
        <f t="shared" si="11"/>
        <v>0</v>
      </c>
      <c r="CD27" s="714">
        <f t="shared" si="11"/>
        <v>0</v>
      </c>
      <c r="CE27" s="714">
        <f t="shared" si="11"/>
        <v>0</v>
      </c>
      <c r="CF27" s="714">
        <f t="shared" si="11"/>
        <v>0</v>
      </c>
      <c r="CG27" s="714">
        <f t="shared" si="11"/>
        <v>0</v>
      </c>
      <c r="CH27" s="714">
        <f t="shared" si="11"/>
        <v>0</v>
      </c>
      <c r="CI27" s="714">
        <f t="shared" si="11"/>
        <v>0</v>
      </c>
      <c r="CJ27" s="714">
        <f t="shared" si="11"/>
        <v>0</v>
      </c>
      <c r="CK27" s="714">
        <f t="shared" si="11"/>
        <v>0</v>
      </c>
      <c r="CL27" s="714">
        <f t="shared" si="11"/>
        <v>0</v>
      </c>
      <c r="CM27" s="714">
        <f t="shared" si="11"/>
        <v>0</v>
      </c>
      <c r="CN27" s="714">
        <f t="shared" si="11"/>
        <v>0</v>
      </c>
      <c r="CO27" s="714">
        <f t="shared" si="11"/>
        <v>0</v>
      </c>
      <c r="CP27" s="714">
        <f t="shared" si="11"/>
        <v>0</v>
      </c>
      <c r="CQ27" s="714">
        <f t="shared" si="11"/>
        <v>0</v>
      </c>
      <c r="CR27" s="714">
        <f t="shared" si="11"/>
        <v>0</v>
      </c>
      <c r="CS27" s="714">
        <f t="shared" si="11"/>
        <v>0</v>
      </c>
      <c r="CT27" s="714">
        <f t="shared" si="11"/>
        <v>0</v>
      </c>
      <c r="CU27" s="714">
        <f t="shared" si="11"/>
        <v>0</v>
      </c>
      <c r="CV27" s="714">
        <f t="shared" si="11"/>
        <v>0</v>
      </c>
      <c r="CW27" s="714">
        <f t="shared" si="11"/>
        <v>0</v>
      </c>
      <c r="CX27" s="714">
        <f t="shared" si="11"/>
        <v>0</v>
      </c>
      <c r="CY27" s="714">
        <f t="shared" si="11"/>
        <v>0</v>
      </c>
      <c r="CZ27" s="714">
        <f t="shared" si="11"/>
        <v>0</v>
      </c>
      <c r="DA27" s="714">
        <f t="shared" si="11"/>
        <v>0</v>
      </c>
      <c r="DB27" s="714">
        <f t="shared" si="11"/>
        <v>0</v>
      </c>
      <c r="DC27" s="714">
        <f t="shared" si="11"/>
        <v>0</v>
      </c>
      <c r="DD27" s="714">
        <f t="shared" si="11"/>
        <v>0</v>
      </c>
      <c r="DE27" s="714">
        <f t="shared" si="11"/>
        <v>0</v>
      </c>
      <c r="DF27" s="714">
        <f t="shared" si="11"/>
        <v>0</v>
      </c>
      <c r="DG27" s="714">
        <f t="shared" si="11"/>
        <v>0</v>
      </c>
      <c r="DH27" s="714">
        <f t="shared" si="11"/>
        <v>0</v>
      </c>
      <c r="DI27" s="714">
        <f t="shared" si="11"/>
        <v>0</v>
      </c>
      <c r="DJ27" s="714">
        <f t="shared" si="11"/>
        <v>0</v>
      </c>
      <c r="DK27" s="714">
        <f t="shared" si="11"/>
        <v>0</v>
      </c>
      <c r="DL27" s="714">
        <f t="shared" si="11"/>
        <v>0</v>
      </c>
      <c r="DM27" s="714">
        <f t="shared" si="11"/>
        <v>0</v>
      </c>
      <c r="DN27" s="714">
        <f t="shared" si="11"/>
        <v>0</v>
      </c>
      <c r="DO27" s="714">
        <f t="shared" si="11"/>
        <v>0</v>
      </c>
      <c r="DP27" s="714">
        <f t="shared" si="11"/>
        <v>0</v>
      </c>
      <c r="DQ27" s="714">
        <f t="shared" si="11"/>
        <v>0</v>
      </c>
      <c r="DR27" s="714">
        <f t="shared" si="11"/>
        <v>0</v>
      </c>
      <c r="DS27" s="714">
        <f t="shared" si="11"/>
        <v>0</v>
      </c>
      <c r="DT27" s="714">
        <f t="shared" si="11"/>
        <v>0</v>
      </c>
      <c r="DU27" s="714">
        <f t="shared" si="11"/>
        <v>0</v>
      </c>
      <c r="DV27" s="714">
        <f t="shared" si="11"/>
        <v>0</v>
      </c>
      <c r="DW27" s="714">
        <f t="shared" si="11"/>
        <v>0</v>
      </c>
      <c r="DX27" s="714">
        <f t="shared" si="11"/>
        <v>0</v>
      </c>
      <c r="DY27" s="714">
        <f t="shared" si="11"/>
        <v>0</v>
      </c>
      <c r="DZ27" s="714">
        <f t="shared" si="11"/>
        <v>0</v>
      </c>
      <c r="EA27" s="714">
        <f t="shared" si="11"/>
        <v>0</v>
      </c>
      <c r="EB27" s="714">
        <f t="shared" si="11"/>
        <v>0</v>
      </c>
      <c r="EC27" s="714">
        <f t="shared" si="11"/>
        <v>0</v>
      </c>
      <c r="ED27" s="714">
        <f t="shared" si="11"/>
        <v>0</v>
      </c>
      <c r="EE27" s="714">
        <f t="shared" si="11"/>
        <v>0</v>
      </c>
      <c r="EF27" s="714">
        <f t="shared" si="11"/>
        <v>0</v>
      </c>
      <c r="EG27" s="714">
        <f t="shared" ref="EG27:FB27" si="12">SUM(EG26:EG26)</f>
        <v>0</v>
      </c>
      <c r="EH27" s="714">
        <f t="shared" si="12"/>
        <v>0</v>
      </c>
      <c r="EI27" s="714">
        <f t="shared" si="12"/>
        <v>0</v>
      </c>
      <c r="EJ27" s="714">
        <f t="shared" si="12"/>
        <v>0</v>
      </c>
      <c r="EK27" s="714">
        <f t="shared" si="12"/>
        <v>0</v>
      </c>
      <c r="EL27" s="714">
        <f t="shared" si="12"/>
        <v>0</v>
      </c>
      <c r="EM27" s="714">
        <f t="shared" si="12"/>
        <v>0</v>
      </c>
      <c r="EN27" s="714">
        <f t="shared" si="12"/>
        <v>0</v>
      </c>
      <c r="EO27" s="714">
        <f t="shared" si="12"/>
        <v>0</v>
      </c>
      <c r="EP27" s="714">
        <f t="shared" si="12"/>
        <v>0</v>
      </c>
      <c r="EQ27" s="714">
        <f t="shared" si="12"/>
        <v>0</v>
      </c>
      <c r="ER27" s="714">
        <f t="shared" si="12"/>
        <v>0</v>
      </c>
      <c r="ES27" s="714">
        <f t="shared" si="12"/>
        <v>0</v>
      </c>
      <c r="ET27" s="714">
        <f t="shared" si="12"/>
        <v>0</v>
      </c>
      <c r="EU27" s="714">
        <f t="shared" si="12"/>
        <v>0</v>
      </c>
      <c r="EV27" s="714">
        <f t="shared" si="12"/>
        <v>0</v>
      </c>
      <c r="EW27" s="714">
        <f t="shared" si="12"/>
        <v>0</v>
      </c>
      <c r="EX27" s="714">
        <f t="shared" si="12"/>
        <v>0</v>
      </c>
      <c r="EY27" s="714">
        <f t="shared" si="12"/>
        <v>0</v>
      </c>
      <c r="EZ27" s="714">
        <f t="shared" si="12"/>
        <v>0</v>
      </c>
      <c r="FA27" s="714">
        <f t="shared" si="12"/>
        <v>0</v>
      </c>
      <c r="FB27" s="714">
        <f t="shared" si="12"/>
        <v>0</v>
      </c>
      <c r="FD27" s="736">
        <f>SUM(I27:FB27)</f>
        <v>24992810.374513425</v>
      </c>
    </row>
    <row r="28" spans="2:161" s="692" customFormat="1" ht="6" customHeight="1">
      <c r="E28" s="696"/>
      <c r="G28" s="737"/>
      <c r="FD28" s="737"/>
    </row>
    <row r="29" spans="2:161" s="692" customFormat="1">
      <c r="B29" s="693" t="str">
        <f>"Tier I -- LP IRR below "&amp;TEXT($C$12,"#0%")</f>
        <v>Tier I -- LP IRR below 8%</v>
      </c>
      <c r="E29" s="703"/>
      <c r="G29" s="738"/>
      <c r="FD29" s="738"/>
    </row>
    <row r="30" spans="2:161" s="692" customFormat="1">
      <c r="B30" s="739" t="str">
        <f>"Amount Needed to Achieve "&amp;TEXT($C12,"#0%")&amp;" LP IRR"</f>
        <v>Amount Needed to Achieve 8% LP IRR</v>
      </c>
      <c r="E30" s="703"/>
      <c r="G30" s="740"/>
      <c r="I30" s="741"/>
      <c r="J30" s="741">
        <f>IF(XNPV($C12,$I$68:I$68,$I$17:I$17)&gt;=0,0,FV($C12,(J$17-$I$17)/365,0,(XNPV($C12,$I$68:I$68,$I$17:I$17))))</f>
        <v>12962532.873920131</v>
      </c>
      <c r="K30" s="741">
        <f>IF(XNPV($C12,$I$68:J$68,$I$17:J$17)&gt;=0,0,FV($C12,(K$17-$I$17)/365,0,(XNPV($C12,$I$68:J$68,$I$17:J$17))))</f>
        <v>13011637.453078207</v>
      </c>
      <c r="L30" s="741">
        <f>IF(XNPV($C12,$I$68:K$68,$I$17:K$17)&gt;=0,0,FV($C12,(L$17-$I$17)/365,0,(XNPV($C12,$I$68:K$68,$I$17:K$17))))</f>
        <v>13060923.358441353</v>
      </c>
      <c r="M30" s="741">
        <f>IF(XNPV($C12,$I$68:L$68,$I$17:L$17)&gt;=0,0,FV($C12,(M$17-$I$17)/365,0,(XNPV($C12,$I$68:L$68,$I$17:L$17))))</f>
        <v>13108041.66587293</v>
      </c>
      <c r="N30" s="741">
        <f>IF(XNPV($C12,$I$68:M$68,$I$17:M$17)&gt;=0,0,FV($C12,(N$17-$I$17)/365,0,(XNPV($C12,$I$68:M$68,$I$17:M$17))))</f>
        <v>13163819.624168999</v>
      </c>
      <c r="O30" s="741">
        <f>IF(XNPV($C12,$I$68:N$68,$I$17:N$17)&gt;=0,0,FV($C12,(O$17-$I$17)/365,0,(XNPV($C12,$I$68:N$68,$I$17:N$17))))</f>
        <v>13211332.369740365</v>
      </c>
      <c r="P30" s="741">
        <f>IF(XNPV($C12,$I$68:O$68,$I$17:O$17)&gt;=0,0,FV($C12,(P$17-$I$17)/365,0,(XNPV($C12,$I$68:O$68,$I$17:O$17))))</f>
        <v>13267537.75314505</v>
      </c>
      <c r="Q30" s="741">
        <f>IF(XNPV($C12,$I$68:P$68,$I$17:P$17)&gt;=0,0,FV($C12,(Q$17-$I$17)/365,0,(XNPV($C12,$I$68:P$68,$I$17:P$17))))</f>
        <v>13318588.940887192</v>
      </c>
      <c r="R30" s="741">
        <f>IF(XNPV($C12,$I$68:Q$68,$I$17:Q$17)&gt;=0,0,FV($C12,(R$17-$I$17)/365,0,(XNPV($C12,$I$68:Q$68,$I$17:Q$17))))</f>
        <v>13350062.662207661</v>
      </c>
      <c r="S30" s="741">
        <f>IF(XNPV($C12,$I$68:R$68,$I$17:R$17)&gt;=0,0,FV($C12,(S$17-$I$17)/365,0,(XNPV($C12,$I$68:R$68,$I$17:R$17))))</f>
        <v>13407392.522295319</v>
      </c>
      <c r="T30" s="741">
        <f>IF(XNPV($C12,$I$68:S$68,$I$17:S$17)&gt;=0,0,FV($C12,(T$17-$I$17)/365,0,(XNPV($C12,$I$68:S$68,$I$17:S$17))))</f>
        <v>13456569.037090614</v>
      </c>
      <c r="U30" s="741">
        <f>IF(XNPV($C12,$I$68:T$68,$I$17:T$17)&gt;=0,0,FV($C12,(U$17-$I$17)/365,0,(XNPV($C12,$I$68:T$68,$I$17:T$17))))</f>
        <v>13514628.509173859</v>
      </c>
      <c r="V30" s="741">
        <f>IF(XNPV($C12,$I$68:U$68,$I$17:U$17)&gt;=0,0,FV($C12,(V$17-$I$17)/365,0,(XNPV($C12,$I$68:U$68,$I$17:U$17))))</f>
        <v>13549948.845177284</v>
      </c>
      <c r="W30" s="741">
        <f>IF(XNPV($C12,$I$68:V$68,$I$17:V$17)&gt;=0,0,FV($C12,(W$17-$I$17)/365,0,(XNPV($C12,$I$68:V$68,$I$17:V$17))))</f>
        <v>13597433.356159689</v>
      </c>
      <c r="X30" s="741">
        <f>IF(XNPV($C12,$I$68:W$68,$I$17:W$17)&gt;=0,0,FV($C12,(X$17-$I$17)/365,0,(XNPV($C12,$I$68:W$68,$I$17:W$17))))</f>
        <v>13648359.376925437</v>
      </c>
      <c r="Y30" s="741">
        <f>IF(XNPV($C12,$I$68:X$68,$I$17:X$17)&gt;=0,0,FV($C12,(Y$17-$I$17)/365,0,(XNPV($C12,$I$68:X$68,$I$17:X$17))))</f>
        <v>13690177.8174286</v>
      </c>
      <c r="Z30" s="741">
        <f>IF(XNPV($C12,$I$68:Y$68,$I$17:Y$17)&gt;=0,0,FV($C12,(Z$17-$I$17)/365,0,(XNPV($C12,$I$68:Y$68,$I$17:Y$17))))</f>
        <v>13733431.069924615</v>
      </c>
      <c r="AA30" s="741">
        <f>IF(XNPV($C12,$I$68:Z$68,$I$17:Z$17)&gt;=0,0,FV($C12,(AA$17-$I$17)/365,0,(XNPV($C12,$I$68:Z$68,$I$17:Z$17))))</f>
        <v>13767368.375535801</v>
      </c>
      <c r="AB30" s="741">
        <f>IF(XNPV($C12,$I$68:AA$68,$I$17:AA$17)&gt;=0,0,FV($C12,(AB$17-$I$17)/365,0,(XNPV($C12,$I$68:AA$68,$I$17:AA$17))))</f>
        <v>13809130.276371436</v>
      </c>
      <c r="AC30" s="741">
        <f>IF(XNPV($C12,$I$68:AB$68,$I$17:AB$17)&gt;=0,0,FV($C12,(AC$17-$I$17)/365,0,(XNPV($C12,$I$68:AB$68,$I$17:AB$17))))</f>
        <v>13836999.757521046</v>
      </c>
      <c r="AD30" s="741">
        <f>IF(XNPV($C12,$I$68:AC$68,$I$17:AC$17)&gt;=0,0,FV($C12,(AD$17-$I$17)/365,0,(XNPV($C12,$I$68:AC$68,$I$17:AC$17))))</f>
        <v>13846823.279964829</v>
      </c>
      <c r="AE30" s="741">
        <f>IF(XNPV($C12,$I$68:AD$68,$I$17:AD$17)&gt;=0,0,FV($C12,(AE$17-$I$17)/365,0,(XNPV($C12,$I$68:AD$68,$I$17:AD$17))))</f>
        <v>13872821.046293322</v>
      </c>
      <c r="AF30" s="741">
        <f>IF(XNPV($C12,$I$68:AE$68,$I$17:AE$17)&gt;=0,0,FV($C12,(AF$17-$I$17)/365,0,(XNPV($C12,$I$68:AE$68,$I$17:AE$17))))</f>
        <v>13889160.252155429</v>
      </c>
      <c r="AG30" s="741">
        <f>IF(XNPV($C12,$I$68:AF$68,$I$17:AF$17)&gt;=0,0,FV($C12,(AG$17-$I$17)/365,0,(XNPV($C12,$I$68:AF$68,$I$17:AF$17))))</f>
        <v>13913076.05033762</v>
      </c>
      <c r="AH30" s="741">
        <f>IF(XNPV($C12,$I$68:AG$68,$I$17:AG$17)&gt;=0,0,FV($C12,(AH$17-$I$17)/365,0,(XNPV($C12,$I$68:AG$68,$I$17:AG$17))))</f>
        <v>13927326.832893085</v>
      </c>
      <c r="AI30" s="741">
        <f>IF(XNPV($C12,$I$68:AH$68,$I$17:AH$17)&gt;=0,0,FV($C12,(AI$17-$I$17)/365,0,(XNPV($C12,$I$68:AH$68,$I$17:AH$17))))</f>
        <v>13949659.785979852</v>
      </c>
      <c r="AJ30" s="741">
        <f>IF(XNPV($C12,$I$68:AI$68,$I$17:AI$17)&gt;=0,0,FV($C12,(AJ$17-$I$17)/365,0,(XNPV($C12,$I$68:AI$68,$I$17:AI$17))))</f>
        <v>13971220.620916542</v>
      </c>
      <c r="AK30" s="741">
        <f>IF(XNPV($C12,$I$68:AJ$68,$I$17:AJ$17)&gt;=0,0,FV($C12,(AK$17-$I$17)/365,0,(XNPV($C12,$I$68:AJ$68,$I$17:AJ$17))))</f>
        <v>13983098.930913856</v>
      </c>
      <c r="AL30" s="741">
        <f>IF(XNPV($C12,$I$68:AK$68,$I$17:AK$17)&gt;=0,0,FV($C12,(AL$17-$I$17)/365,0,(XNPV($C12,$I$68:AK$68,$I$17:AK$17))))</f>
        <v>14002583.865079068</v>
      </c>
      <c r="AM30" s="741">
        <f>IF(XNPV($C12,$I$68:AL$68,$I$17:AL$17)&gt;=0,0,FV($C12,(AM$17-$I$17)/365,0,(XNPV($C12,$I$68:AL$68,$I$17:AL$17))))</f>
        <v>14012401.56583642</v>
      </c>
      <c r="AN30" s="741">
        <f>IF(XNPV($C12,$I$68:AM$68,$I$17:AM$17)&gt;=0,0,FV($C12,(AN$17-$I$17)/365,0,(XNPV($C12,$I$68:AM$68,$I$17:AM$17))))</f>
        <v>14029868.470328366</v>
      </c>
      <c r="AO30" s="741">
        <f>IF(XNPV($C12,$I$68:AN$68,$I$17:AN$17)&gt;=0,0,FV($C12,(AO$17-$I$17)/365,0,(XNPV($C12,$I$68:AN$68,$I$17:AN$17))))</f>
        <v>14046395.308209689</v>
      </c>
      <c r="AP30" s="741">
        <f>IF(XNPV($C12,$I$68:AO$68,$I$17:AO$17)&gt;=0,0,FV($C12,(AP$17-$I$17)/365,0,(XNPV($C12,$I$68:AO$68,$I$17:AO$17))))</f>
        <v>14036103.308404054</v>
      </c>
      <c r="AQ30" s="741">
        <f>IF(XNPV($C12,$I$68:AP$68,$I$17:AP$17)&gt;=0,0,FV($C12,(AQ$17-$I$17)/365,0,(XNPV($C12,$I$68:AP$68,$I$17:AP$17))))</f>
        <v>14050993.502214905</v>
      </c>
      <c r="AR30" s="741">
        <f>IF(XNPV($C12,$I$68:AQ$68,$I$17:AQ$17)&gt;=0,0,FV($C12,(AR$17-$I$17)/365,0,(XNPV($C12,$I$68:AQ$68,$I$17:AQ$17))))</f>
        <v>14056350.427706758</v>
      </c>
      <c r="AS30" s="741">
        <f>IF(XNPV($C12,$I$68:AR$68,$I$17:AR$17)&gt;=0,0,FV($C12,(AS$17-$I$17)/365,0,(XNPV($C12,$I$68:AR$68,$I$17:AR$17))))</f>
        <v>14069487.003418613</v>
      </c>
      <c r="AT30" s="741">
        <f>IF(XNPV($C12,$I$68:AS$68,$I$17:AS$17)&gt;=0,0,FV($C12,(AT$17-$I$17)/365,0,(XNPV($C12,$I$68:AS$68,$I$17:AS$17))))</f>
        <v>14073117.453906605</v>
      </c>
      <c r="AU30" s="741">
        <f>IF(XNPV($C12,$I$68:AT$68,$I$17:AT$17)&gt;=0,0,FV($C12,(AU$17-$I$17)/365,0,(XNPV($C12,$I$68:AT$68,$I$17:AT$17))))</f>
        <v>14084579.862943634</v>
      </c>
      <c r="AV30" s="741">
        <f>IF(XNPV($C12,$I$68:AU$68,$I$17:AU$17)&gt;=0,0,FV($C12,(AV$17-$I$17)/365,0,(XNPV($C12,$I$68:AU$68,$I$17:AU$17))))</f>
        <v>14095640.422637194</v>
      </c>
      <c r="AW30" s="741">
        <f>IF(XNPV($C12,$I$68:AV$68,$I$17:AV$17)&gt;=0,0,FV($C12,(AW$17-$I$17)/365,0,(XNPV($C12,$I$68:AV$68,$I$17:AV$17))))</f>
        <v>14097419.163852805</v>
      </c>
      <c r="AX30" s="741">
        <f>IF(XNPV($C12,$I$68:AW$68,$I$17:AW$17)&gt;=0,0,FV($C12,(AX$17-$I$17)/365,0,(XNPV($C12,$I$68:AW$68,$I$17:AW$17))))</f>
        <v>14107057.278237714</v>
      </c>
      <c r="AY30" s="741">
        <f>IF(XNPV($C12,$I$68:AX$68,$I$17:AX$17)&gt;=0,0,FV($C12,(AY$17-$I$17)/365,0,(XNPV($C12,$I$68:AX$68,$I$17:AX$17))))</f>
        <v>14107230.950318867</v>
      </c>
      <c r="AZ30" s="741">
        <f>IF(XNPV($C12,$I$68:AY$68,$I$17:AY$17)&gt;=0,0,FV($C12,(AZ$17-$I$17)/365,0,(XNPV($C12,$I$68:AY$68,$I$17:AY$17))))</f>
        <v>14115262.600666549</v>
      </c>
      <c r="BA30" s="741">
        <f>IF(XNPV($C12,$I$68:AZ$68,$I$17:AZ$17)&gt;=0,0,FV($C12,(BA$17-$I$17)/365,0,(XNPV($C12,$I$68:AZ$68,$I$17:AZ$17))))</f>
        <v>14122523.725560782</v>
      </c>
      <c r="BB30" s="741">
        <f>IF(XNPV($C12,$I$68:BA$68,$I$17:BA$17)&gt;=0,0,FV($C12,(BB$17-$I$17)/365,0,(XNPV($C12,$I$68:BA$68,$I$17:BA$17))))</f>
        <v>14102941.694613861</v>
      </c>
      <c r="BC30" s="741">
        <f>IF(XNPV($C12,$I$68:BB$68,$I$17:BB$17)&gt;=0,0,FV($C12,(BC$17-$I$17)/365,0,(XNPV($C12,$I$68:BB$68,$I$17:BB$17))))</f>
        <v>14108609.025858842</v>
      </c>
      <c r="BD30" s="741">
        <f>IF(XNPV($C12,$I$68:BC$68,$I$17:BC$17)&gt;=0,0,FV($C12,(BD$17-$I$17)/365,0,(XNPV($C12,$I$68:BC$68,$I$17:BC$17))))</f>
        <v>14104990.303673128</v>
      </c>
      <c r="BE30" s="741">
        <f>IF(XNPV($C12,$I$68:BD$68,$I$17:BD$17)&gt;=0,0,FV($C12,(BE$17-$I$17)/365,0,(XNPV($C12,$I$68:BD$68,$I$17:BD$17))))</f>
        <v>0</v>
      </c>
      <c r="BF30" s="741">
        <f>IF(XNPV($C12,$I$68:BE$68,$I$17:BE$17)&gt;=0,0,FV($C12,(BF$17-$I$17)/365,0,(XNPV($C12,$I$68:BE$68,$I$17:BE$17))))</f>
        <v>0</v>
      </c>
      <c r="BG30" s="741">
        <f>IF(XNPV($C12,$I$68:BF$68,$I$17:BF$17)&gt;=0,0,FV($C12,(BG$17-$I$17)/365,0,(XNPV($C12,$I$68:BF$68,$I$17:BF$17))))</f>
        <v>0</v>
      </c>
      <c r="BH30" s="741">
        <f>IF(XNPV($C12,$I$68:BG$68,$I$17:BG$17)&gt;=0,0,FV($C12,(BH$17-$I$17)/365,0,(XNPV($C12,$I$68:BG$68,$I$17:BG$17))))</f>
        <v>0</v>
      </c>
      <c r="BI30" s="741">
        <f>IF(XNPV($C12,$I$68:BH$68,$I$17:BH$17)&gt;=0,0,FV($C12,(BI$17-$I$17)/365,0,(XNPV($C12,$I$68:BH$68,$I$17:BH$17))))</f>
        <v>0</v>
      </c>
      <c r="BJ30" s="741">
        <f>IF(XNPV($C12,$I$68:BI$68,$I$17:BI$17)&gt;=0,0,FV($C12,(BJ$17-$I$17)/365,0,(XNPV($C12,$I$68:BI$68,$I$17:BI$17))))</f>
        <v>0</v>
      </c>
      <c r="BK30" s="741">
        <f>IF(XNPV($C12,$I$68:BJ$68,$I$17:BJ$17)&gt;=0,0,FV($C12,(BK$17-$I$17)/365,0,(XNPV($C12,$I$68:BJ$68,$I$17:BJ$17))))</f>
        <v>0</v>
      </c>
      <c r="BL30" s="741">
        <f>IF(XNPV($C12,$I$68:BK$68,$I$17:BK$17)&gt;=0,0,FV($C12,(BL$17-$I$17)/365,0,(XNPV($C12,$I$68:BK$68,$I$17:BK$17))))</f>
        <v>0</v>
      </c>
      <c r="BM30" s="741">
        <f>IF(XNPV($C12,$I$68:BL$68,$I$17:BL$17)&gt;=0,0,FV($C12,(BM$17-$I$17)/365,0,(XNPV($C12,$I$68:BL$68,$I$17:BL$17))))</f>
        <v>0</v>
      </c>
      <c r="BN30" s="741">
        <f>IF(XNPV($C12,$I$68:BM$68,$I$17:BM$17)&gt;=0,0,FV($C12,(BN$17-$I$17)/365,0,(XNPV($C12,$I$68:BM$68,$I$17:BM$17))))</f>
        <v>0</v>
      </c>
      <c r="BO30" s="741">
        <f>IF(XNPV($C12,$I$68:BN$68,$I$17:BN$17)&gt;=0,0,FV($C12,(BO$17-$I$17)/365,0,(XNPV($C12,$I$68:BN$68,$I$17:BN$17))))</f>
        <v>0</v>
      </c>
      <c r="BP30" s="741">
        <f>IF(XNPV($C12,$I$68:BO$68,$I$17:BO$17)&gt;=0,0,FV($C12,(BP$17-$I$17)/365,0,(XNPV($C12,$I$68:BO$68,$I$17:BO$17))))</f>
        <v>0</v>
      </c>
      <c r="BQ30" s="741">
        <f>IF(XNPV($C12,$I$68:BP$68,$I$17:BP$17)&gt;=0,0,FV($C12,(BQ$17-$I$17)/365,0,(XNPV($C12,$I$68:BP$68,$I$17:BP$17))))</f>
        <v>0</v>
      </c>
      <c r="BR30" s="741">
        <f>IF(XNPV($C12,$I$68:BQ$68,$I$17:BQ$17)&gt;=0,0,FV($C12,(BR$17-$I$17)/365,0,(XNPV($C12,$I$68:BQ$68,$I$17:BQ$17))))</f>
        <v>0</v>
      </c>
      <c r="BS30" s="741">
        <f>IF(XNPV($C12,$I$68:BR$68,$I$17:BR$17)&gt;=0,0,FV($C12,(BS$17-$I$17)/365,0,(XNPV($C12,$I$68:BR$68,$I$17:BR$17))))</f>
        <v>0</v>
      </c>
      <c r="BT30" s="741">
        <f>IF(XNPV($C12,$I$68:BS$68,$I$17:BS$17)&gt;=0,0,FV($C12,(BT$17-$I$17)/365,0,(XNPV($C12,$I$68:BS$68,$I$17:BS$17))))</f>
        <v>0</v>
      </c>
      <c r="BU30" s="741">
        <f>IF(XNPV($C12,$I$68:BT$68,$I$17:BT$17)&gt;=0,0,FV($C12,(BU$17-$I$17)/365,0,(XNPV($C12,$I$68:BT$68,$I$17:BT$17))))</f>
        <v>0</v>
      </c>
      <c r="BV30" s="741">
        <f>IF(XNPV($C12,$I$68:BU$68,$I$17:BU$17)&gt;=0,0,FV($C12,(BV$17-$I$17)/365,0,(XNPV($C12,$I$68:BU$68,$I$17:BU$17))))</f>
        <v>0</v>
      </c>
      <c r="BW30" s="741">
        <f>IF(XNPV($C12,$I$68:BV$68,$I$17:BV$17)&gt;=0,0,FV($C12,(BW$17-$I$17)/365,0,(XNPV($C12,$I$68:BV$68,$I$17:BV$17))))</f>
        <v>0</v>
      </c>
      <c r="BX30" s="741">
        <f>IF(XNPV($C12,$I$68:BW$68,$I$17:BW$17)&gt;=0,0,FV($C12,(BX$17-$I$17)/365,0,(XNPV($C12,$I$68:BW$68,$I$17:BW$17))))</f>
        <v>0</v>
      </c>
      <c r="BY30" s="741">
        <f>IF(XNPV($C12,$I$68:BX$68,$I$17:BX$17)&gt;=0,0,FV($C12,(BY$17-$I$17)/365,0,(XNPV($C12,$I$68:BX$68,$I$17:BX$17))))</f>
        <v>0</v>
      </c>
      <c r="BZ30" s="741">
        <f>IF(XNPV($C12,$I$68:BY$68,$I$17:BY$17)&gt;=0,0,FV($C12,(BZ$17-$I$17)/365,0,(XNPV($C12,$I$68:BY$68,$I$17:BY$17))))</f>
        <v>0</v>
      </c>
      <c r="CA30" s="741">
        <f>IF(XNPV($C12,$I$68:BZ$68,$I$17:BZ$17)&gt;=0,0,FV($C12,(CA$17-$I$17)/365,0,(XNPV($C12,$I$68:BZ$68,$I$17:BZ$17))))</f>
        <v>0</v>
      </c>
      <c r="CB30" s="741">
        <f>IF(XNPV($C12,$I$68:CA$68,$I$17:CA$17)&gt;=0,0,FV($C12,(CB$17-$I$17)/365,0,(XNPV($C12,$I$68:CA$68,$I$17:CA$17))))</f>
        <v>0</v>
      </c>
      <c r="CC30" s="741">
        <f>IF(XNPV($C12,$I$68:CB$68,$I$17:CB$17)&gt;=0,0,FV($C12,(CC$17-$I$17)/365,0,(XNPV($C12,$I$68:CB$68,$I$17:CB$17))))</f>
        <v>0</v>
      </c>
      <c r="CD30" s="741">
        <f>IF(XNPV($C12,$I$68:CC$68,$I$17:CC$17)&gt;=0,0,FV($C12,(CD$17-$I$17)/365,0,(XNPV($C12,$I$68:CC$68,$I$17:CC$17))))</f>
        <v>0</v>
      </c>
      <c r="CE30" s="741">
        <f>IF(XNPV($C12,$I$68:CD$68,$I$17:CD$17)&gt;=0,0,FV($C12,(CE$17-$I$17)/365,0,(XNPV($C12,$I$68:CD$68,$I$17:CD$17))))</f>
        <v>0</v>
      </c>
      <c r="CF30" s="741">
        <f>IF(XNPV($C12,$I$68:CE$68,$I$17:CE$17)&gt;=0,0,FV($C12,(CF$17-$I$17)/365,0,(XNPV($C12,$I$68:CE$68,$I$17:CE$17))))</f>
        <v>0</v>
      </c>
      <c r="CG30" s="741">
        <f>IF(XNPV($C12,$I$68:CF$68,$I$17:CF$17)&gt;=0,0,FV($C12,(CG$17-$I$17)/365,0,(XNPV($C12,$I$68:CF$68,$I$17:CF$17))))</f>
        <v>0</v>
      </c>
      <c r="CH30" s="741">
        <f>IF(XNPV($C12,$I$68:CG$68,$I$17:CG$17)&gt;=0,0,FV($C12,(CH$17-$I$17)/365,0,(XNPV($C12,$I$68:CG$68,$I$17:CG$17))))</f>
        <v>0</v>
      </c>
      <c r="CI30" s="741">
        <f>IF(XNPV($C12,$I$68:CH$68,$I$17:CH$17)&gt;=0,0,FV($C12,(CI$17-$I$17)/365,0,(XNPV($C12,$I$68:CH$68,$I$17:CH$17))))</f>
        <v>0</v>
      </c>
      <c r="CJ30" s="741">
        <f>IF(XNPV($C12,$I$68:CI$68,$I$17:CI$17)&gt;=0,0,FV($C12,(CJ$17-$I$17)/365,0,(XNPV($C12,$I$68:CI$68,$I$17:CI$17))))</f>
        <v>0</v>
      </c>
      <c r="CK30" s="741">
        <f>IF(XNPV($C12,$I$68:CJ$68,$I$17:CJ$17)&gt;=0,0,FV($C12,(CK$17-$I$17)/365,0,(XNPV($C12,$I$68:CJ$68,$I$17:CJ$17))))</f>
        <v>0</v>
      </c>
      <c r="CL30" s="741">
        <f>IF(XNPV($C12,$I$68:CK$68,$I$17:CK$17)&gt;=0,0,FV($C12,(CL$17-$I$17)/365,0,(XNPV($C12,$I$68:CK$68,$I$17:CK$17))))</f>
        <v>0</v>
      </c>
      <c r="CM30" s="741">
        <f>IF(XNPV($C12,$I$68:CL$68,$I$17:CL$17)&gt;=0,0,FV($C12,(CM$17-$I$17)/365,0,(XNPV($C12,$I$68:CL$68,$I$17:CL$17))))</f>
        <v>0</v>
      </c>
      <c r="CN30" s="741">
        <f>IF(XNPV($C12,$I$68:CM$68,$I$17:CM$17)&gt;=0,0,FV($C12,(CN$17-$I$17)/365,0,(XNPV($C12,$I$68:CM$68,$I$17:CM$17))))</f>
        <v>0</v>
      </c>
      <c r="CO30" s="741">
        <f>IF(XNPV($C12,$I$68:CN$68,$I$17:CN$17)&gt;=0,0,FV($C12,(CO$17-$I$17)/365,0,(XNPV($C12,$I$68:CN$68,$I$17:CN$17))))</f>
        <v>0</v>
      </c>
      <c r="CP30" s="741">
        <f>IF(XNPV($C12,$I$68:CO$68,$I$17:CO$17)&gt;=0,0,FV($C12,(CP$17-$I$17)/365,0,(XNPV($C12,$I$68:CO$68,$I$17:CO$17))))</f>
        <v>0</v>
      </c>
      <c r="CQ30" s="741">
        <f>IF(XNPV($C12,$I$68:CP$68,$I$17:CP$17)&gt;=0,0,FV($C12,(CQ$17-$I$17)/365,0,(XNPV($C12,$I$68:CP$68,$I$17:CP$17))))</f>
        <v>0</v>
      </c>
      <c r="CR30" s="741">
        <f>IF(XNPV($C12,$I$68:CQ$68,$I$17:CQ$17)&gt;=0,0,FV($C12,(CR$17-$I$17)/365,0,(XNPV($C12,$I$68:CQ$68,$I$17:CQ$17))))</f>
        <v>0</v>
      </c>
      <c r="CS30" s="741">
        <f>IF(XNPV($C12,$I$68:CR$68,$I$17:CR$17)&gt;=0,0,FV($C12,(CS$17-$I$17)/365,0,(XNPV($C12,$I$68:CR$68,$I$17:CR$17))))</f>
        <v>0</v>
      </c>
      <c r="CT30" s="741">
        <f>IF(XNPV($C12,$I$68:CS$68,$I$17:CS$17)&gt;=0,0,FV($C12,(CT$17-$I$17)/365,0,(XNPV($C12,$I$68:CS$68,$I$17:CS$17))))</f>
        <v>0</v>
      </c>
      <c r="CU30" s="741">
        <f>IF(XNPV($C12,$I$68:CT$68,$I$17:CT$17)&gt;=0,0,FV($C12,(CU$17-$I$17)/365,0,(XNPV($C12,$I$68:CT$68,$I$17:CT$17))))</f>
        <v>0</v>
      </c>
      <c r="CV30" s="741">
        <f>IF(XNPV($C12,$I$68:CU$68,$I$17:CU$17)&gt;=0,0,FV($C12,(CV$17-$I$17)/365,0,(XNPV($C12,$I$68:CU$68,$I$17:CU$17))))</f>
        <v>0</v>
      </c>
      <c r="CW30" s="741">
        <f>IF(XNPV($C12,$I$68:CV$68,$I$17:CV$17)&gt;=0,0,FV($C12,(CW$17-$I$17)/365,0,(XNPV($C12,$I$68:CV$68,$I$17:CV$17))))</f>
        <v>0</v>
      </c>
      <c r="CX30" s="741">
        <f>IF(XNPV($C12,$I$68:CW$68,$I$17:CW$17)&gt;=0,0,FV($C12,(CX$17-$I$17)/365,0,(XNPV($C12,$I$68:CW$68,$I$17:CW$17))))</f>
        <v>0</v>
      </c>
      <c r="CY30" s="741">
        <f>IF(XNPV($C12,$I$68:CX$68,$I$17:CX$17)&gt;=0,0,FV($C12,(CY$17-$I$17)/365,0,(XNPV($C12,$I$68:CX$68,$I$17:CX$17))))</f>
        <v>0</v>
      </c>
      <c r="CZ30" s="741">
        <f>IF(XNPV($C12,$I$68:CY$68,$I$17:CY$17)&gt;=0,0,FV($C12,(CZ$17-$I$17)/365,0,(XNPV($C12,$I$68:CY$68,$I$17:CY$17))))</f>
        <v>0</v>
      </c>
      <c r="DA30" s="741">
        <f>IF(XNPV($C12,$I$68:BR$68,$I$17:BR$17)&gt;=0,0,FV($C12,(DA$17-$I$17)/365,0,(XNPV($C12,$I$68:BR$68,$I$17:BR$17))))</f>
        <v>0</v>
      </c>
      <c r="DB30" s="741">
        <f>IF(XNPV($C12,$I$68:BJ$68,$I$17:BJ$17)&gt;=0,0,FV($C12,(DB$17-$I$17)/365,0,(XNPV($C12,$I$68:BJ$68,$I$17:BJ$17))))</f>
        <v>0</v>
      </c>
      <c r="DC30" s="741">
        <f>IF(XNPV($C12,$I$68:DB$68,$I$17:DB$17)&gt;=0,0,FV($C12,(DC$17-$I$17)/365,0,(XNPV($C12,$I$68:DB$68,$I$17:DB$17))))</f>
        <v>0</v>
      </c>
      <c r="DD30" s="741">
        <f>IF(XNPV($C12,$I$68:DC$68,$I$17:DC$17)&gt;=0,0,FV($C12,(DD$17-$I$17)/365,0,(XNPV($C12,$I$68:DC$68,$I$17:DC$17))))</f>
        <v>0</v>
      </c>
      <c r="DE30" s="741">
        <f>IF(XNPV($C12,$I$68:DD$68,$I$17:DD$17)&gt;=0,0,FV($C12,(DE$17-$I$17)/365,0,(XNPV($C12,$I$68:DD$68,$I$17:DD$17))))</f>
        <v>0</v>
      </c>
      <c r="DF30" s="741">
        <f>IF(XNPV($C12,$I$68:DE$68,$I$17:DE$17)&gt;=0,0,FV($C12,(DF$17-$I$17)/365,0,(XNPV($C12,$I$68:DE$68,$I$17:DE$17))))</f>
        <v>0</v>
      </c>
      <c r="DG30" s="741">
        <f>IF(XNPV($C12,$I$68:DF$68,$I$17:DF$17)&gt;=0,0,FV($C12,(DG$17-$I$17)/365,0,(XNPV($C12,$I$68:DF$68,$I$17:DF$17))))</f>
        <v>0</v>
      </c>
      <c r="DH30" s="741">
        <f>IF(XNPV($C12,$I$68:DG$68,$I$17:DG$17)&gt;=0,0,FV($C12,(DH$17-$I$17)/365,0,(XNPV($C12,$I$68:DG$68,$I$17:DG$17))))</f>
        <v>0</v>
      </c>
      <c r="DI30" s="741">
        <f>IF(XNPV($C12,$I$68:DH$68,$I$17:DH$17)&gt;=0,0,FV($C12,(DI$17-$I$17)/365,0,(XNPV($C12,$I$68:DH$68,$I$17:DH$17))))</f>
        <v>0</v>
      </c>
      <c r="DJ30" s="741">
        <f>IF(XNPV($C12,$I$68:DI$68,$I$17:DI$17)&gt;=0,0,FV($C12,(DJ$17-$I$17)/365,0,(XNPV($C12,$I$68:DI$68,$I$17:DI$17))))</f>
        <v>0</v>
      </c>
      <c r="DK30" s="741">
        <f>IF(XNPV($C12,$I$68:DA$68,$I$17:DA$17)&gt;=0,0,FV($C12,(DK$17-$I$17)/365,0,(XNPV($C12,$I$68:DA$68,$I$17:DA$17))))</f>
        <v>0</v>
      </c>
      <c r="DL30" s="741">
        <f>IF(XNPV($C12,$I$68:DK$68,$I$17:DK$17)&gt;=0,0,FV($C12,(DL$17-$I$17)/365,0,(XNPV($C12,$I$68:DK$68,$I$17:DK$17))))</f>
        <v>0</v>
      </c>
      <c r="DM30" s="741">
        <f>IF(XNPV($C12,$I$68:DL$68,$I$17:DL$17)&gt;=0,0,FV($C12,(DM$17-$I$17)/365,0,(XNPV($C12,$I$68:DL$68,$I$17:DL$17))))</f>
        <v>0</v>
      </c>
      <c r="DN30" s="741">
        <f>IF(XNPV($C12,$I$68:DM$68,$I$17:DM$17)&gt;=0,0,FV($C12,(DN$17-$I$17)/365,0,(XNPV($C12,$I$68:DM$68,$I$17:DM$17))))</f>
        <v>0</v>
      </c>
      <c r="DO30" s="741">
        <f>IF(XNPV($C12,$I$68:DN$68,$I$17:DN$17)&gt;=0,0,FV($C12,(DO$17-$I$17)/365,0,(XNPV($C12,$I$68:DN$68,$I$17:DN$17))))</f>
        <v>0</v>
      </c>
      <c r="DP30" s="741">
        <f>IF(XNPV($C12,$I$68:DO$68,$I$17:DO$17)&gt;=0,0,FV($C12,(DP$17-$I$17)/365,0,(XNPV($C12,$I$68:DO$68,$I$17:DO$17))))</f>
        <v>0</v>
      </c>
      <c r="DQ30" s="741">
        <f>IF(XNPV($C12,$I$68:DP$68,$I$17:DP$17)&gt;=0,0,FV($C12,(DQ$17-$I$17)/365,0,(XNPV($C12,$I$68:DP$68,$I$17:DP$17))))</f>
        <v>0</v>
      </c>
      <c r="DR30" s="741">
        <f>IF(XNPV($C12,$I$68:CI$68,$I$17:CI$17)&gt;=0,0,FV($C12,(DR$17-$I$17)/365,0,(XNPV($C12,$I$68:CI$68,$I$17:CI$17))))</f>
        <v>0</v>
      </c>
      <c r="DS30" s="741">
        <f>IF(XNPV($C12,$I$68:CA$68,$I$17:CA$17)&gt;=0,0,FV($C12,(DS$17-$I$17)/365,0,(XNPV($C12,$I$68:CA$68,$I$17:CA$17))))</f>
        <v>0</v>
      </c>
      <c r="DT30" s="741">
        <f>IF(XNPV($C12,$I$68:DS$68,$I$17:DS$17)&gt;=0,0,FV($C12,(DT$17-$I$17)/365,0,(XNPV($C12,$I$68:DS$68,$I$17:DS$17))))</f>
        <v>0</v>
      </c>
      <c r="DU30" s="741">
        <f>IF(XNPV($C12,$I$68:DT$68,$I$17:DT$17)&gt;=0,0,FV($C12,(DU$17-$I$17)/365,0,(XNPV($C12,$I$68:DT$68,$I$17:DT$17))))</f>
        <v>0</v>
      </c>
      <c r="DV30" s="741">
        <f>IF(XNPV($C12,$I$68:DU$68,$I$17:DU$17)&gt;=0,0,FV($C12,(DV$17-$I$17)/365,0,(XNPV($C12,$I$68:DU$68,$I$17:DU$17))))</f>
        <v>0</v>
      </c>
      <c r="DW30" s="741">
        <f>IF(XNPV($C12,$I$68:DV$68,$I$17:DV$17)&gt;=0,0,FV($C12,(DW$17-$I$17)/365,0,(XNPV($C12,$I$68:DV$68,$I$17:DV$17))))</f>
        <v>0</v>
      </c>
      <c r="DX30" s="741">
        <f>IF(XNPV($C12,$I$68:DW$68,$I$17:DW$17)&gt;=0,0,FV($C12,(DX$17-$I$17)/365,0,(XNPV($C12,$I$68:DW$68,$I$17:DW$17))))</f>
        <v>0</v>
      </c>
      <c r="DY30" s="741">
        <f>IF(XNPV($C12,$I$68:DX$68,$I$17:DX$17)&gt;=0,0,FV($C12,(DY$17-$I$17)/365,0,(XNPV($C12,$I$68:DX$68,$I$17:DX$17))))</f>
        <v>0</v>
      </c>
      <c r="DZ30" s="741">
        <f>IF(XNPV($C12,$I$68:DY$68,$I$17:DY$17)&gt;=0,0,FV($C12,(DZ$17-$I$17)/365,0,(XNPV($C12,$I$68:DY$68,$I$17:DY$17))))</f>
        <v>0</v>
      </c>
      <c r="EA30" s="741">
        <f>IF(XNPV($C12,$I$68:DZ$68,$I$17:DZ$17)&gt;=0,0,FV($C12,(EA$17-$I$17)/365,0,(XNPV($C12,$I$68:DZ$68,$I$17:DZ$17))))</f>
        <v>0</v>
      </c>
      <c r="EB30" s="741">
        <f>IF(XNPV($C12,$I$68:DR$68,$I$17:DR$17)&gt;=0,0,FV($C12,(EB$17-$I$17)/365,0,(XNPV($C12,$I$68:DR$68,$I$17:DR$17))))</f>
        <v>0</v>
      </c>
      <c r="EC30" s="741">
        <f>IF(XNPV($C12,$I$68:EB$68,$I$17:EB$17)&gt;=0,0,FV($C12,(EC$17-$I$17)/365,0,(XNPV($C12,$I$68:EB$68,$I$17:EB$17))))</f>
        <v>0</v>
      </c>
      <c r="ED30" s="741">
        <f>IF(XNPV($C12,$I$68:EC$68,$I$17:EC$17)&gt;=0,0,FV($C12,(ED$17-$I$17)/365,0,(XNPV($C12,$I$68:EC$68,$I$17:EC$17))))</f>
        <v>0</v>
      </c>
      <c r="EE30" s="741">
        <f>IF(XNPV($C12,$I$68:ED$68,$I$17:ED$17)&gt;=0,0,FV($C12,(EE$17-$I$17)/365,0,(XNPV($C12,$I$68:ED$68,$I$17:ED$17))))</f>
        <v>0</v>
      </c>
      <c r="EF30" s="741">
        <f>IF(XNPV($C12,$I$68:EE$68,$I$17:EE$17)&gt;=0,0,FV($C12,(EF$17-$I$17)/365,0,(XNPV($C12,$I$68:EE$68,$I$17:EE$17))))</f>
        <v>0</v>
      </c>
      <c r="EG30" s="741">
        <f>IF(XNPV($C12,$I$68:EF$68,$I$17:EF$17)&gt;=0,0,FV($C12,(EG$17-$I$17)/365,0,(XNPV($C12,$I$68:EF$68,$I$17:EF$17))))</f>
        <v>0</v>
      </c>
      <c r="EH30" s="741">
        <f>IF(XNPV($C12,$I$68:EG$68,$I$17:EG$17)&gt;=0,0,FV($C12,(EH$17-$I$17)/365,0,(XNPV($C12,$I$68:EG$68,$I$17:EG$17))))</f>
        <v>0</v>
      </c>
      <c r="EI30" s="741">
        <f>IF(XNPV($C12,$I$68:CZ$68,$I$17:CZ$17)&gt;=0,0,FV($C12,(EI$17-$I$17)/365,0,(XNPV($C12,$I$68:CZ$68,$I$17:CZ$17))))</f>
        <v>0</v>
      </c>
      <c r="EJ30" s="741">
        <f>IF(XNPV($C12,$I$68:CR$68,$I$17:CR$17)&gt;=0,0,FV($C12,(EJ$17-$I$17)/365,0,(XNPV($C12,$I$68:CR$68,$I$17:CR$17))))</f>
        <v>0</v>
      </c>
      <c r="EK30" s="741">
        <f>IF(XNPV($C12,$I$68:EJ$68,$I$17:EJ$17)&gt;=0,0,FV($C12,(EK$17-$I$17)/365,0,(XNPV($C12,$I$68:EJ$68,$I$17:EJ$17))))</f>
        <v>0</v>
      </c>
      <c r="EL30" s="741">
        <f>IF(XNPV($C12,$I$68:EK$68,$I$17:EK$17)&gt;=0,0,FV($C12,(EL$17-$I$17)/365,0,(XNPV($C12,$I$68:EK$68,$I$17:EK$17))))</f>
        <v>0</v>
      </c>
      <c r="EM30" s="741">
        <f>IF(XNPV($C12,$I$68:EL$68,$I$17:EL$17)&gt;=0,0,FV($C12,(EM$17-$I$17)/365,0,(XNPV($C12,$I$68:EL$68,$I$17:EL$17))))</f>
        <v>0</v>
      </c>
      <c r="EN30" s="741">
        <f>IF(XNPV($C12,$I$68:EM$68,$I$17:EM$17)&gt;=0,0,FV($C12,(EN$17-$I$17)/365,0,(XNPV($C12,$I$68:EM$68,$I$17:EM$17))))</f>
        <v>0</v>
      </c>
      <c r="EO30" s="741">
        <f>IF(XNPV($C12,$I$68:EN$68,$I$17:EN$17)&gt;=0,0,FV($C12,(EO$17-$I$17)/365,0,(XNPV($C12,$I$68:EN$68,$I$17:EN$17))))</f>
        <v>0</v>
      </c>
      <c r="EP30" s="741">
        <f>IF(XNPV($C12,$I$68:EO$68,$I$17:EO$17)&gt;=0,0,FV($C12,(EP$17-$I$17)/365,0,(XNPV($C12,$I$68:EO$68,$I$17:EO$17))))</f>
        <v>0</v>
      </c>
      <c r="EQ30" s="741">
        <f>IF(XNPV($C12,$I$68:EP$68,$I$17:EP$17)&gt;=0,0,FV($C12,(EQ$17-$I$17)/365,0,(XNPV($C12,$I$68:EP$68,$I$17:EP$17))))</f>
        <v>0</v>
      </c>
      <c r="ER30" s="741">
        <f>IF(XNPV($C12,$I$68:EQ$68,$I$17:EQ$17)&gt;=0,0,FV($C12,(ER$17-$I$17)/365,0,(XNPV($C12,$I$68:EQ$68,$I$17:EQ$17))))</f>
        <v>0</v>
      </c>
      <c r="ES30" s="741">
        <f>IF(XNPV($C12,$I$68:EI$68,$I$17:EI$17)&gt;=0,0,FV($C12,(ES$17-$I$17)/365,0,(XNPV($C12,$I$68:EI$68,$I$17:EI$17))))</f>
        <v>0</v>
      </c>
      <c r="ET30" s="741">
        <f>IF(XNPV($C12,$I$68:ES$68,$I$17:ES$17)&gt;=0,0,FV($C12,(ET$17-$I$17)/365,0,(XNPV($C12,$I$68:ES$68,$I$17:ES$17))))</f>
        <v>0</v>
      </c>
      <c r="EU30" s="741">
        <f>IF(XNPV($C12,$I$68:ET$68,$I$17:ET$17)&gt;=0,0,FV($C12,(EU$17-$I$17)/365,0,(XNPV($C12,$I$68:ET$68,$I$17:ET$17))))</f>
        <v>0</v>
      </c>
      <c r="EV30" s="741">
        <f>IF(XNPV($C12,$I$68:EU$68,$I$17:EU$17)&gt;=0,0,FV($C12,(EV$17-$I$17)/365,0,(XNPV($C12,$I$68:EU$68,$I$17:EU$17))))</f>
        <v>0</v>
      </c>
      <c r="EW30" s="741">
        <f>IF(XNPV($C12,$I$68:EV$68,$I$17:EV$17)&gt;=0,0,FV($C12,(EW$17-$I$17)/365,0,(XNPV($C12,$I$68:EV$68,$I$17:EV$17))))</f>
        <v>0</v>
      </c>
      <c r="EX30" s="741">
        <f>IF(XNPV($C12,$I$68:EW$68,$I$17:EW$17)&gt;=0,0,FV($C12,(EX$17-$I$17)/365,0,(XNPV($C12,$I$68:EW$68,$I$17:EW$17))))</f>
        <v>0</v>
      </c>
      <c r="EY30" s="741">
        <f>IF(XNPV($C12,$I$68:EX$68,$I$17:EX$17)&gt;=0,0,FV($C12,(EY$17-$I$17)/365,0,(XNPV($C12,$I$68:EX$68,$I$17:EX$17))))</f>
        <v>0</v>
      </c>
      <c r="EZ30" s="741">
        <f>IF(XNPV($C12,$I$68:EY$68,$I$17:EY$17)&gt;=0,0,FV($C12,(EZ$17-$I$17)/365,0,(XNPV($C12,$I$68:EY$68,$I$17:EY$17))))</f>
        <v>0</v>
      </c>
      <c r="FA30" s="741">
        <f>IF(XNPV($C12,$I$68:EZ$68,$I$17:EZ$17)&gt;=0,0,FV($C12,(FA$17-$I$17)/365,0,(XNPV($C12,$I$68:EZ$68,$I$17:EZ$17))))</f>
        <v>0</v>
      </c>
      <c r="FB30" s="741">
        <f>IF(XNPV($C12,$I$68:FA$68,$I$17:FA$17)&gt;=0,0,FV($C12,(FB$17-$I$17)/365,0,(XNPV($C12,$I$68:FA$68,$I$17:FA$17))))</f>
        <v>0</v>
      </c>
      <c r="FD30" s="728"/>
    </row>
    <row r="31" spans="2:161" s="742" customFormat="1">
      <c r="B31" s="692" t="s">
        <v>361</v>
      </c>
      <c r="E31" s="704"/>
      <c r="G31" s="743"/>
      <c r="I31" s="744">
        <v>0</v>
      </c>
      <c r="J31" s="744">
        <v>0</v>
      </c>
      <c r="K31" s="744">
        <v>0</v>
      </c>
      <c r="L31" s="744">
        <v>0</v>
      </c>
      <c r="M31" s="744">
        <v>0</v>
      </c>
      <c r="N31" s="744">
        <v>0</v>
      </c>
      <c r="O31" s="744">
        <v>0</v>
      </c>
      <c r="P31" s="744">
        <v>0</v>
      </c>
      <c r="Q31" s="744">
        <v>0</v>
      </c>
      <c r="R31" s="744">
        <v>0</v>
      </c>
      <c r="S31" s="744">
        <v>0</v>
      </c>
      <c r="T31" s="744">
        <v>0</v>
      </c>
      <c r="U31" s="744">
        <v>0</v>
      </c>
      <c r="V31" s="744">
        <v>0</v>
      </c>
      <c r="W31" s="744">
        <v>0</v>
      </c>
      <c r="X31" s="744">
        <v>0</v>
      </c>
      <c r="Y31" s="744">
        <v>0</v>
      </c>
      <c r="Z31" s="744">
        <v>0</v>
      </c>
      <c r="AA31" s="744">
        <v>0</v>
      </c>
      <c r="AB31" s="744">
        <v>0</v>
      </c>
      <c r="AC31" s="744">
        <v>0</v>
      </c>
      <c r="AD31" s="744">
        <v>0</v>
      </c>
      <c r="AE31" s="744">
        <v>0</v>
      </c>
      <c r="AF31" s="744">
        <v>0</v>
      </c>
      <c r="AG31" s="744">
        <v>0</v>
      </c>
      <c r="AH31" s="744">
        <v>0</v>
      </c>
      <c r="AI31" s="744">
        <v>0</v>
      </c>
      <c r="AJ31" s="744">
        <v>0</v>
      </c>
      <c r="AK31" s="744">
        <v>0</v>
      </c>
      <c r="AL31" s="744">
        <v>0</v>
      </c>
      <c r="AM31" s="744">
        <v>0</v>
      </c>
      <c r="AN31" s="744">
        <v>0</v>
      </c>
      <c r="AO31" s="744">
        <v>0</v>
      </c>
      <c r="AP31" s="744">
        <v>0</v>
      </c>
      <c r="AQ31" s="744">
        <v>0</v>
      </c>
      <c r="AR31" s="744">
        <v>0</v>
      </c>
      <c r="AS31" s="744">
        <v>0</v>
      </c>
      <c r="AT31" s="744">
        <v>0</v>
      </c>
      <c r="AU31" s="744">
        <v>0</v>
      </c>
      <c r="AV31" s="744">
        <v>0</v>
      </c>
      <c r="AW31" s="744">
        <v>0</v>
      </c>
      <c r="AX31" s="744">
        <v>0</v>
      </c>
      <c r="AY31" s="744">
        <v>0</v>
      </c>
      <c r="AZ31" s="744">
        <v>0</v>
      </c>
      <c r="BA31" s="744">
        <v>0</v>
      </c>
      <c r="BB31" s="744">
        <v>0</v>
      </c>
      <c r="BC31" s="744">
        <v>0</v>
      </c>
      <c r="BD31" s="744">
        <v>0</v>
      </c>
      <c r="BE31" s="744">
        <v>0</v>
      </c>
      <c r="BF31" s="744">
        <v>0</v>
      </c>
      <c r="BG31" s="744">
        <v>0</v>
      </c>
      <c r="BH31" s="744">
        <v>0</v>
      </c>
      <c r="BI31" s="744">
        <v>0</v>
      </c>
      <c r="BJ31" s="744">
        <v>0</v>
      </c>
      <c r="BK31" s="744">
        <v>0</v>
      </c>
      <c r="BL31" s="744">
        <v>0</v>
      </c>
      <c r="BM31" s="744">
        <v>0</v>
      </c>
      <c r="BN31" s="744">
        <v>0</v>
      </c>
      <c r="BO31" s="744">
        <v>0</v>
      </c>
      <c r="BP31" s="744">
        <v>0</v>
      </c>
      <c r="BQ31" s="744">
        <v>0</v>
      </c>
      <c r="BR31" s="744">
        <v>0</v>
      </c>
      <c r="BS31" s="744">
        <v>0</v>
      </c>
      <c r="BT31" s="744">
        <v>0</v>
      </c>
      <c r="BU31" s="744">
        <v>0</v>
      </c>
      <c r="BV31" s="744">
        <v>0</v>
      </c>
      <c r="BW31" s="744">
        <v>0</v>
      </c>
      <c r="BX31" s="744">
        <v>0</v>
      </c>
      <c r="BY31" s="744">
        <v>0</v>
      </c>
      <c r="BZ31" s="744">
        <v>0</v>
      </c>
      <c r="CA31" s="744">
        <v>0</v>
      </c>
      <c r="CB31" s="744">
        <v>0</v>
      </c>
      <c r="CC31" s="744">
        <v>0</v>
      </c>
      <c r="CD31" s="744">
        <v>0</v>
      </c>
      <c r="CE31" s="744">
        <v>0</v>
      </c>
      <c r="CF31" s="744">
        <v>0</v>
      </c>
      <c r="CG31" s="744">
        <v>0</v>
      </c>
      <c r="CH31" s="744">
        <v>0</v>
      </c>
      <c r="CI31" s="744">
        <v>0</v>
      </c>
      <c r="CJ31" s="744">
        <v>0</v>
      </c>
      <c r="CK31" s="744">
        <v>0</v>
      </c>
      <c r="CL31" s="744">
        <v>0</v>
      </c>
      <c r="CM31" s="744">
        <v>0</v>
      </c>
      <c r="CN31" s="744">
        <v>0</v>
      </c>
      <c r="CO31" s="744">
        <v>0</v>
      </c>
      <c r="CP31" s="744">
        <v>0</v>
      </c>
      <c r="CQ31" s="744">
        <v>0</v>
      </c>
      <c r="CR31" s="744">
        <v>0</v>
      </c>
      <c r="CS31" s="744">
        <v>0</v>
      </c>
      <c r="CT31" s="744">
        <v>0</v>
      </c>
      <c r="CU31" s="744">
        <v>0</v>
      </c>
      <c r="CV31" s="744">
        <v>0</v>
      </c>
      <c r="CW31" s="744">
        <v>0</v>
      </c>
      <c r="CX31" s="744">
        <v>0</v>
      </c>
      <c r="CY31" s="744">
        <v>0</v>
      </c>
      <c r="CZ31" s="744">
        <v>0</v>
      </c>
      <c r="DA31" s="744">
        <v>0</v>
      </c>
      <c r="DB31" s="744">
        <v>0</v>
      </c>
      <c r="DC31" s="744">
        <v>0</v>
      </c>
      <c r="DD31" s="744">
        <v>0</v>
      </c>
      <c r="DE31" s="744">
        <v>0</v>
      </c>
      <c r="DF31" s="744">
        <v>0</v>
      </c>
      <c r="DG31" s="744">
        <v>0</v>
      </c>
      <c r="DH31" s="744">
        <v>0</v>
      </c>
      <c r="DI31" s="744">
        <v>0</v>
      </c>
      <c r="DJ31" s="744">
        <v>0</v>
      </c>
      <c r="DK31" s="744">
        <v>0</v>
      </c>
      <c r="DL31" s="744">
        <v>0</v>
      </c>
      <c r="DM31" s="744">
        <v>0</v>
      </c>
      <c r="DN31" s="744">
        <v>0</v>
      </c>
      <c r="DO31" s="744">
        <v>0</v>
      </c>
      <c r="DP31" s="744">
        <v>0</v>
      </c>
      <c r="DQ31" s="744">
        <v>0</v>
      </c>
      <c r="DR31" s="744">
        <v>0</v>
      </c>
      <c r="DS31" s="744">
        <v>0</v>
      </c>
      <c r="DT31" s="744">
        <v>0</v>
      </c>
      <c r="DU31" s="744">
        <v>0</v>
      </c>
      <c r="DV31" s="744">
        <v>0</v>
      </c>
      <c r="DW31" s="744">
        <v>0</v>
      </c>
      <c r="DX31" s="744">
        <v>0</v>
      </c>
      <c r="DY31" s="744">
        <v>0</v>
      </c>
      <c r="DZ31" s="744">
        <v>0</v>
      </c>
      <c r="EA31" s="744">
        <v>0</v>
      </c>
      <c r="EB31" s="744">
        <v>0</v>
      </c>
      <c r="EC31" s="744">
        <v>0</v>
      </c>
      <c r="ED31" s="744">
        <v>0</v>
      </c>
      <c r="EE31" s="744">
        <v>0</v>
      </c>
      <c r="EF31" s="744">
        <v>0</v>
      </c>
      <c r="EG31" s="744">
        <v>0</v>
      </c>
      <c r="EH31" s="744">
        <v>0</v>
      </c>
      <c r="EI31" s="744">
        <v>0</v>
      </c>
      <c r="EJ31" s="744">
        <v>0</v>
      </c>
      <c r="EK31" s="744">
        <v>0</v>
      </c>
      <c r="EL31" s="744">
        <v>0</v>
      </c>
      <c r="EM31" s="744">
        <v>0</v>
      </c>
      <c r="EN31" s="744">
        <v>0</v>
      </c>
      <c r="EO31" s="744">
        <v>0</v>
      </c>
      <c r="EP31" s="744">
        <v>0</v>
      </c>
      <c r="EQ31" s="744">
        <v>0</v>
      </c>
      <c r="ER31" s="744">
        <v>0</v>
      </c>
      <c r="ES31" s="744">
        <v>0</v>
      </c>
      <c r="ET31" s="744">
        <v>0</v>
      </c>
      <c r="EU31" s="744">
        <v>0</v>
      </c>
      <c r="EV31" s="744">
        <v>0</v>
      </c>
      <c r="EW31" s="744">
        <v>0</v>
      </c>
      <c r="EX31" s="744">
        <v>0</v>
      </c>
      <c r="EY31" s="744">
        <v>0</v>
      </c>
      <c r="EZ31" s="744">
        <v>0</v>
      </c>
      <c r="FA31" s="744">
        <v>0</v>
      </c>
      <c r="FB31" s="744">
        <v>0</v>
      </c>
      <c r="FC31" s="692"/>
      <c r="FD31" s="743"/>
      <c r="FE31" s="692"/>
    </row>
    <row r="32" spans="2:161" s="742" customFormat="1">
      <c r="B32" s="692" t="s">
        <v>360</v>
      </c>
      <c r="E32" s="704"/>
      <c r="G32" s="743"/>
      <c r="I32" s="745">
        <f t="shared" ref="I32:AN32" si="13">SUM(I30:I31)</f>
        <v>0</v>
      </c>
      <c r="J32" s="746">
        <f t="shared" si="13"/>
        <v>12962532.873920131</v>
      </c>
      <c r="K32" s="746">
        <f t="shared" si="13"/>
        <v>13011637.453078207</v>
      </c>
      <c r="L32" s="746">
        <f t="shared" si="13"/>
        <v>13060923.358441353</v>
      </c>
      <c r="M32" s="746">
        <f t="shared" si="13"/>
        <v>13108041.66587293</v>
      </c>
      <c r="N32" s="746">
        <f t="shared" si="13"/>
        <v>13163819.624168999</v>
      </c>
      <c r="O32" s="746">
        <f t="shared" si="13"/>
        <v>13211332.369740365</v>
      </c>
      <c r="P32" s="746">
        <f t="shared" si="13"/>
        <v>13267537.75314505</v>
      </c>
      <c r="Q32" s="746">
        <f t="shared" si="13"/>
        <v>13318588.940887192</v>
      </c>
      <c r="R32" s="746">
        <f t="shared" si="13"/>
        <v>13350062.662207661</v>
      </c>
      <c r="S32" s="746">
        <f t="shared" si="13"/>
        <v>13407392.522295319</v>
      </c>
      <c r="T32" s="746">
        <f t="shared" si="13"/>
        <v>13456569.037090614</v>
      </c>
      <c r="U32" s="746">
        <f t="shared" si="13"/>
        <v>13514628.509173859</v>
      </c>
      <c r="V32" s="746">
        <f t="shared" si="13"/>
        <v>13549948.845177284</v>
      </c>
      <c r="W32" s="746">
        <f t="shared" si="13"/>
        <v>13597433.356159689</v>
      </c>
      <c r="X32" s="746">
        <f t="shared" si="13"/>
        <v>13648359.376925437</v>
      </c>
      <c r="Y32" s="746">
        <f t="shared" si="13"/>
        <v>13690177.8174286</v>
      </c>
      <c r="Z32" s="746">
        <f t="shared" si="13"/>
        <v>13733431.069924615</v>
      </c>
      <c r="AA32" s="746">
        <f t="shared" si="13"/>
        <v>13767368.375535801</v>
      </c>
      <c r="AB32" s="746">
        <f t="shared" si="13"/>
        <v>13809130.276371436</v>
      </c>
      <c r="AC32" s="746">
        <f t="shared" si="13"/>
        <v>13836999.757521046</v>
      </c>
      <c r="AD32" s="746">
        <f t="shared" si="13"/>
        <v>13846823.279964829</v>
      </c>
      <c r="AE32" s="746">
        <f t="shared" si="13"/>
        <v>13872821.046293322</v>
      </c>
      <c r="AF32" s="746">
        <f t="shared" si="13"/>
        <v>13889160.252155429</v>
      </c>
      <c r="AG32" s="746">
        <f t="shared" si="13"/>
        <v>13913076.05033762</v>
      </c>
      <c r="AH32" s="746">
        <f t="shared" si="13"/>
        <v>13927326.832893085</v>
      </c>
      <c r="AI32" s="746">
        <f t="shared" si="13"/>
        <v>13949659.785979852</v>
      </c>
      <c r="AJ32" s="746">
        <f t="shared" si="13"/>
        <v>13971220.620916542</v>
      </c>
      <c r="AK32" s="746">
        <f t="shared" si="13"/>
        <v>13983098.930913856</v>
      </c>
      <c r="AL32" s="746">
        <f t="shared" si="13"/>
        <v>14002583.865079068</v>
      </c>
      <c r="AM32" s="746">
        <f t="shared" si="13"/>
        <v>14012401.56583642</v>
      </c>
      <c r="AN32" s="746">
        <f t="shared" si="13"/>
        <v>14029868.470328366</v>
      </c>
      <c r="AO32" s="746">
        <f t="shared" ref="AO32:CZ32" si="14">SUM(AO30:AO31)</f>
        <v>14046395.308209689</v>
      </c>
      <c r="AP32" s="746">
        <f t="shared" si="14"/>
        <v>14036103.308404054</v>
      </c>
      <c r="AQ32" s="746">
        <f t="shared" si="14"/>
        <v>14050993.502214905</v>
      </c>
      <c r="AR32" s="746">
        <f t="shared" si="14"/>
        <v>14056350.427706758</v>
      </c>
      <c r="AS32" s="746">
        <f t="shared" si="14"/>
        <v>14069487.003418613</v>
      </c>
      <c r="AT32" s="746">
        <f t="shared" si="14"/>
        <v>14073117.453906605</v>
      </c>
      <c r="AU32" s="746">
        <f t="shared" si="14"/>
        <v>14084579.862943634</v>
      </c>
      <c r="AV32" s="746">
        <f t="shared" si="14"/>
        <v>14095640.422637194</v>
      </c>
      <c r="AW32" s="746">
        <f t="shared" si="14"/>
        <v>14097419.163852805</v>
      </c>
      <c r="AX32" s="746">
        <f t="shared" si="14"/>
        <v>14107057.278237714</v>
      </c>
      <c r="AY32" s="746">
        <f t="shared" si="14"/>
        <v>14107230.950318867</v>
      </c>
      <c r="AZ32" s="746">
        <f t="shared" si="14"/>
        <v>14115262.600666549</v>
      </c>
      <c r="BA32" s="746">
        <f t="shared" si="14"/>
        <v>14122523.725560782</v>
      </c>
      <c r="BB32" s="746">
        <f t="shared" si="14"/>
        <v>14102941.694613861</v>
      </c>
      <c r="BC32" s="746">
        <f t="shared" si="14"/>
        <v>14108609.025858842</v>
      </c>
      <c r="BD32" s="746">
        <f t="shared" si="14"/>
        <v>14104990.303673128</v>
      </c>
      <c r="BE32" s="746">
        <f t="shared" si="14"/>
        <v>0</v>
      </c>
      <c r="BF32" s="746">
        <f t="shared" si="14"/>
        <v>0</v>
      </c>
      <c r="BG32" s="746">
        <f t="shared" si="14"/>
        <v>0</v>
      </c>
      <c r="BH32" s="746">
        <f t="shared" si="14"/>
        <v>0</v>
      </c>
      <c r="BI32" s="746">
        <f t="shared" si="14"/>
        <v>0</v>
      </c>
      <c r="BJ32" s="746">
        <f t="shared" si="14"/>
        <v>0</v>
      </c>
      <c r="BK32" s="746">
        <f t="shared" si="14"/>
        <v>0</v>
      </c>
      <c r="BL32" s="746">
        <f t="shared" si="14"/>
        <v>0</v>
      </c>
      <c r="BM32" s="746">
        <f t="shared" si="14"/>
        <v>0</v>
      </c>
      <c r="BN32" s="746">
        <f t="shared" si="14"/>
        <v>0</v>
      </c>
      <c r="BO32" s="746">
        <f t="shared" si="14"/>
        <v>0</v>
      </c>
      <c r="BP32" s="746">
        <f t="shared" si="14"/>
        <v>0</v>
      </c>
      <c r="BQ32" s="746">
        <f t="shared" si="14"/>
        <v>0</v>
      </c>
      <c r="BR32" s="746">
        <f t="shared" si="14"/>
        <v>0</v>
      </c>
      <c r="BS32" s="746">
        <f t="shared" si="14"/>
        <v>0</v>
      </c>
      <c r="BT32" s="746">
        <f t="shared" si="14"/>
        <v>0</v>
      </c>
      <c r="BU32" s="746">
        <f t="shared" si="14"/>
        <v>0</v>
      </c>
      <c r="BV32" s="746">
        <f t="shared" si="14"/>
        <v>0</v>
      </c>
      <c r="BW32" s="746">
        <f t="shared" si="14"/>
        <v>0</v>
      </c>
      <c r="BX32" s="746">
        <f t="shared" si="14"/>
        <v>0</v>
      </c>
      <c r="BY32" s="746">
        <f t="shared" si="14"/>
        <v>0</v>
      </c>
      <c r="BZ32" s="746">
        <f t="shared" si="14"/>
        <v>0</v>
      </c>
      <c r="CA32" s="746">
        <f t="shared" si="14"/>
        <v>0</v>
      </c>
      <c r="CB32" s="746">
        <f t="shared" si="14"/>
        <v>0</v>
      </c>
      <c r="CC32" s="746">
        <f t="shared" si="14"/>
        <v>0</v>
      </c>
      <c r="CD32" s="746">
        <f t="shared" si="14"/>
        <v>0</v>
      </c>
      <c r="CE32" s="746">
        <f t="shared" si="14"/>
        <v>0</v>
      </c>
      <c r="CF32" s="746">
        <f t="shared" si="14"/>
        <v>0</v>
      </c>
      <c r="CG32" s="746">
        <f t="shared" si="14"/>
        <v>0</v>
      </c>
      <c r="CH32" s="746">
        <f t="shared" si="14"/>
        <v>0</v>
      </c>
      <c r="CI32" s="746">
        <f t="shared" si="14"/>
        <v>0</v>
      </c>
      <c r="CJ32" s="746">
        <f t="shared" si="14"/>
        <v>0</v>
      </c>
      <c r="CK32" s="746">
        <f t="shared" si="14"/>
        <v>0</v>
      </c>
      <c r="CL32" s="746">
        <f t="shared" si="14"/>
        <v>0</v>
      </c>
      <c r="CM32" s="746">
        <f t="shared" si="14"/>
        <v>0</v>
      </c>
      <c r="CN32" s="746">
        <f t="shared" si="14"/>
        <v>0</v>
      </c>
      <c r="CO32" s="746">
        <f t="shared" si="14"/>
        <v>0</v>
      </c>
      <c r="CP32" s="746">
        <f t="shared" si="14"/>
        <v>0</v>
      </c>
      <c r="CQ32" s="746">
        <f t="shared" si="14"/>
        <v>0</v>
      </c>
      <c r="CR32" s="746">
        <f t="shared" si="14"/>
        <v>0</v>
      </c>
      <c r="CS32" s="746">
        <f t="shared" si="14"/>
        <v>0</v>
      </c>
      <c r="CT32" s="746">
        <f t="shared" si="14"/>
        <v>0</v>
      </c>
      <c r="CU32" s="746">
        <f t="shared" si="14"/>
        <v>0</v>
      </c>
      <c r="CV32" s="746">
        <f t="shared" si="14"/>
        <v>0</v>
      </c>
      <c r="CW32" s="746">
        <f t="shared" si="14"/>
        <v>0</v>
      </c>
      <c r="CX32" s="746">
        <f t="shared" si="14"/>
        <v>0</v>
      </c>
      <c r="CY32" s="746">
        <f t="shared" si="14"/>
        <v>0</v>
      </c>
      <c r="CZ32" s="746">
        <f t="shared" si="14"/>
        <v>0</v>
      </c>
      <c r="DA32" s="746">
        <f t="shared" ref="DA32:FB32" si="15">SUM(DA30:DA31)</f>
        <v>0</v>
      </c>
      <c r="DB32" s="746">
        <f t="shared" si="15"/>
        <v>0</v>
      </c>
      <c r="DC32" s="746">
        <f t="shared" si="15"/>
        <v>0</v>
      </c>
      <c r="DD32" s="746">
        <f t="shared" si="15"/>
        <v>0</v>
      </c>
      <c r="DE32" s="746">
        <f t="shared" si="15"/>
        <v>0</v>
      </c>
      <c r="DF32" s="746">
        <f t="shared" si="15"/>
        <v>0</v>
      </c>
      <c r="DG32" s="746">
        <f t="shared" si="15"/>
        <v>0</v>
      </c>
      <c r="DH32" s="746">
        <f t="shared" si="15"/>
        <v>0</v>
      </c>
      <c r="DI32" s="746">
        <f t="shared" si="15"/>
        <v>0</v>
      </c>
      <c r="DJ32" s="746">
        <f t="shared" si="15"/>
        <v>0</v>
      </c>
      <c r="DK32" s="746">
        <f t="shared" si="15"/>
        <v>0</v>
      </c>
      <c r="DL32" s="746">
        <f t="shared" si="15"/>
        <v>0</v>
      </c>
      <c r="DM32" s="746">
        <f t="shared" si="15"/>
        <v>0</v>
      </c>
      <c r="DN32" s="746">
        <f t="shared" si="15"/>
        <v>0</v>
      </c>
      <c r="DO32" s="746">
        <f t="shared" si="15"/>
        <v>0</v>
      </c>
      <c r="DP32" s="746">
        <f t="shared" si="15"/>
        <v>0</v>
      </c>
      <c r="DQ32" s="746">
        <f t="shared" si="15"/>
        <v>0</v>
      </c>
      <c r="DR32" s="746">
        <f t="shared" si="15"/>
        <v>0</v>
      </c>
      <c r="DS32" s="746">
        <f t="shared" si="15"/>
        <v>0</v>
      </c>
      <c r="DT32" s="746">
        <f t="shared" si="15"/>
        <v>0</v>
      </c>
      <c r="DU32" s="746">
        <f t="shared" si="15"/>
        <v>0</v>
      </c>
      <c r="DV32" s="746">
        <f t="shared" si="15"/>
        <v>0</v>
      </c>
      <c r="DW32" s="746">
        <f t="shared" si="15"/>
        <v>0</v>
      </c>
      <c r="DX32" s="746">
        <f t="shared" si="15"/>
        <v>0</v>
      </c>
      <c r="DY32" s="746">
        <f t="shared" si="15"/>
        <v>0</v>
      </c>
      <c r="DZ32" s="746">
        <f t="shared" si="15"/>
        <v>0</v>
      </c>
      <c r="EA32" s="746">
        <f t="shared" si="15"/>
        <v>0</v>
      </c>
      <c r="EB32" s="746">
        <f t="shared" si="15"/>
        <v>0</v>
      </c>
      <c r="EC32" s="746">
        <f t="shared" si="15"/>
        <v>0</v>
      </c>
      <c r="ED32" s="746">
        <f t="shared" si="15"/>
        <v>0</v>
      </c>
      <c r="EE32" s="746">
        <f t="shared" si="15"/>
        <v>0</v>
      </c>
      <c r="EF32" s="746">
        <f t="shared" si="15"/>
        <v>0</v>
      </c>
      <c r="EG32" s="746">
        <f t="shared" si="15"/>
        <v>0</v>
      </c>
      <c r="EH32" s="746">
        <f t="shared" si="15"/>
        <v>0</v>
      </c>
      <c r="EI32" s="746">
        <f t="shared" si="15"/>
        <v>0</v>
      </c>
      <c r="EJ32" s="746">
        <f t="shared" si="15"/>
        <v>0</v>
      </c>
      <c r="EK32" s="746">
        <f t="shared" si="15"/>
        <v>0</v>
      </c>
      <c r="EL32" s="746">
        <f t="shared" si="15"/>
        <v>0</v>
      </c>
      <c r="EM32" s="746">
        <f t="shared" si="15"/>
        <v>0</v>
      </c>
      <c r="EN32" s="746">
        <f t="shared" si="15"/>
        <v>0</v>
      </c>
      <c r="EO32" s="746">
        <f t="shared" si="15"/>
        <v>0</v>
      </c>
      <c r="EP32" s="746">
        <f t="shared" si="15"/>
        <v>0</v>
      </c>
      <c r="EQ32" s="746">
        <f t="shared" si="15"/>
        <v>0</v>
      </c>
      <c r="ER32" s="746">
        <f t="shared" si="15"/>
        <v>0</v>
      </c>
      <c r="ES32" s="746">
        <f t="shared" si="15"/>
        <v>0</v>
      </c>
      <c r="ET32" s="746">
        <f t="shared" si="15"/>
        <v>0</v>
      </c>
      <c r="EU32" s="746">
        <f t="shared" si="15"/>
        <v>0</v>
      </c>
      <c r="EV32" s="746">
        <f t="shared" si="15"/>
        <v>0</v>
      </c>
      <c r="EW32" s="746">
        <f t="shared" si="15"/>
        <v>0</v>
      </c>
      <c r="EX32" s="746">
        <f t="shared" si="15"/>
        <v>0</v>
      </c>
      <c r="EY32" s="746">
        <f t="shared" si="15"/>
        <v>0</v>
      </c>
      <c r="EZ32" s="746">
        <f t="shared" si="15"/>
        <v>0</v>
      </c>
      <c r="FA32" s="746">
        <f t="shared" si="15"/>
        <v>0</v>
      </c>
      <c r="FB32" s="746">
        <f t="shared" si="15"/>
        <v>0</v>
      </c>
      <c r="FC32" s="692"/>
      <c r="FD32" s="743"/>
      <c r="FE32" s="692"/>
    </row>
    <row r="33" spans="2:161" s="747" customFormat="1">
      <c r="B33" s="747" t="s">
        <v>359</v>
      </c>
      <c r="E33" s="748"/>
      <c r="G33" s="743">
        <f>SUM(I33:FB33)</f>
        <v>6054747.8553566188</v>
      </c>
      <c r="I33" s="749">
        <f>MIN(I27,I32/$E34)</f>
        <v>-18868708.075340457</v>
      </c>
      <c r="J33" s="749">
        <f t="shared" ref="J33:BU33" si="16">MIN(J27,J32/$E34)</f>
        <v>52248.378085041855</v>
      </c>
      <c r="K33" s="749">
        <f t="shared" si="16"/>
        <v>52453.132601852383</v>
      </c>
      <c r="L33" s="749">
        <f t="shared" si="16"/>
        <v>52055.327475223952</v>
      </c>
      <c r="M33" s="749">
        <f t="shared" si="16"/>
        <v>43925.130756638217</v>
      </c>
      <c r="N33" s="749">
        <f t="shared" si="16"/>
        <v>52431.611588304891</v>
      </c>
      <c r="O33" s="749">
        <f t="shared" si="16"/>
        <v>44288.871479473804</v>
      </c>
      <c r="P33" s="749">
        <f t="shared" si="16"/>
        <v>44150.745894091116</v>
      </c>
      <c r="Q33" s="749">
        <f t="shared" si="16"/>
        <v>69011.525563054631</v>
      </c>
      <c r="R33" s="749">
        <f t="shared" si="16"/>
        <v>43976.401704510703</v>
      </c>
      <c r="S33" s="749">
        <f t="shared" si="16"/>
        <v>52259.628806689492</v>
      </c>
      <c r="T33" s="749">
        <f t="shared" si="16"/>
        <v>43931.051225175412</v>
      </c>
      <c r="U33" s="749">
        <f t="shared" si="16"/>
        <v>73419.685932164633</v>
      </c>
      <c r="V33" s="749">
        <f t="shared" si="16"/>
        <v>60212.279223237856</v>
      </c>
      <c r="W33" s="749">
        <f t="shared" si="16"/>
        <v>55656.937486443407</v>
      </c>
      <c r="X33" s="749">
        <f t="shared" si="16"/>
        <v>65196.079574831267</v>
      </c>
      <c r="Y33" s="749">
        <f t="shared" si="16"/>
        <v>67708.460962565063</v>
      </c>
      <c r="Z33" s="749">
        <f t="shared" si="16"/>
        <v>77453.928359410231</v>
      </c>
      <c r="AA33" s="749">
        <f t="shared" si="16"/>
        <v>70615.55603208908</v>
      </c>
      <c r="AB33" s="749">
        <f t="shared" si="16"/>
        <v>91232.142409103661</v>
      </c>
      <c r="AC33" s="749">
        <f t="shared" si="16"/>
        <v>109261.06655539607</v>
      </c>
      <c r="AD33" s="749">
        <f t="shared" si="16"/>
        <v>94315.834280997195</v>
      </c>
      <c r="AE33" s="749">
        <f t="shared" si="16"/>
        <v>104357.85712078572</v>
      </c>
      <c r="AF33" s="749">
        <f t="shared" si="16"/>
        <v>97749.834625190852</v>
      </c>
      <c r="AG33" s="749">
        <f t="shared" si="16"/>
        <v>107769.6689900971</v>
      </c>
      <c r="AH33" s="749">
        <f t="shared" si="16"/>
        <v>100417.64617236776</v>
      </c>
      <c r="AI33" s="749">
        <f t="shared" si="16"/>
        <v>101754.47180674298</v>
      </c>
      <c r="AJ33" s="749">
        <f t="shared" si="16"/>
        <v>111760.19672159452</v>
      </c>
      <c r="AK33" s="749">
        <f t="shared" si="16"/>
        <v>105094.72318791444</v>
      </c>
      <c r="AL33" s="749">
        <f t="shared" si="16"/>
        <v>115049.38924372799</v>
      </c>
      <c r="AM33" s="749">
        <f t="shared" si="16"/>
        <v>108311.27521083484</v>
      </c>
      <c r="AN33" s="749">
        <f t="shared" si="16"/>
        <v>109846.08033182289</v>
      </c>
      <c r="AO33" s="749">
        <f t="shared" si="16"/>
        <v>136108.60043032336</v>
      </c>
      <c r="AP33" s="749">
        <f t="shared" si="16"/>
        <v>112287.43733377583</v>
      </c>
      <c r="AQ33" s="749">
        <f t="shared" si="16"/>
        <v>121989.80158245491</v>
      </c>
      <c r="AR33" s="749">
        <f t="shared" si="16"/>
        <v>115032.76004343168</v>
      </c>
      <c r="AS33" s="749">
        <f t="shared" si="16"/>
        <v>124673.74039280156</v>
      </c>
      <c r="AT33" s="749">
        <f t="shared" si="16"/>
        <v>117629.24165548748</v>
      </c>
      <c r="AU33" s="749">
        <f t="shared" si="16"/>
        <v>118323.45879980075</v>
      </c>
      <c r="AV33" s="749">
        <f t="shared" si="16"/>
        <v>127610.72835044793</v>
      </c>
      <c r="AW33" s="749">
        <f t="shared" si="16"/>
        <v>120516.11803272038</v>
      </c>
      <c r="AX33" s="749">
        <f t="shared" si="16"/>
        <v>130052.57838772182</v>
      </c>
      <c r="AY33" s="749">
        <f t="shared" si="16"/>
        <v>122947.69082828306</v>
      </c>
      <c r="AZ33" s="749">
        <f t="shared" si="16"/>
        <v>124145.7100161064</v>
      </c>
      <c r="BA33" s="749">
        <f t="shared" si="16"/>
        <v>150293.64168869078</v>
      </c>
      <c r="BB33" s="749">
        <f t="shared" si="16"/>
        <v>126347.61360034774</v>
      </c>
      <c r="BC33" s="749">
        <f t="shared" si="16"/>
        <v>135587.25106696974</v>
      </c>
      <c r="BD33" s="749">
        <f t="shared" si="16"/>
        <v>20661994.639080338</v>
      </c>
      <c r="BE33" s="749">
        <f t="shared" si="16"/>
        <v>0</v>
      </c>
      <c r="BF33" s="749">
        <f t="shared" si="16"/>
        <v>0</v>
      </c>
      <c r="BG33" s="749">
        <f t="shared" si="16"/>
        <v>0</v>
      </c>
      <c r="BH33" s="749">
        <f t="shared" si="16"/>
        <v>0</v>
      </c>
      <c r="BI33" s="749">
        <f t="shared" si="16"/>
        <v>0</v>
      </c>
      <c r="BJ33" s="749">
        <f t="shared" si="16"/>
        <v>0</v>
      </c>
      <c r="BK33" s="749">
        <f t="shared" si="16"/>
        <v>0</v>
      </c>
      <c r="BL33" s="749">
        <f t="shared" si="16"/>
        <v>0</v>
      </c>
      <c r="BM33" s="749">
        <f t="shared" si="16"/>
        <v>0</v>
      </c>
      <c r="BN33" s="749">
        <f t="shared" si="16"/>
        <v>0</v>
      </c>
      <c r="BO33" s="749">
        <f t="shared" si="16"/>
        <v>0</v>
      </c>
      <c r="BP33" s="749">
        <f t="shared" si="16"/>
        <v>0</v>
      </c>
      <c r="BQ33" s="749">
        <f t="shared" si="16"/>
        <v>0</v>
      </c>
      <c r="BR33" s="749">
        <f t="shared" si="16"/>
        <v>0</v>
      </c>
      <c r="BS33" s="749">
        <f t="shared" si="16"/>
        <v>0</v>
      </c>
      <c r="BT33" s="749">
        <f t="shared" si="16"/>
        <v>0</v>
      </c>
      <c r="BU33" s="749">
        <f t="shared" si="16"/>
        <v>0</v>
      </c>
      <c r="BV33" s="749">
        <f t="shared" ref="BV33:EG33" si="17">MIN(BV27,BV32/$E34)</f>
        <v>0</v>
      </c>
      <c r="BW33" s="749">
        <f t="shared" si="17"/>
        <v>0</v>
      </c>
      <c r="BX33" s="749">
        <f t="shared" si="17"/>
        <v>0</v>
      </c>
      <c r="BY33" s="749">
        <f t="shared" si="17"/>
        <v>0</v>
      </c>
      <c r="BZ33" s="749">
        <f t="shared" si="17"/>
        <v>0</v>
      </c>
      <c r="CA33" s="749">
        <f t="shared" si="17"/>
        <v>0</v>
      </c>
      <c r="CB33" s="749">
        <f t="shared" si="17"/>
        <v>0</v>
      </c>
      <c r="CC33" s="749">
        <f t="shared" si="17"/>
        <v>0</v>
      </c>
      <c r="CD33" s="749">
        <f t="shared" si="17"/>
        <v>0</v>
      </c>
      <c r="CE33" s="749">
        <f t="shared" si="17"/>
        <v>0</v>
      </c>
      <c r="CF33" s="749">
        <f t="shared" si="17"/>
        <v>0</v>
      </c>
      <c r="CG33" s="749">
        <f t="shared" si="17"/>
        <v>0</v>
      </c>
      <c r="CH33" s="749">
        <f t="shared" si="17"/>
        <v>0</v>
      </c>
      <c r="CI33" s="749">
        <f t="shared" si="17"/>
        <v>0</v>
      </c>
      <c r="CJ33" s="749">
        <f t="shared" si="17"/>
        <v>0</v>
      </c>
      <c r="CK33" s="749">
        <f t="shared" si="17"/>
        <v>0</v>
      </c>
      <c r="CL33" s="749">
        <f t="shared" si="17"/>
        <v>0</v>
      </c>
      <c r="CM33" s="749">
        <f t="shared" si="17"/>
        <v>0</v>
      </c>
      <c r="CN33" s="749">
        <f t="shared" si="17"/>
        <v>0</v>
      </c>
      <c r="CO33" s="749">
        <f t="shared" si="17"/>
        <v>0</v>
      </c>
      <c r="CP33" s="749">
        <f t="shared" si="17"/>
        <v>0</v>
      </c>
      <c r="CQ33" s="749">
        <f t="shared" si="17"/>
        <v>0</v>
      </c>
      <c r="CR33" s="749">
        <f t="shared" si="17"/>
        <v>0</v>
      </c>
      <c r="CS33" s="749">
        <f t="shared" si="17"/>
        <v>0</v>
      </c>
      <c r="CT33" s="749">
        <f t="shared" si="17"/>
        <v>0</v>
      </c>
      <c r="CU33" s="749">
        <f t="shared" si="17"/>
        <v>0</v>
      </c>
      <c r="CV33" s="749">
        <f t="shared" si="17"/>
        <v>0</v>
      </c>
      <c r="CW33" s="749">
        <f t="shared" si="17"/>
        <v>0</v>
      </c>
      <c r="CX33" s="749">
        <f t="shared" si="17"/>
        <v>0</v>
      </c>
      <c r="CY33" s="749">
        <f t="shared" si="17"/>
        <v>0</v>
      </c>
      <c r="CZ33" s="749">
        <f t="shared" si="17"/>
        <v>0</v>
      </c>
      <c r="DA33" s="749">
        <f t="shared" si="17"/>
        <v>0</v>
      </c>
      <c r="DB33" s="749">
        <f t="shared" si="17"/>
        <v>0</v>
      </c>
      <c r="DC33" s="749">
        <f t="shared" si="17"/>
        <v>0</v>
      </c>
      <c r="DD33" s="749">
        <f t="shared" si="17"/>
        <v>0</v>
      </c>
      <c r="DE33" s="749">
        <f t="shared" si="17"/>
        <v>0</v>
      </c>
      <c r="DF33" s="749">
        <f t="shared" si="17"/>
        <v>0</v>
      </c>
      <c r="DG33" s="749">
        <f t="shared" si="17"/>
        <v>0</v>
      </c>
      <c r="DH33" s="749">
        <f t="shared" si="17"/>
        <v>0</v>
      </c>
      <c r="DI33" s="749">
        <f t="shared" si="17"/>
        <v>0</v>
      </c>
      <c r="DJ33" s="749">
        <f t="shared" si="17"/>
        <v>0</v>
      </c>
      <c r="DK33" s="749">
        <f t="shared" si="17"/>
        <v>0</v>
      </c>
      <c r="DL33" s="749">
        <f t="shared" si="17"/>
        <v>0</v>
      </c>
      <c r="DM33" s="749">
        <f t="shared" si="17"/>
        <v>0</v>
      </c>
      <c r="DN33" s="749">
        <f t="shared" si="17"/>
        <v>0</v>
      </c>
      <c r="DO33" s="749">
        <f t="shared" si="17"/>
        <v>0</v>
      </c>
      <c r="DP33" s="749">
        <f t="shared" si="17"/>
        <v>0</v>
      </c>
      <c r="DQ33" s="749">
        <f t="shared" si="17"/>
        <v>0</v>
      </c>
      <c r="DR33" s="749">
        <f t="shared" si="17"/>
        <v>0</v>
      </c>
      <c r="DS33" s="749">
        <f t="shared" si="17"/>
        <v>0</v>
      </c>
      <c r="DT33" s="749">
        <f t="shared" si="17"/>
        <v>0</v>
      </c>
      <c r="DU33" s="749">
        <f t="shared" si="17"/>
        <v>0</v>
      </c>
      <c r="DV33" s="749">
        <f t="shared" si="17"/>
        <v>0</v>
      </c>
      <c r="DW33" s="749">
        <f t="shared" si="17"/>
        <v>0</v>
      </c>
      <c r="DX33" s="749">
        <f t="shared" si="17"/>
        <v>0</v>
      </c>
      <c r="DY33" s="749">
        <f t="shared" si="17"/>
        <v>0</v>
      </c>
      <c r="DZ33" s="749">
        <f t="shared" si="17"/>
        <v>0</v>
      </c>
      <c r="EA33" s="749">
        <f t="shared" si="17"/>
        <v>0</v>
      </c>
      <c r="EB33" s="749">
        <f t="shared" si="17"/>
        <v>0</v>
      </c>
      <c r="EC33" s="749">
        <f t="shared" si="17"/>
        <v>0</v>
      </c>
      <c r="ED33" s="749">
        <f t="shared" si="17"/>
        <v>0</v>
      </c>
      <c r="EE33" s="749">
        <f t="shared" si="17"/>
        <v>0</v>
      </c>
      <c r="EF33" s="749">
        <f t="shared" si="17"/>
        <v>0</v>
      </c>
      <c r="EG33" s="749">
        <f t="shared" si="17"/>
        <v>0</v>
      </c>
      <c r="EH33" s="749">
        <f t="shared" ref="EH33:FB33" si="18">MIN(EH27,EH32/$E34)</f>
        <v>0</v>
      </c>
      <c r="EI33" s="749">
        <f t="shared" si="18"/>
        <v>0</v>
      </c>
      <c r="EJ33" s="749">
        <f t="shared" si="18"/>
        <v>0</v>
      </c>
      <c r="EK33" s="749">
        <f t="shared" si="18"/>
        <v>0</v>
      </c>
      <c r="EL33" s="749">
        <f t="shared" si="18"/>
        <v>0</v>
      </c>
      <c r="EM33" s="749">
        <f t="shared" si="18"/>
        <v>0</v>
      </c>
      <c r="EN33" s="749">
        <f t="shared" si="18"/>
        <v>0</v>
      </c>
      <c r="EO33" s="749">
        <f t="shared" si="18"/>
        <v>0</v>
      </c>
      <c r="EP33" s="749">
        <f t="shared" si="18"/>
        <v>0</v>
      </c>
      <c r="EQ33" s="749">
        <f t="shared" si="18"/>
        <v>0</v>
      </c>
      <c r="ER33" s="749">
        <f t="shared" si="18"/>
        <v>0</v>
      </c>
      <c r="ES33" s="749">
        <f t="shared" si="18"/>
        <v>0</v>
      </c>
      <c r="ET33" s="749">
        <f t="shared" si="18"/>
        <v>0</v>
      </c>
      <c r="EU33" s="749">
        <f t="shared" si="18"/>
        <v>0</v>
      </c>
      <c r="EV33" s="749">
        <f t="shared" si="18"/>
        <v>0</v>
      </c>
      <c r="EW33" s="749">
        <f t="shared" si="18"/>
        <v>0</v>
      </c>
      <c r="EX33" s="749">
        <f t="shared" si="18"/>
        <v>0</v>
      </c>
      <c r="EY33" s="749">
        <f t="shared" si="18"/>
        <v>0</v>
      </c>
      <c r="EZ33" s="749">
        <f t="shared" si="18"/>
        <v>0</v>
      </c>
      <c r="FA33" s="749">
        <f t="shared" si="18"/>
        <v>0</v>
      </c>
      <c r="FB33" s="749">
        <f t="shared" si="18"/>
        <v>0</v>
      </c>
      <c r="FC33" s="692"/>
      <c r="FD33" s="743">
        <f>SUM(I33:FB33)</f>
        <v>6054747.8553566188</v>
      </c>
      <c r="FE33" s="699"/>
    </row>
    <row r="34" spans="2:161" s="692" customFormat="1">
      <c r="B34" s="750" t="s">
        <v>356</v>
      </c>
      <c r="C34" s="751"/>
      <c r="D34" s="751"/>
      <c r="E34" s="752">
        <f>1-E35</f>
        <v>0.6826538555476529</v>
      </c>
      <c r="F34" s="751"/>
      <c r="G34" s="753">
        <f>SUM(I34:FB34)</f>
        <v>4133296.9678280782</v>
      </c>
      <c r="H34" s="751"/>
      <c r="I34" s="754">
        <f t="shared" ref="I34:BT34" si="19">$E34*I33</f>
        <v>-12880796.316834297</v>
      </c>
      <c r="J34" s="754">
        <f t="shared" si="19"/>
        <v>35667.556745865317</v>
      </c>
      <c r="K34" s="754">
        <f t="shared" si="19"/>
        <v>35807.333206206822</v>
      </c>
      <c r="L34" s="754">
        <f t="shared" si="19"/>
        <v>35535.770002757301</v>
      </c>
      <c r="M34" s="754">
        <f t="shared" si="19"/>
        <v>29985.659866453872</v>
      </c>
      <c r="N34" s="754">
        <f t="shared" si="19"/>
        <v>35792.641803333332</v>
      </c>
      <c r="O34" s="754">
        <f t="shared" si="19"/>
        <v>30233.968873317273</v>
      </c>
      <c r="P34" s="754">
        <f t="shared" si="19"/>
        <v>30139.676909906007</v>
      </c>
      <c r="Q34" s="754">
        <f t="shared" si="19"/>
        <v>47110.984002844649</v>
      </c>
      <c r="R34" s="754">
        <f t="shared" si="19"/>
        <v>30020.660176696605</v>
      </c>
      <c r="S34" s="754">
        <f t="shared" si="19"/>
        <v>35675.237094375771</v>
      </c>
      <c r="T34" s="754">
        <f t="shared" si="19"/>
        <v>29989.701497127437</v>
      </c>
      <c r="U34" s="754">
        <f t="shared" si="19"/>
        <v>50120.23167468996</v>
      </c>
      <c r="V34" s="754">
        <f t="shared" si="19"/>
        <v>41104.144563055161</v>
      </c>
      <c r="W34" s="754">
        <f t="shared" si="19"/>
        <v>37994.422963095283</v>
      </c>
      <c r="X34" s="754">
        <f t="shared" si="19"/>
        <v>44506.355088350145</v>
      </c>
      <c r="Y34" s="754">
        <f t="shared" si="19"/>
        <v>46221.441929292785</v>
      </c>
      <c r="Z34" s="754">
        <f t="shared" si="19"/>
        <v>52874.222821863084</v>
      </c>
      <c r="AA34" s="754">
        <f t="shared" si="19"/>
        <v>48205.981586946931</v>
      </c>
      <c r="AB34" s="754">
        <f t="shared" si="19"/>
        <v>62279.973765447146</v>
      </c>
      <c r="AC34" s="754">
        <f t="shared" si="19"/>
        <v>74587.488345289836</v>
      </c>
      <c r="AD34" s="754">
        <f t="shared" si="19"/>
        <v>64385.067911116232</v>
      </c>
      <c r="AE34" s="754">
        <f t="shared" si="19"/>
        <v>71240.293520195453</v>
      </c>
      <c r="AF34" s="754">
        <f t="shared" si="19"/>
        <v>66729.301486031996</v>
      </c>
      <c r="AG34" s="754">
        <f t="shared" si="19"/>
        <v>73569.38004718411</v>
      </c>
      <c r="AH34" s="754">
        <f t="shared" si="19"/>
        <v>68550.49332458686</v>
      </c>
      <c r="AI34" s="754">
        <f t="shared" si="19"/>
        <v>69463.082498088042</v>
      </c>
      <c r="AJ34" s="754">
        <f t="shared" si="19"/>
        <v>76293.529188760658</v>
      </c>
      <c r="AK34" s="754">
        <f t="shared" si="19"/>
        <v>71743.31798194311</v>
      </c>
      <c r="AL34" s="754">
        <f t="shared" si="19"/>
        <v>78538.909145633574</v>
      </c>
      <c r="AM34" s="754">
        <f t="shared" si="19"/>
        <v>73939.109621959316</v>
      </c>
      <c r="AN34" s="754">
        <f t="shared" si="19"/>
        <v>74986.850255316094</v>
      </c>
      <c r="AO34" s="754">
        <f t="shared" si="19"/>
        <v>92915.06085695517</v>
      </c>
      <c r="AP34" s="754">
        <f t="shared" si="19"/>
        <v>76653.45202546753</v>
      </c>
      <c r="AQ34" s="754">
        <f t="shared" si="19"/>
        <v>83276.808387756013</v>
      </c>
      <c r="AR34" s="754">
        <f t="shared" si="19"/>
        <v>78527.557157936637</v>
      </c>
      <c r="AS34" s="754">
        <f t="shared" si="19"/>
        <v>85109.00956469313</v>
      </c>
      <c r="AT34" s="754">
        <f t="shared" si="19"/>
        <v>80300.055341265106</v>
      </c>
      <c r="AU34" s="754">
        <f t="shared" si="19"/>
        <v>80773.965351417835</v>
      </c>
      <c r="AV34" s="754">
        <f t="shared" si="19"/>
        <v>87113.955717677454</v>
      </c>
      <c r="AW34" s="754">
        <f t="shared" si="19"/>
        <v>82270.792630672586</v>
      </c>
      <c r="AX34" s="754">
        <f t="shared" si="19"/>
        <v>88780.894060291655</v>
      </c>
      <c r="AY34" s="754">
        <f t="shared" si="19"/>
        <v>83930.715174608224</v>
      </c>
      <c r="AZ34" s="754">
        <f t="shared" si="19"/>
        <v>84748.547592195901</v>
      </c>
      <c r="BA34" s="754">
        <f t="shared" si="19"/>
        <v>102598.53396308223</v>
      </c>
      <c r="BB34" s="754">
        <f t="shared" si="19"/>
        <v>86251.685563522449</v>
      </c>
      <c r="BC34" s="754">
        <f t="shared" si="19"/>
        <v>92559.15970397451</v>
      </c>
      <c r="BD34" s="754">
        <f t="shared" si="19"/>
        <v>14104990.303673128</v>
      </c>
      <c r="BE34" s="754">
        <f t="shared" si="19"/>
        <v>0</v>
      </c>
      <c r="BF34" s="754">
        <f t="shared" si="19"/>
        <v>0</v>
      </c>
      <c r="BG34" s="754">
        <f t="shared" si="19"/>
        <v>0</v>
      </c>
      <c r="BH34" s="754">
        <f t="shared" si="19"/>
        <v>0</v>
      </c>
      <c r="BI34" s="754">
        <f t="shared" si="19"/>
        <v>0</v>
      </c>
      <c r="BJ34" s="754">
        <f t="shared" si="19"/>
        <v>0</v>
      </c>
      <c r="BK34" s="754">
        <f t="shared" si="19"/>
        <v>0</v>
      </c>
      <c r="BL34" s="754">
        <f t="shared" si="19"/>
        <v>0</v>
      </c>
      <c r="BM34" s="754">
        <f t="shared" si="19"/>
        <v>0</v>
      </c>
      <c r="BN34" s="754">
        <f t="shared" si="19"/>
        <v>0</v>
      </c>
      <c r="BO34" s="754">
        <f t="shared" si="19"/>
        <v>0</v>
      </c>
      <c r="BP34" s="754">
        <f t="shared" si="19"/>
        <v>0</v>
      </c>
      <c r="BQ34" s="754">
        <f t="shared" si="19"/>
        <v>0</v>
      </c>
      <c r="BR34" s="754">
        <f t="shared" si="19"/>
        <v>0</v>
      </c>
      <c r="BS34" s="754">
        <f t="shared" si="19"/>
        <v>0</v>
      </c>
      <c r="BT34" s="754">
        <f t="shared" si="19"/>
        <v>0</v>
      </c>
      <c r="BU34" s="754">
        <f t="shared" ref="BU34:EF34" si="20">$E34*BU33</f>
        <v>0</v>
      </c>
      <c r="BV34" s="754">
        <f t="shared" si="20"/>
        <v>0</v>
      </c>
      <c r="BW34" s="754">
        <f t="shared" si="20"/>
        <v>0</v>
      </c>
      <c r="BX34" s="754">
        <f t="shared" si="20"/>
        <v>0</v>
      </c>
      <c r="BY34" s="754">
        <f t="shared" si="20"/>
        <v>0</v>
      </c>
      <c r="BZ34" s="754">
        <f t="shared" si="20"/>
        <v>0</v>
      </c>
      <c r="CA34" s="754">
        <f t="shared" si="20"/>
        <v>0</v>
      </c>
      <c r="CB34" s="754">
        <f t="shared" si="20"/>
        <v>0</v>
      </c>
      <c r="CC34" s="754">
        <f t="shared" si="20"/>
        <v>0</v>
      </c>
      <c r="CD34" s="754">
        <f t="shared" si="20"/>
        <v>0</v>
      </c>
      <c r="CE34" s="754">
        <f t="shared" si="20"/>
        <v>0</v>
      </c>
      <c r="CF34" s="754">
        <f t="shared" si="20"/>
        <v>0</v>
      </c>
      <c r="CG34" s="754">
        <f t="shared" si="20"/>
        <v>0</v>
      </c>
      <c r="CH34" s="754">
        <f t="shared" si="20"/>
        <v>0</v>
      </c>
      <c r="CI34" s="754">
        <f t="shared" si="20"/>
        <v>0</v>
      </c>
      <c r="CJ34" s="754">
        <f t="shared" si="20"/>
        <v>0</v>
      </c>
      <c r="CK34" s="754">
        <f t="shared" si="20"/>
        <v>0</v>
      </c>
      <c r="CL34" s="754">
        <f t="shared" si="20"/>
        <v>0</v>
      </c>
      <c r="CM34" s="754">
        <f t="shared" si="20"/>
        <v>0</v>
      </c>
      <c r="CN34" s="754">
        <f t="shared" si="20"/>
        <v>0</v>
      </c>
      <c r="CO34" s="754">
        <f t="shared" si="20"/>
        <v>0</v>
      </c>
      <c r="CP34" s="754">
        <f t="shared" si="20"/>
        <v>0</v>
      </c>
      <c r="CQ34" s="754">
        <f t="shared" si="20"/>
        <v>0</v>
      </c>
      <c r="CR34" s="754">
        <f t="shared" si="20"/>
        <v>0</v>
      </c>
      <c r="CS34" s="754">
        <f t="shared" si="20"/>
        <v>0</v>
      </c>
      <c r="CT34" s="754">
        <f t="shared" si="20"/>
        <v>0</v>
      </c>
      <c r="CU34" s="754">
        <f t="shared" si="20"/>
        <v>0</v>
      </c>
      <c r="CV34" s="754">
        <f t="shared" si="20"/>
        <v>0</v>
      </c>
      <c r="CW34" s="754">
        <f t="shared" si="20"/>
        <v>0</v>
      </c>
      <c r="CX34" s="754">
        <f t="shared" si="20"/>
        <v>0</v>
      </c>
      <c r="CY34" s="754">
        <f t="shared" si="20"/>
        <v>0</v>
      </c>
      <c r="CZ34" s="754">
        <f t="shared" si="20"/>
        <v>0</v>
      </c>
      <c r="DA34" s="754">
        <f t="shared" si="20"/>
        <v>0</v>
      </c>
      <c r="DB34" s="754">
        <f t="shared" si="20"/>
        <v>0</v>
      </c>
      <c r="DC34" s="754">
        <f t="shared" si="20"/>
        <v>0</v>
      </c>
      <c r="DD34" s="754">
        <f t="shared" si="20"/>
        <v>0</v>
      </c>
      <c r="DE34" s="754">
        <f t="shared" si="20"/>
        <v>0</v>
      </c>
      <c r="DF34" s="754">
        <f t="shared" si="20"/>
        <v>0</v>
      </c>
      <c r="DG34" s="754">
        <f t="shared" si="20"/>
        <v>0</v>
      </c>
      <c r="DH34" s="754">
        <f t="shared" si="20"/>
        <v>0</v>
      </c>
      <c r="DI34" s="754">
        <f t="shared" si="20"/>
        <v>0</v>
      </c>
      <c r="DJ34" s="754">
        <f t="shared" si="20"/>
        <v>0</v>
      </c>
      <c r="DK34" s="754">
        <f t="shared" si="20"/>
        <v>0</v>
      </c>
      <c r="DL34" s="754">
        <f t="shared" si="20"/>
        <v>0</v>
      </c>
      <c r="DM34" s="754">
        <f t="shared" si="20"/>
        <v>0</v>
      </c>
      <c r="DN34" s="754">
        <f t="shared" si="20"/>
        <v>0</v>
      </c>
      <c r="DO34" s="754">
        <f t="shared" si="20"/>
        <v>0</v>
      </c>
      <c r="DP34" s="754">
        <f t="shared" si="20"/>
        <v>0</v>
      </c>
      <c r="DQ34" s="754">
        <f t="shared" si="20"/>
        <v>0</v>
      </c>
      <c r="DR34" s="754">
        <f t="shared" si="20"/>
        <v>0</v>
      </c>
      <c r="DS34" s="754">
        <f t="shared" si="20"/>
        <v>0</v>
      </c>
      <c r="DT34" s="754">
        <f t="shared" si="20"/>
        <v>0</v>
      </c>
      <c r="DU34" s="754">
        <f t="shared" si="20"/>
        <v>0</v>
      </c>
      <c r="DV34" s="754">
        <f t="shared" si="20"/>
        <v>0</v>
      </c>
      <c r="DW34" s="754">
        <f t="shared" si="20"/>
        <v>0</v>
      </c>
      <c r="DX34" s="754">
        <f t="shared" si="20"/>
        <v>0</v>
      </c>
      <c r="DY34" s="754">
        <f t="shared" si="20"/>
        <v>0</v>
      </c>
      <c r="DZ34" s="754">
        <f t="shared" si="20"/>
        <v>0</v>
      </c>
      <c r="EA34" s="754">
        <f t="shared" si="20"/>
        <v>0</v>
      </c>
      <c r="EB34" s="754">
        <f t="shared" si="20"/>
        <v>0</v>
      </c>
      <c r="EC34" s="754">
        <f t="shared" si="20"/>
        <v>0</v>
      </c>
      <c r="ED34" s="754">
        <f t="shared" si="20"/>
        <v>0</v>
      </c>
      <c r="EE34" s="754">
        <f t="shared" si="20"/>
        <v>0</v>
      </c>
      <c r="EF34" s="754">
        <f t="shared" si="20"/>
        <v>0</v>
      </c>
      <c r="EG34" s="754">
        <f t="shared" ref="EG34:FB34" si="21">$E34*EG33</f>
        <v>0</v>
      </c>
      <c r="EH34" s="754">
        <f t="shared" si="21"/>
        <v>0</v>
      </c>
      <c r="EI34" s="754">
        <f t="shared" si="21"/>
        <v>0</v>
      </c>
      <c r="EJ34" s="754">
        <f t="shared" si="21"/>
        <v>0</v>
      </c>
      <c r="EK34" s="754">
        <f t="shared" si="21"/>
        <v>0</v>
      </c>
      <c r="EL34" s="754">
        <f t="shared" si="21"/>
        <v>0</v>
      </c>
      <c r="EM34" s="754">
        <f t="shared" si="21"/>
        <v>0</v>
      </c>
      <c r="EN34" s="754">
        <f t="shared" si="21"/>
        <v>0</v>
      </c>
      <c r="EO34" s="754">
        <f t="shared" si="21"/>
        <v>0</v>
      </c>
      <c r="EP34" s="754">
        <f t="shared" si="21"/>
        <v>0</v>
      </c>
      <c r="EQ34" s="754">
        <f t="shared" si="21"/>
        <v>0</v>
      </c>
      <c r="ER34" s="754">
        <f t="shared" si="21"/>
        <v>0</v>
      </c>
      <c r="ES34" s="754">
        <f t="shared" si="21"/>
        <v>0</v>
      </c>
      <c r="ET34" s="754">
        <f t="shared" si="21"/>
        <v>0</v>
      </c>
      <c r="EU34" s="754">
        <f t="shared" si="21"/>
        <v>0</v>
      </c>
      <c r="EV34" s="754">
        <f t="shared" si="21"/>
        <v>0</v>
      </c>
      <c r="EW34" s="754">
        <f t="shared" si="21"/>
        <v>0</v>
      </c>
      <c r="EX34" s="754">
        <f t="shared" si="21"/>
        <v>0</v>
      </c>
      <c r="EY34" s="754">
        <f t="shared" si="21"/>
        <v>0</v>
      </c>
      <c r="EZ34" s="754">
        <f t="shared" si="21"/>
        <v>0</v>
      </c>
      <c r="FA34" s="754">
        <f t="shared" si="21"/>
        <v>0</v>
      </c>
      <c r="FB34" s="754">
        <f t="shared" si="21"/>
        <v>0</v>
      </c>
      <c r="FD34" s="753">
        <f>SUM(I34:FB34)</f>
        <v>4133296.9678280782</v>
      </c>
    </row>
    <row r="35" spans="2:161" s="692" customFormat="1">
      <c r="B35" s="755" t="s">
        <v>355</v>
      </c>
      <c r="C35" s="756"/>
      <c r="D35" s="756"/>
      <c r="E35" s="757">
        <f>$C$6</f>
        <v>0.3173461444523471</v>
      </c>
      <c r="F35" s="756"/>
      <c r="G35" s="758">
        <f>SUM(I35:FB35)</f>
        <v>1921450.8875285406</v>
      </c>
      <c r="H35" s="756"/>
      <c r="I35" s="759">
        <f t="shared" ref="I35:BT35" si="22">$E35*I33</f>
        <v>-5987911.7585061612</v>
      </c>
      <c r="J35" s="759">
        <f t="shared" si="22"/>
        <v>16580.821339176538</v>
      </c>
      <c r="K35" s="759">
        <f t="shared" si="22"/>
        <v>16645.799395645565</v>
      </c>
      <c r="L35" s="759">
        <f t="shared" si="22"/>
        <v>16519.557472466655</v>
      </c>
      <c r="M35" s="759">
        <f t="shared" si="22"/>
        <v>13939.470890184346</v>
      </c>
      <c r="N35" s="759">
        <f t="shared" si="22"/>
        <v>16638.969784971559</v>
      </c>
      <c r="O35" s="759">
        <f t="shared" si="22"/>
        <v>14054.902606156529</v>
      </c>
      <c r="P35" s="759">
        <f t="shared" si="22"/>
        <v>14011.068984185111</v>
      </c>
      <c r="Q35" s="759">
        <f t="shared" si="22"/>
        <v>21900.541560209978</v>
      </c>
      <c r="R35" s="759">
        <f t="shared" si="22"/>
        <v>13955.741527814096</v>
      </c>
      <c r="S35" s="759">
        <f t="shared" si="22"/>
        <v>16584.391712313722</v>
      </c>
      <c r="T35" s="759">
        <f t="shared" si="22"/>
        <v>13941.349728047977</v>
      </c>
      <c r="U35" s="759">
        <f t="shared" si="22"/>
        <v>23299.454257474674</v>
      </c>
      <c r="V35" s="759">
        <f t="shared" si="22"/>
        <v>19108.134660182699</v>
      </c>
      <c r="W35" s="759">
        <f t="shared" si="22"/>
        <v>17662.514523348123</v>
      </c>
      <c r="X35" s="759">
        <f t="shared" si="22"/>
        <v>20689.724486481118</v>
      </c>
      <c r="Y35" s="759">
        <f t="shared" si="22"/>
        <v>21487.019033272278</v>
      </c>
      <c r="Z35" s="759">
        <f t="shared" si="22"/>
        <v>24579.705537547143</v>
      </c>
      <c r="AA35" s="759">
        <f t="shared" si="22"/>
        <v>22409.574445142152</v>
      </c>
      <c r="AB35" s="759">
        <f t="shared" si="22"/>
        <v>28952.168643656511</v>
      </c>
      <c r="AC35" s="759">
        <f t="shared" si="22"/>
        <v>34673.578210106236</v>
      </c>
      <c r="AD35" s="759">
        <f t="shared" si="22"/>
        <v>29930.766369880967</v>
      </c>
      <c r="AE35" s="759">
        <f t="shared" si="22"/>
        <v>33117.563600590263</v>
      </c>
      <c r="AF35" s="759">
        <f t="shared" si="22"/>
        <v>31020.533139158855</v>
      </c>
      <c r="AG35" s="759">
        <f t="shared" si="22"/>
        <v>34200.288942912986</v>
      </c>
      <c r="AH35" s="759">
        <f t="shared" si="22"/>
        <v>31867.152847780901</v>
      </c>
      <c r="AI35" s="759">
        <f t="shared" si="22"/>
        <v>32291.389308654936</v>
      </c>
      <c r="AJ35" s="759">
        <f t="shared" si="22"/>
        <v>35466.667532833861</v>
      </c>
      <c r="AK35" s="759">
        <f t="shared" si="22"/>
        <v>33351.405205971329</v>
      </c>
      <c r="AL35" s="759">
        <f t="shared" si="22"/>
        <v>36510.480098094413</v>
      </c>
      <c r="AM35" s="759">
        <f t="shared" si="22"/>
        <v>34372.165588875512</v>
      </c>
      <c r="AN35" s="759">
        <f t="shared" si="22"/>
        <v>34859.230076506792</v>
      </c>
      <c r="AO35" s="759">
        <f t="shared" si="22"/>
        <v>43193.539573368194</v>
      </c>
      <c r="AP35" s="759">
        <f t="shared" si="22"/>
        <v>35633.9853083083</v>
      </c>
      <c r="AQ35" s="759">
        <f t="shared" si="22"/>
        <v>38712.993194698895</v>
      </c>
      <c r="AR35" s="759">
        <f t="shared" si="22"/>
        <v>36505.202885495055</v>
      </c>
      <c r="AS35" s="759">
        <f t="shared" si="22"/>
        <v>39564.730828108426</v>
      </c>
      <c r="AT35" s="759">
        <f t="shared" si="22"/>
        <v>37329.186314222374</v>
      </c>
      <c r="AU35" s="759">
        <f t="shared" si="22"/>
        <v>37549.493448382906</v>
      </c>
      <c r="AV35" s="759">
        <f t="shared" si="22"/>
        <v>40496.772632770473</v>
      </c>
      <c r="AW35" s="759">
        <f t="shared" si="22"/>
        <v>38245.325402047791</v>
      </c>
      <c r="AX35" s="759">
        <f t="shared" si="22"/>
        <v>41271.684327430165</v>
      </c>
      <c r="AY35" s="759">
        <f t="shared" si="22"/>
        <v>39016.975653674825</v>
      </c>
      <c r="AZ35" s="759">
        <f t="shared" si="22"/>
        <v>39397.162423910493</v>
      </c>
      <c r="BA35" s="759">
        <f t="shared" si="22"/>
        <v>47695.107725608563</v>
      </c>
      <c r="BB35" s="759">
        <f t="shared" si="22"/>
        <v>40095.928036825288</v>
      </c>
      <c r="BC35" s="759">
        <f t="shared" si="22"/>
        <v>43028.091362995234</v>
      </c>
      <c r="BD35" s="759">
        <f t="shared" si="22"/>
        <v>6557004.3354072105</v>
      </c>
      <c r="BE35" s="759">
        <f t="shared" si="22"/>
        <v>0</v>
      </c>
      <c r="BF35" s="759">
        <f t="shared" si="22"/>
        <v>0</v>
      </c>
      <c r="BG35" s="759">
        <f t="shared" si="22"/>
        <v>0</v>
      </c>
      <c r="BH35" s="759">
        <f t="shared" si="22"/>
        <v>0</v>
      </c>
      <c r="BI35" s="759">
        <f t="shared" si="22"/>
        <v>0</v>
      </c>
      <c r="BJ35" s="759">
        <f t="shared" si="22"/>
        <v>0</v>
      </c>
      <c r="BK35" s="759">
        <f t="shared" si="22"/>
        <v>0</v>
      </c>
      <c r="BL35" s="759">
        <f t="shared" si="22"/>
        <v>0</v>
      </c>
      <c r="BM35" s="759">
        <f t="shared" si="22"/>
        <v>0</v>
      </c>
      <c r="BN35" s="759">
        <f t="shared" si="22"/>
        <v>0</v>
      </c>
      <c r="BO35" s="759">
        <f t="shared" si="22"/>
        <v>0</v>
      </c>
      <c r="BP35" s="759">
        <f t="shared" si="22"/>
        <v>0</v>
      </c>
      <c r="BQ35" s="759">
        <f t="shared" si="22"/>
        <v>0</v>
      </c>
      <c r="BR35" s="759">
        <f t="shared" si="22"/>
        <v>0</v>
      </c>
      <c r="BS35" s="759">
        <f t="shared" si="22"/>
        <v>0</v>
      </c>
      <c r="BT35" s="759">
        <f t="shared" si="22"/>
        <v>0</v>
      </c>
      <c r="BU35" s="759">
        <f t="shared" ref="BU35:EF35" si="23">$E35*BU33</f>
        <v>0</v>
      </c>
      <c r="BV35" s="759">
        <f t="shared" si="23"/>
        <v>0</v>
      </c>
      <c r="BW35" s="759">
        <f t="shared" si="23"/>
        <v>0</v>
      </c>
      <c r="BX35" s="759">
        <f t="shared" si="23"/>
        <v>0</v>
      </c>
      <c r="BY35" s="759">
        <f t="shared" si="23"/>
        <v>0</v>
      </c>
      <c r="BZ35" s="759">
        <f t="shared" si="23"/>
        <v>0</v>
      </c>
      <c r="CA35" s="759">
        <f t="shared" si="23"/>
        <v>0</v>
      </c>
      <c r="CB35" s="759">
        <f t="shared" si="23"/>
        <v>0</v>
      </c>
      <c r="CC35" s="759">
        <f t="shared" si="23"/>
        <v>0</v>
      </c>
      <c r="CD35" s="759">
        <f t="shared" si="23"/>
        <v>0</v>
      </c>
      <c r="CE35" s="759">
        <f t="shared" si="23"/>
        <v>0</v>
      </c>
      <c r="CF35" s="759">
        <f t="shared" si="23"/>
        <v>0</v>
      </c>
      <c r="CG35" s="759">
        <f t="shared" si="23"/>
        <v>0</v>
      </c>
      <c r="CH35" s="759">
        <f t="shared" si="23"/>
        <v>0</v>
      </c>
      <c r="CI35" s="759">
        <f t="shared" si="23"/>
        <v>0</v>
      </c>
      <c r="CJ35" s="759">
        <f t="shared" si="23"/>
        <v>0</v>
      </c>
      <c r="CK35" s="759">
        <f t="shared" si="23"/>
        <v>0</v>
      </c>
      <c r="CL35" s="759">
        <f t="shared" si="23"/>
        <v>0</v>
      </c>
      <c r="CM35" s="759">
        <f t="shared" si="23"/>
        <v>0</v>
      </c>
      <c r="CN35" s="759">
        <f t="shared" si="23"/>
        <v>0</v>
      </c>
      <c r="CO35" s="759">
        <f t="shared" si="23"/>
        <v>0</v>
      </c>
      <c r="CP35" s="759">
        <f t="shared" si="23"/>
        <v>0</v>
      </c>
      <c r="CQ35" s="759">
        <f t="shared" si="23"/>
        <v>0</v>
      </c>
      <c r="CR35" s="759">
        <f t="shared" si="23"/>
        <v>0</v>
      </c>
      <c r="CS35" s="759">
        <f t="shared" si="23"/>
        <v>0</v>
      </c>
      <c r="CT35" s="759">
        <f t="shared" si="23"/>
        <v>0</v>
      </c>
      <c r="CU35" s="759">
        <f t="shared" si="23"/>
        <v>0</v>
      </c>
      <c r="CV35" s="759">
        <f t="shared" si="23"/>
        <v>0</v>
      </c>
      <c r="CW35" s="759">
        <f t="shared" si="23"/>
        <v>0</v>
      </c>
      <c r="CX35" s="759">
        <f t="shared" si="23"/>
        <v>0</v>
      </c>
      <c r="CY35" s="759">
        <f t="shared" si="23"/>
        <v>0</v>
      </c>
      <c r="CZ35" s="759">
        <f t="shared" si="23"/>
        <v>0</v>
      </c>
      <c r="DA35" s="759">
        <f t="shared" si="23"/>
        <v>0</v>
      </c>
      <c r="DB35" s="759">
        <f t="shared" si="23"/>
        <v>0</v>
      </c>
      <c r="DC35" s="759">
        <f t="shared" si="23"/>
        <v>0</v>
      </c>
      <c r="DD35" s="759">
        <f t="shared" si="23"/>
        <v>0</v>
      </c>
      <c r="DE35" s="759">
        <f t="shared" si="23"/>
        <v>0</v>
      </c>
      <c r="DF35" s="759">
        <f t="shared" si="23"/>
        <v>0</v>
      </c>
      <c r="DG35" s="759">
        <f t="shared" si="23"/>
        <v>0</v>
      </c>
      <c r="DH35" s="759">
        <f t="shared" si="23"/>
        <v>0</v>
      </c>
      <c r="DI35" s="759">
        <f t="shared" si="23"/>
        <v>0</v>
      </c>
      <c r="DJ35" s="759">
        <f t="shared" si="23"/>
        <v>0</v>
      </c>
      <c r="DK35" s="759">
        <f t="shared" si="23"/>
        <v>0</v>
      </c>
      <c r="DL35" s="759">
        <f t="shared" si="23"/>
        <v>0</v>
      </c>
      <c r="DM35" s="759">
        <f t="shared" si="23"/>
        <v>0</v>
      </c>
      <c r="DN35" s="759">
        <f t="shared" si="23"/>
        <v>0</v>
      </c>
      <c r="DO35" s="759">
        <f t="shared" si="23"/>
        <v>0</v>
      </c>
      <c r="DP35" s="759">
        <f t="shared" si="23"/>
        <v>0</v>
      </c>
      <c r="DQ35" s="759">
        <f t="shared" si="23"/>
        <v>0</v>
      </c>
      <c r="DR35" s="759">
        <f t="shared" si="23"/>
        <v>0</v>
      </c>
      <c r="DS35" s="759">
        <f t="shared" si="23"/>
        <v>0</v>
      </c>
      <c r="DT35" s="759">
        <f t="shared" si="23"/>
        <v>0</v>
      </c>
      <c r="DU35" s="759">
        <f t="shared" si="23"/>
        <v>0</v>
      </c>
      <c r="DV35" s="759">
        <f t="shared" si="23"/>
        <v>0</v>
      </c>
      <c r="DW35" s="759">
        <f t="shared" si="23"/>
        <v>0</v>
      </c>
      <c r="DX35" s="759">
        <f t="shared" si="23"/>
        <v>0</v>
      </c>
      <c r="DY35" s="759">
        <f t="shared" si="23"/>
        <v>0</v>
      </c>
      <c r="DZ35" s="759">
        <f t="shared" si="23"/>
        <v>0</v>
      </c>
      <c r="EA35" s="759">
        <f t="shared" si="23"/>
        <v>0</v>
      </c>
      <c r="EB35" s="759">
        <f t="shared" si="23"/>
        <v>0</v>
      </c>
      <c r="EC35" s="759">
        <f t="shared" si="23"/>
        <v>0</v>
      </c>
      <c r="ED35" s="759">
        <f t="shared" si="23"/>
        <v>0</v>
      </c>
      <c r="EE35" s="759">
        <f t="shared" si="23"/>
        <v>0</v>
      </c>
      <c r="EF35" s="759">
        <f t="shared" si="23"/>
        <v>0</v>
      </c>
      <c r="EG35" s="759">
        <f t="shared" ref="EG35:FB35" si="24">$E35*EG33</f>
        <v>0</v>
      </c>
      <c r="EH35" s="759">
        <f t="shared" si="24"/>
        <v>0</v>
      </c>
      <c r="EI35" s="759">
        <f t="shared" si="24"/>
        <v>0</v>
      </c>
      <c r="EJ35" s="759">
        <f t="shared" si="24"/>
        <v>0</v>
      </c>
      <c r="EK35" s="759">
        <f t="shared" si="24"/>
        <v>0</v>
      </c>
      <c r="EL35" s="759">
        <f t="shared" si="24"/>
        <v>0</v>
      </c>
      <c r="EM35" s="759">
        <f t="shared" si="24"/>
        <v>0</v>
      </c>
      <c r="EN35" s="759">
        <f t="shared" si="24"/>
        <v>0</v>
      </c>
      <c r="EO35" s="759">
        <f t="shared" si="24"/>
        <v>0</v>
      </c>
      <c r="EP35" s="759">
        <f t="shared" si="24"/>
        <v>0</v>
      </c>
      <c r="EQ35" s="759">
        <f t="shared" si="24"/>
        <v>0</v>
      </c>
      <c r="ER35" s="759">
        <f t="shared" si="24"/>
        <v>0</v>
      </c>
      <c r="ES35" s="759">
        <f t="shared" si="24"/>
        <v>0</v>
      </c>
      <c r="ET35" s="759">
        <f t="shared" si="24"/>
        <v>0</v>
      </c>
      <c r="EU35" s="759">
        <f t="shared" si="24"/>
        <v>0</v>
      </c>
      <c r="EV35" s="759">
        <f t="shared" si="24"/>
        <v>0</v>
      </c>
      <c r="EW35" s="759">
        <f t="shared" si="24"/>
        <v>0</v>
      </c>
      <c r="EX35" s="759">
        <f t="shared" si="24"/>
        <v>0</v>
      </c>
      <c r="EY35" s="759">
        <f t="shared" si="24"/>
        <v>0</v>
      </c>
      <c r="EZ35" s="759">
        <f t="shared" si="24"/>
        <v>0</v>
      </c>
      <c r="FA35" s="759">
        <f t="shared" si="24"/>
        <v>0</v>
      </c>
      <c r="FB35" s="759">
        <f t="shared" si="24"/>
        <v>0</v>
      </c>
      <c r="FD35" s="758">
        <f>SUM(I35:FB35)</f>
        <v>1921450.8875285406</v>
      </c>
    </row>
    <row r="36" spans="2:161" s="692" customFormat="1">
      <c r="B36" s="755" t="s">
        <v>378</v>
      </c>
      <c r="C36" s="756"/>
      <c r="D36" s="756"/>
      <c r="E36" s="757">
        <f>E11</f>
        <v>0</v>
      </c>
      <c r="F36" s="756"/>
      <c r="G36" s="758">
        <f>SUM(I36:FB36)</f>
        <v>0</v>
      </c>
      <c r="H36" s="756"/>
      <c r="I36" s="759">
        <f t="shared" ref="I36:BT36" si="25">$E36*I33</f>
        <v>0</v>
      </c>
      <c r="J36" s="759">
        <f t="shared" si="25"/>
        <v>0</v>
      </c>
      <c r="K36" s="759">
        <f t="shared" si="25"/>
        <v>0</v>
      </c>
      <c r="L36" s="759">
        <f t="shared" si="25"/>
        <v>0</v>
      </c>
      <c r="M36" s="759">
        <f t="shared" si="25"/>
        <v>0</v>
      </c>
      <c r="N36" s="759">
        <f t="shared" si="25"/>
        <v>0</v>
      </c>
      <c r="O36" s="759">
        <f t="shared" si="25"/>
        <v>0</v>
      </c>
      <c r="P36" s="759">
        <f t="shared" si="25"/>
        <v>0</v>
      </c>
      <c r="Q36" s="759">
        <f t="shared" si="25"/>
        <v>0</v>
      </c>
      <c r="R36" s="759">
        <f t="shared" si="25"/>
        <v>0</v>
      </c>
      <c r="S36" s="759">
        <f t="shared" si="25"/>
        <v>0</v>
      </c>
      <c r="T36" s="759">
        <f t="shared" si="25"/>
        <v>0</v>
      </c>
      <c r="U36" s="759">
        <f t="shared" si="25"/>
        <v>0</v>
      </c>
      <c r="V36" s="759">
        <f t="shared" si="25"/>
        <v>0</v>
      </c>
      <c r="W36" s="759">
        <f t="shared" si="25"/>
        <v>0</v>
      </c>
      <c r="X36" s="759">
        <f t="shared" si="25"/>
        <v>0</v>
      </c>
      <c r="Y36" s="759">
        <f t="shared" si="25"/>
        <v>0</v>
      </c>
      <c r="Z36" s="759">
        <f t="shared" si="25"/>
        <v>0</v>
      </c>
      <c r="AA36" s="759">
        <f t="shared" si="25"/>
        <v>0</v>
      </c>
      <c r="AB36" s="759">
        <f t="shared" si="25"/>
        <v>0</v>
      </c>
      <c r="AC36" s="759">
        <f t="shared" si="25"/>
        <v>0</v>
      </c>
      <c r="AD36" s="759">
        <f t="shared" si="25"/>
        <v>0</v>
      </c>
      <c r="AE36" s="759">
        <f t="shared" si="25"/>
        <v>0</v>
      </c>
      <c r="AF36" s="759">
        <f t="shared" si="25"/>
        <v>0</v>
      </c>
      <c r="AG36" s="759">
        <f t="shared" si="25"/>
        <v>0</v>
      </c>
      <c r="AH36" s="759">
        <f t="shared" si="25"/>
        <v>0</v>
      </c>
      <c r="AI36" s="759">
        <f t="shared" si="25"/>
        <v>0</v>
      </c>
      <c r="AJ36" s="759">
        <f t="shared" si="25"/>
        <v>0</v>
      </c>
      <c r="AK36" s="759">
        <f t="shared" si="25"/>
        <v>0</v>
      </c>
      <c r="AL36" s="759">
        <f t="shared" si="25"/>
        <v>0</v>
      </c>
      <c r="AM36" s="759">
        <f t="shared" si="25"/>
        <v>0</v>
      </c>
      <c r="AN36" s="759">
        <f t="shared" si="25"/>
        <v>0</v>
      </c>
      <c r="AO36" s="759">
        <f t="shared" si="25"/>
        <v>0</v>
      </c>
      <c r="AP36" s="759">
        <f t="shared" si="25"/>
        <v>0</v>
      </c>
      <c r="AQ36" s="759">
        <f t="shared" si="25"/>
        <v>0</v>
      </c>
      <c r="AR36" s="759">
        <f t="shared" si="25"/>
        <v>0</v>
      </c>
      <c r="AS36" s="759">
        <f t="shared" si="25"/>
        <v>0</v>
      </c>
      <c r="AT36" s="759">
        <f t="shared" si="25"/>
        <v>0</v>
      </c>
      <c r="AU36" s="759">
        <f t="shared" si="25"/>
        <v>0</v>
      </c>
      <c r="AV36" s="759">
        <f t="shared" si="25"/>
        <v>0</v>
      </c>
      <c r="AW36" s="759">
        <f t="shared" si="25"/>
        <v>0</v>
      </c>
      <c r="AX36" s="759">
        <f t="shared" si="25"/>
        <v>0</v>
      </c>
      <c r="AY36" s="759">
        <f t="shared" si="25"/>
        <v>0</v>
      </c>
      <c r="AZ36" s="759">
        <f t="shared" si="25"/>
        <v>0</v>
      </c>
      <c r="BA36" s="759">
        <f t="shared" si="25"/>
        <v>0</v>
      </c>
      <c r="BB36" s="759">
        <f t="shared" si="25"/>
        <v>0</v>
      </c>
      <c r="BC36" s="759">
        <f t="shared" si="25"/>
        <v>0</v>
      </c>
      <c r="BD36" s="759">
        <f t="shared" si="25"/>
        <v>0</v>
      </c>
      <c r="BE36" s="759">
        <f t="shared" si="25"/>
        <v>0</v>
      </c>
      <c r="BF36" s="759">
        <f t="shared" si="25"/>
        <v>0</v>
      </c>
      <c r="BG36" s="759">
        <f t="shared" si="25"/>
        <v>0</v>
      </c>
      <c r="BH36" s="759">
        <f t="shared" si="25"/>
        <v>0</v>
      </c>
      <c r="BI36" s="759">
        <f t="shared" si="25"/>
        <v>0</v>
      </c>
      <c r="BJ36" s="759">
        <f t="shared" si="25"/>
        <v>0</v>
      </c>
      <c r="BK36" s="759">
        <f t="shared" si="25"/>
        <v>0</v>
      </c>
      <c r="BL36" s="759">
        <f t="shared" si="25"/>
        <v>0</v>
      </c>
      <c r="BM36" s="759">
        <f t="shared" si="25"/>
        <v>0</v>
      </c>
      <c r="BN36" s="759">
        <f t="shared" si="25"/>
        <v>0</v>
      </c>
      <c r="BO36" s="759">
        <f t="shared" si="25"/>
        <v>0</v>
      </c>
      <c r="BP36" s="759">
        <f t="shared" si="25"/>
        <v>0</v>
      </c>
      <c r="BQ36" s="759">
        <f t="shared" si="25"/>
        <v>0</v>
      </c>
      <c r="BR36" s="759">
        <f t="shared" si="25"/>
        <v>0</v>
      </c>
      <c r="BS36" s="759">
        <f t="shared" si="25"/>
        <v>0</v>
      </c>
      <c r="BT36" s="759">
        <f t="shared" si="25"/>
        <v>0</v>
      </c>
      <c r="BU36" s="759">
        <f t="shared" ref="BU36:EF36" si="26">$E36*BU33</f>
        <v>0</v>
      </c>
      <c r="BV36" s="759">
        <f t="shared" si="26"/>
        <v>0</v>
      </c>
      <c r="BW36" s="759">
        <f t="shared" si="26"/>
        <v>0</v>
      </c>
      <c r="BX36" s="759">
        <f t="shared" si="26"/>
        <v>0</v>
      </c>
      <c r="BY36" s="759">
        <f t="shared" si="26"/>
        <v>0</v>
      </c>
      <c r="BZ36" s="759">
        <f t="shared" si="26"/>
        <v>0</v>
      </c>
      <c r="CA36" s="759">
        <f t="shared" si="26"/>
        <v>0</v>
      </c>
      <c r="CB36" s="759">
        <f t="shared" si="26"/>
        <v>0</v>
      </c>
      <c r="CC36" s="759">
        <f t="shared" si="26"/>
        <v>0</v>
      </c>
      <c r="CD36" s="759">
        <f t="shared" si="26"/>
        <v>0</v>
      </c>
      <c r="CE36" s="759">
        <f t="shared" si="26"/>
        <v>0</v>
      </c>
      <c r="CF36" s="759">
        <f t="shared" si="26"/>
        <v>0</v>
      </c>
      <c r="CG36" s="759">
        <f t="shared" si="26"/>
        <v>0</v>
      </c>
      <c r="CH36" s="759">
        <f t="shared" si="26"/>
        <v>0</v>
      </c>
      <c r="CI36" s="759">
        <f t="shared" si="26"/>
        <v>0</v>
      </c>
      <c r="CJ36" s="759">
        <f t="shared" si="26"/>
        <v>0</v>
      </c>
      <c r="CK36" s="759">
        <f t="shared" si="26"/>
        <v>0</v>
      </c>
      <c r="CL36" s="759">
        <f t="shared" si="26"/>
        <v>0</v>
      </c>
      <c r="CM36" s="759">
        <f t="shared" si="26"/>
        <v>0</v>
      </c>
      <c r="CN36" s="759">
        <f t="shared" si="26"/>
        <v>0</v>
      </c>
      <c r="CO36" s="759">
        <f t="shared" si="26"/>
        <v>0</v>
      </c>
      <c r="CP36" s="759">
        <f t="shared" si="26"/>
        <v>0</v>
      </c>
      <c r="CQ36" s="759">
        <f t="shared" si="26"/>
        <v>0</v>
      </c>
      <c r="CR36" s="759">
        <f t="shared" si="26"/>
        <v>0</v>
      </c>
      <c r="CS36" s="759">
        <f t="shared" si="26"/>
        <v>0</v>
      </c>
      <c r="CT36" s="759">
        <f t="shared" si="26"/>
        <v>0</v>
      </c>
      <c r="CU36" s="759">
        <f t="shared" si="26"/>
        <v>0</v>
      </c>
      <c r="CV36" s="759">
        <f t="shared" si="26"/>
        <v>0</v>
      </c>
      <c r="CW36" s="759">
        <f t="shared" si="26"/>
        <v>0</v>
      </c>
      <c r="CX36" s="759">
        <f t="shared" si="26"/>
        <v>0</v>
      </c>
      <c r="CY36" s="759">
        <f t="shared" si="26"/>
        <v>0</v>
      </c>
      <c r="CZ36" s="759">
        <f t="shared" si="26"/>
        <v>0</v>
      </c>
      <c r="DA36" s="759">
        <f t="shared" si="26"/>
        <v>0</v>
      </c>
      <c r="DB36" s="759">
        <f t="shared" si="26"/>
        <v>0</v>
      </c>
      <c r="DC36" s="759">
        <f t="shared" si="26"/>
        <v>0</v>
      </c>
      <c r="DD36" s="759">
        <f t="shared" si="26"/>
        <v>0</v>
      </c>
      <c r="DE36" s="759">
        <f t="shared" si="26"/>
        <v>0</v>
      </c>
      <c r="DF36" s="759">
        <f t="shared" si="26"/>
        <v>0</v>
      </c>
      <c r="DG36" s="759">
        <f t="shared" si="26"/>
        <v>0</v>
      </c>
      <c r="DH36" s="759">
        <f t="shared" si="26"/>
        <v>0</v>
      </c>
      <c r="DI36" s="759">
        <f t="shared" si="26"/>
        <v>0</v>
      </c>
      <c r="DJ36" s="759">
        <f t="shared" si="26"/>
        <v>0</v>
      </c>
      <c r="DK36" s="759">
        <f t="shared" si="26"/>
        <v>0</v>
      </c>
      <c r="DL36" s="759">
        <f t="shared" si="26"/>
        <v>0</v>
      </c>
      <c r="DM36" s="759">
        <f t="shared" si="26"/>
        <v>0</v>
      </c>
      <c r="DN36" s="759">
        <f t="shared" si="26"/>
        <v>0</v>
      </c>
      <c r="DO36" s="759">
        <f t="shared" si="26"/>
        <v>0</v>
      </c>
      <c r="DP36" s="759">
        <f t="shared" si="26"/>
        <v>0</v>
      </c>
      <c r="DQ36" s="759">
        <f t="shared" si="26"/>
        <v>0</v>
      </c>
      <c r="DR36" s="759">
        <f t="shared" si="26"/>
        <v>0</v>
      </c>
      <c r="DS36" s="759">
        <f t="shared" si="26"/>
        <v>0</v>
      </c>
      <c r="DT36" s="759">
        <f t="shared" si="26"/>
        <v>0</v>
      </c>
      <c r="DU36" s="759">
        <f t="shared" si="26"/>
        <v>0</v>
      </c>
      <c r="DV36" s="759">
        <f t="shared" si="26"/>
        <v>0</v>
      </c>
      <c r="DW36" s="759">
        <f t="shared" si="26"/>
        <v>0</v>
      </c>
      <c r="DX36" s="759">
        <f t="shared" si="26"/>
        <v>0</v>
      </c>
      <c r="DY36" s="759">
        <f t="shared" si="26"/>
        <v>0</v>
      </c>
      <c r="DZ36" s="759">
        <f t="shared" si="26"/>
        <v>0</v>
      </c>
      <c r="EA36" s="759">
        <f t="shared" si="26"/>
        <v>0</v>
      </c>
      <c r="EB36" s="759">
        <f t="shared" si="26"/>
        <v>0</v>
      </c>
      <c r="EC36" s="759">
        <f t="shared" si="26"/>
        <v>0</v>
      </c>
      <c r="ED36" s="759">
        <f t="shared" si="26"/>
        <v>0</v>
      </c>
      <c r="EE36" s="759">
        <f t="shared" si="26"/>
        <v>0</v>
      </c>
      <c r="EF36" s="759">
        <f t="shared" si="26"/>
        <v>0</v>
      </c>
      <c r="EG36" s="759">
        <f t="shared" ref="EG36:FB36" si="27">$E36*EG33</f>
        <v>0</v>
      </c>
      <c r="EH36" s="759">
        <f t="shared" si="27"/>
        <v>0</v>
      </c>
      <c r="EI36" s="759">
        <f t="shared" si="27"/>
        <v>0</v>
      </c>
      <c r="EJ36" s="759">
        <f t="shared" si="27"/>
        <v>0</v>
      </c>
      <c r="EK36" s="759">
        <f t="shared" si="27"/>
        <v>0</v>
      </c>
      <c r="EL36" s="759">
        <f t="shared" si="27"/>
        <v>0</v>
      </c>
      <c r="EM36" s="759">
        <f t="shared" si="27"/>
        <v>0</v>
      </c>
      <c r="EN36" s="759">
        <f t="shared" si="27"/>
        <v>0</v>
      </c>
      <c r="EO36" s="759">
        <f t="shared" si="27"/>
        <v>0</v>
      </c>
      <c r="EP36" s="759">
        <f t="shared" si="27"/>
        <v>0</v>
      </c>
      <c r="EQ36" s="759">
        <f t="shared" si="27"/>
        <v>0</v>
      </c>
      <c r="ER36" s="759">
        <f t="shared" si="27"/>
        <v>0</v>
      </c>
      <c r="ES36" s="759">
        <f t="shared" si="27"/>
        <v>0</v>
      </c>
      <c r="ET36" s="759">
        <f t="shared" si="27"/>
        <v>0</v>
      </c>
      <c r="EU36" s="759">
        <f t="shared" si="27"/>
        <v>0</v>
      </c>
      <c r="EV36" s="759">
        <f t="shared" si="27"/>
        <v>0</v>
      </c>
      <c r="EW36" s="759">
        <f t="shared" si="27"/>
        <v>0</v>
      </c>
      <c r="EX36" s="759">
        <f t="shared" si="27"/>
        <v>0</v>
      </c>
      <c r="EY36" s="759">
        <f t="shared" si="27"/>
        <v>0</v>
      </c>
      <c r="EZ36" s="759">
        <f t="shared" si="27"/>
        <v>0</v>
      </c>
      <c r="FA36" s="759">
        <f t="shared" si="27"/>
        <v>0</v>
      </c>
      <c r="FB36" s="759">
        <f t="shared" si="27"/>
        <v>0</v>
      </c>
      <c r="FD36" s="758">
        <f>SUM(I36:FB36)</f>
        <v>0</v>
      </c>
    </row>
    <row r="37" spans="2:161" s="692" customFormat="1">
      <c r="B37" s="692" t="s">
        <v>358</v>
      </c>
      <c r="E37" s="703"/>
      <c r="G37" s="728"/>
      <c r="I37" s="745">
        <f t="shared" ref="I37:BT37" si="28">I27-I33</f>
        <v>0</v>
      </c>
      <c r="J37" s="745">
        <f t="shared" si="28"/>
        <v>0</v>
      </c>
      <c r="K37" s="745">
        <f t="shared" si="28"/>
        <v>0</v>
      </c>
      <c r="L37" s="745">
        <f t="shared" si="28"/>
        <v>0</v>
      </c>
      <c r="M37" s="745">
        <f t="shared" si="28"/>
        <v>0</v>
      </c>
      <c r="N37" s="745">
        <f t="shared" si="28"/>
        <v>0</v>
      </c>
      <c r="O37" s="745">
        <f t="shared" si="28"/>
        <v>0</v>
      </c>
      <c r="P37" s="745">
        <f t="shared" si="28"/>
        <v>0</v>
      </c>
      <c r="Q37" s="745">
        <f t="shared" si="28"/>
        <v>0</v>
      </c>
      <c r="R37" s="745">
        <f t="shared" si="28"/>
        <v>0</v>
      </c>
      <c r="S37" s="745">
        <f t="shared" si="28"/>
        <v>0</v>
      </c>
      <c r="T37" s="745">
        <f t="shared" si="28"/>
        <v>0</v>
      </c>
      <c r="U37" s="745">
        <f t="shared" si="28"/>
        <v>0</v>
      </c>
      <c r="V37" s="745">
        <f t="shared" si="28"/>
        <v>0</v>
      </c>
      <c r="W37" s="745">
        <f t="shared" si="28"/>
        <v>0</v>
      </c>
      <c r="X37" s="745">
        <f t="shared" si="28"/>
        <v>0</v>
      </c>
      <c r="Y37" s="745">
        <f t="shared" si="28"/>
        <v>0</v>
      </c>
      <c r="Z37" s="745">
        <f t="shared" si="28"/>
        <v>0</v>
      </c>
      <c r="AA37" s="745">
        <f t="shared" si="28"/>
        <v>0</v>
      </c>
      <c r="AB37" s="745">
        <f t="shared" si="28"/>
        <v>0</v>
      </c>
      <c r="AC37" s="745">
        <f t="shared" si="28"/>
        <v>0</v>
      </c>
      <c r="AD37" s="745">
        <f t="shared" si="28"/>
        <v>0</v>
      </c>
      <c r="AE37" s="745">
        <f t="shared" si="28"/>
        <v>0</v>
      </c>
      <c r="AF37" s="745">
        <f t="shared" si="28"/>
        <v>0</v>
      </c>
      <c r="AG37" s="745">
        <f t="shared" si="28"/>
        <v>0</v>
      </c>
      <c r="AH37" s="745">
        <f t="shared" si="28"/>
        <v>0</v>
      </c>
      <c r="AI37" s="745">
        <f t="shared" si="28"/>
        <v>0</v>
      </c>
      <c r="AJ37" s="745">
        <f t="shared" si="28"/>
        <v>0</v>
      </c>
      <c r="AK37" s="745">
        <f t="shared" si="28"/>
        <v>0</v>
      </c>
      <c r="AL37" s="745">
        <f t="shared" si="28"/>
        <v>0</v>
      </c>
      <c r="AM37" s="745">
        <f t="shared" si="28"/>
        <v>0</v>
      </c>
      <c r="AN37" s="745">
        <f t="shared" si="28"/>
        <v>0</v>
      </c>
      <c r="AO37" s="745">
        <f t="shared" si="28"/>
        <v>0</v>
      </c>
      <c r="AP37" s="745">
        <f t="shared" si="28"/>
        <v>0</v>
      </c>
      <c r="AQ37" s="745">
        <f t="shared" si="28"/>
        <v>0</v>
      </c>
      <c r="AR37" s="745">
        <f t="shared" si="28"/>
        <v>0</v>
      </c>
      <c r="AS37" s="745">
        <f t="shared" si="28"/>
        <v>0</v>
      </c>
      <c r="AT37" s="745">
        <f t="shared" si="28"/>
        <v>0</v>
      </c>
      <c r="AU37" s="745">
        <f t="shared" si="28"/>
        <v>0</v>
      </c>
      <c r="AV37" s="745">
        <f t="shared" si="28"/>
        <v>0</v>
      </c>
      <c r="AW37" s="745">
        <f t="shared" si="28"/>
        <v>0</v>
      </c>
      <c r="AX37" s="745">
        <f t="shared" si="28"/>
        <v>0</v>
      </c>
      <c r="AY37" s="745">
        <f t="shared" si="28"/>
        <v>0</v>
      </c>
      <c r="AZ37" s="745">
        <f t="shared" si="28"/>
        <v>0</v>
      </c>
      <c r="BA37" s="745">
        <f t="shared" si="28"/>
        <v>0</v>
      </c>
      <c r="BB37" s="745">
        <f t="shared" si="28"/>
        <v>0</v>
      </c>
      <c r="BC37" s="745">
        <f t="shared" si="28"/>
        <v>0</v>
      </c>
      <c r="BD37" s="745">
        <f t="shared" si="28"/>
        <v>18938062.519156806</v>
      </c>
      <c r="BE37" s="745">
        <f t="shared" si="28"/>
        <v>0</v>
      </c>
      <c r="BF37" s="745">
        <f t="shared" si="28"/>
        <v>0</v>
      </c>
      <c r="BG37" s="745">
        <f t="shared" si="28"/>
        <v>0</v>
      </c>
      <c r="BH37" s="745">
        <f t="shared" si="28"/>
        <v>0</v>
      </c>
      <c r="BI37" s="745">
        <f t="shared" si="28"/>
        <v>0</v>
      </c>
      <c r="BJ37" s="745">
        <f t="shared" si="28"/>
        <v>0</v>
      </c>
      <c r="BK37" s="745">
        <f t="shared" si="28"/>
        <v>0</v>
      </c>
      <c r="BL37" s="745">
        <f t="shared" si="28"/>
        <v>0</v>
      </c>
      <c r="BM37" s="745">
        <f t="shared" si="28"/>
        <v>0</v>
      </c>
      <c r="BN37" s="745">
        <f t="shared" si="28"/>
        <v>0</v>
      </c>
      <c r="BO37" s="745">
        <f t="shared" si="28"/>
        <v>0</v>
      </c>
      <c r="BP37" s="745">
        <f t="shared" si="28"/>
        <v>0</v>
      </c>
      <c r="BQ37" s="745">
        <f t="shared" si="28"/>
        <v>0</v>
      </c>
      <c r="BR37" s="745">
        <f t="shared" si="28"/>
        <v>0</v>
      </c>
      <c r="BS37" s="745">
        <f t="shared" si="28"/>
        <v>0</v>
      </c>
      <c r="BT37" s="745">
        <f t="shared" si="28"/>
        <v>0</v>
      </c>
      <c r="BU37" s="745">
        <f t="shared" ref="BU37:EF37" si="29">BU27-BU33</f>
        <v>0</v>
      </c>
      <c r="BV37" s="745">
        <f t="shared" si="29"/>
        <v>0</v>
      </c>
      <c r="BW37" s="745">
        <f t="shared" si="29"/>
        <v>0</v>
      </c>
      <c r="BX37" s="745">
        <f t="shared" si="29"/>
        <v>0</v>
      </c>
      <c r="BY37" s="745">
        <f t="shared" si="29"/>
        <v>0</v>
      </c>
      <c r="BZ37" s="745">
        <f t="shared" si="29"/>
        <v>0</v>
      </c>
      <c r="CA37" s="745">
        <f t="shared" si="29"/>
        <v>0</v>
      </c>
      <c r="CB37" s="745">
        <f t="shared" si="29"/>
        <v>0</v>
      </c>
      <c r="CC37" s="745">
        <f t="shared" si="29"/>
        <v>0</v>
      </c>
      <c r="CD37" s="745">
        <f t="shared" si="29"/>
        <v>0</v>
      </c>
      <c r="CE37" s="745">
        <f t="shared" si="29"/>
        <v>0</v>
      </c>
      <c r="CF37" s="745">
        <f t="shared" si="29"/>
        <v>0</v>
      </c>
      <c r="CG37" s="745">
        <f t="shared" si="29"/>
        <v>0</v>
      </c>
      <c r="CH37" s="745">
        <f t="shared" si="29"/>
        <v>0</v>
      </c>
      <c r="CI37" s="745">
        <f t="shared" si="29"/>
        <v>0</v>
      </c>
      <c r="CJ37" s="745">
        <f t="shared" si="29"/>
        <v>0</v>
      </c>
      <c r="CK37" s="745">
        <f t="shared" si="29"/>
        <v>0</v>
      </c>
      <c r="CL37" s="745">
        <f t="shared" si="29"/>
        <v>0</v>
      </c>
      <c r="CM37" s="745">
        <f t="shared" si="29"/>
        <v>0</v>
      </c>
      <c r="CN37" s="745">
        <f t="shared" si="29"/>
        <v>0</v>
      </c>
      <c r="CO37" s="745">
        <f t="shared" si="29"/>
        <v>0</v>
      </c>
      <c r="CP37" s="745">
        <f t="shared" si="29"/>
        <v>0</v>
      </c>
      <c r="CQ37" s="745">
        <f t="shared" si="29"/>
        <v>0</v>
      </c>
      <c r="CR37" s="745">
        <f t="shared" si="29"/>
        <v>0</v>
      </c>
      <c r="CS37" s="745">
        <f t="shared" si="29"/>
        <v>0</v>
      </c>
      <c r="CT37" s="745">
        <f t="shared" si="29"/>
        <v>0</v>
      </c>
      <c r="CU37" s="745">
        <f t="shared" si="29"/>
        <v>0</v>
      </c>
      <c r="CV37" s="745">
        <f t="shared" si="29"/>
        <v>0</v>
      </c>
      <c r="CW37" s="745">
        <f t="shared" si="29"/>
        <v>0</v>
      </c>
      <c r="CX37" s="745">
        <f t="shared" si="29"/>
        <v>0</v>
      </c>
      <c r="CY37" s="745">
        <f t="shared" si="29"/>
        <v>0</v>
      </c>
      <c r="CZ37" s="745">
        <f t="shared" si="29"/>
        <v>0</v>
      </c>
      <c r="DA37" s="745">
        <f t="shared" si="29"/>
        <v>0</v>
      </c>
      <c r="DB37" s="745">
        <f t="shared" si="29"/>
        <v>0</v>
      </c>
      <c r="DC37" s="745">
        <f t="shared" si="29"/>
        <v>0</v>
      </c>
      <c r="DD37" s="745">
        <f t="shared" si="29"/>
        <v>0</v>
      </c>
      <c r="DE37" s="745">
        <f t="shared" si="29"/>
        <v>0</v>
      </c>
      <c r="DF37" s="745">
        <f t="shared" si="29"/>
        <v>0</v>
      </c>
      <c r="DG37" s="745">
        <f t="shared" si="29"/>
        <v>0</v>
      </c>
      <c r="DH37" s="745">
        <f t="shared" si="29"/>
        <v>0</v>
      </c>
      <c r="DI37" s="745">
        <f t="shared" si="29"/>
        <v>0</v>
      </c>
      <c r="DJ37" s="745">
        <f t="shared" si="29"/>
        <v>0</v>
      </c>
      <c r="DK37" s="745">
        <f t="shared" si="29"/>
        <v>0</v>
      </c>
      <c r="DL37" s="745">
        <f t="shared" si="29"/>
        <v>0</v>
      </c>
      <c r="DM37" s="745">
        <f t="shared" si="29"/>
        <v>0</v>
      </c>
      <c r="DN37" s="745">
        <f t="shared" si="29"/>
        <v>0</v>
      </c>
      <c r="DO37" s="745">
        <f t="shared" si="29"/>
        <v>0</v>
      </c>
      <c r="DP37" s="745">
        <f t="shared" si="29"/>
        <v>0</v>
      </c>
      <c r="DQ37" s="745">
        <f t="shared" si="29"/>
        <v>0</v>
      </c>
      <c r="DR37" s="745">
        <f t="shared" si="29"/>
        <v>0</v>
      </c>
      <c r="DS37" s="745">
        <f t="shared" si="29"/>
        <v>0</v>
      </c>
      <c r="DT37" s="745">
        <f t="shared" si="29"/>
        <v>0</v>
      </c>
      <c r="DU37" s="745">
        <f t="shared" si="29"/>
        <v>0</v>
      </c>
      <c r="DV37" s="745">
        <f t="shared" si="29"/>
        <v>0</v>
      </c>
      <c r="DW37" s="745">
        <f t="shared" si="29"/>
        <v>0</v>
      </c>
      <c r="DX37" s="745">
        <f t="shared" si="29"/>
        <v>0</v>
      </c>
      <c r="DY37" s="745">
        <f t="shared" si="29"/>
        <v>0</v>
      </c>
      <c r="DZ37" s="745">
        <f t="shared" si="29"/>
        <v>0</v>
      </c>
      <c r="EA37" s="745">
        <f t="shared" si="29"/>
        <v>0</v>
      </c>
      <c r="EB37" s="745">
        <f t="shared" si="29"/>
        <v>0</v>
      </c>
      <c r="EC37" s="745">
        <f t="shared" si="29"/>
        <v>0</v>
      </c>
      <c r="ED37" s="745">
        <f t="shared" si="29"/>
        <v>0</v>
      </c>
      <c r="EE37" s="745">
        <f t="shared" si="29"/>
        <v>0</v>
      </c>
      <c r="EF37" s="745">
        <f t="shared" si="29"/>
        <v>0</v>
      </c>
      <c r="EG37" s="745">
        <f t="shared" ref="EG37:FB37" si="30">EG27-EG33</f>
        <v>0</v>
      </c>
      <c r="EH37" s="745">
        <f t="shared" si="30"/>
        <v>0</v>
      </c>
      <c r="EI37" s="745">
        <f t="shared" si="30"/>
        <v>0</v>
      </c>
      <c r="EJ37" s="745">
        <f t="shared" si="30"/>
        <v>0</v>
      </c>
      <c r="EK37" s="745">
        <f t="shared" si="30"/>
        <v>0</v>
      </c>
      <c r="EL37" s="745">
        <f t="shared" si="30"/>
        <v>0</v>
      </c>
      <c r="EM37" s="745">
        <f t="shared" si="30"/>
        <v>0</v>
      </c>
      <c r="EN37" s="745">
        <f t="shared" si="30"/>
        <v>0</v>
      </c>
      <c r="EO37" s="745">
        <f t="shared" si="30"/>
        <v>0</v>
      </c>
      <c r="EP37" s="745">
        <f t="shared" si="30"/>
        <v>0</v>
      </c>
      <c r="EQ37" s="745">
        <f t="shared" si="30"/>
        <v>0</v>
      </c>
      <c r="ER37" s="745">
        <f t="shared" si="30"/>
        <v>0</v>
      </c>
      <c r="ES37" s="745">
        <f t="shared" si="30"/>
        <v>0</v>
      </c>
      <c r="ET37" s="745">
        <f t="shared" si="30"/>
        <v>0</v>
      </c>
      <c r="EU37" s="745">
        <f t="shared" si="30"/>
        <v>0</v>
      </c>
      <c r="EV37" s="745">
        <f t="shared" si="30"/>
        <v>0</v>
      </c>
      <c r="EW37" s="745">
        <f t="shared" si="30"/>
        <v>0</v>
      </c>
      <c r="EX37" s="745">
        <f t="shared" si="30"/>
        <v>0</v>
      </c>
      <c r="EY37" s="745">
        <f t="shared" si="30"/>
        <v>0</v>
      </c>
      <c r="EZ37" s="745">
        <f t="shared" si="30"/>
        <v>0</v>
      </c>
      <c r="FA37" s="745">
        <f t="shared" si="30"/>
        <v>0</v>
      </c>
      <c r="FB37" s="745">
        <f t="shared" si="30"/>
        <v>0</v>
      </c>
      <c r="FD37" s="728"/>
    </row>
    <row r="38" spans="2:161" s="742" customFormat="1" ht="6" customHeight="1">
      <c r="E38" s="704"/>
      <c r="G38" s="743"/>
      <c r="I38" s="760"/>
      <c r="J38" s="760"/>
      <c r="K38" s="760"/>
      <c r="L38" s="760"/>
      <c r="M38" s="760"/>
      <c r="N38" s="760"/>
      <c r="O38" s="760"/>
      <c r="P38" s="760"/>
      <c r="Q38" s="760"/>
      <c r="R38" s="760"/>
      <c r="S38" s="760"/>
      <c r="T38" s="760"/>
      <c r="U38" s="760"/>
      <c r="V38" s="760"/>
      <c r="W38" s="760"/>
      <c r="X38" s="760"/>
      <c r="Y38" s="760"/>
      <c r="Z38" s="760"/>
      <c r="AA38" s="760"/>
      <c r="AB38" s="760"/>
      <c r="AC38" s="760"/>
      <c r="AD38" s="760"/>
      <c r="AE38" s="760"/>
      <c r="AF38" s="760"/>
      <c r="AG38" s="760"/>
      <c r="AH38" s="760"/>
      <c r="AI38" s="760"/>
      <c r="AJ38" s="760"/>
      <c r="AK38" s="760"/>
      <c r="AL38" s="760"/>
      <c r="AM38" s="760"/>
      <c r="AN38" s="760"/>
      <c r="AO38" s="760"/>
      <c r="AP38" s="760"/>
      <c r="AQ38" s="760"/>
      <c r="AR38" s="760"/>
      <c r="AS38" s="760"/>
      <c r="AT38" s="760"/>
      <c r="AU38" s="760"/>
      <c r="AV38" s="760"/>
      <c r="AW38" s="760"/>
      <c r="AX38" s="760"/>
      <c r="AY38" s="760"/>
      <c r="AZ38" s="760"/>
      <c r="BA38" s="760"/>
      <c r="BB38" s="760"/>
      <c r="BC38" s="760"/>
      <c r="BD38" s="760"/>
      <c r="BE38" s="760"/>
      <c r="BF38" s="760"/>
      <c r="BG38" s="760"/>
      <c r="BH38" s="760"/>
      <c r="BI38" s="760"/>
      <c r="BJ38" s="760"/>
      <c r="BK38" s="760"/>
      <c r="BL38" s="760"/>
      <c r="BM38" s="760"/>
      <c r="BN38" s="760"/>
      <c r="BO38" s="760"/>
      <c r="BP38" s="760"/>
      <c r="BQ38" s="760"/>
      <c r="BR38" s="760"/>
      <c r="BS38" s="760"/>
      <c r="BT38" s="760"/>
      <c r="BU38" s="760"/>
      <c r="BV38" s="760"/>
      <c r="BW38" s="760"/>
      <c r="BX38" s="760"/>
      <c r="BY38" s="760"/>
      <c r="BZ38" s="760"/>
      <c r="CA38" s="760"/>
      <c r="CB38" s="760"/>
      <c r="CC38" s="760"/>
      <c r="CD38" s="760"/>
      <c r="CE38" s="760"/>
      <c r="CF38" s="760"/>
      <c r="CG38" s="760"/>
      <c r="CH38" s="760"/>
      <c r="CI38" s="760"/>
      <c r="CJ38" s="760"/>
      <c r="CK38" s="760"/>
      <c r="CL38" s="760"/>
      <c r="CM38" s="760"/>
      <c r="CN38" s="760"/>
      <c r="CO38" s="760"/>
      <c r="CP38" s="760"/>
      <c r="CQ38" s="760"/>
      <c r="CR38" s="760"/>
      <c r="CS38" s="760"/>
      <c r="CT38" s="760"/>
      <c r="CU38" s="760"/>
      <c r="CV38" s="760"/>
      <c r="CW38" s="760"/>
      <c r="CX38" s="760"/>
      <c r="CY38" s="760"/>
      <c r="CZ38" s="760"/>
      <c r="DA38" s="760"/>
      <c r="DB38" s="760"/>
      <c r="DC38" s="760"/>
      <c r="DD38" s="760"/>
      <c r="DE38" s="760"/>
      <c r="DF38" s="760"/>
      <c r="DG38" s="760"/>
      <c r="DH38" s="760"/>
      <c r="DI38" s="760"/>
      <c r="DJ38" s="760"/>
      <c r="DK38" s="760"/>
      <c r="DL38" s="760"/>
      <c r="DM38" s="760"/>
      <c r="DN38" s="760"/>
      <c r="DO38" s="760"/>
      <c r="DP38" s="760"/>
      <c r="DQ38" s="760"/>
      <c r="DR38" s="760"/>
      <c r="DS38" s="760"/>
      <c r="DT38" s="760"/>
      <c r="DU38" s="760"/>
      <c r="DV38" s="760"/>
      <c r="DW38" s="760"/>
      <c r="DX38" s="760"/>
      <c r="DY38" s="760"/>
      <c r="DZ38" s="760"/>
      <c r="EA38" s="760"/>
      <c r="EB38" s="760"/>
      <c r="EC38" s="760"/>
      <c r="ED38" s="760"/>
      <c r="EE38" s="760"/>
      <c r="EF38" s="760"/>
      <c r="EG38" s="760"/>
      <c r="EH38" s="760"/>
      <c r="EI38" s="760"/>
      <c r="EJ38" s="760"/>
      <c r="EK38" s="760"/>
      <c r="EL38" s="760"/>
      <c r="EM38" s="760"/>
      <c r="EN38" s="760"/>
      <c r="EO38" s="760"/>
      <c r="EP38" s="760"/>
      <c r="EQ38" s="760"/>
      <c r="ER38" s="760"/>
      <c r="ES38" s="760"/>
      <c r="ET38" s="760"/>
      <c r="EU38" s="760"/>
      <c r="EV38" s="760"/>
      <c r="EW38" s="760"/>
      <c r="EX38" s="760"/>
      <c r="EY38" s="760"/>
      <c r="EZ38" s="760"/>
      <c r="FA38" s="760"/>
      <c r="FB38" s="760"/>
      <c r="FC38" s="692"/>
      <c r="FD38" s="743"/>
      <c r="FE38" s="692"/>
    </row>
    <row r="39" spans="2:161" s="742" customFormat="1">
      <c r="B39" s="693" t="str">
        <f>"Tier II -- LP IRR between "&amp;TEXT($C$12,"#0%")&amp;" and "&amp;TEXT($C$13,"#0%")</f>
        <v>Tier II -- LP IRR between 8% and 11%</v>
      </c>
      <c r="E39" s="704"/>
      <c r="G39" s="743"/>
      <c r="I39" s="760"/>
      <c r="J39" s="760"/>
      <c r="K39" s="760"/>
      <c r="L39" s="760"/>
      <c r="M39" s="760"/>
      <c r="N39" s="760"/>
      <c r="O39" s="760"/>
      <c r="P39" s="760"/>
      <c r="Q39" s="760"/>
      <c r="R39" s="760"/>
      <c r="S39" s="760"/>
      <c r="T39" s="760"/>
      <c r="U39" s="760"/>
      <c r="V39" s="760"/>
      <c r="W39" s="760"/>
      <c r="X39" s="760"/>
      <c r="Y39" s="760"/>
      <c r="Z39" s="760"/>
      <c r="AA39" s="760"/>
      <c r="AB39" s="760"/>
      <c r="AC39" s="760"/>
      <c r="AD39" s="760"/>
      <c r="AE39" s="760"/>
      <c r="AF39" s="760"/>
      <c r="AG39" s="760"/>
      <c r="AH39" s="760"/>
      <c r="AI39" s="760"/>
      <c r="AJ39" s="760"/>
      <c r="AK39" s="760"/>
      <c r="AL39" s="760"/>
      <c r="AM39" s="760"/>
      <c r="AN39" s="760"/>
      <c r="AO39" s="760"/>
      <c r="AP39" s="760"/>
      <c r="AQ39" s="760"/>
      <c r="AR39" s="760"/>
      <c r="AS39" s="760"/>
      <c r="AT39" s="760"/>
      <c r="AU39" s="760"/>
      <c r="AV39" s="760"/>
      <c r="AW39" s="760"/>
      <c r="AX39" s="760"/>
      <c r="AY39" s="760"/>
      <c r="AZ39" s="760"/>
      <c r="BA39" s="760"/>
      <c r="BB39" s="760"/>
      <c r="BC39" s="760"/>
      <c r="BD39" s="760"/>
      <c r="BE39" s="760"/>
      <c r="BF39" s="760"/>
      <c r="BG39" s="760"/>
      <c r="BH39" s="760"/>
      <c r="BI39" s="760"/>
      <c r="BJ39" s="760"/>
      <c r="BK39" s="760"/>
      <c r="BL39" s="760"/>
      <c r="BM39" s="760"/>
      <c r="BN39" s="760"/>
      <c r="BO39" s="760"/>
      <c r="BP39" s="760"/>
      <c r="BQ39" s="760"/>
      <c r="BR39" s="760"/>
      <c r="BS39" s="760"/>
      <c r="BT39" s="760"/>
      <c r="BU39" s="760"/>
      <c r="BV39" s="760"/>
      <c r="BW39" s="760"/>
      <c r="BX39" s="760"/>
      <c r="BY39" s="760"/>
      <c r="BZ39" s="760"/>
      <c r="CA39" s="760"/>
      <c r="CB39" s="760"/>
      <c r="CC39" s="760"/>
      <c r="CD39" s="760"/>
      <c r="CE39" s="760"/>
      <c r="CF39" s="760"/>
      <c r="CG39" s="760"/>
      <c r="CH39" s="760"/>
      <c r="CI39" s="760"/>
      <c r="CJ39" s="760"/>
      <c r="CK39" s="760"/>
      <c r="CL39" s="760"/>
      <c r="CM39" s="760"/>
      <c r="CN39" s="760"/>
      <c r="CO39" s="760"/>
      <c r="CP39" s="760"/>
      <c r="CQ39" s="760"/>
      <c r="CR39" s="760"/>
      <c r="CS39" s="760"/>
      <c r="CT39" s="760"/>
      <c r="CU39" s="760"/>
      <c r="CV39" s="760"/>
      <c r="CW39" s="760"/>
      <c r="CX39" s="760"/>
      <c r="CY39" s="760"/>
      <c r="CZ39" s="760"/>
      <c r="DA39" s="760"/>
      <c r="DB39" s="760"/>
      <c r="DC39" s="760"/>
      <c r="DD39" s="760"/>
      <c r="DE39" s="760"/>
      <c r="DF39" s="760"/>
      <c r="DG39" s="760"/>
      <c r="DH39" s="760"/>
      <c r="DI39" s="760"/>
      <c r="DJ39" s="760"/>
      <c r="DK39" s="760"/>
      <c r="DL39" s="760"/>
      <c r="DM39" s="760"/>
      <c r="DN39" s="760"/>
      <c r="DO39" s="760"/>
      <c r="DP39" s="760"/>
      <c r="DQ39" s="760"/>
      <c r="DR39" s="760"/>
      <c r="DS39" s="760"/>
      <c r="DT39" s="760"/>
      <c r="DU39" s="760"/>
      <c r="DV39" s="760"/>
      <c r="DW39" s="760"/>
      <c r="DX39" s="760"/>
      <c r="DY39" s="760"/>
      <c r="DZ39" s="760"/>
      <c r="EA39" s="760"/>
      <c r="EB39" s="760"/>
      <c r="EC39" s="760"/>
      <c r="ED39" s="760"/>
      <c r="EE39" s="760"/>
      <c r="EF39" s="760"/>
      <c r="EG39" s="760"/>
      <c r="EH39" s="760"/>
      <c r="EI39" s="760"/>
      <c r="EJ39" s="760"/>
      <c r="EK39" s="760"/>
      <c r="EL39" s="760"/>
      <c r="EM39" s="760"/>
      <c r="EN39" s="760"/>
      <c r="EO39" s="760"/>
      <c r="EP39" s="760"/>
      <c r="EQ39" s="760"/>
      <c r="ER39" s="760"/>
      <c r="ES39" s="760"/>
      <c r="ET39" s="760"/>
      <c r="EU39" s="760"/>
      <c r="EV39" s="760"/>
      <c r="EW39" s="760"/>
      <c r="EX39" s="760"/>
      <c r="EY39" s="760"/>
      <c r="EZ39" s="760"/>
      <c r="FA39" s="760"/>
      <c r="FB39" s="760"/>
      <c r="FC39" s="692"/>
      <c r="FD39" s="743"/>
      <c r="FE39" s="692"/>
    </row>
    <row r="40" spans="2:161" s="742" customFormat="1" hidden="1">
      <c r="B40" s="739" t="str">
        <f>"Amount Needed to Achieve "&amp;TEXT($C13,"#0%")&amp;" LP IRR"</f>
        <v>Amount Needed to Achieve 11% LP IRR</v>
      </c>
      <c r="E40" s="704"/>
      <c r="G40" s="740"/>
      <c r="J40" s="741">
        <f>IF(XNPV($C13,$I$68:I$68,$I$17:I$17)&gt;=0,0,FV($C13,(J$17-$I$17)/365,0,(XNPV($C13,$I$68:I$68,$I$17:I$17))))</f>
        <v>12991757.008908106</v>
      </c>
      <c r="K40" s="741">
        <f>IF(XNPV($C13,$I$68:J$68,$I$17:J$17)&gt;=0,0,FV($C13,(K$17-$I$17)/365,0,(XNPV($C13,$I$68:J$68,$I$17:J$17))))</f>
        <v>13071435.574047821</v>
      </c>
      <c r="L40" s="741">
        <f>IF(XNPV($C13,$I$68:K$68,$I$17:K$17)&gt;=0,0,FV($C13,(L$17-$I$17)/365,0,(XNPV($C13,$I$68:K$68,$I$17:K$17))))</f>
        <v>13151682.484637551</v>
      </c>
      <c r="M40" s="741">
        <f>IF(XNPV($C13,$I$68:L$68,$I$17:L$17)&gt;=0,0,FV($C13,(M$17-$I$17)/365,0,(XNPV($C13,$I$68:L$68,$I$17:L$17))))</f>
        <v>13229134.81575828</v>
      </c>
      <c r="N40" s="741">
        <f>IF(XNPV($C13,$I$68:M$68,$I$17:M$17)&gt;=0,0,FV($C13,(N$17-$I$17)/365,0,(XNPV($C13,$I$68:M$68,$I$17:M$17))))</f>
        <v>13316659.20187776</v>
      </c>
      <c r="O40" s="741">
        <f>IF(XNPV($C13,$I$68:N$68,$I$17:N$17)&gt;=0,0,FV($C13,(O$17-$I$17)/365,0,(XNPV($C13,$I$68:N$68,$I$17:N$17))))</f>
        <v>13395273.62844176</v>
      </c>
      <c r="P40" s="741">
        <f>IF(XNPV($C13,$I$68:O$68,$I$17:O$17)&gt;=0,0,FV($C13,(P$17-$I$17)/365,0,(XNPV($C13,$I$68:O$68,$I$17:O$17))))</f>
        <v>13484026.603836641</v>
      </c>
      <c r="Q40" s="741">
        <f>IF(XNPV($C13,$I$68:P$68,$I$17:P$17)&gt;=0,0,FV($C13,(Q$17-$I$17)/365,0,(XNPV($C13,$I$68:P$68,$I$17:P$17))))</f>
        <v>13565905.177784692</v>
      </c>
      <c r="R40" s="741">
        <f>IF(XNPV($C13,$I$68:Q$68,$I$17:Q$17)&gt;=0,0,FV($C13,(R$17-$I$17)/365,0,(XNPV($C13,$I$68:Q$68,$I$17:Q$17))))</f>
        <v>13627455.978290811</v>
      </c>
      <c r="S40" s="741">
        <f>IF(XNPV($C13,$I$68:R$68,$I$17:R$17)&gt;=0,0,FV($C13,(S$17-$I$17)/365,0,(XNPV($C13,$I$68:R$68,$I$17:R$17))))</f>
        <v>13718491.246087255</v>
      </c>
      <c r="T40" s="741">
        <f>IF(XNPV($C13,$I$68:S$68,$I$17:S$17)&gt;=0,0,FV($C13,(T$17-$I$17)/365,0,(XNPV($C13,$I$68:S$68,$I$17:S$17))))</f>
        <v>13800685.641935693</v>
      </c>
      <c r="U40" s="741">
        <f>IF(XNPV($C13,$I$68:T$68,$I$17:T$17)&gt;=0,0,FV($C13,(U$17-$I$17)/365,0,(XNPV($C13,$I$68:T$68,$I$17:T$17))))</f>
        <v>13893294.381755285</v>
      </c>
      <c r="V40" s="741">
        <f>IF(XNPV($C13,$I$68:U$68,$I$17:U$17)&gt;=0,0,FV($C13,(V$17-$I$17)/365,0,(XNPV($C13,$I$68:U$68,$I$17:U$17))))</f>
        <v>13962425.176679295</v>
      </c>
      <c r="W40" s="741">
        <f>IF(XNPV($C13,$I$68:V$68,$I$17:V$17)&gt;=0,0,FV($C13,(W$17-$I$17)/365,0,(XNPV($C13,$I$68:V$68,$I$17:V$17))))</f>
        <v>14045260.466040941</v>
      </c>
      <c r="X40" s="741">
        <f>IF(XNPV($C13,$I$68:W$68,$I$17:W$17)&gt;=0,0,FV($C13,(X$17-$I$17)/365,0,(XNPV($C13,$I$68:W$68,$I$17:W$17))))</f>
        <v>14131970.632549398</v>
      </c>
      <c r="Y40" s="741">
        <f>IF(XNPV($C13,$I$68:X$68,$I$17:X$17)&gt;=0,0,FV($C13,(Y$17-$I$17)/365,0,(XNPV($C13,$I$68:X$68,$I$17:X$17))))</f>
        <v>14208819.723765964</v>
      </c>
      <c r="Z40" s="741">
        <f>IF(XNPV($C13,$I$68:Y$68,$I$17:Y$17)&gt;=0,0,FV($C13,(Z$17-$I$17)/365,0,(XNPV($C13,$I$68:Y$68,$I$17:Y$17))))</f>
        <v>14288685.770940926</v>
      </c>
      <c r="AA40" s="741">
        <f>IF(XNPV($C13,$I$68:Z$68,$I$17:Z$17)&gt;=0,0,FV($C13,(AA$17-$I$17)/365,0,(XNPV($C13,$I$68:Z$68,$I$17:Z$17))))</f>
        <v>14358444.92130168</v>
      </c>
      <c r="AB40" s="741">
        <f>IF(XNPV($C13,$I$68:AA$68,$I$17:AA$17)&gt;=0,0,FV($C13,(AB$17-$I$17)/365,0,(XNPV($C13,$I$68:AA$68,$I$17:AA$17))))</f>
        <v>14437640.851460306</v>
      </c>
      <c r="AC40" s="741">
        <f>IF(XNPV($C13,$I$68:AB$68,$I$17:AB$17)&gt;=0,0,FV($C13,(AC$17-$I$17)/365,0,(XNPV($C13,$I$68:AB$68,$I$17:AB$17))))</f>
        <v>14503342.56029053</v>
      </c>
      <c r="AD40" s="741">
        <f>IF(XNPV($C13,$I$68:AC$68,$I$17:AC$17)&gt;=0,0,FV($C13,(AD$17-$I$17)/365,0,(XNPV($C13,$I$68:AC$68,$I$17:AC$17))))</f>
        <v>14548890.161083112</v>
      </c>
      <c r="AE40" s="741">
        <f>IF(XNPV($C13,$I$68:AD$68,$I$17:AD$17)&gt;=0,0,FV($C13,(AE$17-$I$17)/365,0,(XNPV($C13,$I$68:AD$68,$I$17:AD$17))))</f>
        <v>14613458.470354065</v>
      </c>
      <c r="AF40" s="741">
        <f>IF(XNPV($C13,$I$68:AE$68,$I$17:AE$17)&gt;=0,0,FV($C13,(AF$17-$I$17)/365,0,(XNPV($C13,$I$68:AE$68,$I$17:AE$17))))</f>
        <v>14667491.067849226</v>
      </c>
      <c r="AG40" s="741">
        <f>IF(XNPV($C13,$I$68:AF$68,$I$17:AF$17)&gt;=0,0,FV($C13,(AG$17-$I$17)/365,0,(XNPV($C13,$I$68:AF$68,$I$17:AF$17))))</f>
        <v>14730750.15927632</v>
      </c>
      <c r="AH40" s="741">
        <f>IF(XNPV($C13,$I$68:AG$68,$I$17:AG$17)&gt;=0,0,FV($C13,(AH$17-$I$17)/365,0,(XNPV($C13,$I$68:AG$68,$I$17:AG$17))))</f>
        <v>14783444.007302128</v>
      </c>
      <c r="AI40" s="741">
        <f>IF(XNPV($C13,$I$68:AH$68,$I$17:AH$17)&gt;=0,0,FV($C13,(AI$17-$I$17)/365,0,(XNPV($C13,$I$68:AH$68,$I$17:AH$17))))</f>
        <v>14845898.004727898</v>
      </c>
      <c r="AJ40" s="741">
        <f>IF(XNPV($C13,$I$68:AI$68,$I$17:AI$17)&gt;=0,0,FV($C13,(AJ$17-$I$17)/365,0,(XNPV($C13,$I$68:AI$68,$I$17:AI$17))))</f>
        <v>14907987.306910932</v>
      </c>
      <c r="AK40" s="741">
        <f>IF(XNPV($C13,$I$68:AJ$68,$I$17:AJ$17)&gt;=0,0,FV($C13,(AK$17-$I$17)/365,0,(XNPV($C13,$I$68:AJ$68,$I$17:AJ$17))))</f>
        <v>14959460.335450592</v>
      </c>
      <c r="AL40" s="741">
        <f>IF(XNPV($C13,$I$68:AK$68,$I$17:AK$17)&gt;=0,0,FV($C13,(AL$17-$I$17)/365,0,(XNPV($C13,$I$68:AK$68,$I$17:AK$17))))</f>
        <v>15020260.129959151</v>
      </c>
      <c r="AM40" s="741">
        <f>IF(XNPV($C13,$I$68:AL$68,$I$17:AL$17)&gt;=0,0,FV($C13,(AM$17-$I$17)/365,0,(XNPV($C13,$I$68:AL$68,$I$17:AL$17))))</f>
        <v>15070435.602025226</v>
      </c>
      <c r="AN40" s="741">
        <f>IF(XNPV($C13,$I$68:AM$68,$I$17:AM$17)&gt;=0,0,FV($C13,(AN$17-$I$17)/365,0,(XNPV($C13,$I$68:AM$68,$I$17:AM$17))))</f>
        <v>15130008.052249802</v>
      </c>
      <c r="AO40" s="741">
        <f>IF(XNPV($C13,$I$68:AN$68,$I$17:AN$17)&gt;=0,0,FV($C13,(AO$17-$I$17)/365,0,(XNPV($C13,$I$68:AN$68,$I$17:AN$17))))</f>
        <v>15189053.798555901</v>
      </c>
      <c r="AP40" s="741">
        <f>IF(XNPV($C13,$I$68:AO$68,$I$17:AO$17)&gt;=0,0,FV($C13,(AP$17-$I$17)/365,0,(XNPV($C13,$I$68:AO$68,$I$17:AO$17))))</f>
        <v>15217478.951250523</v>
      </c>
      <c r="AQ40" s="741">
        <f>IF(XNPV($C13,$I$68:AP$68,$I$17:AP$17)&gt;=0,0,FV($C13,(AQ$17-$I$17)/365,0,(XNPV($C13,$I$68:AP$68,$I$17:AP$17))))</f>
        <v>15275621.99858007</v>
      </c>
      <c r="AR40" s="741">
        <f>IF(XNPV($C13,$I$68:AQ$68,$I$17:AQ$17)&gt;=0,0,FV($C13,(AR$17-$I$17)/365,0,(XNPV($C13,$I$68:AQ$68,$I$17:AQ$17))))</f>
        <v>15323218.553535912</v>
      </c>
      <c r="AS40" s="741">
        <f>IF(XNPV($C13,$I$68:AR$68,$I$17:AR$17)&gt;=0,0,FV($C13,(AS$17-$I$17)/365,0,(XNPV($C13,$I$68:AR$68,$I$17:AR$17))))</f>
        <v>15380412.194681585</v>
      </c>
      <c r="AT40" s="741">
        <f>IF(XNPV($C13,$I$68:AS$68,$I$17:AS$17)&gt;=0,0,FV($C13,(AT$17-$I$17)/365,0,(XNPV($C13,$I$68:AS$68,$I$17:AS$17))))</f>
        <v>15427063.472691754</v>
      </c>
      <c r="AU40" s="741">
        <f>IF(XNPV($C13,$I$68:AT$68,$I$17:AT$17)&gt;=0,0,FV($C13,(AU$17-$I$17)/365,0,(XNPV($C13,$I$68:AT$68,$I$17:AT$17))))</f>
        <v>15483393.351114294</v>
      </c>
      <c r="AV40" s="741">
        <f>IF(XNPV($C13,$I$68:AU$68,$I$17:AU$17)&gt;=0,0,FV($C13,(AV$17-$I$17)/365,0,(XNPV($C13,$I$68:AU$68,$I$17:AU$17))))</f>
        <v>15539746.596838972</v>
      </c>
      <c r="AW40" s="741">
        <f>IF(XNPV($C13,$I$68:AV$68,$I$17:AV$17)&gt;=0,0,FV($C13,(AW$17-$I$17)/365,0,(XNPV($C13,$I$68:AV$68,$I$17:AV$17))))</f>
        <v>15585748.231962541</v>
      </c>
      <c r="AX40" s="741">
        <f>IF(XNPV($C13,$I$68:AW$68,$I$17:AW$17)&gt;=0,0,FV($C13,(AX$17-$I$17)/365,0,(XNPV($C13,$I$68:AW$68,$I$17:AW$17))))</f>
        <v>15641502.574537234</v>
      </c>
      <c r="AY40" s="741">
        <f>IF(XNPV($C13,$I$68:AX$68,$I$17:AX$17)&gt;=0,0,FV($C13,(AY$17-$I$17)/365,0,(XNPV($C13,$I$68:AX$68,$I$17:AX$17))))</f>
        <v>15686699.481138352</v>
      </c>
      <c r="AZ40" s="741">
        <f>IF(XNPV($C13,$I$68:AY$68,$I$17:AY$17)&gt;=0,0,FV($C13,(AZ$17-$I$17)/365,0,(XNPV($C13,$I$68:AY$68,$I$17:AY$17))))</f>
        <v>15741677.87696336</v>
      </c>
      <c r="BA40" s="741">
        <f>IF(XNPV($C13,$I$68:AZ$68,$I$17:AZ$17)&gt;=0,0,FV($C13,(BA$17-$I$17)/365,0,(XNPV($C13,$I$68:AZ$68,$I$17:AZ$17))))</f>
        <v>15796320.623746505</v>
      </c>
      <c r="BB40" s="741">
        <f>IF(XNPV($C13,$I$68:BA$68,$I$17:BA$17)&gt;=0,0,FV($C13,(BB$17-$I$17)/365,0,(XNPV($C13,$I$68:BA$68,$I$17:BA$17))))</f>
        <v>15819865.577391807</v>
      </c>
      <c r="BC40" s="741">
        <f>IF(XNPV($C13,$I$68:BB$68,$I$17:BB$17)&gt;=0,0,FV($C13,(BC$17-$I$17)/365,0,(XNPV($C13,$I$68:BB$68,$I$17:BB$17))))</f>
        <v>15873687.897365857</v>
      </c>
      <c r="BD40" s="741">
        <f>IF(XNPV($C13,$I$68:BC$68,$I$17:BC$17)&gt;=0,0,FV($C13,(BD$17-$I$17)/365,0,(XNPV($C13,$I$68:BC$68,$I$17:BC$17))))</f>
        <v>15917074.134465365</v>
      </c>
      <c r="BE40" s="741">
        <f>IF(XNPV($C13,$I$68:BD$68,$I$17:BD$17)&gt;=0,0,FV($C13,(BE$17-$I$17)/365,0,(XNPV($C13,$I$68:BD$68,$I$17:BD$17))))</f>
        <v>0</v>
      </c>
      <c r="BF40" s="741">
        <f>IF(XNPV($C13,$I$68:BE$68,$I$17:BE$17)&gt;=0,0,FV($C13,(BF$17-$I$17)/365,0,(XNPV($C13,$I$68:BE$68,$I$17:BE$17))))</f>
        <v>0</v>
      </c>
      <c r="BG40" s="741">
        <f>IF(XNPV($C13,$I$68:BF$68,$I$17:BF$17)&gt;=0,0,FV($C13,(BG$17-$I$17)/365,0,(XNPV($C13,$I$68:BF$68,$I$17:BF$17))))</f>
        <v>0</v>
      </c>
      <c r="BH40" s="741">
        <f>IF(XNPV($C13,$I$68:BG$68,$I$17:BG$17)&gt;=0,0,FV($C13,(BH$17-$I$17)/365,0,(XNPV($C13,$I$68:BG$68,$I$17:BG$17))))</f>
        <v>0</v>
      </c>
      <c r="BI40" s="741">
        <f>IF(XNPV($C13,$I$68:BH$68,$I$17:BH$17)&gt;=0,0,FV($C13,(BI$17-$I$17)/365,0,(XNPV($C13,$I$68:BH$68,$I$17:BH$17))))</f>
        <v>0</v>
      </c>
      <c r="BJ40" s="741">
        <f>IF(XNPV($C13,$I$68:BI$68,$I$17:BI$17)&gt;=0,0,FV($C13,(BJ$17-$I$17)/365,0,(XNPV($C13,$I$68:BI$68,$I$17:BI$17))))</f>
        <v>0</v>
      </c>
      <c r="BK40" s="741">
        <f>IF(XNPV($C13,$I$68:BJ$68,$I$17:BJ$17)&gt;=0,0,FV($C13,(BK$17-$I$17)/365,0,(XNPV($C13,$I$68:BJ$68,$I$17:BJ$17))))</f>
        <v>0</v>
      </c>
      <c r="BL40" s="741">
        <f>IF(XNPV($C13,$I$68:BK$68,$I$17:BK$17)&gt;=0,0,FV($C13,(BL$17-$I$17)/365,0,(XNPV($C13,$I$68:BK$68,$I$17:BK$17))))</f>
        <v>0</v>
      </c>
      <c r="BM40" s="741">
        <f>IF(XNPV($C13,$I$68:BL$68,$I$17:BL$17)&gt;=0,0,FV($C13,(BM$17-$I$17)/365,0,(XNPV($C13,$I$68:BL$68,$I$17:BL$17))))</f>
        <v>0</v>
      </c>
      <c r="BN40" s="741">
        <f>IF(XNPV($C13,$I$68:BM$68,$I$17:BM$17)&gt;=0,0,FV($C13,(BN$17-$I$17)/365,0,(XNPV($C13,$I$68:BM$68,$I$17:BM$17))))</f>
        <v>0</v>
      </c>
      <c r="BO40" s="741">
        <f>IF(XNPV($C13,$I$68:BN$68,$I$17:BN$17)&gt;=0,0,FV($C13,(BO$17-$I$17)/365,0,(XNPV($C13,$I$68:BN$68,$I$17:BN$17))))</f>
        <v>0</v>
      </c>
      <c r="BP40" s="741">
        <f>IF(XNPV($C13,$I$68:BO$68,$I$17:BO$17)&gt;=0,0,FV($C13,(BP$17-$I$17)/365,0,(XNPV($C13,$I$68:BO$68,$I$17:BO$17))))</f>
        <v>0</v>
      </c>
      <c r="BQ40" s="741">
        <f>IF(XNPV($C13,$I$68:BP$68,$I$17:BP$17)&gt;=0,0,FV($C13,(BQ$17-$I$17)/365,0,(XNPV($C13,$I$68:BP$68,$I$17:BP$17))))</f>
        <v>0</v>
      </c>
      <c r="BR40" s="741">
        <f>IF(XNPV($C13,$I$68:BQ$68,$I$17:BQ$17)&gt;=0,0,FV($C13,(BR$17-$I$17)/365,0,(XNPV($C13,$I$68:BQ$68,$I$17:BQ$17))))</f>
        <v>0</v>
      </c>
      <c r="BS40" s="741">
        <f>IF(XNPV($C13,$I$68:BR$68,$I$17:BR$17)&gt;=0,0,FV($C13,(BS$17-$I$17)/365,0,(XNPV($C13,$I$68:BR$68,$I$17:BR$17))))</f>
        <v>0</v>
      </c>
      <c r="BT40" s="741">
        <f>IF(XNPV($C13,$I$68:BS$68,$I$17:BS$17)&gt;=0,0,FV($C13,(BT$17-$I$17)/365,0,(XNPV($C13,$I$68:BS$68,$I$17:BS$17))))</f>
        <v>0</v>
      </c>
      <c r="BU40" s="741">
        <f>IF(XNPV($C13,$I$68:BT$68,$I$17:BT$17)&gt;=0,0,FV($C13,(BU$17-$I$17)/365,0,(XNPV($C13,$I$68:BT$68,$I$17:BT$17))))</f>
        <v>0</v>
      </c>
      <c r="BV40" s="741">
        <f>IF(XNPV($C13,$I$68:BU$68,$I$17:BU$17)&gt;=0,0,FV($C13,(BV$17-$I$17)/365,0,(XNPV($C13,$I$68:BU$68,$I$17:BU$17))))</f>
        <v>0</v>
      </c>
      <c r="BW40" s="741">
        <f>IF(XNPV($C13,$I$68:BV$68,$I$17:BV$17)&gt;=0,0,FV($C13,(BW$17-$I$17)/365,0,(XNPV($C13,$I$68:BV$68,$I$17:BV$17))))</f>
        <v>0</v>
      </c>
      <c r="BX40" s="741">
        <f>IF(XNPV($C13,$I$68:BW$68,$I$17:BW$17)&gt;=0,0,FV($C13,(BX$17-$I$17)/365,0,(XNPV($C13,$I$68:BW$68,$I$17:BW$17))))</f>
        <v>0</v>
      </c>
      <c r="BY40" s="741">
        <f>IF(XNPV($C13,$I$68:BX$68,$I$17:BX$17)&gt;=0,0,FV($C13,(BY$17-$I$17)/365,0,(XNPV($C13,$I$68:BX$68,$I$17:BX$17))))</f>
        <v>0</v>
      </c>
      <c r="BZ40" s="741">
        <f>IF(XNPV($C13,$I$68:BY$68,$I$17:BY$17)&gt;=0,0,FV($C13,(BZ$17-$I$17)/365,0,(XNPV($C13,$I$68:BY$68,$I$17:BY$17))))</f>
        <v>0</v>
      </c>
      <c r="CA40" s="741">
        <f>IF(XNPV($C13,$I$68:BZ$68,$I$17:BZ$17)&gt;=0,0,FV($C13,(CA$17-$I$17)/365,0,(XNPV($C13,$I$68:BZ$68,$I$17:BZ$17))))</f>
        <v>0</v>
      </c>
      <c r="CB40" s="741">
        <f>IF(XNPV($C13,$I$68:CA$68,$I$17:CA$17)&gt;=0,0,FV($C13,(CB$17-$I$17)/365,0,(XNPV($C13,$I$68:CA$68,$I$17:CA$17))))</f>
        <v>0</v>
      </c>
      <c r="CC40" s="741">
        <f>IF(XNPV($C13,$I$68:CB$68,$I$17:CB$17)&gt;=0,0,FV($C13,(CC$17-$I$17)/365,0,(XNPV($C13,$I$68:CB$68,$I$17:CB$17))))</f>
        <v>0</v>
      </c>
      <c r="CD40" s="741">
        <f>IF(XNPV($C13,$I$68:CC$68,$I$17:CC$17)&gt;=0,0,FV($C13,(CD$17-$I$17)/365,0,(XNPV($C13,$I$68:CC$68,$I$17:CC$17))))</f>
        <v>0</v>
      </c>
      <c r="CE40" s="741">
        <f>IF(XNPV($C13,$I$68:CD$68,$I$17:CD$17)&gt;=0,0,FV($C13,(CE$17-$I$17)/365,0,(XNPV($C13,$I$68:CD$68,$I$17:CD$17))))</f>
        <v>0</v>
      </c>
      <c r="CF40" s="741">
        <f>IF(XNPV($C13,$I$68:CE$68,$I$17:CE$17)&gt;=0,0,FV($C13,(CF$17-$I$17)/365,0,(XNPV($C13,$I$68:CE$68,$I$17:CE$17))))</f>
        <v>0</v>
      </c>
      <c r="CG40" s="741">
        <f>IF(XNPV($C13,$I$68:CF$68,$I$17:CF$17)&gt;=0,0,FV($C13,(CG$17-$I$17)/365,0,(XNPV($C13,$I$68:CF$68,$I$17:CF$17))))</f>
        <v>0</v>
      </c>
      <c r="CH40" s="741">
        <f>IF(XNPV($C13,$I$68:CG$68,$I$17:CG$17)&gt;=0,0,FV($C13,(CH$17-$I$17)/365,0,(XNPV($C13,$I$68:CG$68,$I$17:CG$17))))</f>
        <v>0</v>
      </c>
      <c r="CI40" s="741">
        <f>IF(XNPV($C13,$I$68:CH$68,$I$17:CH$17)&gt;=0,0,FV($C13,(CI$17-$I$17)/365,0,(XNPV($C13,$I$68:CH$68,$I$17:CH$17))))</f>
        <v>0</v>
      </c>
      <c r="CJ40" s="741">
        <f>IF(XNPV($C13,$I$68:CI$68,$I$17:CI$17)&gt;=0,0,FV($C13,(CJ$17-$I$17)/365,0,(XNPV($C13,$I$68:CI$68,$I$17:CI$17))))</f>
        <v>0</v>
      </c>
      <c r="CK40" s="741">
        <f>IF(XNPV($C13,$I$68:CJ$68,$I$17:CJ$17)&gt;=0,0,FV($C13,(CK$17-$I$17)/365,0,(XNPV($C13,$I$68:CJ$68,$I$17:CJ$17))))</f>
        <v>0</v>
      </c>
      <c r="CL40" s="741">
        <f>IF(XNPV($C13,$I$68:CK$68,$I$17:CK$17)&gt;=0,0,FV($C13,(CL$17-$I$17)/365,0,(XNPV($C13,$I$68:CK$68,$I$17:CK$17))))</f>
        <v>0</v>
      </c>
      <c r="CM40" s="741">
        <f>IF(XNPV($C13,$I$68:CL$68,$I$17:CL$17)&gt;=0,0,FV($C13,(CM$17-$I$17)/365,0,(XNPV($C13,$I$68:CL$68,$I$17:CL$17))))</f>
        <v>0</v>
      </c>
      <c r="CN40" s="741">
        <f>IF(XNPV($C13,$I$68:CM$68,$I$17:CM$17)&gt;=0,0,FV($C13,(CN$17-$I$17)/365,0,(XNPV($C13,$I$68:CM$68,$I$17:CM$17))))</f>
        <v>0</v>
      </c>
      <c r="CO40" s="741">
        <f>IF(XNPV($C13,$I$68:CN$68,$I$17:CN$17)&gt;=0,0,FV($C13,(CO$17-$I$17)/365,0,(XNPV($C13,$I$68:CN$68,$I$17:CN$17))))</f>
        <v>0</v>
      </c>
      <c r="CP40" s="741">
        <f>IF(XNPV($C13,$I$68:CO$68,$I$17:CO$17)&gt;=0,0,FV($C13,(CP$17-$I$17)/365,0,(XNPV($C13,$I$68:CO$68,$I$17:CO$17))))</f>
        <v>0</v>
      </c>
      <c r="CQ40" s="741">
        <f>IF(XNPV($C13,$I$68:CP$68,$I$17:CP$17)&gt;=0,0,FV($C13,(CQ$17-$I$17)/365,0,(XNPV($C13,$I$68:CP$68,$I$17:CP$17))))</f>
        <v>0</v>
      </c>
      <c r="CR40" s="741">
        <f>IF(XNPV($C13,$I$68:CQ$68,$I$17:CQ$17)&gt;=0,0,FV($C13,(CR$17-$I$17)/365,0,(XNPV($C13,$I$68:CQ$68,$I$17:CQ$17))))</f>
        <v>0</v>
      </c>
      <c r="CS40" s="741">
        <f>IF(XNPV($C13,$I$68:CR$68,$I$17:CR$17)&gt;=0,0,FV($C13,(CS$17-$I$17)/365,0,(XNPV($C13,$I$68:CR$68,$I$17:CR$17))))</f>
        <v>0</v>
      </c>
      <c r="CT40" s="741">
        <f>IF(XNPV($C13,$I$68:CS$68,$I$17:CS$17)&gt;=0,0,FV($C13,(CT$17-$I$17)/365,0,(XNPV($C13,$I$68:CS$68,$I$17:CS$17))))</f>
        <v>0</v>
      </c>
      <c r="CU40" s="741">
        <f>IF(XNPV($C13,$I$68:CT$68,$I$17:CT$17)&gt;=0,0,FV($C13,(CU$17-$I$17)/365,0,(XNPV($C13,$I$68:CT$68,$I$17:CT$17))))</f>
        <v>0</v>
      </c>
      <c r="CV40" s="741">
        <f>IF(XNPV($C13,$I$68:CU$68,$I$17:CU$17)&gt;=0,0,FV($C13,(CV$17-$I$17)/365,0,(XNPV($C13,$I$68:CU$68,$I$17:CU$17))))</f>
        <v>0</v>
      </c>
      <c r="CW40" s="741">
        <f>IF(XNPV($C13,$I$68:CV$68,$I$17:CV$17)&gt;=0,0,FV($C13,(CW$17-$I$17)/365,0,(XNPV($C13,$I$68:CV$68,$I$17:CV$17))))</f>
        <v>0</v>
      </c>
      <c r="CX40" s="741">
        <f>IF(XNPV($C13,$I$68:CW$68,$I$17:CW$17)&gt;=0,0,FV($C13,(CX$17-$I$17)/365,0,(XNPV($C13,$I$68:CW$68,$I$17:CW$17))))</f>
        <v>0</v>
      </c>
      <c r="CY40" s="741">
        <f>IF(XNPV($C13,$I$68:CX$68,$I$17:CX$17)&gt;=0,0,FV($C13,(CY$17-$I$17)/365,0,(XNPV($C13,$I$68:CX$68,$I$17:CX$17))))</f>
        <v>0</v>
      </c>
      <c r="CZ40" s="741">
        <f>IF(XNPV($C13,$I$68:CY$68,$I$17:CY$17)&gt;=0,0,FV($C13,(CZ$17-$I$17)/365,0,(XNPV($C13,$I$68:CY$68,$I$17:CY$17))))</f>
        <v>0</v>
      </c>
      <c r="DA40" s="741">
        <f>IF(XNPV($C13,$I$68:BR$68,$I$17:BR$17)&gt;=0,0,FV($C13,(DA$17-$I$17)/365,0,(XNPV($C13,$I$68:BR$68,$I$17:BR$17))))</f>
        <v>0</v>
      </c>
      <c r="DB40" s="741">
        <f>IF(XNPV($C13,$I$68:BJ$68,$I$17:BJ$17)&gt;=0,0,FV($C13,(DB$17-$I$17)/365,0,(XNPV($C13,$I$68:BJ$68,$I$17:BJ$17))))</f>
        <v>0</v>
      </c>
      <c r="DC40" s="741">
        <f>IF(XNPV($C13,$I$68:DB$68,$I$17:DB$17)&gt;=0,0,FV($C13,(DC$17-$I$17)/365,0,(XNPV($C13,$I$68:DB$68,$I$17:DB$17))))</f>
        <v>0</v>
      </c>
      <c r="DD40" s="741">
        <f>IF(XNPV($C13,$I$68:DC$68,$I$17:DC$17)&gt;=0,0,FV($C13,(DD$17-$I$17)/365,0,(XNPV($C13,$I$68:DC$68,$I$17:DC$17))))</f>
        <v>0</v>
      </c>
      <c r="DE40" s="741">
        <f>IF(XNPV($C13,$I$68:DD$68,$I$17:DD$17)&gt;=0,0,FV($C13,(DE$17-$I$17)/365,0,(XNPV($C13,$I$68:DD$68,$I$17:DD$17))))</f>
        <v>0</v>
      </c>
      <c r="DF40" s="741">
        <f>IF(XNPV($C13,$I$68:DE$68,$I$17:DE$17)&gt;=0,0,FV($C13,(DF$17-$I$17)/365,0,(XNPV($C13,$I$68:DE$68,$I$17:DE$17))))</f>
        <v>0</v>
      </c>
      <c r="DG40" s="741">
        <f>IF(XNPV($C13,$I$68:DF$68,$I$17:DF$17)&gt;=0,0,FV($C13,(DG$17-$I$17)/365,0,(XNPV($C13,$I$68:DF$68,$I$17:DF$17))))</f>
        <v>0</v>
      </c>
      <c r="DH40" s="741">
        <f>IF(XNPV($C13,$I$68:DG$68,$I$17:DG$17)&gt;=0,0,FV($C13,(DH$17-$I$17)/365,0,(XNPV($C13,$I$68:DG$68,$I$17:DG$17))))</f>
        <v>0</v>
      </c>
      <c r="DI40" s="741">
        <f>IF(XNPV($C13,$I$68:DH$68,$I$17:DH$17)&gt;=0,0,FV($C13,(DI$17-$I$17)/365,0,(XNPV($C13,$I$68:DH$68,$I$17:DH$17))))</f>
        <v>0</v>
      </c>
      <c r="DJ40" s="741">
        <f>IF(XNPV($C13,$I$68:DI$68,$I$17:DI$17)&gt;=0,0,FV($C13,(DJ$17-$I$17)/365,0,(XNPV($C13,$I$68:DI$68,$I$17:DI$17))))</f>
        <v>0</v>
      </c>
      <c r="DK40" s="741">
        <f>IF(XNPV($C13,$I$68:DA$68,$I$17:DA$17)&gt;=0,0,FV($C13,(DK$17-$I$17)/365,0,(XNPV($C13,$I$68:DA$68,$I$17:DA$17))))</f>
        <v>0</v>
      </c>
      <c r="DL40" s="741">
        <f>IF(XNPV($C13,$I$68:DK$68,$I$17:DK$17)&gt;=0,0,FV($C13,(DL$17-$I$17)/365,0,(XNPV($C13,$I$68:DK$68,$I$17:DK$17))))</f>
        <v>0</v>
      </c>
      <c r="DM40" s="741">
        <f>IF(XNPV($C13,$I$68:DL$68,$I$17:DL$17)&gt;=0,0,FV($C13,(DM$17-$I$17)/365,0,(XNPV($C13,$I$68:DL$68,$I$17:DL$17))))</f>
        <v>0</v>
      </c>
      <c r="DN40" s="741">
        <f>IF(XNPV($C13,$I$68:DM$68,$I$17:DM$17)&gt;=0,0,FV($C13,(DN$17-$I$17)/365,0,(XNPV($C13,$I$68:DM$68,$I$17:DM$17))))</f>
        <v>0</v>
      </c>
      <c r="DO40" s="741">
        <f>IF(XNPV($C13,$I$68:DN$68,$I$17:DN$17)&gt;=0,0,FV($C13,(DO$17-$I$17)/365,0,(XNPV($C13,$I$68:DN$68,$I$17:DN$17))))</f>
        <v>0</v>
      </c>
      <c r="DP40" s="741">
        <f>IF(XNPV($C13,$I$68:DO$68,$I$17:DO$17)&gt;=0,0,FV($C13,(DP$17-$I$17)/365,0,(XNPV($C13,$I$68:DO$68,$I$17:DO$17))))</f>
        <v>0</v>
      </c>
      <c r="DQ40" s="741">
        <f>IF(XNPV($C13,$I$68:DP$68,$I$17:DP$17)&gt;=0,0,FV($C13,(DQ$17-$I$17)/365,0,(XNPV($C13,$I$68:DP$68,$I$17:DP$17))))</f>
        <v>0</v>
      </c>
      <c r="DR40" s="741">
        <f>IF(XNPV($C13,$I$68:CI$68,$I$17:CI$17)&gt;=0,0,FV($C13,(DR$17-$I$17)/365,0,(XNPV($C13,$I$68:CI$68,$I$17:CI$17))))</f>
        <v>0</v>
      </c>
      <c r="DS40" s="741">
        <f>IF(XNPV($C13,$I$68:CA$68,$I$17:CA$17)&gt;=0,0,FV($C13,(DS$17-$I$17)/365,0,(XNPV($C13,$I$68:CA$68,$I$17:CA$17))))</f>
        <v>0</v>
      </c>
      <c r="DT40" s="741">
        <f>IF(XNPV($C13,$I$68:DS$68,$I$17:DS$17)&gt;=0,0,FV($C13,(DT$17-$I$17)/365,0,(XNPV($C13,$I$68:DS$68,$I$17:DS$17))))</f>
        <v>0</v>
      </c>
      <c r="DU40" s="741">
        <f>IF(XNPV($C13,$I$68:DT$68,$I$17:DT$17)&gt;=0,0,FV($C13,(DU$17-$I$17)/365,0,(XNPV($C13,$I$68:DT$68,$I$17:DT$17))))</f>
        <v>0</v>
      </c>
      <c r="DV40" s="741">
        <f>IF(XNPV($C13,$I$68:DU$68,$I$17:DU$17)&gt;=0,0,FV($C13,(DV$17-$I$17)/365,0,(XNPV($C13,$I$68:DU$68,$I$17:DU$17))))</f>
        <v>0</v>
      </c>
      <c r="DW40" s="741">
        <f>IF(XNPV($C13,$I$68:DV$68,$I$17:DV$17)&gt;=0,0,FV($C13,(DW$17-$I$17)/365,0,(XNPV($C13,$I$68:DV$68,$I$17:DV$17))))</f>
        <v>0</v>
      </c>
      <c r="DX40" s="741">
        <f>IF(XNPV($C13,$I$68:DW$68,$I$17:DW$17)&gt;=0,0,FV($C13,(DX$17-$I$17)/365,0,(XNPV($C13,$I$68:DW$68,$I$17:DW$17))))</f>
        <v>0</v>
      </c>
      <c r="DY40" s="741">
        <f>IF(XNPV($C13,$I$68:DX$68,$I$17:DX$17)&gt;=0,0,FV($C13,(DY$17-$I$17)/365,0,(XNPV($C13,$I$68:DX$68,$I$17:DX$17))))</f>
        <v>0</v>
      </c>
      <c r="DZ40" s="741">
        <f>IF(XNPV($C13,$I$68:DY$68,$I$17:DY$17)&gt;=0,0,FV($C13,(DZ$17-$I$17)/365,0,(XNPV($C13,$I$68:DY$68,$I$17:DY$17))))</f>
        <v>0</v>
      </c>
      <c r="EA40" s="741">
        <f>IF(XNPV($C13,$I$68:DZ$68,$I$17:DZ$17)&gt;=0,0,FV($C13,(EA$17-$I$17)/365,0,(XNPV($C13,$I$68:DZ$68,$I$17:DZ$17))))</f>
        <v>0</v>
      </c>
      <c r="EB40" s="741">
        <f>IF(XNPV($C13,$I$68:DR$68,$I$17:DR$17)&gt;=0,0,FV($C13,(EB$17-$I$17)/365,0,(XNPV($C13,$I$68:DR$68,$I$17:DR$17))))</f>
        <v>0</v>
      </c>
      <c r="EC40" s="741">
        <f>IF(XNPV($C13,$I$68:EB$68,$I$17:EB$17)&gt;=0,0,FV($C13,(EC$17-$I$17)/365,0,(XNPV($C13,$I$68:EB$68,$I$17:EB$17))))</f>
        <v>0</v>
      </c>
      <c r="ED40" s="741">
        <f>IF(XNPV($C13,$I$68:EC$68,$I$17:EC$17)&gt;=0,0,FV($C13,(ED$17-$I$17)/365,0,(XNPV($C13,$I$68:EC$68,$I$17:EC$17))))</f>
        <v>0</v>
      </c>
      <c r="EE40" s="741">
        <f>IF(XNPV($C13,$I$68:ED$68,$I$17:ED$17)&gt;=0,0,FV($C13,(EE$17-$I$17)/365,0,(XNPV($C13,$I$68:ED$68,$I$17:ED$17))))</f>
        <v>0</v>
      </c>
      <c r="EF40" s="741">
        <f>IF(XNPV($C13,$I$68:EE$68,$I$17:EE$17)&gt;=0,0,FV($C13,(EF$17-$I$17)/365,0,(XNPV($C13,$I$68:EE$68,$I$17:EE$17))))</f>
        <v>0</v>
      </c>
      <c r="EG40" s="741">
        <f>IF(XNPV($C13,$I$68:EF$68,$I$17:EF$17)&gt;=0,0,FV($C13,(EG$17-$I$17)/365,0,(XNPV($C13,$I$68:EF$68,$I$17:EF$17))))</f>
        <v>0</v>
      </c>
      <c r="EH40" s="741">
        <f>IF(XNPV($C13,$I$68:EG$68,$I$17:EG$17)&gt;=0,0,FV($C13,(EH$17-$I$17)/365,0,(XNPV($C13,$I$68:EG$68,$I$17:EG$17))))</f>
        <v>0</v>
      </c>
      <c r="EI40" s="741">
        <f>IF(XNPV($C13,$I$68:CZ$68,$I$17:CZ$17)&gt;=0,0,FV($C13,(EI$17-$I$17)/365,0,(XNPV($C13,$I$68:CZ$68,$I$17:CZ$17))))</f>
        <v>0</v>
      </c>
      <c r="EJ40" s="741">
        <f>IF(XNPV($C13,$I$68:CR$68,$I$17:CR$17)&gt;=0,0,FV($C13,(EJ$17-$I$17)/365,0,(XNPV($C13,$I$68:CR$68,$I$17:CR$17))))</f>
        <v>0</v>
      </c>
      <c r="EK40" s="741">
        <f>IF(XNPV($C13,$I$68:EJ$68,$I$17:EJ$17)&gt;=0,0,FV($C13,(EK$17-$I$17)/365,0,(XNPV($C13,$I$68:EJ$68,$I$17:EJ$17))))</f>
        <v>0</v>
      </c>
      <c r="EL40" s="741">
        <f>IF(XNPV($C13,$I$68:EK$68,$I$17:EK$17)&gt;=0,0,FV($C13,(EL$17-$I$17)/365,0,(XNPV($C13,$I$68:EK$68,$I$17:EK$17))))</f>
        <v>0</v>
      </c>
      <c r="EM40" s="741">
        <f>IF(XNPV($C13,$I$68:EL$68,$I$17:EL$17)&gt;=0,0,FV($C13,(EM$17-$I$17)/365,0,(XNPV($C13,$I$68:EL$68,$I$17:EL$17))))</f>
        <v>0</v>
      </c>
      <c r="EN40" s="741">
        <f>IF(XNPV($C13,$I$68:EM$68,$I$17:EM$17)&gt;=0,0,FV($C13,(EN$17-$I$17)/365,0,(XNPV($C13,$I$68:EM$68,$I$17:EM$17))))</f>
        <v>0</v>
      </c>
      <c r="EO40" s="741">
        <f>IF(XNPV($C13,$I$68:EN$68,$I$17:EN$17)&gt;=0,0,FV($C13,(EO$17-$I$17)/365,0,(XNPV($C13,$I$68:EN$68,$I$17:EN$17))))</f>
        <v>0</v>
      </c>
      <c r="EP40" s="741">
        <f>IF(XNPV($C13,$I$68:EO$68,$I$17:EO$17)&gt;=0,0,FV($C13,(EP$17-$I$17)/365,0,(XNPV($C13,$I$68:EO$68,$I$17:EO$17))))</f>
        <v>0</v>
      </c>
      <c r="EQ40" s="741">
        <f>IF(XNPV($C13,$I$68:EP$68,$I$17:EP$17)&gt;=0,0,FV($C13,(EQ$17-$I$17)/365,0,(XNPV($C13,$I$68:EP$68,$I$17:EP$17))))</f>
        <v>0</v>
      </c>
      <c r="ER40" s="741">
        <f>IF(XNPV($C13,$I$68:EQ$68,$I$17:EQ$17)&gt;=0,0,FV($C13,(ER$17-$I$17)/365,0,(XNPV($C13,$I$68:EQ$68,$I$17:EQ$17))))</f>
        <v>0</v>
      </c>
      <c r="ES40" s="741">
        <f>IF(XNPV($C13,$I$68:EI$68,$I$17:EI$17)&gt;=0,0,FV($C13,(ES$17-$I$17)/365,0,(XNPV($C13,$I$68:EI$68,$I$17:EI$17))))</f>
        <v>0</v>
      </c>
      <c r="ET40" s="741">
        <f>IF(XNPV($C13,$I$68:ES$68,$I$17:ES$17)&gt;=0,0,FV($C13,(ET$17-$I$17)/365,0,(XNPV($C13,$I$68:ES$68,$I$17:ES$17))))</f>
        <v>0</v>
      </c>
      <c r="EU40" s="741">
        <f>IF(XNPV($C13,$I$68:ET$68,$I$17:ET$17)&gt;=0,0,FV($C13,(EU$17-$I$17)/365,0,(XNPV($C13,$I$68:ET$68,$I$17:ET$17))))</f>
        <v>0</v>
      </c>
      <c r="EV40" s="741">
        <f>IF(XNPV($C13,$I$68:EU$68,$I$17:EU$17)&gt;=0,0,FV($C13,(EV$17-$I$17)/365,0,(XNPV($C13,$I$68:EU$68,$I$17:EU$17))))</f>
        <v>0</v>
      </c>
      <c r="EW40" s="741">
        <f>IF(XNPV($C13,$I$68:EV$68,$I$17:EV$17)&gt;=0,0,FV($C13,(EW$17-$I$17)/365,0,(XNPV($C13,$I$68:EV$68,$I$17:EV$17))))</f>
        <v>0</v>
      </c>
      <c r="EX40" s="741">
        <f>IF(XNPV($C13,$I$68:EW$68,$I$17:EW$17)&gt;=0,0,FV($C13,(EX$17-$I$17)/365,0,(XNPV($C13,$I$68:EW$68,$I$17:EW$17))))</f>
        <v>0</v>
      </c>
      <c r="EY40" s="741">
        <f>IF(XNPV($C13,$I$68:EX$68,$I$17:EX$17)&gt;=0,0,FV($C13,(EY$17-$I$17)/365,0,(XNPV($C13,$I$68:EX$68,$I$17:EX$17))))</f>
        <v>0</v>
      </c>
      <c r="EZ40" s="741">
        <f>IF(XNPV($C13,$I$68:EY$68,$I$17:EY$17)&gt;=0,0,FV($C13,(EZ$17-$I$17)/365,0,(XNPV($C13,$I$68:EY$68,$I$17:EY$17))))</f>
        <v>0</v>
      </c>
      <c r="FA40" s="741">
        <f>IF(XNPV($C13,$I$68:EZ$68,$I$17:EZ$17)&gt;=0,0,FV($C13,(FA$17-$I$17)/365,0,(XNPV($C13,$I$68:EZ$68,$I$17:EZ$17))))</f>
        <v>0</v>
      </c>
      <c r="FB40" s="741">
        <f>IF(XNPV($C13,$I$68:FA$68,$I$17:FA$17)&gt;=0,0,FV($C13,(FB$17-$I$17)/365,0,(XNPV($C13,$I$68:FA$68,$I$17:FA$17))))</f>
        <v>0</v>
      </c>
      <c r="FC40" s="692"/>
      <c r="FD40" s="743"/>
    </row>
    <row r="41" spans="2:161" s="742" customFormat="1" hidden="1">
      <c r="B41" s="692" t="s">
        <v>361</v>
      </c>
      <c r="E41" s="704"/>
      <c r="G41" s="743"/>
      <c r="I41" s="760">
        <f t="shared" ref="I41:BT41" si="31">-I34</f>
        <v>12880796.316834297</v>
      </c>
      <c r="J41" s="760">
        <f t="shared" si="31"/>
        <v>-35667.556745865317</v>
      </c>
      <c r="K41" s="760">
        <f t="shared" si="31"/>
        <v>-35807.333206206822</v>
      </c>
      <c r="L41" s="760">
        <f t="shared" si="31"/>
        <v>-35535.770002757301</v>
      </c>
      <c r="M41" s="760">
        <f t="shared" si="31"/>
        <v>-29985.659866453872</v>
      </c>
      <c r="N41" s="760">
        <f t="shared" si="31"/>
        <v>-35792.641803333332</v>
      </c>
      <c r="O41" s="760">
        <f t="shared" si="31"/>
        <v>-30233.968873317273</v>
      </c>
      <c r="P41" s="760">
        <f t="shared" si="31"/>
        <v>-30139.676909906007</v>
      </c>
      <c r="Q41" s="760">
        <f t="shared" si="31"/>
        <v>-47110.984002844649</v>
      </c>
      <c r="R41" s="760">
        <f t="shared" si="31"/>
        <v>-30020.660176696605</v>
      </c>
      <c r="S41" s="760">
        <f t="shared" si="31"/>
        <v>-35675.237094375771</v>
      </c>
      <c r="T41" s="760">
        <f t="shared" si="31"/>
        <v>-29989.701497127437</v>
      </c>
      <c r="U41" s="760">
        <f t="shared" si="31"/>
        <v>-50120.23167468996</v>
      </c>
      <c r="V41" s="760">
        <f t="shared" si="31"/>
        <v>-41104.144563055161</v>
      </c>
      <c r="W41" s="760">
        <f t="shared" si="31"/>
        <v>-37994.422963095283</v>
      </c>
      <c r="X41" s="760">
        <f t="shared" si="31"/>
        <v>-44506.355088350145</v>
      </c>
      <c r="Y41" s="760">
        <f t="shared" si="31"/>
        <v>-46221.441929292785</v>
      </c>
      <c r="Z41" s="760">
        <f t="shared" si="31"/>
        <v>-52874.222821863084</v>
      </c>
      <c r="AA41" s="760">
        <f t="shared" si="31"/>
        <v>-48205.981586946931</v>
      </c>
      <c r="AB41" s="760">
        <f t="shared" si="31"/>
        <v>-62279.973765447146</v>
      </c>
      <c r="AC41" s="760">
        <f t="shared" si="31"/>
        <v>-74587.488345289836</v>
      </c>
      <c r="AD41" s="760">
        <f t="shared" si="31"/>
        <v>-64385.067911116232</v>
      </c>
      <c r="AE41" s="760">
        <f t="shared" si="31"/>
        <v>-71240.293520195453</v>
      </c>
      <c r="AF41" s="760">
        <f t="shared" si="31"/>
        <v>-66729.301486031996</v>
      </c>
      <c r="AG41" s="760">
        <f t="shared" si="31"/>
        <v>-73569.38004718411</v>
      </c>
      <c r="AH41" s="760">
        <f t="shared" si="31"/>
        <v>-68550.49332458686</v>
      </c>
      <c r="AI41" s="760">
        <f t="shared" si="31"/>
        <v>-69463.082498088042</v>
      </c>
      <c r="AJ41" s="760">
        <f t="shared" si="31"/>
        <v>-76293.529188760658</v>
      </c>
      <c r="AK41" s="760">
        <f t="shared" si="31"/>
        <v>-71743.31798194311</v>
      </c>
      <c r="AL41" s="760">
        <f t="shared" si="31"/>
        <v>-78538.909145633574</v>
      </c>
      <c r="AM41" s="760">
        <f t="shared" si="31"/>
        <v>-73939.109621959316</v>
      </c>
      <c r="AN41" s="760">
        <f t="shared" si="31"/>
        <v>-74986.850255316094</v>
      </c>
      <c r="AO41" s="760">
        <f t="shared" si="31"/>
        <v>-92915.06085695517</v>
      </c>
      <c r="AP41" s="760">
        <f t="shared" si="31"/>
        <v>-76653.45202546753</v>
      </c>
      <c r="AQ41" s="760">
        <f t="shared" si="31"/>
        <v>-83276.808387756013</v>
      </c>
      <c r="AR41" s="760">
        <f t="shared" si="31"/>
        <v>-78527.557157936637</v>
      </c>
      <c r="AS41" s="760">
        <f t="shared" si="31"/>
        <v>-85109.00956469313</v>
      </c>
      <c r="AT41" s="760">
        <f t="shared" si="31"/>
        <v>-80300.055341265106</v>
      </c>
      <c r="AU41" s="760">
        <f t="shared" si="31"/>
        <v>-80773.965351417835</v>
      </c>
      <c r="AV41" s="760">
        <f t="shared" si="31"/>
        <v>-87113.955717677454</v>
      </c>
      <c r="AW41" s="760">
        <f t="shared" si="31"/>
        <v>-82270.792630672586</v>
      </c>
      <c r="AX41" s="760">
        <f t="shared" si="31"/>
        <v>-88780.894060291655</v>
      </c>
      <c r="AY41" s="760">
        <f t="shared" si="31"/>
        <v>-83930.715174608224</v>
      </c>
      <c r="AZ41" s="760">
        <f t="shared" si="31"/>
        <v>-84748.547592195901</v>
      </c>
      <c r="BA41" s="760">
        <f t="shared" si="31"/>
        <v>-102598.53396308223</v>
      </c>
      <c r="BB41" s="760">
        <f t="shared" si="31"/>
        <v>-86251.685563522449</v>
      </c>
      <c r="BC41" s="760">
        <f t="shared" si="31"/>
        <v>-92559.15970397451</v>
      </c>
      <c r="BD41" s="760">
        <f t="shared" si="31"/>
        <v>-14104990.303673128</v>
      </c>
      <c r="BE41" s="760">
        <f t="shared" si="31"/>
        <v>0</v>
      </c>
      <c r="BF41" s="760">
        <f t="shared" si="31"/>
        <v>0</v>
      </c>
      <c r="BG41" s="760">
        <f t="shared" si="31"/>
        <v>0</v>
      </c>
      <c r="BH41" s="760">
        <f t="shared" si="31"/>
        <v>0</v>
      </c>
      <c r="BI41" s="760">
        <f t="shared" si="31"/>
        <v>0</v>
      </c>
      <c r="BJ41" s="760">
        <f t="shared" si="31"/>
        <v>0</v>
      </c>
      <c r="BK41" s="760">
        <f t="shared" si="31"/>
        <v>0</v>
      </c>
      <c r="BL41" s="760">
        <f t="shared" si="31"/>
        <v>0</v>
      </c>
      <c r="BM41" s="760">
        <f t="shared" si="31"/>
        <v>0</v>
      </c>
      <c r="BN41" s="760">
        <f t="shared" si="31"/>
        <v>0</v>
      </c>
      <c r="BO41" s="760">
        <f t="shared" si="31"/>
        <v>0</v>
      </c>
      <c r="BP41" s="760">
        <f t="shared" si="31"/>
        <v>0</v>
      </c>
      <c r="BQ41" s="760">
        <f t="shared" si="31"/>
        <v>0</v>
      </c>
      <c r="BR41" s="760">
        <f t="shared" si="31"/>
        <v>0</v>
      </c>
      <c r="BS41" s="760">
        <f t="shared" si="31"/>
        <v>0</v>
      </c>
      <c r="BT41" s="760">
        <f t="shared" si="31"/>
        <v>0</v>
      </c>
      <c r="BU41" s="760">
        <f t="shared" ref="BU41:EF41" si="32">-BU34</f>
        <v>0</v>
      </c>
      <c r="BV41" s="760">
        <f t="shared" si="32"/>
        <v>0</v>
      </c>
      <c r="BW41" s="760">
        <f t="shared" si="32"/>
        <v>0</v>
      </c>
      <c r="BX41" s="760">
        <f t="shared" si="32"/>
        <v>0</v>
      </c>
      <c r="BY41" s="760">
        <f t="shared" si="32"/>
        <v>0</v>
      </c>
      <c r="BZ41" s="760">
        <f t="shared" si="32"/>
        <v>0</v>
      </c>
      <c r="CA41" s="760">
        <f t="shared" si="32"/>
        <v>0</v>
      </c>
      <c r="CB41" s="760">
        <f t="shared" si="32"/>
        <v>0</v>
      </c>
      <c r="CC41" s="760">
        <f t="shared" si="32"/>
        <v>0</v>
      </c>
      <c r="CD41" s="760">
        <f t="shared" si="32"/>
        <v>0</v>
      </c>
      <c r="CE41" s="760">
        <f t="shared" si="32"/>
        <v>0</v>
      </c>
      <c r="CF41" s="760">
        <f t="shared" si="32"/>
        <v>0</v>
      </c>
      <c r="CG41" s="760">
        <f t="shared" si="32"/>
        <v>0</v>
      </c>
      <c r="CH41" s="760">
        <f t="shared" si="32"/>
        <v>0</v>
      </c>
      <c r="CI41" s="760">
        <f t="shared" si="32"/>
        <v>0</v>
      </c>
      <c r="CJ41" s="760">
        <f t="shared" si="32"/>
        <v>0</v>
      </c>
      <c r="CK41" s="760">
        <f t="shared" si="32"/>
        <v>0</v>
      </c>
      <c r="CL41" s="760">
        <f t="shared" si="32"/>
        <v>0</v>
      </c>
      <c r="CM41" s="760">
        <f t="shared" si="32"/>
        <v>0</v>
      </c>
      <c r="CN41" s="760">
        <f t="shared" si="32"/>
        <v>0</v>
      </c>
      <c r="CO41" s="760">
        <f t="shared" si="32"/>
        <v>0</v>
      </c>
      <c r="CP41" s="760">
        <f t="shared" si="32"/>
        <v>0</v>
      </c>
      <c r="CQ41" s="760">
        <f t="shared" si="32"/>
        <v>0</v>
      </c>
      <c r="CR41" s="760">
        <f t="shared" si="32"/>
        <v>0</v>
      </c>
      <c r="CS41" s="760">
        <f t="shared" si="32"/>
        <v>0</v>
      </c>
      <c r="CT41" s="760">
        <f t="shared" si="32"/>
        <v>0</v>
      </c>
      <c r="CU41" s="760">
        <f t="shared" si="32"/>
        <v>0</v>
      </c>
      <c r="CV41" s="760">
        <f t="shared" si="32"/>
        <v>0</v>
      </c>
      <c r="CW41" s="760">
        <f t="shared" si="32"/>
        <v>0</v>
      </c>
      <c r="CX41" s="760">
        <f t="shared" si="32"/>
        <v>0</v>
      </c>
      <c r="CY41" s="760">
        <f t="shared" si="32"/>
        <v>0</v>
      </c>
      <c r="CZ41" s="760">
        <f t="shared" si="32"/>
        <v>0</v>
      </c>
      <c r="DA41" s="760">
        <f t="shared" si="32"/>
        <v>0</v>
      </c>
      <c r="DB41" s="760">
        <f t="shared" si="32"/>
        <v>0</v>
      </c>
      <c r="DC41" s="760">
        <f t="shared" si="32"/>
        <v>0</v>
      </c>
      <c r="DD41" s="760">
        <f t="shared" si="32"/>
        <v>0</v>
      </c>
      <c r="DE41" s="760">
        <f t="shared" si="32"/>
        <v>0</v>
      </c>
      <c r="DF41" s="760">
        <f t="shared" si="32"/>
        <v>0</v>
      </c>
      <c r="DG41" s="760">
        <f t="shared" si="32"/>
        <v>0</v>
      </c>
      <c r="DH41" s="760">
        <f t="shared" si="32"/>
        <v>0</v>
      </c>
      <c r="DI41" s="760">
        <f t="shared" si="32"/>
        <v>0</v>
      </c>
      <c r="DJ41" s="760">
        <f t="shared" si="32"/>
        <v>0</v>
      </c>
      <c r="DK41" s="760">
        <f t="shared" si="32"/>
        <v>0</v>
      </c>
      <c r="DL41" s="760">
        <f t="shared" si="32"/>
        <v>0</v>
      </c>
      <c r="DM41" s="760">
        <f t="shared" si="32"/>
        <v>0</v>
      </c>
      <c r="DN41" s="760">
        <f t="shared" si="32"/>
        <v>0</v>
      </c>
      <c r="DO41" s="760">
        <f t="shared" si="32"/>
        <v>0</v>
      </c>
      <c r="DP41" s="760">
        <f t="shared" si="32"/>
        <v>0</v>
      </c>
      <c r="DQ41" s="760">
        <f t="shared" si="32"/>
        <v>0</v>
      </c>
      <c r="DR41" s="760">
        <f t="shared" si="32"/>
        <v>0</v>
      </c>
      <c r="DS41" s="760">
        <f t="shared" si="32"/>
        <v>0</v>
      </c>
      <c r="DT41" s="760">
        <f t="shared" si="32"/>
        <v>0</v>
      </c>
      <c r="DU41" s="760">
        <f t="shared" si="32"/>
        <v>0</v>
      </c>
      <c r="DV41" s="760">
        <f t="shared" si="32"/>
        <v>0</v>
      </c>
      <c r="DW41" s="760">
        <f t="shared" si="32"/>
        <v>0</v>
      </c>
      <c r="DX41" s="760">
        <f t="shared" si="32"/>
        <v>0</v>
      </c>
      <c r="DY41" s="760">
        <f t="shared" si="32"/>
        <v>0</v>
      </c>
      <c r="DZ41" s="760">
        <f t="shared" si="32"/>
        <v>0</v>
      </c>
      <c r="EA41" s="760">
        <f t="shared" si="32"/>
        <v>0</v>
      </c>
      <c r="EB41" s="760">
        <f t="shared" si="32"/>
        <v>0</v>
      </c>
      <c r="EC41" s="760">
        <f t="shared" si="32"/>
        <v>0</v>
      </c>
      <c r="ED41" s="760">
        <f t="shared" si="32"/>
        <v>0</v>
      </c>
      <c r="EE41" s="760">
        <f t="shared" si="32"/>
        <v>0</v>
      </c>
      <c r="EF41" s="760">
        <f t="shared" si="32"/>
        <v>0</v>
      </c>
      <c r="EG41" s="760">
        <f t="shared" ref="EG41:FB41" si="33">-EG34</f>
        <v>0</v>
      </c>
      <c r="EH41" s="760">
        <f t="shared" si="33"/>
        <v>0</v>
      </c>
      <c r="EI41" s="760">
        <f t="shared" si="33"/>
        <v>0</v>
      </c>
      <c r="EJ41" s="760">
        <f t="shared" si="33"/>
        <v>0</v>
      </c>
      <c r="EK41" s="760">
        <f t="shared" si="33"/>
        <v>0</v>
      </c>
      <c r="EL41" s="760">
        <f t="shared" si="33"/>
        <v>0</v>
      </c>
      <c r="EM41" s="760">
        <f t="shared" si="33"/>
        <v>0</v>
      </c>
      <c r="EN41" s="760">
        <f t="shared" si="33"/>
        <v>0</v>
      </c>
      <c r="EO41" s="760">
        <f t="shared" si="33"/>
        <v>0</v>
      </c>
      <c r="EP41" s="760">
        <f t="shared" si="33"/>
        <v>0</v>
      </c>
      <c r="EQ41" s="760">
        <f t="shared" si="33"/>
        <v>0</v>
      </c>
      <c r="ER41" s="760">
        <f t="shared" si="33"/>
        <v>0</v>
      </c>
      <c r="ES41" s="760">
        <f t="shared" si="33"/>
        <v>0</v>
      </c>
      <c r="ET41" s="760">
        <f t="shared" si="33"/>
        <v>0</v>
      </c>
      <c r="EU41" s="760">
        <f t="shared" si="33"/>
        <v>0</v>
      </c>
      <c r="EV41" s="760">
        <f t="shared" si="33"/>
        <v>0</v>
      </c>
      <c r="EW41" s="760">
        <f t="shared" si="33"/>
        <v>0</v>
      </c>
      <c r="EX41" s="760">
        <f t="shared" si="33"/>
        <v>0</v>
      </c>
      <c r="EY41" s="760">
        <f t="shared" si="33"/>
        <v>0</v>
      </c>
      <c r="EZ41" s="760">
        <f t="shared" si="33"/>
        <v>0</v>
      </c>
      <c r="FA41" s="760">
        <f t="shared" si="33"/>
        <v>0</v>
      </c>
      <c r="FB41" s="760">
        <f t="shared" si="33"/>
        <v>0</v>
      </c>
      <c r="FC41" s="692"/>
      <c r="FD41" s="743"/>
      <c r="FE41" s="692"/>
    </row>
    <row r="42" spans="2:161" s="742" customFormat="1" hidden="1">
      <c r="B42" s="692" t="s">
        <v>379</v>
      </c>
      <c r="E42" s="704"/>
      <c r="G42" s="743"/>
      <c r="I42" s="745">
        <f t="shared" ref="I42:AN42" si="34">SUM(I40:I41)</f>
        <v>12880796.316834297</v>
      </c>
      <c r="J42" s="745">
        <f t="shared" si="34"/>
        <v>12956089.452162242</v>
      </c>
      <c r="K42" s="745">
        <f t="shared" si="34"/>
        <v>13035628.240841614</v>
      </c>
      <c r="L42" s="745">
        <f t="shared" si="34"/>
        <v>13116146.714634793</v>
      </c>
      <c r="M42" s="745">
        <f t="shared" si="34"/>
        <v>13199149.155891826</v>
      </c>
      <c r="N42" s="745">
        <f t="shared" si="34"/>
        <v>13280866.560074426</v>
      </c>
      <c r="O42" s="745">
        <f t="shared" si="34"/>
        <v>13365039.659568444</v>
      </c>
      <c r="P42" s="745">
        <f t="shared" si="34"/>
        <v>13453886.926926734</v>
      </c>
      <c r="Q42" s="745">
        <f t="shared" si="34"/>
        <v>13518794.193781847</v>
      </c>
      <c r="R42" s="745">
        <f t="shared" si="34"/>
        <v>13597435.318114115</v>
      </c>
      <c r="S42" s="745">
        <f t="shared" si="34"/>
        <v>13682816.008992879</v>
      </c>
      <c r="T42" s="745">
        <f t="shared" si="34"/>
        <v>13770695.940438565</v>
      </c>
      <c r="U42" s="745">
        <f t="shared" si="34"/>
        <v>13843174.150080595</v>
      </c>
      <c r="V42" s="745">
        <f t="shared" si="34"/>
        <v>13921321.03211624</v>
      </c>
      <c r="W42" s="745">
        <f t="shared" si="34"/>
        <v>14007266.043077845</v>
      </c>
      <c r="X42" s="745">
        <f t="shared" si="34"/>
        <v>14087464.277461048</v>
      </c>
      <c r="Y42" s="745">
        <f t="shared" si="34"/>
        <v>14162598.281836672</v>
      </c>
      <c r="Z42" s="745">
        <f t="shared" si="34"/>
        <v>14235811.548119063</v>
      </c>
      <c r="AA42" s="745">
        <f t="shared" si="34"/>
        <v>14310238.939714734</v>
      </c>
      <c r="AB42" s="745">
        <f t="shared" si="34"/>
        <v>14375360.877694858</v>
      </c>
      <c r="AC42" s="745">
        <f t="shared" si="34"/>
        <v>14428755.071945241</v>
      </c>
      <c r="AD42" s="745">
        <f t="shared" si="34"/>
        <v>14484505.093171995</v>
      </c>
      <c r="AE42" s="745">
        <f t="shared" si="34"/>
        <v>14542218.17683387</v>
      </c>
      <c r="AF42" s="745">
        <f t="shared" si="34"/>
        <v>14600761.766363194</v>
      </c>
      <c r="AG42" s="745">
        <f t="shared" si="34"/>
        <v>14657180.779229136</v>
      </c>
      <c r="AH42" s="745">
        <f t="shared" si="34"/>
        <v>14714893.513977541</v>
      </c>
      <c r="AI42" s="745">
        <f t="shared" si="34"/>
        <v>14776434.92222981</v>
      </c>
      <c r="AJ42" s="745">
        <f t="shared" si="34"/>
        <v>14831693.777722171</v>
      </c>
      <c r="AK42" s="745">
        <f t="shared" si="34"/>
        <v>14887717.017468648</v>
      </c>
      <c r="AL42" s="745">
        <f t="shared" si="34"/>
        <v>14941721.220813518</v>
      </c>
      <c r="AM42" s="745">
        <f t="shared" si="34"/>
        <v>14996496.492403267</v>
      </c>
      <c r="AN42" s="745">
        <f t="shared" si="34"/>
        <v>15055021.201994486</v>
      </c>
      <c r="AO42" s="745">
        <f t="shared" ref="AO42:CZ42" si="35">SUM(AO40:AO41)</f>
        <v>15096138.737698946</v>
      </c>
      <c r="AP42" s="745">
        <f t="shared" si="35"/>
        <v>15140825.499225056</v>
      </c>
      <c r="AQ42" s="745">
        <f t="shared" si="35"/>
        <v>15192345.190192314</v>
      </c>
      <c r="AR42" s="745">
        <f t="shared" si="35"/>
        <v>15244690.996377975</v>
      </c>
      <c r="AS42" s="745">
        <f t="shared" si="35"/>
        <v>15295303.185116891</v>
      </c>
      <c r="AT42" s="745">
        <f t="shared" si="35"/>
        <v>15346763.41735049</v>
      </c>
      <c r="AU42" s="745">
        <f t="shared" si="35"/>
        <v>15402619.385762876</v>
      </c>
      <c r="AV42" s="745">
        <f t="shared" si="35"/>
        <v>15452632.641121294</v>
      </c>
      <c r="AW42" s="745">
        <f t="shared" si="35"/>
        <v>15503477.439331869</v>
      </c>
      <c r="AX42" s="745">
        <f t="shared" si="35"/>
        <v>15552721.680476943</v>
      </c>
      <c r="AY42" s="745">
        <f t="shared" si="35"/>
        <v>15602768.765963744</v>
      </c>
      <c r="AZ42" s="745">
        <f t="shared" si="35"/>
        <v>15656929.329371164</v>
      </c>
      <c r="BA42" s="745">
        <f t="shared" si="35"/>
        <v>15693722.089783423</v>
      </c>
      <c r="BB42" s="745">
        <f t="shared" si="35"/>
        <v>15733613.891828284</v>
      </c>
      <c r="BC42" s="745">
        <f t="shared" si="35"/>
        <v>15781128.737661883</v>
      </c>
      <c r="BD42" s="745">
        <f t="shared" si="35"/>
        <v>1812083.8307922371</v>
      </c>
      <c r="BE42" s="745">
        <f t="shared" si="35"/>
        <v>0</v>
      </c>
      <c r="BF42" s="745">
        <f t="shared" si="35"/>
        <v>0</v>
      </c>
      <c r="BG42" s="745">
        <f t="shared" si="35"/>
        <v>0</v>
      </c>
      <c r="BH42" s="745">
        <f t="shared" si="35"/>
        <v>0</v>
      </c>
      <c r="BI42" s="745">
        <f t="shared" si="35"/>
        <v>0</v>
      </c>
      <c r="BJ42" s="745">
        <f t="shared" si="35"/>
        <v>0</v>
      </c>
      <c r="BK42" s="745">
        <f t="shared" si="35"/>
        <v>0</v>
      </c>
      <c r="BL42" s="745">
        <f t="shared" si="35"/>
        <v>0</v>
      </c>
      <c r="BM42" s="745">
        <f t="shared" si="35"/>
        <v>0</v>
      </c>
      <c r="BN42" s="745">
        <f t="shared" si="35"/>
        <v>0</v>
      </c>
      <c r="BO42" s="745">
        <f t="shared" si="35"/>
        <v>0</v>
      </c>
      <c r="BP42" s="745">
        <f t="shared" si="35"/>
        <v>0</v>
      </c>
      <c r="BQ42" s="745">
        <f t="shared" si="35"/>
        <v>0</v>
      </c>
      <c r="BR42" s="745">
        <f t="shared" si="35"/>
        <v>0</v>
      </c>
      <c r="BS42" s="745">
        <f t="shared" si="35"/>
        <v>0</v>
      </c>
      <c r="BT42" s="745">
        <f t="shared" si="35"/>
        <v>0</v>
      </c>
      <c r="BU42" s="745">
        <f t="shared" si="35"/>
        <v>0</v>
      </c>
      <c r="BV42" s="745">
        <f t="shared" si="35"/>
        <v>0</v>
      </c>
      <c r="BW42" s="745">
        <f t="shared" si="35"/>
        <v>0</v>
      </c>
      <c r="BX42" s="745">
        <f t="shared" si="35"/>
        <v>0</v>
      </c>
      <c r="BY42" s="745">
        <f t="shared" si="35"/>
        <v>0</v>
      </c>
      <c r="BZ42" s="745">
        <f t="shared" si="35"/>
        <v>0</v>
      </c>
      <c r="CA42" s="745">
        <f t="shared" si="35"/>
        <v>0</v>
      </c>
      <c r="CB42" s="745">
        <f t="shared" si="35"/>
        <v>0</v>
      </c>
      <c r="CC42" s="745">
        <f t="shared" si="35"/>
        <v>0</v>
      </c>
      <c r="CD42" s="745">
        <f t="shared" si="35"/>
        <v>0</v>
      </c>
      <c r="CE42" s="745">
        <f t="shared" si="35"/>
        <v>0</v>
      </c>
      <c r="CF42" s="745">
        <f t="shared" si="35"/>
        <v>0</v>
      </c>
      <c r="CG42" s="745">
        <f t="shared" si="35"/>
        <v>0</v>
      </c>
      <c r="CH42" s="745">
        <f t="shared" si="35"/>
        <v>0</v>
      </c>
      <c r="CI42" s="745">
        <f t="shared" si="35"/>
        <v>0</v>
      </c>
      <c r="CJ42" s="745">
        <f t="shared" si="35"/>
        <v>0</v>
      </c>
      <c r="CK42" s="745">
        <f t="shared" si="35"/>
        <v>0</v>
      </c>
      <c r="CL42" s="745">
        <f t="shared" si="35"/>
        <v>0</v>
      </c>
      <c r="CM42" s="745">
        <f t="shared" si="35"/>
        <v>0</v>
      </c>
      <c r="CN42" s="745">
        <f t="shared" si="35"/>
        <v>0</v>
      </c>
      <c r="CO42" s="745">
        <f t="shared" si="35"/>
        <v>0</v>
      </c>
      <c r="CP42" s="745">
        <f t="shared" si="35"/>
        <v>0</v>
      </c>
      <c r="CQ42" s="745">
        <f t="shared" si="35"/>
        <v>0</v>
      </c>
      <c r="CR42" s="745">
        <f t="shared" si="35"/>
        <v>0</v>
      </c>
      <c r="CS42" s="745">
        <f t="shared" si="35"/>
        <v>0</v>
      </c>
      <c r="CT42" s="745">
        <f t="shared" si="35"/>
        <v>0</v>
      </c>
      <c r="CU42" s="745">
        <f t="shared" si="35"/>
        <v>0</v>
      </c>
      <c r="CV42" s="745">
        <f t="shared" si="35"/>
        <v>0</v>
      </c>
      <c r="CW42" s="745">
        <f t="shared" si="35"/>
        <v>0</v>
      </c>
      <c r="CX42" s="745">
        <f t="shared" si="35"/>
        <v>0</v>
      </c>
      <c r="CY42" s="745">
        <f t="shared" si="35"/>
        <v>0</v>
      </c>
      <c r="CZ42" s="745">
        <f t="shared" si="35"/>
        <v>0</v>
      </c>
      <c r="DA42" s="745">
        <f t="shared" ref="DA42:FB42" si="36">SUM(DA40:DA41)</f>
        <v>0</v>
      </c>
      <c r="DB42" s="745">
        <f t="shared" si="36"/>
        <v>0</v>
      </c>
      <c r="DC42" s="745">
        <f t="shared" si="36"/>
        <v>0</v>
      </c>
      <c r="DD42" s="745">
        <f t="shared" si="36"/>
        <v>0</v>
      </c>
      <c r="DE42" s="745">
        <f t="shared" si="36"/>
        <v>0</v>
      </c>
      <c r="DF42" s="745">
        <f t="shared" si="36"/>
        <v>0</v>
      </c>
      <c r="DG42" s="745">
        <f t="shared" si="36"/>
        <v>0</v>
      </c>
      <c r="DH42" s="745">
        <f t="shared" si="36"/>
        <v>0</v>
      </c>
      <c r="DI42" s="745">
        <f t="shared" si="36"/>
        <v>0</v>
      </c>
      <c r="DJ42" s="745">
        <f t="shared" si="36"/>
        <v>0</v>
      </c>
      <c r="DK42" s="745">
        <f t="shared" si="36"/>
        <v>0</v>
      </c>
      <c r="DL42" s="745">
        <f t="shared" si="36"/>
        <v>0</v>
      </c>
      <c r="DM42" s="745">
        <f t="shared" si="36"/>
        <v>0</v>
      </c>
      <c r="DN42" s="745">
        <f t="shared" si="36"/>
        <v>0</v>
      </c>
      <c r="DO42" s="745">
        <f t="shared" si="36"/>
        <v>0</v>
      </c>
      <c r="DP42" s="745">
        <f t="shared" si="36"/>
        <v>0</v>
      </c>
      <c r="DQ42" s="745">
        <f t="shared" si="36"/>
        <v>0</v>
      </c>
      <c r="DR42" s="745">
        <f t="shared" si="36"/>
        <v>0</v>
      </c>
      <c r="DS42" s="745">
        <f t="shared" si="36"/>
        <v>0</v>
      </c>
      <c r="DT42" s="745">
        <f t="shared" si="36"/>
        <v>0</v>
      </c>
      <c r="DU42" s="745">
        <f t="shared" si="36"/>
        <v>0</v>
      </c>
      <c r="DV42" s="745">
        <f t="shared" si="36"/>
        <v>0</v>
      </c>
      <c r="DW42" s="745">
        <f t="shared" si="36"/>
        <v>0</v>
      </c>
      <c r="DX42" s="745">
        <f t="shared" si="36"/>
        <v>0</v>
      </c>
      <c r="DY42" s="745">
        <f t="shared" si="36"/>
        <v>0</v>
      </c>
      <c r="DZ42" s="745">
        <f t="shared" si="36"/>
        <v>0</v>
      </c>
      <c r="EA42" s="745">
        <f t="shared" si="36"/>
        <v>0</v>
      </c>
      <c r="EB42" s="745">
        <f t="shared" si="36"/>
        <v>0</v>
      </c>
      <c r="EC42" s="745">
        <f t="shared" si="36"/>
        <v>0</v>
      </c>
      <c r="ED42" s="745">
        <f t="shared" si="36"/>
        <v>0</v>
      </c>
      <c r="EE42" s="745">
        <f t="shared" si="36"/>
        <v>0</v>
      </c>
      <c r="EF42" s="745">
        <f t="shared" si="36"/>
        <v>0</v>
      </c>
      <c r="EG42" s="745">
        <f t="shared" si="36"/>
        <v>0</v>
      </c>
      <c r="EH42" s="745">
        <f t="shared" si="36"/>
        <v>0</v>
      </c>
      <c r="EI42" s="745">
        <f t="shared" si="36"/>
        <v>0</v>
      </c>
      <c r="EJ42" s="745">
        <f t="shared" si="36"/>
        <v>0</v>
      </c>
      <c r="EK42" s="745">
        <f t="shared" si="36"/>
        <v>0</v>
      </c>
      <c r="EL42" s="745">
        <f t="shared" si="36"/>
        <v>0</v>
      </c>
      <c r="EM42" s="745">
        <f t="shared" si="36"/>
        <v>0</v>
      </c>
      <c r="EN42" s="745">
        <f t="shared" si="36"/>
        <v>0</v>
      </c>
      <c r="EO42" s="745">
        <f t="shared" si="36"/>
        <v>0</v>
      </c>
      <c r="EP42" s="745">
        <f t="shared" si="36"/>
        <v>0</v>
      </c>
      <c r="EQ42" s="745">
        <f t="shared" si="36"/>
        <v>0</v>
      </c>
      <c r="ER42" s="745">
        <f t="shared" si="36"/>
        <v>0</v>
      </c>
      <c r="ES42" s="745">
        <f t="shared" si="36"/>
        <v>0</v>
      </c>
      <c r="ET42" s="745">
        <f t="shared" si="36"/>
        <v>0</v>
      </c>
      <c r="EU42" s="745">
        <f t="shared" si="36"/>
        <v>0</v>
      </c>
      <c r="EV42" s="745">
        <f t="shared" si="36"/>
        <v>0</v>
      </c>
      <c r="EW42" s="745">
        <f t="shared" si="36"/>
        <v>0</v>
      </c>
      <c r="EX42" s="745">
        <f t="shared" si="36"/>
        <v>0</v>
      </c>
      <c r="EY42" s="745">
        <f t="shared" si="36"/>
        <v>0</v>
      </c>
      <c r="EZ42" s="745">
        <f t="shared" si="36"/>
        <v>0</v>
      </c>
      <c r="FA42" s="745">
        <f t="shared" si="36"/>
        <v>0</v>
      </c>
      <c r="FB42" s="745">
        <f t="shared" si="36"/>
        <v>0</v>
      </c>
      <c r="FC42" s="692"/>
      <c r="FD42" s="743"/>
      <c r="FE42" s="692"/>
    </row>
    <row r="43" spans="2:161" s="747" customFormat="1">
      <c r="B43" s="747" t="s">
        <v>380</v>
      </c>
      <c r="E43" s="748"/>
      <c r="G43" s="743">
        <f>SUM(I43:FB43)</f>
        <v>3754416.980127756</v>
      </c>
      <c r="I43" s="749">
        <f t="shared" ref="I43:BT43" si="37">MIN(I37,I42/$E44)</f>
        <v>0</v>
      </c>
      <c r="J43" s="749">
        <f t="shared" si="37"/>
        <v>0</v>
      </c>
      <c r="K43" s="749">
        <f t="shared" si="37"/>
        <v>0</v>
      </c>
      <c r="L43" s="749">
        <f t="shared" si="37"/>
        <v>0</v>
      </c>
      <c r="M43" s="749">
        <f t="shared" si="37"/>
        <v>0</v>
      </c>
      <c r="N43" s="749">
        <f t="shared" si="37"/>
        <v>0</v>
      </c>
      <c r="O43" s="749">
        <f t="shared" si="37"/>
        <v>0</v>
      </c>
      <c r="P43" s="749">
        <f t="shared" si="37"/>
        <v>0</v>
      </c>
      <c r="Q43" s="749">
        <f t="shared" si="37"/>
        <v>0</v>
      </c>
      <c r="R43" s="749">
        <f t="shared" si="37"/>
        <v>0</v>
      </c>
      <c r="S43" s="749">
        <f t="shared" si="37"/>
        <v>0</v>
      </c>
      <c r="T43" s="749">
        <f t="shared" si="37"/>
        <v>0</v>
      </c>
      <c r="U43" s="749">
        <f t="shared" si="37"/>
        <v>0</v>
      </c>
      <c r="V43" s="749">
        <f t="shared" si="37"/>
        <v>0</v>
      </c>
      <c r="W43" s="749">
        <f t="shared" si="37"/>
        <v>0</v>
      </c>
      <c r="X43" s="749">
        <f t="shared" si="37"/>
        <v>0</v>
      </c>
      <c r="Y43" s="749">
        <f t="shared" si="37"/>
        <v>0</v>
      </c>
      <c r="Z43" s="749">
        <f t="shared" si="37"/>
        <v>0</v>
      </c>
      <c r="AA43" s="749">
        <f t="shared" si="37"/>
        <v>0</v>
      </c>
      <c r="AB43" s="749">
        <f t="shared" si="37"/>
        <v>0</v>
      </c>
      <c r="AC43" s="749">
        <f t="shared" si="37"/>
        <v>0</v>
      </c>
      <c r="AD43" s="749">
        <f t="shared" si="37"/>
        <v>0</v>
      </c>
      <c r="AE43" s="749">
        <f t="shared" si="37"/>
        <v>0</v>
      </c>
      <c r="AF43" s="749">
        <f t="shared" si="37"/>
        <v>0</v>
      </c>
      <c r="AG43" s="749">
        <f t="shared" si="37"/>
        <v>0</v>
      </c>
      <c r="AH43" s="749">
        <f t="shared" si="37"/>
        <v>0</v>
      </c>
      <c r="AI43" s="749">
        <f t="shared" si="37"/>
        <v>0</v>
      </c>
      <c r="AJ43" s="749">
        <f t="shared" si="37"/>
        <v>0</v>
      </c>
      <c r="AK43" s="749">
        <f t="shared" si="37"/>
        <v>0</v>
      </c>
      <c r="AL43" s="749">
        <f t="shared" si="37"/>
        <v>0</v>
      </c>
      <c r="AM43" s="749">
        <f t="shared" si="37"/>
        <v>0</v>
      </c>
      <c r="AN43" s="749">
        <f t="shared" si="37"/>
        <v>0</v>
      </c>
      <c r="AO43" s="749">
        <f t="shared" si="37"/>
        <v>0</v>
      </c>
      <c r="AP43" s="749">
        <f t="shared" si="37"/>
        <v>0</v>
      </c>
      <c r="AQ43" s="749">
        <f t="shared" si="37"/>
        <v>0</v>
      </c>
      <c r="AR43" s="749">
        <f t="shared" si="37"/>
        <v>0</v>
      </c>
      <c r="AS43" s="749">
        <f t="shared" si="37"/>
        <v>0</v>
      </c>
      <c r="AT43" s="749">
        <f t="shared" si="37"/>
        <v>0</v>
      </c>
      <c r="AU43" s="749">
        <f t="shared" si="37"/>
        <v>0</v>
      </c>
      <c r="AV43" s="749">
        <f t="shared" si="37"/>
        <v>0</v>
      </c>
      <c r="AW43" s="749">
        <f t="shared" si="37"/>
        <v>0</v>
      </c>
      <c r="AX43" s="749">
        <f t="shared" si="37"/>
        <v>0</v>
      </c>
      <c r="AY43" s="749">
        <f t="shared" si="37"/>
        <v>0</v>
      </c>
      <c r="AZ43" s="749">
        <f t="shared" si="37"/>
        <v>0</v>
      </c>
      <c r="BA43" s="749">
        <f t="shared" si="37"/>
        <v>0</v>
      </c>
      <c r="BB43" s="749">
        <f t="shared" si="37"/>
        <v>0</v>
      </c>
      <c r="BC43" s="749">
        <f t="shared" si="37"/>
        <v>0</v>
      </c>
      <c r="BD43" s="749">
        <f t="shared" si="37"/>
        <v>3754416.980127756</v>
      </c>
      <c r="BE43" s="749">
        <f t="shared" si="37"/>
        <v>0</v>
      </c>
      <c r="BF43" s="749">
        <f t="shared" si="37"/>
        <v>0</v>
      </c>
      <c r="BG43" s="749">
        <f t="shared" si="37"/>
        <v>0</v>
      </c>
      <c r="BH43" s="749">
        <f t="shared" si="37"/>
        <v>0</v>
      </c>
      <c r="BI43" s="749">
        <f t="shared" si="37"/>
        <v>0</v>
      </c>
      <c r="BJ43" s="749">
        <f t="shared" si="37"/>
        <v>0</v>
      </c>
      <c r="BK43" s="749">
        <f t="shared" si="37"/>
        <v>0</v>
      </c>
      <c r="BL43" s="749">
        <f t="shared" si="37"/>
        <v>0</v>
      </c>
      <c r="BM43" s="749">
        <f t="shared" si="37"/>
        <v>0</v>
      </c>
      <c r="BN43" s="749">
        <f t="shared" si="37"/>
        <v>0</v>
      </c>
      <c r="BO43" s="749">
        <f t="shared" si="37"/>
        <v>0</v>
      </c>
      <c r="BP43" s="749">
        <f t="shared" si="37"/>
        <v>0</v>
      </c>
      <c r="BQ43" s="749">
        <f t="shared" si="37"/>
        <v>0</v>
      </c>
      <c r="BR43" s="749">
        <f t="shared" si="37"/>
        <v>0</v>
      </c>
      <c r="BS43" s="749">
        <f t="shared" si="37"/>
        <v>0</v>
      </c>
      <c r="BT43" s="749">
        <f t="shared" si="37"/>
        <v>0</v>
      </c>
      <c r="BU43" s="749">
        <f t="shared" ref="BU43:EF43" si="38">MIN(BU37,BU42/$E44)</f>
        <v>0</v>
      </c>
      <c r="BV43" s="749">
        <f t="shared" si="38"/>
        <v>0</v>
      </c>
      <c r="BW43" s="749">
        <f t="shared" si="38"/>
        <v>0</v>
      </c>
      <c r="BX43" s="749">
        <f t="shared" si="38"/>
        <v>0</v>
      </c>
      <c r="BY43" s="749">
        <f t="shared" si="38"/>
        <v>0</v>
      </c>
      <c r="BZ43" s="749">
        <f t="shared" si="38"/>
        <v>0</v>
      </c>
      <c r="CA43" s="749">
        <f t="shared" si="38"/>
        <v>0</v>
      </c>
      <c r="CB43" s="749">
        <f t="shared" si="38"/>
        <v>0</v>
      </c>
      <c r="CC43" s="749">
        <f t="shared" si="38"/>
        <v>0</v>
      </c>
      <c r="CD43" s="749">
        <f t="shared" si="38"/>
        <v>0</v>
      </c>
      <c r="CE43" s="749">
        <f t="shared" si="38"/>
        <v>0</v>
      </c>
      <c r="CF43" s="749">
        <f t="shared" si="38"/>
        <v>0</v>
      </c>
      <c r="CG43" s="749">
        <f t="shared" si="38"/>
        <v>0</v>
      </c>
      <c r="CH43" s="749">
        <f t="shared" si="38"/>
        <v>0</v>
      </c>
      <c r="CI43" s="749">
        <f t="shared" si="38"/>
        <v>0</v>
      </c>
      <c r="CJ43" s="749">
        <f t="shared" si="38"/>
        <v>0</v>
      </c>
      <c r="CK43" s="749">
        <f t="shared" si="38"/>
        <v>0</v>
      </c>
      <c r="CL43" s="749">
        <f t="shared" si="38"/>
        <v>0</v>
      </c>
      <c r="CM43" s="749">
        <f t="shared" si="38"/>
        <v>0</v>
      </c>
      <c r="CN43" s="749">
        <f t="shared" si="38"/>
        <v>0</v>
      </c>
      <c r="CO43" s="749">
        <f t="shared" si="38"/>
        <v>0</v>
      </c>
      <c r="CP43" s="749">
        <f t="shared" si="38"/>
        <v>0</v>
      </c>
      <c r="CQ43" s="749">
        <f t="shared" si="38"/>
        <v>0</v>
      </c>
      <c r="CR43" s="749">
        <f t="shared" si="38"/>
        <v>0</v>
      </c>
      <c r="CS43" s="749">
        <f t="shared" si="38"/>
        <v>0</v>
      </c>
      <c r="CT43" s="749">
        <f t="shared" si="38"/>
        <v>0</v>
      </c>
      <c r="CU43" s="749">
        <f t="shared" si="38"/>
        <v>0</v>
      </c>
      <c r="CV43" s="749">
        <f t="shared" si="38"/>
        <v>0</v>
      </c>
      <c r="CW43" s="749">
        <f t="shared" si="38"/>
        <v>0</v>
      </c>
      <c r="CX43" s="749">
        <f t="shared" si="38"/>
        <v>0</v>
      </c>
      <c r="CY43" s="749">
        <f t="shared" si="38"/>
        <v>0</v>
      </c>
      <c r="CZ43" s="749">
        <f t="shared" si="38"/>
        <v>0</v>
      </c>
      <c r="DA43" s="749">
        <f t="shared" si="38"/>
        <v>0</v>
      </c>
      <c r="DB43" s="749">
        <f t="shared" si="38"/>
        <v>0</v>
      </c>
      <c r="DC43" s="749">
        <f t="shared" si="38"/>
        <v>0</v>
      </c>
      <c r="DD43" s="749">
        <f t="shared" si="38"/>
        <v>0</v>
      </c>
      <c r="DE43" s="749">
        <f t="shared" si="38"/>
        <v>0</v>
      </c>
      <c r="DF43" s="749">
        <f t="shared" si="38"/>
        <v>0</v>
      </c>
      <c r="DG43" s="749">
        <f t="shared" si="38"/>
        <v>0</v>
      </c>
      <c r="DH43" s="749">
        <f t="shared" si="38"/>
        <v>0</v>
      </c>
      <c r="DI43" s="749">
        <f t="shared" si="38"/>
        <v>0</v>
      </c>
      <c r="DJ43" s="749">
        <f t="shared" si="38"/>
        <v>0</v>
      </c>
      <c r="DK43" s="749">
        <f t="shared" si="38"/>
        <v>0</v>
      </c>
      <c r="DL43" s="749">
        <f t="shared" si="38"/>
        <v>0</v>
      </c>
      <c r="DM43" s="749">
        <f t="shared" si="38"/>
        <v>0</v>
      </c>
      <c r="DN43" s="749">
        <f t="shared" si="38"/>
        <v>0</v>
      </c>
      <c r="DO43" s="749">
        <f t="shared" si="38"/>
        <v>0</v>
      </c>
      <c r="DP43" s="749">
        <f t="shared" si="38"/>
        <v>0</v>
      </c>
      <c r="DQ43" s="749">
        <f t="shared" si="38"/>
        <v>0</v>
      </c>
      <c r="DR43" s="749">
        <f t="shared" si="38"/>
        <v>0</v>
      </c>
      <c r="DS43" s="749">
        <f t="shared" si="38"/>
        <v>0</v>
      </c>
      <c r="DT43" s="749">
        <f t="shared" si="38"/>
        <v>0</v>
      </c>
      <c r="DU43" s="749">
        <f t="shared" si="38"/>
        <v>0</v>
      </c>
      <c r="DV43" s="749">
        <f t="shared" si="38"/>
        <v>0</v>
      </c>
      <c r="DW43" s="749">
        <f t="shared" si="38"/>
        <v>0</v>
      </c>
      <c r="DX43" s="749">
        <f t="shared" si="38"/>
        <v>0</v>
      </c>
      <c r="DY43" s="749">
        <f t="shared" si="38"/>
        <v>0</v>
      </c>
      <c r="DZ43" s="749">
        <f t="shared" si="38"/>
        <v>0</v>
      </c>
      <c r="EA43" s="749">
        <f t="shared" si="38"/>
        <v>0</v>
      </c>
      <c r="EB43" s="749">
        <f t="shared" si="38"/>
        <v>0</v>
      </c>
      <c r="EC43" s="749">
        <f t="shared" si="38"/>
        <v>0</v>
      </c>
      <c r="ED43" s="749">
        <f t="shared" si="38"/>
        <v>0</v>
      </c>
      <c r="EE43" s="749">
        <f t="shared" si="38"/>
        <v>0</v>
      </c>
      <c r="EF43" s="749">
        <f t="shared" si="38"/>
        <v>0</v>
      </c>
      <c r="EG43" s="749">
        <f t="shared" ref="EG43:FB43" si="39">MIN(EG37,EG42/$E44)</f>
        <v>0</v>
      </c>
      <c r="EH43" s="749">
        <f t="shared" si="39"/>
        <v>0</v>
      </c>
      <c r="EI43" s="749">
        <f t="shared" si="39"/>
        <v>0</v>
      </c>
      <c r="EJ43" s="749">
        <f t="shared" si="39"/>
        <v>0</v>
      </c>
      <c r="EK43" s="749">
        <f t="shared" si="39"/>
        <v>0</v>
      </c>
      <c r="EL43" s="749">
        <f t="shared" si="39"/>
        <v>0</v>
      </c>
      <c r="EM43" s="749">
        <f t="shared" si="39"/>
        <v>0</v>
      </c>
      <c r="EN43" s="749">
        <f t="shared" si="39"/>
        <v>0</v>
      </c>
      <c r="EO43" s="749">
        <f t="shared" si="39"/>
        <v>0</v>
      </c>
      <c r="EP43" s="749">
        <f t="shared" si="39"/>
        <v>0</v>
      </c>
      <c r="EQ43" s="749">
        <f t="shared" si="39"/>
        <v>0</v>
      </c>
      <c r="ER43" s="749">
        <f t="shared" si="39"/>
        <v>0</v>
      </c>
      <c r="ES43" s="749">
        <f t="shared" si="39"/>
        <v>0</v>
      </c>
      <c r="ET43" s="749">
        <f t="shared" si="39"/>
        <v>0</v>
      </c>
      <c r="EU43" s="749">
        <f t="shared" si="39"/>
        <v>0</v>
      </c>
      <c r="EV43" s="749">
        <f t="shared" si="39"/>
        <v>0</v>
      </c>
      <c r="EW43" s="749">
        <f t="shared" si="39"/>
        <v>0</v>
      </c>
      <c r="EX43" s="749">
        <f t="shared" si="39"/>
        <v>0</v>
      </c>
      <c r="EY43" s="749">
        <f t="shared" si="39"/>
        <v>0</v>
      </c>
      <c r="EZ43" s="749">
        <f t="shared" si="39"/>
        <v>0</v>
      </c>
      <c r="FA43" s="749">
        <f t="shared" si="39"/>
        <v>0</v>
      </c>
      <c r="FB43" s="749">
        <f t="shared" si="39"/>
        <v>0</v>
      </c>
      <c r="FC43" s="692"/>
      <c r="FD43" s="743">
        <f>SUM(I43:FB43)</f>
        <v>3754416.980127756</v>
      </c>
    </row>
    <row r="44" spans="2:161" s="742" customFormat="1">
      <c r="B44" s="750" t="s">
        <v>356</v>
      </c>
      <c r="C44" s="751"/>
      <c r="D44" s="751"/>
      <c r="E44" s="752">
        <f>1-E45-E46</f>
        <v>0.48265385554765289</v>
      </c>
      <c r="F44" s="761"/>
      <c r="G44" s="753">
        <f>SUM(I44:FB44)</f>
        <v>1812083.8307922371</v>
      </c>
      <c r="H44" s="761"/>
      <c r="I44" s="754">
        <f t="shared" ref="I44:BT44" si="40">$E44*I43</f>
        <v>0</v>
      </c>
      <c r="J44" s="754">
        <f t="shared" si="40"/>
        <v>0</v>
      </c>
      <c r="K44" s="754">
        <f t="shared" si="40"/>
        <v>0</v>
      </c>
      <c r="L44" s="754">
        <f t="shared" si="40"/>
        <v>0</v>
      </c>
      <c r="M44" s="754">
        <f t="shared" si="40"/>
        <v>0</v>
      </c>
      <c r="N44" s="754">
        <f t="shared" si="40"/>
        <v>0</v>
      </c>
      <c r="O44" s="754">
        <f t="shared" si="40"/>
        <v>0</v>
      </c>
      <c r="P44" s="754">
        <f t="shared" si="40"/>
        <v>0</v>
      </c>
      <c r="Q44" s="754">
        <f t="shared" si="40"/>
        <v>0</v>
      </c>
      <c r="R44" s="754">
        <f t="shared" si="40"/>
        <v>0</v>
      </c>
      <c r="S44" s="754">
        <f t="shared" si="40"/>
        <v>0</v>
      </c>
      <c r="T44" s="754">
        <f t="shared" si="40"/>
        <v>0</v>
      </c>
      <c r="U44" s="754">
        <f t="shared" si="40"/>
        <v>0</v>
      </c>
      <c r="V44" s="754">
        <f t="shared" si="40"/>
        <v>0</v>
      </c>
      <c r="W44" s="754">
        <f t="shared" si="40"/>
        <v>0</v>
      </c>
      <c r="X44" s="754">
        <f t="shared" si="40"/>
        <v>0</v>
      </c>
      <c r="Y44" s="754">
        <f t="shared" si="40"/>
        <v>0</v>
      </c>
      <c r="Z44" s="754">
        <f t="shared" si="40"/>
        <v>0</v>
      </c>
      <c r="AA44" s="754">
        <f t="shared" si="40"/>
        <v>0</v>
      </c>
      <c r="AB44" s="754">
        <f t="shared" si="40"/>
        <v>0</v>
      </c>
      <c r="AC44" s="754">
        <f t="shared" si="40"/>
        <v>0</v>
      </c>
      <c r="AD44" s="754">
        <f t="shared" si="40"/>
        <v>0</v>
      </c>
      <c r="AE44" s="754">
        <f t="shared" si="40"/>
        <v>0</v>
      </c>
      <c r="AF44" s="754">
        <f t="shared" si="40"/>
        <v>0</v>
      </c>
      <c r="AG44" s="754">
        <f t="shared" si="40"/>
        <v>0</v>
      </c>
      <c r="AH44" s="754">
        <f t="shared" si="40"/>
        <v>0</v>
      </c>
      <c r="AI44" s="754">
        <f t="shared" si="40"/>
        <v>0</v>
      </c>
      <c r="AJ44" s="754">
        <f t="shared" si="40"/>
        <v>0</v>
      </c>
      <c r="AK44" s="754">
        <f t="shared" si="40"/>
        <v>0</v>
      </c>
      <c r="AL44" s="754">
        <f t="shared" si="40"/>
        <v>0</v>
      </c>
      <c r="AM44" s="754">
        <f t="shared" si="40"/>
        <v>0</v>
      </c>
      <c r="AN44" s="754">
        <f t="shared" si="40"/>
        <v>0</v>
      </c>
      <c r="AO44" s="754">
        <f t="shared" si="40"/>
        <v>0</v>
      </c>
      <c r="AP44" s="754">
        <f t="shared" si="40"/>
        <v>0</v>
      </c>
      <c r="AQ44" s="754">
        <f t="shared" si="40"/>
        <v>0</v>
      </c>
      <c r="AR44" s="754">
        <f t="shared" si="40"/>
        <v>0</v>
      </c>
      <c r="AS44" s="754">
        <f t="shared" si="40"/>
        <v>0</v>
      </c>
      <c r="AT44" s="754">
        <f t="shared" si="40"/>
        <v>0</v>
      </c>
      <c r="AU44" s="754">
        <f t="shared" si="40"/>
        <v>0</v>
      </c>
      <c r="AV44" s="754">
        <f t="shared" si="40"/>
        <v>0</v>
      </c>
      <c r="AW44" s="754">
        <f t="shared" si="40"/>
        <v>0</v>
      </c>
      <c r="AX44" s="754">
        <f t="shared" si="40"/>
        <v>0</v>
      </c>
      <c r="AY44" s="754">
        <f t="shared" si="40"/>
        <v>0</v>
      </c>
      <c r="AZ44" s="754">
        <f t="shared" si="40"/>
        <v>0</v>
      </c>
      <c r="BA44" s="754">
        <f t="shared" si="40"/>
        <v>0</v>
      </c>
      <c r="BB44" s="754">
        <f t="shared" si="40"/>
        <v>0</v>
      </c>
      <c r="BC44" s="754">
        <f t="shared" si="40"/>
        <v>0</v>
      </c>
      <c r="BD44" s="754">
        <f t="shared" si="40"/>
        <v>1812083.8307922371</v>
      </c>
      <c r="BE44" s="754">
        <f t="shared" si="40"/>
        <v>0</v>
      </c>
      <c r="BF44" s="754">
        <f t="shared" si="40"/>
        <v>0</v>
      </c>
      <c r="BG44" s="754">
        <f t="shared" si="40"/>
        <v>0</v>
      </c>
      <c r="BH44" s="754">
        <f t="shared" si="40"/>
        <v>0</v>
      </c>
      <c r="BI44" s="754">
        <f t="shared" si="40"/>
        <v>0</v>
      </c>
      <c r="BJ44" s="754">
        <f t="shared" si="40"/>
        <v>0</v>
      </c>
      <c r="BK44" s="754">
        <f t="shared" si="40"/>
        <v>0</v>
      </c>
      <c r="BL44" s="754">
        <f t="shared" si="40"/>
        <v>0</v>
      </c>
      <c r="BM44" s="754">
        <f t="shared" si="40"/>
        <v>0</v>
      </c>
      <c r="BN44" s="754">
        <f t="shared" si="40"/>
        <v>0</v>
      </c>
      <c r="BO44" s="754">
        <f t="shared" si="40"/>
        <v>0</v>
      </c>
      <c r="BP44" s="754">
        <f t="shared" si="40"/>
        <v>0</v>
      </c>
      <c r="BQ44" s="754">
        <f t="shared" si="40"/>
        <v>0</v>
      </c>
      <c r="BR44" s="754">
        <f t="shared" si="40"/>
        <v>0</v>
      </c>
      <c r="BS44" s="754">
        <f t="shared" si="40"/>
        <v>0</v>
      </c>
      <c r="BT44" s="754">
        <f t="shared" si="40"/>
        <v>0</v>
      </c>
      <c r="BU44" s="754">
        <f t="shared" ref="BU44:EF44" si="41">$E44*BU43</f>
        <v>0</v>
      </c>
      <c r="BV44" s="754">
        <f t="shared" si="41"/>
        <v>0</v>
      </c>
      <c r="BW44" s="754">
        <f t="shared" si="41"/>
        <v>0</v>
      </c>
      <c r="BX44" s="754">
        <f t="shared" si="41"/>
        <v>0</v>
      </c>
      <c r="BY44" s="754">
        <f t="shared" si="41"/>
        <v>0</v>
      </c>
      <c r="BZ44" s="754">
        <f t="shared" si="41"/>
        <v>0</v>
      </c>
      <c r="CA44" s="754">
        <f t="shared" si="41"/>
        <v>0</v>
      </c>
      <c r="CB44" s="754">
        <f t="shared" si="41"/>
        <v>0</v>
      </c>
      <c r="CC44" s="754">
        <f t="shared" si="41"/>
        <v>0</v>
      </c>
      <c r="CD44" s="754">
        <f t="shared" si="41"/>
        <v>0</v>
      </c>
      <c r="CE44" s="754">
        <f t="shared" si="41"/>
        <v>0</v>
      </c>
      <c r="CF44" s="754">
        <f t="shared" si="41"/>
        <v>0</v>
      </c>
      <c r="CG44" s="754">
        <f t="shared" si="41"/>
        <v>0</v>
      </c>
      <c r="CH44" s="754">
        <f t="shared" si="41"/>
        <v>0</v>
      </c>
      <c r="CI44" s="754">
        <f t="shared" si="41"/>
        <v>0</v>
      </c>
      <c r="CJ44" s="754">
        <f t="shared" si="41"/>
        <v>0</v>
      </c>
      <c r="CK44" s="754">
        <f t="shared" si="41"/>
        <v>0</v>
      </c>
      <c r="CL44" s="754">
        <f t="shared" si="41"/>
        <v>0</v>
      </c>
      <c r="CM44" s="754">
        <f t="shared" si="41"/>
        <v>0</v>
      </c>
      <c r="CN44" s="754">
        <f t="shared" si="41"/>
        <v>0</v>
      </c>
      <c r="CO44" s="754">
        <f t="shared" si="41"/>
        <v>0</v>
      </c>
      <c r="CP44" s="754">
        <f t="shared" si="41"/>
        <v>0</v>
      </c>
      <c r="CQ44" s="754">
        <f t="shared" si="41"/>
        <v>0</v>
      </c>
      <c r="CR44" s="754">
        <f t="shared" si="41"/>
        <v>0</v>
      </c>
      <c r="CS44" s="754">
        <f t="shared" si="41"/>
        <v>0</v>
      </c>
      <c r="CT44" s="754">
        <f t="shared" si="41"/>
        <v>0</v>
      </c>
      <c r="CU44" s="754">
        <f t="shared" si="41"/>
        <v>0</v>
      </c>
      <c r="CV44" s="754">
        <f t="shared" si="41"/>
        <v>0</v>
      </c>
      <c r="CW44" s="754">
        <f t="shared" si="41"/>
        <v>0</v>
      </c>
      <c r="CX44" s="754">
        <f t="shared" si="41"/>
        <v>0</v>
      </c>
      <c r="CY44" s="754">
        <f t="shared" si="41"/>
        <v>0</v>
      </c>
      <c r="CZ44" s="754">
        <f t="shared" si="41"/>
        <v>0</v>
      </c>
      <c r="DA44" s="754">
        <f t="shared" si="41"/>
        <v>0</v>
      </c>
      <c r="DB44" s="754">
        <f t="shared" si="41"/>
        <v>0</v>
      </c>
      <c r="DC44" s="754">
        <f t="shared" si="41"/>
        <v>0</v>
      </c>
      <c r="DD44" s="754">
        <f t="shared" si="41"/>
        <v>0</v>
      </c>
      <c r="DE44" s="754">
        <f t="shared" si="41"/>
        <v>0</v>
      </c>
      <c r="DF44" s="754">
        <f t="shared" si="41"/>
        <v>0</v>
      </c>
      <c r="DG44" s="754">
        <f t="shared" si="41"/>
        <v>0</v>
      </c>
      <c r="DH44" s="754">
        <f t="shared" si="41"/>
        <v>0</v>
      </c>
      <c r="DI44" s="754">
        <f t="shared" si="41"/>
        <v>0</v>
      </c>
      <c r="DJ44" s="754">
        <f t="shared" si="41"/>
        <v>0</v>
      </c>
      <c r="DK44" s="754">
        <f t="shared" si="41"/>
        <v>0</v>
      </c>
      <c r="DL44" s="754">
        <f t="shared" si="41"/>
        <v>0</v>
      </c>
      <c r="DM44" s="754">
        <f t="shared" si="41"/>
        <v>0</v>
      </c>
      <c r="DN44" s="754">
        <f t="shared" si="41"/>
        <v>0</v>
      </c>
      <c r="DO44" s="754">
        <f t="shared" si="41"/>
        <v>0</v>
      </c>
      <c r="DP44" s="754">
        <f t="shared" si="41"/>
        <v>0</v>
      </c>
      <c r="DQ44" s="754">
        <f t="shared" si="41"/>
        <v>0</v>
      </c>
      <c r="DR44" s="754">
        <f t="shared" si="41"/>
        <v>0</v>
      </c>
      <c r="DS44" s="754">
        <f t="shared" si="41"/>
        <v>0</v>
      </c>
      <c r="DT44" s="754">
        <f t="shared" si="41"/>
        <v>0</v>
      </c>
      <c r="DU44" s="754">
        <f t="shared" si="41"/>
        <v>0</v>
      </c>
      <c r="DV44" s="754">
        <f t="shared" si="41"/>
        <v>0</v>
      </c>
      <c r="DW44" s="754">
        <f t="shared" si="41"/>
        <v>0</v>
      </c>
      <c r="DX44" s="754">
        <f t="shared" si="41"/>
        <v>0</v>
      </c>
      <c r="DY44" s="754">
        <f t="shared" si="41"/>
        <v>0</v>
      </c>
      <c r="DZ44" s="754">
        <f t="shared" si="41"/>
        <v>0</v>
      </c>
      <c r="EA44" s="754">
        <f t="shared" si="41"/>
        <v>0</v>
      </c>
      <c r="EB44" s="754">
        <f t="shared" si="41"/>
        <v>0</v>
      </c>
      <c r="EC44" s="754">
        <f t="shared" si="41"/>
        <v>0</v>
      </c>
      <c r="ED44" s="754">
        <f t="shared" si="41"/>
        <v>0</v>
      </c>
      <c r="EE44" s="754">
        <f t="shared" si="41"/>
        <v>0</v>
      </c>
      <c r="EF44" s="754">
        <f t="shared" si="41"/>
        <v>0</v>
      </c>
      <c r="EG44" s="754">
        <f t="shared" ref="EG44:FB44" si="42">$E44*EG43</f>
        <v>0</v>
      </c>
      <c r="EH44" s="754">
        <f t="shared" si="42"/>
        <v>0</v>
      </c>
      <c r="EI44" s="754">
        <f t="shared" si="42"/>
        <v>0</v>
      </c>
      <c r="EJ44" s="754">
        <f t="shared" si="42"/>
        <v>0</v>
      </c>
      <c r="EK44" s="754">
        <f t="shared" si="42"/>
        <v>0</v>
      </c>
      <c r="EL44" s="754">
        <f t="shared" si="42"/>
        <v>0</v>
      </c>
      <c r="EM44" s="754">
        <f t="shared" si="42"/>
        <v>0</v>
      </c>
      <c r="EN44" s="754">
        <f t="shared" si="42"/>
        <v>0</v>
      </c>
      <c r="EO44" s="754">
        <f t="shared" si="42"/>
        <v>0</v>
      </c>
      <c r="EP44" s="754">
        <f t="shared" si="42"/>
        <v>0</v>
      </c>
      <c r="EQ44" s="754">
        <f t="shared" si="42"/>
        <v>0</v>
      </c>
      <c r="ER44" s="754">
        <f t="shared" si="42"/>
        <v>0</v>
      </c>
      <c r="ES44" s="754">
        <f t="shared" si="42"/>
        <v>0</v>
      </c>
      <c r="ET44" s="754">
        <f t="shared" si="42"/>
        <v>0</v>
      </c>
      <c r="EU44" s="754">
        <f t="shared" si="42"/>
        <v>0</v>
      </c>
      <c r="EV44" s="754">
        <f t="shared" si="42"/>
        <v>0</v>
      </c>
      <c r="EW44" s="754">
        <f t="shared" si="42"/>
        <v>0</v>
      </c>
      <c r="EX44" s="754">
        <f t="shared" si="42"/>
        <v>0</v>
      </c>
      <c r="EY44" s="754">
        <f t="shared" si="42"/>
        <v>0</v>
      </c>
      <c r="EZ44" s="754">
        <f t="shared" si="42"/>
        <v>0</v>
      </c>
      <c r="FA44" s="754">
        <f t="shared" si="42"/>
        <v>0</v>
      </c>
      <c r="FB44" s="754">
        <f t="shared" si="42"/>
        <v>0</v>
      </c>
      <c r="FC44" s="692"/>
      <c r="FD44" s="753">
        <f>SUM(I44:FB44)</f>
        <v>1812083.8307922371</v>
      </c>
      <c r="FE44" s="692"/>
    </row>
    <row r="45" spans="2:161" s="742" customFormat="1">
      <c r="B45" s="755" t="s">
        <v>355</v>
      </c>
      <c r="C45" s="756"/>
      <c r="D45" s="756"/>
      <c r="E45" s="757">
        <f>C6</f>
        <v>0.3173461444523471</v>
      </c>
      <c r="F45" s="762"/>
      <c r="G45" s="758">
        <f>SUM(I45:FB45)</f>
        <v>1191449.7533099677</v>
      </c>
      <c r="H45" s="762"/>
      <c r="I45" s="759">
        <f t="shared" ref="I45:BT45" si="43">$E45*I43</f>
        <v>0</v>
      </c>
      <c r="J45" s="759">
        <f t="shared" si="43"/>
        <v>0</v>
      </c>
      <c r="K45" s="759">
        <f t="shared" si="43"/>
        <v>0</v>
      </c>
      <c r="L45" s="759">
        <f t="shared" si="43"/>
        <v>0</v>
      </c>
      <c r="M45" s="759">
        <f t="shared" si="43"/>
        <v>0</v>
      </c>
      <c r="N45" s="759">
        <f t="shared" si="43"/>
        <v>0</v>
      </c>
      <c r="O45" s="759">
        <f t="shared" si="43"/>
        <v>0</v>
      </c>
      <c r="P45" s="759">
        <f t="shared" si="43"/>
        <v>0</v>
      </c>
      <c r="Q45" s="759">
        <f t="shared" si="43"/>
        <v>0</v>
      </c>
      <c r="R45" s="759">
        <f t="shared" si="43"/>
        <v>0</v>
      </c>
      <c r="S45" s="759">
        <f t="shared" si="43"/>
        <v>0</v>
      </c>
      <c r="T45" s="759">
        <f t="shared" si="43"/>
        <v>0</v>
      </c>
      <c r="U45" s="759">
        <f t="shared" si="43"/>
        <v>0</v>
      </c>
      <c r="V45" s="759">
        <f t="shared" si="43"/>
        <v>0</v>
      </c>
      <c r="W45" s="759">
        <f t="shared" si="43"/>
        <v>0</v>
      </c>
      <c r="X45" s="759">
        <f t="shared" si="43"/>
        <v>0</v>
      </c>
      <c r="Y45" s="759">
        <f t="shared" si="43"/>
        <v>0</v>
      </c>
      <c r="Z45" s="759">
        <f t="shared" si="43"/>
        <v>0</v>
      </c>
      <c r="AA45" s="759">
        <f t="shared" si="43"/>
        <v>0</v>
      </c>
      <c r="AB45" s="759">
        <f t="shared" si="43"/>
        <v>0</v>
      </c>
      <c r="AC45" s="759">
        <f t="shared" si="43"/>
        <v>0</v>
      </c>
      <c r="AD45" s="759">
        <f t="shared" si="43"/>
        <v>0</v>
      </c>
      <c r="AE45" s="759">
        <f t="shared" si="43"/>
        <v>0</v>
      </c>
      <c r="AF45" s="759">
        <f t="shared" si="43"/>
        <v>0</v>
      </c>
      <c r="AG45" s="759">
        <f t="shared" si="43"/>
        <v>0</v>
      </c>
      <c r="AH45" s="759">
        <f t="shared" si="43"/>
        <v>0</v>
      </c>
      <c r="AI45" s="759">
        <f t="shared" si="43"/>
        <v>0</v>
      </c>
      <c r="AJ45" s="759">
        <f t="shared" si="43"/>
        <v>0</v>
      </c>
      <c r="AK45" s="759">
        <f t="shared" si="43"/>
        <v>0</v>
      </c>
      <c r="AL45" s="759">
        <f t="shared" si="43"/>
        <v>0</v>
      </c>
      <c r="AM45" s="759">
        <f t="shared" si="43"/>
        <v>0</v>
      </c>
      <c r="AN45" s="759">
        <f t="shared" si="43"/>
        <v>0</v>
      </c>
      <c r="AO45" s="759">
        <f t="shared" si="43"/>
        <v>0</v>
      </c>
      <c r="AP45" s="759">
        <f t="shared" si="43"/>
        <v>0</v>
      </c>
      <c r="AQ45" s="759">
        <f t="shared" si="43"/>
        <v>0</v>
      </c>
      <c r="AR45" s="759">
        <f t="shared" si="43"/>
        <v>0</v>
      </c>
      <c r="AS45" s="759">
        <f t="shared" si="43"/>
        <v>0</v>
      </c>
      <c r="AT45" s="759">
        <f t="shared" si="43"/>
        <v>0</v>
      </c>
      <c r="AU45" s="759">
        <f t="shared" si="43"/>
        <v>0</v>
      </c>
      <c r="AV45" s="759">
        <f t="shared" si="43"/>
        <v>0</v>
      </c>
      <c r="AW45" s="759">
        <f t="shared" si="43"/>
        <v>0</v>
      </c>
      <c r="AX45" s="759">
        <f t="shared" si="43"/>
        <v>0</v>
      </c>
      <c r="AY45" s="759">
        <f t="shared" si="43"/>
        <v>0</v>
      </c>
      <c r="AZ45" s="759">
        <f t="shared" si="43"/>
        <v>0</v>
      </c>
      <c r="BA45" s="759">
        <f t="shared" si="43"/>
        <v>0</v>
      </c>
      <c r="BB45" s="759">
        <f t="shared" si="43"/>
        <v>0</v>
      </c>
      <c r="BC45" s="759">
        <f t="shared" si="43"/>
        <v>0</v>
      </c>
      <c r="BD45" s="759">
        <f t="shared" si="43"/>
        <v>1191449.7533099677</v>
      </c>
      <c r="BE45" s="759">
        <f t="shared" si="43"/>
        <v>0</v>
      </c>
      <c r="BF45" s="759">
        <f t="shared" si="43"/>
        <v>0</v>
      </c>
      <c r="BG45" s="759">
        <f t="shared" si="43"/>
        <v>0</v>
      </c>
      <c r="BH45" s="759">
        <f t="shared" si="43"/>
        <v>0</v>
      </c>
      <c r="BI45" s="759">
        <f t="shared" si="43"/>
        <v>0</v>
      </c>
      <c r="BJ45" s="759">
        <f t="shared" si="43"/>
        <v>0</v>
      </c>
      <c r="BK45" s="759">
        <f t="shared" si="43"/>
        <v>0</v>
      </c>
      <c r="BL45" s="759">
        <f t="shared" si="43"/>
        <v>0</v>
      </c>
      <c r="BM45" s="759">
        <f t="shared" si="43"/>
        <v>0</v>
      </c>
      <c r="BN45" s="759">
        <f t="shared" si="43"/>
        <v>0</v>
      </c>
      <c r="BO45" s="759">
        <f t="shared" si="43"/>
        <v>0</v>
      </c>
      <c r="BP45" s="759">
        <f t="shared" si="43"/>
        <v>0</v>
      </c>
      <c r="BQ45" s="759">
        <f t="shared" si="43"/>
        <v>0</v>
      </c>
      <c r="BR45" s="759">
        <f t="shared" si="43"/>
        <v>0</v>
      </c>
      <c r="BS45" s="759">
        <f t="shared" si="43"/>
        <v>0</v>
      </c>
      <c r="BT45" s="759">
        <f t="shared" si="43"/>
        <v>0</v>
      </c>
      <c r="BU45" s="759">
        <f t="shared" ref="BU45:EF45" si="44">$E45*BU43</f>
        <v>0</v>
      </c>
      <c r="BV45" s="759">
        <f t="shared" si="44"/>
        <v>0</v>
      </c>
      <c r="BW45" s="759">
        <f t="shared" si="44"/>
        <v>0</v>
      </c>
      <c r="BX45" s="759">
        <f t="shared" si="44"/>
        <v>0</v>
      </c>
      <c r="BY45" s="759">
        <f t="shared" si="44"/>
        <v>0</v>
      </c>
      <c r="BZ45" s="759">
        <f t="shared" si="44"/>
        <v>0</v>
      </c>
      <c r="CA45" s="759">
        <f t="shared" si="44"/>
        <v>0</v>
      </c>
      <c r="CB45" s="759">
        <f t="shared" si="44"/>
        <v>0</v>
      </c>
      <c r="CC45" s="759">
        <f t="shared" si="44"/>
        <v>0</v>
      </c>
      <c r="CD45" s="759">
        <f t="shared" si="44"/>
        <v>0</v>
      </c>
      <c r="CE45" s="759">
        <f t="shared" si="44"/>
        <v>0</v>
      </c>
      <c r="CF45" s="759">
        <f t="shared" si="44"/>
        <v>0</v>
      </c>
      <c r="CG45" s="759">
        <f t="shared" si="44"/>
        <v>0</v>
      </c>
      <c r="CH45" s="759">
        <f t="shared" si="44"/>
        <v>0</v>
      </c>
      <c r="CI45" s="759">
        <f t="shared" si="44"/>
        <v>0</v>
      </c>
      <c r="CJ45" s="759">
        <f t="shared" si="44"/>
        <v>0</v>
      </c>
      <c r="CK45" s="759">
        <f t="shared" si="44"/>
        <v>0</v>
      </c>
      <c r="CL45" s="759">
        <f t="shared" si="44"/>
        <v>0</v>
      </c>
      <c r="CM45" s="759">
        <f t="shared" si="44"/>
        <v>0</v>
      </c>
      <c r="CN45" s="759">
        <f t="shared" si="44"/>
        <v>0</v>
      </c>
      <c r="CO45" s="759">
        <f t="shared" si="44"/>
        <v>0</v>
      </c>
      <c r="CP45" s="759">
        <f t="shared" si="44"/>
        <v>0</v>
      </c>
      <c r="CQ45" s="759">
        <f t="shared" si="44"/>
        <v>0</v>
      </c>
      <c r="CR45" s="759">
        <f t="shared" si="44"/>
        <v>0</v>
      </c>
      <c r="CS45" s="759">
        <f t="shared" si="44"/>
        <v>0</v>
      </c>
      <c r="CT45" s="759">
        <f t="shared" si="44"/>
        <v>0</v>
      </c>
      <c r="CU45" s="759">
        <f t="shared" si="44"/>
        <v>0</v>
      </c>
      <c r="CV45" s="759">
        <f t="shared" si="44"/>
        <v>0</v>
      </c>
      <c r="CW45" s="759">
        <f t="shared" si="44"/>
        <v>0</v>
      </c>
      <c r="CX45" s="759">
        <f t="shared" si="44"/>
        <v>0</v>
      </c>
      <c r="CY45" s="759">
        <f t="shared" si="44"/>
        <v>0</v>
      </c>
      <c r="CZ45" s="759">
        <f t="shared" si="44"/>
        <v>0</v>
      </c>
      <c r="DA45" s="759">
        <f t="shared" si="44"/>
        <v>0</v>
      </c>
      <c r="DB45" s="759">
        <f t="shared" si="44"/>
        <v>0</v>
      </c>
      <c r="DC45" s="759">
        <f t="shared" si="44"/>
        <v>0</v>
      </c>
      <c r="DD45" s="759">
        <f t="shared" si="44"/>
        <v>0</v>
      </c>
      <c r="DE45" s="759">
        <f t="shared" si="44"/>
        <v>0</v>
      </c>
      <c r="DF45" s="759">
        <f t="shared" si="44"/>
        <v>0</v>
      </c>
      <c r="DG45" s="759">
        <f t="shared" si="44"/>
        <v>0</v>
      </c>
      <c r="DH45" s="759">
        <f t="shared" si="44"/>
        <v>0</v>
      </c>
      <c r="DI45" s="759">
        <f t="shared" si="44"/>
        <v>0</v>
      </c>
      <c r="DJ45" s="759">
        <f t="shared" si="44"/>
        <v>0</v>
      </c>
      <c r="DK45" s="759">
        <f t="shared" si="44"/>
        <v>0</v>
      </c>
      <c r="DL45" s="759">
        <f t="shared" si="44"/>
        <v>0</v>
      </c>
      <c r="DM45" s="759">
        <f t="shared" si="44"/>
        <v>0</v>
      </c>
      <c r="DN45" s="759">
        <f t="shared" si="44"/>
        <v>0</v>
      </c>
      <c r="DO45" s="759">
        <f t="shared" si="44"/>
        <v>0</v>
      </c>
      <c r="DP45" s="759">
        <f t="shared" si="44"/>
        <v>0</v>
      </c>
      <c r="DQ45" s="759">
        <f t="shared" si="44"/>
        <v>0</v>
      </c>
      <c r="DR45" s="759">
        <f t="shared" si="44"/>
        <v>0</v>
      </c>
      <c r="DS45" s="759">
        <f t="shared" si="44"/>
        <v>0</v>
      </c>
      <c r="DT45" s="759">
        <f t="shared" si="44"/>
        <v>0</v>
      </c>
      <c r="DU45" s="759">
        <f t="shared" si="44"/>
        <v>0</v>
      </c>
      <c r="DV45" s="759">
        <f t="shared" si="44"/>
        <v>0</v>
      </c>
      <c r="DW45" s="759">
        <f t="shared" si="44"/>
        <v>0</v>
      </c>
      <c r="DX45" s="759">
        <f t="shared" si="44"/>
        <v>0</v>
      </c>
      <c r="DY45" s="759">
        <f t="shared" si="44"/>
        <v>0</v>
      </c>
      <c r="DZ45" s="759">
        <f t="shared" si="44"/>
        <v>0</v>
      </c>
      <c r="EA45" s="759">
        <f t="shared" si="44"/>
        <v>0</v>
      </c>
      <c r="EB45" s="759">
        <f t="shared" si="44"/>
        <v>0</v>
      </c>
      <c r="EC45" s="759">
        <f t="shared" si="44"/>
        <v>0</v>
      </c>
      <c r="ED45" s="759">
        <f t="shared" si="44"/>
        <v>0</v>
      </c>
      <c r="EE45" s="759">
        <f t="shared" si="44"/>
        <v>0</v>
      </c>
      <c r="EF45" s="759">
        <f t="shared" si="44"/>
        <v>0</v>
      </c>
      <c r="EG45" s="759">
        <f t="shared" ref="EG45:FB45" si="45">$E45*EG43</f>
        <v>0</v>
      </c>
      <c r="EH45" s="759">
        <f t="shared" si="45"/>
        <v>0</v>
      </c>
      <c r="EI45" s="759">
        <f t="shared" si="45"/>
        <v>0</v>
      </c>
      <c r="EJ45" s="759">
        <f t="shared" si="45"/>
        <v>0</v>
      </c>
      <c r="EK45" s="759">
        <f t="shared" si="45"/>
        <v>0</v>
      </c>
      <c r="EL45" s="759">
        <f t="shared" si="45"/>
        <v>0</v>
      </c>
      <c r="EM45" s="759">
        <f t="shared" si="45"/>
        <v>0</v>
      </c>
      <c r="EN45" s="759">
        <f t="shared" si="45"/>
        <v>0</v>
      </c>
      <c r="EO45" s="759">
        <f t="shared" si="45"/>
        <v>0</v>
      </c>
      <c r="EP45" s="759">
        <f t="shared" si="45"/>
        <v>0</v>
      </c>
      <c r="EQ45" s="759">
        <f t="shared" si="45"/>
        <v>0</v>
      </c>
      <c r="ER45" s="759">
        <f t="shared" si="45"/>
        <v>0</v>
      </c>
      <c r="ES45" s="759">
        <f t="shared" si="45"/>
        <v>0</v>
      </c>
      <c r="ET45" s="759">
        <f t="shared" si="45"/>
        <v>0</v>
      </c>
      <c r="EU45" s="759">
        <f t="shared" si="45"/>
        <v>0</v>
      </c>
      <c r="EV45" s="759">
        <f t="shared" si="45"/>
        <v>0</v>
      </c>
      <c r="EW45" s="759">
        <f t="shared" si="45"/>
        <v>0</v>
      </c>
      <c r="EX45" s="759">
        <f t="shared" si="45"/>
        <v>0</v>
      </c>
      <c r="EY45" s="759">
        <f t="shared" si="45"/>
        <v>0</v>
      </c>
      <c r="EZ45" s="759">
        <f t="shared" si="45"/>
        <v>0</v>
      </c>
      <c r="FA45" s="759">
        <f t="shared" si="45"/>
        <v>0</v>
      </c>
      <c r="FB45" s="759">
        <f t="shared" si="45"/>
        <v>0</v>
      </c>
      <c r="FC45" s="692"/>
      <c r="FD45" s="758">
        <f>SUM(I45:FB45)</f>
        <v>1191449.7533099677</v>
      </c>
      <c r="FE45" s="692"/>
    </row>
    <row r="46" spans="2:161" s="742" customFormat="1">
      <c r="B46" s="755" t="s">
        <v>378</v>
      </c>
      <c r="C46" s="756"/>
      <c r="D46" s="756"/>
      <c r="E46" s="757">
        <f>E12</f>
        <v>0.2</v>
      </c>
      <c r="F46" s="762"/>
      <c r="G46" s="758">
        <f>SUM(I46:FB46)</f>
        <v>750883.39602555125</v>
      </c>
      <c r="H46" s="762"/>
      <c r="I46" s="759">
        <f t="shared" ref="I46:BT46" si="46">$E46*I43</f>
        <v>0</v>
      </c>
      <c r="J46" s="759">
        <f t="shared" si="46"/>
        <v>0</v>
      </c>
      <c r="K46" s="759">
        <f t="shared" si="46"/>
        <v>0</v>
      </c>
      <c r="L46" s="759">
        <f t="shared" si="46"/>
        <v>0</v>
      </c>
      <c r="M46" s="759">
        <f t="shared" si="46"/>
        <v>0</v>
      </c>
      <c r="N46" s="759">
        <f t="shared" si="46"/>
        <v>0</v>
      </c>
      <c r="O46" s="759">
        <f t="shared" si="46"/>
        <v>0</v>
      </c>
      <c r="P46" s="759">
        <f t="shared" si="46"/>
        <v>0</v>
      </c>
      <c r="Q46" s="759">
        <f t="shared" si="46"/>
        <v>0</v>
      </c>
      <c r="R46" s="759">
        <f t="shared" si="46"/>
        <v>0</v>
      </c>
      <c r="S46" s="759">
        <f t="shared" si="46"/>
        <v>0</v>
      </c>
      <c r="T46" s="759">
        <f t="shared" si="46"/>
        <v>0</v>
      </c>
      <c r="U46" s="759">
        <f t="shared" si="46"/>
        <v>0</v>
      </c>
      <c r="V46" s="759">
        <f t="shared" si="46"/>
        <v>0</v>
      </c>
      <c r="W46" s="759">
        <f t="shared" si="46"/>
        <v>0</v>
      </c>
      <c r="X46" s="759">
        <f t="shared" si="46"/>
        <v>0</v>
      </c>
      <c r="Y46" s="759">
        <f t="shared" si="46"/>
        <v>0</v>
      </c>
      <c r="Z46" s="759">
        <f t="shared" si="46"/>
        <v>0</v>
      </c>
      <c r="AA46" s="759">
        <f t="shared" si="46"/>
        <v>0</v>
      </c>
      <c r="AB46" s="759">
        <f t="shared" si="46"/>
        <v>0</v>
      </c>
      <c r="AC46" s="759">
        <f t="shared" si="46"/>
        <v>0</v>
      </c>
      <c r="AD46" s="759">
        <f t="shared" si="46"/>
        <v>0</v>
      </c>
      <c r="AE46" s="759">
        <f t="shared" si="46"/>
        <v>0</v>
      </c>
      <c r="AF46" s="759">
        <f t="shared" si="46"/>
        <v>0</v>
      </c>
      <c r="AG46" s="759">
        <f t="shared" si="46"/>
        <v>0</v>
      </c>
      <c r="AH46" s="759">
        <f t="shared" si="46"/>
        <v>0</v>
      </c>
      <c r="AI46" s="759">
        <f t="shared" si="46"/>
        <v>0</v>
      </c>
      <c r="AJ46" s="759">
        <f t="shared" si="46"/>
        <v>0</v>
      </c>
      <c r="AK46" s="759">
        <f t="shared" si="46"/>
        <v>0</v>
      </c>
      <c r="AL46" s="759">
        <f t="shared" si="46"/>
        <v>0</v>
      </c>
      <c r="AM46" s="759">
        <f t="shared" si="46"/>
        <v>0</v>
      </c>
      <c r="AN46" s="759">
        <f t="shared" si="46"/>
        <v>0</v>
      </c>
      <c r="AO46" s="759">
        <f t="shared" si="46"/>
        <v>0</v>
      </c>
      <c r="AP46" s="759">
        <f t="shared" si="46"/>
        <v>0</v>
      </c>
      <c r="AQ46" s="759">
        <f t="shared" si="46"/>
        <v>0</v>
      </c>
      <c r="AR46" s="759">
        <f t="shared" si="46"/>
        <v>0</v>
      </c>
      <c r="AS46" s="759">
        <f t="shared" si="46"/>
        <v>0</v>
      </c>
      <c r="AT46" s="759">
        <f t="shared" si="46"/>
        <v>0</v>
      </c>
      <c r="AU46" s="759">
        <f t="shared" si="46"/>
        <v>0</v>
      </c>
      <c r="AV46" s="759">
        <f t="shared" si="46"/>
        <v>0</v>
      </c>
      <c r="AW46" s="759">
        <f t="shared" si="46"/>
        <v>0</v>
      </c>
      <c r="AX46" s="759">
        <f t="shared" si="46"/>
        <v>0</v>
      </c>
      <c r="AY46" s="759">
        <f t="shared" si="46"/>
        <v>0</v>
      </c>
      <c r="AZ46" s="759">
        <f t="shared" si="46"/>
        <v>0</v>
      </c>
      <c r="BA46" s="759">
        <f t="shared" si="46"/>
        <v>0</v>
      </c>
      <c r="BB46" s="759">
        <f t="shared" si="46"/>
        <v>0</v>
      </c>
      <c r="BC46" s="759">
        <f t="shared" si="46"/>
        <v>0</v>
      </c>
      <c r="BD46" s="759">
        <f t="shared" si="46"/>
        <v>750883.39602555125</v>
      </c>
      <c r="BE46" s="759">
        <f t="shared" si="46"/>
        <v>0</v>
      </c>
      <c r="BF46" s="759">
        <f t="shared" si="46"/>
        <v>0</v>
      </c>
      <c r="BG46" s="759">
        <f t="shared" si="46"/>
        <v>0</v>
      </c>
      <c r="BH46" s="759">
        <f t="shared" si="46"/>
        <v>0</v>
      </c>
      <c r="BI46" s="759">
        <f t="shared" si="46"/>
        <v>0</v>
      </c>
      <c r="BJ46" s="759">
        <f t="shared" si="46"/>
        <v>0</v>
      </c>
      <c r="BK46" s="759">
        <f t="shared" si="46"/>
        <v>0</v>
      </c>
      <c r="BL46" s="759">
        <f t="shared" si="46"/>
        <v>0</v>
      </c>
      <c r="BM46" s="759">
        <f t="shared" si="46"/>
        <v>0</v>
      </c>
      <c r="BN46" s="759">
        <f t="shared" si="46"/>
        <v>0</v>
      </c>
      <c r="BO46" s="759">
        <f t="shared" si="46"/>
        <v>0</v>
      </c>
      <c r="BP46" s="759">
        <f t="shared" si="46"/>
        <v>0</v>
      </c>
      <c r="BQ46" s="759">
        <f t="shared" si="46"/>
        <v>0</v>
      </c>
      <c r="BR46" s="759">
        <f t="shared" si="46"/>
        <v>0</v>
      </c>
      <c r="BS46" s="759">
        <f t="shared" si="46"/>
        <v>0</v>
      </c>
      <c r="BT46" s="759">
        <f t="shared" si="46"/>
        <v>0</v>
      </c>
      <c r="BU46" s="759">
        <f t="shared" ref="BU46:EF46" si="47">$E46*BU43</f>
        <v>0</v>
      </c>
      <c r="BV46" s="759">
        <f t="shared" si="47"/>
        <v>0</v>
      </c>
      <c r="BW46" s="759">
        <f t="shared" si="47"/>
        <v>0</v>
      </c>
      <c r="BX46" s="759">
        <f t="shared" si="47"/>
        <v>0</v>
      </c>
      <c r="BY46" s="759">
        <f t="shared" si="47"/>
        <v>0</v>
      </c>
      <c r="BZ46" s="759">
        <f t="shared" si="47"/>
        <v>0</v>
      </c>
      <c r="CA46" s="759">
        <f t="shared" si="47"/>
        <v>0</v>
      </c>
      <c r="CB46" s="759">
        <f t="shared" si="47"/>
        <v>0</v>
      </c>
      <c r="CC46" s="759">
        <f t="shared" si="47"/>
        <v>0</v>
      </c>
      <c r="CD46" s="759">
        <f t="shared" si="47"/>
        <v>0</v>
      </c>
      <c r="CE46" s="759">
        <f t="shared" si="47"/>
        <v>0</v>
      </c>
      <c r="CF46" s="759">
        <f t="shared" si="47"/>
        <v>0</v>
      </c>
      <c r="CG46" s="759">
        <f t="shared" si="47"/>
        <v>0</v>
      </c>
      <c r="CH46" s="759">
        <f t="shared" si="47"/>
        <v>0</v>
      </c>
      <c r="CI46" s="759">
        <f t="shared" si="47"/>
        <v>0</v>
      </c>
      <c r="CJ46" s="759">
        <f t="shared" si="47"/>
        <v>0</v>
      </c>
      <c r="CK46" s="759">
        <f t="shared" si="47"/>
        <v>0</v>
      </c>
      <c r="CL46" s="759">
        <f t="shared" si="47"/>
        <v>0</v>
      </c>
      <c r="CM46" s="759">
        <f t="shared" si="47"/>
        <v>0</v>
      </c>
      <c r="CN46" s="759">
        <f t="shared" si="47"/>
        <v>0</v>
      </c>
      <c r="CO46" s="759">
        <f t="shared" si="47"/>
        <v>0</v>
      </c>
      <c r="CP46" s="759">
        <f t="shared" si="47"/>
        <v>0</v>
      </c>
      <c r="CQ46" s="759">
        <f t="shared" si="47"/>
        <v>0</v>
      </c>
      <c r="CR46" s="759">
        <f t="shared" si="47"/>
        <v>0</v>
      </c>
      <c r="CS46" s="759">
        <f t="shared" si="47"/>
        <v>0</v>
      </c>
      <c r="CT46" s="759">
        <f t="shared" si="47"/>
        <v>0</v>
      </c>
      <c r="CU46" s="759">
        <f t="shared" si="47"/>
        <v>0</v>
      </c>
      <c r="CV46" s="759">
        <f t="shared" si="47"/>
        <v>0</v>
      </c>
      <c r="CW46" s="759">
        <f t="shared" si="47"/>
        <v>0</v>
      </c>
      <c r="CX46" s="759">
        <f t="shared" si="47"/>
        <v>0</v>
      </c>
      <c r="CY46" s="759">
        <f t="shared" si="47"/>
        <v>0</v>
      </c>
      <c r="CZ46" s="759">
        <f t="shared" si="47"/>
        <v>0</v>
      </c>
      <c r="DA46" s="759">
        <f t="shared" si="47"/>
        <v>0</v>
      </c>
      <c r="DB46" s="759">
        <f t="shared" si="47"/>
        <v>0</v>
      </c>
      <c r="DC46" s="759">
        <f t="shared" si="47"/>
        <v>0</v>
      </c>
      <c r="DD46" s="759">
        <f t="shared" si="47"/>
        <v>0</v>
      </c>
      <c r="DE46" s="759">
        <f t="shared" si="47"/>
        <v>0</v>
      </c>
      <c r="DF46" s="759">
        <f t="shared" si="47"/>
        <v>0</v>
      </c>
      <c r="DG46" s="759">
        <f t="shared" si="47"/>
        <v>0</v>
      </c>
      <c r="DH46" s="759">
        <f t="shared" si="47"/>
        <v>0</v>
      </c>
      <c r="DI46" s="759">
        <f t="shared" si="47"/>
        <v>0</v>
      </c>
      <c r="DJ46" s="759">
        <f t="shared" si="47"/>
        <v>0</v>
      </c>
      <c r="DK46" s="759">
        <f t="shared" si="47"/>
        <v>0</v>
      </c>
      <c r="DL46" s="759">
        <f t="shared" si="47"/>
        <v>0</v>
      </c>
      <c r="DM46" s="759">
        <f t="shared" si="47"/>
        <v>0</v>
      </c>
      <c r="DN46" s="759">
        <f t="shared" si="47"/>
        <v>0</v>
      </c>
      <c r="DO46" s="759">
        <f t="shared" si="47"/>
        <v>0</v>
      </c>
      <c r="DP46" s="759">
        <f t="shared" si="47"/>
        <v>0</v>
      </c>
      <c r="DQ46" s="759">
        <f t="shared" si="47"/>
        <v>0</v>
      </c>
      <c r="DR46" s="759">
        <f t="shared" si="47"/>
        <v>0</v>
      </c>
      <c r="DS46" s="759">
        <f t="shared" si="47"/>
        <v>0</v>
      </c>
      <c r="DT46" s="759">
        <f t="shared" si="47"/>
        <v>0</v>
      </c>
      <c r="DU46" s="759">
        <f t="shared" si="47"/>
        <v>0</v>
      </c>
      <c r="DV46" s="759">
        <f t="shared" si="47"/>
        <v>0</v>
      </c>
      <c r="DW46" s="759">
        <f t="shared" si="47"/>
        <v>0</v>
      </c>
      <c r="DX46" s="759">
        <f t="shared" si="47"/>
        <v>0</v>
      </c>
      <c r="DY46" s="759">
        <f t="shared" si="47"/>
        <v>0</v>
      </c>
      <c r="DZ46" s="759">
        <f t="shared" si="47"/>
        <v>0</v>
      </c>
      <c r="EA46" s="759">
        <f t="shared" si="47"/>
        <v>0</v>
      </c>
      <c r="EB46" s="759">
        <f t="shared" si="47"/>
        <v>0</v>
      </c>
      <c r="EC46" s="759">
        <f t="shared" si="47"/>
        <v>0</v>
      </c>
      <c r="ED46" s="759">
        <f t="shared" si="47"/>
        <v>0</v>
      </c>
      <c r="EE46" s="759">
        <f t="shared" si="47"/>
        <v>0</v>
      </c>
      <c r="EF46" s="759">
        <f t="shared" si="47"/>
        <v>0</v>
      </c>
      <c r="EG46" s="759">
        <f t="shared" ref="EG46:FB46" si="48">$E46*EG43</f>
        <v>0</v>
      </c>
      <c r="EH46" s="759">
        <f t="shared" si="48"/>
        <v>0</v>
      </c>
      <c r="EI46" s="759">
        <f t="shared" si="48"/>
        <v>0</v>
      </c>
      <c r="EJ46" s="759">
        <f t="shared" si="48"/>
        <v>0</v>
      </c>
      <c r="EK46" s="759">
        <f t="shared" si="48"/>
        <v>0</v>
      </c>
      <c r="EL46" s="759">
        <f t="shared" si="48"/>
        <v>0</v>
      </c>
      <c r="EM46" s="759">
        <f t="shared" si="48"/>
        <v>0</v>
      </c>
      <c r="EN46" s="759">
        <f t="shared" si="48"/>
        <v>0</v>
      </c>
      <c r="EO46" s="759">
        <f t="shared" si="48"/>
        <v>0</v>
      </c>
      <c r="EP46" s="759">
        <f t="shared" si="48"/>
        <v>0</v>
      </c>
      <c r="EQ46" s="759">
        <f t="shared" si="48"/>
        <v>0</v>
      </c>
      <c r="ER46" s="759">
        <f t="shared" si="48"/>
        <v>0</v>
      </c>
      <c r="ES46" s="759">
        <f t="shared" si="48"/>
        <v>0</v>
      </c>
      <c r="ET46" s="759">
        <f t="shared" si="48"/>
        <v>0</v>
      </c>
      <c r="EU46" s="759">
        <f t="shared" si="48"/>
        <v>0</v>
      </c>
      <c r="EV46" s="759">
        <f t="shared" si="48"/>
        <v>0</v>
      </c>
      <c r="EW46" s="759">
        <f t="shared" si="48"/>
        <v>0</v>
      </c>
      <c r="EX46" s="759">
        <f t="shared" si="48"/>
        <v>0</v>
      </c>
      <c r="EY46" s="759">
        <f t="shared" si="48"/>
        <v>0</v>
      </c>
      <c r="EZ46" s="759">
        <f t="shared" si="48"/>
        <v>0</v>
      </c>
      <c r="FA46" s="759">
        <f t="shared" si="48"/>
        <v>0</v>
      </c>
      <c r="FB46" s="759">
        <f t="shared" si="48"/>
        <v>0</v>
      </c>
      <c r="FC46" s="692"/>
      <c r="FD46" s="758">
        <f>SUM(I46:FB46)</f>
        <v>750883.39602555125</v>
      </c>
      <c r="FE46" s="692"/>
    </row>
    <row r="47" spans="2:161" s="692" customFormat="1">
      <c r="B47" s="692" t="s">
        <v>381</v>
      </c>
      <c r="E47" s="703"/>
      <c r="G47" s="728"/>
      <c r="I47" s="745">
        <f t="shared" ref="I47:BT47" si="49">I37-I43</f>
        <v>0</v>
      </c>
      <c r="J47" s="745">
        <f t="shared" si="49"/>
        <v>0</v>
      </c>
      <c r="K47" s="745">
        <f t="shared" si="49"/>
        <v>0</v>
      </c>
      <c r="L47" s="745">
        <f t="shared" si="49"/>
        <v>0</v>
      </c>
      <c r="M47" s="745">
        <f t="shared" si="49"/>
        <v>0</v>
      </c>
      <c r="N47" s="745">
        <f t="shared" si="49"/>
        <v>0</v>
      </c>
      <c r="O47" s="745">
        <f t="shared" si="49"/>
        <v>0</v>
      </c>
      <c r="P47" s="745">
        <f t="shared" si="49"/>
        <v>0</v>
      </c>
      <c r="Q47" s="745">
        <f t="shared" si="49"/>
        <v>0</v>
      </c>
      <c r="R47" s="745">
        <f t="shared" si="49"/>
        <v>0</v>
      </c>
      <c r="S47" s="745">
        <f t="shared" si="49"/>
        <v>0</v>
      </c>
      <c r="T47" s="745">
        <f t="shared" si="49"/>
        <v>0</v>
      </c>
      <c r="U47" s="745">
        <f t="shared" si="49"/>
        <v>0</v>
      </c>
      <c r="V47" s="745">
        <f t="shared" si="49"/>
        <v>0</v>
      </c>
      <c r="W47" s="745">
        <f t="shared" si="49"/>
        <v>0</v>
      </c>
      <c r="X47" s="745">
        <f t="shared" si="49"/>
        <v>0</v>
      </c>
      <c r="Y47" s="745">
        <f t="shared" si="49"/>
        <v>0</v>
      </c>
      <c r="Z47" s="745">
        <f t="shared" si="49"/>
        <v>0</v>
      </c>
      <c r="AA47" s="745">
        <f t="shared" si="49"/>
        <v>0</v>
      </c>
      <c r="AB47" s="745">
        <f t="shared" si="49"/>
        <v>0</v>
      </c>
      <c r="AC47" s="745">
        <f t="shared" si="49"/>
        <v>0</v>
      </c>
      <c r="AD47" s="745">
        <f t="shared" si="49"/>
        <v>0</v>
      </c>
      <c r="AE47" s="745">
        <f t="shared" si="49"/>
        <v>0</v>
      </c>
      <c r="AF47" s="745">
        <f t="shared" si="49"/>
        <v>0</v>
      </c>
      <c r="AG47" s="745">
        <f t="shared" si="49"/>
        <v>0</v>
      </c>
      <c r="AH47" s="745">
        <f t="shared" si="49"/>
        <v>0</v>
      </c>
      <c r="AI47" s="745">
        <f t="shared" si="49"/>
        <v>0</v>
      </c>
      <c r="AJ47" s="745">
        <f t="shared" si="49"/>
        <v>0</v>
      </c>
      <c r="AK47" s="745">
        <f t="shared" si="49"/>
        <v>0</v>
      </c>
      <c r="AL47" s="745">
        <f t="shared" si="49"/>
        <v>0</v>
      </c>
      <c r="AM47" s="745">
        <f t="shared" si="49"/>
        <v>0</v>
      </c>
      <c r="AN47" s="745">
        <f t="shared" si="49"/>
        <v>0</v>
      </c>
      <c r="AO47" s="745">
        <f t="shared" si="49"/>
        <v>0</v>
      </c>
      <c r="AP47" s="745">
        <f t="shared" si="49"/>
        <v>0</v>
      </c>
      <c r="AQ47" s="745">
        <f t="shared" si="49"/>
        <v>0</v>
      </c>
      <c r="AR47" s="745">
        <f t="shared" si="49"/>
        <v>0</v>
      </c>
      <c r="AS47" s="745">
        <f t="shared" si="49"/>
        <v>0</v>
      </c>
      <c r="AT47" s="745">
        <f t="shared" si="49"/>
        <v>0</v>
      </c>
      <c r="AU47" s="745">
        <f t="shared" si="49"/>
        <v>0</v>
      </c>
      <c r="AV47" s="745">
        <f t="shared" si="49"/>
        <v>0</v>
      </c>
      <c r="AW47" s="745">
        <f t="shared" si="49"/>
        <v>0</v>
      </c>
      <c r="AX47" s="745">
        <f t="shared" si="49"/>
        <v>0</v>
      </c>
      <c r="AY47" s="745">
        <f t="shared" si="49"/>
        <v>0</v>
      </c>
      <c r="AZ47" s="745">
        <f t="shared" si="49"/>
        <v>0</v>
      </c>
      <c r="BA47" s="745">
        <f t="shared" si="49"/>
        <v>0</v>
      </c>
      <c r="BB47" s="745">
        <f t="shared" si="49"/>
        <v>0</v>
      </c>
      <c r="BC47" s="745">
        <f t="shared" si="49"/>
        <v>0</v>
      </c>
      <c r="BD47" s="745">
        <f t="shared" si="49"/>
        <v>15183645.539029051</v>
      </c>
      <c r="BE47" s="745">
        <f t="shared" si="49"/>
        <v>0</v>
      </c>
      <c r="BF47" s="745">
        <f t="shared" si="49"/>
        <v>0</v>
      </c>
      <c r="BG47" s="745">
        <f t="shared" si="49"/>
        <v>0</v>
      </c>
      <c r="BH47" s="745">
        <f t="shared" si="49"/>
        <v>0</v>
      </c>
      <c r="BI47" s="745">
        <f t="shared" si="49"/>
        <v>0</v>
      </c>
      <c r="BJ47" s="745">
        <f t="shared" si="49"/>
        <v>0</v>
      </c>
      <c r="BK47" s="745">
        <f t="shared" si="49"/>
        <v>0</v>
      </c>
      <c r="BL47" s="745">
        <f t="shared" si="49"/>
        <v>0</v>
      </c>
      <c r="BM47" s="745">
        <f t="shared" si="49"/>
        <v>0</v>
      </c>
      <c r="BN47" s="745">
        <f t="shared" si="49"/>
        <v>0</v>
      </c>
      <c r="BO47" s="745">
        <f t="shared" si="49"/>
        <v>0</v>
      </c>
      <c r="BP47" s="745">
        <f t="shared" si="49"/>
        <v>0</v>
      </c>
      <c r="BQ47" s="745">
        <f t="shared" si="49"/>
        <v>0</v>
      </c>
      <c r="BR47" s="745">
        <f t="shared" si="49"/>
        <v>0</v>
      </c>
      <c r="BS47" s="745">
        <f t="shared" si="49"/>
        <v>0</v>
      </c>
      <c r="BT47" s="745">
        <f t="shared" si="49"/>
        <v>0</v>
      </c>
      <c r="BU47" s="745">
        <f t="shared" ref="BU47:EF47" si="50">BU37-BU43</f>
        <v>0</v>
      </c>
      <c r="BV47" s="745">
        <f t="shared" si="50"/>
        <v>0</v>
      </c>
      <c r="BW47" s="745">
        <f t="shared" si="50"/>
        <v>0</v>
      </c>
      <c r="BX47" s="745">
        <f t="shared" si="50"/>
        <v>0</v>
      </c>
      <c r="BY47" s="745">
        <f t="shared" si="50"/>
        <v>0</v>
      </c>
      <c r="BZ47" s="745">
        <f t="shared" si="50"/>
        <v>0</v>
      </c>
      <c r="CA47" s="745">
        <f t="shared" si="50"/>
        <v>0</v>
      </c>
      <c r="CB47" s="745">
        <f t="shared" si="50"/>
        <v>0</v>
      </c>
      <c r="CC47" s="745">
        <f t="shared" si="50"/>
        <v>0</v>
      </c>
      <c r="CD47" s="745">
        <f t="shared" si="50"/>
        <v>0</v>
      </c>
      <c r="CE47" s="745">
        <f t="shared" si="50"/>
        <v>0</v>
      </c>
      <c r="CF47" s="745">
        <f t="shared" si="50"/>
        <v>0</v>
      </c>
      <c r="CG47" s="745">
        <f t="shared" si="50"/>
        <v>0</v>
      </c>
      <c r="CH47" s="745">
        <f t="shared" si="50"/>
        <v>0</v>
      </c>
      <c r="CI47" s="745">
        <f t="shared" si="50"/>
        <v>0</v>
      </c>
      <c r="CJ47" s="745">
        <f t="shared" si="50"/>
        <v>0</v>
      </c>
      <c r="CK47" s="745">
        <f t="shared" si="50"/>
        <v>0</v>
      </c>
      <c r="CL47" s="745">
        <f t="shared" si="50"/>
        <v>0</v>
      </c>
      <c r="CM47" s="745">
        <f t="shared" si="50"/>
        <v>0</v>
      </c>
      <c r="CN47" s="745">
        <f t="shared" si="50"/>
        <v>0</v>
      </c>
      <c r="CO47" s="745">
        <f t="shared" si="50"/>
        <v>0</v>
      </c>
      <c r="CP47" s="745">
        <f t="shared" si="50"/>
        <v>0</v>
      </c>
      <c r="CQ47" s="745">
        <f t="shared" si="50"/>
        <v>0</v>
      </c>
      <c r="CR47" s="745">
        <f t="shared" si="50"/>
        <v>0</v>
      </c>
      <c r="CS47" s="745">
        <f t="shared" si="50"/>
        <v>0</v>
      </c>
      <c r="CT47" s="745">
        <f t="shared" si="50"/>
        <v>0</v>
      </c>
      <c r="CU47" s="745">
        <f t="shared" si="50"/>
        <v>0</v>
      </c>
      <c r="CV47" s="745">
        <f t="shared" si="50"/>
        <v>0</v>
      </c>
      <c r="CW47" s="745">
        <f t="shared" si="50"/>
        <v>0</v>
      </c>
      <c r="CX47" s="745">
        <f t="shared" si="50"/>
        <v>0</v>
      </c>
      <c r="CY47" s="745">
        <f t="shared" si="50"/>
        <v>0</v>
      </c>
      <c r="CZ47" s="745">
        <f t="shared" si="50"/>
        <v>0</v>
      </c>
      <c r="DA47" s="745">
        <f t="shared" si="50"/>
        <v>0</v>
      </c>
      <c r="DB47" s="745">
        <f t="shared" si="50"/>
        <v>0</v>
      </c>
      <c r="DC47" s="745">
        <f t="shared" si="50"/>
        <v>0</v>
      </c>
      <c r="DD47" s="745">
        <f t="shared" si="50"/>
        <v>0</v>
      </c>
      <c r="DE47" s="745">
        <f t="shared" si="50"/>
        <v>0</v>
      </c>
      <c r="DF47" s="745">
        <f t="shared" si="50"/>
        <v>0</v>
      </c>
      <c r="DG47" s="745">
        <f t="shared" si="50"/>
        <v>0</v>
      </c>
      <c r="DH47" s="745">
        <f t="shared" si="50"/>
        <v>0</v>
      </c>
      <c r="DI47" s="745">
        <f t="shared" si="50"/>
        <v>0</v>
      </c>
      <c r="DJ47" s="745">
        <f t="shared" si="50"/>
        <v>0</v>
      </c>
      <c r="DK47" s="745">
        <f t="shared" si="50"/>
        <v>0</v>
      </c>
      <c r="DL47" s="745">
        <f t="shared" si="50"/>
        <v>0</v>
      </c>
      <c r="DM47" s="745">
        <f t="shared" si="50"/>
        <v>0</v>
      </c>
      <c r="DN47" s="745">
        <f t="shared" si="50"/>
        <v>0</v>
      </c>
      <c r="DO47" s="745">
        <f t="shared" si="50"/>
        <v>0</v>
      </c>
      <c r="DP47" s="745">
        <f t="shared" si="50"/>
        <v>0</v>
      </c>
      <c r="DQ47" s="745">
        <f t="shared" si="50"/>
        <v>0</v>
      </c>
      <c r="DR47" s="745">
        <f t="shared" si="50"/>
        <v>0</v>
      </c>
      <c r="DS47" s="745">
        <f t="shared" si="50"/>
        <v>0</v>
      </c>
      <c r="DT47" s="745">
        <f t="shared" si="50"/>
        <v>0</v>
      </c>
      <c r="DU47" s="745">
        <f t="shared" si="50"/>
        <v>0</v>
      </c>
      <c r="DV47" s="745">
        <f t="shared" si="50"/>
        <v>0</v>
      </c>
      <c r="DW47" s="745">
        <f t="shared" si="50"/>
        <v>0</v>
      </c>
      <c r="DX47" s="745">
        <f t="shared" si="50"/>
        <v>0</v>
      </c>
      <c r="DY47" s="745">
        <f t="shared" si="50"/>
        <v>0</v>
      </c>
      <c r="DZ47" s="745">
        <f t="shared" si="50"/>
        <v>0</v>
      </c>
      <c r="EA47" s="745">
        <f t="shared" si="50"/>
        <v>0</v>
      </c>
      <c r="EB47" s="745">
        <f t="shared" si="50"/>
        <v>0</v>
      </c>
      <c r="EC47" s="745">
        <f t="shared" si="50"/>
        <v>0</v>
      </c>
      <c r="ED47" s="745">
        <f t="shared" si="50"/>
        <v>0</v>
      </c>
      <c r="EE47" s="745">
        <f t="shared" si="50"/>
        <v>0</v>
      </c>
      <c r="EF47" s="745">
        <f t="shared" si="50"/>
        <v>0</v>
      </c>
      <c r="EG47" s="745">
        <f t="shared" ref="EG47:FB47" si="51">EG37-EG43</f>
        <v>0</v>
      </c>
      <c r="EH47" s="745">
        <f t="shared" si="51"/>
        <v>0</v>
      </c>
      <c r="EI47" s="745">
        <f t="shared" si="51"/>
        <v>0</v>
      </c>
      <c r="EJ47" s="745">
        <f t="shared" si="51"/>
        <v>0</v>
      </c>
      <c r="EK47" s="745">
        <f t="shared" si="51"/>
        <v>0</v>
      </c>
      <c r="EL47" s="745">
        <f t="shared" si="51"/>
        <v>0</v>
      </c>
      <c r="EM47" s="745">
        <f t="shared" si="51"/>
        <v>0</v>
      </c>
      <c r="EN47" s="745">
        <f t="shared" si="51"/>
        <v>0</v>
      </c>
      <c r="EO47" s="745">
        <f t="shared" si="51"/>
        <v>0</v>
      </c>
      <c r="EP47" s="745">
        <f t="shared" si="51"/>
        <v>0</v>
      </c>
      <c r="EQ47" s="745">
        <f t="shared" si="51"/>
        <v>0</v>
      </c>
      <c r="ER47" s="745">
        <f t="shared" si="51"/>
        <v>0</v>
      </c>
      <c r="ES47" s="745">
        <f t="shared" si="51"/>
        <v>0</v>
      </c>
      <c r="ET47" s="745">
        <f t="shared" si="51"/>
        <v>0</v>
      </c>
      <c r="EU47" s="745">
        <f t="shared" si="51"/>
        <v>0</v>
      </c>
      <c r="EV47" s="745">
        <f t="shared" si="51"/>
        <v>0</v>
      </c>
      <c r="EW47" s="745">
        <f t="shared" si="51"/>
        <v>0</v>
      </c>
      <c r="EX47" s="745">
        <f t="shared" si="51"/>
        <v>0</v>
      </c>
      <c r="EY47" s="745">
        <f t="shared" si="51"/>
        <v>0</v>
      </c>
      <c r="EZ47" s="745">
        <f t="shared" si="51"/>
        <v>0</v>
      </c>
      <c r="FA47" s="745">
        <f t="shared" si="51"/>
        <v>0</v>
      </c>
      <c r="FB47" s="745">
        <f t="shared" si="51"/>
        <v>0</v>
      </c>
      <c r="FD47" s="728"/>
    </row>
    <row r="48" spans="2:161" s="742" customFormat="1" ht="6" customHeight="1">
      <c r="B48" s="763"/>
      <c r="C48" s="692"/>
      <c r="D48" s="692"/>
      <c r="E48" s="696"/>
      <c r="G48" s="743"/>
      <c r="I48" s="760"/>
      <c r="J48" s="760"/>
      <c r="K48" s="760"/>
      <c r="L48" s="760"/>
      <c r="M48" s="760"/>
      <c r="N48" s="760"/>
      <c r="O48" s="760"/>
      <c r="P48" s="760"/>
      <c r="Q48" s="760"/>
      <c r="R48" s="760"/>
      <c r="S48" s="760"/>
      <c r="T48" s="760"/>
      <c r="U48" s="760"/>
      <c r="V48" s="760"/>
      <c r="W48" s="760"/>
      <c r="X48" s="760"/>
      <c r="Y48" s="760"/>
      <c r="Z48" s="760"/>
      <c r="AA48" s="760"/>
      <c r="AB48" s="760"/>
      <c r="AC48" s="760"/>
      <c r="AD48" s="760"/>
      <c r="AE48" s="760"/>
      <c r="AF48" s="760"/>
      <c r="AG48" s="760"/>
      <c r="AH48" s="760"/>
      <c r="AI48" s="760"/>
      <c r="AJ48" s="760"/>
      <c r="AK48" s="760"/>
      <c r="AL48" s="760"/>
      <c r="AM48" s="760"/>
      <c r="AN48" s="760"/>
      <c r="AO48" s="760"/>
      <c r="AP48" s="760"/>
      <c r="AQ48" s="760"/>
      <c r="AR48" s="760"/>
      <c r="AS48" s="760"/>
      <c r="AT48" s="760"/>
      <c r="AU48" s="760"/>
      <c r="AV48" s="760"/>
      <c r="AW48" s="760"/>
      <c r="AX48" s="760"/>
      <c r="AY48" s="760"/>
      <c r="AZ48" s="760"/>
      <c r="BA48" s="760"/>
      <c r="BB48" s="760"/>
      <c r="BC48" s="760"/>
      <c r="BD48" s="760"/>
      <c r="BE48" s="760"/>
      <c r="BF48" s="760"/>
      <c r="BG48" s="760"/>
      <c r="BH48" s="760"/>
      <c r="BI48" s="760"/>
      <c r="BJ48" s="760"/>
      <c r="BK48" s="760"/>
      <c r="BL48" s="760"/>
      <c r="BM48" s="760"/>
      <c r="BN48" s="760"/>
      <c r="BO48" s="760"/>
      <c r="BP48" s="760"/>
      <c r="BQ48" s="760"/>
      <c r="BR48" s="760"/>
      <c r="BS48" s="760"/>
      <c r="BT48" s="760"/>
      <c r="BU48" s="760"/>
      <c r="BV48" s="760"/>
      <c r="BW48" s="760"/>
      <c r="BX48" s="760"/>
      <c r="BY48" s="760"/>
      <c r="BZ48" s="760"/>
      <c r="CA48" s="760"/>
      <c r="CB48" s="760"/>
      <c r="CC48" s="760"/>
      <c r="CD48" s="760"/>
      <c r="CE48" s="760"/>
      <c r="CF48" s="760"/>
      <c r="CG48" s="760"/>
      <c r="CH48" s="760"/>
      <c r="CI48" s="760"/>
      <c r="CJ48" s="760"/>
      <c r="CK48" s="760"/>
      <c r="CL48" s="760"/>
      <c r="CM48" s="760"/>
      <c r="CN48" s="760"/>
      <c r="CO48" s="760"/>
      <c r="CP48" s="760"/>
      <c r="CQ48" s="760"/>
      <c r="CR48" s="760"/>
      <c r="CS48" s="760"/>
      <c r="CT48" s="760"/>
      <c r="CU48" s="760"/>
      <c r="CV48" s="760"/>
      <c r="CW48" s="760"/>
      <c r="CX48" s="760"/>
      <c r="CY48" s="760"/>
      <c r="CZ48" s="760"/>
      <c r="DA48" s="760"/>
      <c r="DB48" s="760"/>
      <c r="DC48" s="760"/>
      <c r="DD48" s="760"/>
      <c r="DE48" s="760"/>
      <c r="DF48" s="760"/>
      <c r="DG48" s="760"/>
      <c r="DH48" s="760"/>
      <c r="DI48" s="760"/>
      <c r="DJ48" s="760"/>
      <c r="DK48" s="760"/>
      <c r="DL48" s="760"/>
      <c r="DM48" s="760"/>
      <c r="DN48" s="760"/>
      <c r="DO48" s="760"/>
      <c r="DP48" s="760"/>
      <c r="DQ48" s="760"/>
      <c r="DR48" s="760"/>
      <c r="DS48" s="760"/>
      <c r="DT48" s="760"/>
      <c r="DU48" s="760"/>
      <c r="DV48" s="760"/>
      <c r="DW48" s="760"/>
      <c r="DX48" s="760"/>
      <c r="DY48" s="760"/>
      <c r="DZ48" s="760"/>
      <c r="EA48" s="760"/>
      <c r="EB48" s="760"/>
      <c r="EC48" s="760"/>
      <c r="ED48" s="760"/>
      <c r="EE48" s="760"/>
      <c r="EF48" s="760"/>
      <c r="EG48" s="760"/>
      <c r="EH48" s="760"/>
      <c r="EI48" s="760"/>
      <c r="EJ48" s="760"/>
      <c r="EK48" s="760"/>
      <c r="EL48" s="760"/>
      <c r="EM48" s="760"/>
      <c r="EN48" s="760"/>
      <c r="EO48" s="760"/>
      <c r="EP48" s="760"/>
      <c r="EQ48" s="760"/>
      <c r="ER48" s="760"/>
      <c r="ES48" s="760"/>
      <c r="ET48" s="760"/>
      <c r="EU48" s="760"/>
      <c r="EV48" s="760"/>
      <c r="EW48" s="760"/>
      <c r="EX48" s="760"/>
      <c r="EY48" s="760"/>
      <c r="EZ48" s="760"/>
      <c r="FA48" s="760"/>
      <c r="FB48" s="760"/>
      <c r="FC48" s="692"/>
      <c r="FD48" s="743"/>
      <c r="FE48" s="692"/>
    </row>
    <row r="49" spans="2:161" s="742" customFormat="1">
      <c r="B49" s="693" t="str">
        <f>"Tier III -- LP IRR between "&amp;TEXT($C$13,"#0%")&amp;" and "&amp;TEXT($C$14,"#0%")</f>
        <v>Tier III -- LP IRR between 11% and 17%</v>
      </c>
      <c r="C49" s="692"/>
      <c r="D49" s="692"/>
      <c r="E49" s="696"/>
      <c r="G49" s="743"/>
      <c r="I49" s="760"/>
      <c r="J49" s="760"/>
      <c r="K49" s="760"/>
      <c r="L49" s="760"/>
      <c r="M49" s="760"/>
      <c r="N49" s="760"/>
      <c r="O49" s="760"/>
      <c r="P49" s="760"/>
      <c r="Q49" s="760"/>
      <c r="R49" s="760"/>
      <c r="S49" s="760"/>
      <c r="T49" s="760"/>
      <c r="U49" s="760"/>
      <c r="V49" s="760"/>
      <c r="W49" s="760"/>
      <c r="X49" s="760"/>
      <c r="Y49" s="760"/>
      <c r="Z49" s="760"/>
      <c r="AA49" s="760"/>
      <c r="AB49" s="760"/>
      <c r="AC49" s="760"/>
      <c r="AD49" s="760"/>
      <c r="AE49" s="760"/>
      <c r="AF49" s="760"/>
      <c r="AG49" s="760"/>
      <c r="AH49" s="760"/>
      <c r="AI49" s="760"/>
      <c r="AJ49" s="760"/>
      <c r="AK49" s="760"/>
      <c r="AL49" s="760"/>
      <c r="AM49" s="760"/>
      <c r="AN49" s="760"/>
      <c r="AO49" s="760"/>
      <c r="AP49" s="760"/>
      <c r="AQ49" s="760"/>
      <c r="AR49" s="760"/>
      <c r="AS49" s="760"/>
      <c r="AT49" s="760"/>
      <c r="AU49" s="760"/>
      <c r="AV49" s="760"/>
      <c r="AW49" s="760"/>
      <c r="AX49" s="760"/>
      <c r="AY49" s="760"/>
      <c r="AZ49" s="760"/>
      <c r="BA49" s="760"/>
      <c r="BB49" s="760"/>
      <c r="BC49" s="760"/>
      <c r="BD49" s="760"/>
      <c r="BE49" s="760"/>
      <c r="BF49" s="760"/>
      <c r="BG49" s="760"/>
      <c r="BH49" s="760"/>
      <c r="BI49" s="760"/>
      <c r="BJ49" s="760"/>
      <c r="BK49" s="760"/>
      <c r="BL49" s="760"/>
      <c r="BM49" s="760"/>
      <c r="BN49" s="760"/>
      <c r="BO49" s="760"/>
      <c r="BP49" s="760"/>
      <c r="BQ49" s="760"/>
      <c r="BR49" s="760"/>
      <c r="BS49" s="760"/>
      <c r="BT49" s="760"/>
      <c r="BU49" s="760"/>
      <c r="BV49" s="760"/>
      <c r="BW49" s="760"/>
      <c r="BX49" s="760"/>
      <c r="BY49" s="760"/>
      <c r="BZ49" s="760"/>
      <c r="CA49" s="760"/>
      <c r="CB49" s="760"/>
      <c r="CC49" s="760"/>
      <c r="CD49" s="760"/>
      <c r="CE49" s="760"/>
      <c r="CF49" s="760"/>
      <c r="CG49" s="760"/>
      <c r="CH49" s="760"/>
      <c r="CI49" s="760"/>
      <c r="CJ49" s="760"/>
      <c r="CK49" s="760"/>
      <c r="CL49" s="760"/>
      <c r="CM49" s="760"/>
      <c r="CN49" s="760"/>
      <c r="CO49" s="760"/>
      <c r="CP49" s="760"/>
      <c r="CQ49" s="760"/>
      <c r="CR49" s="760"/>
      <c r="CS49" s="760"/>
      <c r="CT49" s="760"/>
      <c r="CU49" s="760"/>
      <c r="CV49" s="760"/>
      <c r="CW49" s="760"/>
      <c r="CX49" s="760"/>
      <c r="CY49" s="760"/>
      <c r="CZ49" s="760"/>
      <c r="DA49" s="760"/>
      <c r="DB49" s="760"/>
      <c r="DC49" s="760"/>
      <c r="DD49" s="760"/>
      <c r="DE49" s="760"/>
      <c r="DF49" s="760"/>
      <c r="DG49" s="760"/>
      <c r="DH49" s="760"/>
      <c r="DI49" s="760"/>
      <c r="DJ49" s="760"/>
      <c r="DK49" s="760"/>
      <c r="DL49" s="760"/>
      <c r="DM49" s="760"/>
      <c r="DN49" s="760"/>
      <c r="DO49" s="760"/>
      <c r="DP49" s="760"/>
      <c r="DQ49" s="760"/>
      <c r="DR49" s="760"/>
      <c r="DS49" s="760"/>
      <c r="DT49" s="760"/>
      <c r="DU49" s="760"/>
      <c r="DV49" s="760"/>
      <c r="DW49" s="760"/>
      <c r="DX49" s="760"/>
      <c r="DY49" s="760"/>
      <c r="DZ49" s="760"/>
      <c r="EA49" s="760"/>
      <c r="EB49" s="760"/>
      <c r="EC49" s="760"/>
      <c r="ED49" s="760"/>
      <c r="EE49" s="760"/>
      <c r="EF49" s="760"/>
      <c r="EG49" s="760"/>
      <c r="EH49" s="760"/>
      <c r="EI49" s="760"/>
      <c r="EJ49" s="760"/>
      <c r="EK49" s="760"/>
      <c r="EL49" s="760"/>
      <c r="EM49" s="760"/>
      <c r="EN49" s="760"/>
      <c r="EO49" s="760"/>
      <c r="EP49" s="760"/>
      <c r="EQ49" s="760"/>
      <c r="ER49" s="760"/>
      <c r="ES49" s="760"/>
      <c r="ET49" s="760"/>
      <c r="EU49" s="760"/>
      <c r="EV49" s="760"/>
      <c r="EW49" s="760"/>
      <c r="EX49" s="760"/>
      <c r="EY49" s="760"/>
      <c r="EZ49" s="760"/>
      <c r="FA49" s="760"/>
      <c r="FB49" s="760"/>
      <c r="FC49" s="692"/>
      <c r="FD49" s="743"/>
      <c r="FE49" s="692"/>
    </row>
    <row r="50" spans="2:161" s="692" customFormat="1" hidden="1">
      <c r="B50" s="739" t="str">
        <f>"Amount Needed to Achieve "&amp;TEXT($C14,"#0%")&amp;" LP IRR"</f>
        <v>Amount Needed to Achieve 17% LP IRR</v>
      </c>
      <c r="E50" s="703"/>
      <c r="G50" s="740"/>
      <c r="J50" s="741">
        <f>IF(XNPV($C14,$I$68:I$68,$I$17:I$17)&gt;=0,0,FV($C14,(J$17-$I$17)/365,0,(XNPV($C14,$I$68:I$68,$I$17:I$17))))</f>
        <v>13048092.601957349</v>
      </c>
      <c r="K50" s="741">
        <f>IF(XNPV($C14,$I$68:J$68,$I$17:J$17)&gt;=0,0,FV($C14,(K$17-$I$17)/365,0,(XNPV($C14,$I$68:J$68,$I$17:J$17))))</f>
        <v>13187102.105385097</v>
      </c>
      <c r="L50" s="741">
        <f>IF(XNPV($C14,$I$68:K$68,$I$17:K$17)&gt;=0,0,FV($C14,(L$17-$I$17)/365,0,(XNPV($C14,$I$68:K$68,$I$17:K$17))))</f>
        <v>13327836.001065822</v>
      </c>
      <c r="M50" s="741">
        <f>IF(XNPV($C14,$I$68:L$68,$I$17:L$17)&gt;=0,0,FV($C14,(M$17-$I$17)/365,0,(XNPV($C14,$I$68:L$68,$I$17:L$17))))</f>
        <v>13464941.145079451</v>
      </c>
      <c r="N50" s="741">
        <f>IF(XNPV($C14,$I$68:M$68,$I$17:M$17)&gt;=0,0,FV($C14,(N$17-$I$17)/365,0,(XNPV($C14,$I$68:M$68,$I$17:M$17))))</f>
        <v>13615304.537719848</v>
      </c>
      <c r="O50" s="741">
        <f>IF(XNPV($C14,$I$68:N$68,$I$17:N$17)&gt;=0,0,FV($C14,(O$17-$I$17)/365,0,(XNPV($C14,$I$68:N$68,$I$17:N$17))))</f>
        <v>13755883.12624193</v>
      </c>
      <c r="P50" s="741">
        <f>IF(XNPV($C14,$I$68:O$68,$I$17:O$17)&gt;=0,0,FV($C14,(P$17-$I$17)/365,0,(XNPV($C14,$I$68:O$68,$I$17:O$17))))</f>
        <v>13909900.443001634</v>
      </c>
      <c r="Q50" s="741">
        <f>IF(XNPV($C14,$I$68:P$68,$I$17:P$17)&gt;=0,0,FV($C14,(Q$17-$I$17)/365,0,(XNPV($C14,$I$68:P$68,$I$17:P$17))))</f>
        <v>14053985.056967784</v>
      </c>
      <c r="R50" s="741">
        <f>IF(XNPV($C14,$I$68:Q$68,$I$17:Q$17)&gt;=0,0,FV($C14,(R$17-$I$17)/365,0,(XNPV($C14,$I$68:Q$68,$I$17:Q$17))))</f>
        <v>14176594.605752327</v>
      </c>
      <c r="S50" s="741">
        <f>IF(XNPV($C14,$I$68:R$68,$I$17:R$17)&gt;=0,0,FV($C14,(S$17-$I$17)/365,0,(XNPV($C14,$I$68:R$68,$I$17:R$17))))</f>
        <v>14336475.66948612</v>
      </c>
      <c r="T50" s="741">
        <f>IF(XNPV($C14,$I$68:S$68,$I$17:S$17)&gt;=0,0,FV($C14,(T$17-$I$17)/365,0,(XNPV($C14,$I$68:S$68,$I$17:S$17))))</f>
        <v>14486539.786370853</v>
      </c>
      <c r="U50" s="741">
        <f>IF(XNPV($C14,$I$68:T$68,$I$17:T$17)&gt;=0,0,FV($C14,(U$17-$I$17)/365,0,(XNPV($C14,$I$68:T$68,$I$17:T$17))))</f>
        <v>14650612.887180323</v>
      </c>
      <c r="V50" s="741">
        <f>IF(XNPV($C14,$I$68:U$68,$I$17:U$17)&gt;=0,0,FV($C14,(V$17-$I$17)/365,0,(XNPV($C14,$I$68:U$68,$I$17:U$17))))</f>
        <v>14790124.423771406</v>
      </c>
      <c r="W50" s="741">
        <f>IF(XNPV($C14,$I$68:V$68,$I$17:V$17)&gt;=0,0,FV($C14,(W$17-$I$17)/365,0,(XNPV($C14,$I$68:V$68,$I$17:V$17))))</f>
        <v>14947009.162438162</v>
      </c>
      <c r="X50" s="741">
        <f>IF(XNPV($C14,$I$68:W$68,$I$17:W$17)&gt;=0,0,FV($C14,(X$17-$I$17)/365,0,(XNPV($C14,$I$68:W$68,$I$17:W$17))))</f>
        <v>15109151.367023585</v>
      </c>
      <c r="Y50" s="741">
        <f>IF(XNPV($C14,$I$68:X$68,$I$17:X$17)&gt;=0,0,FV($C14,(Y$17-$I$17)/365,0,(XNPV($C14,$I$68:X$68,$I$17:X$17))))</f>
        <v>15260305.209115786</v>
      </c>
      <c r="Z50" s="741">
        <f>IF(XNPV($C14,$I$68:Y$68,$I$17:Y$17)&gt;=0,0,FV($C14,(Z$17-$I$17)/365,0,(XNPV($C14,$I$68:Y$68,$I$17:Y$17))))</f>
        <v>15418315.600718947</v>
      </c>
      <c r="AA50" s="741">
        <f>IF(XNPV($C14,$I$68:Z$68,$I$17:Z$17)&gt;=0,0,FV($C14,(AA$17-$I$17)/365,0,(XNPV($C14,$I$68:Z$68,$I$17:Z$17))))</f>
        <v>15565008.330014685</v>
      </c>
      <c r="AB50" s="741">
        <f>IF(XNPV($C14,$I$68:AA$68,$I$17:AA$17)&gt;=0,0,FV($C14,(AB$17-$I$17)/365,0,(XNPV($C14,$I$68:AA$68,$I$17:AA$17))))</f>
        <v>15725097.835863858</v>
      </c>
      <c r="AC50" s="741">
        <f>IF(XNPV($C14,$I$68:AB$68,$I$17:AB$17)&gt;=0,0,FV($C14,(AC$17-$I$17)/365,0,(XNPV($C14,$I$68:AB$68,$I$17:AB$17))))</f>
        <v>15873073.442336537</v>
      </c>
      <c r="AD50" s="741">
        <f>IF(XNPV($C14,$I$68:AC$68,$I$17:AC$17)&gt;=0,0,FV($C14,(AD$17-$I$17)/365,0,(XNPV($C14,$I$68:AC$68,$I$17:AC$17))))</f>
        <v>15996794.848404886</v>
      </c>
      <c r="AE50" s="741">
        <f>IF(XNPV($C14,$I$68:AD$68,$I$17:AD$17)&gt;=0,0,FV($C14,(AE$17-$I$17)/365,0,(XNPV($C14,$I$68:AD$68,$I$17:AD$17))))</f>
        <v>16146284.326726951</v>
      </c>
      <c r="AF50" s="741">
        <f>IF(XNPV($C14,$I$68:AE$68,$I$17:AE$17)&gt;=0,0,FV($C14,(AF$17-$I$17)/365,0,(XNPV($C14,$I$68:AE$68,$I$17:AE$17))))</f>
        <v>16283827.332297534</v>
      </c>
      <c r="AG50" s="741">
        <f>IF(XNPV($C14,$I$68:AF$68,$I$17:AF$17)&gt;=0,0,FV($C14,(AG$17-$I$17)/365,0,(XNPV($C14,$I$68:AF$68,$I$17:AF$17))))</f>
        <v>16434794.1941882</v>
      </c>
      <c r="AH50" s="741">
        <f>IF(XNPV($C14,$I$68:AG$68,$I$17:AG$17)&gt;=0,0,FV($C14,(AH$17-$I$17)/365,0,(XNPV($C14,$I$68:AG$68,$I$17:AG$17))))</f>
        <v>16573725.040380258</v>
      </c>
      <c r="AI50" s="741">
        <f>IF(XNPV($C14,$I$68:AH$68,$I$17:AH$17)&gt;=0,0,FV($C14,(AI$17-$I$17)/365,0,(XNPV($C14,$I$68:AH$68,$I$17:AH$17))))</f>
        <v>16726737.811206266</v>
      </c>
      <c r="AJ50" s="741">
        <f>IF(XNPV($C14,$I$68:AI$68,$I$17:AI$17)&gt;=0,0,FV($C14,(AJ$17-$I$17)/365,0,(XNPV($C14,$I$68:AI$68,$I$17:AI$17))))</f>
        <v>16880879.765433107</v>
      </c>
      <c r="AK50" s="741">
        <f>IF(XNPV($C14,$I$68:AJ$68,$I$17:AJ$17)&gt;=0,0,FV($C14,(AK$17-$I$17)/365,0,(XNPV($C14,$I$68:AJ$68,$I$17:AJ$17))))</f>
        <v>17022844.857932158</v>
      </c>
      <c r="AL50" s="741">
        <f>IF(XNPV($C14,$I$68:AK$68,$I$17:AK$17)&gt;=0,0,FV($C14,(AL$17-$I$17)/365,0,(XNPV($C14,$I$68:AK$68,$I$17:AK$17))))</f>
        <v>17178650.868642986</v>
      </c>
      <c r="AM50" s="741">
        <f>IF(XNPV($C14,$I$68:AL$68,$I$17:AL$17)&gt;=0,0,FV($C14,(AM$17-$I$17)/365,0,(XNPV($C14,$I$68:AL$68,$I$17:AL$17))))</f>
        <v>17322208.880809069</v>
      </c>
      <c r="AN50" s="741">
        <f>IF(XNPV($C14,$I$68:AM$68,$I$17:AM$17)&gt;=0,0,FV($C14,(AN$17-$I$17)/365,0,(XNPV($C14,$I$68:AM$68,$I$17:AM$17))))</f>
        <v>17479808.246624555</v>
      </c>
      <c r="AO50" s="741">
        <f>IF(XNPV($C14,$I$68:AN$68,$I$17:AN$17)&gt;=0,0,FV($C14,(AO$17-$I$17)/365,0,(XNPV($C14,$I$68:AN$68,$I$17:AN$17))))</f>
        <v>17638461.399965905</v>
      </c>
      <c r="AP50" s="741">
        <f>IF(XNPV($C14,$I$68:AO$68,$I$17:AO$17)&gt;=0,0,FV($C14,(AP$17-$I$17)/365,0,(XNPV($C14,$I$68:AO$68,$I$17:AO$17))))</f>
        <v>17758144.771650508</v>
      </c>
      <c r="AQ50" s="741">
        <f>IF(XNPV($C14,$I$68:AP$68,$I$17:AP$17)&gt;=0,0,FV($C14,(AQ$17-$I$17)/365,0,(XNPV($C14,$I$68:AP$68,$I$17:AP$17))))</f>
        <v>17918845.303411014</v>
      </c>
      <c r="AR50" s="741">
        <f>IF(XNPV($C14,$I$68:AQ$68,$I$17:AQ$17)&gt;=0,0,FV($C14,(AR$17-$I$17)/365,0,(XNPV($C14,$I$68:AQ$68,$I$17:AQ$17))))</f>
        <v>18067217.554513119</v>
      </c>
      <c r="AS50" s="741">
        <f>IF(XNPV($C14,$I$68:AR$68,$I$17:AR$17)&gt;=0,0,FV($C14,(AS$17-$I$17)/365,0,(XNPV($C14,$I$68:AR$68,$I$17:AR$17))))</f>
        <v>18230167.775263209</v>
      </c>
      <c r="AT50" s="741">
        <f>IF(XNPV($C14,$I$68:AS$68,$I$17:AS$17)&gt;=0,0,FV($C14,(AT$17-$I$17)/365,0,(XNPV($C14,$I$68:AS$68,$I$17:AS$17))))</f>
        <v>18380727.49689905</v>
      </c>
      <c r="AU50" s="741">
        <f>IF(XNPV($C14,$I$68:AT$68,$I$17:AT$17)&gt;=0,0,FV($C14,(AU$17-$I$17)/365,0,(XNPV($C14,$I$68:AT$68,$I$17:AT$17))))</f>
        <v>18546089.941384297</v>
      </c>
      <c r="AV50" s="741">
        <f>IF(XNPV($C14,$I$68:AU$68,$I$17:AU$17)&gt;=0,0,FV($C14,(AV$17-$I$17)/365,0,(XNPV($C14,$I$68:AU$68,$I$17:AU$17))))</f>
        <v>18713191.917578239</v>
      </c>
      <c r="AW50" s="741">
        <f>IF(XNPV($C14,$I$68:AV$68,$I$17:AV$17)&gt;=0,0,FV($C14,(AW$17-$I$17)/365,0,(XNPV($C14,$I$68:AV$68,$I$17:AV$17))))</f>
        <v>18867994.189148404</v>
      </c>
      <c r="AX50" s="741">
        <f>IF(XNPV($C14,$I$68:AW$68,$I$17:AW$17)&gt;=0,0,FV($C14,(AX$17-$I$17)/365,0,(XNPV($C14,$I$68:AW$68,$I$17:AW$17))))</f>
        <v>19037900.444588095</v>
      </c>
      <c r="AY50" s="741">
        <f>IF(XNPV($C14,$I$68:AX$68,$I$17:AX$17)&gt;=0,0,FV($C14,(AY$17-$I$17)/365,0,(XNPV($C14,$I$68:AX$68,$I$17:AX$17))))</f>
        <v>19195231.454573117</v>
      </c>
      <c r="AZ50" s="741">
        <f>IF(XNPV($C14,$I$68:AY$68,$I$17:AY$17)&gt;=0,0,FV($C14,(AZ$17-$I$17)/365,0,(XNPV($C14,$I$68:AY$68,$I$17:AY$17))))</f>
        <v>19367848.294343337</v>
      </c>
      <c r="BA50" s="741">
        <f>IF(XNPV($C14,$I$68:AZ$68,$I$17:AZ$17)&gt;=0,0,FV($C14,(BA$17-$I$17)/365,0,(XNPV($C14,$I$68:AZ$68,$I$17:AZ$17))))</f>
        <v>19541953.50868205</v>
      </c>
      <c r="BB50" s="741">
        <f>IF(XNPV($C14,$I$68:BA$68,$I$17:BA$17)&gt;=0,0,FV($C14,(BB$17-$I$17)/365,0,(XNPV($C14,$I$68:BA$68,$I$17:BA$17))))</f>
        <v>19674900.583693951</v>
      </c>
      <c r="BC50" s="741">
        <f>IF(XNPV($C14,$I$68:BB$68,$I$17:BB$17)&gt;=0,0,FV($C14,(BC$17-$I$17)/365,0,(XNPV($C14,$I$68:BB$68,$I$17:BB$17))))</f>
        <v>19851604.311161425</v>
      </c>
      <c r="BD50" s="741">
        <f>IF(XNPV($C14,$I$68:BC$68,$I$17:BC$17)&gt;=0,0,FV($C14,(BD$17-$I$17)/365,0,(XNPV($C14,$I$68:BC$68,$I$17:BC$17))))</f>
        <v>20015676.400807872</v>
      </c>
      <c r="BE50" s="741">
        <f>IF(XNPV($C14,$I$68:BD$68,$I$17:BD$17)&gt;=0,0,FV($C14,(BE$17-$I$17)/365,0,(XNPV($C14,$I$68:BD$68,$I$17:BD$17))))</f>
        <v>0</v>
      </c>
      <c r="BF50" s="741">
        <f>IF(XNPV($C14,$I$68:BE$68,$I$17:BE$17)&gt;=0,0,FV($C14,(BF$17-$I$17)/365,0,(XNPV($C14,$I$68:BE$68,$I$17:BE$17))))</f>
        <v>0</v>
      </c>
      <c r="BG50" s="741">
        <f>IF(XNPV($C14,$I$68:BF$68,$I$17:BF$17)&gt;=0,0,FV($C14,(BG$17-$I$17)/365,0,(XNPV($C14,$I$68:BF$68,$I$17:BF$17))))</f>
        <v>0</v>
      </c>
      <c r="BH50" s="741">
        <f>IF(XNPV($C14,$I$68:BG$68,$I$17:BG$17)&gt;=0,0,FV($C14,(BH$17-$I$17)/365,0,(XNPV($C14,$I$68:BG$68,$I$17:BG$17))))</f>
        <v>0</v>
      </c>
      <c r="BI50" s="741">
        <f>IF(XNPV($C14,$I$68:BH$68,$I$17:BH$17)&gt;=0,0,FV($C14,(BI$17-$I$17)/365,0,(XNPV($C14,$I$68:BH$68,$I$17:BH$17))))</f>
        <v>0</v>
      </c>
      <c r="BJ50" s="741">
        <f>IF(XNPV($C14,$I$68:BI$68,$I$17:BI$17)&gt;=0,0,FV($C14,(BJ$17-$I$17)/365,0,(XNPV($C14,$I$68:BI$68,$I$17:BI$17))))</f>
        <v>0</v>
      </c>
      <c r="BK50" s="741">
        <f>IF(XNPV($C14,$I$68:BJ$68,$I$17:BJ$17)&gt;=0,0,FV($C14,(BK$17-$I$17)/365,0,(XNPV($C14,$I$68:BJ$68,$I$17:BJ$17))))</f>
        <v>0</v>
      </c>
      <c r="BL50" s="741">
        <f>IF(XNPV($C14,$I$68:BK$68,$I$17:BK$17)&gt;=0,0,FV($C14,(BL$17-$I$17)/365,0,(XNPV($C14,$I$68:BK$68,$I$17:BK$17))))</f>
        <v>0</v>
      </c>
      <c r="BM50" s="741">
        <f>IF(XNPV($C14,$I$68:BL$68,$I$17:BL$17)&gt;=0,0,FV($C14,(BM$17-$I$17)/365,0,(XNPV($C14,$I$68:BL$68,$I$17:BL$17))))</f>
        <v>0</v>
      </c>
      <c r="BN50" s="741">
        <f>IF(XNPV($C14,$I$68:BM$68,$I$17:BM$17)&gt;=0,0,FV($C14,(BN$17-$I$17)/365,0,(XNPV($C14,$I$68:BM$68,$I$17:BM$17))))</f>
        <v>0</v>
      </c>
      <c r="BO50" s="741">
        <f>IF(XNPV($C14,$I$68:BN$68,$I$17:BN$17)&gt;=0,0,FV($C14,(BO$17-$I$17)/365,0,(XNPV($C14,$I$68:BN$68,$I$17:BN$17))))</f>
        <v>0</v>
      </c>
      <c r="BP50" s="741">
        <f>IF(XNPV($C14,$I$68:BO$68,$I$17:BO$17)&gt;=0,0,FV($C14,(BP$17-$I$17)/365,0,(XNPV($C14,$I$68:BO$68,$I$17:BO$17))))</f>
        <v>0</v>
      </c>
      <c r="BQ50" s="741">
        <f>IF(XNPV($C14,$I$68:BP$68,$I$17:BP$17)&gt;=0,0,FV($C14,(BQ$17-$I$17)/365,0,(XNPV($C14,$I$68:BP$68,$I$17:BP$17))))</f>
        <v>0</v>
      </c>
      <c r="BR50" s="741">
        <f>IF(XNPV($C14,$I$68:BQ$68,$I$17:BQ$17)&gt;=0,0,FV($C14,(BR$17-$I$17)/365,0,(XNPV($C14,$I$68:BQ$68,$I$17:BQ$17))))</f>
        <v>0</v>
      </c>
      <c r="BS50" s="741">
        <f>IF(XNPV($C14,$I$68:BR$68,$I$17:BR$17)&gt;=0,0,FV($C14,(BS$17-$I$17)/365,0,(XNPV($C14,$I$68:BR$68,$I$17:BR$17))))</f>
        <v>0</v>
      </c>
      <c r="BT50" s="741">
        <f>IF(XNPV($C14,$I$68:BS$68,$I$17:BS$17)&gt;=0,0,FV($C14,(BT$17-$I$17)/365,0,(XNPV($C14,$I$68:BS$68,$I$17:BS$17))))</f>
        <v>0</v>
      </c>
      <c r="BU50" s="741">
        <f>IF(XNPV($C14,$I$68:BT$68,$I$17:BT$17)&gt;=0,0,FV($C14,(BU$17-$I$17)/365,0,(XNPV($C14,$I$68:BT$68,$I$17:BT$17))))</f>
        <v>0</v>
      </c>
      <c r="BV50" s="741">
        <f>IF(XNPV($C14,$I$68:BU$68,$I$17:BU$17)&gt;=0,0,FV($C14,(BV$17-$I$17)/365,0,(XNPV($C14,$I$68:BU$68,$I$17:BU$17))))</f>
        <v>0</v>
      </c>
      <c r="BW50" s="741">
        <f>IF(XNPV($C14,$I$68:BV$68,$I$17:BV$17)&gt;=0,0,FV($C14,(BW$17-$I$17)/365,0,(XNPV($C14,$I$68:BV$68,$I$17:BV$17))))</f>
        <v>0</v>
      </c>
      <c r="BX50" s="741">
        <f>IF(XNPV($C14,$I$68:BW$68,$I$17:BW$17)&gt;=0,0,FV($C14,(BX$17-$I$17)/365,0,(XNPV($C14,$I$68:BW$68,$I$17:BW$17))))</f>
        <v>0</v>
      </c>
      <c r="BY50" s="741">
        <f>IF(XNPV($C14,$I$68:BX$68,$I$17:BX$17)&gt;=0,0,FV($C14,(BY$17-$I$17)/365,0,(XNPV($C14,$I$68:BX$68,$I$17:BX$17))))</f>
        <v>0</v>
      </c>
      <c r="BZ50" s="741">
        <f>IF(XNPV($C14,$I$68:BY$68,$I$17:BY$17)&gt;=0,0,FV($C14,(BZ$17-$I$17)/365,0,(XNPV($C14,$I$68:BY$68,$I$17:BY$17))))</f>
        <v>0</v>
      </c>
      <c r="CA50" s="741">
        <f>IF(XNPV($C14,$I$68:BZ$68,$I$17:BZ$17)&gt;=0,0,FV($C14,(CA$17-$I$17)/365,0,(XNPV($C14,$I$68:BZ$68,$I$17:BZ$17))))</f>
        <v>0</v>
      </c>
      <c r="CB50" s="741">
        <f>IF(XNPV($C14,$I$68:CA$68,$I$17:CA$17)&gt;=0,0,FV($C14,(CB$17-$I$17)/365,0,(XNPV($C14,$I$68:CA$68,$I$17:CA$17))))</f>
        <v>0</v>
      </c>
      <c r="CC50" s="741">
        <f>IF(XNPV($C14,$I$68:CB$68,$I$17:CB$17)&gt;=0,0,FV($C14,(CC$17-$I$17)/365,0,(XNPV($C14,$I$68:CB$68,$I$17:CB$17))))</f>
        <v>0</v>
      </c>
      <c r="CD50" s="741">
        <f>IF(XNPV($C14,$I$68:CC$68,$I$17:CC$17)&gt;=0,0,FV($C14,(CD$17-$I$17)/365,0,(XNPV($C14,$I$68:CC$68,$I$17:CC$17))))</f>
        <v>0</v>
      </c>
      <c r="CE50" s="741">
        <f>IF(XNPV($C14,$I$68:CD$68,$I$17:CD$17)&gt;=0,0,FV($C14,(CE$17-$I$17)/365,0,(XNPV($C14,$I$68:CD$68,$I$17:CD$17))))</f>
        <v>0</v>
      </c>
      <c r="CF50" s="741">
        <f>IF(XNPV($C14,$I$68:CE$68,$I$17:CE$17)&gt;=0,0,FV($C14,(CF$17-$I$17)/365,0,(XNPV($C14,$I$68:CE$68,$I$17:CE$17))))</f>
        <v>0</v>
      </c>
      <c r="CG50" s="741">
        <f>IF(XNPV($C14,$I$68:CF$68,$I$17:CF$17)&gt;=0,0,FV($C14,(CG$17-$I$17)/365,0,(XNPV($C14,$I$68:CF$68,$I$17:CF$17))))</f>
        <v>0</v>
      </c>
      <c r="CH50" s="741">
        <f>IF(XNPV($C14,$I$68:CG$68,$I$17:CG$17)&gt;=0,0,FV($C14,(CH$17-$I$17)/365,0,(XNPV($C14,$I$68:CG$68,$I$17:CG$17))))</f>
        <v>0</v>
      </c>
      <c r="CI50" s="741">
        <f>IF(XNPV($C14,$I$68:CH$68,$I$17:CH$17)&gt;=0,0,FV($C14,(CI$17-$I$17)/365,0,(XNPV($C14,$I$68:CH$68,$I$17:CH$17))))</f>
        <v>0</v>
      </c>
      <c r="CJ50" s="741">
        <f>IF(XNPV($C14,$I$68:CI$68,$I$17:CI$17)&gt;=0,0,FV($C14,(CJ$17-$I$17)/365,0,(XNPV($C14,$I$68:CI$68,$I$17:CI$17))))</f>
        <v>0</v>
      </c>
      <c r="CK50" s="741">
        <f>IF(XNPV($C14,$I$68:CJ$68,$I$17:CJ$17)&gt;=0,0,FV($C14,(CK$17-$I$17)/365,0,(XNPV($C14,$I$68:CJ$68,$I$17:CJ$17))))</f>
        <v>0</v>
      </c>
      <c r="CL50" s="741">
        <f>IF(XNPV($C14,$I$68:CK$68,$I$17:CK$17)&gt;=0,0,FV($C14,(CL$17-$I$17)/365,0,(XNPV($C14,$I$68:CK$68,$I$17:CK$17))))</f>
        <v>0</v>
      </c>
      <c r="CM50" s="741">
        <f>IF(XNPV($C14,$I$68:CL$68,$I$17:CL$17)&gt;=0,0,FV($C14,(CM$17-$I$17)/365,0,(XNPV($C14,$I$68:CL$68,$I$17:CL$17))))</f>
        <v>0</v>
      </c>
      <c r="CN50" s="741">
        <f>IF(XNPV($C14,$I$68:CM$68,$I$17:CM$17)&gt;=0,0,FV($C14,(CN$17-$I$17)/365,0,(XNPV($C14,$I$68:CM$68,$I$17:CM$17))))</f>
        <v>0</v>
      </c>
      <c r="CO50" s="741">
        <f>IF(XNPV($C14,$I$68:CN$68,$I$17:CN$17)&gt;=0,0,FV($C14,(CO$17-$I$17)/365,0,(XNPV($C14,$I$68:CN$68,$I$17:CN$17))))</f>
        <v>0</v>
      </c>
      <c r="CP50" s="741">
        <f>IF(XNPV($C14,$I$68:CO$68,$I$17:CO$17)&gt;=0,0,FV($C14,(CP$17-$I$17)/365,0,(XNPV($C14,$I$68:CO$68,$I$17:CO$17))))</f>
        <v>0</v>
      </c>
      <c r="CQ50" s="741">
        <f>IF(XNPV($C14,$I$68:CP$68,$I$17:CP$17)&gt;=0,0,FV($C14,(CQ$17-$I$17)/365,0,(XNPV($C14,$I$68:CP$68,$I$17:CP$17))))</f>
        <v>0</v>
      </c>
      <c r="CR50" s="741">
        <f>IF(XNPV($C14,$I$68:CQ$68,$I$17:CQ$17)&gt;=0,0,FV($C14,(CR$17-$I$17)/365,0,(XNPV($C14,$I$68:CQ$68,$I$17:CQ$17))))</f>
        <v>0</v>
      </c>
      <c r="CS50" s="741">
        <f>IF(XNPV($C14,$I$68:CR$68,$I$17:CR$17)&gt;=0,0,FV($C14,(CS$17-$I$17)/365,0,(XNPV($C14,$I$68:CR$68,$I$17:CR$17))))</f>
        <v>0</v>
      </c>
      <c r="CT50" s="741">
        <f>IF(XNPV($C14,$I$68:CS$68,$I$17:CS$17)&gt;=0,0,FV($C14,(CT$17-$I$17)/365,0,(XNPV($C14,$I$68:CS$68,$I$17:CS$17))))</f>
        <v>0</v>
      </c>
      <c r="CU50" s="741">
        <f>IF(XNPV($C14,$I$68:CT$68,$I$17:CT$17)&gt;=0,0,FV($C14,(CU$17-$I$17)/365,0,(XNPV($C14,$I$68:CT$68,$I$17:CT$17))))</f>
        <v>0</v>
      </c>
      <c r="CV50" s="741">
        <f>IF(XNPV($C14,$I$68:CU$68,$I$17:CU$17)&gt;=0,0,FV($C14,(CV$17-$I$17)/365,0,(XNPV($C14,$I$68:CU$68,$I$17:CU$17))))</f>
        <v>0</v>
      </c>
      <c r="CW50" s="741">
        <f>IF(XNPV($C14,$I$68:CV$68,$I$17:CV$17)&gt;=0,0,FV($C14,(CW$17-$I$17)/365,0,(XNPV($C14,$I$68:CV$68,$I$17:CV$17))))</f>
        <v>0</v>
      </c>
      <c r="CX50" s="741">
        <f>IF(XNPV($C14,$I$68:CW$68,$I$17:CW$17)&gt;=0,0,FV($C14,(CX$17-$I$17)/365,0,(XNPV($C14,$I$68:CW$68,$I$17:CW$17))))</f>
        <v>0</v>
      </c>
      <c r="CY50" s="741">
        <f>IF(XNPV($C14,$I$68:CX$68,$I$17:CX$17)&gt;=0,0,FV($C14,(CY$17-$I$17)/365,0,(XNPV($C14,$I$68:CX$68,$I$17:CX$17))))</f>
        <v>0</v>
      </c>
      <c r="CZ50" s="741">
        <f>IF(XNPV($C14,$I$68:CY$68,$I$17:CY$17)&gt;=0,0,FV($C14,(CZ$17-$I$17)/365,0,(XNPV($C14,$I$68:CY$68,$I$17:CY$17))))</f>
        <v>0</v>
      </c>
      <c r="DA50" s="741">
        <f>IF(XNPV($C14,$I$68:BR$68,$I$17:BR$17)&gt;=0,0,FV($C14,(DA$17-$I$17)/365,0,(XNPV($C14,$I$68:BR$68,$I$17:BR$17))))</f>
        <v>0</v>
      </c>
      <c r="DB50" s="741">
        <f>IF(XNPV($C14,$I$68:BJ$68,$I$17:BJ$17)&gt;=0,0,FV($C14,(DB$17-$I$17)/365,0,(XNPV($C14,$I$68:BJ$68,$I$17:BJ$17))))</f>
        <v>0</v>
      </c>
      <c r="DC50" s="741">
        <f>IF(XNPV($C14,$I$68:DB$68,$I$17:DB$17)&gt;=0,0,FV($C14,(DC$17-$I$17)/365,0,(XNPV($C14,$I$68:DB$68,$I$17:DB$17))))</f>
        <v>0</v>
      </c>
      <c r="DD50" s="741">
        <f>IF(XNPV($C14,$I$68:DC$68,$I$17:DC$17)&gt;=0,0,FV($C14,(DD$17-$I$17)/365,0,(XNPV($C14,$I$68:DC$68,$I$17:DC$17))))</f>
        <v>0</v>
      </c>
      <c r="DE50" s="741">
        <f>IF(XNPV($C14,$I$68:DD$68,$I$17:DD$17)&gt;=0,0,FV($C14,(DE$17-$I$17)/365,0,(XNPV($C14,$I$68:DD$68,$I$17:DD$17))))</f>
        <v>0</v>
      </c>
      <c r="DF50" s="741">
        <f>IF(XNPV($C14,$I$68:DE$68,$I$17:DE$17)&gt;=0,0,FV($C14,(DF$17-$I$17)/365,0,(XNPV($C14,$I$68:DE$68,$I$17:DE$17))))</f>
        <v>0</v>
      </c>
      <c r="DG50" s="741">
        <f>IF(XNPV($C14,$I$68:DF$68,$I$17:DF$17)&gt;=0,0,FV($C14,(DG$17-$I$17)/365,0,(XNPV($C14,$I$68:DF$68,$I$17:DF$17))))</f>
        <v>0</v>
      </c>
      <c r="DH50" s="741">
        <f>IF(XNPV($C14,$I$68:DG$68,$I$17:DG$17)&gt;=0,0,FV($C14,(DH$17-$I$17)/365,0,(XNPV($C14,$I$68:DG$68,$I$17:DG$17))))</f>
        <v>0</v>
      </c>
      <c r="DI50" s="741">
        <f>IF(XNPV($C14,$I$68:DH$68,$I$17:DH$17)&gt;=0,0,FV($C14,(DI$17-$I$17)/365,0,(XNPV($C14,$I$68:DH$68,$I$17:DH$17))))</f>
        <v>0</v>
      </c>
      <c r="DJ50" s="741">
        <f>IF(XNPV($C14,$I$68:DI$68,$I$17:DI$17)&gt;=0,0,FV($C14,(DJ$17-$I$17)/365,0,(XNPV($C14,$I$68:DI$68,$I$17:DI$17))))</f>
        <v>0</v>
      </c>
      <c r="DK50" s="741">
        <f>IF(XNPV($C14,$I$68:DA$68,$I$17:DA$17)&gt;=0,0,FV($C14,(DK$17-$I$17)/365,0,(XNPV($C14,$I$68:DA$68,$I$17:DA$17))))</f>
        <v>0</v>
      </c>
      <c r="DL50" s="741">
        <f>IF(XNPV($C14,$I$68:DK$68,$I$17:DK$17)&gt;=0,0,FV($C14,(DL$17-$I$17)/365,0,(XNPV($C14,$I$68:DK$68,$I$17:DK$17))))</f>
        <v>0</v>
      </c>
      <c r="DM50" s="741">
        <f>IF(XNPV($C14,$I$68:DL$68,$I$17:DL$17)&gt;=0,0,FV($C14,(DM$17-$I$17)/365,0,(XNPV($C14,$I$68:DL$68,$I$17:DL$17))))</f>
        <v>0</v>
      </c>
      <c r="DN50" s="741">
        <f>IF(XNPV($C14,$I$68:DM$68,$I$17:DM$17)&gt;=0,0,FV($C14,(DN$17-$I$17)/365,0,(XNPV($C14,$I$68:DM$68,$I$17:DM$17))))</f>
        <v>0</v>
      </c>
      <c r="DO50" s="741">
        <f>IF(XNPV($C14,$I$68:DN$68,$I$17:DN$17)&gt;=0,0,FV($C14,(DO$17-$I$17)/365,0,(XNPV($C14,$I$68:DN$68,$I$17:DN$17))))</f>
        <v>0</v>
      </c>
      <c r="DP50" s="741">
        <f>IF(XNPV($C14,$I$68:DO$68,$I$17:DO$17)&gt;=0,0,FV($C14,(DP$17-$I$17)/365,0,(XNPV($C14,$I$68:DO$68,$I$17:DO$17))))</f>
        <v>0</v>
      </c>
      <c r="DQ50" s="741">
        <f>IF(XNPV($C14,$I$68:DP$68,$I$17:DP$17)&gt;=0,0,FV($C14,(DQ$17-$I$17)/365,0,(XNPV($C14,$I$68:DP$68,$I$17:DP$17))))</f>
        <v>0</v>
      </c>
      <c r="DR50" s="741">
        <f>IF(XNPV($C14,$I$68:CI$68,$I$17:CI$17)&gt;=0,0,FV($C14,(DR$17-$I$17)/365,0,(XNPV($C14,$I$68:CI$68,$I$17:CI$17))))</f>
        <v>0</v>
      </c>
      <c r="DS50" s="741">
        <f>IF(XNPV($C14,$I$68:CA$68,$I$17:CA$17)&gt;=0,0,FV($C14,(DS$17-$I$17)/365,0,(XNPV($C14,$I$68:CA$68,$I$17:CA$17))))</f>
        <v>0</v>
      </c>
      <c r="DT50" s="741">
        <f>IF(XNPV($C14,$I$68:DS$68,$I$17:DS$17)&gt;=0,0,FV($C14,(DT$17-$I$17)/365,0,(XNPV($C14,$I$68:DS$68,$I$17:DS$17))))</f>
        <v>0</v>
      </c>
      <c r="DU50" s="741">
        <f>IF(XNPV($C14,$I$68:DT$68,$I$17:DT$17)&gt;=0,0,FV($C14,(DU$17-$I$17)/365,0,(XNPV($C14,$I$68:DT$68,$I$17:DT$17))))</f>
        <v>0</v>
      </c>
      <c r="DV50" s="741">
        <f>IF(XNPV($C14,$I$68:DU$68,$I$17:DU$17)&gt;=0,0,FV($C14,(DV$17-$I$17)/365,0,(XNPV($C14,$I$68:DU$68,$I$17:DU$17))))</f>
        <v>0</v>
      </c>
      <c r="DW50" s="741">
        <f>IF(XNPV($C14,$I$68:DV$68,$I$17:DV$17)&gt;=0,0,FV($C14,(DW$17-$I$17)/365,0,(XNPV($C14,$I$68:DV$68,$I$17:DV$17))))</f>
        <v>0</v>
      </c>
      <c r="DX50" s="741">
        <f>IF(XNPV($C14,$I$68:DW$68,$I$17:DW$17)&gt;=0,0,FV($C14,(DX$17-$I$17)/365,0,(XNPV($C14,$I$68:DW$68,$I$17:DW$17))))</f>
        <v>0</v>
      </c>
      <c r="DY50" s="741">
        <f>IF(XNPV($C14,$I$68:DX$68,$I$17:DX$17)&gt;=0,0,FV($C14,(DY$17-$I$17)/365,0,(XNPV($C14,$I$68:DX$68,$I$17:DX$17))))</f>
        <v>0</v>
      </c>
      <c r="DZ50" s="741">
        <f>IF(XNPV($C14,$I$68:DY$68,$I$17:DY$17)&gt;=0,0,FV($C14,(DZ$17-$I$17)/365,0,(XNPV($C14,$I$68:DY$68,$I$17:DY$17))))</f>
        <v>0</v>
      </c>
      <c r="EA50" s="741">
        <f>IF(XNPV($C14,$I$68:DZ$68,$I$17:DZ$17)&gt;=0,0,FV($C14,(EA$17-$I$17)/365,0,(XNPV($C14,$I$68:DZ$68,$I$17:DZ$17))))</f>
        <v>0</v>
      </c>
      <c r="EB50" s="741">
        <f>IF(XNPV($C14,$I$68:DR$68,$I$17:DR$17)&gt;=0,0,FV($C14,(EB$17-$I$17)/365,0,(XNPV($C14,$I$68:DR$68,$I$17:DR$17))))</f>
        <v>0</v>
      </c>
      <c r="EC50" s="741">
        <f>IF(XNPV($C14,$I$68:EB$68,$I$17:EB$17)&gt;=0,0,FV($C14,(EC$17-$I$17)/365,0,(XNPV($C14,$I$68:EB$68,$I$17:EB$17))))</f>
        <v>0</v>
      </c>
      <c r="ED50" s="741">
        <f>IF(XNPV($C14,$I$68:EC$68,$I$17:EC$17)&gt;=0,0,FV($C14,(ED$17-$I$17)/365,0,(XNPV($C14,$I$68:EC$68,$I$17:EC$17))))</f>
        <v>0</v>
      </c>
      <c r="EE50" s="741">
        <f>IF(XNPV($C14,$I$68:ED$68,$I$17:ED$17)&gt;=0,0,FV($C14,(EE$17-$I$17)/365,0,(XNPV($C14,$I$68:ED$68,$I$17:ED$17))))</f>
        <v>0</v>
      </c>
      <c r="EF50" s="741">
        <f>IF(XNPV($C14,$I$68:EE$68,$I$17:EE$17)&gt;=0,0,FV($C14,(EF$17-$I$17)/365,0,(XNPV($C14,$I$68:EE$68,$I$17:EE$17))))</f>
        <v>0</v>
      </c>
      <c r="EG50" s="741">
        <f>IF(XNPV($C14,$I$68:EF$68,$I$17:EF$17)&gt;=0,0,FV($C14,(EG$17-$I$17)/365,0,(XNPV($C14,$I$68:EF$68,$I$17:EF$17))))</f>
        <v>0</v>
      </c>
      <c r="EH50" s="741">
        <f>IF(XNPV($C14,$I$68:EG$68,$I$17:EG$17)&gt;=0,0,FV($C14,(EH$17-$I$17)/365,0,(XNPV($C14,$I$68:EG$68,$I$17:EG$17))))</f>
        <v>0</v>
      </c>
      <c r="EI50" s="741">
        <f>IF(XNPV($C14,$I$68:CZ$68,$I$17:CZ$17)&gt;=0,0,FV($C14,(EI$17-$I$17)/365,0,(XNPV($C14,$I$68:CZ$68,$I$17:CZ$17))))</f>
        <v>0</v>
      </c>
      <c r="EJ50" s="741">
        <f>IF(XNPV($C14,$I$68:CR$68,$I$17:CR$17)&gt;=0,0,FV($C14,(EJ$17-$I$17)/365,0,(XNPV($C14,$I$68:CR$68,$I$17:CR$17))))</f>
        <v>0</v>
      </c>
      <c r="EK50" s="741">
        <f>IF(XNPV($C14,$I$68:EJ$68,$I$17:EJ$17)&gt;=0,0,FV($C14,(EK$17-$I$17)/365,0,(XNPV($C14,$I$68:EJ$68,$I$17:EJ$17))))</f>
        <v>0</v>
      </c>
      <c r="EL50" s="741">
        <f>IF(XNPV($C14,$I$68:EK$68,$I$17:EK$17)&gt;=0,0,FV($C14,(EL$17-$I$17)/365,0,(XNPV($C14,$I$68:EK$68,$I$17:EK$17))))</f>
        <v>0</v>
      </c>
      <c r="EM50" s="741">
        <f>IF(XNPV($C14,$I$68:EL$68,$I$17:EL$17)&gt;=0,0,FV($C14,(EM$17-$I$17)/365,0,(XNPV($C14,$I$68:EL$68,$I$17:EL$17))))</f>
        <v>0</v>
      </c>
      <c r="EN50" s="741">
        <f>IF(XNPV($C14,$I$68:EM$68,$I$17:EM$17)&gt;=0,0,FV($C14,(EN$17-$I$17)/365,0,(XNPV($C14,$I$68:EM$68,$I$17:EM$17))))</f>
        <v>0</v>
      </c>
      <c r="EO50" s="741">
        <f>IF(XNPV($C14,$I$68:EN$68,$I$17:EN$17)&gt;=0,0,FV($C14,(EO$17-$I$17)/365,0,(XNPV($C14,$I$68:EN$68,$I$17:EN$17))))</f>
        <v>0</v>
      </c>
      <c r="EP50" s="741">
        <f>IF(XNPV($C14,$I$68:EO$68,$I$17:EO$17)&gt;=0,0,FV($C14,(EP$17-$I$17)/365,0,(XNPV($C14,$I$68:EO$68,$I$17:EO$17))))</f>
        <v>0</v>
      </c>
      <c r="EQ50" s="741">
        <f>IF(XNPV($C14,$I$68:EP$68,$I$17:EP$17)&gt;=0,0,FV($C14,(EQ$17-$I$17)/365,0,(XNPV($C14,$I$68:EP$68,$I$17:EP$17))))</f>
        <v>0</v>
      </c>
      <c r="ER50" s="741">
        <f>IF(XNPV($C14,$I$68:EQ$68,$I$17:EQ$17)&gt;=0,0,FV($C14,(ER$17-$I$17)/365,0,(XNPV($C14,$I$68:EQ$68,$I$17:EQ$17))))</f>
        <v>0</v>
      </c>
      <c r="ES50" s="741">
        <f>IF(XNPV($C14,$I$68:EI$68,$I$17:EI$17)&gt;=0,0,FV($C14,(ES$17-$I$17)/365,0,(XNPV($C14,$I$68:EI$68,$I$17:EI$17))))</f>
        <v>0</v>
      </c>
      <c r="ET50" s="741">
        <f>IF(XNPV($C14,$I$68:ES$68,$I$17:ES$17)&gt;=0,0,FV($C14,(ET$17-$I$17)/365,0,(XNPV($C14,$I$68:ES$68,$I$17:ES$17))))</f>
        <v>0</v>
      </c>
      <c r="EU50" s="741">
        <f>IF(XNPV($C14,$I$68:ET$68,$I$17:ET$17)&gt;=0,0,FV($C14,(EU$17-$I$17)/365,0,(XNPV($C14,$I$68:ET$68,$I$17:ET$17))))</f>
        <v>0</v>
      </c>
      <c r="EV50" s="741">
        <f>IF(XNPV($C14,$I$68:EU$68,$I$17:EU$17)&gt;=0,0,FV($C14,(EV$17-$I$17)/365,0,(XNPV($C14,$I$68:EU$68,$I$17:EU$17))))</f>
        <v>0</v>
      </c>
      <c r="EW50" s="741">
        <f>IF(XNPV($C14,$I$68:EV$68,$I$17:EV$17)&gt;=0,0,FV($C14,(EW$17-$I$17)/365,0,(XNPV($C14,$I$68:EV$68,$I$17:EV$17))))</f>
        <v>0</v>
      </c>
      <c r="EX50" s="741">
        <f>IF(XNPV($C14,$I$68:EW$68,$I$17:EW$17)&gt;=0,0,FV($C14,(EX$17-$I$17)/365,0,(XNPV($C14,$I$68:EW$68,$I$17:EW$17))))</f>
        <v>0</v>
      </c>
      <c r="EY50" s="741">
        <f>IF(XNPV($C14,$I$68:EX$68,$I$17:EX$17)&gt;=0,0,FV($C14,(EY$17-$I$17)/365,0,(XNPV($C14,$I$68:EX$68,$I$17:EX$17))))</f>
        <v>0</v>
      </c>
      <c r="EZ50" s="741">
        <f>IF(XNPV($C14,$I$68:EY$68,$I$17:EY$17)&gt;=0,0,FV($C14,(EZ$17-$I$17)/365,0,(XNPV($C14,$I$68:EY$68,$I$17:EY$17))))</f>
        <v>0</v>
      </c>
      <c r="FA50" s="741">
        <f>IF(XNPV($C14,$I$68:EZ$68,$I$17:EZ$17)&gt;=0,0,FV($C14,(FA$17-$I$17)/365,0,(XNPV($C14,$I$68:EZ$68,$I$17:EZ$17))))</f>
        <v>0</v>
      </c>
      <c r="FB50" s="741">
        <f>IF(XNPV($C14,$I$68:FA$68,$I$17:FA$17)&gt;=0,0,FV($C14,(FB$17-$I$17)/365,0,(XNPV($C14,$I$68:FA$68,$I$17:FA$17))))</f>
        <v>0</v>
      </c>
      <c r="FD50" s="728"/>
    </row>
    <row r="51" spans="2:161" s="692" customFormat="1" hidden="1">
      <c r="B51" s="764" t="str">
        <f>"Amount Needed to Achieve "&amp;TEXT($C14,"#0%")&amp;""</f>
        <v>Amount Needed to Achieve 17%</v>
      </c>
      <c r="C51" s="699"/>
      <c r="D51" s="699"/>
      <c r="E51" s="765"/>
      <c r="F51" s="699"/>
      <c r="G51" s="740"/>
      <c r="H51" s="699"/>
      <c r="I51" s="699"/>
      <c r="J51" s="766">
        <f t="shared" ref="J51:BU51" si="52">MAX(J50:J50)</f>
        <v>13048092.601957349</v>
      </c>
      <c r="K51" s="766">
        <f t="shared" si="52"/>
        <v>13187102.105385097</v>
      </c>
      <c r="L51" s="766">
        <f t="shared" si="52"/>
        <v>13327836.001065822</v>
      </c>
      <c r="M51" s="766">
        <f t="shared" si="52"/>
        <v>13464941.145079451</v>
      </c>
      <c r="N51" s="766">
        <f t="shared" si="52"/>
        <v>13615304.537719848</v>
      </c>
      <c r="O51" s="766">
        <f t="shared" si="52"/>
        <v>13755883.12624193</v>
      </c>
      <c r="P51" s="766">
        <f t="shared" si="52"/>
        <v>13909900.443001634</v>
      </c>
      <c r="Q51" s="766">
        <f t="shared" si="52"/>
        <v>14053985.056967784</v>
      </c>
      <c r="R51" s="766">
        <f t="shared" si="52"/>
        <v>14176594.605752327</v>
      </c>
      <c r="S51" s="766">
        <f t="shared" si="52"/>
        <v>14336475.66948612</v>
      </c>
      <c r="T51" s="766">
        <f t="shared" si="52"/>
        <v>14486539.786370853</v>
      </c>
      <c r="U51" s="766">
        <f t="shared" si="52"/>
        <v>14650612.887180323</v>
      </c>
      <c r="V51" s="766">
        <f t="shared" si="52"/>
        <v>14790124.423771406</v>
      </c>
      <c r="W51" s="766">
        <f t="shared" si="52"/>
        <v>14947009.162438162</v>
      </c>
      <c r="X51" s="766">
        <f t="shared" si="52"/>
        <v>15109151.367023585</v>
      </c>
      <c r="Y51" s="766">
        <f t="shared" si="52"/>
        <v>15260305.209115786</v>
      </c>
      <c r="Z51" s="766">
        <f t="shared" si="52"/>
        <v>15418315.600718947</v>
      </c>
      <c r="AA51" s="766">
        <f t="shared" si="52"/>
        <v>15565008.330014685</v>
      </c>
      <c r="AB51" s="766">
        <f t="shared" si="52"/>
        <v>15725097.835863858</v>
      </c>
      <c r="AC51" s="766">
        <f t="shared" si="52"/>
        <v>15873073.442336537</v>
      </c>
      <c r="AD51" s="766">
        <f t="shared" si="52"/>
        <v>15996794.848404886</v>
      </c>
      <c r="AE51" s="766">
        <f t="shared" si="52"/>
        <v>16146284.326726951</v>
      </c>
      <c r="AF51" s="766">
        <f t="shared" si="52"/>
        <v>16283827.332297534</v>
      </c>
      <c r="AG51" s="766">
        <f t="shared" si="52"/>
        <v>16434794.1941882</v>
      </c>
      <c r="AH51" s="766">
        <f t="shared" si="52"/>
        <v>16573725.040380258</v>
      </c>
      <c r="AI51" s="766">
        <f t="shared" si="52"/>
        <v>16726737.811206266</v>
      </c>
      <c r="AJ51" s="766">
        <f t="shared" si="52"/>
        <v>16880879.765433107</v>
      </c>
      <c r="AK51" s="766">
        <f t="shared" si="52"/>
        <v>17022844.857932158</v>
      </c>
      <c r="AL51" s="766">
        <f t="shared" si="52"/>
        <v>17178650.868642986</v>
      </c>
      <c r="AM51" s="766">
        <f t="shared" si="52"/>
        <v>17322208.880809069</v>
      </c>
      <c r="AN51" s="766">
        <f t="shared" si="52"/>
        <v>17479808.246624555</v>
      </c>
      <c r="AO51" s="766">
        <f t="shared" si="52"/>
        <v>17638461.399965905</v>
      </c>
      <c r="AP51" s="766">
        <f t="shared" si="52"/>
        <v>17758144.771650508</v>
      </c>
      <c r="AQ51" s="766">
        <f t="shared" si="52"/>
        <v>17918845.303411014</v>
      </c>
      <c r="AR51" s="766">
        <f t="shared" si="52"/>
        <v>18067217.554513119</v>
      </c>
      <c r="AS51" s="766">
        <f t="shared" si="52"/>
        <v>18230167.775263209</v>
      </c>
      <c r="AT51" s="766">
        <f t="shared" si="52"/>
        <v>18380727.49689905</v>
      </c>
      <c r="AU51" s="766">
        <f t="shared" si="52"/>
        <v>18546089.941384297</v>
      </c>
      <c r="AV51" s="766">
        <f t="shared" si="52"/>
        <v>18713191.917578239</v>
      </c>
      <c r="AW51" s="766">
        <f t="shared" si="52"/>
        <v>18867994.189148404</v>
      </c>
      <c r="AX51" s="766">
        <f t="shared" si="52"/>
        <v>19037900.444588095</v>
      </c>
      <c r="AY51" s="766">
        <f t="shared" si="52"/>
        <v>19195231.454573117</v>
      </c>
      <c r="AZ51" s="766">
        <f t="shared" si="52"/>
        <v>19367848.294343337</v>
      </c>
      <c r="BA51" s="766">
        <f t="shared" si="52"/>
        <v>19541953.50868205</v>
      </c>
      <c r="BB51" s="766">
        <f t="shared" si="52"/>
        <v>19674900.583693951</v>
      </c>
      <c r="BC51" s="766">
        <f t="shared" si="52"/>
        <v>19851604.311161425</v>
      </c>
      <c r="BD51" s="766">
        <f t="shared" si="52"/>
        <v>20015676.400807872</v>
      </c>
      <c r="BE51" s="766">
        <f t="shared" si="52"/>
        <v>0</v>
      </c>
      <c r="BF51" s="766">
        <f t="shared" si="52"/>
        <v>0</v>
      </c>
      <c r="BG51" s="766">
        <f t="shared" si="52"/>
        <v>0</v>
      </c>
      <c r="BH51" s="766">
        <f t="shared" si="52"/>
        <v>0</v>
      </c>
      <c r="BI51" s="766">
        <f t="shared" si="52"/>
        <v>0</v>
      </c>
      <c r="BJ51" s="766">
        <f t="shared" si="52"/>
        <v>0</v>
      </c>
      <c r="BK51" s="766">
        <f t="shared" si="52"/>
        <v>0</v>
      </c>
      <c r="BL51" s="766">
        <f t="shared" si="52"/>
        <v>0</v>
      </c>
      <c r="BM51" s="766">
        <f t="shared" si="52"/>
        <v>0</v>
      </c>
      <c r="BN51" s="766">
        <f t="shared" si="52"/>
        <v>0</v>
      </c>
      <c r="BO51" s="766">
        <f t="shared" si="52"/>
        <v>0</v>
      </c>
      <c r="BP51" s="766">
        <f t="shared" si="52"/>
        <v>0</v>
      </c>
      <c r="BQ51" s="766">
        <f t="shared" si="52"/>
        <v>0</v>
      </c>
      <c r="BR51" s="766">
        <f t="shared" si="52"/>
        <v>0</v>
      </c>
      <c r="BS51" s="766">
        <f t="shared" si="52"/>
        <v>0</v>
      </c>
      <c r="BT51" s="766">
        <f t="shared" si="52"/>
        <v>0</v>
      </c>
      <c r="BU51" s="766">
        <f t="shared" si="52"/>
        <v>0</v>
      </c>
      <c r="BV51" s="766">
        <f t="shared" ref="BV51:EG51" si="53">MAX(BV50:BV50)</f>
        <v>0</v>
      </c>
      <c r="BW51" s="766">
        <f t="shared" si="53"/>
        <v>0</v>
      </c>
      <c r="BX51" s="766">
        <f t="shared" si="53"/>
        <v>0</v>
      </c>
      <c r="BY51" s="766">
        <f t="shared" si="53"/>
        <v>0</v>
      </c>
      <c r="BZ51" s="766">
        <f t="shared" si="53"/>
        <v>0</v>
      </c>
      <c r="CA51" s="766">
        <f t="shared" si="53"/>
        <v>0</v>
      </c>
      <c r="CB51" s="766">
        <f t="shared" si="53"/>
        <v>0</v>
      </c>
      <c r="CC51" s="766">
        <f t="shared" si="53"/>
        <v>0</v>
      </c>
      <c r="CD51" s="766">
        <f t="shared" si="53"/>
        <v>0</v>
      </c>
      <c r="CE51" s="766">
        <f t="shared" si="53"/>
        <v>0</v>
      </c>
      <c r="CF51" s="766">
        <f t="shared" si="53"/>
        <v>0</v>
      </c>
      <c r="CG51" s="766">
        <f t="shared" si="53"/>
        <v>0</v>
      </c>
      <c r="CH51" s="766">
        <f t="shared" si="53"/>
        <v>0</v>
      </c>
      <c r="CI51" s="766">
        <f t="shared" si="53"/>
        <v>0</v>
      </c>
      <c r="CJ51" s="766">
        <f t="shared" si="53"/>
        <v>0</v>
      </c>
      <c r="CK51" s="766">
        <f t="shared" si="53"/>
        <v>0</v>
      </c>
      <c r="CL51" s="766">
        <f t="shared" si="53"/>
        <v>0</v>
      </c>
      <c r="CM51" s="766">
        <f t="shared" si="53"/>
        <v>0</v>
      </c>
      <c r="CN51" s="766">
        <f t="shared" si="53"/>
        <v>0</v>
      </c>
      <c r="CO51" s="766">
        <f t="shared" si="53"/>
        <v>0</v>
      </c>
      <c r="CP51" s="766">
        <f t="shared" si="53"/>
        <v>0</v>
      </c>
      <c r="CQ51" s="766">
        <f t="shared" si="53"/>
        <v>0</v>
      </c>
      <c r="CR51" s="766">
        <f t="shared" si="53"/>
        <v>0</v>
      </c>
      <c r="CS51" s="766">
        <f t="shared" si="53"/>
        <v>0</v>
      </c>
      <c r="CT51" s="766">
        <f t="shared" si="53"/>
        <v>0</v>
      </c>
      <c r="CU51" s="766">
        <f t="shared" si="53"/>
        <v>0</v>
      </c>
      <c r="CV51" s="766">
        <f t="shared" si="53"/>
        <v>0</v>
      </c>
      <c r="CW51" s="766">
        <f t="shared" si="53"/>
        <v>0</v>
      </c>
      <c r="CX51" s="766">
        <f t="shared" si="53"/>
        <v>0</v>
      </c>
      <c r="CY51" s="766">
        <f t="shared" si="53"/>
        <v>0</v>
      </c>
      <c r="CZ51" s="766">
        <f t="shared" si="53"/>
        <v>0</v>
      </c>
      <c r="DA51" s="766">
        <f t="shared" si="53"/>
        <v>0</v>
      </c>
      <c r="DB51" s="766">
        <f t="shared" si="53"/>
        <v>0</v>
      </c>
      <c r="DC51" s="766">
        <f t="shared" si="53"/>
        <v>0</v>
      </c>
      <c r="DD51" s="766">
        <f t="shared" si="53"/>
        <v>0</v>
      </c>
      <c r="DE51" s="766">
        <f t="shared" si="53"/>
        <v>0</v>
      </c>
      <c r="DF51" s="766">
        <f t="shared" si="53"/>
        <v>0</v>
      </c>
      <c r="DG51" s="766">
        <f t="shared" si="53"/>
        <v>0</v>
      </c>
      <c r="DH51" s="766">
        <f t="shared" si="53"/>
        <v>0</v>
      </c>
      <c r="DI51" s="766">
        <f t="shared" si="53"/>
        <v>0</v>
      </c>
      <c r="DJ51" s="766">
        <f t="shared" si="53"/>
        <v>0</v>
      </c>
      <c r="DK51" s="766">
        <f t="shared" si="53"/>
        <v>0</v>
      </c>
      <c r="DL51" s="766">
        <f t="shared" si="53"/>
        <v>0</v>
      </c>
      <c r="DM51" s="766">
        <f t="shared" si="53"/>
        <v>0</v>
      </c>
      <c r="DN51" s="766">
        <f t="shared" si="53"/>
        <v>0</v>
      </c>
      <c r="DO51" s="766">
        <f t="shared" si="53"/>
        <v>0</v>
      </c>
      <c r="DP51" s="766">
        <f t="shared" si="53"/>
        <v>0</v>
      </c>
      <c r="DQ51" s="766">
        <f t="shared" si="53"/>
        <v>0</v>
      </c>
      <c r="DR51" s="766">
        <f t="shared" si="53"/>
        <v>0</v>
      </c>
      <c r="DS51" s="766">
        <f t="shared" si="53"/>
        <v>0</v>
      </c>
      <c r="DT51" s="766">
        <f t="shared" si="53"/>
        <v>0</v>
      </c>
      <c r="DU51" s="766">
        <f t="shared" si="53"/>
        <v>0</v>
      </c>
      <c r="DV51" s="766">
        <f t="shared" si="53"/>
        <v>0</v>
      </c>
      <c r="DW51" s="766">
        <f t="shared" si="53"/>
        <v>0</v>
      </c>
      <c r="DX51" s="766">
        <f t="shared" si="53"/>
        <v>0</v>
      </c>
      <c r="DY51" s="766">
        <f t="shared" si="53"/>
        <v>0</v>
      </c>
      <c r="DZ51" s="766">
        <f t="shared" si="53"/>
        <v>0</v>
      </c>
      <c r="EA51" s="766">
        <f t="shared" si="53"/>
        <v>0</v>
      </c>
      <c r="EB51" s="766">
        <f t="shared" si="53"/>
        <v>0</v>
      </c>
      <c r="EC51" s="766">
        <f t="shared" si="53"/>
        <v>0</v>
      </c>
      <c r="ED51" s="766">
        <f t="shared" si="53"/>
        <v>0</v>
      </c>
      <c r="EE51" s="766">
        <f t="shared" si="53"/>
        <v>0</v>
      </c>
      <c r="EF51" s="766">
        <f t="shared" si="53"/>
        <v>0</v>
      </c>
      <c r="EG51" s="766">
        <f t="shared" si="53"/>
        <v>0</v>
      </c>
      <c r="EH51" s="766">
        <f t="shared" ref="EH51:FB51" si="54">MAX(EH50:EH50)</f>
        <v>0</v>
      </c>
      <c r="EI51" s="766">
        <f t="shared" si="54"/>
        <v>0</v>
      </c>
      <c r="EJ51" s="766">
        <f t="shared" si="54"/>
        <v>0</v>
      </c>
      <c r="EK51" s="766">
        <f t="shared" si="54"/>
        <v>0</v>
      </c>
      <c r="EL51" s="766">
        <f t="shared" si="54"/>
        <v>0</v>
      </c>
      <c r="EM51" s="766">
        <f t="shared" si="54"/>
        <v>0</v>
      </c>
      <c r="EN51" s="766">
        <f t="shared" si="54"/>
        <v>0</v>
      </c>
      <c r="EO51" s="766">
        <f t="shared" si="54"/>
        <v>0</v>
      </c>
      <c r="EP51" s="766">
        <f t="shared" si="54"/>
        <v>0</v>
      </c>
      <c r="EQ51" s="766">
        <f t="shared" si="54"/>
        <v>0</v>
      </c>
      <c r="ER51" s="766">
        <f t="shared" si="54"/>
        <v>0</v>
      </c>
      <c r="ES51" s="766">
        <f t="shared" si="54"/>
        <v>0</v>
      </c>
      <c r="ET51" s="766">
        <f t="shared" si="54"/>
        <v>0</v>
      </c>
      <c r="EU51" s="766">
        <f t="shared" si="54"/>
        <v>0</v>
      </c>
      <c r="EV51" s="766">
        <f t="shared" si="54"/>
        <v>0</v>
      </c>
      <c r="EW51" s="766">
        <f t="shared" si="54"/>
        <v>0</v>
      </c>
      <c r="EX51" s="766">
        <f t="shared" si="54"/>
        <v>0</v>
      </c>
      <c r="EY51" s="766">
        <f t="shared" si="54"/>
        <v>0</v>
      </c>
      <c r="EZ51" s="766">
        <f t="shared" si="54"/>
        <v>0</v>
      </c>
      <c r="FA51" s="766">
        <f t="shared" si="54"/>
        <v>0</v>
      </c>
      <c r="FB51" s="766">
        <f t="shared" si="54"/>
        <v>0</v>
      </c>
      <c r="FD51" s="728"/>
    </row>
    <row r="52" spans="2:161" s="742" customFormat="1" hidden="1">
      <c r="B52" s="692" t="s">
        <v>361</v>
      </c>
      <c r="E52" s="704"/>
      <c r="G52" s="743"/>
      <c r="I52" s="760">
        <f t="shared" ref="I52:BT52" si="55">-(I34+I44)</f>
        <v>12880796.316834297</v>
      </c>
      <c r="J52" s="760">
        <f t="shared" si="55"/>
        <v>-35667.556745865317</v>
      </c>
      <c r="K52" s="760">
        <f t="shared" si="55"/>
        <v>-35807.333206206822</v>
      </c>
      <c r="L52" s="760">
        <f t="shared" si="55"/>
        <v>-35535.770002757301</v>
      </c>
      <c r="M52" s="760">
        <f t="shared" si="55"/>
        <v>-29985.659866453872</v>
      </c>
      <c r="N52" s="760">
        <f t="shared" si="55"/>
        <v>-35792.641803333332</v>
      </c>
      <c r="O52" s="760">
        <f t="shared" si="55"/>
        <v>-30233.968873317273</v>
      </c>
      <c r="P52" s="760">
        <f t="shared" si="55"/>
        <v>-30139.676909906007</v>
      </c>
      <c r="Q52" s="760">
        <f t="shared" si="55"/>
        <v>-47110.984002844649</v>
      </c>
      <c r="R52" s="760">
        <f t="shared" si="55"/>
        <v>-30020.660176696605</v>
      </c>
      <c r="S52" s="760">
        <f t="shared" si="55"/>
        <v>-35675.237094375771</v>
      </c>
      <c r="T52" s="760">
        <f t="shared" si="55"/>
        <v>-29989.701497127437</v>
      </c>
      <c r="U52" s="760">
        <f t="shared" si="55"/>
        <v>-50120.23167468996</v>
      </c>
      <c r="V52" s="760">
        <f t="shared" si="55"/>
        <v>-41104.144563055161</v>
      </c>
      <c r="W52" s="760">
        <f t="shared" si="55"/>
        <v>-37994.422963095283</v>
      </c>
      <c r="X52" s="760">
        <f t="shared" si="55"/>
        <v>-44506.355088350145</v>
      </c>
      <c r="Y52" s="760">
        <f t="shared" si="55"/>
        <v>-46221.441929292785</v>
      </c>
      <c r="Z52" s="760">
        <f t="shared" si="55"/>
        <v>-52874.222821863084</v>
      </c>
      <c r="AA52" s="760">
        <f t="shared" si="55"/>
        <v>-48205.981586946931</v>
      </c>
      <c r="AB52" s="760">
        <f t="shared" si="55"/>
        <v>-62279.973765447146</v>
      </c>
      <c r="AC52" s="760">
        <f t="shared" si="55"/>
        <v>-74587.488345289836</v>
      </c>
      <c r="AD52" s="760">
        <f t="shared" si="55"/>
        <v>-64385.067911116232</v>
      </c>
      <c r="AE52" s="760">
        <f t="shared" si="55"/>
        <v>-71240.293520195453</v>
      </c>
      <c r="AF52" s="760">
        <f t="shared" si="55"/>
        <v>-66729.301486031996</v>
      </c>
      <c r="AG52" s="760">
        <f t="shared" si="55"/>
        <v>-73569.38004718411</v>
      </c>
      <c r="AH52" s="760">
        <f t="shared" si="55"/>
        <v>-68550.49332458686</v>
      </c>
      <c r="AI52" s="760">
        <f t="shared" si="55"/>
        <v>-69463.082498088042</v>
      </c>
      <c r="AJ52" s="760">
        <f t="shared" si="55"/>
        <v>-76293.529188760658</v>
      </c>
      <c r="AK52" s="760">
        <f t="shared" si="55"/>
        <v>-71743.31798194311</v>
      </c>
      <c r="AL52" s="760">
        <f t="shared" si="55"/>
        <v>-78538.909145633574</v>
      </c>
      <c r="AM52" s="760">
        <f t="shared" si="55"/>
        <v>-73939.109621959316</v>
      </c>
      <c r="AN52" s="760">
        <f t="shared" si="55"/>
        <v>-74986.850255316094</v>
      </c>
      <c r="AO52" s="760">
        <f t="shared" si="55"/>
        <v>-92915.06085695517</v>
      </c>
      <c r="AP52" s="760">
        <f t="shared" si="55"/>
        <v>-76653.45202546753</v>
      </c>
      <c r="AQ52" s="760">
        <f t="shared" si="55"/>
        <v>-83276.808387756013</v>
      </c>
      <c r="AR52" s="760">
        <f t="shared" si="55"/>
        <v>-78527.557157936637</v>
      </c>
      <c r="AS52" s="760">
        <f t="shared" si="55"/>
        <v>-85109.00956469313</v>
      </c>
      <c r="AT52" s="760">
        <f t="shared" si="55"/>
        <v>-80300.055341265106</v>
      </c>
      <c r="AU52" s="760">
        <f t="shared" si="55"/>
        <v>-80773.965351417835</v>
      </c>
      <c r="AV52" s="760">
        <f t="shared" si="55"/>
        <v>-87113.955717677454</v>
      </c>
      <c r="AW52" s="760">
        <f t="shared" si="55"/>
        <v>-82270.792630672586</v>
      </c>
      <c r="AX52" s="760">
        <f t="shared" si="55"/>
        <v>-88780.894060291655</v>
      </c>
      <c r="AY52" s="760">
        <f t="shared" si="55"/>
        <v>-83930.715174608224</v>
      </c>
      <c r="AZ52" s="760">
        <f t="shared" si="55"/>
        <v>-84748.547592195901</v>
      </c>
      <c r="BA52" s="760">
        <f t="shared" si="55"/>
        <v>-102598.53396308223</v>
      </c>
      <c r="BB52" s="760">
        <f t="shared" si="55"/>
        <v>-86251.685563522449</v>
      </c>
      <c r="BC52" s="760">
        <f t="shared" si="55"/>
        <v>-92559.15970397451</v>
      </c>
      <c r="BD52" s="760">
        <f t="shared" si="55"/>
        <v>-15917074.134465365</v>
      </c>
      <c r="BE52" s="760">
        <f t="shared" si="55"/>
        <v>0</v>
      </c>
      <c r="BF52" s="760">
        <f t="shared" si="55"/>
        <v>0</v>
      </c>
      <c r="BG52" s="760">
        <f t="shared" si="55"/>
        <v>0</v>
      </c>
      <c r="BH52" s="760">
        <f t="shared" si="55"/>
        <v>0</v>
      </c>
      <c r="BI52" s="760">
        <f t="shared" si="55"/>
        <v>0</v>
      </c>
      <c r="BJ52" s="760">
        <f t="shared" si="55"/>
        <v>0</v>
      </c>
      <c r="BK52" s="760">
        <f t="shared" si="55"/>
        <v>0</v>
      </c>
      <c r="BL52" s="760">
        <f t="shared" si="55"/>
        <v>0</v>
      </c>
      <c r="BM52" s="760">
        <f t="shared" si="55"/>
        <v>0</v>
      </c>
      <c r="BN52" s="760">
        <f t="shared" si="55"/>
        <v>0</v>
      </c>
      <c r="BO52" s="760">
        <f t="shared" si="55"/>
        <v>0</v>
      </c>
      <c r="BP52" s="760">
        <f t="shared" si="55"/>
        <v>0</v>
      </c>
      <c r="BQ52" s="760">
        <f t="shared" si="55"/>
        <v>0</v>
      </c>
      <c r="BR52" s="760">
        <f t="shared" si="55"/>
        <v>0</v>
      </c>
      <c r="BS52" s="760">
        <f t="shared" si="55"/>
        <v>0</v>
      </c>
      <c r="BT52" s="760">
        <f t="shared" si="55"/>
        <v>0</v>
      </c>
      <c r="BU52" s="760">
        <f t="shared" ref="BU52:EF52" si="56">-(BU34+BU44)</f>
        <v>0</v>
      </c>
      <c r="BV52" s="760">
        <f t="shared" si="56"/>
        <v>0</v>
      </c>
      <c r="BW52" s="760">
        <f t="shared" si="56"/>
        <v>0</v>
      </c>
      <c r="BX52" s="760">
        <f t="shared" si="56"/>
        <v>0</v>
      </c>
      <c r="BY52" s="760">
        <f t="shared" si="56"/>
        <v>0</v>
      </c>
      <c r="BZ52" s="760">
        <f t="shared" si="56"/>
        <v>0</v>
      </c>
      <c r="CA52" s="760">
        <f t="shared" si="56"/>
        <v>0</v>
      </c>
      <c r="CB52" s="760">
        <f t="shared" si="56"/>
        <v>0</v>
      </c>
      <c r="CC52" s="760">
        <f t="shared" si="56"/>
        <v>0</v>
      </c>
      <c r="CD52" s="760">
        <f t="shared" si="56"/>
        <v>0</v>
      </c>
      <c r="CE52" s="760">
        <f t="shared" si="56"/>
        <v>0</v>
      </c>
      <c r="CF52" s="760">
        <f t="shared" si="56"/>
        <v>0</v>
      </c>
      <c r="CG52" s="760">
        <f t="shared" si="56"/>
        <v>0</v>
      </c>
      <c r="CH52" s="760">
        <f t="shared" si="56"/>
        <v>0</v>
      </c>
      <c r="CI52" s="760">
        <f t="shared" si="56"/>
        <v>0</v>
      </c>
      <c r="CJ52" s="760">
        <f t="shared" si="56"/>
        <v>0</v>
      </c>
      <c r="CK52" s="760">
        <f t="shared" si="56"/>
        <v>0</v>
      </c>
      <c r="CL52" s="760">
        <f t="shared" si="56"/>
        <v>0</v>
      </c>
      <c r="CM52" s="760">
        <f t="shared" si="56"/>
        <v>0</v>
      </c>
      <c r="CN52" s="760">
        <f t="shared" si="56"/>
        <v>0</v>
      </c>
      <c r="CO52" s="760">
        <f t="shared" si="56"/>
        <v>0</v>
      </c>
      <c r="CP52" s="760">
        <f t="shared" si="56"/>
        <v>0</v>
      </c>
      <c r="CQ52" s="760">
        <f t="shared" si="56"/>
        <v>0</v>
      </c>
      <c r="CR52" s="760">
        <f t="shared" si="56"/>
        <v>0</v>
      </c>
      <c r="CS52" s="760">
        <f t="shared" si="56"/>
        <v>0</v>
      </c>
      <c r="CT52" s="760">
        <f t="shared" si="56"/>
        <v>0</v>
      </c>
      <c r="CU52" s="760">
        <f t="shared" si="56"/>
        <v>0</v>
      </c>
      <c r="CV52" s="760">
        <f t="shared" si="56"/>
        <v>0</v>
      </c>
      <c r="CW52" s="760">
        <f t="shared" si="56"/>
        <v>0</v>
      </c>
      <c r="CX52" s="760">
        <f t="shared" si="56"/>
        <v>0</v>
      </c>
      <c r="CY52" s="760">
        <f t="shared" si="56"/>
        <v>0</v>
      </c>
      <c r="CZ52" s="760">
        <f t="shared" si="56"/>
        <v>0</v>
      </c>
      <c r="DA52" s="760">
        <f t="shared" si="56"/>
        <v>0</v>
      </c>
      <c r="DB52" s="760">
        <f t="shared" si="56"/>
        <v>0</v>
      </c>
      <c r="DC52" s="760">
        <f t="shared" si="56"/>
        <v>0</v>
      </c>
      <c r="DD52" s="760">
        <f t="shared" si="56"/>
        <v>0</v>
      </c>
      <c r="DE52" s="760">
        <f t="shared" si="56"/>
        <v>0</v>
      </c>
      <c r="DF52" s="760">
        <f t="shared" si="56"/>
        <v>0</v>
      </c>
      <c r="DG52" s="760">
        <f t="shared" si="56"/>
        <v>0</v>
      </c>
      <c r="DH52" s="760">
        <f t="shared" si="56"/>
        <v>0</v>
      </c>
      <c r="DI52" s="760">
        <f t="shared" si="56"/>
        <v>0</v>
      </c>
      <c r="DJ52" s="760">
        <f t="shared" si="56"/>
        <v>0</v>
      </c>
      <c r="DK52" s="760">
        <f t="shared" si="56"/>
        <v>0</v>
      </c>
      <c r="DL52" s="760">
        <f t="shared" si="56"/>
        <v>0</v>
      </c>
      <c r="DM52" s="760">
        <f t="shared" si="56"/>
        <v>0</v>
      </c>
      <c r="DN52" s="760">
        <f t="shared" si="56"/>
        <v>0</v>
      </c>
      <c r="DO52" s="760">
        <f t="shared" si="56"/>
        <v>0</v>
      </c>
      <c r="DP52" s="760">
        <f t="shared" si="56"/>
        <v>0</v>
      </c>
      <c r="DQ52" s="760">
        <f t="shared" si="56"/>
        <v>0</v>
      </c>
      <c r="DR52" s="760">
        <f t="shared" si="56"/>
        <v>0</v>
      </c>
      <c r="DS52" s="760">
        <f t="shared" si="56"/>
        <v>0</v>
      </c>
      <c r="DT52" s="760">
        <f t="shared" si="56"/>
        <v>0</v>
      </c>
      <c r="DU52" s="760">
        <f t="shared" si="56"/>
        <v>0</v>
      </c>
      <c r="DV52" s="760">
        <f t="shared" si="56"/>
        <v>0</v>
      </c>
      <c r="DW52" s="760">
        <f t="shared" si="56"/>
        <v>0</v>
      </c>
      <c r="DX52" s="760">
        <f t="shared" si="56"/>
        <v>0</v>
      </c>
      <c r="DY52" s="760">
        <f t="shared" si="56"/>
        <v>0</v>
      </c>
      <c r="DZ52" s="760">
        <f t="shared" si="56"/>
        <v>0</v>
      </c>
      <c r="EA52" s="760">
        <f t="shared" si="56"/>
        <v>0</v>
      </c>
      <c r="EB52" s="760">
        <f t="shared" si="56"/>
        <v>0</v>
      </c>
      <c r="EC52" s="760">
        <f t="shared" si="56"/>
        <v>0</v>
      </c>
      <c r="ED52" s="760">
        <f t="shared" si="56"/>
        <v>0</v>
      </c>
      <c r="EE52" s="760">
        <f t="shared" si="56"/>
        <v>0</v>
      </c>
      <c r="EF52" s="760">
        <f t="shared" si="56"/>
        <v>0</v>
      </c>
      <c r="EG52" s="760">
        <f t="shared" ref="EG52:FB52" si="57">-(EG34+EG44)</f>
        <v>0</v>
      </c>
      <c r="EH52" s="760">
        <f t="shared" si="57"/>
        <v>0</v>
      </c>
      <c r="EI52" s="760">
        <f t="shared" si="57"/>
        <v>0</v>
      </c>
      <c r="EJ52" s="760">
        <f t="shared" si="57"/>
        <v>0</v>
      </c>
      <c r="EK52" s="760">
        <f t="shared" si="57"/>
        <v>0</v>
      </c>
      <c r="EL52" s="760">
        <f t="shared" si="57"/>
        <v>0</v>
      </c>
      <c r="EM52" s="760">
        <f t="shared" si="57"/>
        <v>0</v>
      </c>
      <c r="EN52" s="760">
        <f t="shared" si="57"/>
        <v>0</v>
      </c>
      <c r="EO52" s="760">
        <f t="shared" si="57"/>
        <v>0</v>
      </c>
      <c r="EP52" s="760">
        <f t="shared" si="57"/>
        <v>0</v>
      </c>
      <c r="EQ52" s="760">
        <f t="shared" si="57"/>
        <v>0</v>
      </c>
      <c r="ER52" s="760">
        <f t="shared" si="57"/>
        <v>0</v>
      </c>
      <c r="ES52" s="760">
        <f t="shared" si="57"/>
        <v>0</v>
      </c>
      <c r="ET52" s="760">
        <f t="shared" si="57"/>
        <v>0</v>
      </c>
      <c r="EU52" s="760">
        <f t="shared" si="57"/>
        <v>0</v>
      </c>
      <c r="EV52" s="760">
        <f t="shared" si="57"/>
        <v>0</v>
      </c>
      <c r="EW52" s="760">
        <f t="shared" si="57"/>
        <v>0</v>
      </c>
      <c r="EX52" s="760">
        <f t="shared" si="57"/>
        <v>0</v>
      </c>
      <c r="EY52" s="760">
        <f t="shared" si="57"/>
        <v>0</v>
      </c>
      <c r="EZ52" s="760">
        <f t="shared" si="57"/>
        <v>0</v>
      </c>
      <c r="FA52" s="760">
        <f t="shared" si="57"/>
        <v>0</v>
      </c>
      <c r="FB52" s="760">
        <f t="shared" si="57"/>
        <v>0</v>
      </c>
      <c r="FC52" s="692"/>
      <c r="FD52" s="743"/>
      <c r="FE52" s="692"/>
    </row>
    <row r="53" spans="2:161" s="742" customFormat="1" hidden="1">
      <c r="B53" s="692" t="s">
        <v>382</v>
      </c>
      <c r="E53" s="704"/>
      <c r="G53" s="743"/>
      <c r="I53" s="745">
        <f t="shared" ref="I53:AN53" si="58">SUM(I51:I52)</f>
        <v>12880796.316834297</v>
      </c>
      <c r="J53" s="745">
        <f t="shared" si="58"/>
        <v>13012425.045211485</v>
      </c>
      <c r="K53" s="745">
        <f t="shared" si="58"/>
        <v>13151294.77217889</v>
      </c>
      <c r="L53" s="745">
        <f t="shared" si="58"/>
        <v>13292300.231063064</v>
      </c>
      <c r="M53" s="745">
        <f t="shared" si="58"/>
        <v>13434955.485212997</v>
      </c>
      <c r="N53" s="745">
        <f t="shared" si="58"/>
        <v>13579511.895916514</v>
      </c>
      <c r="O53" s="745">
        <f t="shared" si="58"/>
        <v>13725649.157368613</v>
      </c>
      <c r="P53" s="745">
        <f t="shared" si="58"/>
        <v>13879760.766091727</v>
      </c>
      <c r="Q53" s="745">
        <f t="shared" si="58"/>
        <v>14006874.072964938</v>
      </c>
      <c r="R53" s="745">
        <f t="shared" si="58"/>
        <v>14146573.94557563</v>
      </c>
      <c r="S53" s="745">
        <f t="shared" si="58"/>
        <v>14300800.432391744</v>
      </c>
      <c r="T53" s="745">
        <f t="shared" si="58"/>
        <v>14456550.084873725</v>
      </c>
      <c r="U53" s="745">
        <f t="shared" si="58"/>
        <v>14600492.655505633</v>
      </c>
      <c r="V53" s="745">
        <f t="shared" si="58"/>
        <v>14749020.279208351</v>
      </c>
      <c r="W53" s="745">
        <f t="shared" si="58"/>
        <v>14909014.739475066</v>
      </c>
      <c r="X53" s="745">
        <f t="shared" si="58"/>
        <v>15064645.011935236</v>
      </c>
      <c r="Y53" s="745">
        <f t="shared" si="58"/>
        <v>15214083.767186495</v>
      </c>
      <c r="Z53" s="745">
        <f t="shared" si="58"/>
        <v>15365441.377897084</v>
      </c>
      <c r="AA53" s="745">
        <f t="shared" si="58"/>
        <v>15516802.348427739</v>
      </c>
      <c r="AB53" s="745">
        <f t="shared" si="58"/>
        <v>15662817.862098411</v>
      </c>
      <c r="AC53" s="745">
        <f t="shared" si="58"/>
        <v>15798485.953991247</v>
      </c>
      <c r="AD53" s="745">
        <f t="shared" si="58"/>
        <v>15932409.78049377</v>
      </c>
      <c r="AE53" s="745">
        <f t="shared" si="58"/>
        <v>16075044.033206755</v>
      </c>
      <c r="AF53" s="745">
        <f t="shared" si="58"/>
        <v>16217098.030811502</v>
      </c>
      <c r="AG53" s="745">
        <f t="shared" si="58"/>
        <v>16361224.814141016</v>
      </c>
      <c r="AH53" s="745">
        <f t="shared" si="58"/>
        <v>16505174.547055671</v>
      </c>
      <c r="AI53" s="745">
        <f t="shared" si="58"/>
        <v>16657274.728708178</v>
      </c>
      <c r="AJ53" s="745">
        <f t="shared" si="58"/>
        <v>16804586.236244347</v>
      </c>
      <c r="AK53" s="745">
        <f t="shared" si="58"/>
        <v>16951101.539950214</v>
      </c>
      <c r="AL53" s="745">
        <f t="shared" si="58"/>
        <v>17100111.959497351</v>
      </c>
      <c r="AM53" s="745">
        <f t="shared" si="58"/>
        <v>17248269.771187108</v>
      </c>
      <c r="AN53" s="745">
        <f t="shared" si="58"/>
        <v>17404821.396369241</v>
      </c>
      <c r="AO53" s="745">
        <f t="shared" ref="AO53:CZ53" si="59">SUM(AO51:AO52)</f>
        <v>17545546.339108948</v>
      </c>
      <c r="AP53" s="745">
        <f t="shared" si="59"/>
        <v>17681491.319625042</v>
      </c>
      <c r="AQ53" s="745">
        <f t="shared" si="59"/>
        <v>17835568.495023258</v>
      </c>
      <c r="AR53" s="745">
        <f t="shared" si="59"/>
        <v>17988689.997355182</v>
      </c>
      <c r="AS53" s="745">
        <f t="shared" si="59"/>
        <v>18145058.765698515</v>
      </c>
      <c r="AT53" s="745">
        <f t="shared" si="59"/>
        <v>18300427.441557784</v>
      </c>
      <c r="AU53" s="745">
        <f t="shared" si="59"/>
        <v>18465315.976032879</v>
      </c>
      <c r="AV53" s="745">
        <f t="shared" si="59"/>
        <v>18626077.96186056</v>
      </c>
      <c r="AW53" s="745">
        <f t="shared" si="59"/>
        <v>18785723.396517731</v>
      </c>
      <c r="AX53" s="745">
        <f t="shared" si="59"/>
        <v>18949119.550527804</v>
      </c>
      <c r="AY53" s="745">
        <f t="shared" si="59"/>
        <v>19111300.739398509</v>
      </c>
      <c r="AZ53" s="745">
        <f t="shared" si="59"/>
        <v>19283099.746751141</v>
      </c>
      <c r="BA53" s="745">
        <f t="shared" si="59"/>
        <v>19439354.974718969</v>
      </c>
      <c r="BB53" s="745">
        <f t="shared" si="59"/>
        <v>19588648.898130428</v>
      </c>
      <c r="BC53" s="745">
        <f t="shared" si="59"/>
        <v>19759045.151457451</v>
      </c>
      <c r="BD53" s="745">
        <f t="shared" si="59"/>
        <v>4098602.2663425077</v>
      </c>
      <c r="BE53" s="745">
        <f t="shared" si="59"/>
        <v>0</v>
      </c>
      <c r="BF53" s="745">
        <f t="shared" si="59"/>
        <v>0</v>
      </c>
      <c r="BG53" s="745">
        <f t="shared" si="59"/>
        <v>0</v>
      </c>
      <c r="BH53" s="745">
        <f t="shared" si="59"/>
        <v>0</v>
      </c>
      <c r="BI53" s="745">
        <f t="shared" si="59"/>
        <v>0</v>
      </c>
      <c r="BJ53" s="745">
        <f t="shared" si="59"/>
        <v>0</v>
      </c>
      <c r="BK53" s="745">
        <f t="shared" si="59"/>
        <v>0</v>
      </c>
      <c r="BL53" s="745">
        <f t="shared" si="59"/>
        <v>0</v>
      </c>
      <c r="BM53" s="745">
        <f t="shared" si="59"/>
        <v>0</v>
      </c>
      <c r="BN53" s="745">
        <f t="shared" si="59"/>
        <v>0</v>
      </c>
      <c r="BO53" s="745">
        <f t="shared" si="59"/>
        <v>0</v>
      </c>
      <c r="BP53" s="745">
        <f t="shared" si="59"/>
        <v>0</v>
      </c>
      <c r="BQ53" s="745">
        <f t="shared" si="59"/>
        <v>0</v>
      </c>
      <c r="BR53" s="745">
        <f t="shared" si="59"/>
        <v>0</v>
      </c>
      <c r="BS53" s="745">
        <f t="shared" si="59"/>
        <v>0</v>
      </c>
      <c r="BT53" s="745">
        <f t="shared" si="59"/>
        <v>0</v>
      </c>
      <c r="BU53" s="745">
        <f t="shared" si="59"/>
        <v>0</v>
      </c>
      <c r="BV53" s="745">
        <f t="shared" si="59"/>
        <v>0</v>
      </c>
      <c r="BW53" s="745">
        <f t="shared" si="59"/>
        <v>0</v>
      </c>
      <c r="BX53" s="745">
        <f t="shared" si="59"/>
        <v>0</v>
      </c>
      <c r="BY53" s="745">
        <f t="shared" si="59"/>
        <v>0</v>
      </c>
      <c r="BZ53" s="745">
        <f t="shared" si="59"/>
        <v>0</v>
      </c>
      <c r="CA53" s="745">
        <f t="shared" si="59"/>
        <v>0</v>
      </c>
      <c r="CB53" s="745">
        <f t="shared" si="59"/>
        <v>0</v>
      </c>
      <c r="CC53" s="745">
        <f t="shared" si="59"/>
        <v>0</v>
      </c>
      <c r="CD53" s="745">
        <f t="shared" si="59"/>
        <v>0</v>
      </c>
      <c r="CE53" s="745">
        <f t="shared" si="59"/>
        <v>0</v>
      </c>
      <c r="CF53" s="745">
        <f t="shared" si="59"/>
        <v>0</v>
      </c>
      <c r="CG53" s="745">
        <f t="shared" si="59"/>
        <v>0</v>
      </c>
      <c r="CH53" s="745">
        <f t="shared" si="59"/>
        <v>0</v>
      </c>
      <c r="CI53" s="745">
        <f t="shared" si="59"/>
        <v>0</v>
      </c>
      <c r="CJ53" s="745">
        <f t="shared" si="59"/>
        <v>0</v>
      </c>
      <c r="CK53" s="745">
        <f t="shared" si="59"/>
        <v>0</v>
      </c>
      <c r="CL53" s="745">
        <f t="shared" si="59"/>
        <v>0</v>
      </c>
      <c r="CM53" s="745">
        <f t="shared" si="59"/>
        <v>0</v>
      </c>
      <c r="CN53" s="745">
        <f t="shared" si="59"/>
        <v>0</v>
      </c>
      <c r="CO53" s="745">
        <f t="shared" si="59"/>
        <v>0</v>
      </c>
      <c r="CP53" s="745">
        <f t="shared" si="59"/>
        <v>0</v>
      </c>
      <c r="CQ53" s="745">
        <f t="shared" si="59"/>
        <v>0</v>
      </c>
      <c r="CR53" s="745">
        <f t="shared" si="59"/>
        <v>0</v>
      </c>
      <c r="CS53" s="745">
        <f t="shared" si="59"/>
        <v>0</v>
      </c>
      <c r="CT53" s="745">
        <f t="shared" si="59"/>
        <v>0</v>
      </c>
      <c r="CU53" s="745">
        <f t="shared" si="59"/>
        <v>0</v>
      </c>
      <c r="CV53" s="745">
        <f t="shared" si="59"/>
        <v>0</v>
      </c>
      <c r="CW53" s="745">
        <f t="shared" si="59"/>
        <v>0</v>
      </c>
      <c r="CX53" s="745">
        <f t="shared" si="59"/>
        <v>0</v>
      </c>
      <c r="CY53" s="745">
        <f t="shared" si="59"/>
        <v>0</v>
      </c>
      <c r="CZ53" s="745">
        <f t="shared" si="59"/>
        <v>0</v>
      </c>
      <c r="DA53" s="745">
        <f t="shared" ref="DA53:FB53" si="60">SUM(DA51:DA52)</f>
        <v>0</v>
      </c>
      <c r="DB53" s="745">
        <f t="shared" si="60"/>
        <v>0</v>
      </c>
      <c r="DC53" s="745">
        <f t="shared" si="60"/>
        <v>0</v>
      </c>
      <c r="DD53" s="745">
        <f t="shared" si="60"/>
        <v>0</v>
      </c>
      <c r="DE53" s="745">
        <f t="shared" si="60"/>
        <v>0</v>
      </c>
      <c r="DF53" s="745">
        <f t="shared" si="60"/>
        <v>0</v>
      </c>
      <c r="DG53" s="745">
        <f t="shared" si="60"/>
        <v>0</v>
      </c>
      <c r="DH53" s="745">
        <f t="shared" si="60"/>
        <v>0</v>
      </c>
      <c r="DI53" s="745">
        <f t="shared" si="60"/>
        <v>0</v>
      </c>
      <c r="DJ53" s="745">
        <f t="shared" si="60"/>
        <v>0</v>
      </c>
      <c r="DK53" s="745">
        <f t="shared" si="60"/>
        <v>0</v>
      </c>
      <c r="DL53" s="745">
        <f t="shared" si="60"/>
        <v>0</v>
      </c>
      <c r="DM53" s="745">
        <f t="shared" si="60"/>
        <v>0</v>
      </c>
      <c r="DN53" s="745">
        <f t="shared" si="60"/>
        <v>0</v>
      </c>
      <c r="DO53" s="745">
        <f t="shared" si="60"/>
        <v>0</v>
      </c>
      <c r="DP53" s="745">
        <f t="shared" si="60"/>
        <v>0</v>
      </c>
      <c r="DQ53" s="745">
        <f t="shared" si="60"/>
        <v>0</v>
      </c>
      <c r="DR53" s="745">
        <f t="shared" si="60"/>
        <v>0</v>
      </c>
      <c r="DS53" s="745">
        <f t="shared" si="60"/>
        <v>0</v>
      </c>
      <c r="DT53" s="745">
        <f t="shared" si="60"/>
        <v>0</v>
      </c>
      <c r="DU53" s="745">
        <f t="shared" si="60"/>
        <v>0</v>
      </c>
      <c r="DV53" s="745">
        <f t="shared" si="60"/>
        <v>0</v>
      </c>
      <c r="DW53" s="745">
        <f t="shared" si="60"/>
        <v>0</v>
      </c>
      <c r="DX53" s="745">
        <f t="shared" si="60"/>
        <v>0</v>
      </c>
      <c r="DY53" s="745">
        <f t="shared" si="60"/>
        <v>0</v>
      </c>
      <c r="DZ53" s="745">
        <f t="shared" si="60"/>
        <v>0</v>
      </c>
      <c r="EA53" s="745">
        <f t="shared" si="60"/>
        <v>0</v>
      </c>
      <c r="EB53" s="745">
        <f t="shared" si="60"/>
        <v>0</v>
      </c>
      <c r="EC53" s="745">
        <f t="shared" si="60"/>
        <v>0</v>
      </c>
      <c r="ED53" s="745">
        <f t="shared" si="60"/>
        <v>0</v>
      </c>
      <c r="EE53" s="745">
        <f t="shared" si="60"/>
        <v>0</v>
      </c>
      <c r="EF53" s="745">
        <f t="shared" si="60"/>
        <v>0</v>
      </c>
      <c r="EG53" s="745">
        <f t="shared" si="60"/>
        <v>0</v>
      </c>
      <c r="EH53" s="745">
        <f t="shared" si="60"/>
        <v>0</v>
      </c>
      <c r="EI53" s="745">
        <f t="shared" si="60"/>
        <v>0</v>
      </c>
      <c r="EJ53" s="745">
        <f t="shared" si="60"/>
        <v>0</v>
      </c>
      <c r="EK53" s="745">
        <f t="shared" si="60"/>
        <v>0</v>
      </c>
      <c r="EL53" s="745">
        <f t="shared" si="60"/>
        <v>0</v>
      </c>
      <c r="EM53" s="745">
        <f t="shared" si="60"/>
        <v>0</v>
      </c>
      <c r="EN53" s="745">
        <f t="shared" si="60"/>
        <v>0</v>
      </c>
      <c r="EO53" s="745">
        <f t="shared" si="60"/>
        <v>0</v>
      </c>
      <c r="EP53" s="745">
        <f t="shared" si="60"/>
        <v>0</v>
      </c>
      <c r="EQ53" s="745">
        <f t="shared" si="60"/>
        <v>0</v>
      </c>
      <c r="ER53" s="745">
        <f t="shared" si="60"/>
        <v>0</v>
      </c>
      <c r="ES53" s="745">
        <f t="shared" si="60"/>
        <v>0</v>
      </c>
      <c r="ET53" s="745">
        <f t="shared" si="60"/>
        <v>0</v>
      </c>
      <c r="EU53" s="745">
        <f t="shared" si="60"/>
        <v>0</v>
      </c>
      <c r="EV53" s="745">
        <f t="shared" si="60"/>
        <v>0</v>
      </c>
      <c r="EW53" s="745">
        <f t="shared" si="60"/>
        <v>0</v>
      </c>
      <c r="EX53" s="745">
        <f t="shared" si="60"/>
        <v>0</v>
      </c>
      <c r="EY53" s="745">
        <f t="shared" si="60"/>
        <v>0</v>
      </c>
      <c r="EZ53" s="745">
        <f t="shared" si="60"/>
        <v>0</v>
      </c>
      <c r="FA53" s="745">
        <f t="shared" si="60"/>
        <v>0</v>
      </c>
      <c r="FB53" s="745">
        <f t="shared" si="60"/>
        <v>0</v>
      </c>
      <c r="FC53" s="692"/>
      <c r="FD53" s="743"/>
      <c r="FE53" s="692"/>
    </row>
    <row r="54" spans="2:161" s="747" customFormat="1">
      <c r="B54" s="747" t="s">
        <v>383</v>
      </c>
      <c r="E54" s="748"/>
      <c r="G54" s="743">
        <f>SUM(I54:FB54)</f>
        <v>9473167.0914026648</v>
      </c>
      <c r="I54" s="749">
        <f t="shared" ref="I54:BT54" si="61">MIN(I47,I53/$E55)</f>
        <v>0</v>
      </c>
      <c r="J54" s="749">
        <f t="shared" si="61"/>
        <v>0</v>
      </c>
      <c r="K54" s="749">
        <f t="shared" si="61"/>
        <v>0</v>
      </c>
      <c r="L54" s="749">
        <f t="shared" si="61"/>
        <v>0</v>
      </c>
      <c r="M54" s="749">
        <f t="shared" si="61"/>
        <v>0</v>
      </c>
      <c r="N54" s="749">
        <f t="shared" si="61"/>
        <v>0</v>
      </c>
      <c r="O54" s="749">
        <f t="shared" si="61"/>
        <v>0</v>
      </c>
      <c r="P54" s="749">
        <f t="shared" si="61"/>
        <v>0</v>
      </c>
      <c r="Q54" s="749">
        <f t="shared" si="61"/>
        <v>0</v>
      </c>
      <c r="R54" s="749">
        <f t="shared" si="61"/>
        <v>0</v>
      </c>
      <c r="S54" s="749">
        <f t="shared" si="61"/>
        <v>0</v>
      </c>
      <c r="T54" s="749">
        <f t="shared" si="61"/>
        <v>0</v>
      </c>
      <c r="U54" s="749">
        <f t="shared" si="61"/>
        <v>0</v>
      </c>
      <c r="V54" s="749">
        <f t="shared" si="61"/>
        <v>0</v>
      </c>
      <c r="W54" s="749">
        <f t="shared" si="61"/>
        <v>0</v>
      </c>
      <c r="X54" s="749">
        <f t="shared" si="61"/>
        <v>0</v>
      </c>
      <c r="Y54" s="749">
        <f t="shared" si="61"/>
        <v>0</v>
      </c>
      <c r="Z54" s="749">
        <f t="shared" si="61"/>
        <v>0</v>
      </c>
      <c r="AA54" s="749">
        <f t="shared" si="61"/>
        <v>0</v>
      </c>
      <c r="AB54" s="749">
        <f t="shared" si="61"/>
        <v>0</v>
      </c>
      <c r="AC54" s="749">
        <f t="shared" si="61"/>
        <v>0</v>
      </c>
      <c r="AD54" s="749">
        <f t="shared" si="61"/>
        <v>0</v>
      </c>
      <c r="AE54" s="749">
        <f t="shared" si="61"/>
        <v>0</v>
      </c>
      <c r="AF54" s="749">
        <f t="shared" si="61"/>
        <v>0</v>
      </c>
      <c r="AG54" s="749">
        <f t="shared" si="61"/>
        <v>0</v>
      </c>
      <c r="AH54" s="749">
        <f t="shared" si="61"/>
        <v>0</v>
      </c>
      <c r="AI54" s="749">
        <f t="shared" si="61"/>
        <v>0</v>
      </c>
      <c r="AJ54" s="749">
        <f t="shared" si="61"/>
        <v>0</v>
      </c>
      <c r="AK54" s="749">
        <f t="shared" si="61"/>
        <v>0</v>
      </c>
      <c r="AL54" s="749">
        <f t="shared" si="61"/>
        <v>0</v>
      </c>
      <c r="AM54" s="749">
        <f t="shared" si="61"/>
        <v>0</v>
      </c>
      <c r="AN54" s="749">
        <f t="shared" si="61"/>
        <v>0</v>
      </c>
      <c r="AO54" s="749">
        <f t="shared" si="61"/>
        <v>0</v>
      </c>
      <c r="AP54" s="749">
        <f t="shared" si="61"/>
        <v>0</v>
      </c>
      <c r="AQ54" s="749">
        <f t="shared" si="61"/>
        <v>0</v>
      </c>
      <c r="AR54" s="749">
        <f t="shared" si="61"/>
        <v>0</v>
      </c>
      <c r="AS54" s="749">
        <f t="shared" si="61"/>
        <v>0</v>
      </c>
      <c r="AT54" s="749">
        <f t="shared" si="61"/>
        <v>0</v>
      </c>
      <c r="AU54" s="749">
        <f t="shared" si="61"/>
        <v>0</v>
      </c>
      <c r="AV54" s="749">
        <f t="shared" si="61"/>
        <v>0</v>
      </c>
      <c r="AW54" s="749">
        <f t="shared" si="61"/>
        <v>0</v>
      </c>
      <c r="AX54" s="749">
        <f t="shared" si="61"/>
        <v>0</v>
      </c>
      <c r="AY54" s="749">
        <f t="shared" si="61"/>
        <v>0</v>
      </c>
      <c r="AZ54" s="749">
        <f t="shared" si="61"/>
        <v>0</v>
      </c>
      <c r="BA54" s="749">
        <f t="shared" si="61"/>
        <v>0</v>
      </c>
      <c r="BB54" s="749">
        <f t="shared" si="61"/>
        <v>0</v>
      </c>
      <c r="BC54" s="749">
        <f t="shared" si="61"/>
        <v>0</v>
      </c>
      <c r="BD54" s="749">
        <f t="shared" si="61"/>
        <v>9473167.0914026648</v>
      </c>
      <c r="BE54" s="749">
        <f t="shared" si="61"/>
        <v>0</v>
      </c>
      <c r="BF54" s="749">
        <f t="shared" si="61"/>
        <v>0</v>
      </c>
      <c r="BG54" s="749">
        <f t="shared" si="61"/>
        <v>0</v>
      </c>
      <c r="BH54" s="749">
        <f t="shared" si="61"/>
        <v>0</v>
      </c>
      <c r="BI54" s="749">
        <f t="shared" si="61"/>
        <v>0</v>
      </c>
      <c r="BJ54" s="749">
        <f t="shared" si="61"/>
        <v>0</v>
      </c>
      <c r="BK54" s="749">
        <f t="shared" si="61"/>
        <v>0</v>
      </c>
      <c r="BL54" s="749">
        <f t="shared" si="61"/>
        <v>0</v>
      </c>
      <c r="BM54" s="749">
        <f t="shared" si="61"/>
        <v>0</v>
      </c>
      <c r="BN54" s="749">
        <f t="shared" si="61"/>
        <v>0</v>
      </c>
      <c r="BO54" s="749">
        <f t="shared" si="61"/>
        <v>0</v>
      </c>
      <c r="BP54" s="749">
        <f t="shared" si="61"/>
        <v>0</v>
      </c>
      <c r="BQ54" s="749">
        <f t="shared" si="61"/>
        <v>0</v>
      </c>
      <c r="BR54" s="749">
        <f t="shared" si="61"/>
        <v>0</v>
      </c>
      <c r="BS54" s="749">
        <f t="shared" si="61"/>
        <v>0</v>
      </c>
      <c r="BT54" s="749">
        <f t="shared" si="61"/>
        <v>0</v>
      </c>
      <c r="BU54" s="749">
        <f t="shared" ref="BU54:EF54" si="62">MIN(BU47,BU53/$E55)</f>
        <v>0</v>
      </c>
      <c r="BV54" s="749">
        <f t="shared" si="62"/>
        <v>0</v>
      </c>
      <c r="BW54" s="749">
        <f t="shared" si="62"/>
        <v>0</v>
      </c>
      <c r="BX54" s="749">
        <f t="shared" si="62"/>
        <v>0</v>
      </c>
      <c r="BY54" s="749">
        <f t="shared" si="62"/>
        <v>0</v>
      </c>
      <c r="BZ54" s="749">
        <f t="shared" si="62"/>
        <v>0</v>
      </c>
      <c r="CA54" s="749">
        <f t="shared" si="62"/>
        <v>0</v>
      </c>
      <c r="CB54" s="749">
        <f t="shared" si="62"/>
        <v>0</v>
      </c>
      <c r="CC54" s="749">
        <f t="shared" si="62"/>
        <v>0</v>
      </c>
      <c r="CD54" s="749">
        <f t="shared" si="62"/>
        <v>0</v>
      </c>
      <c r="CE54" s="749">
        <f t="shared" si="62"/>
        <v>0</v>
      </c>
      <c r="CF54" s="749">
        <f t="shared" si="62"/>
        <v>0</v>
      </c>
      <c r="CG54" s="749">
        <f t="shared" si="62"/>
        <v>0</v>
      </c>
      <c r="CH54" s="749">
        <f t="shared" si="62"/>
        <v>0</v>
      </c>
      <c r="CI54" s="749">
        <f t="shared" si="62"/>
        <v>0</v>
      </c>
      <c r="CJ54" s="749">
        <f t="shared" si="62"/>
        <v>0</v>
      </c>
      <c r="CK54" s="749">
        <f t="shared" si="62"/>
        <v>0</v>
      </c>
      <c r="CL54" s="749">
        <f t="shared" si="62"/>
        <v>0</v>
      </c>
      <c r="CM54" s="749">
        <f t="shared" si="62"/>
        <v>0</v>
      </c>
      <c r="CN54" s="749">
        <f t="shared" si="62"/>
        <v>0</v>
      </c>
      <c r="CO54" s="749">
        <f t="shared" si="62"/>
        <v>0</v>
      </c>
      <c r="CP54" s="749">
        <f t="shared" si="62"/>
        <v>0</v>
      </c>
      <c r="CQ54" s="749">
        <f t="shared" si="62"/>
        <v>0</v>
      </c>
      <c r="CR54" s="749">
        <f t="shared" si="62"/>
        <v>0</v>
      </c>
      <c r="CS54" s="749">
        <f t="shared" si="62"/>
        <v>0</v>
      </c>
      <c r="CT54" s="749">
        <f t="shared" si="62"/>
        <v>0</v>
      </c>
      <c r="CU54" s="749">
        <f t="shared" si="62"/>
        <v>0</v>
      </c>
      <c r="CV54" s="749">
        <f t="shared" si="62"/>
        <v>0</v>
      </c>
      <c r="CW54" s="749">
        <f t="shared" si="62"/>
        <v>0</v>
      </c>
      <c r="CX54" s="749">
        <f t="shared" si="62"/>
        <v>0</v>
      </c>
      <c r="CY54" s="749">
        <f t="shared" si="62"/>
        <v>0</v>
      </c>
      <c r="CZ54" s="749">
        <f t="shared" si="62"/>
        <v>0</v>
      </c>
      <c r="DA54" s="749">
        <f t="shared" si="62"/>
        <v>0</v>
      </c>
      <c r="DB54" s="749">
        <f t="shared" si="62"/>
        <v>0</v>
      </c>
      <c r="DC54" s="749">
        <f t="shared" si="62"/>
        <v>0</v>
      </c>
      <c r="DD54" s="749">
        <f t="shared" si="62"/>
        <v>0</v>
      </c>
      <c r="DE54" s="749">
        <f t="shared" si="62"/>
        <v>0</v>
      </c>
      <c r="DF54" s="749">
        <f t="shared" si="62"/>
        <v>0</v>
      </c>
      <c r="DG54" s="749">
        <f t="shared" si="62"/>
        <v>0</v>
      </c>
      <c r="DH54" s="749">
        <f t="shared" si="62"/>
        <v>0</v>
      </c>
      <c r="DI54" s="749">
        <f t="shared" si="62"/>
        <v>0</v>
      </c>
      <c r="DJ54" s="749">
        <f t="shared" si="62"/>
        <v>0</v>
      </c>
      <c r="DK54" s="749">
        <f t="shared" si="62"/>
        <v>0</v>
      </c>
      <c r="DL54" s="749">
        <f t="shared" si="62"/>
        <v>0</v>
      </c>
      <c r="DM54" s="749">
        <f t="shared" si="62"/>
        <v>0</v>
      </c>
      <c r="DN54" s="749">
        <f t="shared" si="62"/>
        <v>0</v>
      </c>
      <c r="DO54" s="749">
        <f t="shared" si="62"/>
        <v>0</v>
      </c>
      <c r="DP54" s="749">
        <f t="shared" si="62"/>
        <v>0</v>
      </c>
      <c r="DQ54" s="749">
        <f t="shared" si="62"/>
        <v>0</v>
      </c>
      <c r="DR54" s="749">
        <f t="shared" si="62"/>
        <v>0</v>
      </c>
      <c r="DS54" s="749">
        <f t="shared" si="62"/>
        <v>0</v>
      </c>
      <c r="DT54" s="749">
        <f t="shared" si="62"/>
        <v>0</v>
      </c>
      <c r="DU54" s="749">
        <f t="shared" si="62"/>
        <v>0</v>
      </c>
      <c r="DV54" s="749">
        <f t="shared" si="62"/>
        <v>0</v>
      </c>
      <c r="DW54" s="749">
        <f t="shared" si="62"/>
        <v>0</v>
      </c>
      <c r="DX54" s="749">
        <f t="shared" si="62"/>
        <v>0</v>
      </c>
      <c r="DY54" s="749">
        <f t="shared" si="62"/>
        <v>0</v>
      </c>
      <c r="DZ54" s="749">
        <f t="shared" si="62"/>
        <v>0</v>
      </c>
      <c r="EA54" s="749">
        <f t="shared" si="62"/>
        <v>0</v>
      </c>
      <c r="EB54" s="749">
        <f t="shared" si="62"/>
        <v>0</v>
      </c>
      <c r="EC54" s="749">
        <f t="shared" si="62"/>
        <v>0</v>
      </c>
      <c r="ED54" s="749">
        <f t="shared" si="62"/>
        <v>0</v>
      </c>
      <c r="EE54" s="749">
        <f t="shared" si="62"/>
        <v>0</v>
      </c>
      <c r="EF54" s="749">
        <f t="shared" si="62"/>
        <v>0</v>
      </c>
      <c r="EG54" s="749">
        <f t="shared" ref="EG54:FB54" si="63">MIN(EG47,EG53/$E55)</f>
        <v>0</v>
      </c>
      <c r="EH54" s="749">
        <f t="shared" si="63"/>
        <v>0</v>
      </c>
      <c r="EI54" s="749">
        <f t="shared" si="63"/>
        <v>0</v>
      </c>
      <c r="EJ54" s="749">
        <f t="shared" si="63"/>
        <v>0</v>
      </c>
      <c r="EK54" s="749">
        <f t="shared" si="63"/>
        <v>0</v>
      </c>
      <c r="EL54" s="749">
        <f t="shared" si="63"/>
        <v>0</v>
      </c>
      <c r="EM54" s="749">
        <f t="shared" si="63"/>
        <v>0</v>
      </c>
      <c r="EN54" s="749">
        <f t="shared" si="63"/>
        <v>0</v>
      </c>
      <c r="EO54" s="749">
        <f t="shared" si="63"/>
        <v>0</v>
      </c>
      <c r="EP54" s="749">
        <f t="shared" si="63"/>
        <v>0</v>
      </c>
      <c r="EQ54" s="749">
        <f t="shared" si="63"/>
        <v>0</v>
      </c>
      <c r="ER54" s="749">
        <f t="shared" si="63"/>
        <v>0</v>
      </c>
      <c r="ES54" s="749">
        <f t="shared" si="63"/>
        <v>0</v>
      </c>
      <c r="ET54" s="749">
        <f t="shared" si="63"/>
        <v>0</v>
      </c>
      <c r="EU54" s="749">
        <f t="shared" si="63"/>
        <v>0</v>
      </c>
      <c r="EV54" s="749">
        <f t="shared" si="63"/>
        <v>0</v>
      </c>
      <c r="EW54" s="749">
        <f t="shared" si="63"/>
        <v>0</v>
      </c>
      <c r="EX54" s="749">
        <f t="shared" si="63"/>
        <v>0</v>
      </c>
      <c r="EY54" s="749">
        <f t="shared" si="63"/>
        <v>0</v>
      </c>
      <c r="EZ54" s="749">
        <f t="shared" si="63"/>
        <v>0</v>
      </c>
      <c r="FA54" s="749">
        <f t="shared" si="63"/>
        <v>0</v>
      </c>
      <c r="FB54" s="749">
        <f t="shared" si="63"/>
        <v>0</v>
      </c>
      <c r="FC54" s="692"/>
      <c r="FD54" s="743">
        <f>SUM(I54:FB54)</f>
        <v>9473167.0914026648</v>
      </c>
      <c r="FE54" s="699"/>
    </row>
    <row r="55" spans="2:161" s="742" customFormat="1">
      <c r="B55" s="750" t="s">
        <v>356</v>
      </c>
      <c r="C55" s="751"/>
      <c r="D55" s="751"/>
      <c r="E55" s="752">
        <f>1-E56-E57</f>
        <v>0.4326538555476529</v>
      </c>
      <c r="F55" s="761"/>
      <c r="G55" s="753">
        <f>SUM(I55:FB55)</f>
        <v>4098602.2663425077</v>
      </c>
      <c r="H55" s="761"/>
      <c r="I55" s="754">
        <f t="shared" ref="I55:BT55" si="64">$E55*I54</f>
        <v>0</v>
      </c>
      <c r="J55" s="754">
        <f t="shared" si="64"/>
        <v>0</v>
      </c>
      <c r="K55" s="754">
        <f t="shared" si="64"/>
        <v>0</v>
      </c>
      <c r="L55" s="754">
        <f t="shared" si="64"/>
        <v>0</v>
      </c>
      <c r="M55" s="754">
        <f t="shared" si="64"/>
        <v>0</v>
      </c>
      <c r="N55" s="754">
        <f t="shared" si="64"/>
        <v>0</v>
      </c>
      <c r="O55" s="754">
        <f t="shared" si="64"/>
        <v>0</v>
      </c>
      <c r="P55" s="754">
        <f t="shared" si="64"/>
        <v>0</v>
      </c>
      <c r="Q55" s="754">
        <f t="shared" si="64"/>
        <v>0</v>
      </c>
      <c r="R55" s="754">
        <f t="shared" si="64"/>
        <v>0</v>
      </c>
      <c r="S55" s="754">
        <f t="shared" si="64"/>
        <v>0</v>
      </c>
      <c r="T55" s="754">
        <f t="shared" si="64"/>
        <v>0</v>
      </c>
      <c r="U55" s="754">
        <f t="shared" si="64"/>
        <v>0</v>
      </c>
      <c r="V55" s="754">
        <f t="shared" si="64"/>
        <v>0</v>
      </c>
      <c r="W55" s="754">
        <f t="shared" si="64"/>
        <v>0</v>
      </c>
      <c r="X55" s="754">
        <f t="shared" si="64"/>
        <v>0</v>
      </c>
      <c r="Y55" s="754">
        <f t="shared" si="64"/>
        <v>0</v>
      </c>
      <c r="Z55" s="754">
        <f t="shared" si="64"/>
        <v>0</v>
      </c>
      <c r="AA55" s="754">
        <f t="shared" si="64"/>
        <v>0</v>
      </c>
      <c r="AB55" s="754">
        <f t="shared" si="64"/>
        <v>0</v>
      </c>
      <c r="AC55" s="754">
        <f t="shared" si="64"/>
        <v>0</v>
      </c>
      <c r="AD55" s="754">
        <f t="shared" si="64"/>
        <v>0</v>
      </c>
      <c r="AE55" s="754">
        <f t="shared" si="64"/>
        <v>0</v>
      </c>
      <c r="AF55" s="754">
        <f t="shared" si="64"/>
        <v>0</v>
      </c>
      <c r="AG55" s="754">
        <f t="shared" si="64"/>
        <v>0</v>
      </c>
      <c r="AH55" s="754">
        <f t="shared" si="64"/>
        <v>0</v>
      </c>
      <c r="AI55" s="754">
        <f t="shared" si="64"/>
        <v>0</v>
      </c>
      <c r="AJ55" s="754">
        <f t="shared" si="64"/>
        <v>0</v>
      </c>
      <c r="AK55" s="754">
        <f t="shared" si="64"/>
        <v>0</v>
      </c>
      <c r="AL55" s="754">
        <f t="shared" si="64"/>
        <v>0</v>
      </c>
      <c r="AM55" s="754">
        <f t="shared" si="64"/>
        <v>0</v>
      </c>
      <c r="AN55" s="754">
        <f t="shared" si="64"/>
        <v>0</v>
      </c>
      <c r="AO55" s="754">
        <f t="shared" si="64"/>
        <v>0</v>
      </c>
      <c r="AP55" s="754">
        <f t="shared" si="64"/>
        <v>0</v>
      </c>
      <c r="AQ55" s="754">
        <f t="shared" si="64"/>
        <v>0</v>
      </c>
      <c r="AR55" s="754">
        <f t="shared" si="64"/>
        <v>0</v>
      </c>
      <c r="AS55" s="754">
        <f t="shared" si="64"/>
        <v>0</v>
      </c>
      <c r="AT55" s="754">
        <f t="shared" si="64"/>
        <v>0</v>
      </c>
      <c r="AU55" s="754">
        <f t="shared" si="64"/>
        <v>0</v>
      </c>
      <c r="AV55" s="754">
        <f t="shared" si="64"/>
        <v>0</v>
      </c>
      <c r="AW55" s="754">
        <f t="shared" si="64"/>
        <v>0</v>
      </c>
      <c r="AX55" s="754">
        <f t="shared" si="64"/>
        <v>0</v>
      </c>
      <c r="AY55" s="754">
        <f t="shared" si="64"/>
        <v>0</v>
      </c>
      <c r="AZ55" s="754">
        <f t="shared" si="64"/>
        <v>0</v>
      </c>
      <c r="BA55" s="754">
        <f t="shared" si="64"/>
        <v>0</v>
      </c>
      <c r="BB55" s="754">
        <f t="shared" si="64"/>
        <v>0</v>
      </c>
      <c r="BC55" s="754">
        <f t="shared" si="64"/>
        <v>0</v>
      </c>
      <c r="BD55" s="754">
        <f t="shared" si="64"/>
        <v>4098602.2663425077</v>
      </c>
      <c r="BE55" s="754">
        <f t="shared" si="64"/>
        <v>0</v>
      </c>
      <c r="BF55" s="754">
        <f t="shared" si="64"/>
        <v>0</v>
      </c>
      <c r="BG55" s="754">
        <f t="shared" si="64"/>
        <v>0</v>
      </c>
      <c r="BH55" s="754">
        <f t="shared" si="64"/>
        <v>0</v>
      </c>
      <c r="BI55" s="754">
        <f t="shared" si="64"/>
        <v>0</v>
      </c>
      <c r="BJ55" s="754">
        <f t="shared" si="64"/>
        <v>0</v>
      </c>
      <c r="BK55" s="754">
        <f t="shared" si="64"/>
        <v>0</v>
      </c>
      <c r="BL55" s="754">
        <f t="shared" si="64"/>
        <v>0</v>
      </c>
      <c r="BM55" s="754">
        <f t="shared" si="64"/>
        <v>0</v>
      </c>
      <c r="BN55" s="754">
        <f t="shared" si="64"/>
        <v>0</v>
      </c>
      <c r="BO55" s="754">
        <f t="shared" si="64"/>
        <v>0</v>
      </c>
      <c r="BP55" s="754">
        <f t="shared" si="64"/>
        <v>0</v>
      </c>
      <c r="BQ55" s="754">
        <f t="shared" si="64"/>
        <v>0</v>
      </c>
      <c r="BR55" s="754">
        <f t="shared" si="64"/>
        <v>0</v>
      </c>
      <c r="BS55" s="754">
        <f t="shared" si="64"/>
        <v>0</v>
      </c>
      <c r="BT55" s="754">
        <f t="shared" si="64"/>
        <v>0</v>
      </c>
      <c r="BU55" s="754">
        <f t="shared" ref="BU55:EF55" si="65">$E55*BU54</f>
        <v>0</v>
      </c>
      <c r="BV55" s="754">
        <f t="shared" si="65"/>
        <v>0</v>
      </c>
      <c r="BW55" s="754">
        <f t="shared" si="65"/>
        <v>0</v>
      </c>
      <c r="BX55" s="754">
        <f t="shared" si="65"/>
        <v>0</v>
      </c>
      <c r="BY55" s="754">
        <f t="shared" si="65"/>
        <v>0</v>
      </c>
      <c r="BZ55" s="754">
        <f t="shared" si="65"/>
        <v>0</v>
      </c>
      <c r="CA55" s="754">
        <f t="shared" si="65"/>
        <v>0</v>
      </c>
      <c r="CB55" s="754">
        <f t="shared" si="65"/>
        <v>0</v>
      </c>
      <c r="CC55" s="754">
        <f t="shared" si="65"/>
        <v>0</v>
      </c>
      <c r="CD55" s="754">
        <f t="shared" si="65"/>
        <v>0</v>
      </c>
      <c r="CE55" s="754">
        <f t="shared" si="65"/>
        <v>0</v>
      </c>
      <c r="CF55" s="754">
        <f t="shared" si="65"/>
        <v>0</v>
      </c>
      <c r="CG55" s="754">
        <f t="shared" si="65"/>
        <v>0</v>
      </c>
      <c r="CH55" s="754">
        <f t="shared" si="65"/>
        <v>0</v>
      </c>
      <c r="CI55" s="754">
        <f t="shared" si="65"/>
        <v>0</v>
      </c>
      <c r="CJ55" s="754">
        <f t="shared" si="65"/>
        <v>0</v>
      </c>
      <c r="CK55" s="754">
        <f t="shared" si="65"/>
        <v>0</v>
      </c>
      <c r="CL55" s="754">
        <f t="shared" si="65"/>
        <v>0</v>
      </c>
      <c r="CM55" s="754">
        <f t="shared" si="65"/>
        <v>0</v>
      </c>
      <c r="CN55" s="754">
        <f t="shared" si="65"/>
        <v>0</v>
      </c>
      <c r="CO55" s="754">
        <f t="shared" si="65"/>
        <v>0</v>
      </c>
      <c r="CP55" s="754">
        <f t="shared" si="65"/>
        <v>0</v>
      </c>
      <c r="CQ55" s="754">
        <f t="shared" si="65"/>
        <v>0</v>
      </c>
      <c r="CR55" s="754">
        <f t="shared" si="65"/>
        <v>0</v>
      </c>
      <c r="CS55" s="754">
        <f t="shared" si="65"/>
        <v>0</v>
      </c>
      <c r="CT55" s="754">
        <f t="shared" si="65"/>
        <v>0</v>
      </c>
      <c r="CU55" s="754">
        <f t="shared" si="65"/>
        <v>0</v>
      </c>
      <c r="CV55" s="754">
        <f t="shared" si="65"/>
        <v>0</v>
      </c>
      <c r="CW55" s="754">
        <f t="shared" si="65"/>
        <v>0</v>
      </c>
      <c r="CX55" s="754">
        <f t="shared" si="65"/>
        <v>0</v>
      </c>
      <c r="CY55" s="754">
        <f t="shared" si="65"/>
        <v>0</v>
      </c>
      <c r="CZ55" s="754">
        <f t="shared" si="65"/>
        <v>0</v>
      </c>
      <c r="DA55" s="754">
        <f t="shared" si="65"/>
        <v>0</v>
      </c>
      <c r="DB55" s="754">
        <f t="shared" si="65"/>
        <v>0</v>
      </c>
      <c r="DC55" s="754">
        <f t="shared" si="65"/>
        <v>0</v>
      </c>
      <c r="DD55" s="754">
        <f t="shared" si="65"/>
        <v>0</v>
      </c>
      <c r="DE55" s="754">
        <f t="shared" si="65"/>
        <v>0</v>
      </c>
      <c r="DF55" s="754">
        <f t="shared" si="65"/>
        <v>0</v>
      </c>
      <c r="DG55" s="754">
        <f t="shared" si="65"/>
        <v>0</v>
      </c>
      <c r="DH55" s="754">
        <f t="shared" si="65"/>
        <v>0</v>
      </c>
      <c r="DI55" s="754">
        <f t="shared" si="65"/>
        <v>0</v>
      </c>
      <c r="DJ55" s="754">
        <f t="shared" si="65"/>
        <v>0</v>
      </c>
      <c r="DK55" s="754">
        <f t="shared" si="65"/>
        <v>0</v>
      </c>
      <c r="DL55" s="754">
        <f t="shared" si="65"/>
        <v>0</v>
      </c>
      <c r="DM55" s="754">
        <f t="shared" si="65"/>
        <v>0</v>
      </c>
      <c r="DN55" s="754">
        <f t="shared" si="65"/>
        <v>0</v>
      </c>
      <c r="DO55" s="754">
        <f t="shared" si="65"/>
        <v>0</v>
      </c>
      <c r="DP55" s="754">
        <f t="shared" si="65"/>
        <v>0</v>
      </c>
      <c r="DQ55" s="754">
        <f t="shared" si="65"/>
        <v>0</v>
      </c>
      <c r="DR55" s="754">
        <f t="shared" si="65"/>
        <v>0</v>
      </c>
      <c r="DS55" s="754">
        <f t="shared" si="65"/>
        <v>0</v>
      </c>
      <c r="DT55" s="754">
        <f t="shared" si="65"/>
        <v>0</v>
      </c>
      <c r="DU55" s="754">
        <f t="shared" si="65"/>
        <v>0</v>
      </c>
      <c r="DV55" s="754">
        <f t="shared" si="65"/>
        <v>0</v>
      </c>
      <c r="DW55" s="754">
        <f t="shared" si="65"/>
        <v>0</v>
      </c>
      <c r="DX55" s="754">
        <f t="shared" si="65"/>
        <v>0</v>
      </c>
      <c r="DY55" s="754">
        <f t="shared" si="65"/>
        <v>0</v>
      </c>
      <c r="DZ55" s="754">
        <f t="shared" si="65"/>
        <v>0</v>
      </c>
      <c r="EA55" s="754">
        <f t="shared" si="65"/>
        <v>0</v>
      </c>
      <c r="EB55" s="754">
        <f t="shared" si="65"/>
        <v>0</v>
      </c>
      <c r="EC55" s="754">
        <f t="shared" si="65"/>
        <v>0</v>
      </c>
      <c r="ED55" s="754">
        <f t="shared" si="65"/>
        <v>0</v>
      </c>
      <c r="EE55" s="754">
        <f t="shared" si="65"/>
        <v>0</v>
      </c>
      <c r="EF55" s="754">
        <f t="shared" si="65"/>
        <v>0</v>
      </c>
      <c r="EG55" s="754">
        <f t="shared" ref="EG55:FB55" si="66">$E55*EG54</f>
        <v>0</v>
      </c>
      <c r="EH55" s="754">
        <f t="shared" si="66"/>
        <v>0</v>
      </c>
      <c r="EI55" s="754">
        <f t="shared" si="66"/>
        <v>0</v>
      </c>
      <c r="EJ55" s="754">
        <f t="shared" si="66"/>
        <v>0</v>
      </c>
      <c r="EK55" s="754">
        <f t="shared" si="66"/>
        <v>0</v>
      </c>
      <c r="EL55" s="754">
        <f t="shared" si="66"/>
        <v>0</v>
      </c>
      <c r="EM55" s="754">
        <f t="shared" si="66"/>
        <v>0</v>
      </c>
      <c r="EN55" s="754">
        <f t="shared" si="66"/>
        <v>0</v>
      </c>
      <c r="EO55" s="754">
        <f t="shared" si="66"/>
        <v>0</v>
      </c>
      <c r="EP55" s="754">
        <f t="shared" si="66"/>
        <v>0</v>
      </c>
      <c r="EQ55" s="754">
        <f t="shared" si="66"/>
        <v>0</v>
      </c>
      <c r="ER55" s="754">
        <f t="shared" si="66"/>
        <v>0</v>
      </c>
      <c r="ES55" s="754">
        <f t="shared" si="66"/>
        <v>0</v>
      </c>
      <c r="ET55" s="754">
        <f t="shared" si="66"/>
        <v>0</v>
      </c>
      <c r="EU55" s="754">
        <f t="shared" si="66"/>
        <v>0</v>
      </c>
      <c r="EV55" s="754">
        <f t="shared" si="66"/>
        <v>0</v>
      </c>
      <c r="EW55" s="754">
        <f t="shared" si="66"/>
        <v>0</v>
      </c>
      <c r="EX55" s="754">
        <f t="shared" si="66"/>
        <v>0</v>
      </c>
      <c r="EY55" s="754">
        <f t="shared" si="66"/>
        <v>0</v>
      </c>
      <c r="EZ55" s="754">
        <f t="shared" si="66"/>
        <v>0</v>
      </c>
      <c r="FA55" s="754">
        <f t="shared" si="66"/>
        <v>0</v>
      </c>
      <c r="FB55" s="754">
        <f t="shared" si="66"/>
        <v>0</v>
      </c>
      <c r="FC55" s="692"/>
      <c r="FD55" s="753">
        <f>SUM(I55:FB55)</f>
        <v>4098602.2663425077</v>
      </c>
      <c r="FE55" s="692"/>
    </row>
    <row r="56" spans="2:161" s="742" customFormat="1">
      <c r="B56" s="755" t="s">
        <v>355</v>
      </c>
      <c r="C56" s="756"/>
      <c r="D56" s="756"/>
      <c r="E56" s="757">
        <f>C6</f>
        <v>0.3173461444523471</v>
      </c>
      <c r="F56" s="762"/>
      <c r="G56" s="758">
        <f>SUM(I56:FB56)</f>
        <v>3006273.0522094909</v>
      </c>
      <c r="H56" s="762"/>
      <c r="I56" s="759">
        <f t="shared" ref="I56:BT56" si="67">$E56*I54</f>
        <v>0</v>
      </c>
      <c r="J56" s="759">
        <f t="shared" si="67"/>
        <v>0</v>
      </c>
      <c r="K56" s="759">
        <f t="shared" si="67"/>
        <v>0</v>
      </c>
      <c r="L56" s="759">
        <f t="shared" si="67"/>
        <v>0</v>
      </c>
      <c r="M56" s="759">
        <f t="shared" si="67"/>
        <v>0</v>
      </c>
      <c r="N56" s="759">
        <f t="shared" si="67"/>
        <v>0</v>
      </c>
      <c r="O56" s="759">
        <f t="shared" si="67"/>
        <v>0</v>
      </c>
      <c r="P56" s="759">
        <f t="shared" si="67"/>
        <v>0</v>
      </c>
      <c r="Q56" s="759">
        <f t="shared" si="67"/>
        <v>0</v>
      </c>
      <c r="R56" s="759">
        <f t="shared" si="67"/>
        <v>0</v>
      </c>
      <c r="S56" s="759">
        <f t="shared" si="67"/>
        <v>0</v>
      </c>
      <c r="T56" s="759">
        <f t="shared" si="67"/>
        <v>0</v>
      </c>
      <c r="U56" s="759">
        <f t="shared" si="67"/>
        <v>0</v>
      </c>
      <c r="V56" s="759">
        <f t="shared" si="67"/>
        <v>0</v>
      </c>
      <c r="W56" s="759">
        <f t="shared" si="67"/>
        <v>0</v>
      </c>
      <c r="X56" s="759">
        <f t="shared" si="67"/>
        <v>0</v>
      </c>
      <c r="Y56" s="759">
        <f t="shared" si="67"/>
        <v>0</v>
      </c>
      <c r="Z56" s="759">
        <f t="shared" si="67"/>
        <v>0</v>
      </c>
      <c r="AA56" s="759">
        <f t="shared" si="67"/>
        <v>0</v>
      </c>
      <c r="AB56" s="759">
        <f t="shared" si="67"/>
        <v>0</v>
      </c>
      <c r="AC56" s="759">
        <f t="shared" si="67"/>
        <v>0</v>
      </c>
      <c r="AD56" s="759">
        <f t="shared" si="67"/>
        <v>0</v>
      </c>
      <c r="AE56" s="759">
        <f t="shared" si="67"/>
        <v>0</v>
      </c>
      <c r="AF56" s="759">
        <f t="shared" si="67"/>
        <v>0</v>
      </c>
      <c r="AG56" s="759">
        <f t="shared" si="67"/>
        <v>0</v>
      </c>
      <c r="AH56" s="759">
        <f t="shared" si="67"/>
        <v>0</v>
      </c>
      <c r="AI56" s="759">
        <f t="shared" si="67"/>
        <v>0</v>
      </c>
      <c r="AJ56" s="759">
        <f t="shared" si="67"/>
        <v>0</v>
      </c>
      <c r="AK56" s="759">
        <f t="shared" si="67"/>
        <v>0</v>
      </c>
      <c r="AL56" s="759">
        <f t="shared" si="67"/>
        <v>0</v>
      </c>
      <c r="AM56" s="759">
        <f t="shared" si="67"/>
        <v>0</v>
      </c>
      <c r="AN56" s="759">
        <f t="shared" si="67"/>
        <v>0</v>
      </c>
      <c r="AO56" s="759">
        <f t="shared" si="67"/>
        <v>0</v>
      </c>
      <c r="AP56" s="759">
        <f t="shared" si="67"/>
        <v>0</v>
      </c>
      <c r="AQ56" s="759">
        <f t="shared" si="67"/>
        <v>0</v>
      </c>
      <c r="AR56" s="759">
        <f t="shared" si="67"/>
        <v>0</v>
      </c>
      <c r="AS56" s="759">
        <f t="shared" si="67"/>
        <v>0</v>
      </c>
      <c r="AT56" s="759">
        <f t="shared" si="67"/>
        <v>0</v>
      </c>
      <c r="AU56" s="759">
        <f t="shared" si="67"/>
        <v>0</v>
      </c>
      <c r="AV56" s="759">
        <f t="shared" si="67"/>
        <v>0</v>
      </c>
      <c r="AW56" s="759">
        <f t="shared" si="67"/>
        <v>0</v>
      </c>
      <c r="AX56" s="759">
        <f t="shared" si="67"/>
        <v>0</v>
      </c>
      <c r="AY56" s="759">
        <f t="shared" si="67"/>
        <v>0</v>
      </c>
      <c r="AZ56" s="759">
        <f t="shared" si="67"/>
        <v>0</v>
      </c>
      <c r="BA56" s="759">
        <f t="shared" si="67"/>
        <v>0</v>
      </c>
      <c r="BB56" s="759">
        <f t="shared" si="67"/>
        <v>0</v>
      </c>
      <c r="BC56" s="759">
        <f t="shared" si="67"/>
        <v>0</v>
      </c>
      <c r="BD56" s="759">
        <f t="shared" si="67"/>
        <v>3006273.0522094909</v>
      </c>
      <c r="BE56" s="759">
        <f t="shared" si="67"/>
        <v>0</v>
      </c>
      <c r="BF56" s="759">
        <f t="shared" si="67"/>
        <v>0</v>
      </c>
      <c r="BG56" s="759">
        <f t="shared" si="67"/>
        <v>0</v>
      </c>
      <c r="BH56" s="759">
        <f t="shared" si="67"/>
        <v>0</v>
      </c>
      <c r="BI56" s="759">
        <f t="shared" si="67"/>
        <v>0</v>
      </c>
      <c r="BJ56" s="759">
        <f t="shared" si="67"/>
        <v>0</v>
      </c>
      <c r="BK56" s="759">
        <f t="shared" si="67"/>
        <v>0</v>
      </c>
      <c r="BL56" s="759">
        <f t="shared" si="67"/>
        <v>0</v>
      </c>
      <c r="BM56" s="759">
        <f t="shared" si="67"/>
        <v>0</v>
      </c>
      <c r="BN56" s="759">
        <f t="shared" si="67"/>
        <v>0</v>
      </c>
      <c r="BO56" s="759">
        <f t="shared" si="67"/>
        <v>0</v>
      </c>
      <c r="BP56" s="759">
        <f t="shared" si="67"/>
        <v>0</v>
      </c>
      <c r="BQ56" s="759">
        <f t="shared" si="67"/>
        <v>0</v>
      </c>
      <c r="BR56" s="759">
        <f t="shared" si="67"/>
        <v>0</v>
      </c>
      <c r="BS56" s="759">
        <f t="shared" si="67"/>
        <v>0</v>
      </c>
      <c r="BT56" s="759">
        <f t="shared" si="67"/>
        <v>0</v>
      </c>
      <c r="BU56" s="759">
        <f t="shared" ref="BU56:EF56" si="68">$E56*BU54</f>
        <v>0</v>
      </c>
      <c r="BV56" s="759">
        <f t="shared" si="68"/>
        <v>0</v>
      </c>
      <c r="BW56" s="759">
        <f t="shared" si="68"/>
        <v>0</v>
      </c>
      <c r="BX56" s="759">
        <f t="shared" si="68"/>
        <v>0</v>
      </c>
      <c r="BY56" s="759">
        <f t="shared" si="68"/>
        <v>0</v>
      </c>
      <c r="BZ56" s="759">
        <f t="shared" si="68"/>
        <v>0</v>
      </c>
      <c r="CA56" s="759">
        <f t="shared" si="68"/>
        <v>0</v>
      </c>
      <c r="CB56" s="759">
        <f t="shared" si="68"/>
        <v>0</v>
      </c>
      <c r="CC56" s="759">
        <f t="shared" si="68"/>
        <v>0</v>
      </c>
      <c r="CD56" s="759">
        <f t="shared" si="68"/>
        <v>0</v>
      </c>
      <c r="CE56" s="759">
        <f t="shared" si="68"/>
        <v>0</v>
      </c>
      <c r="CF56" s="759">
        <f t="shared" si="68"/>
        <v>0</v>
      </c>
      <c r="CG56" s="759">
        <f t="shared" si="68"/>
        <v>0</v>
      </c>
      <c r="CH56" s="759">
        <f t="shared" si="68"/>
        <v>0</v>
      </c>
      <c r="CI56" s="759">
        <f t="shared" si="68"/>
        <v>0</v>
      </c>
      <c r="CJ56" s="759">
        <f t="shared" si="68"/>
        <v>0</v>
      </c>
      <c r="CK56" s="759">
        <f t="shared" si="68"/>
        <v>0</v>
      </c>
      <c r="CL56" s="759">
        <f t="shared" si="68"/>
        <v>0</v>
      </c>
      <c r="CM56" s="759">
        <f t="shared" si="68"/>
        <v>0</v>
      </c>
      <c r="CN56" s="759">
        <f t="shared" si="68"/>
        <v>0</v>
      </c>
      <c r="CO56" s="759">
        <f t="shared" si="68"/>
        <v>0</v>
      </c>
      <c r="CP56" s="759">
        <f t="shared" si="68"/>
        <v>0</v>
      </c>
      <c r="CQ56" s="759">
        <f t="shared" si="68"/>
        <v>0</v>
      </c>
      <c r="CR56" s="759">
        <f t="shared" si="68"/>
        <v>0</v>
      </c>
      <c r="CS56" s="759">
        <f t="shared" si="68"/>
        <v>0</v>
      </c>
      <c r="CT56" s="759">
        <f t="shared" si="68"/>
        <v>0</v>
      </c>
      <c r="CU56" s="759">
        <f t="shared" si="68"/>
        <v>0</v>
      </c>
      <c r="CV56" s="759">
        <f t="shared" si="68"/>
        <v>0</v>
      </c>
      <c r="CW56" s="759">
        <f t="shared" si="68"/>
        <v>0</v>
      </c>
      <c r="CX56" s="759">
        <f t="shared" si="68"/>
        <v>0</v>
      </c>
      <c r="CY56" s="759">
        <f t="shared" si="68"/>
        <v>0</v>
      </c>
      <c r="CZ56" s="759">
        <f t="shared" si="68"/>
        <v>0</v>
      </c>
      <c r="DA56" s="759">
        <f t="shared" si="68"/>
        <v>0</v>
      </c>
      <c r="DB56" s="759">
        <f t="shared" si="68"/>
        <v>0</v>
      </c>
      <c r="DC56" s="759">
        <f t="shared" si="68"/>
        <v>0</v>
      </c>
      <c r="DD56" s="759">
        <f t="shared" si="68"/>
        <v>0</v>
      </c>
      <c r="DE56" s="759">
        <f t="shared" si="68"/>
        <v>0</v>
      </c>
      <c r="DF56" s="759">
        <f t="shared" si="68"/>
        <v>0</v>
      </c>
      <c r="DG56" s="759">
        <f t="shared" si="68"/>
        <v>0</v>
      </c>
      <c r="DH56" s="759">
        <f t="shared" si="68"/>
        <v>0</v>
      </c>
      <c r="DI56" s="759">
        <f t="shared" si="68"/>
        <v>0</v>
      </c>
      <c r="DJ56" s="759">
        <f t="shared" si="68"/>
        <v>0</v>
      </c>
      <c r="DK56" s="759">
        <f t="shared" si="68"/>
        <v>0</v>
      </c>
      <c r="DL56" s="759">
        <f t="shared" si="68"/>
        <v>0</v>
      </c>
      <c r="DM56" s="759">
        <f t="shared" si="68"/>
        <v>0</v>
      </c>
      <c r="DN56" s="759">
        <f t="shared" si="68"/>
        <v>0</v>
      </c>
      <c r="DO56" s="759">
        <f t="shared" si="68"/>
        <v>0</v>
      </c>
      <c r="DP56" s="759">
        <f t="shared" si="68"/>
        <v>0</v>
      </c>
      <c r="DQ56" s="759">
        <f t="shared" si="68"/>
        <v>0</v>
      </c>
      <c r="DR56" s="759">
        <f t="shared" si="68"/>
        <v>0</v>
      </c>
      <c r="DS56" s="759">
        <f t="shared" si="68"/>
        <v>0</v>
      </c>
      <c r="DT56" s="759">
        <f t="shared" si="68"/>
        <v>0</v>
      </c>
      <c r="DU56" s="759">
        <f t="shared" si="68"/>
        <v>0</v>
      </c>
      <c r="DV56" s="759">
        <f t="shared" si="68"/>
        <v>0</v>
      </c>
      <c r="DW56" s="759">
        <f t="shared" si="68"/>
        <v>0</v>
      </c>
      <c r="DX56" s="759">
        <f t="shared" si="68"/>
        <v>0</v>
      </c>
      <c r="DY56" s="759">
        <f t="shared" si="68"/>
        <v>0</v>
      </c>
      <c r="DZ56" s="759">
        <f t="shared" si="68"/>
        <v>0</v>
      </c>
      <c r="EA56" s="759">
        <f t="shared" si="68"/>
        <v>0</v>
      </c>
      <c r="EB56" s="759">
        <f t="shared" si="68"/>
        <v>0</v>
      </c>
      <c r="EC56" s="759">
        <f t="shared" si="68"/>
        <v>0</v>
      </c>
      <c r="ED56" s="759">
        <f t="shared" si="68"/>
        <v>0</v>
      </c>
      <c r="EE56" s="759">
        <f t="shared" si="68"/>
        <v>0</v>
      </c>
      <c r="EF56" s="759">
        <f t="shared" si="68"/>
        <v>0</v>
      </c>
      <c r="EG56" s="759">
        <f t="shared" ref="EG56:FB56" si="69">$E56*EG54</f>
        <v>0</v>
      </c>
      <c r="EH56" s="759">
        <f t="shared" si="69"/>
        <v>0</v>
      </c>
      <c r="EI56" s="759">
        <f t="shared" si="69"/>
        <v>0</v>
      </c>
      <c r="EJ56" s="759">
        <f t="shared" si="69"/>
        <v>0</v>
      </c>
      <c r="EK56" s="759">
        <f t="shared" si="69"/>
        <v>0</v>
      </c>
      <c r="EL56" s="759">
        <f t="shared" si="69"/>
        <v>0</v>
      </c>
      <c r="EM56" s="759">
        <f t="shared" si="69"/>
        <v>0</v>
      </c>
      <c r="EN56" s="759">
        <f t="shared" si="69"/>
        <v>0</v>
      </c>
      <c r="EO56" s="759">
        <f t="shared" si="69"/>
        <v>0</v>
      </c>
      <c r="EP56" s="759">
        <f t="shared" si="69"/>
        <v>0</v>
      </c>
      <c r="EQ56" s="759">
        <f t="shared" si="69"/>
        <v>0</v>
      </c>
      <c r="ER56" s="759">
        <f t="shared" si="69"/>
        <v>0</v>
      </c>
      <c r="ES56" s="759">
        <f t="shared" si="69"/>
        <v>0</v>
      </c>
      <c r="ET56" s="759">
        <f t="shared" si="69"/>
        <v>0</v>
      </c>
      <c r="EU56" s="759">
        <f t="shared" si="69"/>
        <v>0</v>
      </c>
      <c r="EV56" s="759">
        <f t="shared" si="69"/>
        <v>0</v>
      </c>
      <c r="EW56" s="759">
        <f t="shared" si="69"/>
        <v>0</v>
      </c>
      <c r="EX56" s="759">
        <f t="shared" si="69"/>
        <v>0</v>
      </c>
      <c r="EY56" s="759">
        <f t="shared" si="69"/>
        <v>0</v>
      </c>
      <c r="EZ56" s="759">
        <f t="shared" si="69"/>
        <v>0</v>
      </c>
      <c r="FA56" s="759">
        <f t="shared" si="69"/>
        <v>0</v>
      </c>
      <c r="FB56" s="759">
        <f t="shared" si="69"/>
        <v>0</v>
      </c>
      <c r="FC56" s="692"/>
      <c r="FD56" s="758">
        <f>SUM(I56:FB56)</f>
        <v>3006273.0522094909</v>
      </c>
      <c r="FE56" s="692"/>
    </row>
    <row r="57" spans="2:161" s="742" customFormat="1">
      <c r="B57" s="755" t="s">
        <v>378</v>
      </c>
      <c r="C57" s="756"/>
      <c r="D57" s="756"/>
      <c r="E57" s="757">
        <f>E13</f>
        <v>0.25</v>
      </c>
      <c r="F57" s="762"/>
      <c r="G57" s="758">
        <f>SUM(I57:FB57)</f>
        <v>2368291.7728506662</v>
      </c>
      <c r="H57" s="762"/>
      <c r="I57" s="759">
        <f t="shared" ref="I57:BT57" si="70">$E57*I54</f>
        <v>0</v>
      </c>
      <c r="J57" s="759">
        <f t="shared" si="70"/>
        <v>0</v>
      </c>
      <c r="K57" s="759">
        <f t="shared" si="70"/>
        <v>0</v>
      </c>
      <c r="L57" s="759">
        <f t="shared" si="70"/>
        <v>0</v>
      </c>
      <c r="M57" s="759">
        <f t="shared" si="70"/>
        <v>0</v>
      </c>
      <c r="N57" s="759">
        <f t="shared" si="70"/>
        <v>0</v>
      </c>
      <c r="O57" s="759">
        <f t="shared" si="70"/>
        <v>0</v>
      </c>
      <c r="P57" s="759">
        <f t="shared" si="70"/>
        <v>0</v>
      </c>
      <c r="Q57" s="759">
        <f t="shared" si="70"/>
        <v>0</v>
      </c>
      <c r="R57" s="759">
        <f t="shared" si="70"/>
        <v>0</v>
      </c>
      <c r="S57" s="759">
        <f t="shared" si="70"/>
        <v>0</v>
      </c>
      <c r="T57" s="759">
        <f t="shared" si="70"/>
        <v>0</v>
      </c>
      <c r="U57" s="759">
        <f t="shared" si="70"/>
        <v>0</v>
      </c>
      <c r="V57" s="759">
        <f t="shared" si="70"/>
        <v>0</v>
      </c>
      <c r="W57" s="759">
        <f t="shared" si="70"/>
        <v>0</v>
      </c>
      <c r="X57" s="759">
        <f t="shared" si="70"/>
        <v>0</v>
      </c>
      <c r="Y57" s="759">
        <f t="shared" si="70"/>
        <v>0</v>
      </c>
      <c r="Z57" s="759">
        <f t="shared" si="70"/>
        <v>0</v>
      </c>
      <c r="AA57" s="759">
        <f t="shared" si="70"/>
        <v>0</v>
      </c>
      <c r="AB57" s="759">
        <f t="shared" si="70"/>
        <v>0</v>
      </c>
      <c r="AC57" s="759">
        <f t="shared" si="70"/>
        <v>0</v>
      </c>
      <c r="AD57" s="759">
        <f t="shared" si="70"/>
        <v>0</v>
      </c>
      <c r="AE57" s="759">
        <f t="shared" si="70"/>
        <v>0</v>
      </c>
      <c r="AF57" s="759">
        <f t="shared" si="70"/>
        <v>0</v>
      </c>
      <c r="AG57" s="759">
        <f t="shared" si="70"/>
        <v>0</v>
      </c>
      <c r="AH57" s="759">
        <f t="shared" si="70"/>
        <v>0</v>
      </c>
      <c r="AI57" s="759">
        <f t="shared" si="70"/>
        <v>0</v>
      </c>
      <c r="AJ57" s="759">
        <f t="shared" si="70"/>
        <v>0</v>
      </c>
      <c r="AK57" s="759">
        <f t="shared" si="70"/>
        <v>0</v>
      </c>
      <c r="AL57" s="759">
        <f t="shared" si="70"/>
        <v>0</v>
      </c>
      <c r="AM57" s="759">
        <f t="shared" si="70"/>
        <v>0</v>
      </c>
      <c r="AN57" s="759">
        <f t="shared" si="70"/>
        <v>0</v>
      </c>
      <c r="AO57" s="759">
        <f t="shared" si="70"/>
        <v>0</v>
      </c>
      <c r="AP57" s="759">
        <f t="shared" si="70"/>
        <v>0</v>
      </c>
      <c r="AQ57" s="759">
        <f t="shared" si="70"/>
        <v>0</v>
      </c>
      <c r="AR57" s="759">
        <f t="shared" si="70"/>
        <v>0</v>
      </c>
      <c r="AS57" s="759">
        <f t="shared" si="70"/>
        <v>0</v>
      </c>
      <c r="AT57" s="759">
        <f t="shared" si="70"/>
        <v>0</v>
      </c>
      <c r="AU57" s="759">
        <f t="shared" si="70"/>
        <v>0</v>
      </c>
      <c r="AV57" s="759">
        <f t="shared" si="70"/>
        <v>0</v>
      </c>
      <c r="AW57" s="759">
        <f t="shared" si="70"/>
        <v>0</v>
      </c>
      <c r="AX57" s="759">
        <f t="shared" si="70"/>
        <v>0</v>
      </c>
      <c r="AY57" s="759">
        <f t="shared" si="70"/>
        <v>0</v>
      </c>
      <c r="AZ57" s="759">
        <f t="shared" si="70"/>
        <v>0</v>
      </c>
      <c r="BA57" s="759">
        <f t="shared" si="70"/>
        <v>0</v>
      </c>
      <c r="BB57" s="759">
        <f t="shared" si="70"/>
        <v>0</v>
      </c>
      <c r="BC57" s="759">
        <f t="shared" si="70"/>
        <v>0</v>
      </c>
      <c r="BD57" s="759">
        <f t="shared" si="70"/>
        <v>2368291.7728506662</v>
      </c>
      <c r="BE57" s="759">
        <f t="shared" si="70"/>
        <v>0</v>
      </c>
      <c r="BF57" s="759">
        <f t="shared" si="70"/>
        <v>0</v>
      </c>
      <c r="BG57" s="759">
        <f t="shared" si="70"/>
        <v>0</v>
      </c>
      <c r="BH57" s="759">
        <f t="shared" si="70"/>
        <v>0</v>
      </c>
      <c r="BI57" s="759">
        <f t="shared" si="70"/>
        <v>0</v>
      </c>
      <c r="BJ57" s="759">
        <f t="shared" si="70"/>
        <v>0</v>
      </c>
      <c r="BK57" s="759">
        <f t="shared" si="70"/>
        <v>0</v>
      </c>
      <c r="BL57" s="759">
        <f t="shared" si="70"/>
        <v>0</v>
      </c>
      <c r="BM57" s="759">
        <f t="shared" si="70"/>
        <v>0</v>
      </c>
      <c r="BN57" s="759">
        <f t="shared" si="70"/>
        <v>0</v>
      </c>
      <c r="BO57" s="759">
        <f t="shared" si="70"/>
        <v>0</v>
      </c>
      <c r="BP57" s="759">
        <f t="shared" si="70"/>
        <v>0</v>
      </c>
      <c r="BQ57" s="759">
        <f t="shared" si="70"/>
        <v>0</v>
      </c>
      <c r="BR57" s="759">
        <f t="shared" si="70"/>
        <v>0</v>
      </c>
      <c r="BS57" s="759">
        <f t="shared" si="70"/>
        <v>0</v>
      </c>
      <c r="BT57" s="759">
        <f t="shared" si="70"/>
        <v>0</v>
      </c>
      <c r="BU57" s="759">
        <f t="shared" ref="BU57:EF57" si="71">$E57*BU54</f>
        <v>0</v>
      </c>
      <c r="BV57" s="759">
        <f t="shared" si="71"/>
        <v>0</v>
      </c>
      <c r="BW57" s="759">
        <f t="shared" si="71"/>
        <v>0</v>
      </c>
      <c r="BX57" s="759">
        <f t="shared" si="71"/>
        <v>0</v>
      </c>
      <c r="BY57" s="759">
        <f t="shared" si="71"/>
        <v>0</v>
      </c>
      <c r="BZ57" s="759">
        <f t="shared" si="71"/>
        <v>0</v>
      </c>
      <c r="CA57" s="759">
        <f t="shared" si="71"/>
        <v>0</v>
      </c>
      <c r="CB57" s="759">
        <f t="shared" si="71"/>
        <v>0</v>
      </c>
      <c r="CC57" s="759">
        <f t="shared" si="71"/>
        <v>0</v>
      </c>
      <c r="CD57" s="759">
        <f t="shared" si="71"/>
        <v>0</v>
      </c>
      <c r="CE57" s="759">
        <f t="shared" si="71"/>
        <v>0</v>
      </c>
      <c r="CF57" s="759">
        <f t="shared" si="71"/>
        <v>0</v>
      </c>
      <c r="CG57" s="759">
        <f t="shared" si="71"/>
        <v>0</v>
      </c>
      <c r="CH57" s="759">
        <f t="shared" si="71"/>
        <v>0</v>
      </c>
      <c r="CI57" s="759">
        <f t="shared" si="71"/>
        <v>0</v>
      </c>
      <c r="CJ57" s="759">
        <f t="shared" si="71"/>
        <v>0</v>
      </c>
      <c r="CK57" s="759">
        <f t="shared" si="71"/>
        <v>0</v>
      </c>
      <c r="CL57" s="759">
        <f t="shared" si="71"/>
        <v>0</v>
      </c>
      <c r="CM57" s="759">
        <f t="shared" si="71"/>
        <v>0</v>
      </c>
      <c r="CN57" s="759">
        <f t="shared" si="71"/>
        <v>0</v>
      </c>
      <c r="CO57" s="759">
        <f t="shared" si="71"/>
        <v>0</v>
      </c>
      <c r="CP57" s="759">
        <f t="shared" si="71"/>
        <v>0</v>
      </c>
      <c r="CQ57" s="759">
        <f t="shared" si="71"/>
        <v>0</v>
      </c>
      <c r="CR57" s="759">
        <f t="shared" si="71"/>
        <v>0</v>
      </c>
      <c r="CS57" s="759">
        <f t="shared" si="71"/>
        <v>0</v>
      </c>
      <c r="CT57" s="759">
        <f t="shared" si="71"/>
        <v>0</v>
      </c>
      <c r="CU57" s="759">
        <f t="shared" si="71"/>
        <v>0</v>
      </c>
      <c r="CV57" s="759">
        <f t="shared" si="71"/>
        <v>0</v>
      </c>
      <c r="CW57" s="759">
        <f t="shared" si="71"/>
        <v>0</v>
      </c>
      <c r="CX57" s="759">
        <f t="shared" si="71"/>
        <v>0</v>
      </c>
      <c r="CY57" s="759">
        <f t="shared" si="71"/>
        <v>0</v>
      </c>
      <c r="CZ57" s="759">
        <f t="shared" si="71"/>
        <v>0</v>
      </c>
      <c r="DA57" s="759">
        <f t="shared" si="71"/>
        <v>0</v>
      </c>
      <c r="DB57" s="759">
        <f t="shared" si="71"/>
        <v>0</v>
      </c>
      <c r="DC57" s="759">
        <f t="shared" si="71"/>
        <v>0</v>
      </c>
      <c r="DD57" s="759">
        <f t="shared" si="71"/>
        <v>0</v>
      </c>
      <c r="DE57" s="759">
        <f t="shared" si="71"/>
        <v>0</v>
      </c>
      <c r="DF57" s="759">
        <f t="shared" si="71"/>
        <v>0</v>
      </c>
      <c r="DG57" s="759">
        <f t="shared" si="71"/>
        <v>0</v>
      </c>
      <c r="DH57" s="759">
        <f t="shared" si="71"/>
        <v>0</v>
      </c>
      <c r="DI57" s="759">
        <f t="shared" si="71"/>
        <v>0</v>
      </c>
      <c r="DJ57" s="759">
        <f t="shared" si="71"/>
        <v>0</v>
      </c>
      <c r="DK57" s="759">
        <f t="shared" si="71"/>
        <v>0</v>
      </c>
      <c r="DL57" s="759">
        <f t="shared" si="71"/>
        <v>0</v>
      </c>
      <c r="DM57" s="759">
        <f t="shared" si="71"/>
        <v>0</v>
      </c>
      <c r="DN57" s="759">
        <f t="shared" si="71"/>
        <v>0</v>
      </c>
      <c r="DO57" s="759">
        <f t="shared" si="71"/>
        <v>0</v>
      </c>
      <c r="DP57" s="759">
        <f t="shared" si="71"/>
        <v>0</v>
      </c>
      <c r="DQ57" s="759">
        <f t="shared" si="71"/>
        <v>0</v>
      </c>
      <c r="DR57" s="759">
        <f t="shared" si="71"/>
        <v>0</v>
      </c>
      <c r="DS57" s="759">
        <f t="shared" si="71"/>
        <v>0</v>
      </c>
      <c r="DT57" s="759">
        <f t="shared" si="71"/>
        <v>0</v>
      </c>
      <c r="DU57" s="759">
        <f t="shared" si="71"/>
        <v>0</v>
      </c>
      <c r="DV57" s="759">
        <f t="shared" si="71"/>
        <v>0</v>
      </c>
      <c r="DW57" s="759">
        <f t="shared" si="71"/>
        <v>0</v>
      </c>
      <c r="DX57" s="759">
        <f t="shared" si="71"/>
        <v>0</v>
      </c>
      <c r="DY57" s="759">
        <f t="shared" si="71"/>
        <v>0</v>
      </c>
      <c r="DZ57" s="759">
        <f t="shared" si="71"/>
        <v>0</v>
      </c>
      <c r="EA57" s="759">
        <f t="shared" si="71"/>
        <v>0</v>
      </c>
      <c r="EB57" s="759">
        <f t="shared" si="71"/>
        <v>0</v>
      </c>
      <c r="EC57" s="759">
        <f t="shared" si="71"/>
        <v>0</v>
      </c>
      <c r="ED57" s="759">
        <f t="shared" si="71"/>
        <v>0</v>
      </c>
      <c r="EE57" s="759">
        <f t="shared" si="71"/>
        <v>0</v>
      </c>
      <c r="EF57" s="759">
        <f t="shared" si="71"/>
        <v>0</v>
      </c>
      <c r="EG57" s="759">
        <f t="shared" ref="EG57:FB57" si="72">$E57*EG54</f>
        <v>0</v>
      </c>
      <c r="EH57" s="759">
        <f t="shared" si="72"/>
        <v>0</v>
      </c>
      <c r="EI57" s="759">
        <f t="shared" si="72"/>
        <v>0</v>
      </c>
      <c r="EJ57" s="759">
        <f t="shared" si="72"/>
        <v>0</v>
      </c>
      <c r="EK57" s="759">
        <f t="shared" si="72"/>
        <v>0</v>
      </c>
      <c r="EL57" s="759">
        <f t="shared" si="72"/>
        <v>0</v>
      </c>
      <c r="EM57" s="759">
        <f t="shared" si="72"/>
        <v>0</v>
      </c>
      <c r="EN57" s="759">
        <f t="shared" si="72"/>
        <v>0</v>
      </c>
      <c r="EO57" s="759">
        <f t="shared" si="72"/>
        <v>0</v>
      </c>
      <c r="EP57" s="759">
        <f t="shared" si="72"/>
        <v>0</v>
      </c>
      <c r="EQ57" s="759">
        <f t="shared" si="72"/>
        <v>0</v>
      </c>
      <c r="ER57" s="759">
        <f t="shared" si="72"/>
        <v>0</v>
      </c>
      <c r="ES57" s="759">
        <f t="shared" si="72"/>
        <v>0</v>
      </c>
      <c r="ET57" s="759">
        <f t="shared" si="72"/>
        <v>0</v>
      </c>
      <c r="EU57" s="759">
        <f t="shared" si="72"/>
        <v>0</v>
      </c>
      <c r="EV57" s="759">
        <f t="shared" si="72"/>
        <v>0</v>
      </c>
      <c r="EW57" s="759">
        <f t="shared" si="72"/>
        <v>0</v>
      </c>
      <c r="EX57" s="759">
        <f t="shared" si="72"/>
        <v>0</v>
      </c>
      <c r="EY57" s="759">
        <f t="shared" si="72"/>
        <v>0</v>
      </c>
      <c r="EZ57" s="759">
        <f t="shared" si="72"/>
        <v>0</v>
      </c>
      <c r="FA57" s="759">
        <f t="shared" si="72"/>
        <v>0</v>
      </c>
      <c r="FB57" s="759">
        <f t="shared" si="72"/>
        <v>0</v>
      </c>
      <c r="FC57" s="692"/>
      <c r="FD57" s="758">
        <f>SUM(I57:FB57)</f>
        <v>2368291.7728506662</v>
      </c>
      <c r="FE57" s="692"/>
    </row>
    <row r="58" spans="2:161" s="742" customFormat="1">
      <c r="B58" s="692" t="s">
        <v>384</v>
      </c>
      <c r="E58" s="704"/>
      <c r="G58" s="743"/>
      <c r="I58" s="745">
        <f t="shared" ref="I58:BT58" si="73">I47-I54</f>
        <v>0</v>
      </c>
      <c r="J58" s="745">
        <f t="shared" si="73"/>
        <v>0</v>
      </c>
      <c r="K58" s="745">
        <f t="shared" si="73"/>
        <v>0</v>
      </c>
      <c r="L58" s="745">
        <f t="shared" si="73"/>
        <v>0</v>
      </c>
      <c r="M58" s="745">
        <f t="shared" si="73"/>
        <v>0</v>
      </c>
      <c r="N58" s="745">
        <f t="shared" si="73"/>
        <v>0</v>
      </c>
      <c r="O58" s="745">
        <f t="shared" si="73"/>
        <v>0</v>
      </c>
      <c r="P58" s="745">
        <f t="shared" si="73"/>
        <v>0</v>
      </c>
      <c r="Q58" s="745">
        <f t="shared" si="73"/>
        <v>0</v>
      </c>
      <c r="R58" s="745">
        <f t="shared" si="73"/>
        <v>0</v>
      </c>
      <c r="S58" s="745">
        <f t="shared" si="73"/>
        <v>0</v>
      </c>
      <c r="T58" s="745">
        <f t="shared" si="73"/>
        <v>0</v>
      </c>
      <c r="U58" s="745">
        <f t="shared" si="73"/>
        <v>0</v>
      </c>
      <c r="V58" s="745">
        <f t="shared" si="73"/>
        <v>0</v>
      </c>
      <c r="W58" s="745">
        <f t="shared" si="73"/>
        <v>0</v>
      </c>
      <c r="X58" s="745">
        <f t="shared" si="73"/>
        <v>0</v>
      </c>
      <c r="Y58" s="745">
        <f t="shared" si="73"/>
        <v>0</v>
      </c>
      <c r="Z58" s="745">
        <f t="shared" si="73"/>
        <v>0</v>
      </c>
      <c r="AA58" s="745">
        <f t="shared" si="73"/>
        <v>0</v>
      </c>
      <c r="AB58" s="745">
        <f t="shared" si="73"/>
        <v>0</v>
      </c>
      <c r="AC58" s="745">
        <f t="shared" si="73"/>
        <v>0</v>
      </c>
      <c r="AD58" s="745">
        <f t="shared" si="73"/>
        <v>0</v>
      </c>
      <c r="AE58" s="745">
        <f t="shared" si="73"/>
        <v>0</v>
      </c>
      <c r="AF58" s="745">
        <f t="shared" si="73"/>
        <v>0</v>
      </c>
      <c r="AG58" s="745">
        <f t="shared" si="73"/>
        <v>0</v>
      </c>
      <c r="AH58" s="745">
        <f t="shared" si="73"/>
        <v>0</v>
      </c>
      <c r="AI58" s="745">
        <f t="shared" si="73"/>
        <v>0</v>
      </c>
      <c r="AJ58" s="745">
        <f t="shared" si="73"/>
        <v>0</v>
      </c>
      <c r="AK58" s="745">
        <f t="shared" si="73"/>
        <v>0</v>
      </c>
      <c r="AL58" s="745">
        <f t="shared" si="73"/>
        <v>0</v>
      </c>
      <c r="AM58" s="745">
        <f t="shared" si="73"/>
        <v>0</v>
      </c>
      <c r="AN58" s="745">
        <f t="shared" si="73"/>
        <v>0</v>
      </c>
      <c r="AO58" s="745">
        <f t="shared" si="73"/>
        <v>0</v>
      </c>
      <c r="AP58" s="745">
        <f t="shared" si="73"/>
        <v>0</v>
      </c>
      <c r="AQ58" s="745">
        <f t="shared" si="73"/>
        <v>0</v>
      </c>
      <c r="AR58" s="745">
        <f t="shared" si="73"/>
        <v>0</v>
      </c>
      <c r="AS58" s="745">
        <f t="shared" si="73"/>
        <v>0</v>
      </c>
      <c r="AT58" s="745">
        <f t="shared" si="73"/>
        <v>0</v>
      </c>
      <c r="AU58" s="745">
        <f t="shared" si="73"/>
        <v>0</v>
      </c>
      <c r="AV58" s="745">
        <f t="shared" si="73"/>
        <v>0</v>
      </c>
      <c r="AW58" s="745">
        <f t="shared" si="73"/>
        <v>0</v>
      </c>
      <c r="AX58" s="745">
        <f t="shared" si="73"/>
        <v>0</v>
      </c>
      <c r="AY58" s="745">
        <f t="shared" si="73"/>
        <v>0</v>
      </c>
      <c r="AZ58" s="745">
        <f t="shared" si="73"/>
        <v>0</v>
      </c>
      <c r="BA58" s="745">
        <f t="shared" si="73"/>
        <v>0</v>
      </c>
      <c r="BB58" s="745">
        <f t="shared" si="73"/>
        <v>0</v>
      </c>
      <c r="BC58" s="745">
        <f t="shared" si="73"/>
        <v>0</v>
      </c>
      <c r="BD58" s="745">
        <f t="shared" si="73"/>
        <v>5710478.4476263858</v>
      </c>
      <c r="BE58" s="745">
        <f t="shared" si="73"/>
        <v>0</v>
      </c>
      <c r="BF58" s="745">
        <f t="shared" si="73"/>
        <v>0</v>
      </c>
      <c r="BG58" s="745">
        <f t="shared" si="73"/>
        <v>0</v>
      </c>
      <c r="BH58" s="745">
        <f t="shared" si="73"/>
        <v>0</v>
      </c>
      <c r="BI58" s="745">
        <f t="shared" si="73"/>
        <v>0</v>
      </c>
      <c r="BJ58" s="745">
        <f t="shared" si="73"/>
        <v>0</v>
      </c>
      <c r="BK58" s="745">
        <f t="shared" si="73"/>
        <v>0</v>
      </c>
      <c r="BL58" s="745">
        <f t="shared" si="73"/>
        <v>0</v>
      </c>
      <c r="BM58" s="745">
        <f t="shared" si="73"/>
        <v>0</v>
      </c>
      <c r="BN58" s="745">
        <f t="shared" si="73"/>
        <v>0</v>
      </c>
      <c r="BO58" s="745">
        <f t="shared" si="73"/>
        <v>0</v>
      </c>
      <c r="BP58" s="745">
        <f t="shared" si="73"/>
        <v>0</v>
      </c>
      <c r="BQ58" s="745">
        <f t="shared" si="73"/>
        <v>0</v>
      </c>
      <c r="BR58" s="745">
        <f t="shared" si="73"/>
        <v>0</v>
      </c>
      <c r="BS58" s="745">
        <f t="shared" si="73"/>
        <v>0</v>
      </c>
      <c r="BT58" s="745">
        <f t="shared" si="73"/>
        <v>0</v>
      </c>
      <c r="BU58" s="745">
        <f t="shared" ref="BU58:EF58" si="74">BU47-BU54</f>
        <v>0</v>
      </c>
      <c r="BV58" s="745">
        <f t="shared" si="74"/>
        <v>0</v>
      </c>
      <c r="BW58" s="745">
        <f t="shared" si="74"/>
        <v>0</v>
      </c>
      <c r="BX58" s="745">
        <f t="shared" si="74"/>
        <v>0</v>
      </c>
      <c r="BY58" s="745">
        <f t="shared" si="74"/>
        <v>0</v>
      </c>
      <c r="BZ58" s="745">
        <f t="shared" si="74"/>
        <v>0</v>
      </c>
      <c r="CA58" s="745">
        <f t="shared" si="74"/>
        <v>0</v>
      </c>
      <c r="CB58" s="745">
        <f t="shared" si="74"/>
        <v>0</v>
      </c>
      <c r="CC58" s="745">
        <f t="shared" si="74"/>
        <v>0</v>
      </c>
      <c r="CD58" s="745">
        <f t="shared" si="74"/>
        <v>0</v>
      </c>
      <c r="CE58" s="745">
        <f t="shared" si="74"/>
        <v>0</v>
      </c>
      <c r="CF58" s="745">
        <f t="shared" si="74"/>
        <v>0</v>
      </c>
      <c r="CG58" s="745">
        <f t="shared" si="74"/>
        <v>0</v>
      </c>
      <c r="CH58" s="745">
        <f t="shared" si="74"/>
        <v>0</v>
      </c>
      <c r="CI58" s="745">
        <f t="shared" si="74"/>
        <v>0</v>
      </c>
      <c r="CJ58" s="745">
        <f t="shared" si="74"/>
        <v>0</v>
      </c>
      <c r="CK58" s="745">
        <f t="shared" si="74"/>
        <v>0</v>
      </c>
      <c r="CL58" s="745">
        <f t="shared" si="74"/>
        <v>0</v>
      </c>
      <c r="CM58" s="745">
        <f t="shared" si="74"/>
        <v>0</v>
      </c>
      <c r="CN58" s="745">
        <f t="shared" si="74"/>
        <v>0</v>
      </c>
      <c r="CO58" s="745">
        <f t="shared" si="74"/>
        <v>0</v>
      </c>
      <c r="CP58" s="745">
        <f t="shared" si="74"/>
        <v>0</v>
      </c>
      <c r="CQ58" s="745">
        <f t="shared" si="74"/>
        <v>0</v>
      </c>
      <c r="CR58" s="745">
        <f t="shared" si="74"/>
        <v>0</v>
      </c>
      <c r="CS58" s="745">
        <f t="shared" si="74"/>
        <v>0</v>
      </c>
      <c r="CT58" s="745">
        <f t="shared" si="74"/>
        <v>0</v>
      </c>
      <c r="CU58" s="745">
        <f t="shared" si="74"/>
        <v>0</v>
      </c>
      <c r="CV58" s="745">
        <f t="shared" si="74"/>
        <v>0</v>
      </c>
      <c r="CW58" s="745">
        <f t="shared" si="74"/>
        <v>0</v>
      </c>
      <c r="CX58" s="745">
        <f t="shared" si="74"/>
        <v>0</v>
      </c>
      <c r="CY58" s="745">
        <f t="shared" si="74"/>
        <v>0</v>
      </c>
      <c r="CZ58" s="745">
        <f t="shared" si="74"/>
        <v>0</v>
      </c>
      <c r="DA58" s="745">
        <f t="shared" si="74"/>
        <v>0</v>
      </c>
      <c r="DB58" s="745">
        <f t="shared" si="74"/>
        <v>0</v>
      </c>
      <c r="DC58" s="745">
        <f t="shared" si="74"/>
        <v>0</v>
      </c>
      <c r="DD58" s="745">
        <f t="shared" si="74"/>
        <v>0</v>
      </c>
      <c r="DE58" s="745">
        <f t="shared" si="74"/>
        <v>0</v>
      </c>
      <c r="DF58" s="745">
        <f t="shared" si="74"/>
        <v>0</v>
      </c>
      <c r="DG58" s="745">
        <f t="shared" si="74"/>
        <v>0</v>
      </c>
      <c r="DH58" s="745">
        <f t="shared" si="74"/>
        <v>0</v>
      </c>
      <c r="DI58" s="745">
        <f t="shared" si="74"/>
        <v>0</v>
      </c>
      <c r="DJ58" s="745">
        <f t="shared" si="74"/>
        <v>0</v>
      </c>
      <c r="DK58" s="745">
        <f t="shared" si="74"/>
        <v>0</v>
      </c>
      <c r="DL58" s="745">
        <f t="shared" si="74"/>
        <v>0</v>
      </c>
      <c r="DM58" s="745">
        <f t="shared" si="74"/>
        <v>0</v>
      </c>
      <c r="DN58" s="745">
        <f t="shared" si="74"/>
        <v>0</v>
      </c>
      <c r="DO58" s="745">
        <f t="shared" si="74"/>
        <v>0</v>
      </c>
      <c r="DP58" s="745">
        <f t="shared" si="74"/>
        <v>0</v>
      </c>
      <c r="DQ58" s="745">
        <f t="shared" si="74"/>
        <v>0</v>
      </c>
      <c r="DR58" s="745">
        <f t="shared" si="74"/>
        <v>0</v>
      </c>
      <c r="DS58" s="745">
        <f t="shared" si="74"/>
        <v>0</v>
      </c>
      <c r="DT58" s="745">
        <f t="shared" si="74"/>
        <v>0</v>
      </c>
      <c r="DU58" s="745">
        <f t="shared" si="74"/>
        <v>0</v>
      </c>
      <c r="DV58" s="745">
        <f t="shared" si="74"/>
        <v>0</v>
      </c>
      <c r="DW58" s="745">
        <f t="shared" si="74"/>
        <v>0</v>
      </c>
      <c r="DX58" s="745">
        <f t="shared" si="74"/>
        <v>0</v>
      </c>
      <c r="DY58" s="745">
        <f t="shared" si="74"/>
        <v>0</v>
      </c>
      <c r="DZ58" s="745">
        <f t="shared" si="74"/>
        <v>0</v>
      </c>
      <c r="EA58" s="745">
        <f t="shared" si="74"/>
        <v>0</v>
      </c>
      <c r="EB58" s="745">
        <f t="shared" si="74"/>
        <v>0</v>
      </c>
      <c r="EC58" s="745">
        <f t="shared" si="74"/>
        <v>0</v>
      </c>
      <c r="ED58" s="745">
        <f t="shared" si="74"/>
        <v>0</v>
      </c>
      <c r="EE58" s="745">
        <f t="shared" si="74"/>
        <v>0</v>
      </c>
      <c r="EF58" s="745">
        <f t="shared" si="74"/>
        <v>0</v>
      </c>
      <c r="EG58" s="745">
        <f t="shared" ref="EG58:FB58" si="75">EG47-EG54</f>
        <v>0</v>
      </c>
      <c r="EH58" s="745">
        <f t="shared" si="75"/>
        <v>0</v>
      </c>
      <c r="EI58" s="745">
        <f t="shared" si="75"/>
        <v>0</v>
      </c>
      <c r="EJ58" s="745">
        <f t="shared" si="75"/>
        <v>0</v>
      </c>
      <c r="EK58" s="745">
        <f t="shared" si="75"/>
        <v>0</v>
      </c>
      <c r="EL58" s="745">
        <f t="shared" si="75"/>
        <v>0</v>
      </c>
      <c r="EM58" s="745">
        <f t="shared" si="75"/>
        <v>0</v>
      </c>
      <c r="EN58" s="745">
        <f t="shared" si="75"/>
        <v>0</v>
      </c>
      <c r="EO58" s="745">
        <f t="shared" si="75"/>
        <v>0</v>
      </c>
      <c r="EP58" s="745">
        <f t="shared" si="75"/>
        <v>0</v>
      </c>
      <c r="EQ58" s="745">
        <f t="shared" si="75"/>
        <v>0</v>
      </c>
      <c r="ER58" s="745">
        <f t="shared" si="75"/>
        <v>0</v>
      </c>
      <c r="ES58" s="745">
        <f t="shared" si="75"/>
        <v>0</v>
      </c>
      <c r="ET58" s="745">
        <f t="shared" si="75"/>
        <v>0</v>
      </c>
      <c r="EU58" s="745">
        <f t="shared" si="75"/>
        <v>0</v>
      </c>
      <c r="EV58" s="745">
        <f t="shared" si="75"/>
        <v>0</v>
      </c>
      <c r="EW58" s="745">
        <f t="shared" si="75"/>
        <v>0</v>
      </c>
      <c r="EX58" s="745">
        <f t="shared" si="75"/>
        <v>0</v>
      </c>
      <c r="EY58" s="745">
        <f t="shared" si="75"/>
        <v>0</v>
      </c>
      <c r="EZ58" s="745">
        <f t="shared" si="75"/>
        <v>0</v>
      </c>
      <c r="FA58" s="745">
        <f t="shared" si="75"/>
        <v>0</v>
      </c>
      <c r="FB58" s="745">
        <f t="shared" si="75"/>
        <v>0</v>
      </c>
      <c r="FC58" s="692"/>
      <c r="FD58" s="743"/>
      <c r="FE58" s="692"/>
    </row>
    <row r="59" spans="2:161" s="742" customFormat="1" ht="6" customHeight="1">
      <c r="E59" s="704"/>
      <c r="G59" s="743"/>
      <c r="I59" s="760"/>
      <c r="J59" s="760"/>
      <c r="K59" s="760"/>
      <c r="L59" s="760"/>
      <c r="M59" s="760"/>
      <c r="N59" s="760"/>
      <c r="O59" s="760"/>
      <c r="P59" s="760"/>
      <c r="Q59" s="760"/>
      <c r="R59" s="760"/>
      <c r="S59" s="760"/>
      <c r="T59" s="760"/>
      <c r="U59" s="760"/>
      <c r="V59" s="760"/>
      <c r="W59" s="760"/>
      <c r="X59" s="760"/>
      <c r="Y59" s="760"/>
      <c r="Z59" s="760"/>
      <c r="AA59" s="760"/>
      <c r="AB59" s="760"/>
      <c r="AC59" s="760"/>
      <c r="AD59" s="760"/>
      <c r="AE59" s="760"/>
      <c r="AF59" s="760"/>
      <c r="AG59" s="760"/>
      <c r="AH59" s="760"/>
      <c r="AI59" s="760"/>
      <c r="AJ59" s="760"/>
      <c r="AK59" s="760"/>
      <c r="AL59" s="760"/>
      <c r="AM59" s="760"/>
      <c r="AN59" s="760"/>
      <c r="AO59" s="760"/>
      <c r="AP59" s="760"/>
      <c r="AQ59" s="760"/>
      <c r="AR59" s="760"/>
      <c r="AS59" s="760"/>
      <c r="AT59" s="760"/>
      <c r="AU59" s="760"/>
      <c r="AV59" s="760"/>
      <c r="AW59" s="760"/>
      <c r="AX59" s="760"/>
      <c r="AY59" s="760"/>
      <c r="AZ59" s="760"/>
      <c r="BA59" s="760"/>
      <c r="BB59" s="760"/>
      <c r="BC59" s="760"/>
      <c r="BD59" s="760"/>
      <c r="BE59" s="760"/>
      <c r="BF59" s="760"/>
      <c r="BG59" s="760"/>
      <c r="BH59" s="760"/>
      <c r="BI59" s="760"/>
      <c r="BJ59" s="760"/>
      <c r="BK59" s="760"/>
      <c r="BL59" s="760"/>
      <c r="BM59" s="760"/>
      <c r="BN59" s="760"/>
      <c r="BO59" s="760"/>
      <c r="BP59" s="760"/>
      <c r="BQ59" s="760"/>
      <c r="BR59" s="760"/>
      <c r="BS59" s="760"/>
      <c r="BT59" s="760"/>
      <c r="BU59" s="760"/>
      <c r="BV59" s="760"/>
      <c r="BW59" s="760"/>
      <c r="BX59" s="760"/>
      <c r="BY59" s="760"/>
      <c r="BZ59" s="760"/>
      <c r="CA59" s="760"/>
      <c r="CB59" s="760"/>
      <c r="CC59" s="760"/>
      <c r="CD59" s="760"/>
      <c r="CE59" s="760"/>
      <c r="CF59" s="760"/>
      <c r="CG59" s="760"/>
      <c r="CH59" s="760"/>
      <c r="CI59" s="760"/>
      <c r="CJ59" s="760"/>
      <c r="CK59" s="760"/>
      <c r="CL59" s="760"/>
      <c r="CM59" s="760"/>
      <c r="CN59" s="760"/>
      <c r="CO59" s="760"/>
      <c r="CP59" s="760"/>
      <c r="CQ59" s="760"/>
      <c r="CR59" s="760"/>
      <c r="CS59" s="760"/>
      <c r="CT59" s="760"/>
      <c r="CU59" s="760"/>
      <c r="CV59" s="760"/>
      <c r="CW59" s="760"/>
      <c r="CX59" s="760"/>
      <c r="CY59" s="760"/>
      <c r="CZ59" s="760"/>
      <c r="DA59" s="760"/>
      <c r="DB59" s="760"/>
      <c r="DC59" s="760"/>
      <c r="DD59" s="760"/>
      <c r="DE59" s="760"/>
      <c r="DF59" s="760"/>
      <c r="DG59" s="760"/>
      <c r="DH59" s="760"/>
      <c r="DI59" s="760"/>
      <c r="DJ59" s="760"/>
      <c r="DK59" s="760"/>
      <c r="DL59" s="760"/>
      <c r="DM59" s="760"/>
      <c r="DN59" s="760"/>
      <c r="DO59" s="760"/>
      <c r="DP59" s="760"/>
      <c r="DQ59" s="760"/>
      <c r="DR59" s="760"/>
      <c r="DS59" s="760"/>
      <c r="DT59" s="760"/>
      <c r="DU59" s="760"/>
      <c r="DV59" s="760"/>
      <c r="DW59" s="760"/>
      <c r="DX59" s="760"/>
      <c r="DY59" s="760"/>
      <c r="DZ59" s="760"/>
      <c r="EA59" s="760"/>
      <c r="EB59" s="760"/>
      <c r="EC59" s="760"/>
      <c r="ED59" s="760"/>
      <c r="EE59" s="760"/>
      <c r="EF59" s="760"/>
      <c r="EG59" s="760"/>
      <c r="EH59" s="760"/>
      <c r="EI59" s="760"/>
      <c r="EJ59" s="760"/>
      <c r="EK59" s="760"/>
      <c r="EL59" s="760"/>
      <c r="EM59" s="760"/>
      <c r="EN59" s="760"/>
      <c r="EO59" s="760"/>
      <c r="EP59" s="760"/>
      <c r="EQ59" s="760"/>
      <c r="ER59" s="760"/>
      <c r="ES59" s="760"/>
      <c r="ET59" s="760"/>
      <c r="EU59" s="760"/>
      <c r="EV59" s="760"/>
      <c r="EW59" s="760"/>
      <c r="EX59" s="760"/>
      <c r="EY59" s="760"/>
      <c r="EZ59" s="760"/>
      <c r="FA59" s="760"/>
      <c r="FB59" s="760"/>
      <c r="FC59" s="692"/>
      <c r="FD59" s="743"/>
      <c r="FE59" s="692"/>
    </row>
    <row r="60" spans="2:161" s="692" customFormat="1">
      <c r="B60" s="693" t="str">
        <f>"Tier IV -- LP IRR above "&amp;TEXT(C14,"#0%")&amp;""</f>
        <v>Tier IV -- LP IRR above 17%</v>
      </c>
      <c r="E60" s="696"/>
      <c r="G60" s="728"/>
      <c r="I60" s="720"/>
      <c r="J60" s="720"/>
      <c r="K60" s="720"/>
      <c r="L60" s="720"/>
      <c r="M60" s="720"/>
      <c r="N60" s="720"/>
      <c r="O60" s="720"/>
      <c r="P60" s="720"/>
      <c r="Q60" s="720"/>
      <c r="R60" s="720"/>
      <c r="S60" s="720"/>
      <c r="T60" s="720"/>
      <c r="U60" s="720"/>
      <c r="V60" s="720"/>
      <c r="W60" s="720"/>
      <c r="X60" s="720"/>
      <c r="Y60" s="720"/>
      <c r="Z60" s="720"/>
      <c r="AA60" s="720"/>
      <c r="AB60" s="720"/>
      <c r="AC60" s="720"/>
      <c r="AD60" s="720"/>
      <c r="AE60" s="720"/>
      <c r="AF60" s="720"/>
      <c r="AG60" s="720"/>
      <c r="AH60" s="720"/>
      <c r="AI60" s="720"/>
      <c r="AJ60" s="720"/>
      <c r="AK60" s="720"/>
      <c r="AL60" s="720"/>
      <c r="AM60" s="720"/>
      <c r="AN60" s="720"/>
      <c r="AO60" s="720"/>
      <c r="AP60" s="720"/>
      <c r="AQ60" s="720"/>
      <c r="AR60" s="720"/>
      <c r="AS60" s="720"/>
      <c r="AT60" s="720"/>
      <c r="AU60" s="720"/>
      <c r="AV60" s="720"/>
      <c r="AW60" s="720"/>
      <c r="AX60" s="720"/>
      <c r="AY60" s="720"/>
      <c r="AZ60" s="720"/>
      <c r="BA60" s="720"/>
      <c r="BB60" s="720"/>
      <c r="BC60" s="720"/>
      <c r="BD60" s="720"/>
      <c r="BE60" s="720"/>
      <c r="BF60" s="720"/>
      <c r="BG60" s="720"/>
      <c r="BH60" s="720"/>
      <c r="BI60" s="720"/>
      <c r="BJ60" s="720"/>
      <c r="BK60" s="720"/>
      <c r="BL60" s="720"/>
      <c r="BM60" s="720"/>
      <c r="BN60" s="720"/>
      <c r="BO60" s="720"/>
      <c r="BP60" s="720"/>
      <c r="BQ60" s="720"/>
      <c r="BR60" s="720"/>
      <c r="BS60" s="720"/>
      <c r="BT60" s="720"/>
      <c r="BU60" s="720"/>
      <c r="BV60" s="720"/>
      <c r="BW60" s="720"/>
      <c r="BX60" s="720"/>
      <c r="BY60" s="720"/>
      <c r="BZ60" s="720"/>
      <c r="CA60" s="720"/>
      <c r="CB60" s="720"/>
      <c r="CC60" s="720"/>
      <c r="CD60" s="720"/>
      <c r="CE60" s="720"/>
      <c r="CF60" s="720"/>
      <c r="CG60" s="720"/>
      <c r="CH60" s="720"/>
      <c r="CI60" s="720"/>
      <c r="CJ60" s="720"/>
      <c r="CK60" s="720"/>
      <c r="CL60" s="720"/>
      <c r="CM60" s="720"/>
      <c r="CN60" s="720"/>
      <c r="CO60" s="720"/>
      <c r="CP60" s="720"/>
      <c r="CQ60" s="720"/>
      <c r="CR60" s="720"/>
      <c r="CS60" s="720"/>
      <c r="CT60" s="720"/>
      <c r="CU60" s="720"/>
      <c r="CV60" s="720"/>
      <c r="CW60" s="720"/>
      <c r="CX60" s="720"/>
      <c r="CY60" s="720"/>
      <c r="CZ60" s="720"/>
      <c r="DA60" s="720"/>
      <c r="DB60" s="720"/>
      <c r="DC60" s="720"/>
      <c r="DD60" s="720"/>
      <c r="DE60" s="720"/>
      <c r="DF60" s="720"/>
      <c r="DG60" s="720"/>
      <c r="DH60" s="720"/>
      <c r="DI60" s="720"/>
      <c r="DJ60" s="720"/>
      <c r="DK60" s="720"/>
      <c r="DL60" s="720"/>
      <c r="DM60" s="720"/>
      <c r="DN60" s="720"/>
      <c r="DO60" s="720"/>
      <c r="DP60" s="720"/>
      <c r="DQ60" s="720"/>
      <c r="DR60" s="720"/>
      <c r="DS60" s="720"/>
      <c r="DT60" s="720"/>
      <c r="DU60" s="720"/>
      <c r="DV60" s="720"/>
      <c r="DW60" s="720"/>
      <c r="DX60" s="720"/>
      <c r="DY60" s="720"/>
      <c r="DZ60" s="720"/>
      <c r="EA60" s="720"/>
      <c r="EB60" s="720"/>
      <c r="EC60" s="720"/>
      <c r="ED60" s="720"/>
      <c r="EE60" s="720"/>
      <c r="EF60" s="720"/>
      <c r="EG60" s="720"/>
      <c r="EH60" s="720"/>
      <c r="EI60" s="720"/>
      <c r="EJ60" s="720"/>
      <c r="EK60" s="720"/>
      <c r="EL60" s="720"/>
      <c r="EM60" s="720"/>
      <c r="EN60" s="720"/>
      <c r="EO60" s="720"/>
      <c r="EP60" s="720"/>
      <c r="EQ60" s="720"/>
      <c r="ER60" s="720"/>
      <c r="ES60" s="720"/>
      <c r="ET60" s="720"/>
      <c r="EU60" s="720"/>
      <c r="EV60" s="720"/>
      <c r="EW60" s="720"/>
      <c r="EX60" s="720"/>
      <c r="EY60" s="720"/>
      <c r="EZ60" s="720"/>
      <c r="FA60" s="720"/>
      <c r="FB60" s="720"/>
      <c r="FD60" s="728"/>
    </row>
    <row r="61" spans="2:161" s="747" customFormat="1">
      <c r="B61" s="747" t="s">
        <v>357</v>
      </c>
      <c r="E61" s="748"/>
      <c r="G61" s="743">
        <f>SUM(I61:FB61)</f>
        <v>5710478.4476263858</v>
      </c>
      <c r="I61" s="749">
        <f t="shared" ref="I61:BT61" si="76">I58</f>
        <v>0</v>
      </c>
      <c r="J61" s="749">
        <f t="shared" si="76"/>
        <v>0</v>
      </c>
      <c r="K61" s="749">
        <f t="shared" si="76"/>
        <v>0</v>
      </c>
      <c r="L61" s="749">
        <f t="shared" si="76"/>
        <v>0</v>
      </c>
      <c r="M61" s="749">
        <f t="shared" si="76"/>
        <v>0</v>
      </c>
      <c r="N61" s="749">
        <f t="shared" si="76"/>
        <v>0</v>
      </c>
      <c r="O61" s="749">
        <f t="shared" si="76"/>
        <v>0</v>
      </c>
      <c r="P61" s="749">
        <f t="shared" si="76"/>
        <v>0</v>
      </c>
      <c r="Q61" s="749">
        <f t="shared" si="76"/>
        <v>0</v>
      </c>
      <c r="R61" s="749">
        <f t="shared" si="76"/>
        <v>0</v>
      </c>
      <c r="S61" s="749">
        <f t="shared" si="76"/>
        <v>0</v>
      </c>
      <c r="T61" s="749">
        <f t="shared" si="76"/>
        <v>0</v>
      </c>
      <c r="U61" s="749">
        <f t="shared" si="76"/>
        <v>0</v>
      </c>
      <c r="V61" s="749">
        <f t="shared" si="76"/>
        <v>0</v>
      </c>
      <c r="W61" s="749">
        <f t="shared" si="76"/>
        <v>0</v>
      </c>
      <c r="X61" s="749">
        <f t="shared" si="76"/>
        <v>0</v>
      </c>
      <c r="Y61" s="749">
        <f t="shared" si="76"/>
        <v>0</v>
      </c>
      <c r="Z61" s="749">
        <f t="shared" si="76"/>
        <v>0</v>
      </c>
      <c r="AA61" s="749">
        <f t="shared" si="76"/>
        <v>0</v>
      </c>
      <c r="AB61" s="749">
        <f t="shared" si="76"/>
        <v>0</v>
      </c>
      <c r="AC61" s="749">
        <f t="shared" si="76"/>
        <v>0</v>
      </c>
      <c r="AD61" s="749">
        <f t="shared" si="76"/>
        <v>0</v>
      </c>
      <c r="AE61" s="749">
        <f t="shared" si="76"/>
        <v>0</v>
      </c>
      <c r="AF61" s="749">
        <f t="shared" si="76"/>
        <v>0</v>
      </c>
      <c r="AG61" s="749">
        <f t="shared" si="76"/>
        <v>0</v>
      </c>
      <c r="AH61" s="749">
        <f t="shared" si="76"/>
        <v>0</v>
      </c>
      <c r="AI61" s="749">
        <f t="shared" si="76"/>
        <v>0</v>
      </c>
      <c r="AJ61" s="749">
        <f t="shared" si="76"/>
        <v>0</v>
      </c>
      <c r="AK61" s="749">
        <f t="shared" si="76"/>
        <v>0</v>
      </c>
      <c r="AL61" s="749">
        <f t="shared" si="76"/>
        <v>0</v>
      </c>
      <c r="AM61" s="749">
        <f t="shared" si="76"/>
        <v>0</v>
      </c>
      <c r="AN61" s="749">
        <f t="shared" si="76"/>
        <v>0</v>
      </c>
      <c r="AO61" s="749">
        <f t="shared" si="76"/>
        <v>0</v>
      </c>
      <c r="AP61" s="749">
        <f t="shared" si="76"/>
        <v>0</v>
      </c>
      <c r="AQ61" s="749">
        <f t="shared" si="76"/>
        <v>0</v>
      </c>
      <c r="AR61" s="749">
        <f t="shared" si="76"/>
        <v>0</v>
      </c>
      <c r="AS61" s="749">
        <f t="shared" si="76"/>
        <v>0</v>
      </c>
      <c r="AT61" s="749">
        <f t="shared" si="76"/>
        <v>0</v>
      </c>
      <c r="AU61" s="749">
        <f t="shared" si="76"/>
        <v>0</v>
      </c>
      <c r="AV61" s="749">
        <f t="shared" si="76"/>
        <v>0</v>
      </c>
      <c r="AW61" s="749">
        <f t="shared" si="76"/>
        <v>0</v>
      </c>
      <c r="AX61" s="749">
        <f t="shared" si="76"/>
        <v>0</v>
      </c>
      <c r="AY61" s="749">
        <f t="shared" si="76"/>
        <v>0</v>
      </c>
      <c r="AZ61" s="749">
        <f t="shared" si="76"/>
        <v>0</v>
      </c>
      <c r="BA61" s="749">
        <f t="shared" si="76"/>
        <v>0</v>
      </c>
      <c r="BB61" s="749">
        <f t="shared" si="76"/>
        <v>0</v>
      </c>
      <c r="BC61" s="749">
        <f t="shared" si="76"/>
        <v>0</v>
      </c>
      <c r="BD61" s="749">
        <f t="shared" si="76"/>
        <v>5710478.4476263858</v>
      </c>
      <c r="BE61" s="749">
        <f t="shared" si="76"/>
        <v>0</v>
      </c>
      <c r="BF61" s="749">
        <f t="shared" si="76"/>
        <v>0</v>
      </c>
      <c r="BG61" s="749">
        <f t="shared" si="76"/>
        <v>0</v>
      </c>
      <c r="BH61" s="749">
        <f t="shared" si="76"/>
        <v>0</v>
      </c>
      <c r="BI61" s="749">
        <f t="shared" si="76"/>
        <v>0</v>
      </c>
      <c r="BJ61" s="749">
        <f t="shared" si="76"/>
        <v>0</v>
      </c>
      <c r="BK61" s="749">
        <f t="shared" si="76"/>
        <v>0</v>
      </c>
      <c r="BL61" s="749">
        <f t="shared" si="76"/>
        <v>0</v>
      </c>
      <c r="BM61" s="749">
        <f t="shared" si="76"/>
        <v>0</v>
      </c>
      <c r="BN61" s="749">
        <f t="shared" si="76"/>
        <v>0</v>
      </c>
      <c r="BO61" s="749">
        <f t="shared" si="76"/>
        <v>0</v>
      </c>
      <c r="BP61" s="749">
        <f t="shared" si="76"/>
        <v>0</v>
      </c>
      <c r="BQ61" s="749">
        <f t="shared" si="76"/>
        <v>0</v>
      </c>
      <c r="BR61" s="749">
        <f t="shared" si="76"/>
        <v>0</v>
      </c>
      <c r="BS61" s="749">
        <f t="shared" si="76"/>
        <v>0</v>
      </c>
      <c r="BT61" s="749">
        <f t="shared" si="76"/>
        <v>0</v>
      </c>
      <c r="BU61" s="749">
        <f t="shared" ref="BU61:EF61" si="77">BU58</f>
        <v>0</v>
      </c>
      <c r="BV61" s="749">
        <f t="shared" si="77"/>
        <v>0</v>
      </c>
      <c r="BW61" s="749">
        <f t="shared" si="77"/>
        <v>0</v>
      </c>
      <c r="BX61" s="749">
        <f t="shared" si="77"/>
        <v>0</v>
      </c>
      <c r="BY61" s="749">
        <f t="shared" si="77"/>
        <v>0</v>
      </c>
      <c r="BZ61" s="749">
        <f t="shared" si="77"/>
        <v>0</v>
      </c>
      <c r="CA61" s="749">
        <f t="shared" si="77"/>
        <v>0</v>
      </c>
      <c r="CB61" s="749">
        <f t="shared" si="77"/>
        <v>0</v>
      </c>
      <c r="CC61" s="749">
        <f t="shared" si="77"/>
        <v>0</v>
      </c>
      <c r="CD61" s="749">
        <f t="shared" si="77"/>
        <v>0</v>
      </c>
      <c r="CE61" s="749">
        <f t="shared" si="77"/>
        <v>0</v>
      </c>
      <c r="CF61" s="749">
        <f t="shared" si="77"/>
        <v>0</v>
      </c>
      <c r="CG61" s="749">
        <f t="shared" si="77"/>
        <v>0</v>
      </c>
      <c r="CH61" s="749">
        <f t="shared" si="77"/>
        <v>0</v>
      </c>
      <c r="CI61" s="749">
        <f t="shared" si="77"/>
        <v>0</v>
      </c>
      <c r="CJ61" s="749">
        <f t="shared" si="77"/>
        <v>0</v>
      </c>
      <c r="CK61" s="749">
        <f t="shared" si="77"/>
        <v>0</v>
      </c>
      <c r="CL61" s="749">
        <f t="shared" si="77"/>
        <v>0</v>
      </c>
      <c r="CM61" s="749">
        <f t="shared" si="77"/>
        <v>0</v>
      </c>
      <c r="CN61" s="749">
        <f t="shared" si="77"/>
        <v>0</v>
      </c>
      <c r="CO61" s="749">
        <f t="shared" si="77"/>
        <v>0</v>
      </c>
      <c r="CP61" s="749">
        <f t="shared" si="77"/>
        <v>0</v>
      </c>
      <c r="CQ61" s="749">
        <f t="shared" si="77"/>
        <v>0</v>
      </c>
      <c r="CR61" s="749">
        <f t="shared" si="77"/>
        <v>0</v>
      </c>
      <c r="CS61" s="749">
        <f t="shared" si="77"/>
        <v>0</v>
      </c>
      <c r="CT61" s="749">
        <f t="shared" si="77"/>
        <v>0</v>
      </c>
      <c r="CU61" s="749">
        <f t="shared" si="77"/>
        <v>0</v>
      </c>
      <c r="CV61" s="749">
        <f t="shared" si="77"/>
        <v>0</v>
      </c>
      <c r="CW61" s="749">
        <f t="shared" si="77"/>
        <v>0</v>
      </c>
      <c r="CX61" s="749">
        <f t="shared" si="77"/>
        <v>0</v>
      </c>
      <c r="CY61" s="749">
        <f t="shared" si="77"/>
        <v>0</v>
      </c>
      <c r="CZ61" s="749">
        <f t="shared" si="77"/>
        <v>0</v>
      </c>
      <c r="DA61" s="749">
        <f t="shared" si="77"/>
        <v>0</v>
      </c>
      <c r="DB61" s="749">
        <f t="shared" si="77"/>
        <v>0</v>
      </c>
      <c r="DC61" s="749">
        <f t="shared" si="77"/>
        <v>0</v>
      </c>
      <c r="DD61" s="749">
        <f t="shared" si="77"/>
        <v>0</v>
      </c>
      <c r="DE61" s="749">
        <f t="shared" si="77"/>
        <v>0</v>
      </c>
      <c r="DF61" s="749">
        <f t="shared" si="77"/>
        <v>0</v>
      </c>
      <c r="DG61" s="749">
        <f t="shared" si="77"/>
        <v>0</v>
      </c>
      <c r="DH61" s="749">
        <f t="shared" si="77"/>
        <v>0</v>
      </c>
      <c r="DI61" s="749">
        <f t="shared" si="77"/>
        <v>0</v>
      </c>
      <c r="DJ61" s="749">
        <f t="shared" si="77"/>
        <v>0</v>
      </c>
      <c r="DK61" s="749">
        <f t="shared" si="77"/>
        <v>0</v>
      </c>
      <c r="DL61" s="749">
        <f t="shared" si="77"/>
        <v>0</v>
      </c>
      <c r="DM61" s="749">
        <f t="shared" si="77"/>
        <v>0</v>
      </c>
      <c r="DN61" s="749">
        <f t="shared" si="77"/>
        <v>0</v>
      </c>
      <c r="DO61" s="749">
        <f t="shared" si="77"/>
        <v>0</v>
      </c>
      <c r="DP61" s="749">
        <f t="shared" si="77"/>
        <v>0</v>
      </c>
      <c r="DQ61" s="749">
        <f t="shared" si="77"/>
        <v>0</v>
      </c>
      <c r="DR61" s="749">
        <f t="shared" si="77"/>
        <v>0</v>
      </c>
      <c r="DS61" s="749">
        <f t="shared" si="77"/>
        <v>0</v>
      </c>
      <c r="DT61" s="749">
        <f t="shared" si="77"/>
        <v>0</v>
      </c>
      <c r="DU61" s="749">
        <f t="shared" si="77"/>
        <v>0</v>
      </c>
      <c r="DV61" s="749">
        <f t="shared" si="77"/>
        <v>0</v>
      </c>
      <c r="DW61" s="749">
        <f t="shared" si="77"/>
        <v>0</v>
      </c>
      <c r="DX61" s="749">
        <f t="shared" si="77"/>
        <v>0</v>
      </c>
      <c r="DY61" s="749">
        <f t="shared" si="77"/>
        <v>0</v>
      </c>
      <c r="DZ61" s="749">
        <f t="shared" si="77"/>
        <v>0</v>
      </c>
      <c r="EA61" s="749">
        <f t="shared" si="77"/>
        <v>0</v>
      </c>
      <c r="EB61" s="749">
        <f t="shared" si="77"/>
        <v>0</v>
      </c>
      <c r="EC61" s="749">
        <f t="shared" si="77"/>
        <v>0</v>
      </c>
      <c r="ED61" s="749">
        <f t="shared" si="77"/>
        <v>0</v>
      </c>
      <c r="EE61" s="749">
        <f t="shared" si="77"/>
        <v>0</v>
      </c>
      <c r="EF61" s="749">
        <f t="shared" si="77"/>
        <v>0</v>
      </c>
      <c r="EG61" s="749">
        <f t="shared" ref="EG61:FB61" si="78">EG58</f>
        <v>0</v>
      </c>
      <c r="EH61" s="749">
        <f t="shared" si="78"/>
        <v>0</v>
      </c>
      <c r="EI61" s="749">
        <f t="shared" si="78"/>
        <v>0</v>
      </c>
      <c r="EJ61" s="749">
        <f t="shared" si="78"/>
        <v>0</v>
      </c>
      <c r="EK61" s="749">
        <f t="shared" si="78"/>
        <v>0</v>
      </c>
      <c r="EL61" s="749">
        <f t="shared" si="78"/>
        <v>0</v>
      </c>
      <c r="EM61" s="749">
        <f t="shared" si="78"/>
        <v>0</v>
      </c>
      <c r="EN61" s="749">
        <f t="shared" si="78"/>
        <v>0</v>
      </c>
      <c r="EO61" s="749">
        <f t="shared" si="78"/>
        <v>0</v>
      </c>
      <c r="EP61" s="749">
        <f t="shared" si="78"/>
        <v>0</v>
      </c>
      <c r="EQ61" s="749">
        <f t="shared" si="78"/>
        <v>0</v>
      </c>
      <c r="ER61" s="749">
        <f t="shared" si="78"/>
        <v>0</v>
      </c>
      <c r="ES61" s="749">
        <f t="shared" si="78"/>
        <v>0</v>
      </c>
      <c r="ET61" s="749">
        <f t="shared" si="78"/>
        <v>0</v>
      </c>
      <c r="EU61" s="749">
        <f t="shared" si="78"/>
        <v>0</v>
      </c>
      <c r="EV61" s="749">
        <f t="shared" si="78"/>
        <v>0</v>
      </c>
      <c r="EW61" s="749">
        <f t="shared" si="78"/>
        <v>0</v>
      </c>
      <c r="EX61" s="749">
        <f t="shared" si="78"/>
        <v>0</v>
      </c>
      <c r="EY61" s="749">
        <f t="shared" si="78"/>
        <v>0</v>
      </c>
      <c r="EZ61" s="749">
        <f t="shared" si="78"/>
        <v>0</v>
      </c>
      <c r="FA61" s="749">
        <f t="shared" si="78"/>
        <v>0</v>
      </c>
      <c r="FB61" s="749">
        <f t="shared" si="78"/>
        <v>0</v>
      </c>
      <c r="FC61" s="692"/>
      <c r="FD61" s="743">
        <f>SUM(I61:FB61)</f>
        <v>5710478.4476263858</v>
      </c>
      <c r="FE61" s="699"/>
    </row>
    <row r="62" spans="2:161" s="742" customFormat="1">
      <c r="B62" s="750" t="s">
        <v>356</v>
      </c>
      <c r="C62" s="751"/>
      <c r="D62" s="751"/>
      <c r="E62" s="752">
        <f>1-E63-E64</f>
        <v>0.33265385554765292</v>
      </c>
      <c r="F62" s="761"/>
      <c r="G62" s="753">
        <f>SUM(I62:FB62)</f>
        <v>1899612.672624693</v>
      </c>
      <c r="H62" s="761"/>
      <c r="I62" s="754">
        <f t="shared" ref="I62:BT62" si="79">$E62*I61</f>
        <v>0</v>
      </c>
      <c r="J62" s="754">
        <f t="shared" si="79"/>
        <v>0</v>
      </c>
      <c r="K62" s="754">
        <f t="shared" si="79"/>
        <v>0</v>
      </c>
      <c r="L62" s="754">
        <f t="shared" si="79"/>
        <v>0</v>
      </c>
      <c r="M62" s="754">
        <f t="shared" si="79"/>
        <v>0</v>
      </c>
      <c r="N62" s="754">
        <f t="shared" si="79"/>
        <v>0</v>
      </c>
      <c r="O62" s="754">
        <f t="shared" si="79"/>
        <v>0</v>
      </c>
      <c r="P62" s="754">
        <f t="shared" si="79"/>
        <v>0</v>
      </c>
      <c r="Q62" s="754">
        <f t="shared" si="79"/>
        <v>0</v>
      </c>
      <c r="R62" s="754">
        <f t="shared" si="79"/>
        <v>0</v>
      </c>
      <c r="S62" s="754">
        <f t="shared" si="79"/>
        <v>0</v>
      </c>
      <c r="T62" s="754">
        <f t="shared" si="79"/>
        <v>0</v>
      </c>
      <c r="U62" s="754">
        <f t="shared" si="79"/>
        <v>0</v>
      </c>
      <c r="V62" s="754">
        <f t="shared" si="79"/>
        <v>0</v>
      </c>
      <c r="W62" s="754">
        <f t="shared" si="79"/>
        <v>0</v>
      </c>
      <c r="X62" s="754">
        <f t="shared" si="79"/>
        <v>0</v>
      </c>
      <c r="Y62" s="754">
        <f t="shared" si="79"/>
        <v>0</v>
      </c>
      <c r="Z62" s="754">
        <f t="shared" si="79"/>
        <v>0</v>
      </c>
      <c r="AA62" s="754">
        <f t="shared" si="79"/>
        <v>0</v>
      </c>
      <c r="AB62" s="754">
        <f t="shared" si="79"/>
        <v>0</v>
      </c>
      <c r="AC62" s="754">
        <f t="shared" si="79"/>
        <v>0</v>
      </c>
      <c r="AD62" s="754">
        <f t="shared" si="79"/>
        <v>0</v>
      </c>
      <c r="AE62" s="754">
        <f t="shared" si="79"/>
        <v>0</v>
      </c>
      <c r="AF62" s="754">
        <f t="shared" si="79"/>
        <v>0</v>
      </c>
      <c r="AG62" s="754">
        <f t="shared" si="79"/>
        <v>0</v>
      </c>
      <c r="AH62" s="754">
        <f t="shared" si="79"/>
        <v>0</v>
      </c>
      <c r="AI62" s="754">
        <f t="shared" si="79"/>
        <v>0</v>
      </c>
      <c r="AJ62" s="754">
        <f t="shared" si="79"/>
        <v>0</v>
      </c>
      <c r="AK62" s="754">
        <f t="shared" si="79"/>
        <v>0</v>
      </c>
      <c r="AL62" s="754">
        <f t="shared" si="79"/>
        <v>0</v>
      </c>
      <c r="AM62" s="754">
        <f t="shared" si="79"/>
        <v>0</v>
      </c>
      <c r="AN62" s="754">
        <f t="shared" si="79"/>
        <v>0</v>
      </c>
      <c r="AO62" s="754">
        <f t="shared" si="79"/>
        <v>0</v>
      </c>
      <c r="AP62" s="754">
        <f t="shared" si="79"/>
        <v>0</v>
      </c>
      <c r="AQ62" s="754">
        <f t="shared" si="79"/>
        <v>0</v>
      </c>
      <c r="AR62" s="754">
        <f t="shared" si="79"/>
        <v>0</v>
      </c>
      <c r="AS62" s="754">
        <f t="shared" si="79"/>
        <v>0</v>
      </c>
      <c r="AT62" s="754">
        <f t="shared" si="79"/>
        <v>0</v>
      </c>
      <c r="AU62" s="754">
        <f t="shared" si="79"/>
        <v>0</v>
      </c>
      <c r="AV62" s="754">
        <f t="shared" si="79"/>
        <v>0</v>
      </c>
      <c r="AW62" s="754">
        <f t="shared" si="79"/>
        <v>0</v>
      </c>
      <c r="AX62" s="754">
        <f t="shared" si="79"/>
        <v>0</v>
      </c>
      <c r="AY62" s="754">
        <f t="shared" si="79"/>
        <v>0</v>
      </c>
      <c r="AZ62" s="754">
        <f t="shared" si="79"/>
        <v>0</v>
      </c>
      <c r="BA62" s="754">
        <f t="shared" si="79"/>
        <v>0</v>
      </c>
      <c r="BB62" s="754">
        <f t="shared" si="79"/>
        <v>0</v>
      </c>
      <c r="BC62" s="754">
        <f t="shared" si="79"/>
        <v>0</v>
      </c>
      <c r="BD62" s="754">
        <f t="shared" si="79"/>
        <v>1899612.672624693</v>
      </c>
      <c r="BE62" s="754">
        <f t="shared" si="79"/>
        <v>0</v>
      </c>
      <c r="BF62" s="754">
        <f t="shared" si="79"/>
        <v>0</v>
      </c>
      <c r="BG62" s="754">
        <f t="shared" si="79"/>
        <v>0</v>
      </c>
      <c r="BH62" s="754">
        <f t="shared" si="79"/>
        <v>0</v>
      </c>
      <c r="BI62" s="754">
        <f t="shared" si="79"/>
        <v>0</v>
      </c>
      <c r="BJ62" s="754">
        <f t="shared" si="79"/>
        <v>0</v>
      </c>
      <c r="BK62" s="754">
        <f t="shared" si="79"/>
        <v>0</v>
      </c>
      <c r="BL62" s="754">
        <f t="shared" si="79"/>
        <v>0</v>
      </c>
      <c r="BM62" s="754">
        <f t="shared" si="79"/>
        <v>0</v>
      </c>
      <c r="BN62" s="754">
        <f t="shared" si="79"/>
        <v>0</v>
      </c>
      <c r="BO62" s="754">
        <f t="shared" si="79"/>
        <v>0</v>
      </c>
      <c r="BP62" s="754">
        <f t="shared" si="79"/>
        <v>0</v>
      </c>
      <c r="BQ62" s="754">
        <f t="shared" si="79"/>
        <v>0</v>
      </c>
      <c r="BR62" s="754">
        <f t="shared" si="79"/>
        <v>0</v>
      </c>
      <c r="BS62" s="754">
        <f t="shared" si="79"/>
        <v>0</v>
      </c>
      <c r="BT62" s="754">
        <f t="shared" si="79"/>
        <v>0</v>
      </c>
      <c r="BU62" s="754">
        <f t="shared" ref="BU62:EF62" si="80">$E62*BU61</f>
        <v>0</v>
      </c>
      <c r="BV62" s="754">
        <f t="shared" si="80"/>
        <v>0</v>
      </c>
      <c r="BW62" s="754">
        <f t="shared" si="80"/>
        <v>0</v>
      </c>
      <c r="BX62" s="754">
        <f t="shared" si="80"/>
        <v>0</v>
      </c>
      <c r="BY62" s="754">
        <f t="shared" si="80"/>
        <v>0</v>
      </c>
      <c r="BZ62" s="754">
        <f t="shared" si="80"/>
        <v>0</v>
      </c>
      <c r="CA62" s="754">
        <f t="shared" si="80"/>
        <v>0</v>
      </c>
      <c r="CB62" s="754">
        <f t="shared" si="80"/>
        <v>0</v>
      </c>
      <c r="CC62" s="754">
        <f t="shared" si="80"/>
        <v>0</v>
      </c>
      <c r="CD62" s="754">
        <f t="shared" si="80"/>
        <v>0</v>
      </c>
      <c r="CE62" s="754">
        <f t="shared" si="80"/>
        <v>0</v>
      </c>
      <c r="CF62" s="754">
        <f t="shared" si="80"/>
        <v>0</v>
      </c>
      <c r="CG62" s="754">
        <f t="shared" si="80"/>
        <v>0</v>
      </c>
      <c r="CH62" s="754">
        <f t="shared" si="80"/>
        <v>0</v>
      </c>
      <c r="CI62" s="754">
        <f t="shared" si="80"/>
        <v>0</v>
      </c>
      <c r="CJ62" s="754">
        <f t="shared" si="80"/>
        <v>0</v>
      </c>
      <c r="CK62" s="754">
        <f t="shared" si="80"/>
        <v>0</v>
      </c>
      <c r="CL62" s="754">
        <f t="shared" si="80"/>
        <v>0</v>
      </c>
      <c r="CM62" s="754">
        <f t="shared" si="80"/>
        <v>0</v>
      </c>
      <c r="CN62" s="754">
        <f t="shared" si="80"/>
        <v>0</v>
      </c>
      <c r="CO62" s="754">
        <f t="shared" si="80"/>
        <v>0</v>
      </c>
      <c r="CP62" s="754">
        <f t="shared" si="80"/>
        <v>0</v>
      </c>
      <c r="CQ62" s="754">
        <f t="shared" si="80"/>
        <v>0</v>
      </c>
      <c r="CR62" s="754">
        <f t="shared" si="80"/>
        <v>0</v>
      </c>
      <c r="CS62" s="754">
        <f t="shared" si="80"/>
        <v>0</v>
      </c>
      <c r="CT62" s="754">
        <f t="shared" si="80"/>
        <v>0</v>
      </c>
      <c r="CU62" s="754">
        <f t="shared" si="80"/>
        <v>0</v>
      </c>
      <c r="CV62" s="754">
        <f t="shared" si="80"/>
        <v>0</v>
      </c>
      <c r="CW62" s="754">
        <f t="shared" si="80"/>
        <v>0</v>
      </c>
      <c r="CX62" s="754">
        <f t="shared" si="80"/>
        <v>0</v>
      </c>
      <c r="CY62" s="754">
        <f t="shared" si="80"/>
        <v>0</v>
      </c>
      <c r="CZ62" s="754">
        <f t="shared" si="80"/>
        <v>0</v>
      </c>
      <c r="DA62" s="754">
        <f t="shared" si="80"/>
        <v>0</v>
      </c>
      <c r="DB62" s="754">
        <f t="shared" si="80"/>
        <v>0</v>
      </c>
      <c r="DC62" s="754">
        <f t="shared" si="80"/>
        <v>0</v>
      </c>
      <c r="DD62" s="754">
        <f t="shared" si="80"/>
        <v>0</v>
      </c>
      <c r="DE62" s="754">
        <f t="shared" si="80"/>
        <v>0</v>
      </c>
      <c r="DF62" s="754">
        <f t="shared" si="80"/>
        <v>0</v>
      </c>
      <c r="DG62" s="754">
        <f t="shared" si="80"/>
        <v>0</v>
      </c>
      <c r="DH62" s="754">
        <f t="shared" si="80"/>
        <v>0</v>
      </c>
      <c r="DI62" s="754">
        <f t="shared" si="80"/>
        <v>0</v>
      </c>
      <c r="DJ62" s="754">
        <f t="shared" si="80"/>
        <v>0</v>
      </c>
      <c r="DK62" s="754">
        <f t="shared" si="80"/>
        <v>0</v>
      </c>
      <c r="DL62" s="754">
        <f t="shared" si="80"/>
        <v>0</v>
      </c>
      <c r="DM62" s="754">
        <f t="shared" si="80"/>
        <v>0</v>
      </c>
      <c r="DN62" s="754">
        <f t="shared" si="80"/>
        <v>0</v>
      </c>
      <c r="DO62" s="754">
        <f t="shared" si="80"/>
        <v>0</v>
      </c>
      <c r="DP62" s="754">
        <f t="shared" si="80"/>
        <v>0</v>
      </c>
      <c r="DQ62" s="754">
        <f t="shared" si="80"/>
        <v>0</v>
      </c>
      <c r="DR62" s="754">
        <f t="shared" si="80"/>
        <v>0</v>
      </c>
      <c r="DS62" s="754">
        <f t="shared" si="80"/>
        <v>0</v>
      </c>
      <c r="DT62" s="754">
        <f t="shared" si="80"/>
        <v>0</v>
      </c>
      <c r="DU62" s="754">
        <f t="shared" si="80"/>
        <v>0</v>
      </c>
      <c r="DV62" s="754">
        <f t="shared" si="80"/>
        <v>0</v>
      </c>
      <c r="DW62" s="754">
        <f t="shared" si="80"/>
        <v>0</v>
      </c>
      <c r="DX62" s="754">
        <f t="shared" si="80"/>
        <v>0</v>
      </c>
      <c r="DY62" s="754">
        <f t="shared" si="80"/>
        <v>0</v>
      </c>
      <c r="DZ62" s="754">
        <f t="shared" si="80"/>
        <v>0</v>
      </c>
      <c r="EA62" s="754">
        <f t="shared" si="80"/>
        <v>0</v>
      </c>
      <c r="EB62" s="754">
        <f t="shared" si="80"/>
        <v>0</v>
      </c>
      <c r="EC62" s="754">
        <f t="shared" si="80"/>
        <v>0</v>
      </c>
      <c r="ED62" s="754">
        <f t="shared" si="80"/>
        <v>0</v>
      </c>
      <c r="EE62" s="754">
        <f t="shared" si="80"/>
        <v>0</v>
      </c>
      <c r="EF62" s="754">
        <f t="shared" si="80"/>
        <v>0</v>
      </c>
      <c r="EG62" s="754">
        <f t="shared" ref="EG62:FB62" si="81">$E62*EG61</f>
        <v>0</v>
      </c>
      <c r="EH62" s="754">
        <f t="shared" si="81"/>
        <v>0</v>
      </c>
      <c r="EI62" s="754">
        <f t="shared" si="81"/>
        <v>0</v>
      </c>
      <c r="EJ62" s="754">
        <f t="shared" si="81"/>
        <v>0</v>
      </c>
      <c r="EK62" s="754">
        <f t="shared" si="81"/>
        <v>0</v>
      </c>
      <c r="EL62" s="754">
        <f t="shared" si="81"/>
        <v>0</v>
      </c>
      <c r="EM62" s="754">
        <f t="shared" si="81"/>
        <v>0</v>
      </c>
      <c r="EN62" s="754">
        <f t="shared" si="81"/>
        <v>0</v>
      </c>
      <c r="EO62" s="754">
        <f t="shared" si="81"/>
        <v>0</v>
      </c>
      <c r="EP62" s="754">
        <f t="shared" si="81"/>
        <v>0</v>
      </c>
      <c r="EQ62" s="754">
        <f t="shared" si="81"/>
        <v>0</v>
      </c>
      <c r="ER62" s="754">
        <f t="shared" si="81"/>
        <v>0</v>
      </c>
      <c r="ES62" s="754">
        <f t="shared" si="81"/>
        <v>0</v>
      </c>
      <c r="ET62" s="754">
        <f t="shared" si="81"/>
        <v>0</v>
      </c>
      <c r="EU62" s="754">
        <f t="shared" si="81"/>
        <v>0</v>
      </c>
      <c r="EV62" s="754">
        <f t="shared" si="81"/>
        <v>0</v>
      </c>
      <c r="EW62" s="754">
        <f t="shared" si="81"/>
        <v>0</v>
      </c>
      <c r="EX62" s="754">
        <f t="shared" si="81"/>
        <v>0</v>
      </c>
      <c r="EY62" s="754">
        <f t="shared" si="81"/>
        <v>0</v>
      </c>
      <c r="EZ62" s="754">
        <f t="shared" si="81"/>
        <v>0</v>
      </c>
      <c r="FA62" s="754">
        <f t="shared" si="81"/>
        <v>0</v>
      </c>
      <c r="FB62" s="754">
        <f t="shared" si="81"/>
        <v>0</v>
      </c>
      <c r="FC62" s="692"/>
      <c r="FD62" s="753">
        <f>SUM(I62:FB62)</f>
        <v>1899612.672624693</v>
      </c>
      <c r="FE62" s="692"/>
    </row>
    <row r="63" spans="2:161" s="742" customFormat="1">
      <c r="B63" s="755" t="s">
        <v>355</v>
      </c>
      <c r="C63" s="756"/>
      <c r="D63" s="756"/>
      <c r="E63" s="757">
        <f>C6</f>
        <v>0.3173461444523471</v>
      </c>
      <c r="F63" s="762"/>
      <c r="G63" s="758">
        <f>SUM(I63:FB63)</f>
        <v>1812198.3183324579</v>
      </c>
      <c r="H63" s="762"/>
      <c r="I63" s="759">
        <f t="shared" ref="I63:BT63" si="82">$E63*I61</f>
        <v>0</v>
      </c>
      <c r="J63" s="759">
        <f t="shared" si="82"/>
        <v>0</v>
      </c>
      <c r="K63" s="759">
        <f t="shared" si="82"/>
        <v>0</v>
      </c>
      <c r="L63" s="759">
        <f t="shared" si="82"/>
        <v>0</v>
      </c>
      <c r="M63" s="759">
        <f t="shared" si="82"/>
        <v>0</v>
      </c>
      <c r="N63" s="759">
        <f t="shared" si="82"/>
        <v>0</v>
      </c>
      <c r="O63" s="759">
        <f t="shared" si="82"/>
        <v>0</v>
      </c>
      <c r="P63" s="759">
        <f t="shared" si="82"/>
        <v>0</v>
      </c>
      <c r="Q63" s="759">
        <f t="shared" si="82"/>
        <v>0</v>
      </c>
      <c r="R63" s="759">
        <f t="shared" si="82"/>
        <v>0</v>
      </c>
      <c r="S63" s="759">
        <f t="shared" si="82"/>
        <v>0</v>
      </c>
      <c r="T63" s="759">
        <f t="shared" si="82"/>
        <v>0</v>
      </c>
      <c r="U63" s="759">
        <f t="shared" si="82"/>
        <v>0</v>
      </c>
      <c r="V63" s="759">
        <f t="shared" si="82"/>
        <v>0</v>
      </c>
      <c r="W63" s="759">
        <f t="shared" si="82"/>
        <v>0</v>
      </c>
      <c r="X63" s="759">
        <f t="shared" si="82"/>
        <v>0</v>
      </c>
      <c r="Y63" s="759">
        <f t="shared" si="82"/>
        <v>0</v>
      </c>
      <c r="Z63" s="759">
        <f t="shared" si="82"/>
        <v>0</v>
      </c>
      <c r="AA63" s="759">
        <f t="shared" si="82"/>
        <v>0</v>
      </c>
      <c r="AB63" s="759">
        <f t="shared" si="82"/>
        <v>0</v>
      </c>
      <c r="AC63" s="759">
        <f t="shared" si="82"/>
        <v>0</v>
      </c>
      <c r="AD63" s="759">
        <f t="shared" si="82"/>
        <v>0</v>
      </c>
      <c r="AE63" s="759">
        <f t="shared" si="82"/>
        <v>0</v>
      </c>
      <c r="AF63" s="759">
        <f t="shared" si="82"/>
        <v>0</v>
      </c>
      <c r="AG63" s="759">
        <f t="shared" si="82"/>
        <v>0</v>
      </c>
      <c r="AH63" s="759">
        <f t="shared" si="82"/>
        <v>0</v>
      </c>
      <c r="AI63" s="759">
        <f t="shared" si="82"/>
        <v>0</v>
      </c>
      <c r="AJ63" s="759">
        <f t="shared" si="82"/>
        <v>0</v>
      </c>
      <c r="AK63" s="759">
        <f t="shared" si="82"/>
        <v>0</v>
      </c>
      <c r="AL63" s="759">
        <f t="shared" si="82"/>
        <v>0</v>
      </c>
      <c r="AM63" s="759">
        <f t="shared" si="82"/>
        <v>0</v>
      </c>
      <c r="AN63" s="759">
        <f t="shared" si="82"/>
        <v>0</v>
      </c>
      <c r="AO63" s="759">
        <f t="shared" si="82"/>
        <v>0</v>
      </c>
      <c r="AP63" s="759">
        <f t="shared" si="82"/>
        <v>0</v>
      </c>
      <c r="AQ63" s="759">
        <f t="shared" si="82"/>
        <v>0</v>
      </c>
      <c r="AR63" s="759">
        <f t="shared" si="82"/>
        <v>0</v>
      </c>
      <c r="AS63" s="759">
        <f t="shared" si="82"/>
        <v>0</v>
      </c>
      <c r="AT63" s="759">
        <f t="shared" si="82"/>
        <v>0</v>
      </c>
      <c r="AU63" s="759">
        <f t="shared" si="82"/>
        <v>0</v>
      </c>
      <c r="AV63" s="759">
        <f t="shared" si="82"/>
        <v>0</v>
      </c>
      <c r="AW63" s="759">
        <f t="shared" si="82"/>
        <v>0</v>
      </c>
      <c r="AX63" s="759">
        <f t="shared" si="82"/>
        <v>0</v>
      </c>
      <c r="AY63" s="759">
        <f t="shared" si="82"/>
        <v>0</v>
      </c>
      <c r="AZ63" s="759">
        <f t="shared" si="82"/>
        <v>0</v>
      </c>
      <c r="BA63" s="759">
        <f t="shared" si="82"/>
        <v>0</v>
      </c>
      <c r="BB63" s="759">
        <f t="shared" si="82"/>
        <v>0</v>
      </c>
      <c r="BC63" s="759">
        <f t="shared" si="82"/>
        <v>0</v>
      </c>
      <c r="BD63" s="759">
        <f t="shared" si="82"/>
        <v>1812198.3183324579</v>
      </c>
      <c r="BE63" s="759">
        <f t="shared" si="82"/>
        <v>0</v>
      </c>
      <c r="BF63" s="759">
        <f t="shared" si="82"/>
        <v>0</v>
      </c>
      <c r="BG63" s="759">
        <f t="shared" si="82"/>
        <v>0</v>
      </c>
      <c r="BH63" s="759">
        <f t="shared" si="82"/>
        <v>0</v>
      </c>
      <c r="BI63" s="759">
        <f t="shared" si="82"/>
        <v>0</v>
      </c>
      <c r="BJ63" s="759">
        <f t="shared" si="82"/>
        <v>0</v>
      </c>
      <c r="BK63" s="759">
        <f t="shared" si="82"/>
        <v>0</v>
      </c>
      <c r="BL63" s="759">
        <f t="shared" si="82"/>
        <v>0</v>
      </c>
      <c r="BM63" s="759">
        <f t="shared" si="82"/>
        <v>0</v>
      </c>
      <c r="BN63" s="759">
        <f t="shared" si="82"/>
        <v>0</v>
      </c>
      <c r="BO63" s="759">
        <f t="shared" si="82"/>
        <v>0</v>
      </c>
      <c r="BP63" s="759">
        <f t="shared" si="82"/>
        <v>0</v>
      </c>
      <c r="BQ63" s="759">
        <f t="shared" si="82"/>
        <v>0</v>
      </c>
      <c r="BR63" s="759">
        <f t="shared" si="82"/>
        <v>0</v>
      </c>
      <c r="BS63" s="759">
        <f t="shared" si="82"/>
        <v>0</v>
      </c>
      <c r="BT63" s="759">
        <f t="shared" si="82"/>
        <v>0</v>
      </c>
      <c r="BU63" s="759">
        <f t="shared" ref="BU63:EF63" si="83">$E63*BU61</f>
        <v>0</v>
      </c>
      <c r="BV63" s="759">
        <f t="shared" si="83"/>
        <v>0</v>
      </c>
      <c r="BW63" s="759">
        <f t="shared" si="83"/>
        <v>0</v>
      </c>
      <c r="BX63" s="759">
        <f t="shared" si="83"/>
        <v>0</v>
      </c>
      <c r="BY63" s="759">
        <f t="shared" si="83"/>
        <v>0</v>
      </c>
      <c r="BZ63" s="759">
        <f t="shared" si="83"/>
        <v>0</v>
      </c>
      <c r="CA63" s="759">
        <f t="shared" si="83"/>
        <v>0</v>
      </c>
      <c r="CB63" s="759">
        <f t="shared" si="83"/>
        <v>0</v>
      </c>
      <c r="CC63" s="759">
        <f t="shared" si="83"/>
        <v>0</v>
      </c>
      <c r="CD63" s="759">
        <f t="shared" si="83"/>
        <v>0</v>
      </c>
      <c r="CE63" s="759">
        <f t="shared" si="83"/>
        <v>0</v>
      </c>
      <c r="CF63" s="759">
        <f t="shared" si="83"/>
        <v>0</v>
      </c>
      <c r="CG63" s="759">
        <f t="shared" si="83"/>
        <v>0</v>
      </c>
      <c r="CH63" s="759">
        <f t="shared" si="83"/>
        <v>0</v>
      </c>
      <c r="CI63" s="759">
        <f t="shared" si="83"/>
        <v>0</v>
      </c>
      <c r="CJ63" s="759">
        <f t="shared" si="83"/>
        <v>0</v>
      </c>
      <c r="CK63" s="759">
        <f t="shared" si="83"/>
        <v>0</v>
      </c>
      <c r="CL63" s="759">
        <f t="shared" si="83"/>
        <v>0</v>
      </c>
      <c r="CM63" s="759">
        <f t="shared" si="83"/>
        <v>0</v>
      </c>
      <c r="CN63" s="759">
        <f t="shared" si="83"/>
        <v>0</v>
      </c>
      <c r="CO63" s="759">
        <f t="shared" si="83"/>
        <v>0</v>
      </c>
      <c r="CP63" s="759">
        <f t="shared" si="83"/>
        <v>0</v>
      </c>
      <c r="CQ63" s="759">
        <f t="shared" si="83"/>
        <v>0</v>
      </c>
      <c r="CR63" s="759">
        <f t="shared" si="83"/>
        <v>0</v>
      </c>
      <c r="CS63" s="759">
        <f t="shared" si="83"/>
        <v>0</v>
      </c>
      <c r="CT63" s="759">
        <f t="shared" si="83"/>
        <v>0</v>
      </c>
      <c r="CU63" s="759">
        <f t="shared" si="83"/>
        <v>0</v>
      </c>
      <c r="CV63" s="759">
        <f t="shared" si="83"/>
        <v>0</v>
      </c>
      <c r="CW63" s="759">
        <f t="shared" si="83"/>
        <v>0</v>
      </c>
      <c r="CX63" s="759">
        <f t="shared" si="83"/>
        <v>0</v>
      </c>
      <c r="CY63" s="759">
        <f t="shared" si="83"/>
        <v>0</v>
      </c>
      <c r="CZ63" s="759">
        <f t="shared" si="83"/>
        <v>0</v>
      </c>
      <c r="DA63" s="759">
        <f t="shared" si="83"/>
        <v>0</v>
      </c>
      <c r="DB63" s="759">
        <f t="shared" si="83"/>
        <v>0</v>
      </c>
      <c r="DC63" s="759">
        <f t="shared" si="83"/>
        <v>0</v>
      </c>
      <c r="DD63" s="759">
        <f t="shared" si="83"/>
        <v>0</v>
      </c>
      <c r="DE63" s="759">
        <f t="shared" si="83"/>
        <v>0</v>
      </c>
      <c r="DF63" s="759">
        <f t="shared" si="83"/>
        <v>0</v>
      </c>
      <c r="DG63" s="759">
        <f t="shared" si="83"/>
        <v>0</v>
      </c>
      <c r="DH63" s="759">
        <f t="shared" si="83"/>
        <v>0</v>
      </c>
      <c r="DI63" s="759">
        <f t="shared" si="83"/>
        <v>0</v>
      </c>
      <c r="DJ63" s="759">
        <f t="shared" si="83"/>
        <v>0</v>
      </c>
      <c r="DK63" s="759">
        <f t="shared" si="83"/>
        <v>0</v>
      </c>
      <c r="DL63" s="759">
        <f t="shared" si="83"/>
        <v>0</v>
      </c>
      <c r="DM63" s="759">
        <f t="shared" si="83"/>
        <v>0</v>
      </c>
      <c r="DN63" s="759">
        <f t="shared" si="83"/>
        <v>0</v>
      </c>
      <c r="DO63" s="759">
        <f t="shared" si="83"/>
        <v>0</v>
      </c>
      <c r="DP63" s="759">
        <f t="shared" si="83"/>
        <v>0</v>
      </c>
      <c r="DQ63" s="759">
        <f t="shared" si="83"/>
        <v>0</v>
      </c>
      <c r="DR63" s="759">
        <f t="shared" si="83"/>
        <v>0</v>
      </c>
      <c r="DS63" s="759">
        <f t="shared" si="83"/>
        <v>0</v>
      </c>
      <c r="DT63" s="759">
        <f t="shared" si="83"/>
        <v>0</v>
      </c>
      <c r="DU63" s="759">
        <f t="shared" si="83"/>
        <v>0</v>
      </c>
      <c r="DV63" s="759">
        <f t="shared" si="83"/>
        <v>0</v>
      </c>
      <c r="DW63" s="759">
        <f t="shared" si="83"/>
        <v>0</v>
      </c>
      <c r="DX63" s="759">
        <f t="shared" si="83"/>
        <v>0</v>
      </c>
      <c r="DY63" s="759">
        <f t="shared" si="83"/>
        <v>0</v>
      </c>
      <c r="DZ63" s="759">
        <f t="shared" si="83"/>
        <v>0</v>
      </c>
      <c r="EA63" s="759">
        <f t="shared" si="83"/>
        <v>0</v>
      </c>
      <c r="EB63" s="759">
        <f t="shared" si="83"/>
        <v>0</v>
      </c>
      <c r="EC63" s="759">
        <f t="shared" si="83"/>
        <v>0</v>
      </c>
      <c r="ED63" s="759">
        <f t="shared" si="83"/>
        <v>0</v>
      </c>
      <c r="EE63" s="759">
        <f t="shared" si="83"/>
        <v>0</v>
      </c>
      <c r="EF63" s="759">
        <f t="shared" si="83"/>
        <v>0</v>
      </c>
      <c r="EG63" s="759">
        <f t="shared" ref="EG63:FB63" si="84">$E63*EG61</f>
        <v>0</v>
      </c>
      <c r="EH63" s="759">
        <f t="shared" si="84"/>
        <v>0</v>
      </c>
      <c r="EI63" s="759">
        <f t="shared" si="84"/>
        <v>0</v>
      </c>
      <c r="EJ63" s="759">
        <f t="shared" si="84"/>
        <v>0</v>
      </c>
      <c r="EK63" s="759">
        <f t="shared" si="84"/>
        <v>0</v>
      </c>
      <c r="EL63" s="759">
        <f t="shared" si="84"/>
        <v>0</v>
      </c>
      <c r="EM63" s="759">
        <f t="shared" si="84"/>
        <v>0</v>
      </c>
      <c r="EN63" s="759">
        <f t="shared" si="84"/>
        <v>0</v>
      </c>
      <c r="EO63" s="759">
        <f t="shared" si="84"/>
        <v>0</v>
      </c>
      <c r="EP63" s="759">
        <f t="shared" si="84"/>
        <v>0</v>
      </c>
      <c r="EQ63" s="759">
        <f t="shared" si="84"/>
        <v>0</v>
      </c>
      <c r="ER63" s="759">
        <f t="shared" si="84"/>
        <v>0</v>
      </c>
      <c r="ES63" s="759">
        <f t="shared" si="84"/>
        <v>0</v>
      </c>
      <c r="ET63" s="759">
        <f t="shared" si="84"/>
        <v>0</v>
      </c>
      <c r="EU63" s="759">
        <f t="shared" si="84"/>
        <v>0</v>
      </c>
      <c r="EV63" s="759">
        <f t="shared" si="84"/>
        <v>0</v>
      </c>
      <c r="EW63" s="759">
        <f t="shared" si="84"/>
        <v>0</v>
      </c>
      <c r="EX63" s="759">
        <f t="shared" si="84"/>
        <v>0</v>
      </c>
      <c r="EY63" s="759">
        <f t="shared" si="84"/>
        <v>0</v>
      </c>
      <c r="EZ63" s="759">
        <f t="shared" si="84"/>
        <v>0</v>
      </c>
      <c r="FA63" s="759">
        <f t="shared" si="84"/>
        <v>0</v>
      </c>
      <c r="FB63" s="759">
        <f t="shared" si="84"/>
        <v>0</v>
      </c>
      <c r="FC63" s="692"/>
      <c r="FD63" s="758">
        <f>SUM(I63:FB63)</f>
        <v>1812198.3183324579</v>
      </c>
      <c r="FE63" s="692"/>
    </row>
    <row r="64" spans="2:161" s="742" customFormat="1">
      <c r="B64" s="755" t="s">
        <v>378</v>
      </c>
      <c r="C64" s="756"/>
      <c r="D64" s="756"/>
      <c r="E64" s="757">
        <f>E14</f>
        <v>0.35</v>
      </c>
      <c r="F64" s="762"/>
      <c r="G64" s="758">
        <f>SUM(I64:FB64)</f>
        <v>1998667.4566692349</v>
      </c>
      <c r="H64" s="762"/>
      <c r="I64" s="759">
        <f t="shared" ref="I64:BT64" si="85">$E64*I61</f>
        <v>0</v>
      </c>
      <c r="J64" s="759">
        <f t="shared" si="85"/>
        <v>0</v>
      </c>
      <c r="K64" s="759">
        <f t="shared" si="85"/>
        <v>0</v>
      </c>
      <c r="L64" s="759">
        <f t="shared" si="85"/>
        <v>0</v>
      </c>
      <c r="M64" s="759">
        <f t="shared" si="85"/>
        <v>0</v>
      </c>
      <c r="N64" s="759">
        <f t="shared" si="85"/>
        <v>0</v>
      </c>
      <c r="O64" s="759">
        <f t="shared" si="85"/>
        <v>0</v>
      </c>
      <c r="P64" s="759">
        <f t="shared" si="85"/>
        <v>0</v>
      </c>
      <c r="Q64" s="759">
        <f t="shared" si="85"/>
        <v>0</v>
      </c>
      <c r="R64" s="759">
        <f t="shared" si="85"/>
        <v>0</v>
      </c>
      <c r="S64" s="759">
        <f t="shared" si="85"/>
        <v>0</v>
      </c>
      <c r="T64" s="759">
        <f t="shared" si="85"/>
        <v>0</v>
      </c>
      <c r="U64" s="759">
        <f t="shared" si="85"/>
        <v>0</v>
      </c>
      <c r="V64" s="759">
        <f t="shared" si="85"/>
        <v>0</v>
      </c>
      <c r="W64" s="759">
        <f t="shared" si="85"/>
        <v>0</v>
      </c>
      <c r="X64" s="759">
        <f t="shared" si="85"/>
        <v>0</v>
      </c>
      <c r="Y64" s="759">
        <f t="shared" si="85"/>
        <v>0</v>
      </c>
      <c r="Z64" s="759">
        <f t="shared" si="85"/>
        <v>0</v>
      </c>
      <c r="AA64" s="759">
        <f t="shared" si="85"/>
        <v>0</v>
      </c>
      <c r="AB64" s="759">
        <f t="shared" si="85"/>
        <v>0</v>
      </c>
      <c r="AC64" s="759">
        <f t="shared" si="85"/>
        <v>0</v>
      </c>
      <c r="AD64" s="759">
        <f t="shared" si="85"/>
        <v>0</v>
      </c>
      <c r="AE64" s="759">
        <f t="shared" si="85"/>
        <v>0</v>
      </c>
      <c r="AF64" s="759">
        <f t="shared" si="85"/>
        <v>0</v>
      </c>
      <c r="AG64" s="759">
        <f t="shared" si="85"/>
        <v>0</v>
      </c>
      <c r="AH64" s="759">
        <f t="shared" si="85"/>
        <v>0</v>
      </c>
      <c r="AI64" s="759">
        <f t="shared" si="85"/>
        <v>0</v>
      </c>
      <c r="AJ64" s="759">
        <f t="shared" si="85"/>
        <v>0</v>
      </c>
      <c r="AK64" s="759">
        <f t="shared" si="85"/>
        <v>0</v>
      </c>
      <c r="AL64" s="759">
        <f t="shared" si="85"/>
        <v>0</v>
      </c>
      <c r="AM64" s="759">
        <f t="shared" si="85"/>
        <v>0</v>
      </c>
      <c r="AN64" s="759">
        <f t="shared" si="85"/>
        <v>0</v>
      </c>
      <c r="AO64" s="759">
        <f t="shared" si="85"/>
        <v>0</v>
      </c>
      <c r="AP64" s="759">
        <f t="shared" si="85"/>
        <v>0</v>
      </c>
      <c r="AQ64" s="759">
        <f t="shared" si="85"/>
        <v>0</v>
      </c>
      <c r="AR64" s="759">
        <f t="shared" si="85"/>
        <v>0</v>
      </c>
      <c r="AS64" s="759">
        <f t="shared" si="85"/>
        <v>0</v>
      </c>
      <c r="AT64" s="759">
        <f t="shared" si="85"/>
        <v>0</v>
      </c>
      <c r="AU64" s="759">
        <f t="shared" si="85"/>
        <v>0</v>
      </c>
      <c r="AV64" s="759">
        <f t="shared" si="85"/>
        <v>0</v>
      </c>
      <c r="AW64" s="759">
        <f t="shared" si="85"/>
        <v>0</v>
      </c>
      <c r="AX64" s="759">
        <f t="shared" si="85"/>
        <v>0</v>
      </c>
      <c r="AY64" s="759">
        <f t="shared" si="85"/>
        <v>0</v>
      </c>
      <c r="AZ64" s="759">
        <f t="shared" si="85"/>
        <v>0</v>
      </c>
      <c r="BA64" s="759">
        <f t="shared" si="85"/>
        <v>0</v>
      </c>
      <c r="BB64" s="759">
        <f t="shared" si="85"/>
        <v>0</v>
      </c>
      <c r="BC64" s="759">
        <f t="shared" si="85"/>
        <v>0</v>
      </c>
      <c r="BD64" s="759">
        <f t="shared" si="85"/>
        <v>1998667.4566692349</v>
      </c>
      <c r="BE64" s="759">
        <f t="shared" si="85"/>
        <v>0</v>
      </c>
      <c r="BF64" s="759">
        <f t="shared" si="85"/>
        <v>0</v>
      </c>
      <c r="BG64" s="759">
        <f t="shared" si="85"/>
        <v>0</v>
      </c>
      <c r="BH64" s="759">
        <f t="shared" si="85"/>
        <v>0</v>
      </c>
      <c r="BI64" s="759">
        <f t="shared" si="85"/>
        <v>0</v>
      </c>
      <c r="BJ64" s="759">
        <f t="shared" si="85"/>
        <v>0</v>
      </c>
      <c r="BK64" s="759">
        <f t="shared" si="85"/>
        <v>0</v>
      </c>
      <c r="BL64" s="759">
        <f t="shared" si="85"/>
        <v>0</v>
      </c>
      <c r="BM64" s="759">
        <f t="shared" si="85"/>
        <v>0</v>
      </c>
      <c r="BN64" s="759">
        <f t="shared" si="85"/>
        <v>0</v>
      </c>
      <c r="BO64" s="759">
        <f t="shared" si="85"/>
        <v>0</v>
      </c>
      <c r="BP64" s="759">
        <f t="shared" si="85"/>
        <v>0</v>
      </c>
      <c r="BQ64" s="759">
        <f t="shared" si="85"/>
        <v>0</v>
      </c>
      <c r="BR64" s="759">
        <f t="shared" si="85"/>
        <v>0</v>
      </c>
      <c r="BS64" s="759">
        <f t="shared" si="85"/>
        <v>0</v>
      </c>
      <c r="BT64" s="759">
        <f t="shared" si="85"/>
        <v>0</v>
      </c>
      <c r="BU64" s="759">
        <f t="shared" ref="BU64:EF64" si="86">$E64*BU61</f>
        <v>0</v>
      </c>
      <c r="BV64" s="759">
        <f t="shared" si="86"/>
        <v>0</v>
      </c>
      <c r="BW64" s="759">
        <f t="shared" si="86"/>
        <v>0</v>
      </c>
      <c r="BX64" s="759">
        <f t="shared" si="86"/>
        <v>0</v>
      </c>
      <c r="BY64" s="759">
        <f t="shared" si="86"/>
        <v>0</v>
      </c>
      <c r="BZ64" s="759">
        <f t="shared" si="86"/>
        <v>0</v>
      </c>
      <c r="CA64" s="759">
        <f t="shared" si="86"/>
        <v>0</v>
      </c>
      <c r="CB64" s="759">
        <f t="shared" si="86"/>
        <v>0</v>
      </c>
      <c r="CC64" s="759">
        <f t="shared" si="86"/>
        <v>0</v>
      </c>
      <c r="CD64" s="759">
        <f t="shared" si="86"/>
        <v>0</v>
      </c>
      <c r="CE64" s="759">
        <f t="shared" si="86"/>
        <v>0</v>
      </c>
      <c r="CF64" s="759">
        <f t="shared" si="86"/>
        <v>0</v>
      </c>
      <c r="CG64" s="759">
        <f t="shared" si="86"/>
        <v>0</v>
      </c>
      <c r="CH64" s="759">
        <f t="shared" si="86"/>
        <v>0</v>
      </c>
      <c r="CI64" s="759">
        <f t="shared" si="86"/>
        <v>0</v>
      </c>
      <c r="CJ64" s="759">
        <f t="shared" si="86"/>
        <v>0</v>
      </c>
      <c r="CK64" s="759">
        <f t="shared" si="86"/>
        <v>0</v>
      </c>
      <c r="CL64" s="759">
        <f t="shared" si="86"/>
        <v>0</v>
      </c>
      <c r="CM64" s="759">
        <f t="shared" si="86"/>
        <v>0</v>
      </c>
      <c r="CN64" s="759">
        <f t="shared" si="86"/>
        <v>0</v>
      </c>
      <c r="CO64" s="759">
        <f t="shared" si="86"/>
        <v>0</v>
      </c>
      <c r="CP64" s="759">
        <f t="shared" si="86"/>
        <v>0</v>
      </c>
      <c r="CQ64" s="759">
        <f t="shared" si="86"/>
        <v>0</v>
      </c>
      <c r="CR64" s="759">
        <f t="shared" si="86"/>
        <v>0</v>
      </c>
      <c r="CS64" s="759">
        <f t="shared" si="86"/>
        <v>0</v>
      </c>
      <c r="CT64" s="759">
        <f t="shared" si="86"/>
        <v>0</v>
      </c>
      <c r="CU64" s="759">
        <f t="shared" si="86"/>
        <v>0</v>
      </c>
      <c r="CV64" s="759">
        <f t="shared" si="86"/>
        <v>0</v>
      </c>
      <c r="CW64" s="759">
        <f t="shared" si="86"/>
        <v>0</v>
      </c>
      <c r="CX64" s="759">
        <f t="shared" si="86"/>
        <v>0</v>
      </c>
      <c r="CY64" s="759">
        <f t="shared" si="86"/>
        <v>0</v>
      </c>
      <c r="CZ64" s="759">
        <f t="shared" si="86"/>
        <v>0</v>
      </c>
      <c r="DA64" s="759">
        <f t="shared" si="86"/>
        <v>0</v>
      </c>
      <c r="DB64" s="759">
        <f t="shared" si="86"/>
        <v>0</v>
      </c>
      <c r="DC64" s="759">
        <f t="shared" si="86"/>
        <v>0</v>
      </c>
      <c r="DD64" s="759">
        <f t="shared" si="86"/>
        <v>0</v>
      </c>
      <c r="DE64" s="759">
        <f t="shared" si="86"/>
        <v>0</v>
      </c>
      <c r="DF64" s="759">
        <f t="shared" si="86"/>
        <v>0</v>
      </c>
      <c r="DG64" s="759">
        <f t="shared" si="86"/>
        <v>0</v>
      </c>
      <c r="DH64" s="759">
        <f t="shared" si="86"/>
        <v>0</v>
      </c>
      <c r="DI64" s="759">
        <f t="shared" si="86"/>
        <v>0</v>
      </c>
      <c r="DJ64" s="759">
        <f t="shared" si="86"/>
        <v>0</v>
      </c>
      <c r="DK64" s="759">
        <f t="shared" si="86"/>
        <v>0</v>
      </c>
      <c r="DL64" s="759">
        <f t="shared" si="86"/>
        <v>0</v>
      </c>
      <c r="DM64" s="759">
        <f t="shared" si="86"/>
        <v>0</v>
      </c>
      <c r="DN64" s="759">
        <f t="shared" si="86"/>
        <v>0</v>
      </c>
      <c r="DO64" s="759">
        <f t="shared" si="86"/>
        <v>0</v>
      </c>
      <c r="DP64" s="759">
        <f t="shared" si="86"/>
        <v>0</v>
      </c>
      <c r="DQ64" s="759">
        <f t="shared" si="86"/>
        <v>0</v>
      </c>
      <c r="DR64" s="759">
        <f t="shared" si="86"/>
        <v>0</v>
      </c>
      <c r="DS64" s="759">
        <f t="shared" si="86"/>
        <v>0</v>
      </c>
      <c r="DT64" s="759">
        <f t="shared" si="86"/>
        <v>0</v>
      </c>
      <c r="DU64" s="759">
        <f t="shared" si="86"/>
        <v>0</v>
      </c>
      <c r="DV64" s="759">
        <f t="shared" si="86"/>
        <v>0</v>
      </c>
      <c r="DW64" s="759">
        <f t="shared" si="86"/>
        <v>0</v>
      </c>
      <c r="DX64" s="759">
        <f t="shared" si="86"/>
        <v>0</v>
      </c>
      <c r="DY64" s="759">
        <f t="shared" si="86"/>
        <v>0</v>
      </c>
      <c r="DZ64" s="759">
        <f t="shared" si="86"/>
        <v>0</v>
      </c>
      <c r="EA64" s="759">
        <f t="shared" si="86"/>
        <v>0</v>
      </c>
      <c r="EB64" s="759">
        <f t="shared" si="86"/>
        <v>0</v>
      </c>
      <c r="EC64" s="759">
        <f t="shared" si="86"/>
        <v>0</v>
      </c>
      <c r="ED64" s="759">
        <f t="shared" si="86"/>
        <v>0</v>
      </c>
      <c r="EE64" s="759">
        <f t="shared" si="86"/>
        <v>0</v>
      </c>
      <c r="EF64" s="759">
        <f t="shared" si="86"/>
        <v>0</v>
      </c>
      <c r="EG64" s="759">
        <f t="shared" ref="EG64:FB64" si="87">$E64*EG61</f>
        <v>0</v>
      </c>
      <c r="EH64" s="759">
        <f t="shared" si="87"/>
        <v>0</v>
      </c>
      <c r="EI64" s="759">
        <f t="shared" si="87"/>
        <v>0</v>
      </c>
      <c r="EJ64" s="759">
        <f t="shared" si="87"/>
        <v>0</v>
      </c>
      <c r="EK64" s="759">
        <f t="shared" si="87"/>
        <v>0</v>
      </c>
      <c r="EL64" s="759">
        <f t="shared" si="87"/>
        <v>0</v>
      </c>
      <c r="EM64" s="759">
        <f t="shared" si="87"/>
        <v>0</v>
      </c>
      <c r="EN64" s="759">
        <f t="shared" si="87"/>
        <v>0</v>
      </c>
      <c r="EO64" s="759">
        <f t="shared" si="87"/>
        <v>0</v>
      </c>
      <c r="EP64" s="759">
        <f t="shared" si="87"/>
        <v>0</v>
      </c>
      <c r="EQ64" s="759">
        <f t="shared" si="87"/>
        <v>0</v>
      </c>
      <c r="ER64" s="759">
        <f t="shared" si="87"/>
        <v>0</v>
      </c>
      <c r="ES64" s="759">
        <f t="shared" si="87"/>
        <v>0</v>
      </c>
      <c r="ET64" s="759">
        <f t="shared" si="87"/>
        <v>0</v>
      </c>
      <c r="EU64" s="759">
        <f t="shared" si="87"/>
        <v>0</v>
      </c>
      <c r="EV64" s="759">
        <f t="shared" si="87"/>
        <v>0</v>
      </c>
      <c r="EW64" s="759">
        <f t="shared" si="87"/>
        <v>0</v>
      </c>
      <c r="EX64" s="759">
        <f t="shared" si="87"/>
        <v>0</v>
      </c>
      <c r="EY64" s="759">
        <f t="shared" si="87"/>
        <v>0</v>
      </c>
      <c r="EZ64" s="759">
        <f t="shared" si="87"/>
        <v>0</v>
      </c>
      <c r="FA64" s="759">
        <f t="shared" si="87"/>
        <v>0</v>
      </c>
      <c r="FB64" s="759">
        <f t="shared" si="87"/>
        <v>0</v>
      </c>
      <c r="FC64" s="692"/>
      <c r="FD64" s="758">
        <f>SUM(I64:FB64)</f>
        <v>1998667.4566692349</v>
      </c>
      <c r="FE64" s="692"/>
    </row>
    <row r="65" spans="2:162" s="742" customFormat="1">
      <c r="B65" s="692" t="s">
        <v>354</v>
      </c>
      <c r="E65" s="704"/>
      <c r="G65" s="743"/>
      <c r="I65" s="745">
        <f t="shared" ref="I65:BT65" si="88">I58-I61</f>
        <v>0</v>
      </c>
      <c r="J65" s="745">
        <f t="shared" si="88"/>
        <v>0</v>
      </c>
      <c r="K65" s="745">
        <f t="shared" si="88"/>
        <v>0</v>
      </c>
      <c r="L65" s="745">
        <f t="shared" si="88"/>
        <v>0</v>
      </c>
      <c r="M65" s="745">
        <f t="shared" si="88"/>
        <v>0</v>
      </c>
      <c r="N65" s="745">
        <f t="shared" si="88"/>
        <v>0</v>
      </c>
      <c r="O65" s="745">
        <f t="shared" si="88"/>
        <v>0</v>
      </c>
      <c r="P65" s="745">
        <f t="shared" si="88"/>
        <v>0</v>
      </c>
      <c r="Q65" s="745">
        <f t="shared" si="88"/>
        <v>0</v>
      </c>
      <c r="R65" s="745">
        <f t="shared" si="88"/>
        <v>0</v>
      </c>
      <c r="S65" s="745">
        <f t="shared" si="88"/>
        <v>0</v>
      </c>
      <c r="T65" s="745">
        <f t="shared" si="88"/>
        <v>0</v>
      </c>
      <c r="U65" s="745">
        <f t="shared" si="88"/>
        <v>0</v>
      </c>
      <c r="V65" s="745">
        <f t="shared" si="88"/>
        <v>0</v>
      </c>
      <c r="W65" s="745">
        <f t="shared" si="88"/>
        <v>0</v>
      </c>
      <c r="X65" s="745">
        <f t="shared" si="88"/>
        <v>0</v>
      </c>
      <c r="Y65" s="745">
        <f t="shared" si="88"/>
        <v>0</v>
      </c>
      <c r="Z65" s="745">
        <f t="shared" si="88"/>
        <v>0</v>
      </c>
      <c r="AA65" s="745">
        <f t="shared" si="88"/>
        <v>0</v>
      </c>
      <c r="AB65" s="745">
        <f t="shared" si="88"/>
        <v>0</v>
      </c>
      <c r="AC65" s="745">
        <f t="shared" si="88"/>
        <v>0</v>
      </c>
      <c r="AD65" s="745">
        <f t="shared" si="88"/>
        <v>0</v>
      </c>
      <c r="AE65" s="745">
        <f t="shared" si="88"/>
        <v>0</v>
      </c>
      <c r="AF65" s="745">
        <f t="shared" si="88"/>
        <v>0</v>
      </c>
      <c r="AG65" s="745">
        <f t="shared" si="88"/>
        <v>0</v>
      </c>
      <c r="AH65" s="745">
        <f t="shared" si="88"/>
        <v>0</v>
      </c>
      <c r="AI65" s="745">
        <f t="shared" si="88"/>
        <v>0</v>
      </c>
      <c r="AJ65" s="745">
        <f t="shared" si="88"/>
        <v>0</v>
      </c>
      <c r="AK65" s="745">
        <f t="shared" si="88"/>
        <v>0</v>
      </c>
      <c r="AL65" s="745">
        <f t="shared" si="88"/>
        <v>0</v>
      </c>
      <c r="AM65" s="745">
        <f t="shared" si="88"/>
        <v>0</v>
      </c>
      <c r="AN65" s="745">
        <f t="shared" si="88"/>
        <v>0</v>
      </c>
      <c r="AO65" s="745">
        <f t="shared" si="88"/>
        <v>0</v>
      </c>
      <c r="AP65" s="745">
        <f t="shared" si="88"/>
        <v>0</v>
      </c>
      <c r="AQ65" s="745">
        <f t="shared" si="88"/>
        <v>0</v>
      </c>
      <c r="AR65" s="745">
        <f t="shared" si="88"/>
        <v>0</v>
      </c>
      <c r="AS65" s="745">
        <f t="shared" si="88"/>
        <v>0</v>
      </c>
      <c r="AT65" s="745">
        <f t="shared" si="88"/>
        <v>0</v>
      </c>
      <c r="AU65" s="745">
        <f t="shared" si="88"/>
        <v>0</v>
      </c>
      <c r="AV65" s="745">
        <f t="shared" si="88"/>
        <v>0</v>
      </c>
      <c r="AW65" s="745">
        <f t="shared" si="88"/>
        <v>0</v>
      </c>
      <c r="AX65" s="745">
        <f t="shared" si="88"/>
        <v>0</v>
      </c>
      <c r="AY65" s="745">
        <f t="shared" si="88"/>
        <v>0</v>
      </c>
      <c r="AZ65" s="745">
        <f t="shared" si="88"/>
        <v>0</v>
      </c>
      <c r="BA65" s="745">
        <f t="shared" si="88"/>
        <v>0</v>
      </c>
      <c r="BB65" s="745">
        <f t="shared" si="88"/>
        <v>0</v>
      </c>
      <c r="BC65" s="745">
        <f t="shared" si="88"/>
        <v>0</v>
      </c>
      <c r="BD65" s="745">
        <f t="shared" si="88"/>
        <v>0</v>
      </c>
      <c r="BE65" s="745">
        <f t="shared" si="88"/>
        <v>0</v>
      </c>
      <c r="BF65" s="745">
        <f t="shared" si="88"/>
        <v>0</v>
      </c>
      <c r="BG65" s="745">
        <f t="shared" si="88"/>
        <v>0</v>
      </c>
      <c r="BH65" s="745">
        <f t="shared" si="88"/>
        <v>0</v>
      </c>
      <c r="BI65" s="745">
        <f t="shared" si="88"/>
        <v>0</v>
      </c>
      <c r="BJ65" s="745">
        <f t="shared" si="88"/>
        <v>0</v>
      </c>
      <c r="BK65" s="745">
        <f t="shared" si="88"/>
        <v>0</v>
      </c>
      <c r="BL65" s="745">
        <f t="shared" si="88"/>
        <v>0</v>
      </c>
      <c r="BM65" s="745">
        <f t="shared" si="88"/>
        <v>0</v>
      </c>
      <c r="BN65" s="745">
        <f t="shared" si="88"/>
        <v>0</v>
      </c>
      <c r="BO65" s="745">
        <f t="shared" si="88"/>
        <v>0</v>
      </c>
      <c r="BP65" s="745">
        <f t="shared" si="88"/>
        <v>0</v>
      </c>
      <c r="BQ65" s="745">
        <f t="shared" si="88"/>
        <v>0</v>
      </c>
      <c r="BR65" s="745">
        <f t="shared" si="88"/>
        <v>0</v>
      </c>
      <c r="BS65" s="745">
        <f t="shared" si="88"/>
        <v>0</v>
      </c>
      <c r="BT65" s="745">
        <f t="shared" si="88"/>
        <v>0</v>
      </c>
      <c r="BU65" s="745">
        <f t="shared" ref="BU65:EF65" si="89">BU58-BU61</f>
        <v>0</v>
      </c>
      <c r="BV65" s="745">
        <f t="shared" si="89"/>
        <v>0</v>
      </c>
      <c r="BW65" s="745">
        <f t="shared" si="89"/>
        <v>0</v>
      </c>
      <c r="BX65" s="745">
        <f t="shared" si="89"/>
        <v>0</v>
      </c>
      <c r="BY65" s="745">
        <f t="shared" si="89"/>
        <v>0</v>
      </c>
      <c r="BZ65" s="745">
        <f t="shared" si="89"/>
        <v>0</v>
      </c>
      <c r="CA65" s="745">
        <f t="shared" si="89"/>
        <v>0</v>
      </c>
      <c r="CB65" s="745">
        <f t="shared" si="89"/>
        <v>0</v>
      </c>
      <c r="CC65" s="745">
        <f t="shared" si="89"/>
        <v>0</v>
      </c>
      <c r="CD65" s="745">
        <f t="shared" si="89"/>
        <v>0</v>
      </c>
      <c r="CE65" s="745">
        <f t="shared" si="89"/>
        <v>0</v>
      </c>
      <c r="CF65" s="745">
        <f t="shared" si="89"/>
        <v>0</v>
      </c>
      <c r="CG65" s="745">
        <f t="shared" si="89"/>
        <v>0</v>
      </c>
      <c r="CH65" s="745">
        <f t="shared" si="89"/>
        <v>0</v>
      </c>
      <c r="CI65" s="745">
        <f t="shared" si="89"/>
        <v>0</v>
      </c>
      <c r="CJ65" s="745">
        <f t="shared" si="89"/>
        <v>0</v>
      </c>
      <c r="CK65" s="745">
        <f t="shared" si="89"/>
        <v>0</v>
      </c>
      <c r="CL65" s="745">
        <f t="shared" si="89"/>
        <v>0</v>
      </c>
      <c r="CM65" s="745">
        <f t="shared" si="89"/>
        <v>0</v>
      </c>
      <c r="CN65" s="745">
        <f t="shared" si="89"/>
        <v>0</v>
      </c>
      <c r="CO65" s="745">
        <f t="shared" si="89"/>
        <v>0</v>
      </c>
      <c r="CP65" s="745">
        <f t="shared" si="89"/>
        <v>0</v>
      </c>
      <c r="CQ65" s="745">
        <f t="shared" si="89"/>
        <v>0</v>
      </c>
      <c r="CR65" s="745">
        <f t="shared" si="89"/>
        <v>0</v>
      </c>
      <c r="CS65" s="745">
        <f t="shared" si="89"/>
        <v>0</v>
      </c>
      <c r="CT65" s="745">
        <f t="shared" si="89"/>
        <v>0</v>
      </c>
      <c r="CU65" s="745">
        <f t="shared" si="89"/>
        <v>0</v>
      </c>
      <c r="CV65" s="745">
        <f t="shared" si="89"/>
        <v>0</v>
      </c>
      <c r="CW65" s="745">
        <f t="shared" si="89"/>
        <v>0</v>
      </c>
      <c r="CX65" s="745">
        <f t="shared" si="89"/>
        <v>0</v>
      </c>
      <c r="CY65" s="745">
        <f t="shared" si="89"/>
        <v>0</v>
      </c>
      <c r="CZ65" s="745">
        <f t="shared" si="89"/>
        <v>0</v>
      </c>
      <c r="DA65" s="745">
        <f t="shared" si="89"/>
        <v>0</v>
      </c>
      <c r="DB65" s="745">
        <f t="shared" si="89"/>
        <v>0</v>
      </c>
      <c r="DC65" s="745">
        <f t="shared" si="89"/>
        <v>0</v>
      </c>
      <c r="DD65" s="745">
        <f t="shared" si="89"/>
        <v>0</v>
      </c>
      <c r="DE65" s="745">
        <f t="shared" si="89"/>
        <v>0</v>
      </c>
      <c r="DF65" s="745">
        <f t="shared" si="89"/>
        <v>0</v>
      </c>
      <c r="DG65" s="745">
        <f t="shared" si="89"/>
        <v>0</v>
      </c>
      <c r="DH65" s="745">
        <f t="shared" si="89"/>
        <v>0</v>
      </c>
      <c r="DI65" s="745">
        <f t="shared" si="89"/>
        <v>0</v>
      </c>
      <c r="DJ65" s="745">
        <f t="shared" si="89"/>
        <v>0</v>
      </c>
      <c r="DK65" s="745">
        <f t="shared" si="89"/>
        <v>0</v>
      </c>
      <c r="DL65" s="745">
        <f t="shared" si="89"/>
        <v>0</v>
      </c>
      <c r="DM65" s="745">
        <f t="shared" si="89"/>
        <v>0</v>
      </c>
      <c r="DN65" s="745">
        <f t="shared" si="89"/>
        <v>0</v>
      </c>
      <c r="DO65" s="745">
        <f t="shared" si="89"/>
        <v>0</v>
      </c>
      <c r="DP65" s="745">
        <f t="shared" si="89"/>
        <v>0</v>
      </c>
      <c r="DQ65" s="745">
        <f t="shared" si="89"/>
        <v>0</v>
      </c>
      <c r="DR65" s="745">
        <f t="shared" si="89"/>
        <v>0</v>
      </c>
      <c r="DS65" s="745">
        <f t="shared" si="89"/>
        <v>0</v>
      </c>
      <c r="DT65" s="745">
        <f t="shared" si="89"/>
        <v>0</v>
      </c>
      <c r="DU65" s="745">
        <f t="shared" si="89"/>
        <v>0</v>
      </c>
      <c r="DV65" s="745">
        <f t="shared" si="89"/>
        <v>0</v>
      </c>
      <c r="DW65" s="745">
        <f t="shared" si="89"/>
        <v>0</v>
      </c>
      <c r="DX65" s="745">
        <f t="shared" si="89"/>
        <v>0</v>
      </c>
      <c r="DY65" s="745">
        <f t="shared" si="89"/>
        <v>0</v>
      </c>
      <c r="DZ65" s="745">
        <f t="shared" si="89"/>
        <v>0</v>
      </c>
      <c r="EA65" s="745">
        <f t="shared" si="89"/>
        <v>0</v>
      </c>
      <c r="EB65" s="745">
        <f t="shared" si="89"/>
        <v>0</v>
      </c>
      <c r="EC65" s="745">
        <f t="shared" si="89"/>
        <v>0</v>
      </c>
      <c r="ED65" s="745">
        <f t="shared" si="89"/>
        <v>0</v>
      </c>
      <c r="EE65" s="745">
        <f t="shared" si="89"/>
        <v>0</v>
      </c>
      <c r="EF65" s="745">
        <f t="shared" si="89"/>
        <v>0</v>
      </c>
      <c r="EG65" s="745">
        <f t="shared" ref="EG65:FB65" si="90">EG58-EG61</f>
        <v>0</v>
      </c>
      <c r="EH65" s="745">
        <f t="shared" si="90"/>
        <v>0</v>
      </c>
      <c r="EI65" s="745">
        <f t="shared" si="90"/>
        <v>0</v>
      </c>
      <c r="EJ65" s="745">
        <f t="shared" si="90"/>
        <v>0</v>
      </c>
      <c r="EK65" s="745">
        <f t="shared" si="90"/>
        <v>0</v>
      </c>
      <c r="EL65" s="745">
        <f t="shared" si="90"/>
        <v>0</v>
      </c>
      <c r="EM65" s="745">
        <f t="shared" si="90"/>
        <v>0</v>
      </c>
      <c r="EN65" s="745">
        <f t="shared" si="90"/>
        <v>0</v>
      </c>
      <c r="EO65" s="745">
        <f t="shared" si="90"/>
        <v>0</v>
      </c>
      <c r="EP65" s="745">
        <f t="shared" si="90"/>
        <v>0</v>
      </c>
      <c r="EQ65" s="745">
        <f t="shared" si="90"/>
        <v>0</v>
      </c>
      <c r="ER65" s="745">
        <f t="shared" si="90"/>
        <v>0</v>
      </c>
      <c r="ES65" s="745">
        <f t="shared" si="90"/>
        <v>0</v>
      </c>
      <c r="ET65" s="745">
        <f t="shared" si="90"/>
        <v>0</v>
      </c>
      <c r="EU65" s="745">
        <f t="shared" si="90"/>
        <v>0</v>
      </c>
      <c r="EV65" s="745">
        <f t="shared" si="90"/>
        <v>0</v>
      </c>
      <c r="EW65" s="745">
        <f t="shared" si="90"/>
        <v>0</v>
      </c>
      <c r="EX65" s="745">
        <f t="shared" si="90"/>
        <v>0</v>
      </c>
      <c r="EY65" s="745">
        <f t="shared" si="90"/>
        <v>0</v>
      </c>
      <c r="EZ65" s="745">
        <f t="shared" si="90"/>
        <v>0</v>
      </c>
      <c r="FA65" s="745">
        <f t="shared" si="90"/>
        <v>0</v>
      </c>
      <c r="FB65" s="745">
        <f t="shared" si="90"/>
        <v>0</v>
      </c>
      <c r="FC65" s="692"/>
      <c r="FD65" s="743"/>
      <c r="FE65" s="692"/>
    </row>
    <row r="66" spans="2:162" s="692" customFormat="1" ht="6" customHeight="1">
      <c r="E66" s="696"/>
      <c r="G66" s="737"/>
      <c r="FD66" s="737"/>
    </row>
    <row r="67" spans="2:162" s="742" customFormat="1">
      <c r="B67" s="692"/>
      <c r="C67" s="767" t="s">
        <v>385</v>
      </c>
      <c r="D67" s="767"/>
      <c r="E67" s="767" t="s">
        <v>386</v>
      </c>
      <c r="G67" s="743"/>
      <c r="I67" s="720"/>
      <c r="J67" s="720"/>
      <c r="K67" s="720"/>
      <c r="L67" s="720"/>
      <c r="M67" s="720"/>
      <c r="N67" s="720"/>
      <c r="O67" s="720"/>
      <c r="P67" s="720"/>
      <c r="Q67" s="720"/>
      <c r="R67" s="720"/>
      <c r="S67" s="720"/>
      <c r="T67" s="720"/>
      <c r="U67" s="720"/>
      <c r="V67" s="720"/>
      <c r="W67" s="720"/>
      <c r="X67" s="720"/>
      <c r="Y67" s="720"/>
      <c r="Z67" s="720"/>
      <c r="AA67" s="720"/>
      <c r="AB67" s="720"/>
      <c r="AC67" s="720"/>
      <c r="AD67" s="720"/>
      <c r="AE67" s="720"/>
      <c r="AF67" s="720"/>
      <c r="AG67" s="720"/>
      <c r="AH67" s="720"/>
      <c r="AI67" s="720"/>
      <c r="AJ67" s="720"/>
      <c r="AK67" s="720"/>
      <c r="AL67" s="720"/>
      <c r="AM67" s="720"/>
      <c r="AN67" s="720"/>
      <c r="AO67" s="720"/>
      <c r="AP67" s="720"/>
      <c r="AQ67" s="720"/>
      <c r="AR67" s="720"/>
      <c r="AS67" s="720"/>
      <c r="AT67" s="720"/>
      <c r="AU67" s="720"/>
      <c r="AV67" s="720"/>
      <c r="AW67" s="720"/>
      <c r="AX67" s="720"/>
      <c r="AY67" s="720"/>
      <c r="AZ67" s="720"/>
      <c r="BA67" s="720"/>
      <c r="BB67" s="720"/>
      <c r="BC67" s="720"/>
      <c r="BD67" s="720"/>
      <c r="BE67" s="720"/>
      <c r="BF67" s="720"/>
      <c r="BG67" s="720"/>
      <c r="BH67" s="720"/>
      <c r="BI67" s="720"/>
      <c r="BJ67" s="720"/>
      <c r="BK67" s="720"/>
      <c r="BL67" s="720"/>
      <c r="BM67" s="720"/>
      <c r="BN67" s="720"/>
      <c r="BO67" s="720"/>
      <c r="BP67" s="720"/>
      <c r="BQ67" s="720"/>
      <c r="BR67" s="720"/>
      <c r="BS67" s="720"/>
      <c r="BT67" s="720"/>
      <c r="BU67" s="720"/>
      <c r="BV67" s="720"/>
      <c r="BW67" s="720"/>
      <c r="BX67" s="720"/>
      <c r="BY67" s="720"/>
      <c r="BZ67" s="720"/>
      <c r="CA67" s="720"/>
      <c r="CB67" s="720"/>
      <c r="CC67" s="720"/>
      <c r="CD67" s="720"/>
      <c r="CE67" s="720"/>
      <c r="CF67" s="720"/>
      <c r="CG67" s="720"/>
      <c r="CH67" s="720"/>
      <c r="CI67" s="720"/>
      <c r="CJ67" s="720"/>
      <c r="CK67" s="720"/>
      <c r="CL67" s="720"/>
      <c r="CM67" s="720"/>
      <c r="CN67" s="720"/>
      <c r="CO67" s="720"/>
      <c r="CP67" s="720"/>
      <c r="CQ67" s="720"/>
      <c r="CR67" s="720"/>
      <c r="CS67" s="720"/>
      <c r="CT67" s="720"/>
      <c r="CU67" s="720"/>
      <c r="CV67" s="720"/>
      <c r="CW67" s="720"/>
      <c r="CX67" s="720"/>
      <c r="CY67" s="720"/>
      <c r="CZ67" s="720"/>
      <c r="DA67" s="720"/>
      <c r="DB67" s="720"/>
      <c r="DC67" s="720"/>
      <c r="DD67" s="720"/>
      <c r="DE67" s="720"/>
      <c r="DF67" s="720"/>
      <c r="DG67" s="720"/>
      <c r="DH67" s="720"/>
      <c r="DI67" s="720"/>
      <c r="DJ67" s="720"/>
      <c r="DK67" s="720"/>
      <c r="DL67" s="720"/>
      <c r="DM67" s="720"/>
      <c r="DN67" s="720"/>
      <c r="DO67" s="720"/>
      <c r="DP67" s="720"/>
      <c r="DQ67" s="720"/>
      <c r="DR67" s="720"/>
      <c r="DS67" s="720"/>
      <c r="DT67" s="720"/>
      <c r="DU67" s="720"/>
      <c r="DV67" s="720"/>
      <c r="DW67" s="720"/>
      <c r="DX67" s="720"/>
      <c r="DY67" s="720"/>
      <c r="DZ67" s="720"/>
      <c r="EA67" s="720"/>
      <c r="EB67" s="720"/>
      <c r="EC67" s="720"/>
      <c r="ED67" s="720"/>
      <c r="EE67" s="720"/>
      <c r="EF67" s="720"/>
      <c r="EG67" s="720"/>
      <c r="EH67" s="720"/>
      <c r="EI67" s="720"/>
      <c r="EJ67" s="720"/>
      <c r="EK67" s="720"/>
      <c r="EL67" s="720"/>
      <c r="EM67" s="720"/>
      <c r="EN67" s="720"/>
      <c r="EO67" s="720"/>
      <c r="EP67" s="720"/>
      <c r="EQ67" s="720"/>
      <c r="ER67" s="720"/>
      <c r="ES67" s="720"/>
      <c r="ET67" s="720"/>
      <c r="EU67" s="720"/>
      <c r="EV67" s="720"/>
      <c r="EW67" s="720"/>
      <c r="EX67" s="720"/>
      <c r="EY67" s="720"/>
      <c r="EZ67" s="720"/>
      <c r="FA67" s="720"/>
      <c r="FB67" s="720"/>
      <c r="FC67" s="692"/>
      <c r="FD67" s="743"/>
      <c r="FE67" s="692"/>
    </row>
    <row r="68" spans="2:162" s="692" customFormat="1">
      <c r="B68" s="768" t="s">
        <v>353</v>
      </c>
      <c r="C68" s="769">
        <f>G68/$G$71</f>
        <v>0.47788126099524486</v>
      </c>
      <c r="D68" s="751"/>
      <c r="E68" s="770" t="str">
        <f>IF($C$5&gt;0,TEXT(XIRR($I68:$FB68,$I$17:$FB$17),"#0.0%")&amp;" / "&amp;TEXT(((FD68-SUMIF(I68:FB68,"&lt;0")))/-SUMIF(I68:FB68,"&lt;0"),"#0.00x"),"n/m")</f>
        <v>19.5% / 1.93x</v>
      </c>
      <c r="F68" s="751"/>
      <c r="G68" s="753">
        <f>SUM(I68:FB68)</f>
        <v>11943595.737587515</v>
      </c>
      <c r="H68" s="751"/>
      <c r="I68" s="771">
        <f t="shared" ref="I68:BT70" si="91">I34+I44+I55+I62</f>
        <v>-12880796.316834297</v>
      </c>
      <c r="J68" s="771">
        <f t="shared" si="91"/>
        <v>35667.556745865317</v>
      </c>
      <c r="K68" s="771">
        <f t="shared" si="91"/>
        <v>35807.333206206822</v>
      </c>
      <c r="L68" s="771">
        <f t="shared" si="91"/>
        <v>35535.770002757301</v>
      </c>
      <c r="M68" s="771">
        <f t="shared" si="91"/>
        <v>29985.659866453872</v>
      </c>
      <c r="N68" s="771">
        <f t="shared" si="91"/>
        <v>35792.641803333332</v>
      </c>
      <c r="O68" s="771">
        <f t="shared" si="91"/>
        <v>30233.968873317273</v>
      </c>
      <c r="P68" s="771">
        <f t="shared" si="91"/>
        <v>30139.676909906007</v>
      </c>
      <c r="Q68" s="771">
        <f t="shared" si="91"/>
        <v>47110.984002844649</v>
      </c>
      <c r="R68" s="771">
        <f t="shared" si="91"/>
        <v>30020.660176696605</v>
      </c>
      <c r="S68" s="771">
        <f t="shared" si="91"/>
        <v>35675.237094375771</v>
      </c>
      <c r="T68" s="771">
        <f t="shared" si="91"/>
        <v>29989.701497127437</v>
      </c>
      <c r="U68" s="771">
        <f t="shared" si="91"/>
        <v>50120.23167468996</v>
      </c>
      <c r="V68" s="771">
        <f t="shared" si="91"/>
        <v>41104.144563055161</v>
      </c>
      <c r="W68" s="771">
        <f t="shared" si="91"/>
        <v>37994.422963095283</v>
      </c>
      <c r="X68" s="771">
        <f t="shared" si="91"/>
        <v>44506.355088350145</v>
      </c>
      <c r="Y68" s="771">
        <f t="shared" si="91"/>
        <v>46221.441929292785</v>
      </c>
      <c r="Z68" s="771">
        <f t="shared" si="91"/>
        <v>52874.222821863084</v>
      </c>
      <c r="AA68" s="771">
        <f t="shared" si="91"/>
        <v>48205.981586946931</v>
      </c>
      <c r="AB68" s="771">
        <f t="shared" si="91"/>
        <v>62279.973765447146</v>
      </c>
      <c r="AC68" s="771">
        <f t="shared" si="91"/>
        <v>74587.488345289836</v>
      </c>
      <c r="AD68" s="771">
        <f t="shared" si="91"/>
        <v>64385.067911116232</v>
      </c>
      <c r="AE68" s="771">
        <f t="shared" si="91"/>
        <v>71240.293520195453</v>
      </c>
      <c r="AF68" s="771">
        <f t="shared" si="91"/>
        <v>66729.301486031996</v>
      </c>
      <c r="AG68" s="771">
        <f t="shared" si="91"/>
        <v>73569.38004718411</v>
      </c>
      <c r="AH68" s="771">
        <f t="shared" si="91"/>
        <v>68550.49332458686</v>
      </c>
      <c r="AI68" s="771">
        <f t="shared" si="91"/>
        <v>69463.082498088042</v>
      </c>
      <c r="AJ68" s="771">
        <f t="shared" si="91"/>
        <v>76293.529188760658</v>
      </c>
      <c r="AK68" s="771">
        <f t="shared" si="91"/>
        <v>71743.31798194311</v>
      </c>
      <c r="AL68" s="771">
        <f t="shared" si="91"/>
        <v>78538.909145633574</v>
      </c>
      <c r="AM68" s="771">
        <f t="shared" si="91"/>
        <v>73939.109621959316</v>
      </c>
      <c r="AN68" s="771">
        <f t="shared" si="91"/>
        <v>74986.850255316094</v>
      </c>
      <c r="AO68" s="771">
        <f t="shared" si="91"/>
        <v>92915.06085695517</v>
      </c>
      <c r="AP68" s="771">
        <f t="shared" si="91"/>
        <v>76653.45202546753</v>
      </c>
      <c r="AQ68" s="771">
        <f t="shared" si="91"/>
        <v>83276.808387756013</v>
      </c>
      <c r="AR68" s="771">
        <f t="shared" si="91"/>
        <v>78527.557157936637</v>
      </c>
      <c r="AS68" s="771">
        <f t="shared" si="91"/>
        <v>85109.00956469313</v>
      </c>
      <c r="AT68" s="771">
        <f t="shared" si="91"/>
        <v>80300.055341265106</v>
      </c>
      <c r="AU68" s="771">
        <f t="shared" si="91"/>
        <v>80773.965351417835</v>
      </c>
      <c r="AV68" s="771">
        <f t="shared" si="91"/>
        <v>87113.955717677454</v>
      </c>
      <c r="AW68" s="771">
        <f t="shared" si="91"/>
        <v>82270.792630672586</v>
      </c>
      <c r="AX68" s="771">
        <f t="shared" si="91"/>
        <v>88780.894060291655</v>
      </c>
      <c r="AY68" s="771">
        <f t="shared" si="91"/>
        <v>83930.715174608224</v>
      </c>
      <c r="AZ68" s="771">
        <f t="shared" si="91"/>
        <v>84748.547592195901</v>
      </c>
      <c r="BA68" s="771">
        <f t="shared" si="91"/>
        <v>102598.53396308223</v>
      </c>
      <c r="BB68" s="771">
        <f t="shared" si="91"/>
        <v>86251.685563522449</v>
      </c>
      <c r="BC68" s="771">
        <f t="shared" si="91"/>
        <v>92559.15970397451</v>
      </c>
      <c r="BD68" s="771">
        <f t="shared" si="91"/>
        <v>21915289.073432565</v>
      </c>
      <c r="BE68" s="771">
        <f t="shared" si="91"/>
        <v>0</v>
      </c>
      <c r="BF68" s="771">
        <f t="shared" si="91"/>
        <v>0</v>
      </c>
      <c r="BG68" s="771">
        <f t="shared" si="91"/>
        <v>0</v>
      </c>
      <c r="BH68" s="771">
        <f t="shared" si="91"/>
        <v>0</v>
      </c>
      <c r="BI68" s="771">
        <f t="shared" si="91"/>
        <v>0</v>
      </c>
      <c r="BJ68" s="771">
        <f t="shared" si="91"/>
        <v>0</v>
      </c>
      <c r="BK68" s="771">
        <f t="shared" si="91"/>
        <v>0</v>
      </c>
      <c r="BL68" s="771">
        <f t="shared" si="91"/>
        <v>0</v>
      </c>
      <c r="BM68" s="771">
        <f t="shared" si="91"/>
        <v>0</v>
      </c>
      <c r="BN68" s="771">
        <f t="shared" si="91"/>
        <v>0</v>
      </c>
      <c r="BO68" s="771">
        <f t="shared" si="91"/>
        <v>0</v>
      </c>
      <c r="BP68" s="771">
        <f t="shared" si="91"/>
        <v>0</v>
      </c>
      <c r="BQ68" s="771">
        <f t="shared" si="91"/>
        <v>0</v>
      </c>
      <c r="BR68" s="771">
        <f t="shared" si="91"/>
        <v>0</v>
      </c>
      <c r="BS68" s="771">
        <f t="shared" si="91"/>
        <v>0</v>
      </c>
      <c r="BT68" s="771">
        <f t="shared" si="91"/>
        <v>0</v>
      </c>
      <c r="BU68" s="771">
        <f t="shared" ref="BU68:EF70" si="92">BU34+BU44+BU55+BU62</f>
        <v>0</v>
      </c>
      <c r="BV68" s="771">
        <f t="shared" si="92"/>
        <v>0</v>
      </c>
      <c r="BW68" s="771">
        <f t="shared" si="92"/>
        <v>0</v>
      </c>
      <c r="BX68" s="771">
        <f t="shared" si="92"/>
        <v>0</v>
      </c>
      <c r="BY68" s="771">
        <f t="shared" si="92"/>
        <v>0</v>
      </c>
      <c r="BZ68" s="771">
        <f t="shared" si="92"/>
        <v>0</v>
      </c>
      <c r="CA68" s="771">
        <f t="shared" si="92"/>
        <v>0</v>
      </c>
      <c r="CB68" s="771">
        <f t="shared" si="92"/>
        <v>0</v>
      </c>
      <c r="CC68" s="771">
        <f t="shared" si="92"/>
        <v>0</v>
      </c>
      <c r="CD68" s="771">
        <f t="shared" si="92"/>
        <v>0</v>
      </c>
      <c r="CE68" s="771">
        <f t="shared" si="92"/>
        <v>0</v>
      </c>
      <c r="CF68" s="771">
        <f t="shared" si="92"/>
        <v>0</v>
      </c>
      <c r="CG68" s="771">
        <f t="shared" si="92"/>
        <v>0</v>
      </c>
      <c r="CH68" s="771">
        <f t="shared" si="92"/>
        <v>0</v>
      </c>
      <c r="CI68" s="771">
        <f t="shared" si="92"/>
        <v>0</v>
      </c>
      <c r="CJ68" s="771">
        <f t="shared" si="92"/>
        <v>0</v>
      </c>
      <c r="CK68" s="771">
        <f t="shared" si="92"/>
        <v>0</v>
      </c>
      <c r="CL68" s="771">
        <f t="shared" si="92"/>
        <v>0</v>
      </c>
      <c r="CM68" s="771">
        <f t="shared" si="92"/>
        <v>0</v>
      </c>
      <c r="CN68" s="771">
        <f t="shared" si="92"/>
        <v>0</v>
      </c>
      <c r="CO68" s="771">
        <f t="shared" si="92"/>
        <v>0</v>
      </c>
      <c r="CP68" s="771">
        <f t="shared" si="92"/>
        <v>0</v>
      </c>
      <c r="CQ68" s="771">
        <f t="shared" si="92"/>
        <v>0</v>
      </c>
      <c r="CR68" s="771">
        <f t="shared" si="92"/>
        <v>0</v>
      </c>
      <c r="CS68" s="771">
        <f t="shared" si="92"/>
        <v>0</v>
      </c>
      <c r="CT68" s="771">
        <f t="shared" si="92"/>
        <v>0</v>
      </c>
      <c r="CU68" s="771">
        <f t="shared" si="92"/>
        <v>0</v>
      </c>
      <c r="CV68" s="771">
        <f t="shared" si="92"/>
        <v>0</v>
      </c>
      <c r="CW68" s="771">
        <f t="shared" si="92"/>
        <v>0</v>
      </c>
      <c r="CX68" s="771">
        <f t="shared" si="92"/>
        <v>0</v>
      </c>
      <c r="CY68" s="771">
        <f t="shared" si="92"/>
        <v>0</v>
      </c>
      <c r="CZ68" s="771">
        <f t="shared" si="92"/>
        <v>0</v>
      </c>
      <c r="DA68" s="771">
        <f t="shared" si="92"/>
        <v>0</v>
      </c>
      <c r="DB68" s="771">
        <f t="shared" si="92"/>
        <v>0</v>
      </c>
      <c r="DC68" s="771">
        <f t="shared" si="92"/>
        <v>0</v>
      </c>
      <c r="DD68" s="771">
        <f t="shared" si="92"/>
        <v>0</v>
      </c>
      <c r="DE68" s="771">
        <f t="shared" si="92"/>
        <v>0</v>
      </c>
      <c r="DF68" s="771">
        <f t="shared" si="92"/>
        <v>0</v>
      </c>
      <c r="DG68" s="771">
        <f t="shared" si="92"/>
        <v>0</v>
      </c>
      <c r="DH68" s="771">
        <f t="shared" si="92"/>
        <v>0</v>
      </c>
      <c r="DI68" s="771">
        <f t="shared" si="92"/>
        <v>0</v>
      </c>
      <c r="DJ68" s="771">
        <f t="shared" si="92"/>
        <v>0</v>
      </c>
      <c r="DK68" s="771">
        <f t="shared" si="92"/>
        <v>0</v>
      </c>
      <c r="DL68" s="771">
        <f t="shared" si="92"/>
        <v>0</v>
      </c>
      <c r="DM68" s="771">
        <f t="shared" si="92"/>
        <v>0</v>
      </c>
      <c r="DN68" s="771">
        <f t="shared" si="92"/>
        <v>0</v>
      </c>
      <c r="DO68" s="771">
        <f t="shared" si="92"/>
        <v>0</v>
      </c>
      <c r="DP68" s="771">
        <f t="shared" si="92"/>
        <v>0</v>
      </c>
      <c r="DQ68" s="771">
        <f t="shared" si="92"/>
        <v>0</v>
      </c>
      <c r="DR68" s="771">
        <f t="shared" si="92"/>
        <v>0</v>
      </c>
      <c r="DS68" s="771">
        <f t="shared" si="92"/>
        <v>0</v>
      </c>
      <c r="DT68" s="771">
        <f t="shared" si="92"/>
        <v>0</v>
      </c>
      <c r="DU68" s="771">
        <f t="shared" si="92"/>
        <v>0</v>
      </c>
      <c r="DV68" s="771">
        <f t="shared" si="92"/>
        <v>0</v>
      </c>
      <c r="DW68" s="771">
        <f t="shared" si="92"/>
        <v>0</v>
      </c>
      <c r="DX68" s="771">
        <f t="shared" si="92"/>
        <v>0</v>
      </c>
      <c r="DY68" s="771">
        <f t="shared" si="92"/>
        <v>0</v>
      </c>
      <c r="DZ68" s="771">
        <f t="shared" si="92"/>
        <v>0</v>
      </c>
      <c r="EA68" s="771">
        <f t="shared" si="92"/>
        <v>0</v>
      </c>
      <c r="EB68" s="771">
        <f t="shared" si="92"/>
        <v>0</v>
      </c>
      <c r="EC68" s="771">
        <f t="shared" si="92"/>
        <v>0</v>
      </c>
      <c r="ED68" s="771">
        <f t="shared" si="92"/>
        <v>0</v>
      </c>
      <c r="EE68" s="771">
        <f t="shared" si="92"/>
        <v>0</v>
      </c>
      <c r="EF68" s="771">
        <f t="shared" si="92"/>
        <v>0</v>
      </c>
      <c r="EG68" s="771">
        <f t="shared" ref="EG68:FB70" si="93">EG34+EG44+EG55+EG62</f>
        <v>0</v>
      </c>
      <c r="EH68" s="771">
        <f t="shared" si="93"/>
        <v>0</v>
      </c>
      <c r="EI68" s="771">
        <f t="shared" si="93"/>
        <v>0</v>
      </c>
      <c r="EJ68" s="771">
        <f t="shared" si="93"/>
        <v>0</v>
      </c>
      <c r="EK68" s="771">
        <f t="shared" si="93"/>
        <v>0</v>
      </c>
      <c r="EL68" s="771">
        <f t="shared" si="93"/>
        <v>0</v>
      </c>
      <c r="EM68" s="771">
        <f t="shared" si="93"/>
        <v>0</v>
      </c>
      <c r="EN68" s="771">
        <f t="shared" si="93"/>
        <v>0</v>
      </c>
      <c r="EO68" s="771">
        <f t="shared" si="93"/>
        <v>0</v>
      </c>
      <c r="EP68" s="771">
        <f t="shared" si="93"/>
        <v>0</v>
      </c>
      <c r="EQ68" s="771">
        <f t="shared" si="93"/>
        <v>0</v>
      </c>
      <c r="ER68" s="771">
        <f t="shared" si="93"/>
        <v>0</v>
      </c>
      <c r="ES68" s="771">
        <f t="shared" si="93"/>
        <v>0</v>
      </c>
      <c r="ET68" s="771">
        <f t="shared" si="93"/>
        <v>0</v>
      </c>
      <c r="EU68" s="771">
        <f t="shared" si="93"/>
        <v>0</v>
      </c>
      <c r="EV68" s="771">
        <f t="shared" si="93"/>
        <v>0</v>
      </c>
      <c r="EW68" s="771">
        <f t="shared" si="93"/>
        <v>0</v>
      </c>
      <c r="EX68" s="771">
        <f t="shared" si="93"/>
        <v>0</v>
      </c>
      <c r="EY68" s="771">
        <f t="shared" si="93"/>
        <v>0</v>
      </c>
      <c r="EZ68" s="771">
        <f t="shared" si="93"/>
        <v>0</v>
      </c>
      <c r="FA68" s="771">
        <f t="shared" si="93"/>
        <v>0</v>
      </c>
      <c r="FB68" s="771">
        <f t="shared" si="93"/>
        <v>0</v>
      </c>
      <c r="FD68" s="753">
        <f>SUM(I68:FB68)</f>
        <v>11943595.737587515</v>
      </c>
      <c r="FF68" s="772"/>
    </row>
    <row r="69" spans="2:162" s="692" customFormat="1">
      <c r="B69" s="773" t="s">
        <v>351</v>
      </c>
      <c r="C69" s="774">
        <f>G69/$G$71</f>
        <v>0.3173461444523471</v>
      </c>
      <c r="D69" s="756"/>
      <c r="E69" s="775" t="str">
        <f>IF($C$6&gt;0,TEXT(XIRR($I69:$FB69,$I$17:$FB$17),"#0.0%")&amp;" / "&amp;TEXT(((FD69-SUMIF(I69:FB69,"&lt;0")))/-SUMIF(I69:FB69,"&lt;0"),"#0.00x"),"n/m")</f>
        <v>25.5% / 2.32x</v>
      </c>
      <c r="F69" s="756"/>
      <c r="G69" s="758">
        <f>SUM(I69:FB69)</f>
        <v>7931372.0113804583</v>
      </c>
      <c r="H69" s="756"/>
      <c r="I69" s="776">
        <f t="shared" si="91"/>
        <v>-5987911.7585061612</v>
      </c>
      <c r="J69" s="776">
        <f t="shared" si="91"/>
        <v>16580.821339176538</v>
      </c>
      <c r="K69" s="776">
        <f t="shared" si="91"/>
        <v>16645.799395645565</v>
      </c>
      <c r="L69" s="776">
        <f t="shared" si="91"/>
        <v>16519.557472466655</v>
      </c>
      <c r="M69" s="776">
        <f t="shared" si="91"/>
        <v>13939.470890184346</v>
      </c>
      <c r="N69" s="776">
        <f t="shared" si="91"/>
        <v>16638.969784971559</v>
      </c>
      <c r="O69" s="776">
        <f t="shared" si="91"/>
        <v>14054.902606156529</v>
      </c>
      <c r="P69" s="776">
        <f t="shared" si="91"/>
        <v>14011.068984185111</v>
      </c>
      <c r="Q69" s="776">
        <f t="shared" si="91"/>
        <v>21900.541560209978</v>
      </c>
      <c r="R69" s="776">
        <f t="shared" si="91"/>
        <v>13955.741527814096</v>
      </c>
      <c r="S69" s="776">
        <f t="shared" si="91"/>
        <v>16584.391712313722</v>
      </c>
      <c r="T69" s="776">
        <f t="shared" si="91"/>
        <v>13941.349728047977</v>
      </c>
      <c r="U69" s="776">
        <f t="shared" si="91"/>
        <v>23299.454257474674</v>
      </c>
      <c r="V69" s="776">
        <f t="shared" si="91"/>
        <v>19108.134660182699</v>
      </c>
      <c r="W69" s="776">
        <f t="shared" si="91"/>
        <v>17662.514523348123</v>
      </c>
      <c r="X69" s="776">
        <f t="shared" si="91"/>
        <v>20689.724486481118</v>
      </c>
      <c r="Y69" s="776">
        <f t="shared" si="91"/>
        <v>21487.019033272278</v>
      </c>
      <c r="Z69" s="776">
        <f t="shared" si="91"/>
        <v>24579.705537547143</v>
      </c>
      <c r="AA69" s="776">
        <f t="shared" si="91"/>
        <v>22409.574445142152</v>
      </c>
      <c r="AB69" s="776">
        <f t="shared" si="91"/>
        <v>28952.168643656511</v>
      </c>
      <c r="AC69" s="776">
        <f t="shared" si="91"/>
        <v>34673.578210106236</v>
      </c>
      <c r="AD69" s="776">
        <f t="shared" si="91"/>
        <v>29930.766369880967</v>
      </c>
      <c r="AE69" s="776">
        <f t="shared" si="91"/>
        <v>33117.563600590263</v>
      </c>
      <c r="AF69" s="776">
        <f t="shared" si="91"/>
        <v>31020.533139158855</v>
      </c>
      <c r="AG69" s="776">
        <f t="shared" si="91"/>
        <v>34200.288942912986</v>
      </c>
      <c r="AH69" s="776">
        <f t="shared" si="91"/>
        <v>31867.152847780901</v>
      </c>
      <c r="AI69" s="776">
        <f t="shared" si="91"/>
        <v>32291.389308654936</v>
      </c>
      <c r="AJ69" s="776">
        <f t="shared" si="91"/>
        <v>35466.667532833861</v>
      </c>
      <c r="AK69" s="776">
        <f t="shared" si="91"/>
        <v>33351.405205971329</v>
      </c>
      <c r="AL69" s="776">
        <f t="shared" si="91"/>
        <v>36510.480098094413</v>
      </c>
      <c r="AM69" s="776">
        <f t="shared" si="91"/>
        <v>34372.165588875512</v>
      </c>
      <c r="AN69" s="776">
        <f t="shared" si="91"/>
        <v>34859.230076506792</v>
      </c>
      <c r="AO69" s="776">
        <f t="shared" si="91"/>
        <v>43193.539573368194</v>
      </c>
      <c r="AP69" s="776">
        <f t="shared" si="91"/>
        <v>35633.9853083083</v>
      </c>
      <c r="AQ69" s="776">
        <f t="shared" si="91"/>
        <v>38712.993194698895</v>
      </c>
      <c r="AR69" s="776">
        <f t="shared" si="91"/>
        <v>36505.202885495055</v>
      </c>
      <c r="AS69" s="776">
        <f t="shared" si="91"/>
        <v>39564.730828108426</v>
      </c>
      <c r="AT69" s="776">
        <f t="shared" si="91"/>
        <v>37329.186314222374</v>
      </c>
      <c r="AU69" s="776">
        <f t="shared" si="91"/>
        <v>37549.493448382906</v>
      </c>
      <c r="AV69" s="776">
        <f t="shared" si="91"/>
        <v>40496.772632770473</v>
      </c>
      <c r="AW69" s="776">
        <f t="shared" si="91"/>
        <v>38245.325402047791</v>
      </c>
      <c r="AX69" s="776">
        <f t="shared" si="91"/>
        <v>41271.684327430165</v>
      </c>
      <c r="AY69" s="776">
        <f t="shared" si="91"/>
        <v>39016.975653674825</v>
      </c>
      <c r="AZ69" s="776">
        <f t="shared" si="91"/>
        <v>39397.162423910493</v>
      </c>
      <c r="BA69" s="776">
        <f t="shared" si="91"/>
        <v>47695.107725608563</v>
      </c>
      <c r="BB69" s="776">
        <f t="shared" si="91"/>
        <v>40095.928036825288</v>
      </c>
      <c r="BC69" s="776">
        <f t="shared" si="91"/>
        <v>43028.091362995234</v>
      </c>
      <c r="BD69" s="776">
        <f t="shared" si="91"/>
        <v>12566925.459259128</v>
      </c>
      <c r="BE69" s="776">
        <f t="shared" si="91"/>
        <v>0</v>
      </c>
      <c r="BF69" s="776">
        <f t="shared" si="91"/>
        <v>0</v>
      </c>
      <c r="BG69" s="776">
        <f t="shared" si="91"/>
        <v>0</v>
      </c>
      <c r="BH69" s="776">
        <f t="shared" si="91"/>
        <v>0</v>
      </c>
      <c r="BI69" s="776">
        <f t="shared" si="91"/>
        <v>0</v>
      </c>
      <c r="BJ69" s="776">
        <f t="shared" si="91"/>
        <v>0</v>
      </c>
      <c r="BK69" s="776">
        <f t="shared" si="91"/>
        <v>0</v>
      </c>
      <c r="BL69" s="776">
        <f t="shared" si="91"/>
        <v>0</v>
      </c>
      <c r="BM69" s="776">
        <f t="shared" si="91"/>
        <v>0</v>
      </c>
      <c r="BN69" s="776">
        <f t="shared" si="91"/>
        <v>0</v>
      </c>
      <c r="BO69" s="776">
        <f t="shared" si="91"/>
        <v>0</v>
      </c>
      <c r="BP69" s="776">
        <f t="shared" si="91"/>
        <v>0</v>
      </c>
      <c r="BQ69" s="776">
        <f t="shared" si="91"/>
        <v>0</v>
      </c>
      <c r="BR69" s="776">
        <f t="shared" si="91"/>
        <v>0</v>
      </c>
      <c r="BS69" s="776">
        <f t="shared" si="91"/>
        <v>0</v>
      </c>
      <c r="BT69" s="776">
        <f t="shared" si="91"/>
        <v>0</v>
      </c>
      <c r="BU69" s="776">
        <f t="shared" si="92"/>
        <v>0</v>
      </c>
      <c r="BV69" s="776">
        <f t="shared" si="92"/>
        <v>0</v>
      </c>
      <c r="BW69" s="776">
        <f t="shared" si="92"/>
        <v>0</v>
      </c>
      <c r="BX69" s="776">
        <f t="shared" si="92"/>
        <v>0</v>
      </c>
      <c r="BY69" s="776">
        <f t="shared" si="92"/>
        <v>0</v>
      </c>
      <c r="BZ69" s="776">
        <f t="shared" si="92"/>
        <v>0</v>
      </c>
      <c r="CA69" s="776">
        <f t="shared" si="92"/>
        <v>0</v>
      </c>
      <c r="CB69" s="776">
        <f t="shared" si="92"/>
        <v>0</v>
      </c>
      <c r="CC69" s="776">
        <f t="shared" si="92"/>
        <v>0</v>
      </c>
      <c r="CD69" s="776">
        <f t="shared" si="92"/>
        <v>0</v>
      </c>
      <c r="CE69" s="776">
        <f t="shared" si="92"/>
        <v>0</v>
      </c>
      <c r="CF69" s="776">
        <f t="shared" si="92"/>
        <v>0</v>
      </c>
      <c r="CG69" s="776">
        <f t="shared" si="92"/>
        <v>0</v>
      </c>
      <c r="CH69" s="776">
        <f t="shared" si="92"/>
        <v>0</v>
      </c>
      <c r="CI69" s="776">
        <f t="shared" si="92"/>
        <v>0</v>
      </c>
      <c r="CJ69" s="776">
        <f t="shared" si="92"/>
        <v>0</v>
      </c>
      <c r="CK69" s="776">
        <f t="shared" si="92"/>
        <v>0</v>
      </c>
      <c r="CL69" s="776">
        <f t="shared" si="92"/>
        <v>0</v>
      </c>
      <c r="CM69" s="776">
        <f t="shared" si="92"/>
        <v>0</v>
      </c>
      <c r="CN69" s="776">
        <f t="shared" si="92"/>
        <v>0</v>
      </c>
      <c r="CO69" s="776">
        <f t="shared" si="92"/>
        <v>0</v>
      </c>
      <c r="CP69" s="776">
        <f t="shared" si="92"/>
        <v>0</v>
      </c>
      <c r="CQ69" s="776">
        <f t="shared" si="92"/>
        <v>0</v>
      </c>
      <c r="CR69" s="776">
        <f t="shared" si="92"/>
        <v>0</v>
      </c>
      <c r="CS69" s="776">
        <f t="shared" si="92"/>
        <v>0</v>
      </c>
      <c r="CT69" s="776">
        <f t="shared" si="92"/>
        <v>0</v>
      </c>
      <c r="CU69" s="776">
        <f t="shared" si="92"/>
        <v>0</v>
      </c>
      <c r="CV69" s="776">
        <f t="shared" si="92"/>
        <v>0</v>
      </c>
      <c r="CW69" s="776">
        <f t="shared" si="92"/>
        <v>0</v>
      </c>
      <c r="CX69" s="776">
        <f t="shared" si="92"/>
        <v>0</v>
      </c>
      <c r="CY69" s="776">
        <f t="shared" si="92"/>
        <v>0</v>
      </c>
      <c r="CZ69" s="776">
        <f t="shared" si="92"/>
        <v>0</v>
      </c>
      <c r="DA69" s="776">
        <f t="shared" si="92"/>
        <v>0</v>
      </c>
      <c r="DB69" s="776">
        <f t="shared" si="92"/>
        <v>0</v>
      </c>
      <c r="DC69" s="776">
        <f t="shared" si="92"/>
        <v>0</v>
      </c>
      <c r="DD69" s="776">
        <f t="shared" si="92"/>
        <v>0</v>
      </c>
      <c r="DE69" s="776">
        <f t="shared" si="92"/>
        <v>0</v>
      </c>
      <c r="DF69" s="776">
        <f t="shared" si="92"/>
        <v>0</v>
      </c>
      <c r="DG69" s="776">
        <f t="shared" si="92"/>
        <v>0</v>
      </c>
      <c r="DH69" s="776">
        <f t="shared" si="92"/>
        <v>0</v>
      </c>
      <c r="DI69" s="776">
        <f t="shared" si="92"/>
        <v>0</v>
      </c>
      <c r="DJ69" s="776">
        <f t="shared" si="92"/>
        <v>0</v>
      </c>
      <c r="DK69" s="776">
        <f t="shared" si="92"/>
        <v>0</v>
      </c>
      <c r="DL69" s="776">
        <f t="shared" si="92"/>
        <v>0</v>
      </c>
      <c r="DM69" s="776">
        <f t="shared" si="92"/>
        <v>0</v>
      </c>
      <c r="DN69" s="776">
        <f t="shared" si="92"/>
        <v>0</v>
      </c>
      <c r="DO69" s="776">
        <f t="shared" si="92"/>
        <v>0</v>
      </c>
      <c r="DP69" s="776">
        <f t="shared" si="92"/>
        <v>0</v>
      </c>
      <c r="DQ69" s="776">
        <f t="shared" si="92"/>
        <v>0</v>
      </c>
      <c r="DR69" s="776">
        <f t="shared" si="92"/>
        <v>0</v>
      </c>
      <c r="DS69" s="776">
        <f t="shared" si="92"/>
        <v>0</v>
      </c>
      <c r="DT69" s="776">
        <f t="shared" si="92"/>
        <v>0</v>
      </c>
      <c r="DU69" s="776">
        <f t="shared" si="92"/>
        <v>0</v>
      </c>
      <c r="DV69" s="776">
        <f t="shared" si="92"/>
        <v>0</v>
      </c>
      <c r="DW69" s="776">
        <f t="shared" si="92"/>
        <v>0</v>
      </c>
      <c r="DX69" s="776">
        <f t="shared" si="92"/>
        <v>0</v>
      </c>
      <c r="DY69" s="776">
        <f t="shared" si="92"/>
        <v>0</v>
      </c>
      <c r="DZ69" s="776">
        <f t="shared" si="92"/>
        <v>0</v>
      </c>
      <c r="EA69" s="776">
        <f t="shared" si="92"/>
        <v>0</v>
      </c>
      <c r="EB69" s="776">
        <f t="shared" si="92"/>
        <v>0</v>
      </c>
      <c r="EC69" s="776">
        <f t="shared" si="92"/>
        <v>0</v>
      </c>
      <c r="ED69" s="776">
        <f t="shared" si="92"/>
        <v>0</v>
      </c>
      <c r="EE69" s="776">
        <f t="shared" si="92"/>
        <v>0</v>
      </c>
      <c r="EF69" s="776">
        <f t="shared" si="92"/>
        <v>0</v>
      </c>
      <c r="EG69" s="776">
        <f t="shared" si="93"/>
        <v>0</v>
      </c>
      <c r="EH69" s="776">
        <f t="shared" si="93"/>
        <v>0</v>
      </c>
      <c r="EI69" s="776">
        <f t="shared" si="93"/>
        <v>0</v>
      </c>
      <c r="EJ69" s="776">
        <f t="shared" si="93"/>
        <v>0</v>
      </c>
      <c r="EK69" s="776">
        <f t="shared" si="93"/>
        <v>0</v>
      </c>
      <c r="EL69" s="776">
        <f t="shared" si="93"/>
        <v>0</v>
      </c>
      <c r="EM69" s="776">
        <f t="shared" si="93"/>
        <v>0</v>
      </c>
      <c r="EN69" s="776">
        <f t="shared" si="93"/>
        <v>0</v>
      </c>
      <c r="EO69" s="776">
        <f t="shared" si="93"/>
        <v>0</v>
      </c>
      <c r="EP69" s="776">
        <f t="shared" si="93"/>
        <v>0</v>
      </c>
      <c r="EQ69" s="776">
        <f t="shared" si="93"/>
        <v>0</v>
      </c>
      <c r="ER69" s="776">
        <f t="shared" si="93"/>
        <v>0</v>
      </c>
      <c r="ES69" s="776">
        <f t="shared" si="93"/>
        <v>0</v>
      </c>
      <c r="ET69" s="776">
        <f t="shared" si="93"/>
        <v>0</v>
      </c>
      <c r="EU69" s="776">
        <f t="shared" si="93"/>
        <v>0</v>
      </c>
      <c r="EV69" s="776">
        <f t="shared" si="93"/>
        <v>0</v>
      </c>
      <c r="EW69" s="776">
        <f t="shared" si="93"/>
        <v>0</v>
      </c>
      <c r="EX69" s="776">
        <f t="shared" si="93"/>
        <v>0</v>
      </c>
      <c r="EY69" s="776">
        <f t="shared" si="93"/>
        <v>0</v>
      </c>
      <c r="EZ69" s="776">
        <f t="shared" si="93"/>
        <v>0</v>
      </c>
      <c r="FA69" s="776">
        <f t="shared" si="93"/>
        <v>0</v>
      </c>
      <c r="FB69" s="776">
        <f t="shared" si="93"/>
        <v>0</v>
      </c>
      <c r="FD69" s="758">
        <f>SUM(I69:FB69)</f>
        <v>7931372.0113804583</v>
      </c>
      <c r="FF69" s="772"/>
    </row>
    <row r="70" spans="2:162" s="692" customFormat="1">
      <c r="B70" s="773" t="s">
        <v>387</v>
      </c>
      <c r="C70" s="774">
        <f>G70/$G$71</f>
        <v>0.2047725945524079</v>
      </c>
      <c r="D70" s="756"/>
      <c r="E70" s="775" t="str">
        <f>IF($C$8&gt;0,TEXT(XIRR($I70:$FB70,$I$17:$FB$17),"#0.0%")&amp;" / "&amp;TEXT(((FD70-SUMIF(I70:FB70,"&lt;0")))/-SUMIF(I70:FB70,"&lt;0"),"#0.00x"),"n/m")</f>
        <v>n/m</v>
      </c>
      <c r="F70" s="756"/>
      <c r="G70" s="758">
        <f>SUM(I70:FB70)</f>
        <v>5117842.6255454523</v>
      </c>
      <c r="H70" s="756"/>
      <c r="I70" s="776">
        <f t="shared" si="91"/>
        <v>0</v>
      </c>
      <c r="J70" s="776">
        <f t="shared" si="91"/>
        <v>0</v>
      </c>
      <c r="K70" s="776">
        <f t="shared" si="91"/>
        <v>0</v>
      </c>
      <c r="L70" s="776">
        <f t="shared" si="91"/>
        <v>0</v>
      </c>
      <c r="M70" s="776">
        <f t="shared" si="91"/>
        <v>0</v>
      </c>
      <c r="N70" s="776">
        <f t="shared" si="91"/>
        <v>0</v>
      </c>
      <c r="O70" s="776">
        <f t="shared" si="91"/>
        <v>0</v>
      </c>
      <c r="P70" s="776">
        <f t="shared" si="91"/>
        <v>0</v>
      </c>
      <c r="Q70" s="776">
        <f t="shared" si="91"/>
        <v>0</v>
      </c>
      <c r="R70" s="776">
        <f t="shared" si="91"/>
        <v>0</v>
      </c>
      <c r="S70" s="776">
        <f t="shared" si="91"/>
        <v>0</v>
      </c>
      <c r="T70" s="776">
        <f t="shared" si="91"/>
        <v>0</v>
      </c>
      <c r="U70" s="776">
        <f t="shared" si="91"/>
        <v>0</v>
      </c>
      <c r="V70" s="776">
        <f t="shared" si="91"/>
        <v>0</v>
      </c>
      <c r="W70" s="776">
        <f t="shared" si="91"/>
        <v>0</v>
      </c>
      <c r="X70" s="776">
        <f t="shared" si="91"/>
        <v>0</v>
      </c>
      <c r="Y70" s="776">
        <f t="shared" si="91"/>
        <v>0</v>
      </c>
      <c r="Z70" s="776">
        <f t="shared" si="91"/>
        <v>0</v>
      </c>
      <c r="AA70" s="776">
        <f t="shared" si="91"/>
        <v>0</v>
      </c>
      <c r="AB70" s="776">
        <f t="shared" si="91"/>
        <v>0</v>
      </c>
      <c r="AC70" s="776">
        <f t="shared" si="91"/>
        <v>0</v>
      </c>
      <c r="AD70" s="776">
        <f t="shared" si="91"/>
        <v>0</v>
      </c>
      <c r="AE70" s="776">
        <f t="shared" si="91"/>
        <v>0</v>
      </c>
      <c r="AF70" s="776">
        <f t="shared" si="91"/>
        <v>0</v>
      </c>
      <c r="AG70" s="776">
        <f t="shared" si="91"/>
        <v>0</v>
      </c>
      <c r="AH70" s="776">
        <f t="shared" si="91"/>
        <v>0</v>
      </c>
      <c r="AI70" s="776">
        <f t="shared" si="91"/>
        <v>0</v>
      </c>
      <c r="AJ70" s="776">
        <f t="shared" si="91"/>
        <v>0</v>
      </c>
      <c r="AK70" s="776">
        <f t="shared" si="91"/>
        <v>0</v>
      </c>
      <c r="AL70" s="776">
        <f t="shared" si="91"/>
        <v>0</v>
      </c>
      <c r="AM70" s="776">
        <f t="shared" si="91"/>
        <v>0</v>
      </c>
      <c r="AN70" s="776">
        <f t="shared" si="91"/>
        <v>0</v>
      </c>
      <c r="AO70" s="776">
        <f t="shared" si="91"/>
        <v>0</v>
      </c>
      <c r="AP70" s="776">
        <f t="shared" si="91"/>
        <v>0</v>
      </c>
      <c r="AQ70" s="776">
        <f t="shared" si="91"/>
        <v>0</v>
      </c>
      <c r="AR70" s="776">
        <f t="shared" si="91"/>
        <v>0</v>
      </c>
      <c r="AS70" s="776">
        <f t="shared" si="91"/>
        <v>0</v>
      </c>
      <c r="AT70" s="776">
        <f t="shared" si="91"/>
        <v>0</v>
      </c>
      <c r="AU70" s="776">
        <f t="shared" si="91"/>
        <v>0</v>
      </c>
      <c r="AV70" s="776">
        <f t="shared" si="91"/>
        <v>0</v>
      </c>
      <c r="AW70" s="776">
        <f t="shared" si="91"/>
        <v>0</v>
      </c>
      <c r="AX70" s="776">
        <f t="shared" si="91"/>
        <v>0</v>
      </c>
      <c r="AY70" s="776">
        <f t="shared" si="91"/>
        <v>0</v>
      </c>
      <c r="AZ70" s="776">
        <f t="shared" si="91"/>
        <v>0</v>
      </c>
      <c r="BA70" s="776">
        <f t="shared" si="91"/>
        <v>0</v>
      </c>
      <c r="BB70" s="776">
        <f t="shared" si="91"/>
        <v>0</v>
      </c>
      <c r="BC70" s="776">
        <f t="shared" si="91"/>
        <v>0</v>
      </c>
      <c r="BD70" s="776">
        <f t="shared" si="91"/>
        <v>5117842.6255454523</v>
      </c>
      <c r="BE70" s="776">
        <f t="shared" si="91"/>
        <v>0</v>
      </c>
      <c r="BF70" s="776">
        <f t="shared" si="91"/>
        <v>0</v>
      </c>
      <c r="BG70" s="776">
        <f t="shared" si="91"/>
        <v>0</v>
      </c>
      <c r="BH70" s="776">
        <f t="shared" si="91"/>
        <v>0</v>
      </c>
      <c r="BI70" s="776">
        <f t="shared" si="91"/>
        <v>0</v>
      </c>
      <c r="BJ70" s="776">
        <f t="shared" si="91"/>
        <v>0</v>
      </c>
      <c r="BK70" s="776">
        <f t="shared" si="91"/>
        <v>0</v>
      </c>
      <c r="BL70" s="776">
        <f t="shared" si="91"/>
        <v>0</v>
      </c>
      <c r="BM70" s="776">
        <f t="shared" si="91"/>
        <v>0</v>
      </c>
      <c r="BN70" s="776">
        <f t="shared" si="91"/>
        <v>0</v>
      </c>
      <c r="BO70" s="776">
        <f t="shared" si="91"/>
        <v>0</v>
      </c>
      <c r="BP70" s="776">
        <f t="shared" si="91"/>
        <v>0</v>
      </c>
      <c r="BQ70" s="776">
        <f t="shared" si="91"/>
        <v>0</v>
      </c>
      <c r="BR70" s="776">
        <f t="shared" si="91"/>
        <v>0</v>
      </c>
      <c r="BS70" s="776">
        <f t="shared" si="91"/>
        <v>0</v>
      </c>
      <c r="BT70" s="776">
        <f t="shared" si="91"/>
        <v>0</v>
      </c>
      <c r="BU70" s="776">
        <f t="shared" si="92"/>
        <v>0</v>
      </c>
      <c r="BV70" s="776">
        <f t="shared" si="92"/>
        <v>0</v>
      </c>
      <c r="BW70" s="776">
        <f t="shared" si="92"/>
        <v>0</v>
      </c>
      <c r="BX70" s="776">
        <f t="shared" si="92"/>
        <v>0</v>
      </c>
      <c r="BY70" s="776">
        <f t="shared" si="92"/>
        <v>0</v>
      </c>
      <c r="BZ70" s="776">
        <f t="shared" si="92"/>
        <v>0</v>
      </c>
      <c r="CA70" s="776">
        <f t="shared" si="92"/>
        <v>0</v>
      </c>
      <c r="CB70" s="776">
        <f t="shared" si="92"/>
        <v>0</v>
      </c>
      <c r="CC70" s="776">
        <f t="shared" si="92"/>
        <v>0</v>
      </c>
      <c r="CD70" s="776">
        <f t="shared" si="92"/>
        <v>0</v>
      </c>
      <c r="CE70" s="776">
        <f t="shared" si="92"/>
        <v>0</v>
      </c>
      <c r="CF70" s="776">
        <f t="shared" si="92"/>
        <v>0</v>
      </c>
      <c r="CG70" s="776">
        <f t="shared" si="92"/>
        <v>0</v>
      </c>
      <c r="CH70" s="776">
        <f t="shared" si="92"/>
        <v>0</v>
      </c>
      <c r="CI70" s="776">
        <f t="shared" si="92"/>
        <v>0</v>
      </c>
      <c r="CJ70" s="776">
        <f t="shared" si="92"/>
        <v>0</v>
      </c>
      <c r="CK70" s="776">
        <f t="shared" si="92"/>
        <v>0</v>
      </c>
      <c r="CL70" s="776">
        <f t="shared" si="92"/>
        <v>0</v>
      </c>
      <c r="CM70" s="776">
        <f t="shared" si="92"/>
        <v>0</v>
      </c>
      <c r="CN70" s="776">
        <f t="shared" si="92"/>
        <v>0</v>
      </c>
      <c r="CO70" s="776">
        <f t="shared" si="92"/>
        <v>0</v>
      </c>
      <c r="CP70" s="776">
        <f t="shared" si="92"/>
        <v>0</v>
      </c>
      <c r="CQ70" s="776">
        <f t="shared" si="92"/>
        <v>0</v>
      </c>
      <c r="CR70" s="776">
        <f t="shared" si="92"/>
        <v>0</v>
      </c>
      <c r="CS70" s="776">
        <f t="shared" si="92"/>
        <v>0</v>
      </c>
      <c r="CT70" s="776">
        <f t="shared" si="92"/>
        <v>0</v>
      </c>
      <c r="CU70" s="776">
        <f t="shared" si="92"/>
        <v>0</v>
      </c>
      <c r="CV70" s="776">
        <f t="shared" si="92"/>
        <v>0</v>
      </c>
      <c r="CW70" s="776">
        <f t="shared" si="92"/>
        <v>0</v>
      </c>
      <c r="CX70" s="776">
        <f t="shared" si="92"/>
        <v>0</v>
      </c>
      <c r="CY70" s="776">
        <f t="shared" si="92"/>
        <v>0</v>
      </c>
      <c r="CZ70" s="776">
        <f t="shared" si="92"/>
        <v>0</v>
      </c>
      <c r="DA70" s="776">
        <f t="shared" si="92"/>
        <v>0</v>
      </c>
      <c r="DB70" s="776">
        <f t="shared" si="92"/>
        <v>0</v>
      </c>
      <c r="DC70" s="776">
        <f t="shared" si="92"/>
        <v>0</v>
      </c>
      <c r="DD70" s="776">
        <f t="shared" si="92"/>
        <v>0</v>
      </c>
      <c r="DE70" s="776">
        <f t="shared" si="92"/>
        <v>0</v>
      </c>
      <c r="DF70" s="776">
        <f t="shared" si="92"/>
        <v>0</v>
      </c>
      <c r="DG70" s="776">
        <f t="shared" si="92"/>
        <v>0</v>
      </c>
      <c r="DH70" s="776">
        <f t="shared" si="92"/>
        <v>0</v>
      </c>
      <c r="DI70" s="776">
        <f t="shared" si="92"/>
        <v>0</v>
      </c>
      <c r="DJ70" s="776">
        <f t="shared" si="92"/>
        <v>0</v>
      </c>
      <c r="DK70" s="776">
        <f t="shared" si="92"/>
        <v>0</v>
      </c>
      <c r="DL70" s="776">
        <f t="shared" si="92"/>
        <v>0</v>
      </c>
      <c r="DM70" s="776">
        <f t="shared" si="92"/>
        <v>0</v>
      </c>
      <c r="DN70" s="776">
        <f t="shared" si="92"/>
        <v>0</v>
      </c>
      <c r="DO70" s="776">
        <f t="shared" si="92"/>
        <v>0</v>
      </c>
      <c r="DP70" s="776">
        <f t="shared" si="92"/>
        <v>0</v>
      </c>
      <c r="DQ70" s="776">
        <f t="shared" si="92"/>
        <v>0</v>
      </c>
      <c r="DR70" s="776">
        <f t="shared" si="92"/>
        <v>0</v>
      </c>
      <c r="DS70" s="776">
        <f t="shared" si="92"/>
        <v>0</v>
      </c>
      <c r="DT70" s="776">
        <f t="shared" si="92"/>
        <v>0</v>
      </c>
      <c r="DU70" s="776">
        <f t="shared" si="92"/>
        <v>0</v>
      </c>
      <c r="DV70" s="776">
        <f t="shared" si="92"/>
        <v>0</v>
      </c>
      <c r="DW70" s="776">
        <f t="shared" si="92"/>
        <v>0</v>
      </c>
      <c r="DX70" s="776">
        <f t="shared" si="92"/>
        <v>0</v>
      </c>
      <c r="DY70" s="776">
        <f t="shared" si="92"/>
        <v>0</v>
      </c>
      <c r="DZ70" s="776">
        <f t="shared" si="92"/>
        <v>0</v>
      </c>
      <c r="EA70" s="776">
        <f t="shared" si="92"/>
        <v>0</v>
      </c>
      <c r="EB70" s="776">
        <f t="shared" si="92"/>
        <v>0</v>
      </c>
      <c r="EC70" s="776">
        <f t="shared" si="92"/>
        <v>0</v>
      </c>
      <c r="ED70" s="776">
        <f t="shared" si="92"/>
        <v>0</v>
      </c>
      <c r="EE70" s="776">
        <f t="shared" si="92"/>
        <v>0</v>
      </c>
      <c r="EF70" s="776">
        <f t="shared" si="92"/>
        <v>0</v>
      </c>
      <c r="EG70" s="776">
        <f t="shared" si="93"/>
        <v>0</v>
      </c>
      <c r="EH70" s="776">
        <f t="shared" si="93"/>
        <v>0</v>
      </c>
      <c r="EI70" s="776">
        <f t="shared" si="93"/>
        <v>0</v>
      </c>
      <c r="EJ70" s="776">
        <f t="shared" si="93"/>
        <v>0</v>
      </c>
      <c r="EK70" s="776">
        <f t="shared" si="93"/>
        <v>0</v>
      </c>
      <c r="EL70" s="776">
        <f t="shared" si="93"/>
        <v>0</v>
      </c>
      <c r="EM70" s="776">
        <f t="shared" si="93"/>
        <v>0</v>
      </c>
      <c r="EN70" s="776">
        <f t="shared" si="93"/>
        <v>0</v>
      </c>
      <c r="EO70" s="776">
        <f t="shared" si="93"/>
        <v>0</v>
      </c>
      <c r="EP70" s="776">
        <f t="shared" si="93"/>
        <v>0</v>
      </c>
      <c r="EQ70" s="776">
        <f t="shared" si="93"/>
        <v>0</v>
      </c>
      <c r="ER70" s="776">
        <f t="shared" si="93"/>
        <v>0</v>
      </c>
      <c r="ES70" s="776">
        <f t="shared" si="93"/>
        <v>0</v>
      </c>
      <c r="ET70" s="776">
        <f t="shared" si="93"/>
        <v>0</v>
      </c>
      <c r="EU70" s="776">
        <f t="shared" si="93"/>
        <v>0</v>
      </c>
      <c r="EV70" s="776">
        <f t="shared" si="93"/>
        <v>0</v>
      </c>
      <c r="EW70" s="776">
        <f t="shared" si="93"/>
        <v>0</v>
      </c>
      <c r="EX70" s="776">
        <f t="shared" si="93"/>
        <v>0</v>
      </c>
      <c r="EY70" s="776">
        <f t="shared" si="93"/>
        <v>0</v>
      </c>
      <c r="EZ70" s="776">
        <f t="shared" si="93"/>
        <v>0</v>
      </c>
      <c r="FA70" s="776">
        <f t="shared" si="93"/>
        <v>0</v>
      </c>
      <c r="FB70" s="776">
        <f t="shared" si="93"/>
        <v>0</v>
      </c>
      <c r="FD70" s="758">
        <f>SUM(I70:FB70)</f>
        <v>5117842.6255454523</v>
      </c>
      <c r="FF70" s="772"/>
    </row>
    <row r="71" spans="2:162" s="692" customFormat="1">
      <c r="B71" s="699" t="s">
        <v>352</v>
      </c>
      <c r="E71" s="777" t="str">
        <f>TEXT(XIRR($I71:$FB71,$I$17:$FB$17),"#0.0%")&amp;" / "&amp;TEXT(((FD71-SUMIF(I71:FB71,"&lt;0")))/-SUMIF(I71:FB71,"&lt;0"),"#0.00x")</f>
        <v>25.5% / 2.32x</v>
      </c>
      <c r="G71" s="778">
        <f>SUM(G68:G70)</f>
        <v>24992810.374513429</v>
      </c>
      <c r="I71" s="779">
        <f t="shared" ref="I71:BT71" si="94">SUM(I68:I70)</f>
        <v>-18868708.075340457</v>
      </c>
      <c r="J71" s="780">
        <f t="shared" si="94"/>
        <v>52248.378085041855</v>
      </c>
      <c r="K71" s="780">
        <f t="shared" si="94"/>
        <v>52453.132601852383</v>
      </c>
      <c r="L71" s="780">
        <f t="shared" si="94"/>
        <v>52055.327475223952</v>
      </c>
      <c r="M71" s="780">
        <f t="shared" si="94"/>
        <v>43925.130756638217</v>
      </c>
      <c r="N71" s="780">
        <f t="shared" si="94"/>
        <v>52431.611588304891</v>
      </c>
      <c r="O71" s="780">
        <f t="shared" si="94"/>
        <v>44288.871479473804</v>
      </c>
      <c r="P71" s="780">
        <f t="shared" si="94"/>
        <v>44150.745894091116</v>
      </c>
      <c r="Q71" s="780">
        <f t="shared" si="94"/>
        <v>69011.525563054631</v>
      </c>
      <c r="R71" s="780">
        <f t="shared" si="94"/>
        <v>43976.401704510703</v>
      </c>
      <c r="S71" s="780">
        <f t="shared" si="94"/>
        <v>52259.628806689492</v>
      </c>
      <c r="T71" s="780">
        <f t="shared" si="94"/>
        <v>43931.051225175412</v>
      </c>
      <c r="U71" s="780">
        <f t="shared" si="94"/>
        <v>73419.685932164633</v>
      </c>
      <c r="V71" s="780">
        <f t="shared" si="94"/>
        <v>60212.279223237856</v>
      </c>
      <c r="W71" s="780">
        <f t="shared" si="94"/>
        <v>55656.937486443407</v>
      </c>
      <c r="X71" s="780">
        <f t="shared" si="94"/>
        <v>65196.079574831267</v>
      </c>
      <c r="Y71" s="780">
        <f t="shared" si="94"/>
        <v>67708.460962565063</v>
      </c>
      <c r="Z71" s="780">
        <f t="shared" si="94"/>
        <v>77453.928359410231</v>
      </c>
      <c r="AA71" s="780">
        <f t="shared" si="94"/>
        <v>70615.55603208908</v>
      </c>
      <c r="AB71" s="780">
        <f t="shared" si="94"/>
        <v>91232.142409103661</v>
      </c>
      <c r="AC71" s="780">
        <f t="shared" si="94"/>
        <v>109261.06655539607</v>
      </c>
      <c r="AD71" s="780">
        <f t="shared" si="94"/>
        <v>94315.834280997195</v>
      </c>
      <c r="AE71" s="780">
        <f t="shared" si="94"/>
        <v>104357.85712078572</v>
      </c>
      <c r="AF71" s="780">
        <f t="shared" si="94"/>
        <v>97749.834625190852</v>
      </c>
      <c r="AG71" s="780">
        <f t="shared" si="94"/>
        <v>107769.6689900971</v>
      </c>
      <c r="AH71" s="780">
        <f t="shared" si="94"/>
        <v>100417.64617236776</v>
      </c>
      <c r="AI71" s="780">
        <f t="shared" si="94"/>
        <v>101754.47180674298</v>
      </c>
      <c r="AJ71" s="780">
        <f t="shared" si="94"/>
        <v>111760.19672159452</v>
      </c>
      <c r="AK71" s="780">
        <f t="shared" si="94"/>
        <v>105094.72318791444</v>
      </c>
      <c r="AL71" s="780">
        <f t="shared" si="94"/>
        <v>115049.38924372799</v>
      </c>
      <c r="AM71" s="780">
        <f t="shared" si="94"/>
        <v>108311.27521083484</v>
      </c>
      <c r="AN71" s="780">
        <f t="shared" si="94"/>
        <v>109846.08033182289</v>
      </c>
      <c r="AO71" s="780">
        <f t="shared" si="94"/>
        <v>136108.60043032336</v>
      </c>
      <c r="AP71" s="780">
        <f t="shared" si="94"/>
        <v>112287.43733377583</v>
      </c>
      <c r="AQ71" s="780">
        <f t="shared" si="94"/>
        <v>121989.80158245491</v>
      </c>
      <c r="AR71" s="780">
        <f t="shared" si="94"/>
        <v>115032.76004343168</v>
      </c>
      <c r="AS71" s="780">
        <f t="shared" si="94"/>
        <v>124673.74039280156</v>
      </c>
      <c r="AT71" s="780">
        <f t="shared" si="94"/>
        <v>117629.24165548748</v>
      </c>
      <c r="AU71" s="780">
        <f t="shared" si="94"/>
        <v>118323.45879980075</v>
      </c>
      <c r="AV71" s="780">
        <f t="shared" si="94"/>
        <v>127610.72835044793</v>
      </c>
      <c r="AW71" s="780">
        <f t="shared" si="94"/>
        <v>120516.11803272038</v>
      </c>
      <c r="AX71" s="780">
        <f t="shared" si="94"/>
        <v>130052.57838772182</v>
      </c>
      <c r="AY71" s="780">
        <f t="shared" si="94"/>
        <v>122947.69082828306</v>
      </c>
      <c r="AZ71" s="780">
        <f t="shared" si="94"/>
        <v>124145.7100161064</v>
      </c>
      <c r="BA71" s="780">
        <f t="shared" si="94"/>
        <v>150293.64168869078</v>
      </c>
      <c r="BB71" s="780">
        <f t="shared" si="94"/>
        <v>126347.61360034774</v>
      </c>
      <c r="BC71" s="780">
        <f t="shared" si="94"/>
        <v>135587.25106696974</v>
      </c>
      <c r="BD71" s="780">
        <f t="shared" si="94"/>
        <v>39600057.158237144</v>
      </c>
      <c r="BE71" s="780">
        <f t="shared" si="94"/>
        <v>0</v>
      </c>
      <c r="BF71" s="780">
        <f t="shared" si="94"/>
        <v>0</v>
      </c>
      <c r="BG71" s="780">
        <f t="shared" si="94"/>
        <v>0</v>
      </c>
      <c r="BH71" s="780">
        <f t="shared" si="94"/>
        <v>0</v>
      </c>
      <c r="BI71" s="780">
        <f t="shared" si="94"/>
        <v>0</v>
      </c>
      <c r="BJ71" s="780">
        <f t="shared" si="94"/>
        <v>0</v>
      </c>
      <c r="BK71" s="780">
        <f t="shared" si="94"/>
        <v>0</v>
      </c>
      <c r="BL71" s="780">
        <f t="shared" si="94"/>
        <v>0</v>
      </c>
      <c r="BM71" s="780">
        <f t="shared" si="94"/>
        <v>0</v>
      </c>
      <c r="BN71" s="780">
        <f t="shared" si="94"/>
        <v>0</v>
      </c>
      <c r="BO71" s="780">
        <f t="shared" si="94"/>
        <v>0</v>
      </c>
      <c r="BP71" s="780">
        <f t="shared" si="94"/>
        <v>0</v>
      </c>
      <c r="BQ71" s="780">
        <f t="shared" si="94"/>
        <v>0</v>
      </c>
      <c r="BR71" s="780">
        <f t="shared" si="94"/>
        <v>0</v>
      </c>
      <c r="BS71" s="780">
        <f t="shared" si="94"/>
        <v>0</v>
      </c>
      <c r="BT71" s="780">
        <f t="shared" si="94"/>
        <v>0</v>
      </c>
      <c r="BU71" s="780">
        <f t="shared" ref="BU71:EF71" si="95">SUM(BU68:BU70)</f>
        <v>0</v>
      </c>
      <c r="BV71" s="780">
        <f t="shared" si="95"/>
        <v>0</v>
      </c>
      <c r="BW71" s="780">
        <f t="shared" si="95"/>
        <v>0</v>
      </c>
      <c r="BX71" s="780">
        <f t="shared" si="95"/>
        <v>0</v>
      </c>
      <c r="BY71" s="780">
        <f t="shared" si="95"/>
        <v>0</v>
      </c>
      <c r="BZ71" s="780">
        <f t="shared" si="95"/>
        <v>0</v>
      </c>
      <c r="CA71" s="780">
        <f t="shared" si="95"/>
        <v>0</v>
      </c>
      <c r="CB71" s="780">
        <f t="shared" si="95"/>
        <v>0</v>
      </c>
      <c r="CC71" s="780">
        <f t="shared" si="95"/>
        <v>0</v>
      </c>
      <c r="CD71" s="780">
        <f t="shared" si="95"/>
        <v>0</v>
      </c>
      <c r="CE71" s="780">
        <f t="shared" si="95"/>
        <v>0</v>
      </c>
      <c r="CF71" s="780">
        <f t="shared" si="95"/>
        <v>0</v>
      </c>
      <c r="CG71" s="780">
        <f t="shared" si="95"/>
        <v>0</v>
      </c>
      <c r="CH71" s="780">
        <f t="shared" si="95"/>
        <v>0</v>
      </c>
      <c r="CI71" s="780">
        <f t="shared" si="95"/>
        <v>0</v>
      </c>
      <c r="CJ71" s="780">
        <f t="shared" si="95"/>
        <v>0</v>
      </c>
      <c r="CK71" s="780">
        <f t="shared" si="95"/>
        <v>0</v>
      </c>
      <c r="CL71" s="780">
        <f t="shared" si="95"/>
        <v>0</v>
      </c>
      <c r="CM71" s="780">
        <f t="shared" si="95"/>
        <v>0</v>
      </c>
      <c r="CN71" s="780">
        <f t="shared" si="95"/>
        <v>0</v>
      </c>
      <c r="CO71" s="780">
        <f t="shared" si="95"/>
        <v>0</v>
      </c>
      <c r="CP71" s="780">
        <f t="shared" si="95"/>
        <v>0</v>
      </c>
      <c r="CQ71" s="780">
        <f t="shared" si="95"/>
        <v>0</v>
      </c>
      <c r="CR71" s="780">
        <f t="shared" si="95"/>
        <v>0</v>
      </c>
      <c r="CS71" s="780">
        <f t="shared" si="95"/>
        <v>0</v>
      </c>
      <c r="CT71" s="780">
        <f t="shared" si="95"/>
        <v>0</v>
      </c>
      <c r="CU71" s="780">
        <f t="shared" si="95"/>
        <v>0</v>
      </c>
      <c r="CV71" s="780">
        <f t="shared" si="95"/>
        <v>0</v>
      </c>
      <c r="CW71" s="780">
        <f t="shared" si="95"/>
        <v>0</v>
      </c>
      <c r="CX71" s="780">
        <f t="shared" si="95"/>
        <v>0</v>
      </c>
      <c r="CY71" s="780">
        <f t="shared" si="95"/>
        <v>0</v>
      </c>
      <c r="CZ71" s="780">
        <f t="shared" si="95"/>
        <v>0</v>
      </c>
      <c r="DA71" s="780">
        <f t="shared" si="95"/>
        <v>0</v>
      </c>
      <c r="DB71" s="780">
        <f t="shared" si="95"/>
        <v>0</v>
      </c>
      <c r="DC71" s="780">
        <f t="shared" si="95"/>
        <v>0</v>
      </c>
      <c r="DD71" s="780">
        <f t="shared" si="95"/>
        <v>0</v>
      </c>
      <c r="DE71" s="780">
        <f t="shared" si="95"/>
        <v>0</v>
      </c>
      <c r="DF71" s="780">
        <f t="shared" si="95"/>
        <v>0</v>
      </c>
      <c r="DG71" s="780">
        <f t="shared" si="95"/>
        <v>0</v>
      </c>
      <c r="DH71" s="780">
        <f t="shared" si="95"/>
        <v>0</v>
      </c>
      <c r="DI71" s="780">
        <f t="shared" si="95"/>
        <v>0</v>
      </c>
      <c r="DJ71" s="780">
        <f t="shared" si="95"/>
        <v>0</v>
      </c>
      <c r="DK71" s="780">
        <f t="shared" si="95"/>
        <v>0</v>
      </c>
      <c r="DL71" s="780">
        <f t="shared" si="95"/>
        <v>0</v>
      </c>
      <c r="DM71" s="780">
        <f t="shared" si="95"/>
        <v>0</v>
      </c>
      <c r="DN71" s="780">
        <f t="shared" si="95"/>
        <v>0</v>
      </c>
      <c r="DO71" s="780">
        <f t="shared" si="95"/>
        <v>0</v>
      </c>
      <c r="DP71" s="780">
        <f t="shared" si="95"/>
        <v>0</v>
      </c>
      <c r="DQ71" s="780">
        <f t="shared" si="95"/>
        <v>0</v>
      </c>
      <c r="DR71" s="780">
        <f t="shared" si="95"/>
        <v>0</v>
      </c>
      <c r="DS71" s="780">
        <f t="shared" si="95"/>
        <v>0</v>
      </c>
      <c r="DT71" s="780">
        <f t="shared" si="95"/>
        <v>0</v>
      </c>
      <c r="DU71" s="780">
        <f t="shared" si="95"/>
        <v>0</v>
      </c>
      <c r="DV71" s="780">
        <f t="shared" si="95"/>
        <v>0</v>
      </c>
      <c r="DW71" s="780">
        <f t="shared" si="95"/>
        <v>0</v>
      </c>
      <c r="DX71" s="780">
        <f t="shared" si="95"/>
        <v>0</v>
      </c>
      <c r="DY71" s="780">
        <f t="shared" si="95"/>
        <v>0</v>
      </c>
      <c r="DZ71" s="780">
        <f t="shared" si="95"/>
        <v>0</v>
      </c>
      <c r="EA71" s="780">
        <f t="shared" si="95"/>
        <v>0</v>
      </c>
      <c r="EB71" s="780">
        <f t="shared" si="95"/>
        <v>0</v>
      </c>
      <c r="EC71" s="780">
        <f t="shared" si="95"/>
        <v>0</v>
      </c>
      <c r="ED71" s="780">
        <f t="shared" si="95"/>
        <v>0</v>
      </c>
      <c r="EE71" s="780">
        <f t="shared" si="95"/>
        <v>0</v>
      </c>
      <c r="EF71" s="780">
        <f t="shared" si="95"/>
        <v>0</v>
      </c>
      <c r="EG71" s="780">
        <f t="shared" ref="EG71:FB71" si="96">SUM(EG68:EG70)</f>
        <v>0</v>
      </c>
      <c r="EH71" s="780">
        <f t="shared" si="96"/>
        <v>0</v>
      </c>
      <c r="EI71" s="780">
        <f t="shared" si="96"/>
        <v>0</v>
      </c>
      <c r="EJ71" s="780">
        <f t="shared" si="96"/>
        <v>0</v>
      </c>
      <c r="EK71" s="780">
        <f t="shared" si="96"/>
        <v>0</v>
      </c>
      <c r="EL71" s="780">
        <f t="shared" si="96"/>
        <v>0</v>
      </c>
      <c r="EM71" s="780">
        <f t="shared" si="96"/>
        <v>0</v>
      </c>
      <c r="EN71" s="780">
        <f t="shared" si="96"/>
        <v>0</v>
      </c>
      <c r="EO71" s="780">
        <f t="shared" si="96"/>
        <v>0</v>
      </c>
      <c r="EP71" s="780">
        <f t="shared" si="96"/>
        <v>0</v>
      </c>
      <c r="EQ71" s="780">
        <f t="shared" si="96"/>
        <v>0</v>
      </c>
      <c r="ER71" s="780">
        <f t="shared" si="96"/>
        <v>0</v>
      </c>
      <c r="ES71" s="780">
        <f t="shared" si="96"/>
        <v>0</v>
      </c>
      <c r="ET71" s="780">
        <f t="shared" si="96"/>
        <v>0</v>
      </c>
      <c r="EU71" s="780">
        <f t="shared" si="96"/>
        <v>0</v>
      </c>
      <c r="EV71" s="780">
        <f t="shared" si="96"/>
        <v>0</v>
      </c>
      <c r="EW71" s="780">
        <f t="shared" si="96"/>
        <v>0</v>
      </c>
      <c r="EX71" s="780">
        <f t="shared" si="96"/>
        <v>0</v>
      </c>
      <c r="EY71" s="780">
        <f t="shared" si="96"/>
        <v>0</v>
      </c>
      <c r="EZ71" s="780">
        <f t="shared" si="96"/>
        <v>0</v>
      </c>
      <c r="FA71" s="780">
        <f t="shared" si="96"/>
        <v>0</v>
      </c>
      <c r="FB71" s="781">
        <f t="shared" si="96"/>
        <v>0</v>
      </c>
      <c r="FD71" s="778">
        <f>SUM(FD68:FD70)</f>
        <v>24992810.374513429</v>
      </c>
    </row>
    <row r="72" spans="2:162" s="692" customFormat="1" ht="12.75" customHeight="1"/>
    <row r="73" spans="2:162" s="692" customFormat="1">
      <c r="B73" s="773" t="s">
        <v>388</v>
      </c>
      <c r="C73" s="774">
        <f>SUM(C69:C70)</f>
        <v>0.52211873900475503</v>
      </c>
      <c r="D73" s="756"/>
      <c r="E73" s="775" t="str">
        <f>IF($C$5&gt;0,TEXT(XIRR($I73:$FB73,$I$17:$FB$17),"#0.0%")&amp;" / "&amp;TEXT(((FD73-SUMIF(I73:FB73,"&lt;0")))/-SUMIF(I73:FB73,"&lt;0"),"#0.00x"),"n/m")</f>
        <v>36.1% / 3.18x</v>
      </c>
      <c r="F73" s="756"/>
      <c r="G73" s="758">
        <f>SUM(I73:FB73)</f>
        <v>13049214.63692591</v>
      </c>
      <c r="I73" s="776">
        <f t="shared" ref="I73:BT73" si="97">SUM(I69:I70)</f>
        <v>-5987911.7585061612</v>
      </c>
      <c r="J73" s="776">
        <f t="shared" si="97"/>
        <v>16580.821339176538</v>
      </c>
      <c r="K73" s="776">
        <f t="shared" si="97"/>
        <v>16645.799395645565</v>
      </c>
      <c r="L73" s="776">
        <f t="shared" si="97"/>
        <v>16519.557472466655</v>
      </c>
      <c r="M73" s="776">
        <f t="shared" si="97"/>
        <v>13939.470890184346</v>
      </c>
      <c r="N73" s="776">
        <f t="shared" si="97"/>
        <v>16638.969784971559</v>
      </c>
      <c r="O73" s="776">
        <f t="shared" si="97"/>
        <v>14054.902606156529</v>
      </c>
      <c r="P73" s="776">
        <f t="shared" si="97"/>
        <v>14011.068984185111</v>
      </c>
      <c r="Q73" s="776">
        <f t="shared" si="97"/>
        <v>21900.541560209978</v>
      </c>
      <c r="R73" s="776">
        <f t="shared" si="97"/>
        <v>13955.741527814096</v>
      </c>
      <c r="S73" s="776">
        <f t="shared" si="97"/>
        <v>16584.391712313722</v>
      </c>
      <c r="T73" s="776">
        <f t="shared" si="97"/>
        <v>13941.349728047977</v>
      </c>
      <c r="U73" s="776">
        <f t="shared" si="97"/>
        <v>23299.454257474674</v>
      </c>
      <c r="V73" s="776">
        <f t="shared" si="97"/>
        <v>19108.134660182699</v>
      </c>
      <c r="W73" s="776">
        <f t="shared" si="97"/>
        <v>17662.514523348123</v>
      </c>
      <c r="X73" s="776">
        <f t="shared" si="97"/>
        <v>20689.724486481118</v>
      </c>
      <c r="Y73" s="776">
        <f t="shared" si="97"/>
        <v>21487.019033272278</v>
      </c>
      <c r="Z73" s="776">
        <f t="shared" si="97"/>
        <v>24579.705537547143</v>
      </c>
      <c r="AA73" s="776">
        <f t="shared" si="97"/>
        <v>22409.574445142152</v>
      </c>
      <c r="AB73" s="776">
        <f t="shared" si="97"/>
        <v>28952.168643656511</v>
      </c>
      <c r="AC73" s="776">
        <f t="shared" si="97"/>
        <v>34673.578210106236</v>
      </c>
      <c r="AD73" s="776">
        <f t="shared" si="97"/>
        <v>29930.766369880967</v>
      </c>
      <c r="AE73" s="776">
        <f t="shared" si="97"/>
        <v>33117.563600590263</v>
      </c>
      <c r="AF73" s="776">
        <f t="shared" si="97"/>
        <v>31020.533139158855</v>
      </c>
      <c r="AG73" s="776">
        <f t="shared" si="97"/>
        <v>34200.288942912986</v>
      </c>
      <c r="AH73" s="776">
        <f t="shared" si="97"/>
        <v>31867.152847780901</v>
      </c>
      <c r="AI73" s="776">
        <f t="shared" si="97"/>
        <v>32291.389308654936</v>
      </c>
      <c r="AJ73" s="776">
        <f t="shared" si="97"/>
        <v>35466.667532833861</v>
      </c>
      <c r="AK73" s="776">
        <f t="shared" si="97"/>
        <v>33351.405205971329</v>
      </c>
      <c r="AL73" s="776">
        <f t="shared" si="97"/>
        <v>36510.480098094413</v>
      </c>
      <c r="AM73" s="776">
        <f t="shared" si="97"/>
        <v>34372.165588875512</v>
      </c>
      <c r="AN73" s="776">
        <f t="shared" si="97"/>
        <v>34859.230076506792</v>
      </c>
      <c r="AO73" s="776">
        <f t="shared" si="97"/>
        <v>43193.539573368194</v>
      </c>
      <c r="AP73" s="776">
        <f t="shared" si="97"/>
        <v>35633.9853083083</v>
      </c>
      <c r="AQ73" s="776">
        <f t="shared" si="97"/>
        <v>38712.993194698895</v>
      </c>
      <c r="AR73" s="776">
        <f t="shared" si="97"/>
        <v>36505.202885495055</v>
      </c>
      <c r="AS73" s="776">
        <f t="shared" si="97"/>
        <v>39564.730828108426</v>
      </c>
      <c r="AT73" s="776">
        <f t="shared" si="97"/>
        <v>37329.186314222374</v>
      </c>
      <c r="AU73" s="776">
        <f t="shared" si="97"/>
        <v>37549.493448382906</v>
      </c>
      <c r="AV73" s="776">
        <f t="shared" si="97"/>
        <v>40496.772632770473</v>
      </c>
      <c r="AW73" s="776">
        <f t="shared" si="97"/>
        <v>38245.325402047791</v>
      </c>
      <c r="AX73" s="776">
        <f t="shared" si="97"/>
        <v>41271.684327430165</v>
      </c>
      <c r="AY73" s="776">
        <f t="shared" si="97"/>
        <v>39016.975653674825</v>
      </c>
      <c r="AZ73" s="776">
        <f t="shared" si="97"/>
        <v>39397.162423910493</v>
      </c>
      <c r="BA73" s="776">
        <f t="shared" si="97"/>
        <v>47695.107725608563</v>
      </c>
      <c r="BB73" s="776">
        <f t="shared" si="97"/>
        <v>40095.928036825288</v>
      </c>
      <c r="BC73" s="776">
        <f t="shared" si="97"/>
        <v>43028.091362995234</v>
      </c>
      <c r="BD73" s="776">
        <f t="shared" si="97"/>
        <v>17684768.08480458</v>
      </c>
      <c r="BE73" s="776">
        <f t="shared" si="97"/>
        <v>0</v>
      </c>
      <c r="BF73" s="776">
        <f t="shared" si="97"/>
        <v>0</v>
      </c>
      <c r="BG73" s="776">
        <f t="shared" si="97"/>
        <v>0</v>
      </c>
      <c r="BH73" s="776">
        <f t="shared" si="97"/>
        <v>0</v>
      </c>
      <c r="BI73" s="776">
        <f t="shared" si="97"/>
        <v>0</v>
      </c>
      <c r="BJ73" s="776">
        <f t="shared" si="97"/>
        <v>0</v>
      </c>
      <c r="BK73" s="776">
        <f t="shared" si="97"/>
        <v>0</v>
      </c>
      <c r="BL73" s="776">
        <f t="shared" si="97"/>
        <v>0</v>
      </c>
      <c r="BM73" s="776">
        <f t="shared" si="97"/>
        <v>0</v>
      </c>
      <c r="BN73" s="776">
        <f t="shared" si="97"/>
        <v>0</v>
      </c>
      <c r="BO73" s="776">
        <f t="shared" si="97"/>
        <v>0</v>
      </c>
      <c r="BP73" s="776">
        <f t="shared" si="97"/>
        <v>0</v>
      </c>
      <c r="BQ73" s="776">
        <f t="shared" si="97"/>
        <v>0</v>
      </c>
      <c r="BR73" s="776">
        <f t="shared" si="97"/>
        <v>0</v>
      </c>
      <c r="BS73" s="776">
        <f t="shared" si="97"/>
        <v>0</v>
      </c>
      <c r="BT73" s="776">
        <f t="shared" si="97"/>
        <v>0</v>
      </c>
      <c r="BU73" s="776">
        <f t="shared" ref="BU73:EF73" si="98">SUM(BU69:BU70)</f>
        <v>0</v>
      </c>
      <c r="BV73" s="776">
        <f t="shared" si="98"/>
        <v>0</v>
      </c>
      <c r="BW73" s="776">
        <f t="shared" si="98"/>
        <v>0</v>
      </c>
      <c r="BX73" s="776">
        <f t="shared" si="98"/>
        <v>0</v>
      </c>
      <c r="BY73" s="776">
        <f t="shared" si="98"/>
        <v>0</v>
      </c>
      <c r="BZ73" s="776">
        <f t="shared" si="98"/>
        <v>0</v>
      </c>
      <c r="CA73" s="776">
        <f t="shared" si="98"/>
        <v>0</v>
      </c>
      <c r="CB73" s="776">
        <f t="shared" si="98"/>
        <v>0</v>
      </c>
      <c r="CC73" s="776">
        <f t="shared" si="98"/>
        <v>0</v>
      </c>
      <c r="CD73" s="776">
        <f t="shared" si="98"/>
        <v>0</v>
      </c>
      <c r="CE73" s="776">
        <f t="shared" si="98"/>
        <v>0</v>
      </c>
      <c r="CF73" s="776">
        <f t="shared" si="98"/>
        <v>0</v>
      </c>
      <c r="CG73" s="776">
        <f t="shared" si="98"/>
        <v>0</v>
      </c>
      <c r="CH73" s="776">
        <f t="shared" si="98"/>
        <v>0</v>
      </c>
      <c r="CI73" s="776">
        <f t="shared" si="98"/>
        <v>0</v>
      </c>
      <c r="CJ73" s="776">
        <f t="shared" si="98"/>
        <v>0</v>
      </c>
      <c r="CK73" s="776">
        <f t="shared" si="98"/>
        <v>0</v>
      </c>
      <c r="CL73" s="776">
        <f t="shared" si="98"/>
        <v>0</v>
      </c>
      <c r="CM73" s="776">
        <f t="shared" si="98"/>
        <v>0</v>
      </c>
      <c r="CN73" s="776">
        <f t="shared" si="98"/>
        <v>0</v>
      </c>
      <c r="CO73" s="776">
        <f t="shared" si="98"/>
        <v>0</v>
      </c>
      <c r="CP73" s="776">
        <f t="shared" si="98"/>
        <v>0</v>
      </c>
      <c r="CQ73" s="776">
        <f t="shared" si="98"/>
        <v>0</v>
      </c>
      <c r="CR73" s="776">
        <f t="shared" si="98"/>
        <v>0</v>
      </c>
      <c r="CS73" s="776">
        <f t="shared" si="98"/>
        <v>0</v>
      </c>
      <c r="CT73" s="776">
        <f t="shared" si="98"/>
        <v>0</v>
      </c>
      <c r="CU73" s="776">
        <f t="shared" si="98"/>
        <v>0</v>
      </c>
      <c r="CV73" s="776">
        <f t="shared" si="98"/>
        <v>0</v>
      </c>
      <c r="CW73" s="776">
        <f t="shared" si="98"/>
        <v>0</v>
      </c>
      <c r="CX73" s="776">
        <f t="shared" si="98"/>
        <v>0</v>
      </c>
      <c r="CY73" s="776">
        <f t="shared" si="98"/>
        <v>0</v>
      </c>
      <c r="CZ73" s="776">
        <f t="shared" si="98"/>
        <v>0</v>
      </c>
      <c r="DA73" s="776">
        <f t="shared" si="98"/>
        <v>0</v>
      </c>
      <c r="DB73" s="776">
        <f t="shared" si="98"/>
        <v>0</v>
      </c>
      <c r="DC73" s="776">
        <f t="shared" si="98"/>
        <v>0</v>
      </c>
      <c r="DD73" s="776">
        <f t="shared" si="98"/>
        <v>0</v>
      </c>
      <c r="DE73" s="776">
        <f t="shared" si="98"/>
        <v>0</v>
      </c>
      <c r="DF73" s="776">
        <f t="shared" si="98"/>
        <v>0</v>
      </c>
      <c r="DG73" s="776">
        <f t="shared" si="98"/>
        <v>0</v>
      </c>
      <c r="DH73" s="776">
        <f t="shared" si="98"/>
        <v>0</v>
      </c>
      <c r="DI73" s="776">
        <f t="shared" si="98"/>
        <v>0</v>
      </c>
      <c r="DJ73" s="776">
        <f t="shared" si="98"/>
        <v>0</v>
      </c>
      <c r="DK73" s="776">
        <f t="shared" si="98"/>
        <v>0</v>
      </c>
      <c r="DL73" s="776">
        <f t="shared" si="98"/>
        <v>0</v>
      </c>
      <c r="DM73" s="776">
        <f t="shared" si="98"/>
        <v>0</v>
      </c>
      <c r="DN73" s="776">
        <f t="shared" si="98"/>
        <v>0</v>
      </c>
      <c r="DO73" s="776">
        <f t="shared" si="98"/>
        <v>0</v>
      </c>
      <c r="DP73" s="776">
        <f t="shared" si="98"/>
        <v>0</v>
      </c>
      <c r="DQ73" s="776">
        <f t="shared" si="98"/>
        <v>0</v>
      </c>
      <c r="DR73" s="776">
        <f t="shared" si="98"/>
        <v>0</v>
      </c>
      <c r="DS73" s="776">
        <f t="shared" si="98"/>
        <v>0</v>
      </c>
      <c r="DT73" s="776">
        <f t="shared" si="98"/>
        <v>0</v>
      </c>
      <c r="DU73" s="776">
        <f t="shared" si="98"/>
        <v>0</v>
      </c>
      <c r="DV73" s="776">
        <f t="shared" si="98"/>
        <v>0</v>
      </c>
      <c r="DW73" s="776">
        <f t="shared" si="98"/>
        <v>0</v>
      </c>
      <c r="DX73" s="776">
        <f t="shared" si="98"/>
        <v>0</v>
      </c>
      <c r="DY73" s="776">
        <f t="shared" si="98"/>
        <v>0</v>
      </c>
      <c r="DZ73" s="776">
        <f t="shared" si="98"/>
        <v>0</v>
      </c>
      <c r="EA73" s="776">
        <f t="shared" si="98"/>
        <v>0</v>
      </c>
      <c r="EB73" s="776">
        <f t="shared" si="98"/>
        <v>0</v>
      </c>
      <c r="EC73" s="776">
        <f t="shared" si="98"/>
        <v>0</v>
      </c>
      <c r="ED73" s="776">
        <f t="shared" si="98"/>
        <v>0</v>
      </c>
      <c r="EE73" s="776">
        <f t="shared" si="98"/>
        <v>0</v>
      </c>
      <c r="EF73" s="776">
        <f t="shared" si="98"/>
        <v>0</v>
      </c>
      <c r="EG73" s="776">
        <f t="shared" ref="EG73:FD73" si="99">SUM(EG69:EG70)</f>
        <v>0</v>
      </c>
      <c r="EH73" s="776">
        <f t="shared" si="99"/>
        <v>0</v>
      </c>
      <c r="EI73" s="776">
        <f t="shared" si="99"/>
        <v>0</v>
      </c>
      <c r="EJ73" s="776">
        <f t="shared" si="99"/>
        <v>0</v>
      </c>
      <c r="EK73" s="776">
        <f t="shared" si="99"/>
        <v>0</v>
      </c>
      <c r="EL73" s="776">
        <f t="shared" si="99"/>
        <v>0</v>
      </c>
      <c r="EM73" s="776">
        <f t="shared" si="99"/>
        <v>0</v>
      </c>
      <c r="EN73" s="776">
        <f t="shared" si="99"/>
        <v>0</v>
      </c>
      <c r="EO73" s="776">
        <f t="shared" si="99"/>
        <v>0</v>
      </c>
      <c r="EP73" s="776">
        <f t="shared" si="99"/>
        <v>0</v>
      </c>
      <c r="EQ73" s="776">
        <f t="shared" si="99"/>
        <v>0</v>
      </c>
      <c r="ER73" s="776">
        <f t="shared" si="99"/>
        <v>0</v>
      </c>
      <c r="ES73" s="776">
        <f t="shared" si="99"/>
        <v>0</v>
      </c>
      <c r="ET73" s="776">
        <f t="shared" si="99"/>
        <v>0</v>
      </c>
      <c r="EU73" s="776">
        <f t="shared" si="99"/>
        <v>0</v>
      </c>
      <c r="EV73" s="776">
        <f t="shared" si="99"/>
        <v>0</v>
      </c>
      <c r="EW73" s="776">
        <f t="shared" si="99"/>
        <v>0</v>
      </c>
      <c r="EX73" s="776">
        <f t="shared" si="99"/>
        <v>0</v>
      </c>
      <c r="EY73" s="776">
        <f t="shared" si="99"/>
        <v>0</v>
      </c>
      <c r="EZ73" s="776">
        <f t="shared" si="99"/>
        <v>0</v>
      </c>
      <c r="FA73" s="776">
        <f t="shared" si="99"/>
        <v>0</v>
      </c>
      <c r="FB73" s="776">
        <f t="shared" si="99"/>
        <v>0</v>
      </c>
      <c r="FC73" s="776">
        <f t="shared" si="99"/>
        <v>0</v>
      </c>
      <c r="FD73" s="776">
        <f t="shared" si="99"/>
        <v>13049214.63692591</v>
      </c>
    </row>
    <row r="74" spans="2:162" s="692" customFormat="1">
      <c r="B74" s="699"/>
      <c r="C74" s="782"/>
      <c r="E74" s="777"/>
      <c r="G74" s="714"/>
      <c r="I74" s="714"/>
      <c r="J74" s="714"/>
      <c r="K74" s="714"/>
      <c r="L74" s="714"/>
      <c r="M74" s="714"/>
      <c r="N74" s="714"/>
      <c r="O74" s="714"/>
      <c r="P74" s="714"/>
      <c r="Q74" s="714"/>
      <c r="R74" s="714"/>
      <c r="S74" s="714"/>
      <c r="T74" s="714"/>
      <c r="U74" s="714"/>
      <c r="V74" s="714"/>
      <c r="W74" s="714"/>
      <c r="X74" s="714"/>
      <c r="Y74" s="714"/>
      <c r="Z74" s="714"/>
      <c r="AA74" s="714"/>
      <c r="AB74" s="714"/>
      <c r="AC74" s="714"/>
      <c r="AD74" s="714"/>
      <c r="AE74" s="714"/>
      <c r="AF74" s="714"/>
      <c r="AG74" s="714"/>
      <c r="AH74" s="714"/>
      <c r="AI74" s="714"/>
      <c r="AJ74" s="714"/>
      <c r="AK74" s="714"/>
      <c r="AL74" s="714"/>
      <c r="AM74" s="714"/>
      <c r="AN74" s="714"/>
      <c r="AO74" s="714"/>
      <c r="AP74" s="714"/>
      <c r="AQ74" s="714"/>
      <c r="AR74" s="714"/>
      <c r="AS74" s="714"/>
      <c r="AT74" s="714"/>
      <c r="AU74" s="714"/>
      <c r="AV74" s="714"/>
      <c r="AW74" s="714"/>
      <c r="AX74" s="714"/>
      <c r="AY74" s="714"/>
      <c r="AZ74" s="714"/>
      <c r="BA74" s="714"/>
      <c r="BB74" s="714"/>
      <c r="BC74" s="714"/>
      <c r="BD74" s="714"/>
      <c r="BE74" s="714"/>
      <c r="BF74" s="714"/>
      <c r="BG74" s="714"/>
      <c r="BH74" s="714"/>
      <c r="BI74" s="714"/>
      <c r="BJ74" s="714"/>
      <c r="BK74" s="714"/>
      <c r="BL74" s="714"/>
      <c r="BM74" s="714"/>
      <c r="BN74" s="714"/>
      <c r="BO74" s="714"/>
      <c r="BP74" s="714"/>
      <c r="BQ74" s="714"/>
      <c r="BR74" s="714"/>
      <c r="BS74" s="714"/>
      <c r="BT74" s="714"/>
      <c r="BU74" s="714"/>
      <c r="BV74" s="714"/>
      <c r="BW74" s="714"/>
      <c r="BX74" s="714"/>
      <c r="BY74" s="714"/>
      <c r="BZ74" s="714"/>
      <c r="CA74" s="714"/>
      <c r="CB74" s="714"/>
      <c r="CC74" s="714"/>
      <c r="CD74" s="714"/>
      <c r="CE74" s="714"/>
      <c r="CF74" s="714"/>
      <c r="CG74" s="714"/>
      <c r="CH74" s="714"/>
      <c r="CI74" s="714"/>
      <c r="CJ74" s="714"/>
      <c r="CK74" s="714"/>
      <c r="CL74" s="714"/>
      <c r="CM74" s="714"/>
      <c r="CN74" s="714"/>
      <c r="CO74" s="714"/>
      <c r="CP74" s="714"/>
      <c r="CQ74" s="714"/>
      <c r="CR74" s="714"/>
      <c r="CS74" s="714"/>
      <c r="CT74" s="714"/>
      <c r="CU74" s="714"/>
      <c r="CV74" s="714"/>
      <c r="CW74" s="714"/>
      <c r="CX74" s="714"/>
      <c r="CY74" s="714"/>
      <c r="CZ74" s="714"/>
      <c r="DA74" s="714"/>
      <c r="DB74" s="714"/>
      <c r="DC74" s="714"/>
      <c r="DD74" s="714"/>
      <c r="DE74" s="714"/>
      <c r="DF74" s="714"/>
      <c r="DG74" s="714"/>
      <c r="DH74" s="714"/>
      <c r="DI74" s="714"/>
      <c r="DJ74" s="714"/>
      <c r="DK74" s="714"/>
      <c r="DL74" s="714"/>
      <c r="DM74" s="714"/>
      <c r="DN74" s="714"/>
      <c r="DO74" s="714"/>
      <c r="DP74" s="714"/>
      <c r="DQ74" s="714"/>
      <c r="DR74" s="714"/>
      <c r="DS74" s="714"/>
      <c r="DT74" s="714"/>
      <c r="DU74" s="714"/>
      <c r="DV74" s="714"/>
      <c r="DW74" s="714"/>
      <c r="DX74" s="714"/>
      <c r="DY74" s="714"/>
      <c r="DZ74" s="714"/>
      <c r="EA74" s="714"/>
      <c r="EB74" s="714"/>
      <c r="EC74" s="714"/>
      <c r="ED74" s="714"/>
      <c r="EE74" s="714"/>
      <c r="EF74" s="714"/>
      <c r="EG74" s="714"/>
      <c r="EH74" s="714"/>
      <c r="EI74" s="714"/>
      <c r="EJ74" s="714"/>
      <c r="EK74" s="714"/>
      <c r="EL74" s="714"/>
      <c r="EM74" s="714"/>
      <c r="EN74" s="714"/>
      <c r="EO74" s="714"/>
      <c r="EP74" s="714"/>
      <c r="EQ74" s="714"/>
      <c r="ER74" s="714"/>
      <c r="ES74" s="714"/>
      <c r="ET74" s="714"/>
      <c r="EU74" s="714"/>
      <c r="EV74" s="714"/>
      <c r="EW74" s="714"/>
      <c r="EX74" s="714"/>
      <c r="EY74" s="714"/>
      <c r="EZ74" s="714"/>
      <c r="FA74" s="714"/>
      <c r="FB74" s="714"/>
      <c r="FC74" s="714"/>
      <c r="FD74" s="714"/>
    </row>
    <row r="75" spans="2:162" s="692" customFormat="1">
      <c r="B75" s="783" t="s">
        <v>350</v>
      </c>
      <c r="C75" s="783"/>
      <c r="D75" s="783"/>
      <c r="E75" s="784"/>
      <c r="F75" s="783"/>
      <c r="G75" s="785">
        <f>G27-G71</f>
        <v>0</v>
      </c>
      <c r="I75" s="785">
        <f t="shared" ref="I75:BT75" si="100">I27-I71</f>
        <v>0</v>
      </c>
      <c r="J75" s="785">
        <f t="shared" si="100"/>
        <v>0</v>
      </c>
      <c r="K75" s="785">
        <f t="shared" si="100"/>
        <v>0</v>
      </c>
      <c r="L75" s="785">
        <f t="shared" si="100"/>
        <v>0</v>
      </c>
      <c r="M75" s="785">
        <f t="shared" si="100"/>
        <v>0</v>
      </c>
      <c r="N75" s="785">
        <f t="shared" si="100"/>
        <v>0</v>
      </c>
      <c r="O75" s="785">
        <f t="shared" si="100"/>
        <v>0</v>
      </c>
      <c r="P75" s="785">
        <f t="shared" si="100"/>
        <v>0</v>
      </c>
      <c r="Q75" s="785">
        <f t="shared" si="100"/>
        <v>0</v>
      </c>
      <c r="R75" s="785">
        <f t="shared" si="100"/>
        <v>0</v>
      </c>
      <c r="S75" s="785">
        <f t="shared" si="100"/>
        <v>0</v>
      </c>
      <c r="T75" s="785">
        <f t="shared" si="100"/>
        <v>0</v>
      </c>
      <c r="U75" s="785">
        <f t="shared" si="100"/>
        <v>0</v>
      </c>
      <c r="V75" s="785">
        <f t="shared" si="100"/>
        <v>0</v>
      </c>
      <c r="W75" s="785">
        <f t="shared" si="100"/>
        <v>0</v>
      </c>
      <c r="X75" s="785">
        <f t="shared" si="100"/>
        <v>0</v>
      </c>
      <c r="Y75" s="785">
        <f t="shared" si="100"/>
        <v>0</v>
      </c>
      <c r="Z75" s="785">
        <f t="shared" si="100"/>
        <v>0</v>
      </c>
      <c r="AA75" s="785">
        <f t="shared" si="100"/>
        <v>0</v>
      </c>
      <c r="AB75" s="785">
        <f t="shared" si="100"/>
        <v>0</v>
      </c>
      <c r="AC75" s="785">
        <f t="shared" si="100"/>
        <v>0</v>
      </c>
      <c r="AD75" s="785">
        <f t="shared" si="100"/>
        <v>0</v>
      </c>
      <c r="AE75" s="785">
        <f t="shared" si="100"/>
        <v>0</v>
      </c>
      <c r="AF75" s="785">
        <f t="shared" si="100"/>
        <v>0</v>
      </c>
      <c r="AG75" s="785">
        <f t="shared" si="100"/>
        <v>0</v>
      </c>
      <c r="AH75" s="785">
        <f t="shared" si="100"/>
        <v>0</v>
      </c>
      <c r="AI75" s="785">
        <f t="shared" si="100"/>
        <v>0</v>
      </c>
      <c r="AJ75" s="785">
        <f t="shared" si="100"/>
        <v>0</v>
      </c>
      <c r="AK75" s="785">
        <f t="shared" si="100"/>
        <v>0</v>
      </c>
      <c r="AL75" s="785">
        <f t="shared" si="100"/>
        <v>0</v>
      </c>
      <c r="AM75" s="785">
        <f t="shared" si="100"/>
        <v>0</v>
      </c>
      <c r="AN75" s="785">
        <f t="shared" si="100"/>
        <v>0</v>
      </c>
      <c r="AO75" s="785">
        <f t="shared" si="100"/>
        <v>0</v>
      </c>
      <c r="AP75" s="785">
        <f t="shared" si="100"/>
        <v>0</v>
      </c>
      <c r="AQ75" s="785">
        <f t="shared" si="100"/>
        <v>0</v>
      </c>
      <c r="AR75" s="785">
        <f t="shared" si="100"/>
        <v>0</v>
      </c>
      <c r="AS75" s="785">
        <f t="shared" si="100"/>
        <v>0</v>
      </c>
      <c r="AT75" s="785">
        <f t="shared" si="100"/>
        <v>0</v>
      </c>
      <c r="AU75" s="785">
        <f t="shared" si="100"/>
        <v>0</v>
      </c>
      <c r="AV75" s="785">
        <f t="shared" si="100"/>
        <v>0</v>
      </c>
      <c r="AW75" s="785">
        <f t="shared" si="100"/>
        <v>0</v>
      </c>
      <c r="AX75" s="785">
        <f t="shared" si="100"/>
        <v>0</v>
      </c>
      <c r="AY75" s="785">
        <f t="shared" si="100"/>
        <v>0</v>
      </c>
      <c r="AZ75" s="785">
        <f t="shared" si="100"/>
        <v>0</v>
      </c>
      <c r="BA75" s="785">
        <f t="shared" si="100"/>
        <v>0</v>
      </c>
      <c r="BB75" s="785">
        <f t="shared" si="100"/>
        <v>0</v>
      </c>
      <c r="BC75" s="785">
        <f t="shared" si="100"/>
        <v>0</v>
      </c>
      <c r="BD75" s="785">
        <f t="shared" si="100"/>
        <v>0</v>
      </c>
      <c r="BE75" s="785">
        <f t="shared" si="100"/>
        <v>0</v>
      </c>
      <c r="BF75" s="785">
        <f t="shared" si="100"/>
        <v>0</v>
      </c>
      <c r="BG75" s="785">
        <f t="shared" si="100"/>
        <v>0</v>
      </c>
      <c r="BH75" s="785">
        <f t="shared" si="100"/>
        <v>0</v>
      </c>
      <c r="BI75" s="785">
        <f t="shared" si="100"/>
        <v>0</v>
      </c>
      <c r="BJ75" s="785">
        <f t="shared" si="100"/>
        <v>0</v>
      </c>
      <c r="BK75" s="785">
        <f t="shared" si="100"/>
        <v>0</v>
      </c>
      <c r="BL75" s="785">
        <f t="shared" si="100"/>
        <v>0</v>
      </c>
      <c r="BM75" s="785">
        <f t="shared" si="100"/>
        <v>0</v>
      </c>
      <c r="BN75" s="785">
        <f t="shared" si="100"/>
        <v>0</v>
      </c>
      <c r="BO75" s="785">
        <f t="shared" si="100"/>
        <v>0</v>
      </c>
      <c r="BP75" s="785">
        <f t="shared" si="100"/>
        <v>0</v>
      </c>
      <c r="BQ75" s="785">
        <f t="shared" si="100"/>
        <v>0</v>
      </c>
      <c r="BR75" s="785">
        <f t="shared" si="100"/>
        <v>0</v>
      </c>
      <c r="BS75" s="785">
        <f t="shared" si="100"/>
        <v>0</v>
      </c>
      <c r="BT75" s="785">
        <f t="shared" si="100"/>
        <v>0</v>
      </c>
      <c r="BU75" s="785">
        <f t="shared" ref="BU75:EF75" si="101">BU27-BU71</f>
        <v>0</v>
      </c>
      <c r="BV75" s="785">
        <f t="shared" si="101"/>
        <v>0</v>
      </c>
      <c r="BW75" s="785">
        <f t="shared" si="101"/>
        <v>0</v>
      </c>
      <c r="BX75" s="785">
        <f t="shared" si="101"/>
        <v>0</v>
      </c>
      <c r="BY75" s="785">
        <f t="shared" si="101"/>
        <v>0</v>
      </c>
      <c r="BZ75" s="785">
        <f t="shared" si="101"/>
        <v>0</v>
      </c>
      <c r="CA75" s="785">
        <f t="shared" si="101"/>
        <v>0</v>
      </c>
      <c r="CB75" s="785">
        <f t="shared" si="101"/>
        <v>0</v>
      </c>
      <c r="CC75" s="785">
        <f t="shared" si="101"/>
        <v>0</v>
      </c>
      <c r="CD75" s="785">
        <f t="shared" si="101"/>
        <v>0</v>
      </c>
      <c r="CE75" s="785">
        <f t="shared" si="101"/>
        <v>0</v>
      </c>
      <c r="CF75" s="785">
        <f t="shared" si="101"/>
        <v>0</v>
      </c>
      <c r="CG75" s="785">
        <f t="shared" si="101"/>
        <v>0</v>
      </c>
      <c r="CH75" s="785">
        <f t="shared" si="101"/>
        <v>0</v>
      </c>
      <c r="CI75" s="785">
        <f t="shared" si="101"/>
        <v>0</v>
      </c>
      <c r="CJ75" s="785">
        <f t="shared" si="101"/>
        <v>0</v>
      </c>
      <c r="CK75" s="785">
        <f t="shared" si="101"/>
        <v>0</v>
      </c>
      <c r="CL75" s="785">
        <f t="shared" si="101"/>
        <v>0</v>
      </c>
      <c r="CM75" s="785">
        <f t="shared" si="101"/>
        <v>0</v>
      </c>
      <c r="CN75" s="785">
        <f t="shared" si="101"/>
        <v>0</v>
      </c>
      <c r="CO75" s="785">
        <f t="shared" si="101"/>
        <v>0</v>
      </c>
      <c r="CP75" s="785">
        <f t="shared" si="101"/>
        <v>0</v>
      </c>
      <c r="CQ75" s="785">
        <f t="shared" si="101"/>
        <v>0</v>
      </c>
      <c r="CR75" s="785">
        <f t="shared" si="101"/>
        <v>0</v>
      </c>
      <c r="CS75" s="785">
        <f t="shared" si="101"/>
        <v>0</v>
      </c>
      <c r="CT75" s="785">
        <f t="shared" si="101"/>
        <v>0</v>
      </c>
      <c r="CU75" s="785">
        <f t="shared" si="101"/>
        <v>0</v>
      </c>
      <c r="CV75" s="785">
        <f t="shared" si="101"/>
        <v>0</v>
      </c>
      <c r="CW75" s="785">
        <f t="shared" si="101"/>
        <v>0</v>
      </c>
      <c r="CX75" s="785">
        <f t="shared" si="101"/>
        <v>0</v>
      </c>
      <c r="CY75" s="785">
        <f t="shared" si="101"/>
        <v>0</v>
      </c>
      <c r="CZ75" s="785">
        <f t="shared" si="101"/>
        <v>0</v>
      </c>
      <c r="DA75" s="785">
        <f t="shared" si="101"/>
        <v>0</v>
      </c>
      <c r="DB75" s="785">
        <f t="shared" si="101"/>
        <v>0</v>
      </c>
      <c r="DC75" s="785">
        <f t="shared" si="101"/>
        <v>0</v>
      </c>
      <c r="DD75" s="785">
        <f t="shared" si="101"/>
        <v>0</v>
      </c>
      <c r="DE75" s="785">
        <f t="shared" si="101"/>
        <v>0</v>
      </c>
      <c r="DF75" s="785">
        <f t="shared" si="101"/>
        <v>0</v>
      </c>
      <c r="DG75" s="785">
        <f t="shared" si="101"/>
        <v>0</v>
      </c>
      <c r="DH75" s="785">
        <f t="shared" si="101"/>
        <v>0</v>
      </c>
      <c r="DI75" s="785">
        <f t="shared" si="101"/>
        <v>0</v>
      </c>
      <c r="DJ75" s="785">
        <f t="shared" si="101"/>
        <v>0</v>
      </c>
      <c r="DK75" s="785">
        <f t="shared" si="101"/>
        <v>0</v>
      </c>
      <c r="DL75" s="785">
        <f t="shared" si="101"/>
        <v>0</v>
      </c>
      <c r="DM75" s="785">
        <f t="shared" si="101"/>
        <v>0</v>
      </c>
      <c r="DN75" s="785">
        <f t="shared" si="101"/>
        <v>0</v>
      </c>
      <c r="DO75" s="785">
        <f t="shared" si="101"/>
        <v>0</v>
      </c>
      <c r="DP75" s="785">
        <f t="shared" si="101"/>
        <v>0</v>
      </c>
      <c r="DQ75" s="785">
        <f t="shared" si="101"/>
        <v>0</v>
      </c>
      <c r="DR75" s="785">
        <f t="shared" si="101"/>
        <v>0</v>
      </c>
      <c r="DS75" s="785">
        <f t="shared" si="101"/>
        <v>0</v>
      </c>
      <c r="DT75" s="785">
        <f t="shared" si="101"/>
        <v>0</v>
      </c>
      <c r="DU75" s="785">
        <f t="shared" si="101"/>
        <v>0</v>
      </c>
      <c r="DV75" s="785">
        <f t="shared" si="101"/>
        <v>0</v>
      </c>
      <c r="DW75" s="785">
        <f t="shared" si="101"/>
        <v>0</v>
      </c>
      <c r="DX75" s="785">
        <f t="shared" si="101"/>
        <v>0</v>
      </c>
      <c r="DY75" s="785">
        <f t="shared" si="101"/>
        <v>0</v>
      </c>
      <c r="DZ75" s="785">
        <f t="shared" si="101"/>
        <v>0</v>
      </c>
      <c r="EA75" s="785">
        <f t="shared" si="101"/>
        <v>0</v>
      </c>
      <c r="EB75" s="785">
        <f t="shared" si="101"/>
        <v>0</v>
      </c>
      <c r="EC75" s="785">
        <f t="shared" si="101"/>
        <v>0</v>
      </c>
      <c r="ED75" s="785">
        <f t="shared" si="101"/>
        <v>0</v>
      </c>
      <c r="EE75" s="785">
        <f t="shared" si="101"/>
        <v>0</v>
      </c>
      <c r="EF75" s="785">
        <f t="shared" si="101"/>
        <v>0</v>
      </c>
      <c r="EG75" s="785">
        <f t="shared" ref="EG75:FB75" si="102">EG27-EG71</f>
        <v>0</v>
      </c>
      <c r="EH75" s="785">
        <f t="shared" si="102"/>
        <v>0</v>
      </c>
      <c r="EI75" s="785">
        <f t="shared" si="102"/>
        <v>0</v>
      </c>
      <c r="EJ75" s="785">
        <f t="shared" si="102"/>
        <v>0</v>
      </c>
      <c r="EK75" s="785">
        <f t="shared" si="102"/>
        <v>0</v>
      </c>
      <c r="EL75" s="785">
        <f t="shared" si="102"/>
        <v>0</v>
      </c>
      <c r="EM75" s="785">
        <f t="shared" si="102"/>
        <v>0</v>
      </c>
      <c r="EN75" s="785">
        <f t="shared" si="102"/>
        <v>0</v>
      </c>
      <c r="EO75" s="785">
        <f t="shared" si="102"/>
        <v>0</v>
      </c>
      <c r="EP75" s="785">
        <f t="shared" si="102"/>
        <v>0</v>
      </c>
      <c r="EQ75" s="785">
        <f t="shared" si="102"/>
        <v>0</v>
      </c>
      <c r="ER75" s="785">
        <f t="shared" si="102"/>
        <v>0</v>
      </c>
      <c r="ES75" s="785">
        <f t="shared" si="102"/>
        <v>0</v>
      </c>
      <c r="ET75" s="785">
        <f t="shared" si="102"/>
        <v>0</v>
      </c>
      <c r="EU75" s="785">
        <f t="shared" si="102"/>
        <v>0</v>
      </c>
      <c r="EV75" s="785">
        <f t="shared" si="102"/>
        <v>0</v>
      </c>
      <c r="EW75" s="785">
        <f t="shared" si="102"/>
        <v>0</v>
      </c>
      <c r="EX75" s="785">
        <f t="shared" si="102"/>
        <v>0</v>
      </c>
      <c r="EY75" s="785">
        <f t="shared" si="102"/>
        <v>0</v>
      </c>
      <c r="EZ75" s="785">
        <f t="shared" si="102"/>
        <v>0</v>
      </c>
      <c r="FA75" s="785">
        <f t="shared" si="102"/>
        <v>0</v>
      </c>
      <c r="FB75" s="785">
        <f t="shared" si="102"/>
        <v>0</v>
      </c>
      <c r="FD75" s="785">
        <f>FD27-FD71</f>
        <v>0</v>
      </c>
    </row>
    <row r="78" spans="2:162">
      <c r="G78" s="786"/>
    </row>
  </sheetData>
  <pageMargins left="0.7" right="0.7" top="0.75" bottom="0.75" header="0.3" footer="0.3"/>
  <pageSetup scale="79" fitToWidth="0" orientation="landscape" r:id="rId1"/>
  <colBreaks count="1" manualBreakCount="1">
    <brk id="25" min="1" max="61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A489C-62E0-4588-9D46-CC5FE93941C7}">
  <sheetPr>
    <tabColor theme="0" tint="-0.14999847407452621"/>
    <pageSetUpPr fitToPage="1"/>
  </sheetPr>
  <dimension ref="A2:EX62"/>
  <sheetViews>
    <sheetView showGridLines="0" zoomScaleNormal="100" zoomScaleSheetLayoutView="80" workbookViewId="0"/>
  </sheetViews>
  <sheetFormatPr defaultColWidth="9.28515625" defaultRowHeight="13.5"/>
  <cols>
    <col min="1" max="1" width="1.7109375" style="681" customWidth="1"/>
    <col min="2" max="2" width="22" style="681" customWidth="1"/>
    <col min="3" max="3" width="12.28515625" style="681" customWidth="1"/>
    <col min="4" max="4" width="4.28515625" style="681" customWidth="1"/>
    <col min="5" max="5" width="16.5703125" style="681" customWidth="1"/>
    <col min="6" max="6" width="7" style="681" customWidth="1"/>
    <col min="7" max="7" width="15.28515625" style="681" bestFit="1" customWidth="1"/>
    <col min="8" max="8" width="1.7109375" style="681" customWidth="1"/>
    <col min="9" max="9" width="14.5703125" style="681" bestFit="1" customWidth="1"/>
    <col min="10" max="10" width="15.28515625" style="681" bestFit="1" customWidth="1"/>
    <col min="11" max="11" width="14.28515625" style="681" bestFit="1" customWidth="1"/>
    <col min="12" max="12" width="12.5703125" style="681" bestFit="1" customWidth="1"/>
    <col min="13" max="16" width="12.5703125" style="681" customWidth="1"/>
    <col min="17" max="17" width="2.7109375" style="681" customWidth="1"/>
    <col min="18" max="18" width="15.28515625" style="681" bestFit="1" customWidth="1"/>
    <col min="19" max="20" width="9.28515625" style="681"/>
    <col min="21" max="21" width="12" style="681" bestFit="1" customWidth="1"/>
    <col min="22" max="16384" width="9.28515625" style="681"/>
  </cols>
  <sheetData>
    <row r="2" spans="1:16" s="692" customFormat="1" ht="16.5" thickBot="1">
      <c r="B2" s="787" t="s">
        <v>373</v>
      </c>
    </row>
    <row r="3" spans="1:16" s="692" customFormat="1">
      <c r="B3" s="788"/>
      <c r="C3" s="788"/>
      <c r="D3" s="788"/>
      <c r="E3" s="788"/>
      <c r="F3" s="788"/>
      <c r="G3" s="788"/>
      <c r="H3" s="788"/>
      <c r="I3" s="788"/>
      <c r="J3" s="788"/>
      <c r="K3" s="788"/>
      <c r="L3" s="788"/>
      <c r="M3" s="789"/>
      <c r="N3" s="789"/>
      <c r="O3" s="789"/>
      <c r="P3" s="789"/>
    </row>
    <row r="4" spans="1:16" s="692" customFormat="1" ht="14.65" customHeight="1">
      <c r="B4" s="693" t="s">
        <v>371</v>
      </c>
    </row>
    <row r="5" spans="1:16" s="692" customFormat="1">
      <c r="B5" s="692" t="s">
        <v>374</v>
      </c>
      <c r="C5" s="696">
        <f>+'Waterfall (Two Tier)'!C5</f>
        <v>0.6826538555476529</v>
      </c>
      <c r="D5" s="696"/>
      <c r="E5" s="697">
        <f>C5*$E$7</f>
        <v>12922000</v>
      </c>
      <c r="G5" s="697"/>
      <c r="K5" s="694"/>
      <c r="L5" s="694"/>
      <c r="M5" s="790"/>
      <c r="N5" s="790"/>
      <c r="O5" s="790"/>
      <c r="P5" s="790"/>
    </row>
    <row r="6" spans="1:16" s="692" customFormat="1">
      <c r="B6" s="692" t="s">
        <v>370</v>
      </c>
      <c r="C6" s="791">
        <f>+'Waterfall (Two Tier)'!C6</f>
        <v>0.3173461444523471</v>
      </c>
      <c r="D6" s="696"/>
      <c r="E6" s="697">
        <f>C6*$E$7</f>
        <v>6007066.1658000043</v>
      </c>
      <c r="G6" s="697"/>
      <c r="K6" s="694"/>
      <c r="L6" s="694"/>
      <c r="M6" s="790"/>
      <c r="N6" s="790"/>
      <c r="O6" s="790"/>
      <c r="P6" s="790"/>
    </row>
    <row r="7" spans="1:16" s="692" customFormat="1">
      <c r="B7" s="699" t="s">
        <v>67</v>
      </c>
      <c r="C7" s="696">
        <f>SUM(C5:C6)</f>
        <v>1</v>
      </c>
      <c r="D7" s="696"/>
      <c r="E7" s="701">
        <f>'Waterfall (Two Tier)'!E7</f>
        <v>18929066.165800005</v>
      </c>
      <c r="G7" s="702"/>
      <c r="I7" s="699"/>
      <c r="K7" s="694"/>
      <c r="L7" s="792"/>
      <c r="M7" s="793"/>
      <c r="N7" s="793"/>
      <c r="O7" s="793"/>
      <c r="P7" s="793"/>
    </row>
    <row r="8" spans="1:16" s="692" customFormat="1" ht="6" customHeight="1">
      <c r="C8" s="703"/>
      <c r="D8" s="703"/>
      <c r="E8" s="703"/>
    </row>
    <row r="9" spans="1:16" s="692" customFormat="1">
      <c r="B9" s="693" t="s">
        <v>369</v>
      </c>
      <c r="C9" s="703"/>
      <c r="D9" s="703"/>
      <c r="E9" s="704" t="s">
        <v>375</v>
      </c>
      <c r="G9" s="704"/>
      <c r="K9" s="794"/>
      <c r="L9" s="795"/>
      <c r="M9" s="795"/>
      <c r="N9" s="795"/>
      <c r="O9" s="795"/>
      <c r="P9" s="795"/>
    </row>
    <row r="10" spans="1:16" s="692" customFormat="1" ht="12.75" customHeight="1">
      <c r="C10" s="705" t="s">
        <v>368</v>
      </c>
      <c r="D10" s="696"/>
      <c r="E10" s="705" t="s">
        <v>367</v>
      </c>
      <c r="G10" s="704"/>
      <c r="K10" s="796"/>
      <c r="L10" s="795"/>
      <c r="M10" s="795"/>
      <c r="N10" s="795"/>
      <c r="O10" s="795"/>
      <c r="P10" s="795"/>
    </row>
    <row r="11" spans="1:16" s="692" customFormat="1" ht="14.1" customHeight="1">
      <c r="B11" s="692" t="s">
        <v>366</v>
      </c>
      <c r="C11" s="797" t="str">
        <f>+'Waterfall (Two Tier)'!C11</f>
        <v>--</v>
      </c>
      <c r="D11" s="798"/>
      <c r="E11" s="695">
        <f>+'Waterfall (Two Tier)'!E11</f>
        <v>0</v>
      </c>
      <c r="G11" s="695"/>
      <c r="J11" s="711"/>
      <c r="K11" s="796"/>
      <c r="L11" s="795"/>
      <c r="M11" s="795"/>
      <c r="N11" s="795"/>
      <c r="O11" s="795"/>
      <c r="P11" s="795"/>
    </row>
    <row r="12" spans="1:16" s="692" customFormat="1" ht="14.1" customHeight="1">
      <c r="B12" s="692" t="s">
        <v>364</v>
      </c>
      <c r="C12" s="797">
        <f>+'Waterfall (Two Tier)'!C12</f>
        <v>0.08</v>
      </c>
      <c r="D12" s="798"/>
      <c r="E12" s="695">
        <f>+'Waterfall (Two Tier)'!E12</f>
        <v>0.2</v>
      </c>
      <c r="G12" s="695"/>
      <c r="I12" s="699"/>
      <c r="J12" s="713"/>
      <c r="K12" s="796"/>
      <c r="L12" s="799"/>
      <c r="M12" s="799"/>
      <c r="N12" s="799"/>
      <c r="O12" s="799"/>
      <c r="P12" s="799"/>
    </row>
    <row r="13" spans="1:16" s="692" customFormat="1" ht="14.1" customHeight="1">
      <c r="B13" s="692" t="s">
        <v>376</v>
      </c>
      <c r="C13" s="797">
        <f>+'Waterfall (Two Tier)'!C13</f>
        <v>0.11</v>
      </c>
      <c r="D13" s="695"/>
      <c r="E13" s="695">
        <f>+'Waterfall (Two Tier)'!E13</f>
        <v>0.25</v>
      </c>
      <c r="G13" s="695"/>
      <c r="I13" s="699"/>
      <c r="J13" s="712"/>
      <c r="K13" s="800"/>
      <c r="L13" s="795"/>
      <c r="M13" s="801"/>
      <c r="N13" s="801"/>
      <c r="O13" s="801"/>
      <c r="P13" s="801"/>
    </row>
    <row r="14" spans="1:16" s="719" customFormat="1" ht="14.1" customHeight="1">
      <c r="A14" s="692"/>
      <c r="B14" s="692" t="s">
        <v>389</v>
      </c>
      <c r="C14" s="797">
        <f>+'Waterfall (Two Tier)'!C14</f>
        <v>0.17</v>
      </c>
      <c r="D14" s="695"/>
      <c r="E14" s="695">
        <f>+'Waterfall (Two Tier)'!E14</f>
        <v>0.35</v>
      </c>
      <c r="F14" s="692"/>
      <c r="G14" s="718"/>
      <c r="H14" s="692"/>
      <c r="I14" s="706"/>
      <c r="J14" s="706"/>
      <c r="K14" s="706"/>
      <c r="L14" s="706"/>
      <c r="M14" s="706"/>
      <c r="N14" s="706"/>
      <c r="O14" s="706"/>
      <c r="P14" s="706"/>
    </row>
    <row r="15" spans="1:16" s="692" customFormat="1" ht="6" customHeight="1">
      <c r="E15" s="712"/>
      <c r="F15" s="703"/>
      <c r="G15" s="712"/>
    </row>
    <row r="16" spans="1:16" s="692" customFormat="1">
      <c r="B16" s="693" t="s">
        <v>363</v>
      </c>
      <c r="E16" s="682"/>
      <c r="G16" s="720"/>
      <c r="H16" s="720"/>
      <c r="I16" s="703"/>
      <c r="J16" s="703"/>
      <c r="K16" s="703"/>
      <c r="L16" s="703"/>
      <c r="M16" s="703"/>
      <c r="N16" s="703"/>
      <c r="O16" s="703"/>
      <c r="P16" s="703"/>
    </row>
    <row r="17" spans="2:21" s="692" customFormat="1">
      <c r="G17" s="721" t="s">
        <v>362</v>
      </c>
      <c r="H17" s="722"/>
      <c r="I17" s="802">
        <v>2025</v>
      </c>
      <c r="J17" s="802">
        <f t="shared" ref="J17:P17" si="0">I17+1</f>
        <v>2026</v>
      </c>
      <c r="K17" s="802">
        <f t="shared" si="0"/>
        <v>2027</v>
      </c>
      <c r="L17" s="802">
        <f t="shared" si="0"/>
        <v>2028</v>
      </c>
      <c r="M17" s="802">
        <f t="shared" si="0"/>
        <v>2029</v>
      </c>
      <c r="N17" s="802">
        <f t="shared" si="0"/>
        <v>2030</v>
      </c>
      <c r="O17" s="802">
        <f t="shared" si="0"/>
        <v>2031</v>
      </c>
      <c r="P17" s="802">
        <f t="shared" si="0"/>
        <v>2032</v>
      </c>
      <c r="R17" s="724" t="s">
        <v>362</v>
      </c>
    </row>
    <row r="18" spans="2:21" s="692" customFormat="1">
      <c r="B18" s="803" t="s">
        <v>377</v>
      </c>
      <c r="C18" s="803"/>
      <c r="D18" s="699"/>
      <c r="E18" s="804" t="str">
        <f>+'Waterfall (Two Tier)'!E26</f>
        <v>25.5% / 2.32x</v>
      </c>
      <c r="F18" s="699"/>
      <c r="G18" s="733">
        <f>SUM(I18:P18)</f>
        <v>24992810.374513432</v>
      </c>
      <c r="I18" s="805">
        <f>SUMIF('Waterfall (Two Tier)'!$I$16:$FB$16,I$17,'Waterfall (Two Tier)'!$I26:$FB26)</f>
        <v>0</v>
      </c>
      <c r="J18" s="805">
        <f>SUMIF('Waterfall (Two Tier)'!$I$16:$FB$16,J$17,'Waterfall (Two Tier)'!$I26:$FB26)</f>
        <v>-18571305.623353917</v>
      </c>
      <c r="K18" s="805">
        <f>SUMIF('Waterfall (Two Tier)'!$I$16:$FB$16,K$17,'Waterfall (Two Tier)'!$I26:$FB26)</f>
        <v>723592.28076426289</v>
      </c>
      <c r="L18" s="805">
        <f>SUMIF('Waterfall (Two Tier)'!$I$16:$FB$16,L$17,'Waterfall (Two Tier)'!$I26:$FB26)</f>
        <v>1247074.106324753</v>
      </c>
      <c r="M18" s="805">
        <f>SUMIF('Waterfall (Two Tier)'!$I$16:$FB$16,M$17,'Waterfall (Two Tier)'!$I26:$FB26)</f>
        <v>1457018.2361690716</v>
      </c>
      <c r="N18" s="805">
        <f>SUMIF('Waterfall (Two Tier)'!$I$16:$FB$16,N$17,'Waterfall (Two Tier)'!$I26:$FB26)</f>
        <v>40136431.374609262</v>
      </c>
      <c r="O18" s="805">
        <f>SUMIF('Waterfall (Two Tier)'!$I$16:$FB$16,O$17,'Waterfall (Two Tier)'!$I26:$FB26)</f>
        <v>0</v>
      </c>
      <c r="P18" s="805">
        <f>SUMIF('Waterfall (Two Tier)'!$I$16:$FB$16,P$17,'Waterfall (Two Tier)'!$I26:$FB26)</f>
        <v>0</v>
      </c>
      <c r="R18" s="736">
        <f>SUM(I18:L18)</f>
        <v>-16600639.236264901</v>
      </c>
    </row>
    <row r="19" spans="2:21" s="692" customFormat="1">
      <c r="B19" s="699" t="str">
        <f>"Net Cash Flow to the Venture "</f>
        <v xml:space="preserve">Net Cash Flow to the Venture </v>
      </c>
      <c r="C19" s="699"/>
      <c r="D19" s="699"/>
      <c r="E19" s="725" t="str">
        <f>+'Waterfall (Two Tier)'!E27</f>
        <v>25.5% / 2.32x</v>
      </c>
      <c r="F19" s="699"/>
      <c r="G19" s="729">
        <f>SUM(I19:P19)</f>
        <v>24992810.374513432</v>
      </c>
      <c r="I19" s="714">
        <f t="shared" ref="I19:P19" si="1">SUM(I18:I18)</f>
        <v>0</v>
      </c>
      <c r="J19" s="714">
        <f t="shared" si="1"/>
        <v>-18571305.623353917</v>
      </c>
      <c r="K19" s="714">
        <f t="shared" si="1"/>
        <v>723592.28076426289</v>
      </c>
      <c r="L19" s="714">
        <f t="shared" si="1"/>
        <v>1247074.106324753</v>
      </c>
      <c r="M19" s="714">
        <f t="shared" si="1"/>
        <v>1457018.2361690716</v>
      </c>
      <c r="N19" s="714">
        <f t="shared" si="1"/>
        <v>40136431.374609262</v>
      </c>
      <c r="O19" s="714">
        <f t="shared" si="1"/>
        <v>0</v>
      </c>
      <c r="P19" s="714">
        <f t="shared" si="1"/>
        <v>0</v>
      </c>
      <c r="R19" s="736">
        <f>SUM(I19:L19)</f>
        <v>-16600639.236264901</v>
      </c>
    </row>
    <row r="20" spans="2:21" s="692" customFormat="1" ht="6" customHeight="1">
      <c r="E20" s="696"/>
      <c r="G20" s="737"/>
      <c r="R20" s="737"/>
    </row>
    <row r="21" spans="2:21" s="692" customFormat="1" ht="12.75" customHeight="1">
      <c r="B21" s="693" t="str">
        <f>"Tier I -- LP IRR below "&amp;TEXT($C$12,"#0%")</f>
        <v>Tier I -- LP IRR below 8%</v>
      </c>
      <c r="E21" s="703"/>
      <c r="G21" s="738"/>
      <c r="R21" s="738"/>
    </row>
    <row r="22" spans="2:21" s="747" customFormat="1">
      <c r="B22" s="747" t="s">
        <v>359</v>
      </c>
      <c r="E22" s="748"/>
      <c r="G22" s="743">
        <f>SUM(I22:P22)</f>
        <v>6054747.8553566225</v>
      </c>
      <c r="I22" s="749">
        <f>SUMIF('Waterfall (Two Tier)'!$I$16:$FB$16,I$17,'Waterfall (Two Tier)'!$I33:$FB33)</f>
        <v>0</v>
      </c>
      <c r="J22" s="749">
        <f>SUMIF('Waterfall (Two Tier)'!$I$16:$FB$16,J$17,'Waterfall (Two Tier)'!$I33:$FB33)</f>
        <v>-18571305.623353917</v>
      </c>
      <c r="K22" s="749">
        <f>SUMIF('Waterfall (Two Tier)'!$I$16:$FB$16,K$17,'Waterfall (Two Tier)'!$I33:$FB33)</f>
        <v>723592.28076426289</v>
      </c>
      <c r="L22" s="749">
        <f>SUMIF('Waterfall (Two Tier)'!$I$16:$FB$16,L$17,'Waterfall (Two Tier)'!$I33:$FB33)</f>
        <v>1247074.106324753</v>
      </c>
      <c r="M22" s="749">
        <f>SUMIF('Waterfall (Two Tier)'!$I$16:$FB$16,M$17,'Waterfall (Two Tier)'!$I33:$FB33)</f>
        <v>1457018.2361690716</v>
      </c>
      <c r="N22" s="749">
        <f>SUMIF('Waterfall (Two Tier)'!$I$16:$FB$16,N$17,'Waterfall (Two Tier)'!$I33:$FB33)</f>
        <v>21198368.855452452</v>
      </c>
      <c r="O22" s="749">
        <f>SUMIF('Waterfall (Two Tier)'!$I$16:$FB$16,O$17,'Waterfall (Two Tier)'!$I33:$FB33)</f>
        <v>0</v>
      </c>
      <c r="P22" s="749">
        <f>SUMIF('Waterfall (Two Tier)'!$I$16:$FB$16,P$17,'Waterfall (Two Tier)'!$I33:$FB33)</f>
        <v>0</v>
      </c>
      <c r="Q22" s="692"/>
      <c r="R22" s="743">
        <f>SUM(I22:L22)</f>
        <v>-16600639.236264901</v>
      </c>
      <c r="S22" s="699"/>
    </row>
    <row r="23" spans="2:21" s="692" customFormat="1">
      <c r="B23" s="750" t="s">
        <v>356</v>
      </c>
      <c r="C23" s="751"/>
      <c r="D23" s="751"/>
      <c r="E23" s="752">
        <f>1-E24</f>
        <v>0.6826538555476529</v>
      </c>
      <c r="F23" s="751"/>
      <c r="G23" s="753">
        <f>SUM(I23:P23)</f>
        <v>4133296.9678280782</v>
      </c>
      <c r="H23" s="751"/>
      <c r="I23" s="754">
        <f>SUMIF('Waterfall (Two Tier)'!$I$16:$FB$16,I$17,'Waterfall (Two Tier)'!$I34:$FB34)</f>
        <v>0</v>
      </c>
      <c r="J23" s="754">
        <f>SUMIF('Waterfall (Two Tier)'!$I$16:$FB$16,J$17,'Waterfall (Two Tier)'!$I34:$FB34)</f>
        <v>-12677773.386336364</v>
      </c>
      <c r="K23" s="754">
        <f>SUMIF('Waterfall (Two Tier)'!$I$16:$FB$16,K$17,'Waterfall (Two Tier)'!$I34:$FB34)</f>
        <v>493963.06030824385</v>
      </c>
      <c r="L23" s="754">
        <f>SUMIF('Waterfall (Two Tier)'!$I$16:$FB$16,L$17,'Waterfall (Two Tier)'!$I34:$FB34)</f>
        <v>851319.94683623628</v>
      </c>
      <c r="M23" s="754">
        <f>SUMIF('Waterfall (Two Tier)'!$I$16:$FB$16,M$17,'Waterfall (Two Tier)'!$I34:$FB34)</f>
        <v>994639.11652405746</v>
      </c>
      <c r="N23" s="754">
        <f>SUMIF('Waterfall (Two Tier)'!$I$16:$FB$16,N$17,'Waterfall (Two Tier)'!$I34:$FB34)</f>
        <v>14471148.230495904</v>
      </c>
      <c r="O23" s="754">
        <f>SUMIF('Waterfall (Two Tier)'!$I$16:$FB$16,O$17,'Waterfall (Two Tier)'!$I34:$FB34)</f>
        <v>0</v>
      </c>
      <c r="P23" s="754">
        <f>SUMIF('Waterfall (Two Tier)'!$I$16:$FB$16,P$17,'Waterfall (Two Tier)'!$I34:$FB34)</f>
        <v>0</v>
      </c>
      <c r="R23" s="753">
        <f>SUM(I23:L23)</f>
        <v>-11332490.379191883</v>
      </c>
      <c r="U23" s="720"/>
    </row>
    <row r="24" spans="2:21" s="692" customFormat="1">
      <c r="B24" s="755" t="s">
        <v>355</v>
      </c>
      <c r="C24" s="756"/>
      <c r="D24" s="756"/>
      <c r="E24" s="757">
        <f>$C$6</f>
        <v>0.3173461444523471</v>
      </c>
      <c r="F24" s="756"/>
      <c r="G24" s="758">
        <f>SUM(I24:P24)</f>
        <v>1921450.8875285406</v>
      </c>
      <c r="H24" s="756"/>
      <c r="I24" s="759">
        <f>SUMIF('Waterfall (Two Tier)'!$I$16:$FB$16,I$17,'Waterfall (Two Tier)'!$I35:$FB35)</f>
        <v>0</v>
      </c>
      <c r="J24" s="759">
        <f>SUMIF('Waterfall (Two Tier)'!$I$16:$FB$16,J$17,'Waterfall (Two Tier)'!$I35:$FB35)</f>
        <v>-5893532.2370175598</v>
      </c>
      <c r="K24" s="759">
        <f>SUMIF('Waterfall (Two Tier)'!$I$16:$FB$16,K$17,'Waterfall (Two Tier)'!$I35:$FB35)</f>
        <v>229629.22045601907</v>
      </c>
      <c r="L24" s="759">
        <f>SUMIF('Waterfall (Two Tier)'!$I$16:$FB$16,L$17,'Waterfall (Two Tier)'!$I35:$FB35)</f>
        <v>395754.15948851686</v>
      </c>
      <c r="M24" s="759">
        <f>SUMIF('Waterfall (Two Tier)'!$I$16:$FB$16,M$17,'Waterfall (Two Tier)'!$I35:$FB35)</f>
        <v>462379.11964501411</v>
      </c>
      <c r="N24" s="759">
        <f>SUMIF('Waterfall (Two Tier)'!$I$16:$FB$16,N$17,'Waterfall (Two Tier)'!$I35:$FB35)</f>
        <v>6727220.6249565501</v>
      </c>
      <c r="O24" s="759">
        <f>SUMIF('Waterfall (Two Tier)'!$I$16:$FB$16,O$17,'Waterfall (Two Tier)'!$I35:$FB35)</f>
        <v>0</v>
      </c>
      <c r="P24" s="759">
        <f>SUMIF('Waterfall (Two Tier)'!$I$16:$FB$16,P$17,'Waterfall (Two Tier)'!$I35:$FB35)</f>
        <v>0</v>
      </c>
      <c r="R24" s="758">
        <f>SUM(I24:L24)</f>
        <v>-5268148.8570730239</v>
      </c>
      <c r="U24" s="806"/>
    </row>
    <row r="25" spans="2:21" s="692" customFormat="1">
      <c r="B25" s="755" t="s">
        <v>378</v>
      </c>
      <c r="C25" s="756"/>
      <c r="D25" s="756"/>
      <c r="E25" s="757">
        <f>E11</f>
        <v>0</v>
      </c>
      <c r="F25" s="756"/>
      <c r="G25" s="758">
        <f>SUM(I25:P25)</f>
        <v>0</v>
      </c>
      <c r="H25" s="756"/>
      <c r="I25" s="759">
        <f>SUMIF('Waterfall (Two Tier)'!$I$16:$FB$16,I$17,'Waterfall (Two Tier)'!$I36:$FB36)</f>
        <v>0</v>
      </c>
      <c r="J25" s="759">
        <f>SUMIF('Waterfall (Two Tier)'!$I$16:$FB$16,J$17,'Waterfall (Two Tier)'!$I36:$FB36)</f>
        <v>0</v>
      </c>
      <c r="K25" s="759">
        <f>SUMIF('Waterfall (Two Tier)'!$I$16:$FB$16,K$17,'Waterfall (Two Tier)'!$I36:$FB36)</f>
        <v>0</v>
      </c>
      <c r="L25" s="759">
        <f>SUMIF('Waterfall (Two Tier)'!$I$16:$FB$16,L$17,'Waterfall (Two Tier)'!$I36:$FB36)</f>
        <v>0</v>
      </c>
      <c r="M25" s="759">
        <f>SUMIF('Waterfall (Two Tier)'!$I$16:$FB$16,M$17,'Waterfall (Two Tier)'!$I36:$FB36)</f>
        <v>0</v>
      </c>
      <c r="N25" s="759">
        <f>SUMIF('Waterfall (Two Tier)'!$I$16:$FB$16,N$17,'Waterfall (Two Tier)'!$I36:$FB36)</f>
        <v>0</v>
      </c>
      <c r="O25" s="759">
        <f>SUMIF('Waterfall (Two Tier)'!$I$16:$FB$16,O$17,'Waterfall (Two Tier)'!$I36:$FB36)</f>
        <v>0</v>
      </c>
      <c r="P25" s="759">
        <f>SUMIF('Waterfall (Two Tier)'!$I$16:$FB$16,P$17,'Waterfall (Two Tier)'!$I36:$FB36)</f>
        <v>0</v>
      </c>
      <c r="R25" s="758">
        <f>SUM(I25:L25)</f>
        <v>0</v>
      </c>
    </row>
    <row r="26" spans="2:21" s="692" customFormat="1">
      <c r="B26" s="692" t="s">
        <v>358</v>
      </c>
      <c r="E26" s="703"/>
      <c r="G26" s="728"/>
      <c r="I26" s="745">
        <f t="shared" ref="I26:P26" si="2">I19-I22</f>
        <v>0</v>
      </c>
      <c r="J26" s="745">
        <f t="shared" si="2"/>
        <v>0</v>
      </c>
      <c r="K26" s="745">
        <f t="shared" si="2"/>
        <v>0</v>
      </c>
      <c r="L26" s="745">
        <f t="shared" si="2"/>
        <v>0</v>
      </c>
      <c r="M26" s="745">
        <f t="shared" si="2"/>
        <v>0</v>
      </c>
      <c r="N26" s="745">
        <f t="shared" si="2"/>
        <v>18938062.51915681</v>
      </c>
      <c r="O26" s="745">
        <f t="shared" si="2"/>
        <v>0</v>
      </c>
      <c r="P26" s="745">
        <f t="shared" si="2"/>
        <v>0</v>
      </c>
      <c r="R26" s="728"/>
    </row>
    <row r="27" spans="2:21" s="742" customFormat="1" ht="6" customHeight="1">
      <c r="E27" s="704"/>
      <c r="G27" s="743"/>
      <c r="I27" s="760"/>
      <c r="J27" s="760"/>
      <c r="K27" s="760"/>
      <c r="L27" s="760"/>
      <c r="M27" s="760"/>
      <c r="N27" s="760"/>
      <c r="O27" s="760"/>
      <c r="P27" s="760"/>
      <c r="Q27" s="692"/>
      <c r="R27" s="743"/>
      <c r="S27" s="692"/>
    </row>
    <row r="28" spans="2:21" s="742" customFormat="1">
      <c r="B28" s="693" t="str">
        <f>"Tier II -- LP IRR between "&amp;TEXT($C$12,"#0%")&amp;" and "&amp;TEXT($C$13,"#0%")</f>
        <v>Tier II -- LP IRR between 8% and 11%</v>
      </c>
      <c r="E28" s="704"/>
      <c r="G28" s="743"/>
      <c r="I28" s="760"/>
      <c r="J28" s="760"/>
      <c r="K28" s="760"/>
      <c r="L28" s="760"/>
      <c r="M28" s="760"/>
      <c r="N28" s="760"/>
      <c r="O28" s="760"/>
      <c r="P28" s="760"/>
      <c r="Q28" s="692"/>
      <c r="R28" s="743"/>
      <c r="S28" s="692"/>
    </row>
    <row r="29" spans="2:21" s="747" customFormat="1">
      <c r="B29" s="747" t="s">
        <v>380</v>
      </c>
      <c r="E29" s="748"/>
      <c r="G29" s="743">
        <f>SUM(I29:P29)</f>
        <v>3754416.980127756</v>
      </c>
      <c r="I29" s="749">
        <f>SUMIF('Waterfall (Two Tier)'!$I$16:$FB$16,I$17,'Waterfall (Two Tier)'!$I43:$FB43)</f>
        <v>0</v>
      </c>
      <c r="J29" s="749">
        <f>SUMIF('Waterfall (Two Tier)'!$I$16:$FB$16,J$17,'Waterfall (Two Tier)'!$I43:$FB43)</f>
        <v>0</v>
      </c>
      <c r="K29" s="749">
        <f>SUMIF('Waterfall (Two Tier)'!$I$16:$FB$16,K$17,'Waterfall (Two Tier)'!$I43:$FB43)</f>
        <v>0</v>
      </c>
      <c r="L29" s="749">
        <f>SUMIF('Waterfall (Two Tier)'!$I$16:$FB$16,L$17,'Waterfall (Two Tier)'!$I43:$FB43)</f>
        <v>0</v>
      </c>
      <c r="M29" s="749">
        <f>SUMIF('Waterfall (Two Tier)'!$I$16:$FB$16,M$17,'Waterfall (Two Tier)'!$I43:$FB43)</f>
        <v>0</v>
      </c>
      <c r="N29" s="749">
        <f>SUMIF('Waterfall (Two Tier)'!$I$16:$FB$16,N$17,'Waterfall (Two Tier)'!$I43:$FB43)</f>
        <v>3754416.980127756</v>
      </c>
      <c r="O29" s="749">
        <f>SUMIF('Waterfall (Two Tier)'!$I$16:$FB$16,O$17,'Waterfall (Two Tier)'!$I43:$FB43)</f>
        <v>0</v>
      </c>
      <c r="P29" s="749">
        <f>SUMIF('Waterfall (Two Tier)'!$I$16:$FB$16,P$17,'Waterfall (Two Tier)'!$I43:$FB43)</f>
        <v>0</v>
      </c>
      <c r="Q29" s="692"/>
      <c r="R29" s="743">
        <f>SUM(I29:L29)</f>
        <v>0</v>
      </c>
    </row>
    <row r="30" spans="2:21" s="742" customFormat="1">
      <c r="B30" s="750" t="s">
        <v>356</v>
      </c>
      <c r="C30" s="751"/>
      <c r="D30" s="751"/>
      <c r="E30" s="752">
        <f>1-E31-E32</f>
        <v>0.48265385554765289</v>
      </c>
      <c r="F30" s="761"/>
      <c r="G30" s="753">
        <f>SUM(I30:P30)</f>
        <v>1812083.8307922371</v>
      </c>
      <c r="H30" s="761"/>
      <c r="I30" s="754">
        <f>SUMIF('Waterfall (Two Tier)'!$I$16:$FB$16,I$17,'Waterfall (Two Tier)'!$I44:$FB44)</f>
        <v>0</v>
      </c>
      <c r="J30" s="754">
        <f>SUMIF('Waterfall (Two Tier)'!$I$16:$FB$16,J$17,'Waterfall (Two Tier)'!$I44:$FB44)</f>
        <v>0</v>
      </c>
      <c r="K30" s="754">
        <f>SUMIF('Waterfall (Two Tier)'!$I$16:$FB$16,K$17,'Waterfall (Two Tier)'!$I44:$FB44)</f>
        <v>0</v>
      </c>
      <c r="L30" s="754">
        <f>SUMIF('Waterfall (Two Tier)'!$I$16:$FB$16,L$17,'Waterfall (Two Tier)'!$I44:$FB44)</f>
        <v>0</v>
      </c>
      <c r="M30" s="754">
        <f>SUMIF('Waterfall (Two Tier)'!$I$16:$FB$16,M$17,'Waterfall (Two Tier)'!$I44:$FB44)</f>
        <v>0</v>
      </c>
      <c r="N30" s="754">
        <f>SUMIF('Waterfall (Two Tier)'!$I$16:$FB$16,N$17,'Waterfall (Two Tier)'!$I44:$FB44)</f>
        <v>1812083.8307922371</v>
      </c>
      <c r="O30" s="754">
        <f>SUMIF('Waterfall (Two Tier)'!$I$16:$FB$16,O$17,'Waterfall (Two Tier)'!$I44:$FB44)</f>
        <v>0</v>
      </c>
      <c r="P30" s="754">
        <f>SUMIF('Waterfall (Two Tier)'!$I$16:$FB$16,P$17,'Waterfall (Two Tier)'!$I44:$FB44)</f>
        <v>0</v>
      </c>
      <c r="Q30" s="692"/>
      <c r="R30" s="753">
        <f>SUM(I30:L30)</f>
        <v>0</v>
      </c>
      <c r="S30" s="692"/>
    </row>
    <row r="31" spans="2:21" s="742" customFormat="1">
      <c r="B31" s="755" t="s">
        <v>355</v>
      </c>
      <c r="C31" s="756"/>
      <c r="D31" s="756"/>
      <c r="E31" s="757">
        <f>C6</f>
        <v>0.3173461444523471</v>
      </c>
      <c r="F31" s="762"/>
      <c r="G31" s="758">
        <f>SUM(I31:P31)</f>
        <v>1191449.7533099677</v>
      </c>
      <c r="H31" s="762"/>
      <c r="I31" s="759">
        <f>SUMIF('Waterfall (Two Tier)'!$I$16:$FB$16,I$17,'Waterfall (Two Tier)'!$I45:$FB45)</f>
        <v>0</v>
      </c>
      <c r="J31" s="759">
        <f>SUMIF('Waterfall (Two Tier)'!$I$16:$FB$16,J$17,'Waterfall (Two Tier)'!$I45:$FB45)</f>
        <v>0</v>
      </c>
      <c r="K31" s="759">
        <f>SUMIF('Waterfall (Two Tier)'!$I$16:$FB$16,K$17,'Waterfall (Two Tier)'!$I45:$FB45)</f>
        <v>0</v>
      </c>
      <c r="L31" s="759">
        <f>SUMIF('Waterfall (Two Tier)'!$I$16:$FB$16,L$17,'Waterfall (Two Tier)'!$I45:$FB45)</f>
        <v>0</v>
      </c>
      <c r="M31" s="759">
        <f>SUMIF('Waterfall (Two Tier)'!$I$16:$FB$16,M$17,'Waterfall (Two Tier)'!$I45:$FB45)</f>
        <v>0</v>
      </c>
      <c r="N31" s="759">
        <f>SUMIF('Waterfall (Two Tier)'!$I$16:$FB$16,N$17,'Waterfall (Two Tier)'!$I45:$FB45)</f>
        <v>1191449.7533099677</v>
      </c>
      <c r="O31" s="759">
        <f>SUMIF('Waterfall (Two Tier)'!$I$16:$FB$16,O$17,'Waterfall (Two Tier)'!$I45:$FB45)</f>
        <v>0</v>
      </c>
      <c r="P31" s="759">
        <f>SUMIF('Waterfall (Two Tier)'!$I$16:$FB$16,P$17,'Waterfall (Two Tier)'!$I45:$FB45)</f>
        <v>0</v>
      </c>
      <c r="Q31" s="692"/>
      <c r="R31" s="758">
        <f>SUM(I31:L31)</f>
        <v>0</v>
      </c>
      <c r="S31" s="692"/>
    </row>
    <row r="32" spans="2:21" s="742" customFormat="1">
      <c r="B32" s="755" t="s">
        <v>378</v>
      </c>
      <c r="C32" s="756"/>
      <c r="D32" s="756"/>
      <c r="E32" s="757">
        <f>E12</f>
        <v>0.2</v>
      </c>
      <c r="F32" s="762"/>
      <c r="G32" s="758">
        <f>SUM(I32:P32)</f>
        <v>750883.39602555125</v>
      </c>
      <c r="H32" s="762"/>
      <c r="I32" s="759">
        <f>SUMIF('Waterfall (Two Tier)'!$I$16:$FB$16,I$17,'Waterfall (Two Tier)'!$I46:$FB46)</f>
        <v>0</v>
      </c>
      <c r="J32" s="759">
        <f>SUMIF('Waterfall (Two Tier)'!$I$16:$FB$16,J$17,'Waterfall (Two Tier)'!$I46:$FB46)</f>
        <v>0</v>
      </c>
      <c r="K32" s="759">
        <f>SUMIF('Waterfall (Two Tier)'!$I$16:$FB$16,K$17,'Waterfall (Two Tier)'!$I46:$FB46)</f>
        <v>0</v>
      </c>
      <c r="L32" s="759">
        <f>SUMIF('Waterfall (Two Tier)'!$I$16:$FB$16,L$17,'Waterfall (Two Tier)'!$I46:$FB46)</f>
        <v>0</v>
      </c>
      <c r="M32" s="759">
        <f>SUMIF('Waterfall (Two Tier)'!$I$16:$FB$16,M$17,'Waterfall (Two Tier)'!$I46:$FB46)</f>
        <v>0</v>
      </c>
      <c r="N32" s="759">
        <f>SUMIF('Waterfall (Two Tier)'!$I$16:$FB$16,N$17,'Waterfall (Two Tier)'!$I46:$FB46)</f>
        <v>750883.39602555125</v>
      </c>
      <c r="O32" s="759">
        <f>SUMIF('Waterfall (Two Tier)'!$I$16:$FB$16,O$17,'Waterfall (Two Tier)'!$I46:$FB46)</f>
        <v>0</v>
      </c>
      <c r="P32" s="759">
        <f>SUMIF('Waterfall (Two Tier)'!$I$16:$FB$16,P$17,'Waterfall (Two Tier)'!$I46:$FB46)</f>
        <v>0</v>
      </c>
      <c r="Q32" s="692"/>
      <c r="R32" s="758">
        <f>SUM(I32:L32)</f>
        <v>0</v>
      </c>
      <c r="S32" s="692"/>
    </row>
    <row r="33" spans="2:153" s="692" customFormat="1">
      <c r="B33" s="692" t="s">
        <v>381</v>
      </c>
      <c r="E33" s="703"/>
      <c r="G33" s="728"/>
      <c r="I33" s="745">
        <f t="shared" ref="I33:P33" si="3">I26-I29</f>
        <v>0</v>
      </c>
      <c r="J33" s="745">
        <f t="shared" si="3"/>
        <v>0</v>
      </c>
      <c r="K33" s="745">
        <f t="shared" si="3"/>
        <v>0</v>
      </c>
      <c r="L33" s="745">
        <f t="shared" si="3"/>
        <v>0</v>
      </c>
      <c r="M33" s="745">
        <f t="shared" si="3"/>
        <v>0</v>
      </c>
      <c r="N33" s="745">
        <f t="shared" si="3"/>
        <v>15183645.539029054</v>
      </c>
      <c r="O33" s="745">
        <f t="shared" si="3"/>
        <v>0</v>
      </c>
      <c r="P33" s="745">
        <f t="shared" si="3"/>
        <v>0</v>
      </c>
      <c r="R33" s="728"/>
    </row>
    <row r="34" spans="2:153" s="742" customFormat="1" ht="6" customHeight="1">
      <c r="B34" s="763"/>
      <c r="C34" s="692"/>
      <c r="D34" s="692"/>
      <c r="E34" s="696"/>
      <c r="G34" s="743"/>
      <c r="I34" s="760"/>
      <c r="J34" s="760"/>
      <c r="K34" s="760"/>
      <c r="L34" s="760"/>
      <c r="M34" s="760"/>
      <c r="N34" s="760"/>
      <c r="O34" s="760"/>
      <c r="P34" s="760"/>
      <c r="Q34" s="692"/>
      <c r="R34" s="743"/>
      <c r="S34" s="692"/>
    </row>
    <row r="35" spans="2:153" s="742" customFormat="1">
      <c r="B35" s="693" t="str">
        <f>"Tier III -- LP IRR between "&amp;TEXT($C$13,"#0%")&amp;" and "&amp;TEXT($C$14,"#0%")</f>
        <v>Tier III -- LP IRR between 11% and 17%</v>
      </c>
      <c r="C35" s="692"/>
      <c r="D35" s="692"/>
      <c r="E35" s="696"/>
      <c r="G35" s="743"/>
      <c r="I35" s="760"/>
      <c r="J35" s="760"/>
      <c r="K35" s="760"/>
      <c r="L35" s="760"/>
      <c r="M35" s="760"/>
      <c r="N35" s="760"/>
      <c r="O35" s="760"/>
      <c r="P35" s="760"/>
      <c r="Q35" s="692"/>
      <c r="R35" s="743"/>
      <c r="S35" s="692"/>
    </row>
    <row r="36" spans="2:153" s="747" customFormat="1">
      <c r="B36" s="747" t="s">
        <v>383</v>
      </c>
      <c r="E36" s="748"/>
      <c r="G36" s="743">
        <f>SUM(I36:P36)</f>
        <v>9473167.0914026648</v>
      </c>
      <c r="I36" s="749">
        <f>SUMIF('Waterfall (Two Tier)'!$I$16:$FB$16,I$17,'Waterfall (Two Tier)'!$I54:$FB54)</f>
        <v>0</v>
      </c>
      <c r="J36" s="749">
        <f>SUMIF('Waterfall (Two Tier)'!$I$16:$FB$16,J$17,'Waterfall (Two Tier)'!$I54:$FB54)</f>
        <v>0</v>
      </c>
      <c r="K36" s="749">
        <f>SUMIF('Waterfall (Two Tier)'!$I$16:$FB$16,K$17,'Waterfall (Two Tier)'!$I54:$FB54)</f>
        <v>0</v>
      </c>
      <c r="L36" s="749">
        <f>SUMIF('Waterfall (Two Tier)'!$I$16:$FB$16,L$17,'Waterfall (Two Tier)'!$I54:$FB54)</f>
        <v>0</v>
      </c>
      <c r="M36" s="749">
        <f>SUMIF('Waterfall (Two Tier)'!$I$16:$FB$16,M$17,'Waterfall (Two Tier)'!$I54:$FB54)</f>
        <v>0</v>
      </c>
      <c r="N36" s="749">
        <f>SUMIF('Waterfall (Two Tier)'!$I$16:$FB$16,N$17,'Waterfall (Two Tier)'!$I54:$FB54)</f>
        <v>9473167.0914026648</v>
      </c>
      <c r="O36" s="749">
        <f>SUMIF('Waterfall (Two Tier)'!$I$16:$FB$16,O$17,'Waterfall (Two Tier)'!$I54:$FB54)</f>
        <v>0</v>
      </c>
      <c r="P36" s="749">
        <f>SUMIF('Waterfall (Two Tier)'!$I$16:$FB$16,P$17,'Waterfall (Two Tier)'!$I54:$FB54)</f>
        <v>0</v>
      </c>
      <c r="Q36" s="692"/>
      <c r="R36" s="743">
        <f>SUM(I36:L36)</f>
        <v>0</v>
      </c>
      <c r="S36" s="699"/>
    </row>
    <row r="37" spans="2:153" s="742" customFormat="1">
      <c r="B37" s="750" t="s">
        <v>356</v>
      </c>
      <c r="C37" s="751"/>
      <c r="D37" s="751"/>
      <c r="E37" s="752">
        <f>1-E38-E39</f>
        <v>0.4326538555476529</v>
      </c>
      <c r="F37" s="761"/>
      <c r="G37" s="753">
        <f>SUM(I37:P37)</f>
        <v>4098602.2663425077</v>
      </c>
      <c r="H37" s="761"/>
      <c r="I37" s="754">
        <f>SUMIF('Waterfall (Two Tier)'!$I$16:$FB$16,I$17,'Waterfall (Two Tier)'!$I55:$FB55)</f>
        <v>0</v>
      </c>
      <c r="J37" s="754">
        <f>SUMIF('Waterfall (Two Tier)'!$I$16:$FB$16,J$17,'Waterfall (Two Tier)'!$I55:$FB55)</f>
        <v>0</v>
      </c>
      <c r="K37" s="754">
        <f>SUMIF('Waterfall (Two Tier)'!$I$16:$FB$16,K$17,'Waterfall (Two Tier)'!$I55:$FB55)</f>
        <v>0</v>
      </c>
      <c r="L37" s="754">
        <f>SUMIF('Waterfall (Two Tier)'!$I$16:$FB$16,L$17,'Waterfall (Two Tier)'!$I55:$FB55)</f>
        <v>0</v>
      </c>
      <c r="M37" s="754">
        <f>SUMIF('Waterfall (Two Tier)'!$I$16:$FB$16,M$17,'Waterfall (Two Tier)'!$I55:$FB55)</f>
        <v>0</v>
      </c>
      <c r="N37" s="754">
        <f>SUMIF('Waterfall (Two Tier)'!$I$16:$FB$16,N$17,'Waterfall (Two Tier)'!$I55:$FB55)</f>
        <v>4098602.2663425077</v>
      </c>
      <c r="O37" s="754">
        <f>SUMIF('Waterfall (Two Tier)'!$I$16:$FB$16,O$17,'Waterfall (Two Tier)'!$I55:$FB55)</f>
        <v>0</v>
      </c>
      <c r="P37" s="754">
        <f>SUMIF('Waterfall (Two Tier)'!$I$16:$FB$16,P$17,'Waterfall (Two Tier)'!$I55:$FB55)</f>
        <v>0</v>
      </c>
      <c r="Q37" s="692"/>
      <c r="R37" s="753">
        <f>SUM(I37:L37)</f>
        <v>0</v>
      </c>
      <c r="S37" s="692"/>
    </row>
    <row r="38" spans="2:153" s="742" customFormat="1">
      <c r="B38" s="755" t="s">
        <v>355</v>
      </c>
      <c r="C38" s="756"/>
      <c r="D38" s="756"/>
      <c r="E38" s="757">
        <f>C6</f>
        <v>0.3173461444523471</v>
      </c>
      <c r="F38" s="762"/>
      <c r="G38" s="758">
        <f>SUM(I38:P38)</f>
        <v>3006273.0522094909</v>
      </c>
      <c r="H38" s="762"/>
      <c r="I38" s="759">
        <f>SUMIF('Waterfall (Two Tier)'!$I$16:$FB$16,I$17,'Waterfall (Two Tier)'!$I56:$FB56)</f>
        <v>0</v>
      </c>
      <c r="J38" s="759">
        <f>SUMIF('Waterfall (Two Tier)'!$I$16:$FB$16,J$17,'Waterfall (Two Tier)'!$I56:$FB56)</f>
        <v>0</v>
      </c>
      <c r="K38" s="759">
        <f>SUMIF('Waterfall (Two Tier)'!$I$16:$FB$16,K$17,'Waterfall (Two Tier)'!$I56:$FB56)</f>
        <v>0</v>
      </c>
      <c r="L38" s="759">
        <f>SUMIF('Waterfall (Two Tier)'!$I$16:$FB$16,L$17,'Waterfall (Two Tier)'!$I56:$FB56)</f>
        <v>0</v>
      </c>
      <c r="M38" s="759">
        <f>SUMIF('Waterfall (Two Tier)'!$I$16:$FB$16,M$17,'Waterfall (Two Tier)'!$I56:$FB56)</f>
        <v>0</v>
      </c>
      <c r="N38" s="759">
        <f>SUMIF('Waterfall (Two Tier)'!$I$16:$FB$16,N$17,'Waterfall (Two Tier)'!$I56:$FB56)</f>
        <v>3006273.0522094909</v>
      </c>
      <c r="O38" s="759">
        <f>SUMIF('Waterfall (Two Tier)'!$I$16:$FB$16,O$17,'Waterfall (Two Tier)'!$I56:$FB56)</f>
        <v>0</v>
      </c>
      <c r="P38" s="759">
        <f>SUMIF('Waterfall (Two Tier)'!$I$16:$FB$16,P$17,'Waterfall (Two Tier)'!$I56:$FB56)</f>
        <v>0</v>
      </c>
      <c r="Q38" s="692"/>
      <c r="R38" s="758">
        <f>SUM(I38:L38)</f>
        <v>0</v>
      </c>
      <c r="S38" s="692"/>
    </row>
    <row r="39" spans="2:153" s="742" customFormat="1">
      <c r="B39" s="755" t="s">
        <v>378</v>
      </c>
      <c r="C39" s="756"/>
      <c r="D39" s="756"/>
      <c r="E39" s="757">
        <f>E13</f>
        <v>0.25</v>
      </c>
      <c r="F39" s="762"/>
      <c r="G39" s="758">
        <f>SUM(I39:P39)</f>
        <v>2368291.7728506662</v>
      </c>
      <c r="H39" s="762"/>
      <c r="I39" s="759">
        <f>SUMIF('Waterfall (Two Tier)'!$I$16:$FB$16,I$17,'Waterfall (Two Tier)'!$I57:$FB57)</f>
        <v>0</v>
      </c>
      <c r="J39" s="759">
        <f>SUMIF('Waterfall (Two Tier)'!$I$16:$FB$16,J$17,'Waterfall (Two Tier)'!$I57:$FB57)</f>
        <v>0</v>
      </c>
      <c r="K39" s="759">
        <f>SUMIF('Waterfall (Two Tier)'!$I$16:$FB$16,K$17,'Waterfall (Two Tier)'!$I57:$FB57)</f>
        <v>0</v>
      </c>
      <c r="L39" s="759">
        <f>SUMIF('Waterfall (Two Tier)'!$I$16:$FB$16,L$17,'Waterfall (Two Tier)'!$I57:$FB57)</f>
        <v>0</v>
      </c>
      <c r="M39" s="759">
        <f>SUMIF('Waterfall (Two Tier)'!$I$16:$FB$16,M$17,'Waterfall (Two Tier)'!$I57:$FB57)</f>
        <v>0</v>
      </c>
      <c r="N39" s="759">
        <f>SUMIF('Waterfall (Two Tier)'!$I$16:$FB$16,N$17,'Waterfall (Two Tier)'!$I57:$FB57)</f>
        <v>2368291.7728506662</v>
      </c>
      <c r="O39" s="759">
        <f>SUMIF('Waterfall (Two Tier)'!$I$16:$FB$16,O$17,'Waterfall (Two Tier)'!$I57:$FB57)</f>
        <v>0</v>
      </c>
      <c r="P39" s="759">
        <f>SUMIF('Waterfall (Two Tier)'!$I$16:$FB$16,P$17,'Waterfall (Two Tier)'!$I57:$FB57)</f>
        <v>0</v>
      </c>
      <c r="Q39" s="692"/>
      <c r="R39" s="758">
        <f>SUM(I39:L39)</f>
        <v>0</v>
      </c>
      <c r="S39" s="692"/>
    </row>
    <row r="40" spans="2:153" s="742" customFormat="1">
      <c r="B40" s="692" t="s">
        <v>384</v>
      </c>
      <c r="E40" s="704"/>
      <c r="G40" s="743"/>
      <c r="I40" s="745">
        <f t="shared" ref="I40:P40" si="4">I33-I36</f>
        <v>0</v>
      </c>
      <c r="J40" s="745">
        <f t="shared" si="4"/>
        <v>0</v>
      </c>
      <c r="K40" s="745">
        <f t="shared" si="4"/>
        <v>0</v>
      </c>
      <c r="L40" s="745">
        <f t="shared" si="4"/>
        <v>0</v>
      </c>
      <c r="M40" s="745">
        <f t="shared" si="4"/>
        <v>0</v>
      </c>
      <c r="N40" s="745">
        <f t="shared" si="4"/>
        <v>5710478.4476263896</v>
      </c>
      <c r="O40" s="745">
        <f t="shared" si="4"/>
        <v>0</v>
      </c>
      <c r="P40" s="745">
        <f t="shared" si="4"/>
        <v>0</v>
      </c>
      <c r="Q40" s="692"/>
      <c r="R40" s="743"/>
      <c r="S40" s="692"/>
    </row>
    <row r="41" spans="2:153" s="742" customFormat="1" ht="6" customHeight="1">
      <c r="E41" s="704"/>
      <c r="G41" s="743"/>
      <c r="I41" s="760"/>
      <c r="J41" s="760"/>
      <c r="K41" s="760"/>
      <c r="L41" s="760"/>
      <c r="M41" s="760"/>
      <c r="N41" s="760"/>
      <c r="O41" s="760"/>
      <c r="P41" s="760"/>
      <c r="Q41" s="692"/>
      <c r="R41" s="743"/>
      <c r="S41" s="692"/>
    </row>
    <row r="42" spans="2:153" s="692" customFormat="1">
      <c r="B42" s="693" t="str">
        <f>"Tier IV -- LP IRR above "&amp;TEXT(C14,"#0%")&amp;""</f>
        <v>Tier IV -- LP IRR above 17%</v>
      </c>
      <c r="E42" s="696"/>
      <c r="G42" s="728"/>
      <c r="I42" s="720"/>
      <c r="J42" s="720"/>
      <c r="K42" s="720"/>
      <c r="L42" s="720"/>
      <c r="M42" s="720"/>
      <c r="N42" s="720"/>
      <c r="O42" s="720"/>
      <c r="P42" s="720"/>
      <c r="R42" s="728"/>
    </row>
    <row r="43" spans="2:153" s="747" customFormat="1">
      <c r="B43" s="747" t="s">
        <v>357</v>
      </c>
      <c r="E43" s="748"/>
      <c r="G43" s="743">
        <f>SUM(I43:P43)</f>
        <v>5710478.4476263858</v>
      </c>
      <c r="I43" s="749">
        <f>SUMIF('Waterfall (Two Tier)'!$I$16:$FB$16,I$17,'Waterfall (Two Tier)'!$I61:$FB61)</f>
        <v>0</v>
      </c>
      <c r="J43" s="749">
        <f>SUMIF('Waterfall (Two Tier)'!$I$16:$FB$16,J$17,'Waterfall (Two Tier)'!$I61:$FB61)</f>
        <v>0</v>
      </c>
      <c r="K43" s="749">
        <f>SUMIF('Waterfall (Two Tier)'!$I$16:$FB$16,K$17,'Waterfall (Two Tier)'!$I61:$FB61)</f>
        <v>0</v>
      </c>
      <c r="L43" s="749">
        <f>SUMIF('Waterfall (Two Tier)'!$I$16:$FB$16,L$17,'Waterfall (Two Tier)'!$I61:$FB61)</f>
        <v>0</v>
      </c>
      <c r="M43" s="749">
        <f>SUMIF('Waterfall (Two Tier)'!$I$16:$FB$16,M$17,'Waterfall (Two Tier)'!$I61:$FB61)</f>
        <v>0</v>
      </c>
      <c r="N43" s="749">
        <f>SUMIF('Waterfall (Two Tier)'!$I$16:$FB$16,N$17,'Waterfall (Two Tier)'!$I61:$FB61)</f>
        <v>5710478.4476263858</v>
      </c>
      <c r="O43" s="749">
        <f>SUMIF('Waterfall (Two Tier)'!$I$16:$FB$16,O$17,'Waterfall (Two Tier)'!$I61:$FB61)</f>
        <v>0</v>
      </c>
      <c r="P43" s="749">
        <f>SUMIF('Waterfall (Two Tier)'!$I$16:$FB$16,P$17,'Waterfall (Two Tier)'!$I61:$FB61)</f>
        <v>0</v>
      </c>
      <c r="Q43" s="692"/>
      <c r="R43" s="743">
        <f>SUM(I43:L43)</f>
        <v>0</v>
      </c>
      <c r="S43" s="699"/>
    </row>
    <row r="44" spans="2:153" s="742" customFormat="1">
      <c r="B44" s="750" t="s">
        <v>356</v>
      </c>
      <c r="C44" s="751"/>
      <c r="D44" s="751"/>
      <c r="E44" s="752">
        <f>1-E45-E46</f>
        <v>0.33265385554765292</v>
      </c>
      <c r="F44" s="761"/>
      <c r="G44" s="753">
        <f>SUM(I44:P44)</f>
        <v>1899612.672624693</v>
      </c>
      <c r="H44" s="761"/>
      <c r="I44" s="754">
        <f>SUMIF('Waterfall (Two Tier)'!$I$16:$FB$16,I$17,'Waterfall (Two Tier)'!$I62:$FB62)</f>
        <v>0</v>
      </c>
      <c r="J44" s="754">
        <f>SUMIF('Waterfall (Two Tier)'!$I$16:$FB$16,J$17,'Waterfall (Two Tier)'!$I62:$FB62)</f>
        <v>0</v>
      </c>
      <c r="K44" s="754">
        <f>SUMIF('Waterfall (Two Tier)'!$I$16:$FB$16,K$17,'Waterfall (Two Tier)'!$I62:$FB62)</f>
        <v>0</v>
      </c>
      <c r="L44" s="754">
        <f>SUMIF('Waterfall (Two Tier)'!$I$16:$FB$16,L$17,'Waterfall (Two Tier)'!$I62:$FB62)</f>
        <v>0</v>
      </c>
      <c r="M44" s="754">
        <f>SUMIF('Waterfall (Two Tier)'!$I$16:$FB$16,M$17,'Waterfall (Two Tier)'!$I62:$FB62)</f>
        <v>0</v>
      </c>
      <c r="N44" s="754">
        <f>SUMIF('Waterfall (Two Tier)'!$I$16:$FB$16,N$17,'Waterfall (Two Tier)'!$I62:$FB62)</f>
        <v>1899612.672624693</v>
      </c>
      <c r="O44" s="754">
        <f>SUMIF('Waterfall (Two Tier)'!$I$16:$FB$16,O$17,'Waterfall (Two Tier)'!$I62:$FB62)</f>
        <v>0</v>
      </c>
      <c r="P44" s="754">
        <f>SUMIF('Waterfall (Two Tier)'!$I$16:$FB$16,P$17,'Waterfall (Two Tier)'!$I62:$FB62)</f>
        <v>0</v>
      </c>
      <c r="Q44" s="692"/>
      <c r="R44" s="753">
        <f>SUM(I44:L44)</f>
        <v>0</v>
      </c>
      <c r="S44" s="692"/>
    </row>
    <row r="45" spans="2:153" s="742" customFormat="1">
      <c r="B45" s="755" t="s">
        <v>355</v>
      </c>
      <c r="C45" s="756"/>
      <c r="D45" s="756"/>
      <c r="E45" s="757">
        <f>C6</f>
        <v>0.3173461444523471</v>
      </c>
      <c r="F45" s="762"/>
      <c r="G45" s="758">
        <f>SUM(I45:P45)</f>
        <v>1812198.3183324579</v>
      </c>
      <c r="H45" s="762"/>
      <c r="I45" s="759">
        <f>SUMIF('Waterfall (Two Tier)'!$I$16:$FB$16,I$17,'Waterfall (Two Tier)'!$I63:$FB63)</f>
        <v>0</v>
      </c>
      <c r="J45" s="759">
        <f>SUMIF('Waterfall (Two Tier)'!$I$16:$FB$16,J$17,'Waterfall (Two Tier)'!$I63:$FB63)</f>
        <v>0</v>
      </c>
      <c r="K45" s="759">
        <f>SUMIF('Waterfall (Two Tier)'!$I$16:$FB$16,K$17,'Waterfall (Two Tier)'!$I63:$FB63)</f>
        <v>0</v>
      </c>
      <c r="L45" s="759">
        <f>SUMIF('Waterfall (Two Tier)'!$I$16:$FB$16,L$17,'Waterfall (Two Tier)'!$I63:$FB63)</f>
        <v>0</v>
      </c>
      <c r="M45" s="759">
        <f>SUMIF('Waterfall (Two Tier)'!$I$16:$FB$16,M$17,'Waterfall (Two Tier)'!$I63:$FB63)</f>
        <v>0</v>
      </c>
      <c r="N45" s="759">
        <f>SUMIF('Waterfall (Two Tier)'!$I$16:$FB$16,N$17,'Waterfall (Two Tier)'!$I63:$FB63)</f>
        <v>1812198.3183324579</v>
      </c>
      <c r="O45" s="759">
        <f>SUMIF('Waterfall (Two Tier)'!$I$16:$FB$16,O$17,'Waterfall (Two Tier)'!$I63:$FB63)</f>
        <v>0</v>
      </c>
      <c r="P45" s="759">
        <f>SUMIF('Waterfall (Two Tier)'!$I$16:$FB$16,P$17,'Waterfall (Two Tier)'!$I63:$FB63)</f>
        <v>0</v>
      </c>
      <c r="Q45" s="692"/>
      <c r="R45" s="758">
        <f>SUM(I45:L45)</f>
        <v>0</v>
      </c>
      <c r="S45" s="692"/>
    </row>
    <row r="46" spans="2:153" s="742" customFormat="1">
      <c r="B46" s="755" t="s">
        <v>378</v>
      </c>
      <c r="C46" s="756"/>
      <c r="D46" s="756"/>
      <c r="E46" s="757">
        <f>E14</f>
        <v>0.35</v>
      </c>
      <c r="F46" s="762"/>
      <c r="G46" s="758">
        <f>SUM(I46:P46)</f>
        <v>1998667.4566692349</v>
      </c>
      <c r="H46" s="762"/>
      <c r="I46" s="759">
        <f>SUMIF('Waterfall (Two Tier)'!$I$16:$FB$16,I$17,'Waterfall (Two Tier)'!$I64:$FB64)</f>
        <v>0</v>
      </c>
      <c r="J46" s="759">
        <f>SUMIF('Waterfall (Two Tier)'!$I$16:$FB$16,J$17,'Waterfall (Two Tier)'!$I64:$FB64)</f>
        <v>0</v>
      </c>
      <c r="K46" s="759">
        <f>SUMIF('Waterfall (Two Tier)'!$I$16:$FB$16,K$17,'Waterfall (Two Tier)'!$I64:$FB64)</f>
        <v>0</v>
      </c>
      <c r="L46" s="759">
        <f>SUMIF('Waterfall (Two Tier)'!$I$16:$FB$16,L$17,'Waterfall (Two Tier)'!$I64:$FB64)</f>
        <v>0</v>
      </c>
      <c r="M46" s="759">
        <f>SUMIF('Waterfall (Two Tier)'!$I$16:$FB$16,M$17,'Waterfall (Two Tier)'!$I64:$FB64)</f>
        <v>0</v>
      </c>
      <c r="N46" s="759">
        <f>SUMIF('Waterfall (Two Tier)'!$I$16:$FB$16,N$17,'Waterfall (Two Tier)'!$I64:$FB64)</f>
        <v>1998667.4566692349</v>
      </c>
      <c r="O46" s="759">
        <f>SUMIF('Waterfall (Two Tier)'!$I$16:$FB$16,O$17,'Waterfall (Two Tier)'!$I64:$FB64)</f>
        <v>0</v>
      </c>
      <c r="P46" s="759">
        <f>SUMIF('Waterfall (Two Tier)'!$I$16:$FB$16,P$17,'Waterfall (Two Tier)'!$I64:$FB64)</f>
        <v>0</v>
      </c>
      <c r="Q46" s="692"/>
      <c r="R46" s="758">
        <f>SUM(I46:L46)</f>
        <v>0</v>
      </c>
      <c r="S46" s="692"/>
    </row>
    <row r="47" spans="2:153" s="742" customFormat="1">
      <c r="B47" s="692" t="s">
        <v>354</v>
      </c>
      <c r="E47" s="704"/>
      <c r="G47" s="743"/>
      <c r="I47" s="745">
        <f t="shared" ref="I47:P47" si="5">I40-I43</f>
        <v>0</v>
      </c>
      <c r="J47" s="745">
        <f t="shared" si="5"/>
        <v>0</v>
      </c>
      <c r="K47" s="745">
        <f t="shared" si="5"/>
        <v>0</v>
      </c>
      <c r="L47" s="745">
        <f t="shared" si="5"/>
        <v>0</v>
      </c>
      <c r="M47" s="745">
        <f t="shared" si="5"/>
        <v>0</v>
      </c>
      <c r="N47" s="745">
        <f t="shared" si="5"/>
        <v>0</v>
      </c>
      <c r="O47" s="745">
        <f t="shared" si="5"/>
        <v>0</v>
      </c>
      <c r="P47" s="745">
        <f t="shared" si="5"/>
        <v>0</v>
      </c>
      <c r="Q47" s="692"/>
      <c r="R47" s="743"/>
      <c r="S47" s="692"/>
    </row>
    <row r="48" spans="2:153" s="692" customFormat="1" ht="6" customHeight="1">
      <c r="E48" s="696"/>
      <c r="G48" s="737"/>
      <c r="R48" s="737"/>
      <c r="EW48" s="737"/>
    </row>
    <row r="49" spans="2:154" s="742" customFormat="1">
      <c r="B49" s="692"/>
      <c r="C49" s="767" t="s">
        <v>385</v>
      </c>
      <c r="D49" s="767"/>
      <c r="E49" s="767" t="s">
        <v>386</v>
      </c>
      <c r="G49" s="743"/>
      <c r="I49" s="720"/>
      <c r="J49" s="720"/>
      <c r="K49" s="720"/>
      <c r="L49" s="720"/>
      <c r="M49" s="720"/>
      <c r="N49" s="720"/>
      <c r="O49" s="720"/>
      <c r="P49" s="720"/>
      <c r="Q49" s="720"/>
      <c r="R49" s="807"/>
      <c r="S49" s="720"/>
      <c r="T49" s="720"/>
      <c r="U49" s="720"/>
      <c r="V49" s="720"/>
      <c r="W49" s="720"/>
      <c r="X49" s="720"/>
      <c r="Y49" s="720"/>
      <c r="Z49" s="720"/>
      <c r="AA49" s="720"/>
      <c r="AB49" s="720"/>
      <c r="AC49" s="720"/>
      <c r="AD49" s="720"/>
      <c r="AE49" s="720"/>
      <c r="AF49" s="720"/>
      <c r="AG49" s="720"/>
      <c r="AH49" s="720"/>
      <c r="AI49" s="720"/>
      <c r="AJ49" s="720"/>
      <c r="AK49" s="720"/>
      <c r="AL49" s="720"/>
      <c r="AM49" s="720"/>
      <c r="AN49" s="720"/>
      <c r="AO49" s="720"/>
      <c r="AP49" s="720"/>
      <c r="AQ49" s="720"/>
      <c r="AR49" s="720"/>
      <c r="AS49" s="720"/>
      <c r="AT49" s="720"/>
      <c r="AU49" s="720"/>
      <c r="AV49" s="720"/>
      <c r="AW49" s="720"/>
      <c r="AX49" s="720"/>
      <c r="AY49" s="720"/>
      <c r="AZ49" s="720"/>
      <c r="BA49" s="720"/>
      <c r="BB49" s="720"/>
      <c r="BC49" s="720"/>
      <c r="BD49" s="720"/>
      <c r="BE49" s="720"/>
      <c r="BF49" s="720"/>
      <c r="BG49" s="720"/>
      <c r="BH49" s="720"/>
      <c r="BI49" s="720"/>
      <c r="BJ49" s="720"/>
      <c r="BK49" s="720"/>
      <c r="BL49" s="720"/>
      <c r="BM49" s="720"/>
      <c r="BN49" s="720"/>
      <c r="BO49" s="720"/>
      <c r="BP49" s="720"/>
      <c r="BQ49" s="720"/>
      <c r="BR49" s="720"/>
      <c r="BS49" s="720"/>
      <c r="BT49" s="720"/>
      <c r="BU49" s="720"/>
      <c r="BV49" s="720"/>
      <c r="BW49" s="720"/>
      <c r="BX49" s="720"/>
      <c r="BY49" s="720"/>
      <c r="BZ49" s="720"/>
      <c r="CA49" s="720"/>
      <c r="CB49" s="720"/>
      <c r="CC49" s="720"/>
      <c r="CD49" s="720"/>
      <c r="CE49" s="720"/>
      <c r="CF49" s="720"/>
      <c r="CG49" s="720"/>
      <c r="CH49" s="720"/>
      <c r="CI49" s="720"/>
      <c r="CJ49" s="720"/>
      <c r="CK49" s="720"/>
      <c r="CL49" s="720"/>
      <c r="CM49" s="720"/>
      <c r="CN49" s="720"/>
      <c r="CO49" s="720"/>
      <c r="CP49" s="720"/>
      <c r="CQ49" s="720"/>
      <c r="CR49" s="720"/>
      <c r="CS49" s="720"/>
      <c r="CT49" s="720"/>
      <c r="CU49" s="720"/>
      <c r="CV49" s="720"/>
      <c r="CW49" s="720"/>
      <c r="CX49" s="720"/>
      <c r="CY49" s="720"/>
      <c r="CZ49" s="720"/>
      <c r="DA49" s="720"/>
      <c r="DB49" s="720"/>
      <c r="DC49" s="720"/>
      <c r="DD49" s="720"/>
      <c r="DE49" s="720"/>
      <c r="DF49" s="720"/>
      <c r="DG49" s="720"/>
      <c r="DH49" s="720"/>
      <c r="DI49" s="720"/>
      <c r="DJ49" s="720"/>
      <c r="DK49" s="720"/>
      <c r="DL49" s="720"/>
      <c r="DM49" s="720"/>
      <c r="DN49" s="720"/>
      <c r="DO49" s="720"/>
      <c r="DP49" s="720"/>
      <c r="DQ49" s="720"/>
      <c r="DR49" s="720"/>
      <c r="DS49" s="720"/>
      <c r="DT49" s="720"/>
      <c r="DU49" s="720"/>
      <c r="DV49" s="720"/>
      <c r="DW49" s="720"/>
      <c r="DX49" s="720"/>
      <c r="DY49" s="720"/>
      <c r="DZ49" s="720"/>
      <c r="EA49" s="720"/>
      <c r="EB49" s="720"/>
      <c r="EC49" s="720"/>
      <c r="ED49" s="720"/>
      <c r="EE49" s="720"/>
      <c r="EF49" s="720"/>
      <c r="EG49" s="720"/>
      <c r="EH49" s="720"/>
      <c r="EI49" s="720"/>
      <c r="EJ49" s="720"/>
      <c r="EK49" s="720"/>
      <c r="EL49" s="720"/>
      <c r="EM49" s="720"/>
      <c r="EN49" s="720"/>
      <c r="EO49" s="720"/>
      <c r="EP49" s="720"/>
      <c r="EQ49" s="720"/>
      <c r="ER49" s="720"/>
      <c r="ES49" s="720"/>
      <c r="ET49" s="720"/>
      <c r="EU49" s="720"/>
      <c r="EV49" s="692"/>
      <c r="EW49" s="743"/>
      <c r="EX49" s="692"/>
    </row>
    <row r="50" spans="2:154" s="692" customFormat="1">
      <c r="B50" s="768" t="s">
        <v>353</v>
      </c>
      <c r="C50" s="769">
        <f>G50/$G$53</f>
        <v>0.47788126099524469</v>
      </c>
      <c r="D50" s="751"/>
      <c r="E50" s="770" t="str">
        <f>+'Waterfall (Two Tier)'!E68</f>
        <v>19.5% / 1.93x</v>
      </c>
      <c r="F50" s="751"/>
      <c r="G50" s="753">
        <f>SUM(I50:P50)</f>
        <v>11943595.737587513</v>
      </c>
      <c r="H50" s="751"/>
      <c r="I50" s="771">
        <f>SUMIF('Waterfall (Two Tier)'!$I$16:$FB$16,I$17,'Waterfall (Two Tier)'!$I68:$FB68)</f>
        <v>0</v>
      </c>
      <c r="J50" s="771">
        <f>SUMIF('Waterfall (Two Tier)'!$I$16:$FB$16,J$17,'Waterfall (Two Tier)'!$I68:$FB68)</f>
        <v>-12677773.386336364</v>
      </c>
      <c r="K50" s="771">
        <f>SUMIF('Waterfall (Two Tier)'!$I$16:$FB$16,K$17,'Waterfall (Two Tier)'!$I68:$FB68)</f>
        <v>493963.06030824385</v>
      </c>
      <c r="L50" s="771">
        <f>SUMIF('Waterfall (Two Tier)'!$I$16:$FB$16,L$17,'Waterfall (Two Tier)'!$I68:$FB68)</f>
        <v>851319.94683623628</v>
      </c>
      <c r="M50" s="771">
        <f>SUMIF('Waterfall (Two Tier)'!$I$16:$FB$16,M$17,'Waterfall (Two Tier)'!$I68:$FB68)</f>
        <v>994639.11652405746</v>
      </c>
      <c r="N50" s="771">
        <f>SUMIF('Waterfall (Two Tier)'!$I$16:$FB$16,N$17,'Waterfall (Two Tier)'!$I68:$FB68)</f>
        <v>22281447.000255339</v>
      </c>
      <c r="O50" s="771">
        <f>SUMIF('Waterfall (Two Tier)'!$I$16:$FB$16,O$17,'Waterfall (Two Tier)'!$I68:$FB68)</f>
        <v>0</v>
      </c>
      <c r="P50" s="771">
        <f>SUMIF('Waterfall (Two Tier)'!$I$16:$FB$16,P$17,'Waterfall (Two Tier)'!$I68:$FB68)</f>
        <v>0</v>
      </c>
      <c r="R50" s="753">
        <f>SUM(I50:L50)</f>
        <v>-11332490.379191883</v>
      </c>
      <c r="T50" s="772"/>
    </row>
    <row r="51" spans="2:154" s="692" customFormat="1">
      <c r="B51" s="773" t="s">
        <v>351</v>
      </c>
      <c r="C51" s="774">
        <f>G51/$G$53</f>
        <v>0.31734614445234705</v>
      </c>
      <c r="D51" s="756"/>
      <c r="E51" s="775" t="str">
        <f>+'Waterfall (Two Tier)'!E69</f>
        <v>25.5% / 2.32x</v>
      </c>
      <c r="F51" s="756"/>
      <c r="G51" s="758">
        <f>SUM(I51:P51)</f>
        <v>7931372.0113804583</v>
      </c>
      <c r="H51" s="756"/>
      <c r="I51" s="776">
        <f>SUMIF('Waterfall (Two Tier)'!$I$16:$FB$16,I$17,'Waterfall (Two Tier)'!$I69:$FB69)</f>
        <v>0</v>
      </c>
      <c r="J51" s="776">
        <f>SUMIF('Waterfall (Two Tier)'!$I$16:$FB$16,J$17,'Waterfall (Two Tier)'!$I69:$FB69)</f>
        <v>-5893532.2370175598</v>
      </c>
      <c r="K51" s="776">
        <f>SUMIF('Waterfall (Two Tier)'!$I$16:$FB$16,K$17,'Waterfall (Two Tier)'!$I69:$FB69)</f>
        <v>229629.22045601907</v>
      </c>
      <c r="L51" s="776">
        <f>SUMIF('Waterfall (Two Tier)'!$I$16:$FB$16,L$17,'Waterfall (Two Tier)'!$I69:$FB69)</f>
        <v>395754.15948851686</v>
      </c>
      <c r="M51" s="776">
        <f>SUMIF('Waterfall (Two Tier)'!$I$16:$FB$16,M$17,'Waterfall (Two Tier)'!$I69:$FB69)</f>
        <v>462379.11964501411</v>
      </c>
      <c r="N51" s="776">
        <f>SUMIF('Waterfall (Two Tier)'!$I$16:$FB$16,N$17,'Waterfall (Two Tier)'!$I69:$FB69)</f>
        <v>12737141.748808468</v>
      </c>
      <c r="O51" s="776">
        <f>SUMIF('Waterfall (Two Tier)'!$I$16:$FB$16,O$17,'Waterfall (Two Tier)'!$I69:$FB69)</f>
        <v>0</v>
      </c>
      <c r="P51" s="776">
        <f>SUMIF('Waterfall (Two Tier)'!$I$16:$FB$16,P$17,'Waterfall (Two Tier)'!$I69:$FB69)</f>
        <v>0</v>
      </c>
      <c r="R51" s="758">
        <f>SUM(I51:L51)</f>
        <v>-5268148.8570730239</v>
      </c>
      <c r="T51" s="772"/>
    </row>
    <row r="52" spans="2:154" s="692" customFormat="1">
      <c r="B52" s="773" t="s">
        <v>387</v>
      </c>
      <c r="C52" s="774">
        <f>G52/$G$53</f>
        <v>0.20477259455240787</v>
      </c>
      <c r="D52" s="756"/>
      <c r="E52" s="775" t="str">
        <f>+'Waterfall (Two Tier)'!E70</f>
        <v>n/m</v>
      </c>
      <c r="F52" s="756"/>
      <c r="G52" s="758">
        <f>SUM(I52:P52)</f>
        <v>5117842.6255454523</v>
      </c>
      <c r="H52" s="756"/>
      <c r="I52" s="776">
        <f>SUMIF('Waterfall (Two Tier)'!$I$16:$FB$16,I$17,'Waterfall (Two Tier)'!$I70:$FB70)</f>
        <v>0</v>
      </c>
      <c r="J52" s="776">
        <f>SUMIF('Waterfall (Two Tier)'!$I$16:$FB$16,J$17,'Waterfall (Two Tier)'!$I70:$FB70)</f>
        <v>0</v>
      </c>
      <c r="K52" s="776">
        <f>SUMIF('Waterfall (Two Tier)'!$I$16:$FB$16,K$17,'Waterfall (Two Tier)'!$I70:$FB70)</f>
        <v>0</v>
      </c>
      <c r="L52" s="776">
        <f>SUMIF('Waterfall (Two Tier)'!$I$16:$FB$16,L$17,'Waterfall (Two Tier)'!$I70:$FB70)</f>
        <v>0</v>
      </c>
      <c r="M52" s="776">
        <f>SUMIF('Waterfall (Two Tier)'!$I$16:$FB$16,M$17,'Waterfall (Two Tier)'!$I70:$FB70)</f>
        <v>0</v>
      </c>
      <c r="N52" s="776">
        <f>SUMIF('Waterfall (Two Tier)'!$I$16:$FB$16,N$17,'Waterfall (Two Tier)'!$I70:$FB70)</f>
        <v>5117842.6255454523</v>
      </c>
      <c r="O52" s="776">
        <f>SUMIF('Waterfall (Two Tier)'!$I$16:$FB$16,O$17,'Waterfall (Two Tier)'!$I70:$FB70)</f>
        <v>0</v>
      </c>
      <c r="P52" s="776">
        <f>SUMIF('Waterfall (Two Tier)'!$I$16:$FB$16,P$17,'Waterfall (Two Tier)'!$I70:$FB70)</f>
        <v>0</v>
      </c>
      <c r="R52" s="758">
        <f>SUM(I52:L52)</f>
        <v>0</v>
      </c>
      <c r="T52" s="772"/>
    </row>
    <row r="53" spans="2:154" s="692" customFormat="1">
      <c r="B53" s="699" t="s">
        <v>352</v>
      </c>
      <c r="E53" s="777" t="str">
        <f>+'Waterfall (Two Tier)'!E71</f>
        <v>25.5% / 2.32x</v>
      </c>
      <c r="G53" s="778">
        <f>SUM(I53:P53)</f>
        <v>24992810.374513432</v>
      </c>
      <c r="I53" s="779">
        <f>SUMIF('Waterfall (Two Tier)'!$I$16:$FB$16,I$17,'Waterfall (Two Tier)'!$I71:$FB71)</f>
        <v>0</v>
      </c>
      <c r="J53" s="780">
        <f>SUMIF('Waterfall (Two Tier)'!$I$16:$FB$16,J$17,'Waterfall (Two Tier)'!$I71:$FB71)</f>
        <v>-18571305.623353917</v>
      </c>
      <c r="K53" s="780">
        <f>SUMIF('Waterfall (Two Tier)'!$I$16:$FB$16,K$17,'Waterfall (Two Tier)'!$I71:$FB71)</f>
        <v>723592.28076426289</v>
      </c>
      <c r="L53" s="780">
        <f>SUMIF('Waterfall (Two Tier)'!$I$16:$FB$16,L$17,'Waterfall (Two Tier)'!$I71:$FB71)</f>
        <v>1247074.106324753</v>
      </c>
      <c r="M53" s="780">
        <f>SUMIF('Waterfall (Two Tier)'!$I$16:$FB$16,M$17,'Waterfall (Two Tier)'!$I71:$FB71)</f>
        <v>1457018.2361690716</v>
      </c>
      <c r="N53" s="780">
        <f>SUMIF('Waterfall (Two Tier)'!$I$16:$FB$16,N$17,'Waterfall (Two Tier)'!$I71:$FB71)</f>
        <v>40136431.374609262</v>
      </c>
      <c r="O53" s="780">
        <f>SUMIF('Waterfall (Two Tier)'!$I$16:$FB$16,O$17,'Waterfall (Two Tier)'!$I71:$FB71)</f>
        <v>0</v>
      </c>
      <c r="P53" s="780">
        <f>SUMIF('Waterfall (Two Tier)'!$I$16:$FB$16,P$17,'Waterfall (Two Tier)'!$I71:$FB71)</f>
        <v>0</v>
      </c>
      <c r="R53" s="778">
        <f>SUM(R50:R52)</f>
        <v>-16600639.236264907</v>
      </c>
    </row>
    <row r="54" spans="2:154" s="692" customFormat="1" ht="12.75" customHeight="1" thickBot="1"/>
    <row r="55" spans="2:154" s="692" customFormat="1" ht="14.25" thickBot="1">
      <c r="B55" s="808" t="s">
        <v>388</v>
      </c>
      <c r="C55" s="809">
        <f>G55/$G$53</f>
        <v>0.52211873900475492</v>
      </c>
      <c r="D55" s="810"/>
      <c r="E55" s="811" t="str">
        <f>+'Waterfall (Two Tier)'!E73</f>
        <v>36.1% / 3.18x</v>
      </c>
      <c r="F55" s="810"/>
      <c r="G55" s="812">
        <f>SUM(I55:P55)</f>
        <v>13049214.63692591</v>
      </c>
      <c r="H55" s="810"/>
      <c r="I55" s="813">
        <f>SUMIF('Waterfall (Two Tier)'!$I$16:$FB$16,I$17,'Waterfall (Two Tier)'!$I73:$FB73)</f>
        <v>0</v>
      </c>
      <c r="J55" s="813">
        <f>SUMIF('Waterfall (Two Tier)'!$I$16:$FB$16,J$17,'Waterfall (Two Tier)'!$I73:$FB73)</f>
        <v>-5893532.2370175598</v>
      </c>
      <c r="K55" s="813">
        <f>SUMIF('Waterfall (Two Tier)'!$I$16:$FB$16,K$17,'Waterfall (Two Tier)'!$I73:$FB73)</f>
        <v>229629.22045601907</v>
      </c>
      <c r="L55" s="813">
        <f>SUMIF('Waterfall (Two Tier)'!$I$16:$FB$16,L$17,'Waterfall (Two Tier)'!$I73:$FB73)</f>
        <v>395754.15948851686</v>
      </c>
      <c r="M55" s="813">
        <f>SUMIF('Waterfall (Two Tier)'!$I$16:$FB$16,M$17,'Waterfall (Two Tier)'!$I73:$FB73)</f>
        <v>462379.11964501411</v>
      </c>
      <c r="N55" s="813">
        <f>SUMIF('Waterfall (Two Tier)'!$I$16:$FB$16,N$17,'Waterfall (Two Tier)'!$I73:$FB73)</f>
        <v>17854984.374353919</v>
      </c>
      <c r="O55" s="813">
        <f>SUMIF('Waterfall (Two Tier)'!$I$16:$FB$16,O$17,'Waterfall (Two Tier)'!$I73:$FB73)</f>
        <v>0</v>
      </c>
      <c r="P55" s="813">
        <f>SUMIF('Waterfall (Two Tier)'!$I$16:$FB$16,P$17,'Waterfall (Two Tier)'!$I73:$FB73)</f>
        <v>0</v>
      </c>
      <c r="R55" s="758">
        <f>SUM(I55:L55)</f>
        <v>-5268148.8570730239</v>
      </c>
      <c r="T55" s="772"/>
    </row>
    <row r="56" spans="2:154" s="692" customFormat="1">
      <c r="B56" s="699"/>
      <c r="C56" s="782"/>
      <c r="E56" s="777"/>
      <c r="G56" s="714"/>
      <c r="I56" s="714"/>
      <c r="J56" s="714"/>
      <c r="K56" s="714"/>
      <c r="L56" s="714"/>
      <c r="M56" s="714"/>
      <c r="N56" s="714"/>
      <c r="O56" s="714"/>
      <c r="P56" s="714"/>
      <c r="R56" s="714"/>
      <c r="T56" s="772"/>
    </row>
    <row r="57" spans="2:154" s="692" customFormat="1">
      <c r="B57" s="783" t="s">
        <v>350</v>
      </c>
      <c r="C57" s="783"/>
      <c r="D57" s="783"/>
      <c r="E57" s="784"/>
      <c r="F57" s="783"/>
      <c r="G57" s="785">
        <f>G19-G53</f>
        <v>0</v>
      </c>
      <c r="I57" s="785">
        <f t="shared" ref="I57:P57" si="6">I19-I53</f>
        <v>0</v>
      </c>
      <c r="J57" s="785">
        <f t="shared" si="6"/>
        <v>0</v>
      </c>
      <c r="K57" s="785">
        <f t="shared" si="6"/>
        <v>0</v>
      </c>
      <c r="L57" s="785">
        <f t="shared" si="6"/>
        <v>0</v>
      </c>
      <c r="M57" s="785">
        <f t="shared" si="6"/>
        <v>0</v>
      </c>
      <c r="N57" s="785">
        <f t="shared" si="6"/>
        <v>0</v>
      </c>
      <c r="O57" s="785">
        <f t="shared" si="6"/>
        <v>0</v>
      </c>
      <c r="P57" s="785">
        <f t="shared" si="6"/>
        <v>0</v>
      </c>
      <c r="R57" s="785">
        <f>R19-R53</f>
        <v>0</v>
      </c>
    </row>
    <row r="59" spans="2:154">
      <c r="B59" s="814" t="s">
        <v>390</v>
      </c>
      <c r="G59" s="815">
        <f>SUMIF('Waterfall (Two Tier)'!I73:FB73,"&gt;0")</f>
        <v>19037126.39543207</v>
      </c>
    </row>
    <row r="62" spans="2:154">
      <c r="G62" s="786"/>
    </row>
  </sheetData>
  <pageMargins left="0.25" right="0.25" top="0.75" bottom="0.75" header="0.3" footer="0.3"/>
  <pageSetup paperSize="3" scale="1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Summary</vt:lpstr>
      <vt:lpstr>P_L</vt:lpstr>
      <vt:lpstr>Detail</vt:lpstr>
      <vt:lpstr>Cash Flow</vt:lpstr>
      <vt:lpstr>Sensitivity</vt:lpstr>
      <vt:lpstr>Waterfall (Two Tier)</vt:lpstr>
      <vt:lpstr>Annual Waterfall (Two Tier)</vt:lpstr>
      <vt:lpstr>'Annual Waterfall (Two Tier)'!Print_Area</vt:lpstr>
      <vt:lpstr>'Cash Flow'!Print_Area</vt:lpstr>
      <vt:lpstr>P_L!Print_Area</vt:lpstr>
      <vt:lpstr>Summary!Print_Area</vt:lpstr>
      <vt:lpstr>'Waterfall (Two Tier)'!Print_Area</vt:lpstr>
      <vt:lpstr>'Annual Waterfall (Two Tier)'!Print_Titles</vt:lpstr>
      <vt:lpstr>'Waterfall (Two Tier)'!Print_Titles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Ecclestone</dc:creator>
  <cp:lastModifiedBy>Edwin Ecclestone</cp:lastModifiedBy>
  <cp:lastPrinted>2026-01-07T20:25:45Z</cp:lastPrinted>
  <dcterms:created xsi:type="dcterms:W3CDTF">2025-05-09T20:52:48Z</dcterms:created>
  <dcterms:modified xsi:type="dcterms:W3CDTF">2026-03-18T22:14:09Z</dcterms:modified>
</cp:coreProperties>
</file>