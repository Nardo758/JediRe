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partnersinc-my.sharepoint.com/personal/kherrera2_bellpartnersinc_com/Documents/Documents/"/>
    </mc:Choice>
  </mc:AlternateContent>
  <xr:revisionPtr revIDLastSave="0" documentId="8_{66D367AD-2015-479B-A981-3672C6A13AC6}" xr6:coauthVersionLast="47" xr6:coauthVersionMax="47" xr10:uidLastSave="{00000000-0000-0000-0000-000000000000}"/>
  <bookViews>
    <workbookView xWindow="-120" yWindow="-120" windowWidth="29040" windowHeight="15720" xr2:uid="{8FAD1883-C6B6-4F20-A680-FBD8DBE94495}"/>
  </bookViews>
  <sheets>
    <sheet name="Weekly" sheetId="5" r:id="rId1"/>
    <sheet name="Renewal &amp; Trade Out" sheetId="7" r:id="rId2"/>
    <sheet name="New lease trade ou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3" i="7" l="1"/>
  <c r="I1503" i="7"/>
  <c r="I1493" i="7"/>
  <c r="I1483" i="7"/>
  <c r="I1473" i="7"/>
  <c r="K1527" i="7"/>
  <c r="J1527" i="7"/>
  <c r="I1527" i="7"/>
  <c r="L1527" i="7" s="1"/>
  <c r="K1526" i="7"/>
  <c r="L1526" i="7" s="1"/>
  <c r="J1526" i="7"/>
  <c r="I1526" i="7"/>
  <c r="K1525" i="7"/>
  <c r="J1525" i="7"/>
  <c r="I1525" i="7"/>
  <c r="L1525" i="7" s="1"/>
  <c r="K1524" i="7"/>
  <c r="L1524" i="7" s="1"/>
  <c r="J1524" i="7"/>
  <c r="I1524" i="7"/>
  <c r="L1523" i="7"/>
  <c r="K1523" i="7"/>
  <c r="J1523" i="7"/>
  <c r="K1522" i="7"/>
  <c r="J1522" i="7"/>
  <c r="I1522" i="7"/>
  <c r="L1522" i="7" s="1"/>
  <c r="K1521" i="7"/>
  <c r="L1521" i="7" s="1"/>
  <c r="J1521" i="7"/>
  <c r="I1521" i="7"/>
  <c r="K1520" i="7"/>
  <c r="J1520" i="7"/>
  <c r="I1520" i="7"/>
  <c r="L1520" i="7" s="1"/>
  <c r="K1519" i="7"/>
  <c r="J1519" i="7"/>
  <c r="I1519" i="7"/>
  <c r="K1518" i="7"/>
  <c r="J1518" i="7"/>
  <c r="I1518" i="7"/>
  <c r="K1517" i="7"/>
  <c r="J1517" i="7"/>
  <c r="I1517" i="7"/>
  <c r="K1516" i="7"/>
  <c r="J1516" i="7"/>
  <c r="I1516" i="7"/>
  <c r="K1515" i="7"/>
  <c r="J1515" i="7"/>
  <c r="I1515" i="7"/>
  <c r="K1514" i="7"/>
  <c r="L1514" i="7" s="1"/>
  <c r="J1514" i="7"/>
  <c r="I1514" i="7"/>
  <c r="K1513" i="7"/>
  <c r="L1513" i="7" s="1"/>
  <c r="J1513" i="7"/>
  <c r="K1512" i="7"/>
  <c r="J1512" i="7"/>
  <c r="I1512" i="7"/>
  <c r="K1511" i="7"/>
  <c r="J1511" i="7"/>
  <c r="I1511" i="7"/>
  <c r="K1510" i="7"/>
  <c r="J1510" i="7"/>
  <c r="I1510" i="7"/>
  <c r="K1509" i="7"/>
  <c r="J1509" i="7"/>
  <c r="I1509" i="7"/>
  <c r="K1508" i="7"/>
  <c r="J1508" i="7"/>
  <c r="I1508" i="7"/>
  <c r="L1508" i="7" s="1"/>
  <c r="K1507" i="7"/>
  <c r="J1507" i="7"/>
  <c r="I1507" i="7"/>
  <c r="K1506" i="7"/>
  <c r="L1506" i="7" s="1"/>
  <c r="J1506" i="7"/>
  <c r="I1506" i="7"/>
  <c r="K1505" i="7"/>
  <c r="J1505" i="7"/>
  <c r="I1505" i="7"/>
  <c r="K1504" i="7"/>
  <c r="J1504" i="7"/>
  <c r="I1504" i="7"/>
  <c r="K1503" i="7"/>
  <c r="J1503" i="7"/>
  <c r="K1502" i="7"/>
  <c r="J1502" i="7"/>
  <c r="I1502" i="7"/>
  <c r="K1501" i="7"/>
  <c r="J1501" i="7"/>
  <c r="I1501" i="7"/>
  <c r="K1500" i="7"/>
  <c r="J1500" i="7"/>
  <c r="I1500" i="7"/>
  <c r="L1500" i="7" s="1"/>
  <c r="K1499" i="7"/>
  <c r="L1499" i="7" s="1"/>
  <c r="J1499" i="7"/>
  <c r="I1499" i="7"/>
  <c r="K1498" i="7"/>
  <c r="J1498" i="7"/>
  <c r="I1498" i="7"/>
  <c r="K1497" i="7"/>
  <c r="J1497" i="7"/>
  <c r="I1497" i="7"/>
  <c r="K1496" i="7"/>
  <c r="J1496" i="7"/>
  <c r="I1496" i="7"/>
  <c r="K1495" i="7"/>
  <c r="J1495" i="7"/>
  <c r="I1495" i="7"/>
  <c r="K1494" i="7"/>
  <c r="L1494" i="7" s="1"/>
  <c r="J1494" i="7"/>
  <c r="I1494" i="7"/>
  <c r="K1493" i="7"/>
  <c r="J1493" i="7"/>
  <c r="K1492" i="7"/>
  <c r="J1492" i="7"/>
  <c r="I1492" i="7"/>
  <c r="K1491" i="7"/>
  <c r="L1491" i="7" s="1"/>
  <c r="J1491" i="7"/>
  <c r="I1491" i="7"/>
  <c r="K1490" i="7"/>
  <c r="J1490" i="7"/>
  <c r="I1490" i="7"/>
  <c r="K1489" i="7"/>
  <c r="J1489" i="7"/>
  <c r="I1489" i="7"/>
  <c r="K1488" i="7"/>
  <c r="J1488" i="7"/>
  <c r="I1488" i="7"/>
  <c r="K1487" i="7"/>
  <c r="J1487" i="7"/>
  <c r="I1487" i="7"/>
  <c r="K1486" i="7"/>
  <c r="J1486" i="7"/>
  <c r="I1486" i="7"/>
  <c r="K1485" i="7"/>
  <c r="J1485" i="7"/>
  <c r="I1485" i="7"/>
  <c r="K1484" i="7"/>
  <c r="J1484" i="7"/>
  <c r="I1484" i="7"/>
  <c r="K1483" i="7"/>
  <c r="J1483" i="7"/>
  <c r="K1482" i="7"/>
  <c r="J1482" i="7"/>
  <c r="I1482" i="7"/>
  <c r="K1481" i="7"/>
  <c r="L1481" i="7" s="1"/>
  <c r="J1481" i="7"/>
  <c r="I1481" i="7"/>
  <c r="K1480" i="7"/>
  <c r="J1480" i="7"/>
  <c r="I1480" i="7"/>
  <c r="L1480" i="7" s="1"/>
  <c r="K1479" i="7"/>
  <c r="L1479" i="7" s="1"/>
  <c r="J1479" i="7"/>
  <c r="I1479" i="7"/>
  <c r="K1478" i="7"/>
  <c r="J1478" i="7"/>
  <c r="I1478" i="7"/>
  <c r="K1477" i="7"/>
  <c r="J1477" i="7"/>
  <c r="I1477" i="7"/>
  <c r="K1476" i="7"/>
  <c r="J1476" i="7"/>
  <c r="I1476" i="7"/>
  <c r="K1475" i="7"/>
  <c r="J1475" i="7"/>
  <c r="I1475" i="7"/>
  <c r="K1474" i="7"/>
  <c r="L1474" i="7" s="1"/>
  <c r="J1474" i="7"/>
  <c r="I1474" i="7"/>
  <c r="K1473" i="7"/>
  <c r="L1473" i="7" s="1"/>
  <c r="J1473" i="7"/>
  <c r="K1472" i="7"/>
  <c r="J1472" i="7"/>
  <c r="I1472" i="7"/>
  <c r="L1471" i="7"/>
  <c r="K1471" i="7"/>
  <c r="J1471" i="7"/>
  <c r="I1471" i="7"/>
  <c r="K1470" i="7"/>
  <c r="J1470" i="7"/>
  <c r="I1470" i="7"/>
  <c r="K1469" i="7"/>
  <c r="J1469" i="7"/>
  <c r="I1469" i="7"/>
  <c r="K1468" i="7"/>
  <c r="J1468" i="7"/>
  <c r="I1468" i="7"/>
  <c r="K1467" i="7"/>
  <c r="J1467" i="7"/>
  <c r="I1467" i="7"/>
  <c r="K1466" i="7"/>
  <c r="L1466" i="7" s="1"/>
  <c r="J1466" i="7"/>
  <c r="I1466" i="7"/>
  <c r="K1465" i="7"/>
  <c r="J1465" i="7"/>
  <c r="I1465" i="7"/>
  <c r="K1464" i="7"/>
  <c r="J1464" i="7"/>
  <c r="I1464" i="7"/>
  <c r="K1463" i="7"/>
  <c r="L1463" i="7" s="1"/>
  <c r="J1463" i="7"/>
  <c r="K1462" i="7"/>
  <c r="L1462" i="7" s="1"/>
  <c r="J1462" i="7"/>
  <c r="I1462" i="7"/>
  <c r="K1461" i="7"/>
  <c r="J1461" i="7"/>
  <c r="I1461" i="7"/>
  <c r="K1460" i="7"/>
  <c r="J1460" i="7"/>
  <c r="I1460" i="7"/>
  <c r="K1459" i="7"/>
  <c r="L1459" i="7" s="1"/>
  <c r="J1459" i="7"/>
  <c r="I1459" i="7"/>
  <c r="K1458" i="7"/>
  <c r="J1458" i="7"/>
  <c r="I1458" i="7"/>
  <c r="K1457" i="7"/>
  <c r="J1457" i="7"/>
  <c r="I1457" i="7"/>
  <c r="K1456" i="7"/>
  <c r="J1456" i="7"/>
  <c r="I1456" i="7"/>
  <c r="K1455" i="7"/>
  <c r="J1455" i="7"/>
  <c r="I1455" i="7"/>
  <c r="K1454" i="7"/>
  <c r="J1454" i="7"/>
  <c r="I1454" i="7"/>
  <c r="K1453" i="7"/>
  <c r="J1453" i="7"/>
  <c r="I1453" i="7"/>
  <c r="K1452" i="7"/>
  <c r="J1452" i="7"/>
  <c r="I1452" i="7"/>
  <c r="K1451" i="7"/>
  <c r="L1451" i="7" s="1"/>
  <c r="J1451" i="7"/>
  <c r="I1451" i="7"/>
  <c r="K1450" i="7"/>
  <c r="J1450" i="7"/>
  <c r="I1450" i="7"/>
  <c r="K1449" i="7"/>
  <c r="J1449" i="7"/>
  <c r="I1449" i="7"/>
  <c r="K1448" i="7"/>
  <c r="J1448" i="7"/>
  <c r="I1448" i="7"/>
  <c r="K1447" i="7"/>
  <c r="J1447" i="7"/>
  <c r="I1447" i="7"/>
  <c r="K1446" i="7"/>
  <c r="J1446" i="7"/>
  <c r="I1446" i="7"/>
  <c r="K1445" i="7"/>
  <c r="J1445" i="7"/>
  <c r="I1445" i="7"/>
  <c r="L1444" i="7"/>
  <c r="K1444" i="7"/>
  <c r="J1444" i="7"/>
  <c r="I1444" i="7"/>
  <c r="K1443" i="7"/>
  <c r="J1443" i="7"/>
  <c r="I1443" i="7"/>
  <c r="L1442" i="7"/>
  <c r="K1442" i="7"/>
  <c r="J1442" i="7"/>
  <c r="I1442" i="7"/>
  <c r="K1441" i="7"/>
  <c r="L1441" i="7" s="1"/>
  <c r="J1441" i="7"/>
  <c r="I1441" i="7"/>
  <c r="K1440" i="7"/>
  <c r="J1440" i="7"/>
  <c r="I1440" i="7"/>
  <c r="L1440" i="7" s="1"/>
  <c r="K1439" i="7"/>
  <c r="J1439" i="7"/>
  <c r="I1439" i="7"/>
  <c r="L1438" i="7"/>
  <c r="K1438" i="7"/>
  <c r="J1438" i="7"/>
  <c r="I1438" i="7"/>
  <c r="K1437" i="7"/>
  <c r="J1437" i="7"/>
  <c r="I1437" i="7"/>
  <c r="K1436" i="7"/>
  <c r="L1436" i="7" s="1"/>
  <c r="J1436" i="7"/>
  <c r="I1436" i="7"/>
  <c r="K1435" i="7"/>
  <c r="J1435" i="7"/>
  <c r="I1435" i="7"/>
  <c r="K1434" i="7"/>
  <c r="J1434" i="7"/>
  <c r="I1434" i="7"/>
  <c r="K1433" i="7"/>
  <c r="J1433" i="7"/>
  <c r="I1433" i="7"/>
  <c r="K1432" i="7"/>
  <c r="J1432" i="7"/>
  <c r="I1432" i="7"/>
  <c r="K1431" i="7"/>
  <c r="J1431" i="7"/>
  <c r="I1431" i="7"/>
  <c r="K1430" i="7"/>
  <c r="J1430" i="7"/>
  <c r="I1430" i="7"/>
  <c r="K1429" i="7"/>
  <c r="L1429" i="7" s="1"/>
  <c r="J1429" i="7"/>
  <c r="I1429" i="7"/>
  <c r="K1428" i="7"/>
  <c r="J1428" i="7"/>
  <c r="I1428" i="7"/>
  <c r="K1427" i="7"/>
  <c r="J1427" i="7"/>
  <c r="I1427" i="7"/>
  <c r="K1426" i="7"/>
  <c r="J1426" i="7"/>
  <c r="I1426" i="7"/>
  <c r="L1426" i="7" s="1"/>
  <c r="K1425" i="7"/>
  <c r="J1425" i="7"/>
  <c r="I1425" i="7"/>
  <c r="K1424" i="7"/>
  <c r="L1424" i="7" s="1"/>
  <c r="J1424" i="7"/>
  <c r="I1424" i="7"/>
  <c r="K1423" i="7"/>
  <c r="J1423" i="7"/>
  <c r="I1423" i="7"/>
  <c r="K1422" i="7"/>
  <c r="J1422" i="7"/>
  <c r="I1422" i="7"/>
  <c r="K1421" i="7"/>
  <c r="J1421" i="7"/>
  <c r="I1421" i="7"/>
  <c r="K1420" i="7"/>
  <c r="L1420" i="7" s="1"/>
  <c r="J1420" i="7"/>
  <c r="I1420" i="7"/>
  <c r="K1419" i="7"/>
  <c r="J1419" i="7"/>
  <c r="I1419" i="7"/>
  <c r="K1418" i="7"/>
  <c r="J1418" i="7"/>
  <c r="I1418" i="7"/>
  <c r="K1417" i="7"/>
  <c r="L1417" i="7" s="1"/>
  <c r="J1417" i="7"/>
  <c r="I1417" i="7"/>
  <c r="K1416" i="7"/>
  <c r="J1416" i="7"/>
  <c r="I1416" i="7"/>
  <c r="K1415" i="7"/>
  <c r="J1415" i="7"/>
  <c r="I1415" i="7"/>
  <c r="K1414" i="7"/>
  <c r="J1414" i="7"/>
  <c r="I1414" i="7"/>
  <c r="K1413" i="7"/>
  <c r="J1413" i="7"/>
  <c r="I1413" i="7"/>
  <c r="K1412" i="7"/>
  <c r="J1412" i="7"/>
  <c r="I1412" i="7"/>
  <c r="K1411" i="7"/>
  <c r="J1411" i="7"/>
  <c r="I1411" i="7"/>
  <c r="K1410" i="7"/>
  <c r="L1410" i="7" s="1"/>
  <c r="J1410" i="7"/>
  <c r="I1410" i="7"/>
  <c r="K1409" i="7"/>
  <c r="J1409" i="7"/>
  <c r="I1409" i="7"/>
  <c r="K1408" i="7"/>
  <c r="J1408" i="7"/>
  <c r="I1408" i="7"/>
  <c r="K1407" i="7"/>
  <c r="J1407" i="7"/>
  <c r="I1407" i="7"/>
  <c r="K1406" i="7"/>
  <c r="J1406" i="7"/>
  <c r="I1406" i="7"/>
  <c r="K1405" i="7"/>
  <c r="J1405" i="7"/>
  <c r="I1405" i="7"/>
  <c r="K1404" i="7"/>
  <c r="J1404" i="7"/>
  <c r="I1404" i="7"/>
  <c r="K1403" i="7"/>
  <c r="J1403" i="7"/>
  <c r="I1403" i="7"/>
  <c r="K1402" i="7"/>
  <c r="L1402" i="7" s="1"/>
  <c r="J1402" i="7"/>
  <c r="I1402" i="7"/>
  <c r="K1401" i="7"/>
  <c r="J1401" i="7"/>
  <c r="I1401" i="7"/>
  <c r="K1400" i="7"/>
  <c r="J1400" i="7"/>
  <c r="I1400" i="7"/>
  <c r="K1399" i="7"/>
  <c r="J1399" i="7"/>
  <c r="I1399" i="7"/>
  <c r="K1398" i="7"/>
  <c r="J1398" i="7"/>
  <c r="I1398" i="7"/>
  <c r="K1397" i="7"/>
  <c r="J1397" i="7"/>
  <c r="I1397" i="7"/>
  <c r="K1396" i="7"/>
  <c r="J1396" i="7"/>
  <c r="I1396" i="7"/>
  <c r="K1395" i="7"/>
  <c r="L1395" i="7" s="1"/>
  <c r="J1395" i="7"/>
  <c r="I1395" i="7"/>
  <c r="K1394" i="7"/>
  <c r="J1394" i="7"/>
  <c r="I1394" i="7"/>
  <c r="K1393" i="7"/>
  <c r="J1393" i="7"/>
  <c r="I1393" i="7"/>
  <c r="K1392" i="7"/>
  <c r="L1392" i="7" s="1"/>
  <c r="J1392" i="7"/>
  <c r="I1392" i="7"/>
  <c r="K1391" i="7"/>
  <c r="J1391" i="7"/>
  <c r="I1391" i="7"/>
  <c r="K1390" i="7"/>
  <c r="J1390" i="7"/>
  <c r="I1390" i="7"/>
  <c r="K1389" i="7"/>
  <c r="J1389" i="7"/>
  <c r="I1389" i="7"/>
  <c r="K1388" i="7"/>
  <c r="J1388" i="7"/>
  <c r="I1388" i="7"/>
  <c r="K1387" i="7"/>
  <c r="J1387" i="7"/>
  <c r="I1387" i="7"/>
  <c r="K1386" i="7"/>
  <c r="J1386" i="7"/>
  <c r="I1386" i="7"/>
  <c r="K1385" i="7"/>
  <c r="J1385" i="7"/>
  <c r="I1385" i="7"/>
  <c r="K1384" i="7"/>
  <c r="L1384" i="7" s="1"/>
  <c r="J1384" i="7"/>
  <c r="I1384" i="7"/>
  <c r="K1383" i="7"/>
  <c r="J1383" i="7"/>
  <c r="I1383" i="7"/>
  <c r="K1382" i="7"/>
  <c r="J1382" i="7"/>
  <c r="I1382" i="7"/>
  <c r="K1381" i="7"/>
  <c r="J1381" i="7"/>
  <c r="I1381" i="7"/>
  <c r="K1380" i="7"/>
  <c r="J1380" i="7"/>
  <c r="I1380" i="7"/>
  <c r="K1379" i="7"/>
  <c r="J1379" i="7"/>
  <c r="I1379" i="7"/>
  <c r="K1378" i="7"/>
  <c r="J1378" i="7"/>
  <c r="I1378" i="7"/>
  <c r="K1377" i="7"/>
  <c r="J1377" i="7"/>
  <c r="I1377" i="7"/>
  <c r="K1376" i="7"/>
  <c r="L1376" i="7" s="1"/>
  <c r="J1376" i="7"/>
  <c r="I1376" i="7"/>
  <c r="K1375" i="7"/>
  <c r="J1375" i="7"/>
  <c r="I1375" i="7"/>
  <c r="K1374" i="7"/>
  <c r="J1374" i="7"/>
  <c r="I1374" i="7"/>
  <c r="K1373" i="7"/>
  <c r="J1373" i="7"/>
  <c r="I1373" i="7"/>
  <c r="K1372" i="7"/>
  <c r="J1372" i="7"/>
  <c r="I1372" i="7"/>
  <c r="K1371" i="7"/>
  <c r="J1371" i="7"/>
  <c r="I1371" i="7"/>
  <c r="L1371" i="7" s="1"/>
  <c r="K1370" i="7"/>
  <c r="J1370" i="7"/>
  <c r="I1370" i="7"/>
  <c r="K1369" i="7"/>
  <c r="L1369" i="7" s="1"/>
  <c r="J1369" i="7"/>
  <c r="I1369" i="7"/>
  <c r="K1368" i="7"/>
  <c r="J1368" i="7"/>
  <c r="I1368" i="7"/>
  <c r="K1367" i="7"/>
  <c r="L1367" i="7" s="1"/>
  <c r="J1367" i="7"/>
  <c r="I1367" i="7"/>
  <c r="K1366" i="7"/>
  <c r="L1366" i="7" s="1"/>
  <c r="J1366" i="7"/>
  <c r="I1366" i="7"/>
  <c r="K1365" i="7"/>
  <c r="J1365" i="7"/>
  <c r="I1365" i="7"/>
  <c r="K1364" i="7"/>
  <c r="J1364" i="7"/>
  <c r="I1364" i="7"/>
  <c r="K1363" i="7"/>
  <c r="J1363" i="7"/>
  <c r="I1363" i="7"/>
  <c r="K1362" i="7"/>
  <c r="L1362" i="7" s="1"/>
  <c r="J1362" i="7"/>
  <c r="I1362" i="7"/>
  <c r="K1361" i="7"/>
  <c r="J1361" i="7"/>
  <c r="I1361" i="7"/>
  <c r="K1360" i="7"/>
  <c r="J1360" i="7"/>
  <c r="I1360" i="7"/>
  <c r="K1359" i="7"/>
  <c r="J1359" i="7"/>
  <c r="I1359" i="7"/>
  <c r="K1358" i="7"/>
  <c r="J1358" i="7"/>
  <c r="I1358" i="7"/>
  <c r="K1357" i="7"/>
  <c r="L1357" i="7" s="1"/>
  <c r="J1357" i="7"/>
  <c r="I1357" i="7"/>
  <c r="K1356" i="7"/>
  <c r="J1356" i="7"/>
  <c r="I1356" i="7"/>
  <c r="K1355" i="7"/>
  <c r="L1355" i="7" s="1"/>
  <c r="J1355" i="7"/>
  <c r="I1355" i="7"/>
  <c r="K1354" i="7"/>
  <c r="J1354" i="7"/>
  <c r="I1354" i="7"/>
  <c r="K1353" i="7"/>
  <c r="J1353" i="7"/>
  <c r="I1353" i="7"/>
  <c r="K1352" i="7"/>
  <c r="L1352" i="7" s="1"/>
  <c r="J1352" i="7"/>
  <c r="I1352" i="7"/>
  <c r="K1351" i="7"/>
  <c r="J1351" i="7"/>
  <c r="I1351" i="7"/>
  <c r="K1350" i="7"/>
  <c r="J1350" i="7"/>
  <c r="I1350" i="7"/>
  <c r="K1349" i="7"/>
  <c r="J1349" i="7"/>
  <c r="I1349" i="7"/>
  <c r="K1348" i="7"/>
  <c r="J1348" i="7"/>
  <c r="I1348" i="7"/>
  <c r="K1347" i="7"/>
  <c r="L1347" i="7" s="1"/>
  <c r="J1347" i="7"/>
  <c r="I1347" i="7"/>
  <c r="K1346" i="7"/>
  <c r="J1346" i="7"/>
  <c r="I1346" i="7"/>
  <c r="L1346" i="7" s="1"/>
  <c r="K1345" i="7"/>
  <c r="J1345" i="7"/>
  <c r="I1345" i="7"/>
  <c r="K1344" i="7"/>
  <c r="J1344" i="7"/>
  <c r="I1344" i="7"/>
  <c r="K1343" i="7"/>
  <c r="J1343" i="7"/>
  <c r="I1343" i="7"/>
  <c r="K1342" i="7"/>
  <c r="L1342" i="7" s="1"/>
  <c r="J1342" i="7"/>
  <c r="I1342" i="7"/>
  <c r="K1341" i="7"/>
  <c r="J1341" i="7"/>
  <c r="I1341" i="7"/>
  <c r="K1340" i="7"/>
  <c r="J1340" i="7"/>
  <c r="I1340" i="7"/>
  <c r="L1340" i="7" s="1"/>
  <c r="K1339" i="7"/>
  <c r="J1339" i="7"/>
  <c r="I1339" i="7"/>
  <c r="K1338" i="7"/>
  <c r="J1338" i="7"/>
  <c r="I1338" i="7"/>
  <c r="K1337" i="7"/>
  <c r="J1337" i="7"/>
  <c r="I1337" i="7"/>
  <c r="K1336" i="7"/>
  <c r="J1336" i="7"/>
  <c r="I1336" i="7"/>
  <c r="K1335" i="7"/>
  <c r="L1335" i="7" s="1"/>
  <c r="J1335" i="7"/>
  <c r="I1335" i="7"/>
  <c r="K1334" i="7"/>
  <c r="J1334" i="7"/>
  <c r="I1334" i="7"/>
  <c r="K1333" i="7"/>
  <c r="J1333" i="7"/>
  <c r="I1333" i="7"/>
  <c r="K1332" i="7"/>
  <c r="J1332" i="7"/>
  <c r="I1332" i="7"/>
  <c r="K1331" i="7"/>
  <c r="J1331" i="7"/>
  <c r="I1331" i="7"/>
  <c r="K1330" i="7"/>
  <c r="J1330" i="7"/>
  <c r="I1330" i="7"/>
  <c r="K1329" i="7"/>
  <c r="J1329" i="7"/>
  <c r="I1329" i="7"/>
  <c r="K1328" i="7"/>
  <c r="L1328" i="7" s="1"/>
  <c r="J1328" i="7"/>
  <c r="I1328" i="7"/>
  <c r="K1327" i="7"/>
  <c r="J1327" i="7"/>
  <c r="I1327" i="7"/>
  <c r="K1326" i="7"/>
  <c r="J1326" i="7"/>
  <c r="I1326" i="7"/>
  <c r="K1325" i="7"/>
  <c r="J1325" i="7"/>
  <c r="I1325" i="7"/>
  <c r="K1324" i="7"/>
  <c r="J1324" i="7"/>
  <c r="I1324" i="7"/>
  <c r="K1323" i="7"/>
  <c r="J1323" i="7"/>
  <c r="I1323" i="7"/>
  <c r="K1322" i="7"/>
  <c r="J1322" i="7"/>
  <c r="I1322" i="7"/>
  <c r="L1322" i="7" s="1"/>
  <c r="K1321" i="7"/>
  <c r="L1321" i="7" s="1"/>
  <c r="J1321" i="7"/>
  <c r="I1321" i="7"/>
  <c r="K1320" i="7"/>
  <c r="J1320" i="7"/>
  <c r="I1320" i="7"/>
  <c r="K1319" i="7"/>
  <c r="J1319" i="7"/>
  <c r="I1319" i="7"/>
  <c r="K1318" i="7"/>
  <c r="J1318" i="7"/>
  <c r="I1318" i="7"/>
  <c r="K1317" i="7"/>
  <c r="L1317" i="7" s="1"/>
  <c r="J1317" i="7"/>
  <c r="I1317" i="7"/>
  <c r="K1316" i="7"/>
  <c r="J1316" i="7"/>
  <c r="I1316" i="7"/>
  <c r="L1315" i="7"/>
  <c r="K1315" i="7"/>
  <c r="J1315" i="7"/>
  <c r="I1315" i="7"/>
  <c r="K1314" i="7"/>
  <c r="L1314" i="7" s="1"/>
  <c r="J1314" i="7"/>
  <c r="I1314" i="7"/>
  <c r="K1313" i="7"/>
  <c r="L1313" i="7" s="1"/>
  <c r="J1313" i="7"/>
  <c r="I1313" i="7"/>
  <c r="K1312" i="7"/>
  <c r="J1312" i="7"/>
  <c r="I1312" i="7"/>
  <c r="K1311" i="7"/>
  <c r="J1311" i="7"/>
  <c r="I1311" i="7"/>
  <c r="K1310" i="7"/>
  <c r="L1310" i="7" s="1"/>
  <c r="J1310" i="7"/>
  <c r="I1310" i="7"/>
  <c r="K1309" i="7"/>
  <c r="J1309" i="7"/>
  <c r="I1309" i="7"/>
  <c r="L1309" i="7" s="1"/>
  <c r="K1308" i="7"/>
  <c r="J1308" i="7"/>
  <c r="I1308" i="7"/>
  <c r="K1307" i="7"/>
  <c r="J1307" i="7"/>
  <c r="I1307" i="7"/>
  <c r="L1307" i="7" s="1"/>
  <c r="K1306" i="7"/>
  <c r="L1306" i="7" s="1"/>
  <c r="J1306" i="7"/>
  <c r="I1306" i="7"/>
  <c r="K1305" i="7"/>
  <c r="J1305" i="7"/>
  <c r="I1305" i="7"/>
  <c r="L1305" i="7" s="1"/>
  <c r="K1304" i="7"/>
  <c r="L1304" i="7" s="1"/>
  <c r="J1304" i="7"/>
  <c r="I1304" i="7"/>
  <c r="K1303" i="7"/>
  <c r="J1303" i="7"/>
  <c r="I1303" i="7"/>
  <c r="K1302" i="7"/>
  <c r="J1302" i="7"/>
  <c r="I1302" i="7"/>
  <c r="K1301" i="7"/>
  <c r="L1301" i="7" s="1"/>
  <c r="J1301" i="7"/>
  <c r="I1301" i="7"/>
  <c r="K1285" i="7"/>
  <c r="J1285" i="7"/>
  <c r="I1285" i="7"/>
  <c r="K1300" i="7"/>
  <c r="J1300" i="7"/>
  <c r="I1300" i="7"/>
  <c r="K1299" i="7"/>
  <c r="J1299" i="7"/>
  <c r="I1299" i="7"/>
  <c r="K1298" i="7"/>
  <c r="J1298" i="7"/>
  <c r="I1298" i="7"/>
  <c r="K1297" i="7"/>
  <c r="J1297" i="7"/>
  <c r="I1297" i="7"/>
  <c r="L1296" i="7"/>
  <c r="K1296" i="7"/>
  <c r="J1296" i="7"/>
  <c r="I1296" i="7"/>
  <c r="K1295" i="7"/>
  <c r="J1295" i="7"/>
  <c r="I1295" i="7"/>
  <c r="K1294" i="7"/>
  <c r="L1294" i="7" s="1"/>
  <c r="J1294" i="7"/>
  <c r="I1294" i="7"/>
  <c r="K1293" i="7"/>
  <c r="L1293" i="7" s="1"/>
  <c r="J1293" i="7"/>
  <c r="I1293" i="7"/>
  <c r="K1292" i="7"/>
  <c r="J1292" i="7"/>
  <c r="I1292" i="7"/>
  <c r="K1291" i="7"/>
  <c r="J1291" i="7"/>
  <c r="I1291" i="7"/>
  <c r="K1290" i="7"/>
  <c r="L1290" i="7" s="1"/>
  <c r="J1290" i="7"/>
  <c r="I1290" i="7"/>
  <c r="K1289" i="7"/>
  <c r="J1289" i="7"/>
  <c r="I1289" i="7"/>
  <c r="K1288" i="7"/>
  <c r="J1288" i="7"/>
  <c r="I1288" i="7"/>
  <c r="K1287" i="7"/>
  <c r="J1287" i="7"/>
  <c r="I1287" i="7"/>
  <c r="K1286" i="7"/>
  <c r="J1286" i="7"/>
  <c r="I1286" i="7"/>
  <c r="K1284" i="7"/>
  <c r="J1284" i="7"/>
  <c r="I1284" i="7"/>
  <c r="K1283" i="7"/>
  <c r="J1283" i="7"/>
  <c r="I1283" i="7"/>
  <c r="K1282" i="7"/>
  <c r="J1282" i="7"/>
  <c r="I1282" i="7"/>
  <c r="K1281" i="7"/>
  <c r="J1281" i="7"/>
  <c r="I1281" i="7"/>
  <c r="K1280" i="7"/>
  <c r="J1280" i="7"/>
  <c r="I1280" i="7"/>
  <c r="K1279" i="7"/>
  <c r="J1279" i="7"/>
  <c r="I1279" i="7"/>
  <c r="K1278" i="7"/>
  <c r="J1278" i="7"/>
  <c r="I1278" i="7"/>
  <c r="K1277" i="7"/>
  <c r="J1277" i="7"/>
  <c r="I1277" i="7"/>
  <c r="K1276" i="7"/>
  <c r="J1276" i="7"/>
  <c r="I1276" i="7"/>
  <c r="K1275" i="7"/>
  <c r="J1275" i="7"/>
  <c r="I1275" i="7"/>
  <c r="K1274" i="7"/>
  <c r="J1274" i="7"/>
  <c r="I1274" i="7"/>
  <c r="K1273" i="7"/>
  <c r="J1273" i="7"/>
  <c r="I1273" i="7"/>
  <c r="K1272" i="7"/>
  <c r="J1272" i="7"/>
  <c r="I1272" i="7"/>
  <c r="K1271" i="7"/>
  <c r="L1271" i="7" s="1"/>
  <c r="J1271" i="7"/>
  <c r="I1271" i="7"/>
  <c r="K1270" i="7"/>
  <c r="J1270" i="7"/>
  <c r="I1270" i="7"/>
  <c r="K1269" i="7"/>
  <c r="J1269" i="7"/>
  <c r="I1269" i="7"/>
  <c r="K1268" i="7"/>
  <c r="L1268" i="7" s="1"/>
  <c r="J1268" i="7"/>
  <c r="I1268" i="7"/>
  <c r="K1267" i="7"/>
  <c r="J1267" i="7"/>
  <c r="I1267" i="7"/>
  <c r="K1266" i="7"/>
  <c r="J1266" i="7"/>
  <c r="I1266" i="7"/>
  <c r="K1265" i="7"/>
  <c r="L1265" i="7" s="1"/>
  <c r="J1265" i="7"/>
  <c r="I1265" i="7"/>
  <c r="K1264" i="7"/>
  <c r="L1264" i="7" s="1"/>
  <c r="J1264" i="7"/>
  <c r="I1264" i="7"/>
  <c r="K1263" i="7"/>
  <c r="L1263" i="7" s="1"/>
  <c r="J1263" i="7"/>
  <c r="I1263" i="7"/>
  <c r="K1262" i="7"/>
  <c r="L1262" i="7" s="1"/>
  <c r="J1262" i="7"/>
  <c r="I1262" i="7"/>
  <c r="K1261" i="7"/>
  <c r="J1261" i="7"/>
  <c r="I1261" i="7"/>
  <c r="L1260" i="7"/>
  <c r="K1260" i="7"/>
  <c r="J1260" i="7"/>
  <c r="I1260" i="7"/>
  <c r="K1259" i="7"/>
  <c r="J1259" i="7"/>
  <c r="I1259" i="7"/>
  <c r="K1258" i="7"/>
  <c r="L1258" i="7" s="1"/>
  <c r="J1258" i="7"/>
  <c r="I1258" i="7"/>
  <c r="K1257" i="7"/>
  <c r="L1257" i="7" s="1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L1250" i="7" s="1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L1243" i="7" s="1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L1236" i="7" s="1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L1227" i="7" s="1"/>
  <c r="J1227" i="7"/>
  <c r="I1227" i="7"/>
  <c r="K1226" i="7"/>
  <c r="J1226" i="7"/>
  <c r="I1226" i="7"/>
  <c r="K1225" i="7"/>
  <c r="L1225" i="7" s="1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L1209" i="7" s="1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L1202" i="7" s="1"/>
  <c r="J1202" i="7"/>
  <c r="I1202" i="7"/>
  <c r="K1201" i="7"/>
  <c r="J1201" i="7"/>
  <c r="I1201" i="7"/>
  <c r="K1200" i="7"/>
  <c r="J1200" i="7"/>
  <c r="I1200" i="7"/>
  <c r="L1200" i="7" s="1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I1125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K1124" i="7"/>
  <c r="J1124" i="7"/>
  <c r="I1124" i="7"/>
  <c r="K1123" i="7"/>
  <c r="J1123" i="7"/>
  <c r="I1123" i="7"/>
  <c r="K1122" i="7"/>
  <c r="L1122" i="7" s="1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L1103" i="7" s="1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L1079" i="7" s="1"/>
  <c r="K1078" i="7"/>
  <c r="J1078" i="7"/>
  <c r="I1078" i="7"/>
  <c r="K1077" i="7"/>
  <c r="J1077" i="7"/>
  <c r="I1077" i="7"/>
  <c r="K1076" i="7"/>
  <c r="L1076" i="7" s="1"/>
  <c r="J1076" i="7"/>
  <c r="I1076" i="7"/>
  <c r="I1071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L1057" i="7" s="1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L1049" i="7" s="1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I894" i="7"/>
  <c r="J894" i="7"/>
  <c r="I893" i="7"/>
  <c r="J893" i="7"/>
  <c r="I892" i="7"/>
  <c r="J892" i="7"/>
  <c r="K894" i="7"/>
  <c r="L894" i="7" s="1"/>
  <c r="K893" i="7"/>
  <c r="L893" i="7" s="1"/>
  <c r="K892" i="7"/>
  <c r="I875" i="7"/>
  <c r="J875" i="7"/>
  <c r="J882" i="7"/>
  <c r="K882" i="7"/>
  <c r="I882" i="7"/>
  <c r="K875" i="7"/>
  <c r="J879" i="7"/>
  <c r="K879" i="7"/>
  <c r="I879" i="7"/>
  <c r="J878" i="7"/>
  <c r="K878" i="7"/>
  <c r="I878" i="7"/>
  <c r="K10" i="7"/>
  <c r="I18" i="7"/>
  <c r="I26" i="7"/>
  <c r="I34" i="7"/>
  <c r="K42" i="7"/>
  <c r="K50" i="7"/>
  <c r="K58" i="7"/>
  <c r="K66" i="7"/>
  <c r="K74" i="7"/>
  <c r="K82" i="7"/>
  <c r="K90" i="7"/>
  <c r="K98" i="7"/>
  <c r="K106" i="7"/>
  <c r="K114" i="7"/>
  <c r="I122" i="7"/>
  <c r="I130" i="7"/>
  <c r="K138" i="7"/>
  <c r="K146" i="7"/>
  <c r="K154" i="7"/>
  <c r="K162" i="7"/>
  <c r="I170" i="7"/>
  <c r="I178" i="7"/>
  <c r="I186" i="7"/>
  <c r="I194" i="7"/>
  <c r="I202" i="7"/>
  <c r="I210" i="7"/>
  <c r="K218" i="7"/>
  <c r="K226" i="7"/>
  <c r="K234" i="7"/>
  <c r="K242" i="7"/>
  <c r="K250" i="7"/>
  <c r="I258" i="7"/>
  <c r="K266" i="7"/>
  <c r="K274" i="7"/>
  <c r="K282" i="7"/>
  <c r="K290" i="7"/>
  <c r="K298" i="7"/>
  <c r="K306" i="7"/>
  <c r="K314" i="7"/>
  <c r="I322" i="7"/>
  <c r="I330" i="7"/>
  <c r="I338" i="7"/>
  <c r="I346" i="7"/>
  <c r="K354" i="7"/>
  <c r="K362" i="7"/>
  <c r="K370" i="7"/>
  <c r="K378" i="7"/>
  <c r="K386" i="7"/>
  <c r="K394" i="7"/>
  <c r="K402" i="7"/>
  <c r="K410" i="7"/>
  <c r="K418" i="7"/>
  <c r="K426" i="7"/>
  <c r="K434" i="7"/>
  <c r="K442" i="7"/>
  <c r="K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K666" i="7"/>
  <c r="K674" i="7"/>
  <c r="K682" i="7"/>
  <c r="K690" i="7"/>
  <c r="I698" i="7"/>
  <c r="I706" i="7"/>
  <c r="K714" i="7"/>
  <c r="K722" i="7"/>
  <c r="K730" i="7"/>
  <c r="K738" i="7"/>
  <c r="K770" i="7"/>
  <c r="I786" i="7"/>
  <c r="K794" i="7"/>
  <c r="I802" i="7"/>
  <c r="K810" i="7"/>
  <c r="I826" i="7"/>
  <c r="K834" i="7"/>
  <c r="K850" i="7"/>
  <c r="K858" i="7"/>
  <c r="K866" i="7"/>
  <c r="K874" i="7"/>
  <c r="I880" i="7"/>
  <c r="K886" i="7"/>
  <c r="I889" i="7"/>
  <c r="K891" i="7"/>
  <c r="K897" i="7"/>
  <c r="I899" i="7"/>
  <c r="K901" i="7"/>
  <c r="K904" i="7"/>
  <c r="I907" i="7"/>
  <c r="K909" i="7"/>
  <c r="K912" i="7"/>
  <c r="I915" i="7"/>
  <c r="K917" i="7"/>
  <c r="K920" i="7"/>
  <c r="I923" i="7"/>
  <c r="I925" i="7"/>
  <c r="K928" i="7"/>
  <c r="I931" i="7"/>
  <c r="I933" i="7"/>
  <c r="K936" i="7"/>
  <c r="I939" i="7"/>
  <c r="I941" i="7"/>
  <c r="K944" i="7"/>
  <c r="I947" i="7"/>
  <c r="I949" i="7"/>
  <c r="K950" i="7"/>
  <c r="K952" i="7"/>
  <c r="I955" i="7"/>
  <c r="I957" i="7"/>
  <c r="K958" i="7"/>
  <c r="K960" i="7"/>
  <c r="I963" i="7"/>
  <c r="I965" i="7"/>
  <c r="K966" i="7"/>
  <c r="K968" i="7"/>
  <c r="I971" i="7"/>
  <c r="I973" i="7"/>
  <c r="K974" i="7"/>
  <c r="K976" i="7"/>
  <c r="I979" i="7"/>
  <c r="I981" i="7"/>
  <c r="K982" i="7"/>
  <c r="K984" i="7"/>
  <c r="I987" i="7"/>
  <c r="K988" i="7"/>
  <c r="I989" i="7"/>
  <c r="K990" i="7"/>
  <c r="K992" i="7"/>
  <c r="I995" i="7"/>
  <c r="K996" i="7"/>
  <c r="I997" i="7"/>
  <c r="K998" i="7"/>
  <c r="K1000" i="7"/>
  <c r="I1003" i="7"/>
  <c r="K1004" i="7"/>
  <c r="I1005" i="7"/>
  <c r="K1006" i="7"/>
  <c r="K1008" i="7"/>
  <c r="I1011" i="7"/>
  <c r="K1012" i="7"/>
  <c r="I1013" i="7"/>
  <c r="K1014" i="7"/>
  <c r="K1016" i="7"/>
  <c r="I1019" i="7"/>
  <c r="K1020" i="7"/>
  <c r="I1021" i="7"/>
  <c r="K1022" i="7"/>
  <c r="K1024" i="7"/>
  <c r="K1027" i="7"/>
  <c r="K1028" i="7"/>
  <c r="I1029" i="7"/>
  <c r="K1030" i="7"/>
  <c r="K1031" i="7"/>
  <c r="J1031" i="7"/>
  <c r="I1031" i="7"/>
  <c r="J1030" i="7"/>
  <c r="I1030" i="7"/>
  <c r="J1029" i="7"/>
  <c r="J1028" i="7"/>
  <c r="I1028" i="7"/>
  <c r="J1027" i="7"/>
  <c r="K1026" i="7"/>
  <c r="J1026" i="7"/>
  <c r="I1026" i="7"/>
  <c r="K1025" i="7"/>
  <c r="J1025" i="7"/>
  <c r="I1025" i="7"/>
  <c r="J1024" i="7"/>
  <c r="K1023" i="7"/>
  <c r="J1023" i="7"/>
  <c r="I1023" i="7"/>
  <c r="J1022" i="7"/>
  <c r="I1022" i="7"/>
  <c r="J1021" i="7"/>
  <c r="J1020" i="7"/>
  <c r="I1020" i="7"/>
  <c r="K1019" i="7"/>
  <c r="J1019" i="7"/>
  <c r="K1018" i="7"/>
  <c r="J1018" i="7"/>
  <c r="I1018" i="7"/>
  <c r="K1017" i="7"/>
  <c r="J1017" i="7"/>
  <c r="I1017" i="7"/>
  <c r="J1016" i="7"/>
  <c r="K1015" i="7"/>
  <c r="J1015" i="7"/>
  <c r="I1015" i="7"/>
  <c r="J1014" i="7"/>
  <c r="I1014" i="7"/>
  <c r="J1013" i="7"/>
  <c r="J1012" i="7"/>
  <c r="I1012" i="7"/>
  <c r="K1011" i="7"/>
  <c r="J1011" i="7"/>
  <c r="K1010" i="7"/>
  <c r="J1010" i="7"/>
  <c r="I1010" i="7"/>
  <c r="K1009" i="7"/>
  <c r="J1009" i="7"/>
  <c r="I1009" i="7"/>
  <c r="J1008" i="7"/>
  <c r="K1007" i="7"/>
  <c r="J1007" i="7"/>
  <c r="I1007" i="7"/>
  <c r="J1006" i="7"/>
  <c r="I1006" i="7"/>
  <c r="J1005" i="7"/>
  <c r="J1004" i="7"/>
  <c r="I1004" i="7"/>
  <c r="K1003" i="7"/>
  <c r="J1003" i="7"/>
  <c r="K1002" i="7"/>
  <c r="J1002" i="7"/>
  <c r="I1002" i="7"/>
  <c r="K1001" i="7"/>
  <c r="J1001" i="7"/>
  <c r="I1001" i="7"/>
  <c r="J1000" i="7"/>
  <c r="K999" i="7"/>
  <c r="J999" i="7"/>
  <c r="I999" i="7"/>
  <c r="J998" i="7"/>
  <c r="I998" i="7"/>
  <c r="J997" i="7"/>
  <c r="J996" i="7"/>
  <c r="I996" i="7"/>
  <c r="K995" i="7"/>
  <c r="J995" i="7"/>
  <c r="K994" i="7"/>
  <c r="J994" i="7"/>
  <c r="I994" i="7"/>
  <c r="K993" i="7"/>
  <c r="J993" i="7"/>
  <c r="I993" i="7"/>
  <c r="J992" i="7"/>
  <c r="K991" i="7"/>
  <c r="J991" i="7"/>
  <c r="I991" i="7"/>
  <c r="J990" i="7"/>
  <c r="I990" i="7"/>
  <c r="J989" i="7"/>
  <c r="J988" i="7"/>
  <c r="I988" i="7"/>
  <c r="K987" i="7"/>
  <c r="J987" i="7"/>
  <c r="K986" i="7"/>
  <c r="J986" i="7"/>
  <c r="I986" i="7"/>
  <c r="K985" i="7"/>
  <c r="J985" i="7"/>
  <c r="I985" i="7"/>
  <c r="J984" i="7"/>
  <c r="K983" i="7"/>
  <c r="J983" i="7"/>
  <c r="I983" i="7"/>
  <c r="J982" i="7"/>
  <c r="I982" i="7"/>
  <c r="J981" i="7"/>
  <c r="K980" i="7"/>
  <c r="J980" i="7"/>
  <c r="I980" i="7"/>
  <c r="K979" i="7"/>
  <c r="J979" i="7"/>
  <c r="K978" i="7"/>
  <c r="J978" i="7"/>
  <c r="I978" i="7"/>
  <c r="K977" i="7"/>
  <c r="J977" i="7"/>
  <c r="I977" i="7"/>
  <c r="J976" i="7"/>
  <c r="K975" i="7"/>
  <c r="J975" i="7"/>
  <c r="I975" i="7"/>
  <c r="J974" i="7"/>
  <c r="I974" i="7"/>
  <c r="J973" i="7"/>
  <c r="K972" i="7"/>
  <c r="J972" i="7"/>
  <c r="I972" i="7"/>
  <c r="K971" i="7"/>
  <c r="J971" i="7"/>
  <c r="K970" i="7"/>
  <c r="J970" i="7"/>
  <c r="I970" i="7"/>
  <c r="K969" i="7"/>
  <c r="J969" i="7"/>
  <c r="I969" i="7"/>
  <c r="J968" i="7"/>
  <c r="K967" i="7"/>
  <c r="J967" i="7"/>
  <c r="I967" i="7"/>
  <c r="J966" i="7"/>
  <c r="I966" i="7"/>
  <c r="J965" i="7"/>
  <c r="K964" i="7"/>
  <c r="J964" i="7"/>
  <c r="I964" i="7"/>
  <c r="K963" i="7"/>
  <c r="J963" i="7"/>
  <c r="K962" i="7"/>
  <c r="J962" i="7"/>
  <c r="I962" i="7"/>
  <c r="K961" i="7"/>
  <c r="J961" i="7"/>
  <c r="I961" i="7"/>
  <c r="J960" i="7"/>
  <c r="K959" i="7"/>
  <c r="J959" i="7"/>
  <c r="I959" i="7"/>
  <c r="J958" i="7"/>
  <c r="I958" i="7"/>
  <c r="J957" i="7"/>
  <c r="K956" i="7"/>
  <c r="J956" i="7"/>
  <c r="I956" i="7"/>
  <c r="K955" i="7"/>
  <c r="J955" i="7"/>
  <c r="K954" i="7"/>
  <c r="J954" i="7"/>
  <c r="I954" i="7"/>
  <c r="K953" i="7"/>
  <c r="J953" i="7"/>
  <c r="I953" i="7"/>
  <c r="J952" i="7"/>
  <c r="K951" i="7"/>
  <c r="J951" i="7"/>
  <c r="I951" i="7"/>
  <c r="J950" i="7"/>
  <c r="I950" i="7"/>
  <c r="J949" i="7"/>
  <c r="K948" i="7"/>
  <c r="J948" i="7"/>
  <c r="I948" i="7"/>
  <c r="K947" i="7"/>
  <c r="J947" i="7"/>
  <c r="K946" i="7"/>
  <c r="J946" i="7"/>
  <c r="I946" i="7"/>
  <c r="K945" i="7"/>
  <c r="J945" i="7"/>
  <c r="I945" i="7"/>
  <c r="J944" i="7"/>
  <c r="K943" i="7"/>
  <c r="J943" i="7"/>
  <c r="I943" i="7"/>
  <c r="K942" i="7"/>
  <c r="J942" i="7"/>
  <c r="I942" i="7"/>
  <c r="J941" i="7"/>
  <c r="K940" i="7"/>
  <c r="J940" i="7"/>
  <c r="I940" i="7"/>
  <c r="K939" i="7"/>
  <c r="J939" i="7"/>
  <c r="K938" i="7"/>
  <c r="J938" i="7"/>
  <c r="I938" i="7"/>
  <c r="K937" i="7"/>
  <c r="J937" i="7"/>
  <c r="I937" i="7"/>
  <c r="J936" i="7"/>
  <c r="K935" i="7"/>
  <c r="J935" i="7"/>
  <c r="I935" i="7"/>
  <c r="K934" i="7"/>
  <c r="J934" i="7"/>
  <c r="I934" i="7"/>
  <c r="J933" i="7"/>
  <c r="K932" i="7"/>
  <c r="J932" i="7"/>
  <c r="I932" i="7"/>
  <c r="K931" i="7"/>
  <c r="J931" i="7"/>
  <c r="K930" i="7"/>
  <c r="J930" i="7"/>
  <c r="I930" i="7"/>
  <c r="K929" i="7"/>
  <c r="J929" i="7"/>
  <c r="I929" i="7"/>
  <c r="J928" i="7"/>
  <c r="K927" i="7"/>
  <c r="J927" i="7"/>
  <c r="I927" i="7"/>
  <c r="K926" i="7"/>
  <c r="J926" i="7"/>
  <c r="I926" i="7"/>
  <c r="J925" i="7"/>
  <c r="K924" i="7"/>
  <c r="J924" i="7"/>
  <c r="I924" i="7"/>
  <c r="K923" i="7"/>
  <c r="J923" i="7"/>
  <c r="K922" i="7"/>
  <c r="J922" i="7"/>
  <c r="K921" i="7"/>
  <c r="J921" i="7"/>
  <c r="I921" i="7"/>
  <c r="J920" i="7"/>
  <c r="K919" i="7"/>
  <c r="J919" i="7"/>
  <c r="I919" i="7"/>
  <c r="K918" i="7"/>
  <c r="J918" i="7"/>
  <c r="I918" i="7"/>
  <c r="J917" i="7"/>
  <c r="I917" i="7"/>
  <c r="K916" i="7"/>
  <c r="J916" i="7"/>
  <c r="I916" i="7"/>
  <c r="K915" i="7"/>
  <c r="J915" i="7"/>
  <c r="K914" i="7"/>
  <c r="J914" i="7"/>
  <c r="I914" i="7"/>
  <c r="K913" i="7"/>
  <c r="J913" i="7"/>
  <c r="I913" i="7"/>
  <c r="J912" i="7"/>
  <c r="K911" i="7"/>
  <c r="J911" i="7"/>
  <c r="I911" i="7"/>
  <c r="K910" i="7"/>
  <c r="J910" i="7"/>
  <c r="I910" i="7"/>
  <c r="J909" i="7"/>
  <c r="I909" i="7"/>
  <c r="K908" i="7"/>
  <c r="J908" i="7"/>
  <c r="I908" i="7"/>
  <c r="K907" i="7"/>
  <c r="J907" i="7"/>
  <c r="K906" i="7"/>
  <c r="J906" i="7"/>
  <c r="I906" i="7"/>
  <c r="K905" i="7"/>
  <c r="J905" i="7"/>
  <c r="I905" i="7"/>
  <c r="J904" i="7"/>
  <c r="I904" i="7"/>
  <c r="K903" i="7"/>
  <c r="J903" i="7"/>
  <c r="I903" i="7"/>
  <c r="K902" i="7"/>
  <c r="J902" i="7"/>
  <c r="I902" i="7"/>
  <c r="J901" i="7"/>
  <c r="I901" i="7"/>
  <c r="K900" i="7"/>
  <c r="J900" i="7"/>
  <c r="I900" i="7"/>
  <c r="K899" i="7"/>
  <c r="J899" i="7"/>
  <c r="K898" i="7"/>
  <c r="J898" i="7"/>
  <c r="I898" i="7"/>
  <c r="J897" i="7"/>
  <c r="K896" i="7"/>
  <c r="J896" i="7"/>
  <c r="I896" i="7"/>
  <c r="K895" i="7"/>
  <c r="J895" i="7"/>
  <c r="I895" i="7"/>
  <c r="J891" i="7"/>
  <c r="I891" i="7"/>
  <c r="K890" i="7"/>
  <c r="J890" i="7"/>
  <c r="I890" i="7"/>
  <c r="K889" i="7"/>
  <c r="J889" i="7"/>
  <c r="K888" i="7"/>
  <c r="J888" i="7"/>
  <c r="I888" i="7"/>
  <c r="K887" i="7"/>
  <c r="J887" i="7"/>
  <c r="I887" i="7"/>
  <c r="J886" i="7"/>
  <c r="K885" i="7"/>
  <c r="J885" i="7"/>
  <c r="I885" i="7"/>
  <c r="K884" i="7"/>
  <c r="J884" i="7"/>
  <c r="I884" i="7"/>
  <c r="K883" i="7"/>
  <c r="J883" i="7"/>
  <c r="I883" i="7"/>
  <c r="K881" i="7"/>
  <c r="J881" i="7"/>
  <c r="I881" i="7"/>
  <c r="K880" i="7"/>
  <c r="J880" i="7"/>
  <c r="K877" i="7"/>
  <c r="J877" i="7"/>
  <c r="I877" i="7"/>
  <c r="K876" i="7"/>
  <c r="J876" i="7"/>
  <c r="I876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J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J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J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J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J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J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J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J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J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J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J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J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J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J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J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J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J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J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J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J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J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J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J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J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J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J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J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J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J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J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J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J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J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J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J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J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J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J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J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J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J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J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J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J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J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J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J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J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J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J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J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J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J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J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J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J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J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J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J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J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J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J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J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J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J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J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J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J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J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J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J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J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J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J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J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J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J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AA99" i="5"/>
  <c r="L1517" i="7" l="1"/>
  <c r="L1519" i="7"/>
  <c r="L1518" i="7"/>
  <c r="L1516" i="7"/>
  <c r="L1515" i="7"/>
  <c r="L1509" i="7"/>
  <c r="L1512" i="7"/>
  <c r="L1511" i="7"/>
  <c r="L1510" i="7"/>
  <c r="L1503" i="7"/>
  <c r="L1507" i="7"/>
  <c r="L1505" i="7"/>
  <c r="L1504" i="7"/>
  <c r="L1502" i="7"/>
  <c r="L1501" i="7"/>
  <c r="L1495" i="7"/>
  <c r="L1496" i="7"/>
  <c r="L1498" i="7"/>
  <c r="L1497" i="7"/>
  <c r="L1492" i="7"/>
  <c r="L1493" i="7"/>
  <c r="L1490" i="7"/>
  <c r="L1489" i="7"/>
  <c r="L1488" i="7"/>
  <c r="L1487" i="7"/>
  <c r="L1482" i="7"/>
  <c r="L1483" i="7"/>
  <c r="L1485" i="7"/>
  <c r="L1486" i="7"/>
  <c r="L1484" i="7"/>
  <c r="L1478" i="7"/>
  <c r="L1477" i="7"/>
  <c r="L1475" i="7"/>
  <c r="L1470" i="7"/>
  <c r="L1469" i="7"/>
  <c r="L1476" i="7"/>
  <c r="L1472" i="7"/>
  <c r="L1468" i="7"/>
  <c r="L1467" i="7"/>
  <c r="L1465" i="7"/>
  <c r="L1464" i="7"/>
  <c r="L1448" i="7"/>
  <c r="L1449" i="7"/>
  <c r="L1453" i="7"/>
  <c r="L1457" i="7"/>
  <c r="L1458" i="7"/>
  <c r="L1461" i="7"/>
  <c r="L1460" i="7"/>
  <c r="L1456" i="7"/>
  <c r="L1455" i="7"/>
  <c r="L1454" i="7"/>
  <c r="L1452" i="7"/>
  <c r="L1450" i="7"/>
  <c r="L1446" i="7"/>
  <c r="L1445" i="7"/>
  <c r="L1443" i="7"/>
  <c r="L1447" i="7"/>
  <c r="L1439" i="7"/>
  <c r="L1437" i="7"/>
  <c r="L1434" i="7"/>
  <c r="L1433" i="7"/>
  <c r="L1435" i="7"/>
  <c r="L1432" i="7"/>
  <c r="L1431" i="7"/>
  <c r="L1430" i="7"/>
  <c r="L1428" i="7"/>
  <c r="L1427" i="7"/>
  <c r="L1425" i="7"/>
  <c r="L1421" i="7"/>
  <c r="L1422" i="7"/>
  <c r="L1423" i="7"/>
  <c r="L1419" i="7"/>
  <c r="L1418" i="7"/>
  <c r="L1414" i="7"/>
  <c r="L1416" i="7"/>
  <c r="L1415" i="7"/>
  <c r="L1412" i="7"/>
  <c r="L1411" i="7"/>
  <c r="L1413" i="7"/>
  <c r="L1409" i="7"/>
  <c r="L1407" i="7"/>
  <c r="L1405" i="7"/>
  <c r="L1404" i="7"/>
  <c r="L1403" i="7"/>
  <c r="L1408" i="7"/>
  <c r="L1406" i="7"/>
  <c r="L1401" i="7"/>
  <c r="L1400" i="7"/>
  <c r="L1399" i="7"/>
  <c r="L1396" i="7"/>
  <c r="L1398" i="7"/>
  <c r="L1397" i="7"/>
  <c r="L1394" i="7"/>
  <c r="L1393" i="7"/>
  <c r="L1391" i="7"/>
  <c r="L1390" i="7"/>
  <c r="L1388" i="7"/>
  <c r="L1389" i="7"/>
  <c r="L1387" i="7"/>
  <c r="L1383" i="7"/>
  <c r="L1386" i="7"/>
  <c r="L1385" i="7"/>
  <c r="L1382" i="7"/>
  <c r="L1381" i="7"/>
  <c r="L1378" i="7"/>
  <c r="L1380" i="7"/>
  <c r="L1379" i="7"/>
  <c r="L1377" i="7"/>
  <c r="L1374" i="7"/>
  <c r="L1373" i="7"/>
  <c r="L1375" i="7"/>
  <c r="L1365" i="7"/>
  <c r="L1370" i="7"/>
  <c r="L1372" i="7"/>
  <c r="L1368" i="7"/>
  <c r="L1364" i="7"/>
  <c r="L1361" i="7"/>
  <c r="L1363" i="7"/>
  <c r="L1360" i="7"/>
  <c r="L1359" i="7"/>
  <c r="L1356" i="7"/>
  <c r="L1358" i="7"/>
  <c r="L1354" i="7"/>
  <c r="L1353" i="7"/>
  <c r="L1350" i="7"/>
  <c r="L1351" i="7"/>
  <c r="L1349" i="7"/>
  <c r="L1348" i="7"/>
  <c r="L1345" i="7"/>
  <c r="L1344" i="7"/>
  <c r="L1343" i="7"/>
  <c r="L1341" i="7"/>
  <c r="L1339" i="7"/>
  <c r="L1337" i="7"/>
  <c r="L1336" i="7"/>
  <c r="L1334" i="7"/>
  <c r="L1333" i="7"/>
  <c r="L1332" i="7"/>
  <c r="L1338" i="7"/>
  <c r="L1329" i="7"/>
  <c r="L1330" i="7"/>
  <c r="L1331" i="7"/>
  <c r="L1327" i="7"/>
  <c r="L1326" i="7"/>
  <c r="L1325" i="7"/>
  <c r="L1324" i="7"/>
  <c r="L1318" i="7"/>
  <c r="L1320" i="7"/>
  <c r="L1323" i="7"/>
  <c r="L1319" i="7"/>
  <c r="L1316" i="7"/>
  <c r="L1312" i="7"/>
  <c r="L1311" i="7"/>
  <c r="L1308" i="7"/>
  <c r="L1302" i="7"/>
  <c r="L1303" i="7"/>
  <c r="L1298" i="7"/>
  <c r="L1300" i="7"/>
  <c r="L1297" i="7"/>
  <c r="L1295" i="7"/>
  <c r="L1289" i="7"/>
  <c r="L1288" i="7"/>
  <c r="L1287" i="7"/>
  <c r="L1283" i="7"/>
  <c r="L1281" i="7"/>
  <c r="L1278" i="7"/>
  <c r="L1276" i="7"/>
  <c r="L1285" i="7"/>
  <c r="L1045" i="7"/>
  <c r="L1101" i="7"/>
  <c r="L1235" i="7"/>
  <c r="L1237" i="7"/>
  <c r="L1266" i="7"/>
  <c r="L1282" i="7"/>
  <c r="L1291" i="7"/>
  <c r="L1270" i="7"/>
  <c r="L1248" i="7"/>
  <c r="L1110" i="7"/>
  <c r="L1129" i="7"/>
  <c r="L1137" i="7"/>
  <c r="L1145" i="7"/>
  <c r="L1153" i="7"/>
  <c r="L1174" i="7"/>
  <c r="L1292" i="7"/>
  <c r="L1299" i="7"/>
  <c r="L1098" i="7"/>
  <c r="L1286" i="7"/>
  <c r="L1284" i="7"/>
  <c r="L1280" i="7"/>
  <c r="L1279" i="7"/>
  <c r="L1277" i="7"/>
  <c r="L1273" i="7"/>
  <c r="L1269" i="7"/>
  <c r="L1272" i="7"/>
  <c r="L1274" i="7"/>
  <c r="L1275" i="7"/>
  <c r="L1267" i="7"/>
  <c r="L1261" i="7"/>
  <c r="L1259" i="7"/>
  <c r="L1251" i="7"/>
  <c r="L1252" i="7"/>
  <c r="L1254" i="7"/>
  <c r="L1255" i="7"/>
  <c r="L1256" i="7"/>
  <c r="L1253" i="7"/>
  <c r="L1249" i="7"/>
  <c r="L1247" i="7"/>
  <c r="L1242" i="7"/>
  <c r="L1244" i="7"/>
  <c r="L1245" i="7"/>
  <c r="L1246" i="7"/>
  <c r="L1241" i="7"/>
  <c r="L1240" i="7"/>
  <c r="L1239" i="7"/>
  <c r="L1238" i="7"/>
  <c r="L1234" i="7"/>
  <c r="L1233" i="7"/>
  <c r="L1231" i="7"/>
  <c r="L1230" i="7"/>
  <c r="L1232" i="7"/>
  <c r="L1229" i="7"/>
  <c r="L1228" i="7"/>
  <c r="L1224" i="7"/>
  <c r="L1226" i="7"/>
  <c r="L1154" i="7"/>
  <c r="L1167" i="7"/>
  <c r="L1199" i="7"/>
  <c r="L1215" i="7"/>
  <c r="L1223" i="7"/>
  <c r="L1048" i="7"/>
  <c r="L1056" i="7"/>
  <c r="L1064" i="7"/>
  <c r="L1075" i="7"/>
  <c r="L1088" i="7"/>
  <c r="L1096" i="7"/>
  <c r="L1109" i="7"/>
  <c r="L1117" i="7"/>
  <c r="L1136" i="7"/>
  <c r="L1165" i="7"/>
  <c r="L1189" i="7"/>
  <c r="L1221" i="7"/>
  <c r="L1051" i="7"/>
  <c r="L1083" i="7"/>
  <c r="L1097" i="7"/>
  <c r="L1155" i="7"/>
  <c r="L1168" i="7"/>
  <c r="L1192" i="7"/>
  <c r="L1046" i="7"/>
  <c r="L1078" i="7"/>
  <c r="L1094" i="7"/>
  <c r="L1158" i="7"/>
  <c r="L1179" i="7"/>
  <c r="L1222" i="7"/>
  <c r="L1069" i="7"/>
  <c r="L1095" i="7"/>
  <c r="L1180" i="7"/>
  <c r="L1188" i="7"/>
  <c r="L1220" i="7"/>
  <c r="L1219" i="7"/>
  <c r="L1218" i="7"/>
  <c r="L1217" i="7"/>
  <c r="L1216" i="7"/>
  <c r="L1214" i="7"/>
  <c r="L1213" i="7"/>
  <c r="L1212" i="7"/>
  <c r="L1211" i="7"/>
  <c r="L1208" i="7"/>
  <c r="L1210" i="7"/>
  <c r="L1206" i="7"/>
  <c r="L1207" i="7"/>
  <c r="L1205" i="7"/>
  <c r="L1204" i="7"/>
  <c r="L1203" i="7"/>
  <c r="L1201" i="7"/>
  <c r="L1198" i="7"/>
  <c r="L1196" i="7"/>
  <c r="L1195" i="7"/>
  <c r="L1197" i="7"/>
  <c r="L1194" i="7"/>
  <c r="L1193" i="7"/>
  <c r="L1191" i="7"/>
  <c r="L1190" i="7"/>
  <c r="L1187" i="7"/>
  <c r="L1186" i="7"/>
  <c r="L1185" i="7"/>
  <c r="L1184" i="7"/>
  <c r="L1183" i="7"/>
  <c r="L1182" i="7"/>
  <c r="L1181" i="7"/>
  <c r="L1176" i="7"/>
  <c r="L1169" i="7"/>
  <c r="L1178" i="7"/>
  <c r="L1177" i="7"/>
  <c r="L1175" i="7"/>
  <c r="L1173" i="7"/>
  <c r="L1172" i="7"/>
  <c r="L1171" i="7"/>
  <c r="L1170" i="7"/>
  <c r="L1164" i="7"/>
  <c r="L1166" i="7"/>
  <c r="L1163" i="7"/>
  <c r="L1162" i="7"/>
  <c r="L1160" i="7"/>
  <c r="L1161" i="7"/>
  <c r="L1159" i="7"/>
  <c r="L1157" i="7"/>
  <c r="L1156" i="7"/>
  <c r="L1152" i="7"/>
  <c r="L1151" i="7"/>
  <c r="L1150" i="7"/>
  <c r="L1149" i="7"/>
  <c r="L1148" i="7"/>
  <c r="L1147" i="7"/>
  <c r="L1146" i="7"/>
  <c r="L1144" i="7"/>
  <c r="L1143" i="7"/>
  <c r="L1142" i="7"/>
  <c r="L1141" i="7"/>
  <c r="L1140" i="7"/>
  <c r="L1139" i="7"/>
  <c r="L1138" i="7"/>
  <c r="L1135" i="7"/>
  <c r="L1134" i="7"/>
  <c r="L1133" i="7"/>
  <c r="L1132" i="7"/>
  <c r="L1131" i="7"/>
  <c r="L1130" i="7"/>
  <c r="L1128" i="7"/>
  <c r="L1127" i="7"/>
  <c r="L1126" i="7"/>
  <c r="L1120" i="7"/>
  <c r="L1118" i="7"/>
  <c r="L1125" i="7"/>
  <c r="L1124" i="7"/>
  <c r="L1123" i="7"/>
  <c r="L1121" i="7"/>
  <c r="L1119" i="7"/>
  <c r="L1113" i="7"/>
  <c r="L1116" i="7"/>
  <c r="L1115" i="7"/>
  <c r="L1114" i="7"/>
  <c r="L1112" i="7"/>
  <c r="L1111" i="7"/>
  <c r="L1108" i="7"/>
  <c r="L1107" i="7"/>
  <c r="L1106" i="7"/>
  <c r="L1105" i="7"/>
  <c r="L1104" i="7"/>
  <c r="L1100" i="7"/>
  <c r="L1102" i="7"/>
  <c r="L1099" i="7"/>
  <c r="L1092" i="7"/>
  <c r="L1091" i="7"/>
  <c r="L1090" i="7"/>
  <c r="L1089" i="7"/>
  <c r="L1093" i="7"/>
  <c r="L1081" i="7"/>
  <c r="L1082" i="7"/>
  <c r="L1087" i="7"/>
  <c r="L1086" i="7"/>
  <c r="L1085" i="7"/>
  <c r="L1084" i="7"/>
  <c r="L1077" i="7"/>
  <c r="L1074" i="7"/>
  <c r="L1073" i="7"/>
  <c r="L1080" i="7"/>
  <c r="L1072" i="7"/>
  <c r="L1066" i="7"/>
  <c r="L1071" i="7"/>
  <c r="L1070" i="7"/>
  <c r="L1068" i="7"/>
  <c r="L1067" i="7"/>
  <c r="L1062" i="7"/>
  <c r="L1065" i="7"/>
  <c r="L1063" i="7"/>
  <c r="L1058" i="7"/>
  <c r="L1059" i="7"/>
  <c r="L1061" i="7"/>
  <c r="L1060" i="7"/>
  <c r="L1047" i="7"/>
  <c r="L1050" i="7"/>
  <c r="L1052" i="7"/>
  <c r="L1055" i="7"/>
  <c r="L1054" i="7"/>
  <c r="L1053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892" i="7"/>
  <c r="L451" i="7"/>
  <c r="L517" i="7"/>
  <c r="L875" i="7"/>
  <c r="L1026" i="7"/>
  <c r="L469" i="7"/>
  <c r="L853" i="7"/>
  <c r="L495" i="7"/>
  <c r="L882" i="7"/>
  <c r="L878" i="7"/>
  <c r="L879" i="7"/>
  <c r="L694" i="7"/>
  <c r="L1001" i="7"/>
  <c r="L723" i="7"/>
  <c r="L961" i="7"/>
  <c r="L16" i="7"/>
  <c r="L59" i="7"/>
  <c r="L344" i="7"/>
  <c r="L364" i="7"/>
  <c r="L375" i="7"/>
  <c r="L334" i="7"/>
  <c r="L648" i="7"/>
  <c r="L877" i="7"/>
  <c r="L859" i="7"/>
  <c r="L32" i="7"/>
  <c r="L320" i="7"/>
  <c r="L352" i="7"/>
  <c r="L366" i="7"/>
  <c r="L279" i="7"/>
  <c r="L697" i="7"/>
  <c r="L262" i="7"/>
  <c r="L343" i="7"/>
  <c r="L840" i="7"/>
  <c r="L846" i="7"/>
  <c r="L852" i="7"/>
  <c r="L847" i="7"/>
  <c r="L841" i="7"/>
  <c r="L805" i="7"/>
  <c r="L414" i="7"/>
  <c r="L660" i="7"/>
  <c r="L839" i="7"/>
  <c r="L845" i="7"/>
  <c r="L868" i="7"/>
  <c r="L930" i="7"/>
  <c r="L937" i="7"/>
  <c r="L954" i="7"/>
  <c r="L986" i="7"/>
  <c r="L1009" i="7"/>
  <c r="L901" i="7"/>
  <c r="L384" i="7"/>
  <c r="L404" i="7"/>
  <c r="L574" i="7"/>
  <c r="L612" i="7"/>
  <c r="L800" i="7"/>
  <c r="L811" i="7"/>
  <c r="L823" i="7"/>
  <c r="L825" i="7"/>
  <c r="L831" i="7"/>
  <c r="L835" i="7"/>
  <c r="L837" i="7"/>
  <c r="L20" i="7"/>
  <c r="L36" i="7"/>
  <c r="L96" i="7"/>
  <c r="L270" i="7"/>
  <c r="L390" i="7"/>
  <c r="L789" i="7"/>
  <c r="L795" i="7"/>
  <c r="L812" i="7"/>
  <c r="L844" i="7"/>
  <c r="L824" i="7"/>
  <c r="L830" i="7"/>
  <c r="L38" i="7"/>
  <c r="L116" i="7"/>
  <c r="L358" i="7"/>
  <c r="L487" i="7"/>
  <c r="L548" i="7"/>
  <c r="L699" i="7"/>
  <c r="L736" i="7"/>
  <c r="L742" i="7"/>
  <c r="L748" i="7"/>
  <c r="L779" i="7"/>
  <c r="L807" i="7"/>
  <c r="L843" i="7"/>
  <c r="L258" i="7"/>
  <c r="L104" i="7"/>
  <c r="L152" i="7"/>
  <c r="L190" i="7"/>
  <c r="L250" i="7"/>
  <c r="L340" i="7"/>
  <c r="L751" i="7"/>
  <c r="L791" i="7"/>
  <c r="L803" i="7"/>
  <c r="L234" i="7"/>
  <c r="L40" i="7"/>
  <c r="L52" i="7"/>
  <c r="L459" i="7"/>
  <c r="L563" i="7"/>
  <c r="L792" i="7"/>
  <c r="L798" i="7"/>
  <c r="L804" i="7"/>
  <c r="L784" i="7"/>
  <c r="L836" i="7"/>
  <c r="L867" i="7"/>
  <c r="L898" i="7"/>
  <c r="L906" i="7"/>
  <c r="L922" i="7"/>
  <c r="L929" i="7"/>
  <c r="L124" i="7"/>
  <c r="L215" i="7"/>
  <c r="L501" i="7"/>
  <c r="L527" i="7"/>
  <c r="L622" i="7"/>
  <c r="L704" i="7"/>
  <c r="L710" i="7"/>
  <c r="L782" i="7"/>
  <c r="L822" i="7"/>
  <c r="L772" i="7"/>
  <c r="L768" i="7"/>
  <c r="L763" i="7"/>
  <c r="L765" i="7"/>
  <c r="L759" i="7"/>
  <c r="L756" i="7"/>
  <c r="L755" i="7"/>
  <c r="L367" i="7"/>
  <c r="L406" i="7"/>
  <c r="L455" i="7"/>
  <c r="L994" i="7"/>
  <c r="L179" i="7"/>
  <c r="L199" i="7"/>
  <c r="L761" i="7"/>
  <c r="L1025" i="7"/>
  <c r="L917" i="7"/>
  <c r="L362" i="7"/>
  <c r="L9" i="7"/>
  <c r="L100" i="7"/>
  <c r="L188" i="7"/>
  <c r="L225" i="7"/>
  <c r="L287" i="7"/>
  <c r="L313" i="7"/>
  <c r="L424" i="7"/>
  <c r="L481" i="7"/>
  <c r="L693" i="7"/>
  <c r="L708" i="7"/>
  <c r="L739" i="7"/>
  <c r="L745" i="7"/>
  <c r="L753" i="7"/>
  <c r="L776" i="7"/>
  <c r="L790" i="7"/>
  <c r="L796" i="7"/>
  <c r="L938" i="7"/>
  <c r="L945" i="7"/>
  <c r="L977" i="7"/>
  <c r="L1010" i="7"/>
  <c r="L891" i="7"/>
  <c r="L489" i="7"/>
  <c r="L387" i="7"/>
  <c r="L76" i="7"/>
  <c r="L92" i="7"/>
  <c r="L140" i="7"/>
  <c r="L220" i="7"/>
  <c r="L713" i="7"/>
  <c r="L787" i="7"/>
  <c r="L801" i="7"/>
  <c r="L827" i="7"/>
  <c r="L849" i="7"/>
  <c r="L876" i="7"/>
  <c r="L888" i="7"/>
  <c r="L970" i="7"/>
  <c r="L1018" i="7"/>
  <c r="L91" i="7"/>
  <c r="L216" i="7"/>
  <c r="L817" i="7"/>
  <c r="L969" i="7"/>
  <c r="L1017" i="7"/>
  <c r="L54" i="7"/>
  <c r="L860" i="7"/>
  <c r="L905" i="7"/>
  <c r="L84" i="7"/>
  <c r="L112" i="7"/>
  <c r="L198" i="7"/>
  <c r="L248" i="7"/>
  <c r="L700" i="7"/>
  <c r="L720" i="7"/>
  <c r="L760" i="7"/>
  <c r="L774" i="7"/>
  <c r="L828" i="7"/>
  <c r="L855" i="7"/>
  <c r="L953" i="7"/>
  <c r="L985" i="7"/>
  <c r="L909" i="7"/>
  <c r="L146" i="7"/>
  <c r="L184" i="7"/>
  <c r="L887" i="7"/>
  <c r="L914" i="7"/>
  <c r="L80" i="7"/>
  <c r="L507" i="7"/>
  <c r="L521" i="7"/>
  <c r="L921" i="7"/>
  <c r="L962" i="7"/>
  <c r="L1002" i="7"/>
  <c r="L134" i="7"/>
  <c r="L4" i="7"/>
  <c r="L21" i="7"/>
  <c r="L238" i="7"/>
  <c r="L294" i="7"/>
  <c r="L326" i="7"/>
  <c r="L380" i="7"/>
  <c r="L529" i="7"/>
  <c r="L555" i="7"/>
  <c r="L564" i="7"/>
  <c r="L590" i="7"/>
  <c r="L656" i="7"/>
  <c r="L680" i="7"/>
  <c r="L726" i="7"/>
  <c r="L757" i="7"/>
  <c r="L766" i="7"/>
  <c r="L808" i="7"/>
  <c r="L814" i="7"/>
  <c r="L820" i="7"/>
  <c r="L833" i="7"/>
  <c r="L851" i="7"/>
  <c r="L913" i="7"/>
  <c r="L946" i="7"/>
  <c r="L978" i="7"/>
  <c r="L993" i="7"/>
  <c r="K842" i="7"/>
  <c r="I842" i="7"/>
  <c r="K818" i="7"/>
  <c r="I818" i="7"/>
  <c r="I650" i="7"/>
  <c r="K650" i="7"/>
  <c r="I626" i="7"/>
  <c r="K626" i="7"/>
  <c r="I618" i="7"/>
  <c r="K618" i="7"/>
  <c r="K450" i="7"/>
  <c r="I450" i="7"/>
  <c r="L874" i="7"/>
  <c r="K778" i="7"/>
  <c r="I778" i="7"/>
  <c r="I658" i="7"/>
  <c r="K658" i="7"/>
  <c r="I634" i="7"/>
  <c r="K634" i="7"/>
  <c r="L28" i="7"/>
  <c r="L94" i="7"/>
  <c r="L99" i="7"/>
  <c r="L107" i="7"/>
  <c r="K170" i="7"/>
  <c r="L170" i="7" s="1"/>
  <c r="K178" i="7"/>
  <c r="L178" i="7" s="1"/>
  <c r="K186" i="7"/>
  <c r="L186" i="7" s="1"/>
  <c r="K194" i="7"/>
  <c r="L194" i="7" s="1"/>
  <c r="K202" i="7"/>
  <c r="L202" i="7" s="1"/>
  <c r="K210" i="7"/>
  <c r="L210" i="7" s="1"/>
  <c r="I266" i="7"/>
  <c r="L266" i="7" s="1"/>
  <c r="L271" i="7"/>
  <c r="L312" i="7"/>
  <c r="L328" i="7"/>
  <c r="I418" i="7"/>
  <c r="L418" i="7" s="1"/>
  <c r="K490" i="7"/>
  <c r="L490" i="7" s="1"/>
  <c r="K554" i="7"/>
  <c r="L554" i="7" s="1"/>
  <c r="L601" i="7"/>
  <c r="L716" i="7"/>
  <c r="L775" i="7"/>
  <c r="I866" i="7"/>
  <c r="L866" i="7" s="1"/>
  <c r="I952" i="7"/>
  <c r="L952" i="7" s="1"/>
  <c r="I1000" i="7"/>
  <c r="L1000" i="7" s="1"/>
  <c r="L770" i="7"/>
  <c r="L904" i="7"/>
  <c r="L786" i="7"/>
  <c r="I642" i="7"/>
  <c r="K642" i="7"/>
  <c r="L8" i="7"/>
  <c r="I42" i="7"/>
  <c r="L42" i="7" s="1"/>
  <c r="L44" i="7"/>
  <c r="I50" i="7"/>
  <c r="L50" i="7" s="1"/>
  <c r="I58" i="7"/>
  <c r="L58" i="7" s="1"/>
  <c r="L60" i="7"/>
  <c r="I66" i="7"/>
  <c r="L66" i="7" s="1"/>
  <c r="L68" i="7"/>
  <c r="I74" i="7"/>
  <c r="L74" i="7" s="1"/>
  <c r="L89" i="7"/>
  <c r="L108" i="7"/>
  <c r="L157" i="7"/>
  <c r="L189" i="7"/>
  <c r="L197" i="7"/>
  <c r="L224" i="7"/>
  <c r="L255" i="7"/>
  <c r="I410" i="7"/>
  <c r="L410" i="7" s="1"/>
  <c r="K482" i="7"/>
  <c r="L482" i="7" s="1"/>
  <c r="L513" i="7"/>
  <c r="K546" i="7"/>
  <c r="L546" i="7" s="1"/>
  <c r="K610" i="7"/>
  <c r="L610" i="7" s="1"/>
  <c r="L683" i="7"/>
  <c r="L691" i="7"/>
  <c r="L729" i="7"/>
  <c r="I834" i="7"/>
  <c r="L834" i="7" s="1"/>
  <c r="I850" i="7"/>
  <c r="L850" i="7" s="1"/>
  <c r="I858" i="7"/>
  <c r="L858" i="7" s="1"/>
  <c r="I920" i="7"/>
  <c r="L920" i="7" s="1"/>
  <c r="I936" i="7"/>
  <c r="L936" i="7" s="1"/>
  <c r="I976" i="7"/>
  <c r="L976" i="7" s="1"/>
  <c r="I762" i="7"/>
  <c r="K762" i="7"/>
  <c r="K538" i="7"/>
  <c r="L538" i="7" s="1"/>
  <c r="I722" i="7"/>
  <c r="L722" i="7" s="1"/>
  <c r="I738" i="7"/>
  <c r="L738" i="7" s="1"/>
  <c r="K346" i="7"/>
  <c r="L346" i="7" s="1"/>
  <c r="I394" i="7"/>
  <c r="L394" i="7" s="1"/>
  <c r="K466" i="7"/>
  <c r="L466" i="7" s="1"/>
  <c r="K530" i="7"/>
  <c r="L530" i="7" s="1"/>
  <c r="K594" i="7"/>
  <c r="L594" i="7" s="1"/>
  <c r="I714" i="7"/>
  <c r="L714" i="7" s="1"/>
  <c r="K826" i="7"/>
  <c r="L826" i="7" s="1"/>
  <c r="I960" i="7"/>
  <c r="L960" i="7" s="1"/>
  <c r="L34" i="7"/>
  <c r="L386" i="7"/>
  <c r="K474" i="7"/>
  <c r="L474" i="7" s="1"/>
  <c r="I730" i="7"/>
  <c r="L730" i="7" s="1"/>
  <c r="I897" i="7"/>
  <c r="L897" i="7" s="1"/>
  <c r="I98" i="7"/>
  <c r="L98" i="7" s="1"/>
  <c r="I106" i="7"/>
  <c r="L106" i="7" s="1"/>
  <c r="I114" i="7"/>
  <c r="L114" i="7" s="1"/>
  <c r="L69" i="7"/>
  <c r="L150" i="7"/>
  <c r="L156" i="7"/>
  <c r="L166" i="7"/>
  <c r="L235" i="7"/>
  <c r="L243" i="7"/>
  <c r="L276" i="7"/>
  <c r="I298" i="7"/>
  <c r="L298" i="7" s="1"/>
  <c r="I306" i="7"/>
  <c r="L306" i="7" s="1"/>
  <c r="I314" i="7"/>
  <c r="L314" i="7" s="1"/>
  <c r="L335" i="7"/>
  <c r="K338" i="7"/>
  <c r="L338" i="7" s="1"/>
  <c r="L439" i="7"/>
  <c r="L505" i="7"/>
  <c r="K522" i="7"/>
  <c r="L522" i="7" s="1"/>
  <c r="K586" i="7"/>
  <c r="L586" i="7" s="1"/>
  <c r="I666" i="7"/>
  <c r="L666" i="7" s="1"/>
  <c r="I674" i="7"/>
  <c r="L674" i="7" s="1"/>
  <c r="I682" i="7"/>
  <c r="L682" i="7" s="1"/>
  <c r="I690" i="7"/>
  <c r="L690" i="7" s="1"/>
  <c r="L711" i="7"/>
  <c r="L771" i="7"/>
  <c r="I810" i="7"/>
  <c r="L810" i="7" s="1"/>
  <c r="I912" i="7"/>
  <c r="L912" i="7" s="1"/>
  <c r="I984" i="7"/>
  <c r="L984" i="7" s="1"/>
  <c r="I1016" i="7"/>
  <c r="L1016" i="7" s="1"/>
  <c r="K754" i="7"/>
  <c r="I754" i="7"/>
  <c r="K602" i="7"/>
  <c r="L602" i="7" s="1"/>
  <c r="I1008" i="7"/>
  <c r="L1008" i="7" s="1"/>
  <c r="L6" i="7"/>
  <c r="L12" i="7"/>
  <c r="L14" i="7"/>
  <c r="L48" i="7"/>
  <c r="L64" i="7"/>
  <c r="L132" i="7"/>
  <c r="L145" i="7"/>
  <c r="L209" i="7"/>
  <c r="L230" i="7"/>
  <c r="L244" i="7"/>
  <c r="L281" i="7"/>
  <c r="L284" i="7"/>
  <c r="I290" i="7"/>
  <c r="L290" i="7" s="1"/>
  <c r="K330" i="7"/>
  <c r="L330" i="7" s="1"/>
  <c r="I442" i="7"/>
  <c r="L442" i="7" s="1"/>
  <c r="K514" i="7"/>
  <c r="L514" i="7" s="1"/>
  <c r="K578" i="7"/>
  <c r="L578" i="7" s="1"/>
  <c r="L703" i="7"/>
  <c r="K706" i="7"/>
  <c r="L706" i="7" s="1"/>
  <c r="L712" i="7"/>
  <c r="I794" i="7"/>
  <c r="L794" i="7" s="1"/>
  <c r="K802" i="7"/>
  <c r="L802" i="7" s="1"/>
  <c r="I886" i="7"/>
  <c r="L886" i="7" s="1"/>
  <c r="I928" i="7"/>
  <c r="L928" i="7" s="1"/>
  <c r="I944" i="7"/>
  <c r="L944" i="7" s="1"/>
  <c r="K746" i="7"/>
  <c r="I746" i="7"/>
  <c r="L18" i="7"/>
  <c r="L378" i="7"/>
  <c r="L122" i="7"/>
  <c r="I282" i="7"/>
  <c r="L282" i="7" s="1"/>
  <c r="K322" i="7"/>
  <c r="L322" i="7" s="1"/>
  <c r="I434" i="7"/>
  <c r="L434" i="7" s="1"/>
  <c r="K506" i="7"/>
  <c r="L506" i="7" s="1"/>
  <c r="K570" i="7"/>
  <c r="L570" i="7" s="1"/>
  <c r="K698" i="7"/>
  <c r="L698" i="7" s="1"/>
  <c r="I968" i="7"/>
  <c r="L968" i="7" s="1"/>
  <c r="I992" i="7"/>
  <c r="L992" i="7" s="1"/>
  <c r="I1024" i="7"/>
  <c r="L1024" i="7" s="1"/>
  <c r="L288" i="7"/>
  <c r="L395" i="7"/>
  <c r="L417" i="7"/>
  <c r="L419" i="7"/>
  <c r="L427" i="7"/>
  <c r="L433" i="7"/>
  <c r="L477" i="7"/>
  <c r="L509" i="7"/>
  <c r="L525" i="7"/>
  <c r="L721" i="7"/>
  <c r="L724" i="7"/>
  <c r="L732" i="7"/>
  <c r="L747" i="7"/>
  <c r="L758" i="7"/>
  <c r="L767" i="7"/>
  <c r="L777" i="7"/>
  <c r="L780" i="7"/>
  <c r="L788" i="7"/>
  <c r="L797" i="7"/>
  <c r="L863" i="7"/>
  <c r="L871" i="7"/>
  <c r="L883" i="7"/>
  <c r="K925" i="7"/>
  <c r="L925" i="7" s="1"/>
  <c r="K933" i="7"/>
  <c r="L933" i="7" s="1"/>
  <c r="K941" i="7"/>
  <c r="L941" i="7" s="1"/>
  <c r="K949" i="7"/>
  <c r="L949" i="7" s="1"/>
  <c r="K957" i="7"/>
  <c r="L957" i="7" s="1"/>
  <c r="K965" i="7"/>
  <c r="L965" i="7" s="1"/>
  <c r="K973" i="7"/>
  <c r="L973" i="7" s="1"/>
  <c r="K981" i="7"/>
  <c r="L981" i="7" s="1"/>
  <c r="K989" i="7"/>
  <c r="L989" i="7" s="1"/>
  <c r="K997" i="7"/>
  <c r="L997" i="7" s="1"/>
  <c r="K1005" i="7"/>
  <c r="L1005" i="7" s="1"/>
  <c r="K1013" i="7"/>
  <c r="L1013" i="7" s="1"/>
  <c r="K1021" i="7"/>
  <c r="L1021" i="7" s="1"/>
  <c r="I1027" i="7"/>
  <c r="L1027" i="7" s="1"/>
  <c r="K1029" i="7"/>
  <c r="L1029" i="7" s="1"/>
  <c r="L785" i="7"/>
  <c r="L815" i="7"/>
  <c r="L806" i="7"/>
  <c r="L816" i="7"/>
  <c r="L838" i="7"/>
  <c r="L854" i="7"/>
  <c r="L542" i="7"/>
  <c r="L606" i="7"/>
  <c r="L611" i="7"/>
  <c r="L619" i="7"/>
  <c r="L643" i="7"/>
  <c r="L688" i="7"/>
  <c r="L709" i="7"/>
  <c r="L735" i="7"/>
  <c r="L743" i="7"/>
  <c r="L773" i="7"/>
  <c r="L783" i="7"/>
  <c r="L793" i="7"/>
  <c r="L813" i="7"/>
  <c r="L821" i="7"/>
  <c r="L308" i="7"/>
  <c r="L310" i="7"/>
  <c r="L323" i="7"/>
  <c r="L460" i="7"/>
  <c r="L484" i="7"/>
  <c r="L572" i="7"/>
  <c r="L580" i="7"/>
  <c r="L596" i="7"/>
  <c r="L649" i="7"/>
  <c r="L670" i="7"/>
  <c r="L676" i="7"/>
  <c r="L678" i="7"/>
  <c r="L725" i="7"/>
  <c r="L731" i="7"/>
  <c r="L752" i="7"/>
  <c r="L764" i="7"/>
  <c r="L781" i="7"/>
  <c r="L819" i="7"/>
  <c r="L832" i="7"/>
  <c r="L848" i="7"/>
  <c r="L429" i="7"/>
  <c r="L437" i="7"/>
  <c r="L445" i="7"/>
  <c r="L471" i="7"/>
  <c r="L636" i="7"/>
  <c r="L673" i="7"/>
  <c r="L715" i="7"/>
  <c r="L769" i="7"/>
  <c r="L799" i="7"/>
  <c r="L809" i="7"/>
  <c r="L829" i="7"/>
  <c r="L5" i="7"/>
  <c r="L53" i="7"/>
  <c r="L126" i="7"/>
  <c r="L212" i="7"/>
  <c r="L214" i="7"/>
  <c r="L302" i="7"/>
  <c r="L348" i="7"/>
  <c r="L354" i="7"/>
  <c r="L372" i="7"/>
  <c r="L374" i="7"/>
  <c r="L392" i="7"/>
  <c r="L413" i="7"/>
  <c r="L452" i="7"/>
  <c r="L457" i="7"/>
  <c r="L504" i="7"/>
  <c r="L533" i="7"/>
  <c r="L595" i="7"/>
  <c r="L608" i="7"/>
  <c r="L655" i="7"/>
  <c r="L665" i="7"/>
  <c r="L695" i="7"/>
  <c r="L705" i="7"/>
  <c r="L718" i="7"/>
  <c r="L728" i="7"/>
  <c r="L750" i="7"/>
  <c r="L11" i="7"/>
  <c r="L24" i="7"/>
  <c r="L26" i="7"/>
  <c r="L41" i="7"/>
  <c r="L46" i="7"/>
  <c r="L56" i="7"/>
  <c r="L86" i="7"/>
  <c r="L101" i="7"/>
  <c r="L129" i="7"/>
  <c r="L142" i="7"/>
  <c r="L147" i="7"/>
  <c r="L160" i="7"/>
  <c r="L191" i="7"/>
  <c r="L204" i="7"/>
  <c r="L227" i="7"/>
  <c r="L232" i="7"/>
  <c r="L256" i="7"/>
  <c r="L268" i="7"/>
  <c r="L299" i="7"/>
  <c r="L377" i="7"/>
  <c r="L398" i="7"/>
  <c r="L408" i="7"/>
  <c r="L463" i="7"/>
  <c r="L473" i="7"/>
  <c r="L491" i="7"/>
  <c r="L497" i="7"/>
  <c r="L515" i="7"/>
  <c r="L536" i="7"/>
  <c r="L582" i="7"/>
  <c r="L603" i="7"/>
  <c r="L675" i="7"/>
  <c r="L685" i="7"/>
  <c r="L696" i="7"/>
  <c r="L733" i="7"/>
  <c r="L27" i="7"/>
  <c r="L57" i="7"/>
  <c r="L62" i="7"/>
  <c r="L72" i="7"/>
  <c r="L82" i="7"/>
  <c r="L102" i="7"/>
  <c r="L117" i="7"/>
  <c r="L130" i="7"/>
  <c r="L174" i="7"/>
  <c r="L182" i="7"/>
  <c r="L187" i="7"/>
  <c r="L205" i="7"/>
  <c r="L233" i="7"/>
  <c r="L246" i="7"/>
  <c r="L259" i="7"/>
  <c r="L264" i="7"/>
  <c r="L300" i="7"/>
  <c r="L331" i="7"/>
  <c r="L409" i="7"/>
  <c r="L435" i="7"/>
  <c r="L523" i="7"/>
  <c r="L544" i="7"/>
  <c r="L552" i="7"/>
  <c r="L604" i="7"/>
  <c r="L633" i="7"/>
  <c r="L646" i="7"/>
  <c r="L671" i="7"/>
  <c r="L681" i="7"/>
  <c r="L701" i="7"/>
  <c r="L734" i="7"/>
  <c r="L741" i="7"/>
  <c r="L744" i="7"/>
  <c r="L37" i="7"/>
  <c r="L75" i="7"/>
  <c r="L90" i="7"/>
  <c r="L105" i="7"/>
  <c r="L110" i="7"/>
  <c r="L115" i="7"/>
  <c r="L151" i="7"/>
  <c r="L164" i="7"/>
  <c r="L200" i="7"/>
  <c r="L213" i="7"/>
  <c r="L218" i="7"/>
  <c r="L223" i="7"/>
  <c r="L249" i="7"/>
  <c r="L280" i="7"/>
  <c r="L303" i="7"/>
  <c r="L311" i="7"/>
  <c r="L316" i="7"/>
  <c r="L342" i="7"/>
  <c r="L355" i="7"/>
  <c r="L360" i="7"/>
  <c r="L396" i="7"/>
  <c r="L412" i="7"/>
  <c r="L425" i="7"/>
  <c r="L461" i="7"/>
  <c r="L503" i="7"/>
  <c r="L560" i="7"/>
  <c r="L568" i="7"/>
  <c r="L659" i="7"/>
  <c r="L664" i="7"/>
  <c r="L679" i="7"/>
  <c r="L689" i="7"/>
  <c r="L692" i="7"/>
  <c r="L702" i="7"/>
  <c r="L719" i="7"/>
  <c r="L10" i="7"/>
  <c r="L25" i="7"/>
  <c r="L30" i="7"/>
  <c r="L70" i="7"/>
  <c r="L85" i="7"/>
  <c r="L141" i="7"/>
  <c r="L154" i="7"/>
  <c r="L172" i="7"/>
  <c r="L180" i="7"/>
  <c r="L203" i="7"/>
  <c r="L226" i="7"/>
  <c r="L236" i="7"/>
  <c r="L267" i="7"/>
  <c r="L275" i="7"/>
  <c r="L345" i="7"/>
  <c r="L376" i="7"/>
  <c r="L399" i="7"/>
  <c r="L407" i="7"/>
  <c r="L415" i="7"/>
  <c r="L420" i="7"/>
  <c r="L472" i="7"/>
  <c r="L483" i="7"/>
  <c r="L707" i="7"/>
  <c r="L2" i="7"/>
  <c r="L22" i="7"/>
  <c r="L43" i="7"/>
  <c r="L73" i="7"/>
  <c r="L78" i="7"/>
  <c r="L88" i="7"/>
  <c r="L118" i="7"/>
  <c r="L131" i="7"/>
  <c r="L136" i="7"/>
  <c r="L144" i="7"/>
  <c r="L162" i="7"/>
  <c r="L167" i="7"/>
  <c r="L211" i="7"/>
  <c r="L239" i="7"/>
  <c r="L247" i="7"/>
  <c r="L252" i="7"/>
  <c r="L265" i="7"/>
  <c r="L278" i="7"/>
  <c r="L291" i="7"/>
  <c r="L296" i="7"/>
  <c r="L332" i="7"/>
  <c r="L363" i="7"/>
  <c r="L423" i="7"/>
  <c r="L449" i="7"/>
  <c r="L493" i="7"/>
  <c r="L519" i="7"/>
  <c r="L540" i="7"/>
  <c r="L553" i="7"/>
  <c r="L558" i="7"/>
  <c r="L584" i="7"/>
  <c r="L662" i="7"/>
  <c r="L672" i="7"/>
  <c r="L677" i="7"/>
  <c r="L687" i="7"/>
  <c r="L717" i="7"/>
  <c r="L727" i="7"/>
  <c r="L737" i="7"/>
  <c r="L740" i="7"/>
  <c r="L749" i="7"/>
  <c r="L15" i="7"/>
  <c r="L31" i="7"/>
  <c r="L47" i="7"/>
  <c r="L63" i="7"/>
  <c r="L79" i="7"/>
  <c r="L95" i="7"/>
  <c r="L111" i="7"/>
  <c r="L128" i="7"/>
  <c r="L138" i="7"/>
  <c r="L148" i="7"/>
  <c r="L158" i="7"/>
  <c r="L163" i="7"/>
  <c r="L168" i="7"/>
  <c r="L173" i="7"/>
  <c r="L183" i="7"/>
  <c r="L195" i="7"/>
  <c r="L207" i="7"/>
  <c r="L219" i="7"/>
  <c r="L222" i="7"/>
  <c r="L229" i="7"/>
  <c r="L241" i="7"/>
  <c r="L253" i="7"/>
  <c r="L261" i="7"/>
  <c r="L273" i="7"/>
  <c r="L285" i="7"/>
  <c r="L293" i="7"/>
  <c r="L305" i="7"/>
  <c r="L317" i="7"/>
  <c r="L325" i="7"/>
  <c r="L337" i="7"/>
  <c r="L349" i="7"/>
  <c r="L357" i="7"/>
  <c r="L369" i="7"/>
  <c r="L381" i="7"/>
  <c r="L389" i="7"/>
  <c r="L401" i="7"/>
  <c r="L411" i="7"/>
  <c r="L444" i="7"/>
  <c r="L447" i="7"/>
  <c r="L476" i="7"/>
  <c r="L479" i="7"/>
  <c r="L499" i="7"/>
  <c r="L508" i="7"/>
  <c r="L511" i="7"/>
  <c r="L531" i="7"/>
  <c r="L556" i="7"/>
  <c r="L569" i="7"/>
  <c r="L579" i="7"/>
  <c r="L600" i="7"/>
  <c r="L607" i="7"/>
  <c r="L627" i="7"/>
  <c r="L645" i="7"/>
  <c r="L13" i="7"/>
  <c r="L29" i="7"/>
  <c r="L45" i="7"/>
  <c r="L61" i="7"/>
  <c r="L77" i="7"/>
  <c r="L93" i="7"/>
  <c r="L109" i="7"/>
  <c r="L161" i="7"/>
  <c r="L176" i="7"/>
  <c r="L193" i="7"/>
  <c r="L196" i="7"/>
  <c r="L208" i="7"/>
  <c r="L217" i="7"/>
  <c r="L242" i="7"/>
  <c r="L251" i="7"/>
  <c r="L254" i="7"/>
  <c r="L274" i="7"/>
  <c r="L283" i="7"/>
  <c r="L286" i="7"/>
  <c r="L315" i="7"/>
  <c r="L318" i="7"/>
  <c r="L347" i="7"/>
  <c r="L350" i="7"/>
  <c r="L370" i="7"/>
  <c r="L379" i="7"/>
  <c r="L382" i="7"/>
  <c r="L402" i="7"/>
  <c r="L431" i="7"/>
  <c r="L467" i="7"/>
  <c r="L562" i="7"/>
  <c r="L592" i="7"/>
  <c r="L597" i="7"/>
  <c r="L620" i="7"/>
  <c r="L628" i="7"/>
  <c r="L638" i="7"/>
  <c r="L640" i="7"/>
  <c r="L206" i="7"/>
  <c r="L228" i="7"/>
  <c r="L240" i="7"/>
  <c r="L260" i="7"/>
  <c r="L272" i="7"/>
  <c r="L292" i="7"/>
  <c r="L304" i="7"/>
  <c r="L324" i="7"/>
  <c r="L336" i="7"/>
  <c r="L356" i="7"/>
  <c r="L368" i="7"/>
  <c r="L388" i="7"/>
  <c r="L400" i="7"/>
  <c r="L443" i="7"/>
  <c r="L453" i="7"/>
  <c r="L465" i="7"/>
  <c r="L475" i="7"/>
  <c r="L485" i="7"/>
  <c r="L526" i="7"/>
  <c r="L588" i="7"/>
  <c r="L644" i="7"/>
  <c r="L654" i="7"/>
  <c r="L7" i="7"/>
  <c r="L23" i="7"/>
  <c r="L39" i="7"/>
  <c r="L55" i="7"/>
  <c r="L71" i="7"/>
  <c r="L87" i="7"/>
  <c r="L103" i="7"/>
  <c r="L119" i="7"/>
  <c r="L177" i="7"/>
  <c r="L192" i="7"/>
  <c r="L201" i="7"/>
  <c r="L237" i="7"/>
  <c r="L245" i="7"/>
  <c r="L257" i="7"/>
  <c r="L269" i="7"/>
  <c r="L277" i="7"/>
  <c r="L289" i="7"/>
  <c r="L301" i="7"/>
  <c r="L309" i="7"/>
  <c r="L321" i="7"/>
  <c r="L333" i="7"/>
  <c r="L341" i="7"/>
  <c r="L353" i="7"/>
  <c r="L365" i="7"/>
  <c r="L373" i="7"/>
  <c r="L385" i="7"/>
  <c r="L397" i="7"/>
  <c r="L405" i="7"/>
  <c r="L440" i="7"/>
  <c r="L462" i="7"/>
  <c r="L492" i="7"/>
  <c r="L524" i="7"/>
  <c r="L537" i="7"/>
  <c r="L547" i="7"/>
  <c r="L565" i="7"/>
  <c r="L585" i="7"/>
  <c r="L593" i="7"/>
  <c r="L641" i="7"/>
  <c r="L3" i="7"/>
  <c r="L19" i="7"/>
  <c r="L35" i="7"/>
  <c r="L51" i="7"/>
  <c r="L67" i="7"/>
  <c r="L83" i="7"/>
  <c r="L297" i="7"/>
  <c r="L307" i="7"/>
  <c r="L319" i="7"/>
  <c r="L329" i="7"/>
  <c r="L339" i="7"/>
  <c r="L351" i="7"/>
  <c r="L361" i="7"/>
  <c r="L371" i="7"/>
  <c r="L383" i="7"/>
  <c r="L393" i="7"/>
  <c r="L403" i="7"/>
  <c r="L468" i="7"/>
  <c r="L488" i="7"/>
  <c r="L520" i="7"/>
  <c r="L624" i="7"/>
  <c r="L629" i="7"/>
  <c r="L17" i="7"/>
  <c r="L33" i="7"/>
  <c r="L49" i="7"/>
  <c r="L65" i="7"/>
  <c r="L81" i="7"/>
  <c r="L97" i="7"/>
  <c r="L113" i="7"/>
  <c r="L120" i="7"/>
  <c r="L125" i="7"/>
  <c r="L135" i="7"/>
  <c r="L185" i="7"/>
  <c r="L221" i="7"/>
  <c r="L231" i="7"/>
  <c r="L263" i="7"/>
  <c r="L295" i="7"/>
  <c r="L327" i="7"/>
  <c r="L359" i="7"/>
  <c r="L391" i="7"/>
  <c r="L428" i="7"/>
  <c r="L441" i="7"/>
  <c r="L446" i="7"/>
  <c r="L456" i="7"/>
  <c r="L478" i="7"/>
  <c r="L498" i="7"/>
  <c r="L543" i="7"/>
  <c r="L576" i="7"/>
  <c r="L581" i="7"/>
  <c r="L617" i="7"/>
  <c r="L632" i="7"/>
  <c r="L123" i="7"/>
  <c r="L139" i="7"/>
  <c r="L155" i="7"/>
  <c r="L171" i="7"/>
  <c r="L421" i="7"/>
  <c r="L121" i="7"/>
  <c r="L137" i="7"/>
  <c r="L153" i="7"/>
  <c r="L169" i="7"/>
  <c r="L436" i="7"/>
  <c r="L494" i="7"/>
  <c r="L133" i="7"/>
  <c r="L149" i="7"/>
  <c r="L165" i="7"/>
  <c r="L181" i="7"/>
  <c r="L616" i="7"/>
  <c r="L127" i="7"/>
  <c r="L143" i="7"/>
  <c r="L159" i="7"/>
  <c r="L175" i="7"/>
  <c r="L430" i="7"/>
  <c r="L510" i="7"/>
  <c r="L416" i="7"/>
  <c r="L432" i="7"/>
  <c r="L448" i="7"/>
  <c r="L464" i="7"/>
  <c r="L480" i="7"/>
  <c r="L496" i="7"/>
  <c r="L512" i="7"/>
  <c r="L528" i="7"/>
  <c r="L549" i="7"/>
  <c r="L561" i="7"/>
  <c r="L575" i="7"/>
  <c r="L587" i="7"/>
  <c r="L613" i="7"/>
  <c r="L625" i="7"/>
  <c r="L639" i="7"/>
  <c r="L651" i="7"/>
  <c r="L668" i="7"/>
  <c r="L566" i="7"/>
  <c r="L630" i="7"/>
  <c r="L661" i="7"/>
  <c r="L545" i="7"/>
  <c r="L559" i="7"/>
  <c r="L571" i="7"/>
  <c r="L609" i="7"/>
  <c r="L623" i="7"/>
  <c r="L635" i="7"/>
  <c r="L426" i="7"/>
  <c r="L458" i="7"/>
  <c r="L550" i="7"/>
  <c r="L614" i="7"/>
  <c r="L652" i="7"/>
  <c r="L657" i="7"/>
  <c r="L422" i="7"/>
  <c r="L438" i="7"/>
  <c r="L454" i="7"/>
  <c r="L470" i="7"/>
  <c r="L486" i="7"/>
  <c r="L502" i="7"/>
  <c r="L518" i="7"/>
  <c r="L534" i="7"/>
  <c r="L598" i="7"/>
  <c r="L667" i="7"/>
  <c r="L684" i="7"/>
  <c r="L500" i="7"/>
  <c r="L516" i="7"/>
  <c r="L532" i="7"/>
  <c r="L539" i="7"/>
  <c r="L577" i="7"/>
  <c r="L591" i="7"/>
  <c r="L541" i="7"/>
  <c r="L557" i="7"/>
  <c r="L573" i="7"/>
  <c r="L589" i="7"/>
  <c r="L605" i="7"/>
  <c r="L621" i="7"/>
  <c r="L637" i="7"/>
  <c r="L653" i="7"/>
  <c r="L669" i="7"/>
  <c r="L535" i="7"/>
  <c r="L551" i="7"/>
  <c r="L567" i="7"/>
  <c r="L583" i="7"/>
  <c r="L599" i="7"/>
  <c r="L615" i="7"/>
  <c r="L631" i="7"/>
  <c r="L647" i="7"/>
  <c r="L663" i="7"/>
  <c r="L686" i="7"/>
  <c r="L861" i="7"/>
  <c r="L869" i="7"/>
  <c r="L880" i="7"/>
  <c r="L889" i="7"/>
  <c r="L899" i="7"/>
  <c r="L907" i="7"/>
  <c r="L915" i="7"/>
  <c r="L923" i="7"/>
  <c r="L931" i="7"/>
  <c r="L939" i="7"/>
  <c r="L947" i="7"/>
  <c r="L955" i="7"/>
  <c r="L963" i="7"/>
  <c r="L971" i="7"/>
  <c r="L979" i="7"/>
  <c r="L987" i="7"/>
  <c r="L995" i="7"/>
  <c r="L1003" i="7"/>
  <c r="L1011" i="7"/>
  <c r="L1019" i="7"/>
  <c r="L856" i="7"/>
  <c r="L864" i="7"/>
  <c r="L872" i="7"/>
  <c r="L884" i="7"/>
  <c r="L895" i="7"/>
  <c r="L902" i="7"/>
  <c r="L910" i="7"/>
  <c r="L918" i="7"/>
  <c r="L926" i="7"/>
  <c r="L934" i="7"/>
  <c r="L942" i="7"/>
  <c r="L950" i="7"/>
  <c r="L958" i="7"/>
  <c r="L966" i="7"/>
  <c r="L974" i="7"/>
  <c r="L982" i="7"/>
  <c r="L990" i="7"/>
  <c r="L998" i="7"/>
  <c r="L1006" i="7"/>
  <c r="L1014" i="7"/>
  <c r="L1022" i="7"/>
  <c r="L1030" i="7"/>
  <c r="L862" i="7"/>
  <c r="L870" i="7"/>
  <c r="L881" i="7"/>
  <c r="L890" i="7"/>
  <c r="L900" i="7"/>
  <c r="L908" i="7"/>
  <c r="L916" i="7"/>
  <c r="L924" i="7"/>
  <c r="L932" i="7"/>
  <c r="L940" i="7"/>
  <c r="L948" i="7"/>
  <c r="L956" i="7"/>
  <c r="L964" i="7"/>
  <c r="L972" i="7"/>
  <c r="L980" i="7"/>
  <c r="L988" i="7"/>
  <c r="L996" i="7"/>
  <c r="L1004" i="7"/>
  <c r="L1012" i="7"/>
  <c r="L1020" i="7"/>
  <c r="L1028" i="7"/>
  <c r="L857" i="7"/>
  <c r="L865" i="7"/>
  <c r="L873" i="7"/>
  <c r="L885" i="7"/>
  <c r="L896" i="7"/>
  <c r="L903" i="7"/>
  <c r="L911" i="7"/>
  <c r="L919" i="7"/>
  <c r="L927" i="7"/>
  <c r="L935" i="7"/>
  <c r="L943" i="7"/>
  <c r="L951" i="7"/>
  <c r="L959" i="7"/>
  <c r="L967" i="7"/>
  <c r="L975" i="7"/>
  <c r="L983" i="7"/>
  <c r="L991" i="7"/>
  <c r="L999" i="7"/>
  <c r="L1007" i="7"/>
  <c r="L1015" i="7"/>
  <c r="L1023" i="7"/>
  <c r="L1031" i="7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100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H100" i="5"/>
  <c r="I100" i="5" s="1"/>
  <c r="H101" i="5"/>
  <c r="I101" i="5"/>
  <c r="H102" i="5"/>
  <c r="I102" i="5" s="1"/>
  <c r="H103" i="5"/>
  <c r="I103" i="5" s="1"/>
  <c r="H104" i="5"/>
  <c r="I104" i="5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/>
  <c r="H187" i="5"/>
  <c r="I187" i="5" s="1"/>
  <c r="H188" i="5"/>
  <c r="I188" i="5" s="1"/>
  <c r="H189" i="5"/>
  <c r="I189" i="5" s="1"/>
  <c r="H190" i="5"/>
  <c r="I190" i="5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/>
  <c r="H259" i="5"/>
  <c r="I259" i="5" s="1"/>
  <c r="H260" i="5"/>
  <c r="I260" i="5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/>
  <c r="H269" i="5"/>
  <c r="I269" i="5" s="1"/>
  <c r="H270" i="5"/>
  <c r="I270" i="5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L626" i="7" l="1"/>
  <c r="L450" i="7"/>
  <c r="L618" i="7"/>
  <c r="L642" i="7"/>
  <c r="L762" i="7"/>
  <c r="L634" i="7"/>
  <c r="L818" i="7"/>
  <c r="L842" i="7"/>
  <c r="L746" i="7"/>
  <c r="L658" i="7"/>
  <c r="L650" i="7"/>
  <c r="L778" i="7"/>
  <c r="L754" i="7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H73" i="5"/>
  <c r="I73" i="5" s="1"/>
  <c r="H74" i="5"/>
  <c r="I74" i="5" s="1"/>
  <c r="H75" i="5"/>
  <c r="I75" i="5" s="1"/>
  <c r="H76" i="5"/>
  <c r="H77" i="5"/>
  <c r="H78" i="5"/>
  <c r="H79" i="5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H87" i="5"/>
  <c r="I87" i="5" s="1"/>
  <c r="H88" i="5"/>
  <c r="I88" i="5" s="1"/>
  <c r="H89" i="5"/>
  <c r="I89" i="5" s="1"/>
  <c r="H90" i="5"/>
  <c r="I90" i="5" s="1"/>
  <c r="H91" i="5"/>
  <c r="I91" i="5" s="1"/>
  <c r="H92" i="5"/>
  <c r="H93" i="5"/>
  <c r="H94" i="5"/>
  <c r="H95" i="5"/>
  <c r="H96" i="5"/>
  <c r="I96" i="5" s="1"/>
  <c r="H97" i="5"/>
  <c r="I97" i="5" s="1"/>
  <c r="H98" i="5"/>
  <c r="I98" i="5" s="1"/>
  <c r="H99" i="5"/>
  <c r="I99" i="5" s="1"/>
  <c r="I76" i="5"/>
  <c r="I77" i="5"/>
  <c r="I78" i="5"/>
  <c r="I79" i="5"/>
  <c r="I86" i="5"/>
  <c r="I92" i="5"/>
  <c r="I93" i="5"/>
  <c r="I94" i="5"/>
  <c r="I95" i="5"/>
  <c r="R78" i="5" l="1"/>
  <c r="R77" i="5" l="1"/>
  <c r="R76" i="5" l="1"/>
  <c r="R75" i="5" l="1"/>
  <c r="R74" i="5" l="1"/>
  <c r="AA73" i="5" l="1"/>
  <c r="R73" i="5"/>
  <c r="AA66" i="5" l="1"/>
  <c r="AA67" i="5"/>
  <c r="AA68" i="5"/>
  <c r="AA69" i="5"/>
  <c r="AA70" i="5"/>
  <c r="AA71" i="5"/>
  <c r="AA72" i="5"/>
  <c r="AA65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39" i="5"/>
  <c r="H45" i="5"/>
  <c r="H46" i="5"/>
  <c r="H47" i="5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H55" i="5"/>
  <c r="H56" i="5"/>
  <c r="H57" i="5"/>
  <c r="I57" i="5" s="1"/>
  <c r="H58" i="5"/>
  <c r="I58" i="5" s="1"/>
  <c r="H59" i="5"/>
  <c r="I59" i="5" s="1"/>
  <c r="H60" i="5"/>
  <c r="I60" i="5" s="1"/>
  <c r="H61" i="5"/>
  <c r="I61" i="5" s="1"/>
  <c r="H62" i="5"/>
  <c r="H63" i="5"/>
  <c r="I63" i="5" s="1"/>
  <c r="H64" i="5"/>
  <c r="H65" i="5"/>
  <c r="I65" i="5" s="1"/>
  <c r="H66" i="5"/>
  <c r="I66" i="5" s="1"/>
  <c r="H67" i="5"/>
  <c r="I67" i="5" s="1"/>
  <c r="H68" i="5"/>
  <c r="I68" i="5" s="1"/>
  <c r="H69" i="5"/>
  <c r="I69" i="5" s="1"/>
  <c r="H70" i="5"/>
  <c r="H71" i="5"/>
  <c r="I71" i="5" s="1"/>
  <c r="H72" i="5"/>
  <c r="I72" i="5" s="1"/>
  <c r="I46" i="5"/>
  <c r="I47" i="5"/>
  <c r="I54" i="5"/>
  <c r="I55" i="5"/>
  <c r="I56" i="5"/>
  <c r="I62" i="5"/>
  <c r="I64" i="5"/>
  <c r="I70" i="5"/>
  <c r="N39" i="5"/>
  <c r="J40" i="5" s="1"/>
  <c r="N40" i="5" s="1"/>
  <c r="J41" i="5" s="1"/>
  <c r="N41" i="5" l="1"/>
  <c r="I45" i="5"/>
  <c r="J42" i="5" l="1"/>
  <c r="N42" i="5" s="1"/>
  <c r="H44" i="5"/>
  <c r="I44" i="5" s="1"/>
  <c r="H43" i="5"/>
  <c r="I43" i="5" s="1"/>
  <c r="J43" i="5" l="1"/>
  <c r="N43" i="5" s="1"/>
  <c r="J44" i="5" s="1"/>
  <c r="N44" i="5" s="1"/>
  <c r="J45" i="5" l="1"/>
  <c r="N45" i="5" s="1"/>
  <c r="J46" i="5" s="1"/>
  <c r="N46" i="5" s="1"/>
  <c r="J47" i="5" s="1"/>
  <c r="AB24" i="5"/>
  <c r="AB25" i="5" s="1"/>
  <c r="AB26" i="5" s="1"/>
  <c r="AC24" i="5"/>
  <c r="AC25" i="5" s="1"/>
  <c r="AC26" i="5" s="1"/>
  <c r="AD24" i="5"/>
  <c r="AD25" i="5" s="1"/>
  <c r="AD26" i="5" s="1"/>
  <c r="N47" i="5" l="1"/>
  <c r="I15" i="5"/>
  <c r="J48" i="5" l="1"/>
  <c r="N48" i="5" s="1"/>
  <c r="I14" i="5"/>
  <c r="J49" i="5" l="1"/>
  <c r="N49" i="5" s="1"/>
  <c r="J50" i="5" s="1"/>
  <c r="N50" i="5" s="1"/>
  <c r="J51" i="5" s="1"/>
  <c r="I13" i="5"/>
  <c r="N51" i="5" l="1"/>
  <c r="R4" i="5"/>
  <c r="N4" i="5"/>
  <c r="H4" i="5"/>
  <c r="I4" i="5" s="1"/>
  <c r="U3" i="5"/>
  <c r="R3" i="5"/>
  <c r="N3" i="5"/>
  <c r="H3" i="5"/>
  <c r="J52" i="5" l="1"/>
  <c r="N52" i="5" s="1"/>
  <c r="I12" i="5"/>
  <c r="I11" i="5"/>
  <c r="I10" i="5"/>
  <c r="I9" i="5"/>
  <c r="I8" i="5"/>
  <c r="I7" i="5"/>
  <c r="I6" i="5"/>
  <c r="I5" i="5"/>
  <c r="I3" i="5"/>
  <c r="J53" i="5" l="1"/>
  <c r="N53" i="5" s="1"/>
  <c r="L41" i="3"/>
  <c r="N41" i="3" s="1"/>
  <c r="K41" i="3"/>
  <c r="G41" i="3"/>
  <c r="L40" i="3"/>
  <c r="N40" i="3" s="1"/>
  <c r="K40" i="3"/>
  <c r="G40" i="3"/>
  <c r="L39" i="3"/>
  <c r="N39" i="3" s="1"/>
  <c r="K39" i="3"/>
  <c r="G39" i="3"/>
  <c r="L38" i="3"/>
  <c r="N38" i="3" s="1"/>
  <c r="K38" i="3"/>
  <c r="G38" i="3"/>
  <c r="L37" i="3"/>
  <c r="N37" i="3" s="1"/>
  <c r="K37" i="3"/>
  <c r="G37" i="3"/>
  <c r="L36" i="3"/>
  <c r="N36" i="3" s="1"/>
  <c r="K36" i="3"/>
  <c r="G36" i="3"/>
  <c r="L35" i="3"/>
  <c r="N35" i="3" s="1"/>
  <c r="K35" i="3"/>
  <c r="G35" i="3"/>
  <c r="L34" i="3"/>
  <c r="N34" i="3" s="1"/>
  <c r="K34" i="3"/>
  <c r="G34" i="3"/>
  <c r="L33" i="3"/>
  <c r="N33" i="3" s="1"/>
  <c r="K33" i="3"/>
  <c r="G33" i="3"/>
  <c r="L32" i="3"/>
  <c r="N32" i="3" s="1"/>
  <c r="K32" i="3"/>
  <c r="G32" i="3"/>
  <c r="L31" i="3"/>
  <c r="N31" i="3" s="1"/>
  <c r="K31" i="3"/>
  <c r="G31" i="3"/>
  <c r="L30" i="3"/>
  <c r="N30" i="3" s="1"/>
  <c r="K30" i="3"/>
  <c r="G30" i="3"/>
  <c r="L29" i="3"/>
  <c r="N29" i="3" s="1"/>
  <c r="K29" i="3"/>
  <c r="G29" i="3"/>
  <c r="L28" i="3"/>
  <c r="N28" i="3" s="1"/>
  <c r="K28" i="3"/>
  <c r="G28" i="3"/>
  <c r="L27" i="3"/>
  <c r="N27" i="3" s="1"/>
  <c r="K27" i="3"/>
  <c r="G27" i="3"/>
  <c r="L26" i="3"/>
  <c r="N26" i="3" s="1"/>
  <c r="K26" i="3"/>
  <c r="G26" i="3"/>
  <c r="L25" i="3"/>
  <c r="N25" i="3" s="1"/>
  <c r="K25" i="3"/>
  <c r="G25" i="3"/>
  <c r="L24" i="3"/>
  <c r="N24" i="3" s="1"/>
  <c r="K24" i="3"/>
  <c r="G24" i="3"/>
  <c r="L23" i="3"/>
  <c r="N23" i="3" s="1"/>
  <c r="K23" i="3"/>
  <c r="G23" i="3"/>
  <c r="L22" i="3"/>
  <c r="N22" i="3" s="1"/>
  <c r="K22" i="3"/>
  <c r="G22" i="3"/>
  <c r="L21" i="3"/>
  <c r="N21" i="3" s="1"/>
  <c r="K21" i="3"/>
  <c r="G21" i="3"/>
  <c r="L20" i="3"/>
  <c r="N20" i="3" s="1"/>
  <c r="K20" i="3"/>
  <c r="G20" i="3"/>
  <c r="L19" i="3"/>
  <c r="N19" i="3" s="1"/>
  <c r="K19" i="3"/>
  <c r="G19" i="3"/>
  <c r="L18" i="3"/>
  <c r="N18" i="3" s="1"/>
  <c r="K18" i="3"/>
  <c r="G18" i="3"/>
  <c r="L17" i="3"/>
  <c r="N17" i="3" s="1"/>
  <c r="K17" i="3"/>
  <c r="G17" i="3"/>
  <c r="L16" i="3"/>
  <c r="N16" i="3" s="1"/>
  <c r="K16" i="3"/>
  <c r="G16" i="3"/>
  <c r="L15" i="3"/>
  <c r="N15" i="3" s="1"/>
  <c r="K15" i="3"/>
  <c r="G15" i="3"/>
  <c r="L14" i="3"/>
  <c r="N14" i="3" s="1"/>
  <c r="K14" i="3"/>
  <c r="G14" i="3"/>
  <c r="L13" i="3"/>
  <c r="N13" i="3" s="1"/>
  <c r="K13" i="3"/>
  <c r="G13" i="3"/>
  <c r="L12" i="3"/>
  <c r="N12" i="3" s="1"/>
  <c r="K12" i="3"/>
  <c r="G12" i="3"/>
  <c r="L11" i="3"/>
  <c r="N11" i="3" s="1"/>
  <c r="K11" i="3"/>
  <c r="G11" i="3"/>
  <c r="L10" i="3"/>
  <c r="N10" i="3" s="1"/>
  <c r="K10" i="3"/>
  <c r="G10" i="3"/>
  <c r="L9" i="3"/>
  <c r="N9" i="3" s="1"/>
  <c r="K9" i="3"/>
  <c r="G9" i="3"/>
  <c r="L8" i="3"/>
  <c r="N8" i="3" s="1"/>
  <c r="K8" i="3"/>
  <c r="G8" i="3"/>
  <c r="L7" i="3"/>
  <c r="N7" i="3" s="1"/>
  <c r="K7" i="3"/>
  <c r="G7" i="3"/>
  <c r="L6" i="3"/>
  <c r="N6" i="3" s="1"/>
  <c r="K6" i="3"/>
  <c r="G6" i="3"/>
  <c r="J54" i="5" l="1"/>
  <c r="N54" i="5" s="1"/>
  <c r="J55" i="5" s="1"/>
  <c r="N55" i="5" s="1"/>
  <c r="J56" i="5" s="1"/>
  <c r="N56" i="5" s="1"/>
  <c r="J57" i="5" s="1"/>
  <c r="N57" i="5" s="1"/>
  <c r="J58" i="5" s="1"/>
  <c r="M32" i="3"/>
  <c r="M40" i="3"/>
  <c r="M36" i="3"/>
  <c r="M31" i="3"/>
  <c r="M39" i="3"/>
  <c r="M35" i="3"/>
  <c r="M30" i="3"/>
  <c r="M33" i="3"/>
  <c r="M37" i="3"/>
  <c r="M41" i="3"/>
  <c r="M34" i="3"/>
  <c r="M38" i="3"/>
  <c r="M17" i="3"/>
  <c r="M21" i="3"/>
  <c r="M14" i="3"/>
  <c r="M18" i="3"/>
  <c r="M23" i="3"/>
  <c r="M16" i="3"/>
  <c r="M22" i="3"/>
  <c r="M28" i="3"/>
  <c r="M24" i="3"/>
  <c r="M26" i="3"/>
  <c r="M12" i="3"/>
  <c r="M27" i="3"/>
  <c r="M20" i="3"/>
  <c r="M29" i="3"/>
  <c r="M11" i="3"/>
  <c r="M25" i="3"/>
  <c r="M9" i="3"/>
  <c r="M19" i="3"/>
  <c r="M7" i="3"/>
  <c r="M15" i="3"/>
  <c r="M13" i="3"/>
  <c r="M6" i="3"/>
  <c r="M8" i="3"/>
  <c r="M10" i="3"/>
  <c r="N58" i="5" l="1"/>
  <c r="J59" i="5" s="1"/>
  <c r="N59" i="5" l="1"/>
  <c r="J60" i="5" s="1"/>
  <c r="N60" i="5" l="1"/>
  <c r="J61" i="5" s="1"/>
  <c r="N61" i="5" l="1"/>
  <c r="J62" i="5" s="1"/>
  <c r="N62" i="5" l="1"/>
  <c r="J63" i="5" s="1"/>
  <c r="N63" i="5" l="1"/>
  <c r="J64" i="5" s="1"/>
  <c r="N64" i="5" l="1"/>
  <c r="J65" i="5" s="1"/>
  <c r="N65" i="5" l="1"/>
  <c r="J66" i="5" s="1"/>
  <c r="N66" i="5" l="1"/>
  <c r="J67" i="5" s="1"/>
  <c r="N67" i="5" l="1"/>
  <c r="J68" i="5" s="1"/>
  <c r="N68" i="5" l="1"/>
  <c r="J69" i="5" s="1"/>
  <c r="N69" i="5" l="1"/>
  <c r="J70" i="5" s="1"/>
  <c r="N70" i="5" l="1"/>
  <c r="J71" i="5" s="1"/>
  <c r="N71" i="5" s="1"/>
  <c r="J72" i="5" l="1"/>
  <c r="N72" i="5" s="1"/>
  <c r="J73" i="5" s="1"/>
  <c r="N73" i="5" s="1"/>
  <c r="J74" i="5" s="1"/>
  <c r="N74" i="5" s="1"/>
  <c r="J75" i="5" s="1"/>
  <c r="N75" i="5" s="1"/>
  <c r="J76" i="5" s="1"/>
  <c r="N76" i="5" s="1"/>
  <c r="J77" i="5" s="1"/>
  <c r="N77" i="5" s="1"/>
  <c r="J78" i="5" s="1"/>
  <c r="N78" i="5" s="1"/>
  <c r="J79" i="5" s="1"/>
  <c r="N79" i="5" s="1"/>
  <c r="J80" i="5" s="1"/>
  <c r="N80" i="5" s="1"/>
  <c r="J81" i="5" s="1"/>
  <c r="N81" i="5" s="1"/>
  <c r="J82" i="5" s="1"/>
  <c r="N82" i="5" s="1"/>
  <c r="J83" i="5" s="1"/>
  <c r="N83" i="5" s="1"/>
  <c r="J84" i="5" s="1"/>
  <c r="N84" i="5" s="1"/>
  <c r="J85" i="5" s="1"/>
  <c r="N85" i="5" s="1"/>
  <c r="J86" i="5" s="1"/>
  <c r="N86" i="5" s="1"/>
  <c r="J87" i="5" s="1"/>
  <c r="N87" i="5" s="1"/>
  <c r="J88" i="5" s="1"/>
  <c r="N88" i="5" s="1"/>
  <c r="J89" i="5" s="1"/>
  <c r="N89" i="5" s="1"/>
  <c r="J90" i="5" s="1"/>
  <c r="N90" i="5" s="1"/>
  <c r="J91" i="5" s="1"/>
  <c r="N91" i="5" s="1"/>
  <c r="J92" i="5" s="1"/>
  <c r="N92" i="5" s="1"/>
  <c r="J93" i="5" s="1"/>
  <c r="N93" i="5" s="1"/>
  <c r="J94" i="5" s="1"/>
  <c r="N94" i="5" s="1"/>
  <c r="J95" i="5" s="1"/>
  <c r="N95" i="5" s="1"/>
  <c r="J96" i="5" s="1"/>
  <c r="N96" i="5" s="1"/>
  <c r="J97" i="5" s="1"/>
  <c r="N97" i="5" s="1"/>
  <c r="J98" i="5" s="1"/>
  <c r="N98" i="5" s="1"/>
  <c r="J99" i="5" s="1"/>
  <c r="N99" i="5" s="1"/>
  <c r="J100" i="5" l="1"/>
  <c r="N100" i="5" s="1"/>
  <c r="Z99" i="5"/>
  <c r="Y99" i="5"/>
  <c r="J101" i="5" l="1"/>
  <c r="N101" i="5" s="1"/>
  <c r="Y100" i="5"/>
  <c r="Z100" i="5"/>
  <c r="J102" i="5" l="1"/>
  <c r="N102" i="5" s="1"/>
  <c r="Z101" i="5"/>
  <c r="Y101" i="5"/>
  <c r="J103" i="5" l="1"/>
  <c r="N103" i="5" s="1"/>
  <c r="Z102" i="5"/>
  <c r="Y102" i="5"/>
  <c r="J104" i="5" l="1"/>
  <c r="N104" i="5" s="1"/>
  <c r="Y103" i="5"/>
  <c r="Z103" i="5"/>
  <c r="J105" i="5" l="1"/>
  <c r="N105" i="5" s="1"/>
  <c r="Y104" i="5"/>
  <c r="Z104" i="5"/>
  <c r="J106" i="5" l="1"/>
  <c r="N106" i="5" s="1"/>
  <c r="Y105" i="5"/>
  <c r="Z105" i="5"/>
  <c r="J107" i="5" l="1"/>
  <c r="N107" i="5" s="1"/>
  <c r="Z106" i="5"/>
  <c r="Y106" i="5"/>
  <c r="J108" i="5" l="1"/>
  <c r="N108" i="5" s="1"/>
  <c r="Y107" i="5"/>
  <c r="Z107" i="5"/>
  <c r="J109" i="5" l="1"/>
  <c r="N109" i="5" s="1"/>
  <c r="Y108" i="5"/>
  <c r="Z108" i="5"/>
  <c r="J110" i="5" l="1"/>
  <c r="N110" i="5" s="1"/>
  <c r="Y109" i="5"/>
  <c r="Z109" i="5"/>
  <c r="J111" i="5" l="1"/>
  <c r="N111" i="5" s="1"/>
  <c r="Z110" i="5"/>
  <c r="Y110" i="5"/>
  <c r="J112" i="5" l="1"/>
  <c r="N112" i="5" s="1"/>
  <c r="Y111" i="5"/>
  <c r="Z111" i="5"/>
  <c r="J113" i="5" l="1"/>
  <c r="N113" i="5" s="1"/>
  <c r="Y112" i="5"/>
  <c r="Z112" i="5"/>
  <c r="J114" i="5" l="1"/>
  <c r="N114" i="5" s="1"/>
  <c r="Y113" i="5"/>
  <c r="Z113" i="5"/>
  <c r="J115" i="5" l="1"/>
  <c r="N115" i="5" s="1"/>
  <c r="Z114" i="5"/>
  <c r="Y114" i="5"/>
  <c r="J116" i="5" l="1"/>
  <c r="N116" i="5" s="1"/>
  <c r="Z115" i="5"/>
  <c r="Y115" i="5"/>
  <c r="J117" i="5" l="1"/>
  <c r="N117" i="5" s="1"/>
  <c r="Y116" i="5"/>
  <c r="Z116" i="5"/>
  <c r="J118" i="5" l="1"/>
  <c r="N118" i="5" s="1"/>
  <c r="Z117" i="5"/>
  <c r="Y117" i="5"/>
  <c r="J119" i="5" l="1"/>
  <c r="N119" i="5" s="1"/>
  <c r="Z118" i="5"/>
  <c r="Y118" i="5"/>
  <c r="J120" i="5" l="1"/>
  <c r="N120" i="5" s="1"/>
  <c r="Y119" i="5"/>
  <c r="Z119" i="5"/>
  <c r="J121" i="5" l="1"/>
  <c r="N121" i="5" s="1"/>
  <c r="Y120" i="5"/>
  <c r="Z120" i="5"/>
  <c r="J122" i="5" l="1"/>
  <c r="N122" i="5" s="1"/>
  <c r="Y121" i="5"/>
  <c r="Z121" i="5"/>
  <c r="J123" i="5" l="1"/>
  <c r="N123" i="5" s="1"/>
  <c r="Z122" i="5"/>
  <c r="Y122" i="5"/>
  <c r="J124" i="5" l="1"/>
  <c r="N124" i="5" s="1"/>
  <c r="Y123" i="5"/>
  <c r="Z123" i="5"/>
  <c r="J125" i="5" l="1"/>
  <c r="N125" i="5" s="1"/>
  <c r="Y124" i="5"/>
  <c r="Z124" i="5"/>
  <c r="J126" i="5" l="1"/>
  <c r="N126" i="5" s="1"/>
  <c r="Y125" i="5"/>
  <c r="Z125" i="5"/>
  <c r="J127" i="5" l="1"/>
  <c r="N127" i="5" s="1"/>
  <c r="Z126" i="5"/>
  <c r="Y126" i="5"/>
  <c r="J128" i="5" l="1"/>
  <c r="N128" i="5" s="1"/>
  <c r="Y127" i="5"/>
  <c r="Z127" i="5"/>
  <c r="J129" i="5" l="1"/>
  <c r="N129" i="5" s="1"/>
  <c r="Y128" i="5"/>
  <c r="Z128" i="5"/>
  <c r="J130" i="5" l="1"/>
  <c r="N130" i="5" s="1"/>
  <c r="Y129" i="5"/>
  <c r="Z129" i="5"/>
  <c r="J131" i="5" l="1"/>
  <c r="N131" i="5" s="1"/>
  <c r="Z130" i="5"/>
  <c r="Y130" i="5"/>
  <c r="J132" i="5" l="1"/>
  <c r="N132" i="5" s="1"/>
  <c r="Z131" i="5"/>
  <c r="Y131" i="5"/>
  <c r="J133" i="5" l="1"/>
  <c r="N133" i="5" s="1"/>
  <c r="Y132" i="5"/>
  <c r="Z132" i="5"/>
  <c r="J134" i="5" l="1"/>
  <c r="N134" i="5" s="1"/>
  <c r="Z133" i="5"/>
  <c r="Y133" i="5"/>
  <c r="J135" i="5" l="1"/>
  <c r="N135" i="5" s="1"/>
  <c r="Z134" i="5"/>
  <c r="Y134" i="5"/>
  <c r="J136" i="5" l="1"/>
  <c r="N136" i="5" s="1"/>
  <c r="Y135" i="5"/>
  <c r="Z135" i="5"/>
  <c r="J137" i="5" l="1"/>
  <c r="N137" i="5" s="1"/>
  <c r="Y136" i="5"/>
  <c r="Z136" i="5"/>
  <c r="J138" i="5" l="1"/>
  <c r="N138" i="5" s="1"/>
  <c r="Y137" i="5"/>
  <c r="Z137" i="5"/>
  <c r="J139" i="5" l="1"/>
  <c r="N139" i="5" s="1"/>
  <c r="Z138" i="5"/>
  <c r="Y138" i="5"/>
  <c r="J140" i="5" l="1"/>
  <c r="N140" i="5" s="1"/>
  <c r="Y139" i="5"/>
  <c r="Z139" i="5"/>
  <c r="J141" i="5" l="1"/>
  <c r="N141" i="5" s="1"/>
  <c r="Y140" i="5"/>
  <c r="Z140" i="5"/>
  <c r="J142" i="5" l="1"/>
  <c r="N142" i="5" s="1"/>
  <c r="Z141" i="5"/>
  <c r="Y141" i="5"/>
  <c r="J143" i="5" l="1"/>
  <c r="N143" i="5" s="1"/>
  <c r="Z142" i="5"/>
  <c r="Y142" i="5"/>
  <c r="J144" i="5" l="1"/>
  <c r="N144" i="5" s="1"/>
  <c r="Y143" i="5"/>
  <c r="Z143" i="5"/>
  <c r="J145" i="5" l="1"/>
  <c r="N145" i="5" s="1"/>
  <c r="Y144" i="5"/>
  <c r="Z144" i="5"/>
  <c r="J146" i="5" l="1"/>
  <c r="N146" i="5" s="1"/>
  <c r="Y145" i="5"/>
  <c r="Z145" i="5"/>
  <c r="J147" i="5" l="1"/>
  <c r="N147" i="5" s="1"/>
  <c r="Z146" i="5"/>
  <c r="Y146" i="5"/>
  <c r="J148" i="5" l="1"/>
  <c r="N148" i="5" s="1"/>
  <c r="Y147" i="5"/>
  <c r="Z147" i="5"/>
  <c r="J149" i="5" l="1"/>
  <c r="N149" i="5" s="1"/>
  <c r="Y148" i="5"/>
  <c r="Z148" i="5"/>
  <c r="J150" i="5" l="1"/>
  <c r="N150" i="5" s="1"/>
  <c r="Y149" i="5"/>
  <c r="Z149" i="5"/>
  <c r="J151" i="5" l="1"/>
  <c r="N151" i="5" s="1"/>
  <c r="Z150" i="5"/>
  <c r="Y150" i="5"/>
  <c r="J152" i="5" l="1"/>
  <c r="N152" i="5" s="1"/>
  <c r="Y151" i="5"/>
  <c r="Z151" i="5"/>
  <c r="J153" i="5" l="1"/>
  <c r="N153" i="5" s="1"/>
  <c r="Y152" i="5"/>
  <c r="Z152" i="5"/>
  <c r="J154" i="5" l="1"/>
  <c r="N154" i="5" s="1"/>
  <c r="Y153" i="5"/>
  <c r="Z153" i="5"/>
  <c r="J155" i="5" l="1"/>
  <c r="N155" i="5" s="1"/>
  <c r="Z154" i="5"/>
  <c r="Y154" i="5"/>
  <c r="J156" i="5" l="1"/>
  <c r="N156" i="5" s="1"/>
  <c r="Y155" i="5"/>
  <c r="Z155" i="5"/>
  <c r="J157" i="5" l="1"/>
  <c r="N157" i="5" s="1"/>
  <c r="Y156" i="5"/>
  <c r="Z156" i="5"/>
  <c r="J158" i="5" l="1"/>
  <c r="N158" i="5" s="1"/>
  <c r="Z157" i="5"/>
  <c r="Y157" i="5"/>
  <c r="J159" i="5" l="1"/>
  <c r="N159" i="5" s="1"/>
  <c r="Z158" i="5"/>
  <c r="Y158" i="5"/>
  <c r="J160" i="5" l="1"/>
  <c r="N160" i="5" s="1"/>
  <c r="Y159" i="5"/>
  <c r="Z159" i="5"/>
  <c r="J161" i="5" l="1"/>
  <c r="N161" i="5" s="1"/>
  <c r="Y160" i="5"/>
  <c r="Z160" i="5"/>
  <c r="J162" i="5" l="1"/>
  <c r="N162" i="5" s="1"/>
  <c r="Y161" i="5"/>
  <c r="Z161" i="5"/>
  <c r="J163" i="5" l="1"/>
  <c r="N163" i="5" s="1"/>
  <c r="Z162" i="5"/>
  <c r="Y162" i="5"/>
  <c r="J164" i="5" l="1"/>
  <c r="N164" i="5" s="1"/>
  <c r="Y163" i="5"/>
  <c r="Z163" i="5"/>
  <c r="J165" i="5" l="1"/>
  <c r="N165" i="5" s="1"/>
  <c r="Y164" i="5"/>
  <c r="Z164" i="5"/>
  <c r="J166" i="5" l="1"/>
  <c r="N166" i="5" s="1"/>
  <c r="Z165" i="5"/>
  <c r="Y165" i="5"/>
  <c r="J167" i="5" l="1"/>
  <c r="N167" i="5" s="1"/>
  <c r="Z166" i="5"/>
  <c r="Y166" i="5"/>
  <c r="J168" i="5" l="1"/>
  <c r="N168" i="5" s="1"/>
  <c r="Y167" i="5"/>
  <c r="Z167" i="5"/>
  <c r="J169" i="5" l="1"/>
  <c r="N169" i="5" s="1"/>
  <c r="Y168" i="5"/>
  <c r="Z168" i="5"/>
  <c r="J170" i="5" l="1"/>
  <c r="N170" i="5" s="1"/>
  <c r="Y169" i="5"/>
  <c r="Z169" i="5"/>
  <c r="J171" i="5" l="1"/>
  <c r="N171" i="5" s="1"/>
  <c r="Z170" i="5"/>
  <c r="Y170" i="5"/>
  <c r="J172" i="5" l="1"/>
  <c r="N172" i="5" s="1"/>
  <c r="Y171" i="5"/>
  <c r="Z171" i="5"/>
  <c r="J173" i="5" l="1"/>
  <c r="N173" i="5" s="1"/>
  <c r="Y172" i="5"/>
  <c r="Z172" i="5"/>
  <c r="J174" i="5" l="1"/>
  <c r="N174" i="5" s="1"/>
  <c r="Z173" i="5"/>
  <c r="Y173" i="5"/>
  <c r="J175" i="5" l="1"/>
  <c r="N175" i="5" s="1"/>
  <c r="Z174" i="5"/>
  <c r="Y174" i="5"/>
  <c r="J176" i="5" l="1"/>
  <c r="N176" i="5" s="1"/>
  <c r="Y175" i="5"/>
  <c r="Z175" i="5"/>
  <c r="J177" i="5" l="1"/>
  <c r="N177" i="5" s="1"/>
  <c r="Y176" i="5"/>
  <c r="Z176" i="5"/>
  <c r="J178" i="5" l="1"/>
  <c r="N178" i="5" s="1"/>
  <c r="Y177" i="5"/>
  <c r="Z177" i="5"/>
  <c r="J179" i="5" l="1"/>
  <c r="N179" i="5" s="1"/>
  <c r="Z178" i="5"/>
  <c r="Y178" i="5"/>
  <c r="J180" i="5" l="1"/>
  <c r="N180" i="5" s="1"/>
  <c r="Z179" i="5"/>
  <c r="Y179" i="5"/>
  <c r="J181" i="5" l="1"/>
  <c r="N181" i="5" s="1"/>
  <c r="Y180" i="5"/>
  <c r="Z180" i="5"/>
  <c r="J182" i="5" l="1"/>
  <c r="N182" i="5" s="1"/>
  <c r="Y181" i="5"/>
  <c r="Z181" i="5"/>
  <c r="J183" i="5" l="1"/>
  <c r="N183" i="5" s="1"/>
  <c r="Z182" i="5"/>
  <c r="Y182" i="5"/>
  <c r="J184" i="5" l="1"/>
  <c r="N184" i="5" s="1"/>
  <c r="Y183" i="5"/>
  <c r="Z183" i="5"/>
  <c r="J185" i="5" l="1"/>
  <c r="N185" i="5" s="1"/>
  <c r="Y184" i="5"/>
  <c r="Z184" i="5"/>
  <c r="J186" i="5" l="1"/>
  <c r="N186" i="5" s="1"/>
  <c r="Y185" i="5"/>
  <c r="Z185" i="5"/>
  <c r="J187" i="5" l="1"/>
  <c r="N187" i="5" s="1"/>
  <c r="Z186" i="5"/>
  <c r="Y186" i="5"/>
  <c r="J188" i="5" l="1"/>
  <c r="N188" i="5" s="1"/>
  <c r="Y187" i="5"/>
  <c r="Z187" i="5"/>
  <c r="J189" i="5" l="1"/>
  <c r="N189" i="5" s="1"/>
  <c r="Y188" i="5"/>
  <c r="Z188" i="5"/>
  <c r="J190" i="5" l="1"/>
  <c r="N190" i="5" s="1"/>
  <c r="Y189" i="5"/>
  <c r="Z189" i="5"/>
  <c r="J191" i="5" l="1"/>
  <c r="N191" i="5" s="1"/>
  <c r="Z190" i="5"/>
  <c r="Y190" i="5"/>
  <c r="J192" i="5" l="1"/>
  <c r="N192" i="5" s="1"/>
  <c r="Y191" i="5"/>
  <c r="Z191" i="5"/>
  <c r="J193" i="5" l="1"/>
  <c r="N193" i="5" s="1"/>
  <c r="Y192" i="5"/>
  <c r="Z192" i="5"/>
  <c r="J194" i="5" l="1"/>
  <c r="N194" i="5" s="1"/>
  <c r="Y193" i="5"/>
  <c r="Z193" i="5"/>
  <c r="J195" i="5" l="1"/>
  <c r="N195" i="5" s="1"/>
  <c r="Z194" i="5"/>
  <c r="Y194" i="5"/>
  <c r="J196" i="5" l="1"/>
  <c r="N196" i="5" s="1"/>
  <c r="Y195" i="5"/>
  <c r="Z195" i="5"/>
  <c r="J197" i="5" l="1"/>
  <c r="N197" i="5" s="1"/>
  <c r="Y196" i="5"/>
  <c r="Z196" i="5"/>
  <c r="J198" i="5" l="1"/>
  <c r="N198" i="5" s="1"/>
  <c r="Z197" i="5"/>
  <c r="Y197" i="5"/>
  <c r="J199" i="5" l="1"/>
  <c r="N199" i="5" s="1"/>
  <c r="Z198" i="5"/>
  <c r="Y198" i="5"/>
  <c r="J200" i="5" l="1"/>
  <c r="N200" i="5" s="1"/>
  <c r="Y199" i="5"/>
  <c r="Z199" i="5"/>
  <c r="J201" i="5" l="1"/>
  <c r="N201" i="5" s="1"/>
  <c r="Y200" i="5"/>
  <c r="Z200" i="5"/>
  <c r="J202" i="5" l="1"/>
  <c r="N202" i="5" s="1"/>
  <c r="Y201" i="5"/>
  <c r="Z201" i="5"/>
  <c r="J203" i="5" l="1"/>
  <c r="N203" i="5" s="1"/>
  <c r="Z202" i="5"/>
  <c r="Y202" i="5"/>
  <c r="J204" i="5" l="1"/>
  <c r="N204" i="5" s="1"/>
  <c r="Y203" i="5"/>
  <c r="Z203" i="5"/>
  <c r="J205" i="5" l="1"/>
  <c r="N205" i="5" s="1"/>
  <c r="Y204" i="5"/>
  <c r="Z204" i="5"/>
  <c r="J206" i="5" l="1"/>
  <c r="N206" i="5" s="1"/>
  <c r="Z205" i="5"/>
  <c r="Y205" i="5"/>
  <c r="J207" i="5" l="1"/>
  <c r="N207" i="5" s="1"/>
  <c r="Z206" i="5"/>
  <c r="Y206" i="5"/>
  <c r="J208" i="5" l="1"/>
  <c r="N208" i="5" s="1"/>
  <c r="Y207" i="5"/>
  <c r="Z207" i="5"/>
  <c r="J209" i="5" l="1"/>
  <c r="N209" i="5" s="1"/>
  <c r="Y208" i="5"/>
  <c r="Z208" i="5"/>
  <c r="J210" i="5" l="1"/>
  <c r="N210" i="5" s="1"/>
  <c r="Y209" i="5"/>
  <c r="Z209" i="5"/>
  <c r="J211" i="5" l="1"/>
  <c r="N211" i="5" s="1"/>
  <c r="Z210" i="5"/>
  <c r="Y210" i="5"/>
  <c r="J212" i="5" l="1"/>
  <c r="N212" i="5" s="1"/>
  <c r="Z211" i="5"/>
  <c r="Y211" i="5"/>
  <c r="J213" i="5" l="1"/>
  <c r="N213" i="5" s="1"/>
  <c r="Y212" i="5"/>
  <c r="Z212" i="5"/>
  <c r="J214" i="5" l="1"/>
  <c r="N214" i="5" s="1"/>
  <c r="Z213" i="5"/>
  <c r="Y213" i="5"/>
  <c r="J215" i="5" l="1"/>
  <c r="N215" i="5" s="1"/>
  <c r="Z214" i="5"/>
  <c r="Y214" i="5"/>
  <c r="J216" i="5" l="1"/>
  <c r="N216" i="5" s="1"/>
  <c r="Y215" i="5"/>
  <c r="Z215" i="5"/>
  <c r="J217" i="5" l="1"/>
  <c r="N217" i="5" s="1"/>
  <c r="Y216" i="5"/>
  <c r="Z216" i="5"/>
  <c r="J218" i="5" l="1"/>
  <c r="N218" i="5" s="1"/>
  <c r="Y217" i="5"/>
  <c r="Z217" i="5"/>
  <c r="J219" i="5" l="1"/>
  <c r="N219" i="5" s="1"/>
  <c r="Z218" i="5"/>
  <c r="Y218" i="5"/>
  <c r="J220" i="5" l="1"/>
  <c r="N220" i="5" s="1"/>
  <c r="Y219" i="5"/>
  <c r="Z219" i="5"/>
  <c r="J221" i="5" l="1"/>
  <c r="N221" i="5" s="1"/>
  <c r="Y220" i="5"/>
  <c r="Z220" i="5"/>
  <c r="J222" i="5" l="1"/>
  <c r="N222" i="5" s="1"/>
  <c r="Y221" i="5"/>
  <c r="Z221" i="5"/>
  <c r="J223" i="5" l="1"/>
  <c r="N223" i="5" s="1"/>
  <c r="Z222" i="5"/>
  <c r="Y222" i="5"/>
  <c r="J224" i="5" l="1"/>
  <c r="N224" i="5" s="1"/>
  <c r="Y223" i="5"/>
  <c r="Z223" i="5"/>
  <c r="J225" i="5" l="1"/>
  <c r="N225" i="5" s="1"/>
  <c r="Y224" i="5"/>
  <c r="Z224" i="5"/>
  <c r="J226" i="5" l="1"/>
  <c r="N226" i="5" s="1"/>
  <c r="Y225" i="5"/>
  <c r="Z225" i="5"/>
  <c r="J227" i="5" l="1"/>
  <c r="N227" i="5" s="1"/>
  <c r="Z226" i="5"/>
  <c r="Y226" i="5"/>
  <c r="J228" i="5" l="1"/>
  <c r="N228" i="5" s="1"/>
  <c r="Z227" i="5"/>
  <c r="Y227" i="5"/>
  <c r="J229" i="5" l="1"/>
  <c r="N229" i="5" s="1"/>
  <c r="Y228" i="5"/>
  <c r="Z228" i="5"/>
  <c r="J230" i="5" l="1"/>
  <c r="N230" i="5" s="1"/>
  <c r="Z229" i="5"/>
  <c r="Y229" i="5"/>
  <c r="J231" i="5" l="1"/>
  <c r="N231" i="5" s="1"/>
  <c r="Z230" i="5"/>
  <c r="Y230" i="5"/>
  <c r="J232" i="5" l="1"/>
  <c r="N232" i="5" s="1"/>
  <c r="Y231" i="5"/>
  <c r="Z231" i="5"/>
  <c r="J233" i="5" l="1"/>
  <c r="N233" i="5" s="1"/>
  <c r="Y232" i="5"/>
  <c r="Z232" i="5"/>
  <c r="J234" i="5" l="1"/>
  <c r="N234" i="5" s="1"/>
  <c r="Y233" i="5"/>
  <c r="Z233" i="5"/>
  <c r="J235" i="5" l="1"/>
  <c r="N235" i="5" s="1"/>
  <c r="Z234" i="5"/>
  <c r="Y234" i="5"/>
  <c r="J236" i="5" l="1"/>
  <c r="N236" i="5" s="1"/>
  <c r="Y235" i="5"/>
  <c r="Z235" i="5"/>
  <c r="J237" i="5" l="1"/>
  <c r="N237" i="5" s="1"/>
  <c r="Y236" i="5"/>
  <c r="Z236" i="5"/>
  <c r="J238" i="5" l="1"/>
  <c r="N238" i="5" s="1"/>
  <c r="Y237" i="5"/>
  <c r="Z237" i="5"/>
  <c r="J239" i="5" l="1"/>
  <c r="N239" i="5" s="1"/>
  <c r="Z238" i="5"/>
  <c r="Y238" i="5"/>
  <c r="J240" i="5" l="1"/>
  <c r="N240" i="5" s="1"/>
  <c r="Y239" i="5"/>
  <c r="Z239" i="5"/>
  <c r="J241" i="5" l="1"/>
  <c r="N241" i="5" s="1"/>
  <c r="Y240" i="5"/>
  <c r="Z240" i="5"/>
  <c r="J242" i="5" l="1"/>
  <c r="N242" i="5" s="1"/>
  <c r="Y241" i="5"/>
  <c r="Z241" i="5"/>
  <c r="J243" i="5" l="1"/>
  <c r="N243" i="5" s="1"/>
  <c r="Z242" i="5"/>
  <c r="Y242" i="5"/>
  <c r="J244" i="5" l="1"/>
  <c r="N244" i="5" s="1"/>
  <c r="Z243" i="5"/>
  <c r="Y243" i="5"/>
  <c r="J245" i="5" l="1"/>
  <c r="N245" i="5" s="1"/>
  <c r="Y244" i="5"/>
  <c r="Z244" i="5"/>
  <c r="J246" i="5" l="1"/>
  <c r="N246" i="5" s="1"/>
  <c r="Y245" i="5"/>
  <c r="Z245" i="5"/>
  <c r="J247" i="5" l="1"/>
  <c r="N247" i="5" s="1"/>
  <c r="Z246" i="5"/>
  <c r="Y246" i="5"/>
  <c r="J248" i="5" l="1"/>
  <c r="N248" i="5" s="1"/>
  <c r="Y247" i="5"/>
  <c r="Z247" i="5"/>
  <c r="J249" i="5" l="1"/>
  <c r="N249" i="5" s="1"/>
  <c r="Y248" i="5"/>
  <c r="Z248" i="5"/>
  <c r="J250" i="5" l="1"/>
  <c r="N250" i="5" s="1"/>
  <c r="Y249" i="5"/>
  <c r="Z249" i="5"/>
  <c r="J251" i="5" l="1"/>
  <c r="N251" i="5" s="1"/>
  <c r="Z250" i="5"/>
  <c r="Y250" i="5"/>
  <c r="J252" i="5" l="1"/>
  <c r="N252" i="5" s="1"/>
  <c r="Z251" i="5"/>
  <c r="Y251" i="5"/>
  <c r="J253" i="5" l="1"/>
  <c r="N253" i="5" s="1"/>
  <c r="Y252" i="5"/>
  <c r="Z252" i="5"/>
  <c r="J254" i="5" l="1"/>
  <c r="N254" i="5" s="1"/>
  <c r="Z253" i="5"/>
  <c r="Y253" i="5"/>
  <c r="J255" i="5" l="1"/>
  <c r="N255" i="5" s="1"/>
  <c r="Z254" i="5"/>
  <c r="Y254" i="5"/>
  <c r="J256" i="5" l="1"/>
  <c r="N256" i="5" s="1"/>
  <c r="Y255" i="5"/>
  <c r="Z255" i="5"/>
  <c r="J257" i="5" l="1"/>
  <c r="N257" i="5" s="1"/>
  <c r="Y256" i="5"/>
  <c r="Z256" i="5"/>
  <c r="J258" i="5" l="1"/>
  <c r="N258" i="5" s="1"/>
  <c r="Y257" i="5"/>
  <c r="Z257" i="5"/>
  <c r="J259" i="5" l="1"/>
  <c r="N259" i="5" s="1"/>
  <c r="Z258" i="5"/>
  <c r="Y258" i="5"/>
  <c r="J260" i="5" l="1"/>
  <c r="N260" i="5" s="1"/>
  <c r="Z259" i="5"/>
  <c r="Y259" i="5"/>
  <c r="J261" i="5" l="1"/>
  <c r="N261" i="5" s="1"/>
  <c r="Y260" i="5"/>
  <c r="Z260" i="5"/>
  <c r="J262" i="5" l="1"/>
  <c r="N262" i="5" s="1"/>
  <c r="Y261" i="5"/>
  <c r="Z261" i="5"/>
  <c r="J263" i="5" l="1"/>
  <c r="N263" i="5" s="1"/>
  <c r="Z262" i="5"/>
  <c r="Y262" i="5"/>
  <c r="J264" i="5" l="1"/>
  <c r="N264" i="5" s="1"/>
  <c r="Y263" i="5"/>
  <c r="Z263" i="5"/>
  <c r="J265" i="5" l="1"/>
  <c r="N265" i="5" s="1"/>
  <c r="Y264" i="5"/>
  <c r="Z264" i="5"/>
  <c r="J266" i="5" l="1"/>
  <c r="N266" i="5" s="1"/>
  <c r="Y265" i="5"/>
  <c r="Z265" i="5"/>
  <c r="J267" i="5" l="1"/>
  <c r="N267" i="5" s="1"/>
  <c r="Y266" i="5"/>
  <c r="Z266" i="5"/>
  <c r="J268" i="5" l="1"/>
  <c r="N268" i="5" s="1"/>
  <c r="Y267" i="5"/>
  <c r="Z267" i="5"/>
  <c r="J269" i="5" l="1"/>
  <c r="N269" i="5" s="1"/>
  <c r="Y268" i="5"/>
  <c r="Z268" i="5"/>
  <c r="J270" i="5" l="1"/>
  <c r="N270" i="5" s="1"/>
  <c r="Y269" i="5"/>
  <c r="Z269" i="5"/>
  <c r="J271" i="5" l="1"/>
  <c r="N271" i="5" s="1"/>
  <c r="Z270" i="5"/>
  <c r="Y270" i="5"/>
  <c r="J272" i="5" l="1"/>
  <c r="N272" i="5" s="1"/>
  <c r="Y271" i="5"/>
  <c r="Z271" i="5"/>
  <c r="J273" i="5" l="1"/>
  <c r="N273" i="5" s="1"/>
  <c r="Y272" i="5"/>
  <c r="Z272" i="5"/>
  <c r="J274" i="5" l="1"/>
  <c r="N274" i="5" s="1"/>
  <c r="Y273" i="5"/>
  <c r="Z273" i="5"/>
  <c r="J275" i="5" l="1"/>
  <c r="N275" i="5" s="1"/>
  <c r="Y274" i="5"/>
  <c r="Z274" i="5"/>
  <c r="J276" i="5" l="1"/>
  <c r="N276" i="5" s="1"/>
  <c r="Y275" i="5"/>
  <c r="Z275" i="5"/>
  <c r="J277" i="5" l="1"/>
  <c r="N277" i="5" s="1"/>
  <c r="Y276" i="5"/>
  <c r="Z276" i="5"/>
  <c r="J278" i="5" l="1"/>
  <c r="N278" i="5" s="1"/>
  <c r="Y277" i="5"/>
  <c r="Z277" i="5"/>
  <c r="Z278" i="5" l="1"/>
  <c r="Y278" i="5"/>
  <c r="V29" i="5"/>
</calcChain>
</file>

<file path=xl/sharedStrings.xml><?xml version="1.0" encoding="utf-8"?>
<sst xmlns="http://schemas.openxmlformats.org/spreadsheetml/2006/main" count="3968" uniqueCount="388">
  <si>
    <t>Traffic and Sales</t>
  </si>
  <si>
    <t>Occupied</t>
  </si>
  <si>
    <t>Vacant</t>
  </si>
  <si>
    <t>On-Notice</t>
  </si>
  <si>
    <t>%</t>
  </si>
  <si>
    <t>Rented</t>
  </si>
  <si>
    <t>Week
Ending</t>
  </si>
  <si>
    <t>Total Units</t>
  </si>
  <si>
    <t>Traffic</t>
  </si>
  <si>
    <t>In-Person Tours</t>
  </si>
  <si>
    <t>Apps</t>
  </si>
  <si>
    <t>Canc.</t>
  </si>
  <si>
    <t>Deny</t>
  </si>
  <si>
    <t>Net Leases</t>
  </si>
  <si>
    <t>Closing Ratio %</t>
  </si>
  <si>
    <t>Beg Occ #</t>
  </si>
  <si>
    <t>Move Ins</t>
  </si>
  <si>
    <t>Move Outs</t>
  </si>
  <si>
    <t>Transfers</t>
  </si>
  <si>
    <t>End Occ #</t>
  </si>
  <si>
    <t>Model Unit</t>
  </si>
  <si>
    <t>Unrented</t>
  </si>
  <si>
    <t>Total</t>
  </si>
  <si>
    <t>Total Notice</t>
  </si>
  <si>
    <t>1 BR</t>
  </si>
  <si>
    <t>2 BR</t>
  </si>
  <si>
    <t>3 BR</t>
  </si>
  <si>
    <t>Occ</t>
  </si>
  <si>
    <t>Leased</t>
  </si>
  <si>
    <t>Avail</t>
  </si>
  <si>
    <t>Avg Mkt Rent</t>
  </si>
  <si>
    <t>Gross Market Rent</t>
  </si>
  <si>
    <t>Gross Rent PSF</t>
  </si>
  <si>
    <t>Effective Rent</t>
  </si>
  <si>
    <t>Effective Rent PSF</t>
  </si>
  <si>
    <t>Unit</t>
  </si>
  <si>
    <t>Unit Type</t>
  </si>
  <si>
    <t>SqFt</t>
  </si>
  <si>
    <t xml:space="preserve">Renewal/Trade Out </t>
  </si>
  <si>
    <t>Lease Start Dates</t>
  </si>
  <si>
    <t>Market Rent at Lease Execution</t>
  </si>
  <si>
    <t>Prior Rent LER</t>
  </si>
  <si>
    <t>New LER</t>
  </si>
  <si>
    <t>Prior Rent LER SqFt</t>
  </si>
  <si>
    <t>$/mo</t>
  </si>
  <si>
    <t>Renewed LER SqFt</t>
  </si>
  <si>
    <t>$ psf/mo</t>
  </si>
  <si>
    <t>2220</t>
  </si>
  <si>
    <t>A1DC0E23</t>
  </si>
  <si>
    <t>New</t>
  </si>
  <si>
    <t>2117</t>
  </si>
  <si>
    <t>A1HC0E23</t>
  </si>
  <si>
    <t>2217</t>
  </si>
  <si>
    <t>2120</t>
  </si>
  <si>
    <t>2216</t>
  </si>
  <si>
    <t>A1CC0E23</t>
  </si>
  <si>
    <t>2219</t>
  </si>
  <si>
    <t>A1BC0E23</t>
  </si>
  <si>
    <t>2320</t>
  </si>
  <si>
    <t>B2BC0E23</t>
  </si>
  <si>
    <t>2315</t>
  </si>
  <si>
    <t>A1GC0E23</t>
  </si>
  <si>
    <t>2113</t>
  </si>
  <si>
    <t>2212</t>
  </si>
  <si>
    <t>2221</t>
  </si>
  <si>
    <t>A1FC0E23</t>
  </si>
  <si>
    <t>2103</t>
  </si>
  <si>
    <t>2317</t>
  </si>
  <si>
    <t>2215</t>
  </si>
  <si>
    <t>2109</t>
  </si>
  <si>
    <t>2206</t>
  </si>
  <si>
    <t>2107</t>
  </si>
  <si>
    <t>2311</t>
  </si>
  <si>
    <t>2328</t>
  </si>
  <si>
    <t>B2DC0E23</t>
  </si>
  <si>
    <t>2307</t>
  </si>
  <si>
    <t>2126</t>
  </si>
  <si>
    <t>2231</t>
  </si>
  <si>
    <t>2325</t>
  </si>
  <si>
    <t>2316</t>
  </si>
  <si>
    <t>2128</t>
  </si>
  <si>
    <t>2324</t>
  </si>
  <si>
    <t>B2AC0E23</t>
  </si>
  <si>
    <t>2207</t>
  </si>
  <si>
    <t>2227</t>
  </si>
  <si>
    <t>2204</t>
  </si>
  <si>
    <t>A1EC0E23</t>
  </si>
  <si>
    <t>2332</t>
  </si>
  <si>
    <t>2224</t>
  </si>
  <si>
    <t>2116</t>
  </si>
  <si>
    <t>2203</t>
  </si>
  <si>
    <t>2211</t>
  </si>
  <si>
    <t>2106</t>
  </si>
  <si>
    <t>2321</t>
  </si>
  <si>
    <t>2213</t>
  </si>
  <si>
    <t>2132</t>
  </si>
  <si>
    <t>2129</t>
  </si>
  <si>
    <t>2108</t>
  </si>
  <si>
    <t>2232</t>
  </si>
  <si>
    <t>2205</t>
  </si>
  <si>
    <t>2333</t>
  </si>
  <si>
    <t>2130</t>
  </si>
  <si>
    <t>2218</t>
  </si>
  <si>
    <t>2323</t>
  </si>
  <si>
    <t>2121</t>
  </si>
  <si>
    <t>2201</t>
  </si>
  <si>
    <t>2339</t>
  </si>
  <si>
    <t>2264</t>
  </si>
  <si>
    <t>2166</t>
  </si>
  <si>
    <t>2228</t>
  </si>
  <si>
    <t>2330</t>
  </si>
  <si>
    <t>2309</t>
  </si>
  <si>
    <t>2326</t>
  </si>
  <si>
    <t>2122</t>
  </si>
  <si>
    <t>2334</t>
  </si>
  <si>
    <t>2319</t>
  </si>
  <si>
    <t>2115</t>
  </si>
  <si>
    <t>2362</t>
  </si>
  <si>
    <t>2303</t>
  </si>
  <si>
    <t>2225</t>
  </si>
  <si>
    <t>2239</t>
  </si>
  <si>
    <t>2338</t>
  </si>
  <si>
    <t>2366</t>
  </si>
  <si>
    <t>2105</t>
  </si>
  <si>
    <t>2301</t>
  </si>
  <si>
    <t>2235</t>
  </si>
  <si>
    <t>2234</t>
  </si>
  <si>
    <t>2259</t>
  </si>
  <si>
    <t>2148</t>
  </si>
  <si>
    <t>2327</t>
  </si>
  <si>
    <t>2364</t>
  </si>
  <si>
    <t>2358</t>
  </si>
  <si>
    <t>2266</t>
  </si>
  <si>
    <t>2304</t>
  </si>
  <si>
    <t>2139</t>
  </si>
  <si>
    <t>2302</t>
  </si>
  <si>
    <t>1108</t>
  </si>
  <si>
    <t>C2BC0E23</t>
  </si>
  <si>
    <t>2140</t>
  </si>
  <si>
    <t>2118</t>
  </si>
  <si>
    <t>2162</t>
  </si>
  <si>
    <t>2310</t>
  </si>
  <si>
    <t>2245</t>
  </si>
  <si>
    <t>2340</t>
  </si>
  <si>
    <t>4312</t>
  </si>
  <si>
    <t>B2CC0E23</t>
  </si>
  <si>
    <t>2104</t>
  </si>
  <si>
    <t>2123</t>
  </si>
  <si>
    <t>2313</t>
  </si>
  <si>
    <t>2346</t>
  </si>
  <si>
    <t>4109</t>
  </si>
  <si>
    <t>C2AC0E23</t>
  </si>
  <si>
    <t>2337</t>
  </si>
  <si>
    <t>A1AC0E23</t>
  </si>
  <si>
    <t>4310</t>
  </si>
  <si>
    <t>2305</t>
  </si>
  <si>
    <t>2314</t>
  </si>
  <si>
    <t>2165</t>
  </si>
  <si>
    <t>2329</t>
  </si>
  <si>
    <t>4101</t>
  </si>
  <si>
    <t>4112</t>
  </si>
  <si>
    <t>1101</t>
  </si>
  <si>
    <t>2342</t>
  </si>
  <si>
    <t>4202</t>
  </si>
  <si>
    <t>4208</t>
  </si>
  <si>
    <t>2111</t>
  </si>
  <si>
    <t>4102</t>
  </si>
  <si>
    <t>4103</t>
  </si>
  <si>
    <t>2331</t>
  </si>
  <si>
    <t>2141</t>
  </si>
  <si>
    <t>2131</t>
  </si>
  <si>
    <t>2222</t>
  </si>
  <si>
    <t>4313</t>
  </si>
  <si>
    <t>4307</t>
  </si>
  <si>
    <t>4207</t>
  </si>
  <si>
    <t>2357</t>
  </si>
  <si>
    <t>2135</t>
  </si>
  <si>
    <t>2349</t>
  </si>
  <si>
    <t>2258</t>
  </si>
  <si>
    <t>2149</t>
  </si>
  <si>
    <t>2365</t>
  </si>
  <si>
    <t>4210</t>
  </si>
  <si>
    <t>2230</t>
  </si>
  <si>
    <t>2133</t>
  </si>
  <si>
    <t>2262</t>
  </si>
  <si>
    <t>4301</t>
  </si>
  <si>
    <t>1107</t>
  </si>
  <si>
    <t>2226</t>
  </si>
  <si>
    <t>4113</t>
  </si>
  <si>
    <t>2348</t>
  </si>
  <si>
    <t>2157</t>
  </si>
  <si>
    <t>2260</t>
  </si>
  <si>
    <t>2351</t>
  </si>
  <si>
    <t>5214</t>
  </si>
  <si>
    <t>5101</t>
  </si>
  <si>
    <t>4111</t>
  </si>
  <si>
    <t>2112</t>
  </si>
  <si>
    <t>2137</t>
  </si>
  <si>
    <t>2354</t>
  </si>
  <si>
    <t>5108</t>
  </si>
  <si>
    <t>5102</t>
  </si>
  <si>
    <t>4110</t>
  </si>
  <si>
    <t>5301</t>
  </si>
  <si>
    <t>2138</t>
  </si>
  <si>
    <t>4203</t>
  </si>
  <si>
    <t>4211</t>
  </si>
  <si>
    <t>2254</t>
  </si>
  <si>
    <t>2146</t>
  </si>
  <si>
    <t>2243</t>
  </si>
  <si>
    <t>4107</t>
  </si>
  <si>
    <t>5201</t>
  </si>
  <si>
    <t>5106</t>
  </si>
  <si>
    <t>4205</t>
  </si>
  <si>
    <t>5308</t>
  </si>
  <si>
    <t>5114</t>
  </si>
  <si>
    <t>4105</t>
  </si>
  <si>
    <t>2127</t>
  </si>
  <si>
    <t>2150</t>
  </si>
  <si>
    <t>2154</t>
  </si>
  <si>
    <t>5302</t>
  </si>
  <si>
    <t>5111</t>
  </si>
  <si>
    <t>2360</t>
  </si>
  <si>
    <t>2151</t>
  </si>
  <si>
    <t>2244</t>
  </si>
  <si>
    <t>1104</t>
  </si>
  <si>
    <t>2341</t>
  </si>
  <si>
    <t>4206</t>
  </si>
  <si>
    <t>4201</t>
  </si>
  <si>
    <t>2322</t>
  </si>
  <si>
    <t>2353</t>
  </si>
  <si>
    <t>4204</t>
  </si>
  <si>
    <t>2229</t>
  </si>
  <si>
    <t>4302</t>
  </si>
  <si>
    <t>2153</t>
  </si>
  <si>
    <t>5115</t>
  </si>
  <si>
    <t>2312</t>
  </si>
  <si>
    <t>2363</t>
  </si>
  <si>
    <t>5213</t>
  </si>
  <si>
    <t>5310</t>
  </si>
  <si>
    <t>2102</t>
  </si>
  <si>
    <t>5314</t>
  </si>
  <si>
    <t>4303</t>
  </si>
  <si>
    <t>1106</t>
  </si>
  <si>
    <t>2256</t>
  </si>
  <si>
    <t>2248</t>
  </si>
  <si>
    <t>2265</t>
  </si>
  <si>
    <t>4212</t>
  </si>
  <si>
    <t>2161</t>
  </si>
  <si>
    <t>5205</t>
  </si>
  <si>
    <t>4304</t>
  </si>
  <si>
    <t>2255</t>
  </si>
  <si>
    <t>5215</t>
  </si>
  <si>
    <t>1102</t>
  </si>
  <si>
    <t>2247</t>
  </si>
  <si>
    <t>2237</t>
  </si>
  <si>
    <t>4106</t>
  </si>
  <si>
    <t>2210</t>
  </si>
  <si>
    <t>2350</t>
  </si>
  <si>
    <t>5315</t>
  </si>
  <si>
    <t>2261</t>
  </si>
  <si>
    <t>2356</t>
  </si>
  <si>
    <t>2142</t>
  </si>
  <si>
    <t>5312</t>
  </si>
  <si>
    <t>2125</t>
  </si>
  <si>
    <t>2119</t>
  </si>
  <si>
    <t>5212</t>
  </si>
  <si>
    <t>5112</t>
  </si>
  <si>
    <t>2359</t>
  </si>
  <si>
    <t>2158</t>
  </si>
  <si>
    <t>5208</t>
  </si>
  <si>
    <t>2159</t>
  </si>
  <si>
    <t>2306</t>
  </si>
  <si>
    <t>4213</t>
  </si>
  <si>
    <t>5309</t>
  </si>
  <si>
    <t>2318</t>
  </si>
  <si>
    <t>2144</t>
  </si>
  <si>
    <t>4209</t>
  </si>
  <si>
    <t>5202</t>
  </si>
  <si>
    <t>2336</t>
  </si>
  <si>
    <t>2145</t>
  </si>
  <si>
    <t>2242</t>
  </si>
  <si>
    <t>4306</t>
  </si>
  <si>
    <t>5105</t>
  </si>
  <si>
    <t>5207</t>
  </si>
  <si>
    <t>2361</t>
  </si>
  <si>
    <t>2223</t>
  </si>
  <si>
    <t>2152</t>
  </si>
  <si>
    <t>2335</t>
  </si>
  <si>
    <t>5306</t>
  </si>
  <si>
    <t>5109</t>
  </si>
  <si>
    <t>2101</t>
  </si>
  <si>
    <t>2136</t>
  </si>
  <si>
    <t>5110</t>
  </si>
  <si>
    <t>4108</t>
  </si>
  <si>
    <t>5107</t>
  </si>
  <si>
    <t>2163</t>
  </si>
  <si>
    <t>5206</t>
  </si>
  <si>
    <t>2241</t>
  </si>
  <si>
    <t>1103</t>
  </si>
  <si>
    <t>4309</t>
  </si>
  <si>
    <t>5311</t>
  </si>
  <si>
    <t>2110</t>
  </si>
  <si>
    <t>2345</t>
  </si>
  <si>
    <t>2344</t>
  </si>
  <si>
    <t>2263</t>
  </si>
  <si>
    <t>5204</t>
  </si>
  <si>
    <t>5209</t>
  </si>
  <si>
    <t>5305</t>
  </si>
  <si>
    <t>2164</t>
  </si>
  <si>
    <t>2202</t>
  </si>
  <si>
    <t>5304</t>
  </si>
  <si>
    <t>2352</t>
  </si>
  <si>
    <t>4308</t>
  </si>
  <si>
    <t>2257</t>
  </si>
  <si>
    <t>2160</t>
  </si>
  <si>
    <t>2355</t>
  </si>
  <si>
    <t>2238</t>
  </si>
  <si>
    <t>2246</t>
  </si>
  <si>
    <t>5307</t>
  </si>
  <si>
    <t>2347</t>
  </si>
  <si>
    <t>A1IC0E23</t>
  </si>
  <si>
    <t>2253</t>
  </si>
  <si>
    <t>5211</t>
  </si>
  <si>
    <t>2249</t>
  </si>
  <si>
    <t>2252</t>
  </si>
  <si>
    <t>2250</t>
  </si>
  <si>
    <t>2214</t>
  </si>
  <si>
    <t>2156</t>
  </si>
  <si>
    <t>2134</t>
  </si>
  <si>
    <t>5210</t>
  </si>
  <si>
    <t>2343</t>
  </si>
  <si>
    <t>2251</t>
  </si>
  <si>
    <t>2209</t>
  </si>
  <si>
    <t>2308</t>
  </si>
  <si>
    <t>2233</t>
  </si>
  <si>
    <t>4305</t>
  </si>
  <si>
    <t>4104</t>
  </si>
  <si>
    <t>2208</t>
  </si>
  <si>
    <t>2147</t>
  </si>
  <si>
    <t>2240</t>
  </si>
  <si>
    <t>2236</t>
  </si>
  <si>
    <t>2143</t>
  </si>
  <si>
    <t>4311</t>
  </si>
  <si>
    <t>5313</t>
  </si>
  <si>
    <t>2114</t>
  </si>
  <si>
    <t>5203</t>
  </si>
  <si>
    <t>5104</t>
  </si>
  <si>
    <t>5113</t>
  </si>
  <si>
    <t>5303</t>
  </si>
  <si>
    <t>1105</t>
  </si>
  <si>
    <t>2155</t>
  </si>
  <si>
    <t>5103</t>
  </si>
  <si>
    <t>Renewal</t>
  </si>
  <si>
    <t xml:space="preserve">New </t>
  </si>
  <si>
    <t>A1iC0E23</t>
  </si>
  <si>
    <t>A1ECOE23</t>
  </si>
  <si>
    <t xml:space="preserve">Renewal </t>
  </si>
  <si>
    <t>Lease Trade Out Info</t>
  </si>
  <si>
    <t>Property:</t>
  </si>
  <si>
    <t>Solis Keltonwood at Berewick</t>
  </si>
  <si>
    <t>Date Range:</t>
  </si>
  <si>
    <t>08/15-08/21</t>
  </si>
  <si>
    <t>New Resident</t>
  </si>
  <si>
    <t>Prior Resident</t>
  </si>
  <si>
    <t>Variance</t>
  </si>
  <si>
    <t>Unit #</t>
  </si>
  <si>
    <t>M/I date</t>
  </si>
  <si>
    <t>LER</t>
  </si>
  <si>
    <t>Term</t>
  </si>
  <si>
    <t>LER sqft</t>
  </si>
  <si>
    <t>Original M/I</t>
  </si>
  <si>
    <t>Variance Explanation</t>
  </si>
  <si>
    <t>A2</t>
  </si>
  <si>
    <t>You have these rents inverted, new residnet is paying 1215, old was paying 1185.</t>
  </si>
  <si>
    <t>3307</t>
  </si>
  <si>
    <t>A1</t>
  </si>
  <si>
    <t>No applicant for this unit. Where is new resident rent coming from?</t>
  </si>
  <si>
    <t>B507</t>
  </si>
  <si>
    <t>Upfront concession was not taken into account. $1159 scheduled rent w/ one month free</t>
  </si>
  <si>
    <t>1307</t>
  </si>
  <si>
    <t>A4</t>
  </si>
  <si>
    <t>3308</t>
  </si>
  <si>
    <t>1110</t>
  </si>
  <si>
    <t>1202</t>
  </si>
  <si>
    <t>B2</t>
  </si>
  <si>
    <t>C1</t>
  </si>
  <si>
    <t>C2</t>
  </si>
  <si>
    <t>AIHC0E23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</si>
</sst>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&quot;$&quot;#,##0.00"/>
    <numFmt numFmtId="167" formatCode="m/d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24"/>
      <color theme="1"/>
      <name val="Arial Narrow"/>
      <family val="2"/>
    </font>
    <font>
      <sz val="10"/>
      <name val="Arial"/>
      <family val="2"/>
    </font>
    <font>
      <sz val="9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164" fontId="3" fillId="5" borderId="1" xfId="2" applyNumberFormat="1" applyFont="1" applyFill="1" applyBorder="1"/>
    <xf numFmtId="44" fontId="3" fillId="5" borderId="1" xfId="0" applyNumberFormat="1" applyFont="1" applyFill="1" applyBorder="1"/>
    <xf numFmtId="44" fontId="3" fillId="5" borderId="1" xfId="1" applyFont="1" applyFill="1" applyBorder="1"/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4" fontId="3" fillId="0" borderId="1" xfId="1" applyFont="1" applyBorder="1" applyProtection="1">
      <protection locked="0"/>
    </xf>
    <xf numFmtId="0" fontId="3" fillId="0" borderId="1" xfId="0" applyFont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7" fillId="0" borderId="0" xfId="0" applyFont="1"/>
    <xf numFmtId="0" fontId="3" fillId="4" borderId="0" xfId="0" applyFont="1" applyFill="1" applyAlignment="1">
      <alignment horizontal="center"/>
    </xf>
    <xf numFmtId="49" fontId="0" fillId="0" borderId="4" xfId="0" applyNumberFormat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6" fontId="0" fillId="0" borderId="4" xfId="0" applyNumberFormat="1" applyBorder="1" applyAlignment="1" applyProtection="1">
      <alignment wrapText="1"/>
      <protection locked="0"/>
    </xf>
    <xf numFmtId="14" fontId="11" fillId="0" borderId="4" xfId="27" applyNumberFormat="1" applyBorder="1" applyAlignment="1" applyProtection="1">
      <alignment wrapText="1"/>
      <protection locked="0"/>
    </xf>
    <xf numFmtId="0" fontId="10" fillId="0" borderId="0" xfId="0" applyFont="1"/>
    <xf numFmtId="0" fontId="12" fillId="6" borderId="5" xfId="0" applyFont="1" applyFill="1" applyBorder="1"/>
    <xf numFmtId="0" fontId="12" fillId="6" borderId="6" xfId="0" applyFont="1" applyFill="1" applyBorder="1"/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textRotation="90" wrapText="1"/>
    </xf>
    <xf numFmtId="0" fontId="12" fillId="6" borderId="13" xfId="0" applyFont="1" applyFill="1" applyBorder="1" applyAlignment="1">
      <alignment horizontal="center" textRotation="90" wrapText="1"/>
    </xf>
    <xf numFmtId="0" fontId="12" fillId="6" borderId="15" xfId="0" applyFont="1" applyFill="1" applyBorder="1" applyAlignment="1">
      <alignment horizontal="center" textRotation="90" wrapText="1"/>
    </xf>
    <xf numFmtId="0" fontId="12" fillId="6" borderId="16" xfId="0" applyFont="1" applyFill="1" applyBorder="1" applyAlignment="1">
      <alignment horizontal="center" textRotation="90" wrapText="1"/>
    </xf>
    <xf numFmtId="165" fontId="10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0" fillId="0" borderId="0" xfId="0" applyNumberFormat="1"/>
    <xf numFmtId="1" fontId="10" fillId="0" borderId="0" xfId="0" applyNumberFormat="1" applyFont="1"/>
    <xf numFmtId="3" fontId="10" fillId="0" borderId="0" xfId="0" applyNumberFormat="1" applyFont="1"/>
    <xf numFmtId="2" fontId="0" fillId="0" borderId="0" xfId="0" applyNumberFormat="1"/>
    <xf numFmtId="2" fontId="10" fillId="0" borderId="0" xfId="0" applyNumberFormat="1" applyFont="1"/>
    <xf numFmtId="1" fontId="5" fillId="0" borderId="0" xfId="0" applyNumberFormat="1" applyFont="1"/>
    <xf numFmtId="0" fontId="10" fillId="0" borderId="0" xfId="0" quotePrefix="1" applyFont="1"/>
    <xf numFmtId="3" fontId="0" fillId="0" borderId="0" xfId="0" applyNumberFormat="1"/>
    <xf numFmtId="0" fontId="12" fillId="7" borderId="12" xfId="0" applyFont="1" applyFill="1" applyBorder="1" applyAlignment="1">
      <alignment horizontal="center" textRotation="90" wrapText="1"/>
    </xf>
    <xf numFmtId="0" fontId="12" fillId="7" borderId="14" xfId="0" applyFont="1" applyFill="1" applyBorder="1" applyAlignment="1">
      <alignment horizontal="center" textRotation="90" wrapText="1"/>
    </xf>
    <xf numFmtId="0" fontId="12" fillId="7" borderId="13" xfId="0" applyFont="1" applyFill="1" applyBorder="1" applyAlignment="1">
      <alignment horizontal="center" textRotation="90" wrapText="1"/>
    </xf>
    <xf numFmtId="0" fontId="10" fillId="7" borderId="0" xfId="0" applyFont="1" applyFill="1"/>
    <xf numFmtId="9" fontId="10" fillId="7" borderId="0" xfId="0" applyNumberFormat="1" applyFont="1" applyFill="1"/>
    <xf numFmtId="0" fontId="0" fillId="7" borderId="0" xfId="0" applyFill="1"/>
    <xf numFmtId="9" fontId="0" fillId="7" borderId="0" xfId="0" applyNumberFormat="1" applyFill="1"/>
    <xf numFmtId="10" fontId="0" fillId="7" borderId="0" xfId="0" applyNumberFormat="1" applyFill="1"/>
    <xf numFmtId="0" fontId="12" fillId="7" borderId="15" xfId="0" applyFont="1" applyFill="1" applyBorder="1" applyAlignment="1">
      <alignment horizontal="center" textRotation="90" wrapText="1"/>
    </xf>
    <xf numFmtId="164" fontId="10" fillId="7" borderId="0" xfId="0" applyNumberFormat="1" applyFont="1" applyFill="1"/>
    <xf numFmtId="9" fontId="10" fillId="7" borderId="0" xfId="2" applyFont="1" applyFill="1" applyAlignment="1"/>
    <xf numFmtId="9" fontId="0" fillId="7" borderId="0" xfId="2" applyFont="1" applyFill="1" applyAlignment="1"/>
    <xf numFmtId="0" fontId="14" fillId="8" borderId="17" xfId="0" applyFont="1" applyFill="1" applyBorder="1" applyAlignment="1">
      <alignment horizontal="center" vertical="center" wrapText="1"/>
    </xf>
    <xf numFmtId="49" fontId="14" fillId="8" borderId="17" xfId="0" applyNumberFormat="1" applyFont="1" applyFill="1" applyBorder="1" applyAlignment="1">
      <alignment horizontal="center" vertical="center" wrapText="1"/>
    </xf>
    <xf numFmtId="166" fontId="14" fillId="8" borderId="17" xfId="0" applyNumberFormat="1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0" fillId="0" borderId="17" xfId="0" applyBorder="1"/>
    <xf numFmtId="49" fontId="0" fillId="0" borderId="0" xfId="0" applyNumberFormat="1"/>
    <xf numFmtId="166" fontId="0" fillId="0" borderId="0" xfId="0" applyNumberFormat="1"/>
    <xf numFmtId="44" fontId="15" fillId="7" borderId="17" xfId="0" applyNumberFormat="1" applyFont="1" applyFill="1" applyBorder="1" applyAlignment="1">
      <alignment horizontal="right" vertical="center"/>
    </xf>
    <xf numFmtId="49" fontId="0" fillId="0" borderId="17" xfId="0" applyNumberFormat="1" applyBorder="1"/>
    <xf numFmtId="166" fontId="0" fillId="0" borderId="17" xfId="0" applyNumberFormat="1" applyBorder="1"/>
    <xf numFmtId="3" fontId="0" fillId="0" borderId="17" xfId="0" applyNumberFormat="1" applyBorder="1"/>
    <xf numFmtId="0" fontId="15" fillId="0" borderId="0" xfId="7" applyFont="1" applyAlignment="1">
      <alignment horizontal="left" vertical="center"/>
    </xf>
    <xf numFmtId="49" fontId="0" fillId="0" borderId="18" xfId="0" applyNumberFormat="1" applyBorder="1"/>
    <xf numFmtId="167" fontId="0" fillId="0" borderId="17" xfId="0" applyNumberFormat="1" applyBorder="1"/>
    <xf numFmtId="14" fontId="0" fillId="0" borderId="17" xfId="0" applyNumberFormat="1" applyBorder="1"/>
    <xf numFmtId="0" fontId="12" fillId="6" borderId="7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12" fillId="6" borderId="10" xfId="0" applyFont="1" applyFill="1" applyBorder="1" applyAlignment="1">
      <alignment horizontal="center" wrapText="1"/>
    </xf>
    <xf numFmtId="0" fontId="12" fillId="6" borderId="9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7">
    <cellStyle name="Comma [0] 2" xfId="13" xr:uid="{00000000-0005-0000-0000-000005000000}"/>
    <cellStyle name="Comma 10" xfId="26" xr:uid="{00000000-0005-0000-0000-000004000000}"/>
    <cellStyle name="Comma 11" xfId="29" xr:uid="{00000000-0005-0000-0000-000004000000}"/>
    <cellStyle name="Comma 12" xfId="31" xr:uid="{00000000-0005-0000-0000-000004000000}"/>
    <cellStyle name="Comma 13" xfId="35" xr:uid="{00000000-0005-0000-0000-000004000000}"/>
    <cellStyle name="Comma 14" xfId="36" xr:uid="{00000000-0005-0000-0000-000004000000}"/>
    <cellStyle name="Comma 15" xfId="38" xr:uid="{00000000-0005-0000-0000-000004000000}"/>
    <cellStyle name="Comma 16" xfId="41" xr:uid="{00000000-0005-0000-0000-000004000000}"/>
    <cellStyle name="Comma 17" xfId="42" xr:uid="{00000000-0005-0000-0000-000004000000}"/>
    <cellStyle name="Comma 18" xfId="45" xr:uid="{15506D17-81BC-4537-B120-A04AAD1FFAA4}"/>
    <cellStyle name="Comma 19" xfId="46" xr:uid="{BE2CA3AF-E6DB-4570-8693-7F8F368CEA18}"/>
    <cellStyle name="Comma 2" xfId="6" xr:uid="{00000000-0005-0000-0000-000000000000}"/>
    <cellStyle name="Comma 3" xfId="12" xr:uid="{00000000-0005-0000-0000-000004000000}"/>
    <cellStyle name="Comma 4" xfId="14" xr:uid="{00000000-0005-0000-0000-000004000000}"/>
    <cellStyle name="Comma 5" xfId="17" xr:uid="{00000000-0005-0000-0000-000004000000}"/>
    <cellStyle name="Comma 6" xfId="18" xr:uid="{00000000-0005-0000-0000-000004000000}"/>
    <cellStyle name="Comma 7" xfId="21" xr:uid="{00000000-0005-0000-0000-000004000000}"/>
    <cellStyle name="Comma 8" xfId="23" xr:uid="{00000000-0005-0000-0000-000004000000}"/>
    <cellStyle name="Comma 9" xfId="25" xr:uid="{00000000-0005-0000-0000-000004000000}"/>
    <cellStyle name="Currency" xfId="1" builtinId="4"/>
    <cellStyle name="Currency [0] 2" xfId="11" xr:uid="{00000000-0005-0000-0000-000003000000}"/>
    <cellStyle name="Currency 10" xfId="24" xr:uid="{00000000-0005-0000-0000-000002000000}"/>
    <cellStyle name="Currency 11" xfId="28" xr:uid="{00000000-0005-0000-0000-000002000000}"/>
    <cellStyle name="Currency 12" xfId="30" xr:uid="{00000000-0005-0000-0000-000002000000}"/>
    <cellStyle name="Currency 13" xfId="33" xr:uid="{00000000-0005-0000-0000-000002000000}"/>
    <cellStyle name="Currency 14" xfId="34" xr:uid="{00000000-0005-0000-0000-000002000000}"/>
    <cellStyle name="Currency 15" xfId="37" xr:uid="{00000000-0005-0000-0000-000002000000}"/>
    <cellStyle name="Currency 16" xfId="39" xr:uid="{00000000-0005-0000-0000-000002000000}"/>
    <cellStyle name="Currency 17" xfId="40" xr:uid="{00000000-0005-0000-0000-000002000000}"/>
    <cellStyle name="Currency 18" xfId="43" xr:uid="{CEE2A1C3-95BD-49F2-A2B5-D5E03795C808}"/>
    <cellStyle name="Currency 19" xfId="44" xr:uid="{8DD883C8-9AEF-427D-80CE-C7F145817603}"/>
    <cellStyle name="Currency 2" xfId="4" xr:uid="{00000000-0005-0000-0000-000002000000}"/>
    <cellStyle name="Currency 3" xfId="8" xr:uid="{00000000-0005-0000-0000-000003000000}"/>
    <cellStyle name="Currency 4" xfId="10" xr:uid="{00000000-0005-0000-0000-000002000000}"/>
    <cellStyle name="Currency 5" xfId="15" xr:uid="{00000000-0005-0000-0000-000002000000}"/>
    <cellStyle name="Currency 6" xfId="16" xr:uid="{00000000-0005-0000-0000-000002000000}"/>
    <cellStyle name="Currency 7" xfId="19" xr:uid="{00000000-0005-0000-0000-000002000000}"/>
    <cellStyle name="Currency 8" xfId="20" xr:uid="{00000000-0005-0000-0000-000002000000}"/>
    <cellStyle name="Currency 9" xfId="22" xr:uid="{00000000-0005-0000-0000-000002000000}"/>
    <cellStyle name="Hyperlink" xfId="27" builtinId="8"/>
    <cellStyle name="Normal" xfId="0" builtinId="0"/>
    <cellStyle name="Normal 2" xfId="3" xr:uid="{00000000-0005-0000-0000-000006000000}"/>
    <cellStyle name="Normal 3" xfId="7" xr:uid="{00000000-0005-0000-0000-000007000000}"/>
    <cellStyle name="Normal 4" xfId="32" xr:uid="{00000000-0005-0000-0000-00004C000000}"/>
    <cellStyle name="Percent" xfId="2" builtinId="5"/>
    <cellStyle name="Percent 2" xfId="5" xr:uid="{00000000-0005-0000-0000-00000B000000}"/>
    <cellStyle name="Percent 3" xfId="9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1FF8-65BC-4868-87B1-5D62FAD6CFB0}">
  <dimension ref="A1:AF278"/>
  <sheetViews>
    <sheetView tabSelected="1" zoomScale="83" zoomScaleNormal="83" workbookViewId="0">
      <pane ySplit="2" topLeftCell="A227" activePane="bottomLeft" state="frozen"/>
      <selection pane="bottomLeft" activeCell="AF258" sqref="AF258"/>
    </sheetView>
  </sheetViews>
  <sheetFormatPr defaultRowHeight="15" x14ac:dyDescent="0.25"/>
  <cols>
    <col min="1" max="1" width="11.42578125" bestFit="1" customWidth="1"/>
    <col min="8" max="8" width="9.140625" style="46"/>
    <col min="9" max="9" width="11" style="46" bestFit="1" customWidth="1"/>
    <col min="10" max="10" width="9.140625" style="46"/>
    <col min="14" max="14" width="9.140625" style="46"/>
    <col min="18" max="18" width="9.140625" style="46"/>
    <col min="21" max="21" width="9.140625" style="46"/>
    <col min="25" max="25" width="11.28515625" style="46" bestFit="1" customWidth="1"/>
    <col min="26" max="27" width="9.140625" style="46"/>
    <col min="29" max="29" width="10.28515625" bestFit="1" customWidth="1"/>
  </cols>
  <sheetData>
    <row r="1" spans="1:32" x14ac:dyDescent="0.25">
      <c r="A1" s="23"/>
      <c r="B1" s="24"/>
      <c r="C1" s="68" t="s">
        <v>0</v>
      </c>
      <c r="D1" s="69"/>
      <c r="E1" s="69"/>
      <c r="F1" s="69"/>
      <c r="G1" s="69"/>
      <c r="H1" s="69"/>
      <c r="I1" s="71"/>
      <c r="J1" s="68" t="s">
        <v>1</v>
      </c>
      <c r="K1" s="69"/>
      <c r="L1" s="69"/>
      <c r="M1" s="69"/>
      <c r="N1" s="71"/>
      <c r="O1" s="68" t="s">
        <v>2</v>
      </c>
      <c r="P1" s="69"/>
      <c r="Q1" s="69"/>
      <c r="R1" s="71"/>
      <c r="S1" s="68" t="s">
        <v>3</v>
      </c>
      <c r="T1" s="69"/>
      <c r="U1" s="71"/>
      <c r="V1" s="69"/>
      <c r="W1" s="69"/>
      <c r="X1" s="69"/>
      <c r="Y1" s="68" t="s">
        <v>4</v>
      </c>
      <c r="Z1" s="69"/>
      <c r="AA1" s="69"/>
      <c r="AB1" s="70"/>
      <c r="AC1" s="68" t="s">
        <v>5</v>
      </c>
      <c r="AD1" s="69"/>
      <c r="AE1" s="69"/>
      <c r="AF1" s="70"/>
    </row>
    <row r="2" spans="1:32" ht="90" customHeight="1" thickBot="1" x14ac:dyDescent="0.3">
      <c r="A2" s="25" t="s">
        <v>6</v>
      </c>
      <c r="B2" s="26" t="s">
        <v>7</v>
      </c>
      <c r="C2" s="27" t="s">
        <v>8</v>
      </c>
      <c r="D2" s="26" t="s">
        <v>9</v>
      </c>
      <c r="E2" s="26" t="s">
        <v>10</v>
      </c>
      <c r="F2" s="26" t="s">
        <v>11</v>
      </c>
      <c r="G2" s="26" t="s">
        <v>12</v>
      </c>
      <c r="H2" s="41" t="s">
        <v>13</v>
      </c>
      <c r="I2" s="42" t="s">
        <v>14</v>
      </c>
      <c r="J2" s="43" t="s">
        <v>15</v>
      </c>
      <c r="K2" s="26" t="s">
        <v>16</v>
      </c>
      <c r="L2" s="26" t="s">
        <v>17</v>
      </c>
      <c r="M2" s="26" t="s">
        <v>18</v>
      </c>
      <c r="N2" s="42" t="s">
        <v>19</v>
      </c>
      <c r="O2" s="27" t="s">
        <v>20</v>
      </c>
      <c r="P2" s="26" t="s">
        <v>5</v>
      </c>
      <c r="Q2" s="26" t="s">
        <v>21</v>
      </c>
      <c r="R2" s="42" t="s">
        <v>22</v>
      </c>
      <c r="S2" s="26" t="s">
        <v>5</v>
      </c>
      <c r="T2" s="26" t="s">
        <v>21</v>
      </c>
      <c r="U2" s="41" t="s">
        <v>23</v>
      </c>
      <c r="V2" s="28" t="s">
        <v>24</v>
      </c>
      <c r="W2" s="26" t="s">
        <v>25</v>
      </c>
      <c r="X2" s="26" t="s">
        <v>26</v>
      </c>
      <c r="Y2" s="49" t="s">
        <v>27</v>
      </c>
      <c r="Z2" s="41" t="s">
        <v>28</v>
      </c>
      <c r="AA2" s="41" t="s">
        <v>29</v>
      </c>
      <c r="AB2" s="29" t="s">
        <v>30</v>
      </c>
      <c r="AC2" s="27" t="s">
        <v>31</v>
      </c>
      <c r="AD2" s="26" t="s">
        <v>32</v>
      </c>
      <c r="AE2" s="26" t="s">
        <v>33</v>
      </c>
      <c r="AF2" s="29" t="s">
        <v>34</v>
      </c>
    </row>
    <row r="3" spans="1:32" x14ac:dyDescent="0.25">
      <c r="A3" s="30">
        <v>44390</v>
      </c>
      <c r="B3" s="34">
        <v>290</v>
      </c>
      <c r="C3" s="22">
        <v>18</v>
      </c>
      <c r="D3" s="22">
        <v>18</v>
      </c>
      <c r="E3" s="22">
        <v>5</v>
      </c>
      <c r="F3" s="22">
        <v>0</v>
      </c>
      <c r="G3" s="22">
        <v>0</v>
      </c>
      <c r="H3" s="44">
        <f>SUM(E3-F3-G3)</f>
        <v>5</v>
      </c>
      <c r="I3" s="45">
        <f t="shared" ref="I3:I15" si="0">SUM(H3/D3)</f>
        <v>0.27777777777777779</v>
      </c>
      <c r="J3" s="44">
        <v>233</v>
      </c>
      <c r="K3" s="22">
        <v>8</v>
      </c>
      <c r="L3" s="22">
        <v>0</v>
      </c>
      <c r="M3" s="22">
        <v>0</v>
      </c>
      <c r="N3" s="44">
        <f>SUM(J3+K3-L3+M3)</f>
        <v>241</v>
      </c>
      <c r="O3" s="22">
        <v>1</v>
      </c>
      <c r="P3" s="22">
        <v>8</v>
      </c>
      <c r="Q3" s="22">
        <v>38</v>
      </c>
      <c r="R3" s="44">
        <f>SUM(O3:Q3)</f>
        <v>47</v>
      </c>
      <c r="S3" s="22">
        <v>1</v>
      </c>
      <c r="T3" s="22">
        <v>1</v>
      </c>
      <c r="U3" s="44">
        <f>SUM(S3:T3)</f>
        <v>2</v>
      </c>
      <c r="V3" s="22">
        <v>30</v>
      </c>
      <c r="W3" s="22">
        <v>7</v>
      </c>
      <c r="X3" s="22">
        <v>1</v>
      </c>
      <c r="Y3" s="50">
        <v>0.83440000000000003</v>
      </c>
      <c r="Z3" s="50">
        <v>0.86890000000000001</v>
      </c>
      <c r="AA3" s="51">
        <v>0.13450000000000001</v>
      </c>
      <c r="AB3" s="35">
        <v>1820.79</v>
      </c>
      <c r="AC3" s="35">
        <v>528030</v>
      </c>
      <c r="AD3" s="36">
        <v>1.96</v>
      </c>
      <c r="AE3" s="35">
        <v>1577.23</v>
      </c>
      <c r="AF3" s="22">
        <v>1.69</v>
      </c>
    </row>
    <row r="4" spans="1:32" x14ac:dyDescent="0.25">
      <c r="A4" s="30">
        <v>44397</v>
      </c>
      <c r="B4" s="34">
        <v>290</v>
      </c>
      <c r="C4" s="22">
        <v>27</v>
      </c>
      <c r="D4" s="22">
        <v>27</v>
      </c>
      <c r="E4" s="22">
        <v>7</v>
      </c>
      <c r="F4" s="22">
        <v>0</v>
      </c>
      <c r="G4" s="22">
        <v>2</v>
      </c>
      <c r="H4" s="44">
        <f>SUM(E4-F4-G4)</f>
        <v>5</v>
      </c>
      <c r="I4" s="45">
        <f>SUM(H4/D4)</f>
        <v>0.18518518518518517</v>
      </c>
      <c r="J4" s="44">
        <v>240</v>
      </c>
      <c r="K4" s="22">
        <v>2</v>
      </c>
      <c r="L4" s="22">
        <v>0</v>
      </c>
      <c r="M4" s="22">
        <v>0</v>
      </c>
      <c r="N4" s="44">
        <f>SUM(J4+K4-L4+M4)</f>
        <v>242</v>
      </c>
      <c r="O4" s="22">
        <v>1</v>
      </c>
      <c r="P4" s="22">
        <v>9</v>
      </c>
      <c r="Q4" s="22">
        <v>35</v>
      </c>
      <c r="R4" s="44">
        <f>SUM(O4:Q4)</f>
        <v>45</v>
      </c>
      <c r="S4" s="22">
        <v>2</v>
      </c>
      <c r="T4" s="22">
        <v>1</v>
      </c>
      <c r="U4" s="44">
        <f t="shared" ref="U4:U67" si="1">SUM(S4:T4)</f>
        <v>3</v>
      </c>
      <c r="V4" s="22">
        <v>28</v>
      </c>
      <c r="W4" s="22">
        <v>7</v>
      </c>
      <c r="X4" s="22">
        <v>0</v>
      </c>
      <c r="Y4" s="50">
        <v>0.84130000000000005</v>
      </c>
      <c r="Z4" s="50">
        <v>0.87929999999999997</v>
      </c>
      <c r="AA4" s="51">
        <v>0.1242</v>
      </c>
      <c r="AB4" s="35">
        <v>1820.79</v>
      </c>
      <c r="AC4" s="35">
        <v>528030</v>
      </c>
      <c r="AD4" s="36">
        <v>1.96</v>
      </c>
      <c r="AE4" s="35">
        <v>1578.38</v>
      </c>
      <c r="AF4" s="22">
        <v>1.69</v>
      </c>
    </row>
    <row r="5" spans="1:32" s="22" customFormat="1" ht="12.75" x14ac:dyDescent="0.2">
      <c r="A5" s="30">
        <v>44404</v>
      </c>
      <c r="B5" s="34">
        <v>290</v>
      </c>
      <c r="C5" s="22">
        <v>15</v>
      </c>
      <c r="D5" s="22">
        <v>15</v>
      </c>
      <c r="E5" s="22">
        <v>9</v>
      </c>
      <c r="F5" s="22">
        <v>0</v>
      </c>
      <c r="G5" s="22">
        <v>2</v>
      </c>
      <c r="H5" s="44">
        <v>7</v>
      </c>
      <c r="I5" s="45">
        <f t="shared" si="0"/>
        <v>0.46666666666666667</v>
      </c>
      <c r="J5" s="44">
        <v>243</v>
      </c>
      <c r="K5" s="22">
        <v>3</v>
      </c>
      <c r="L5" s="22">
        <v>0</v>
      </c>
      <c r="M5" s="22">
        <v>0</v>
      </c>
      <c r="N5" s="44">
        <v>246</v>
      </c>
      <c r="O5" s="22">
        <v>1</v>
      </c>
      <c r="P5" s="22">
        <v>13</v>
      </c>
      <c r="Q5" s="22">
        <v>28</v>
      </c>
      <c r="R5" s="44">
        <v>42</v>
      </c>
      <c r="S5" s="22">
        <v>2</v>
      </c>
      <c r="T5" s="22">
        <v>1</v>
      </c>
      <c r="U5" s="44">
        <f t="shared" si="1"/>
        <v>3</v>
      </c>
      <c r="V5" s="22">
        <v>22</v>
      </c>
      <c r="W5" s="22">
        <v>6</v>
      </c>
      <c r="X5" s="22">
        <v>0</v>
      </c>
      <c r="Y5" s="50">
        <v>0.85170000000000001</v>
      </c>
      <c r="Z5" s="50">
        <v>0.90339999999999998</v>
      </c>
      <c r="AA5" s="51">
        <v>0.1</v>
      </c>
      <c r="AB5" s="35">
        <v>1820.79</v>
      </c>
      <c r="AC5" s="35">
        <v>528030</v>
      </c>
      <c r="AD5" s="37">
        <v>1.96</v>
      </c>
      <c r="AE5" s="35">
        <v>1579.17</v>
      </c>
      <c r="AF5" s="22">
        <v>1.69</v>
      </c>
    </row>
    <row r="6" spans="1:32" x14ac:dyDescent="0.25">
      <c r="A6" s="30">
        <v>44410</v>
      </c>
      <c r="B6" s="38">
        <v>290</v>
      </c>
      <c r="C6" s="22">
        <v>8</v>
      </c>
      <c r="D6" s="22">
        <v>8</v>
      </c>
      <c r="E6" s="22">
        <v>9</v>
      </c>
      <c r="F6" s="22">
        <v>1</v>
      </c>
      <c r="G6" s="22">
        <v>3</v>
      </c>
      <c r="H6" s="44">
        <v>5</v>
      </c>
      <c r="I6" s="45">
        <f t="shared" si="0"/>
        <v>0.625</v>
      </c>
      <c r="J6" s="44">
        <v>247</v>
      </c>
      <c r="K6" s="22">
        <v>9</v>
      </c>
      <c r="L6" s="22">
        <v>0</v>
      </c>
      <c r="M6" s="22">
        <v>0</v>
      </c>
      <c r="N6" s="44">
        <v>256</v>
      </c>
      <c r="O6" s="22">
        <v>1</v>
      </c>
      <c r="P6" s="22">
        <v>9</v>
      </c>
      <c r="Q6" s="22">
        <v>22</v>
      </c>
      <c r="R6" s="44">
        <v>32</v>
      </c>
      <c r="S6" s="22">
        <v>2</v>
      </c>
      <c r="T6" s="22">
        <v>1</v>
      </c>
      <c r="U6" s="44">
        <f t="shared" si="1"/>
        <v>3</v>
      </c>
      <c r="V6" s="22">
        <v>18</v>
      </c>
      <c r="W6" s="22">
        <v>4</v>
      </c>
      <c r="X6" s="22">
        <v>0</v>
      </c>
      <c r="Y6" s="50">
        <v>0.88970000000000005</v>
      </c>
      <c r="Z6" s="50">
        <v>0.92069999999999996</v>
      </c>
      <c r="AA6" s="51">
        <v>7.5899999999999995E-2</v>
      </c>
      <c r="AB6" s="35">
        <v>1821</v>
      </c>
      <c r="AC6" s="35">
        <v>528030</v>
      </c>
      <c r="AD6" s="37">
        <v>1.96</v>
      </c>
      <c r="AE6" s="35">
        <v>1584.68</v>
      </c>
      <c r="AF6" s="39">
        <v>1.7</v>
      </c>
    </row>
    <row r="7" spans="1:32" x14ac:dyDescent="0.25">
      <c r="A7" s="33">
        <v>44416</v>
      </c>
      <c r="B7" s="34">
        <v>290</v>
      </c>
      <c r="C7" s="22">
        <v>25</v>
      </c>
      <c r="D7" s="22">
        <v>25</v>
      </c>
      <c r="E7" s="22">
        <v>8</v>
      </c>
      <c r="F7" s="22">
        <v>2</v>
      </c>
      <c r="G7" s="22">
        <v>1</v>
      </c>
      <c r="H7" s="44">
        <v>5</v>
      </c>
      <c r="I7" s="45">
        <f t="shared" si="0"/>
        <v>0.2</v>
      </c>
      <c r="J7" s="44">
        <v>256</v>
      </c>
      <c r="K7" s="22">
        <v>2</v>
      </c>
      <c r="L7" s="22">
        <v>0</v>
      </c>
      <c r="M7" s="22">
        <v>0</v>
      </c>
      <c r="N7" s="44">
        <v>258</v>
      </c>
      <c r="O7" s="22">
        <v>1</v>
      </c>
      <c r="P7" s="22">
        <v>12</v>
      </c>
      <c r="Q7" s="22">
        <v>19</v>
      </c>
      <c r="R7" s="44">
        <v>32</v>
      </c>
      <c r="S7" s="22">
        <v>2</v>
      </c>
      <c r="T7" s="22">
        <v>1</v>
      </c>
      <c r="U7" s="44">
        <f t="shared" si="1"/>
        <v>3</v>
      </c>
      <c r="V7" s="22">
        <v>14</v>
      </c>
      <c r="W7" s="22">
        <v>5</v>
      </c>
      <c r="X7" s="22">
        <v>0</v>
      </c>
      <c r="Y7" s="50">
        <v>0.89650000000000007</v>
      </c>
      <c r="Z7" s="50">
        <v>0.93790000000000007</v>
      </c>
      <c r="AA7" s="51">
        <v>6.8900000000000003E-2</v>
      </c>
      <c r="AB7" s="35">
        <v>1821</v>
      </c>
      <c r="AC7" s="35">
        <v>528030</v>
      </c>
      <c r="AD7" s="37">
        <v>1.96</v>
      </c>
      <c r="AE7" s="35">
        <v>1584.68</v>
      </c>
      <c r="AF7" s="39">
        <v>1.7</v>
      </c>
    </row>
    <row r="8" spans="1:32" x14ac:dyDescent="0.25">
      <c r="A8" s="33">
        <v>44423</v>
      </c>
      <c r="B8" s="34">
        <v>290</v>
      </c>
      <c r="C8" s="22">
        <v>23</v>
      </c>
      <c r="D8" s="22">
        <v>23</v>
      </c>
      <c r="E8" s="22">
        <v>5</v>
      </c>
      <c r="F8" s="22">
        <v>1</v>
      </c>
      <c r="G8" s="22">
        <v>2</v>
      </c>
      <c r="H8" s="44">
        <v>2</v>
      </c>
      <c r="I8" s="45">
        <f t="shared" si="0"/>
        <v>8.6956521739130432E-2</v>
      </c>
      <c r="J8" s="44">
        <v>258</v>
      </c>
      <c r="K8" s="22">
        <v>7</v>
      </c>
      <c r="L8" s="22">
        <v>0</v>
      </c>
      <c r="M8" s="22">
        <v>0</v>
      </c>
      <c r="N8" s="44">
        <v>265</v>
      </c>
      <c r="O8" s="22">
        <v>1</v>
      </c>
      <c r="P8" s="22">
        <v>7</v>
      </c>
      <c r="Q8" s="22">
        <v>17</v>
      </c>
      <c r="R8" s="44">
        <v>25</v>
      </c>
      <c r="S8" s="22">
        <v>3</v>
      </c>
      <c r="T8" s="22">
        <v>0</v>
      </c>
      <c r="U8" s="44">
        <f t="shared" si="1"/>
        <v>3</v>
      </c>
      <c r="V8" s="22">
        <v>13</v>
      </c>
      <c r="W8" s="22">
        <v>4</v>
      </c>
      <c r="X8" s="22">
        <v>0</v>
      </c>
      <c r="Y8" s="50">
        <v>0.92059999999999997</v>
      </c>
      <c r="Z8" s="50">
        <v>0.94140000000000001</v>
      </c>
      <c r="AA8" s="51">
        <v>5.1699999999999996E-2</v>
      </c>
      <c r="AB8" s="35">
        <v>1821</v>
      </c>
      <c r="AC8" s="35">
        <v>528030</v>
      </c>
      <c r="AD8" s="37">
        <v>1.96</v>
      </c>
      <c r="AE8" s="35">
        <v>1584.86</v>
      </c>
      <c r="AF8" s="22">
        <v>1.71</v>
      </c>
    </row>
    <row r="9" spans="1:32" x14ac:dyDescent="0.25">
      <c r="A9" s="33">
        <v>44431</v>
      </c>
      <c r="B9" s="34">
        <v>290</v>
      </c>
      <c r="C9" s="22">
        <v>9</v>
      </c>
      <c r="D9" s="22">
        <v>9</v>
      </c>
      <c r="E9" s="22">
        <v>9</v>
      </c>
      <c r="F9" s="22">
        <v>3</v>
      </c>
      <c r="G9" s="22">
        <v>0</v>
      </c>
      <c r="H9" s="44">
        <v>6</v>
      </c>
      <c r="I9" s="45">
        <f t="shared" si="0"/>
        <v>0.66666666666666663</v>
      </c>
      <c r="J9" s="44">
        <v>265</v>
      </c>
      <c r="K9" s="22">
        <v>2</v>
      </c>
      <c r="L9" s="22">
        <v>0</v>
      </c>
      <c r="M9" s="22">
        <v>0</v>
      </c>
      <c r="N9" s="44">
        <v>267</v>
      </c>
      <c r="O9" s="22">
        <v>1</v>
      </c>
      <c r="P9" s="22">
        <v>11</v>
      </c>
      <c r="Q9" s="22">
        <v>11</v>
      </c>
      <c r="R9" s="44">
        <v>23</v>
      </c>
      <c r="S9" s="22">
        <v>3</v>
      </c>
      <c r="T9" s="22">
        <v>0</v>
      </c>
      <c r="U9" s="44">
        <f t="shared" si="1"/>
        <v>3</v>
      </c>
      <c r="V9" s="22">
        <v>7</v>
      </c>
      <c r="W9" s="22">
        <v>4</v>
      </c>
      <c r="X9" s="22">
        <v>0</v>
      </c>
      <c r="Y9" s="50">
        <v>0.92059999999999997</v>
      </c>
      <c r="Z9" s="50">
        <v>0.96550000000000002</v>
      </c>
      <c r="AA9" s="51">
        <v>3.4000000000000002E-2</v>
      </c>
      <c r="AB9" s="35">
        <v>1821</v>
      </c>
      <c r="AC9" s="35">
        <v>528030</v>
      </c>
      <c r="AD9" s="37">
        <v>1.96</v>
      </c>
      <c r="AE9" s="35">
        <v>1586.21</v>
      </c>
      <c r="AF9" s="22">
        <v>1.71</v>
      </c>
    </row>
    <row r="10" spans="1:32" x14ac:dyDescent="0.25">
      <c r="A10" s="33">
        <v>44438</v>
      </c>
      <c r="B10" s="34">
        <v>290</v>
      </c>
      <c r="C10" s="22">
        <v>11</v>
      </c>
      <c r="D10" s="22">
        <v>11</v>
      </c>
      <c r="E10" s="22">
        <v>6</v>
      </c>
      <c r="F10" s="22">
        <v>4</v>
      </c>
      <c r="G10" s="22">
        <v>0</v>
      </c>
      <c r="H10" s="44">
        <v>2</v>
      </c>
      <c r="I10" s="45">
        <f t="shared" si="0"/>
        <v>0.18181818181818182</v>
      </c>
      <c r="J10" s="44">
        <v>267</v>
      </c>
      <c r="K10" s="22">
        <v>4</v>
      </c>
      <c r="L10" s="22">
        <v>2</v>
      </c>
      <c r="M10" s="22">
        <v>1</v>
      </c>
      <c r="N10" s="44">
        <v>269</v>
      </c>
      <c r="O10" s="22">
        <v>1</v>
      </c>
      <c r="P10" s="22">
        <v>12</v>
      </c>
      <c r="Q10" s="22">
        <v>8</v>
      </c>
      <c r="R10" s="44">
        <v>21</v>
      </c>
      <c r="S10" s="22">
        <v>1</v>
      </c>
      <c r="T10" s="22">
        <v>1</v>
      </c>
      <c r="U10" s="44">
        <f t="shared" si="1"/>
        <v>2</v>
      </c>
      <c r="V10" s="22">
        <v>2</v>
      </c>
      <c r="W10" s="22">
        <v>5</v>
      </c>
      <c r="X10" s="22">
        <v>1</v>
      </c>
      <c r="Y10" s="50">
        <v>0.92749999999999999</v>
      </c>
      <c r="Z10" s="50">
        <v>0.96599999999999997</v>
      </c>
      <c r="AA10" s="51">
        <v>5.5099999999999996E-2</v>
      </c>
      <c r="AB10" s="35">
        <v>1821</v>
      </c>
      <c r="AC10" s="35">
        <v>528030</v>
      </c>
      <c r="AD10" s="37">
        <v>1.96</v>
      </c>
      <c r="AE10" s="35">
        <v>1587.76</v>
      </c>
      <c r="AF10" s="22">
        <v>1.71</v>
      </c>
    </row>
    <row r="11" spans="1:32" x14ac:dyDescent="0.25">
      <c r="A11" s="33">
        <v>44445</v>
      </c>
      <c r="B11" s="34">
        <v>290</v>
      </c>
      <c r="C11" s="22">
        <v>1</v>
      </c>
      <c r="D11" s="22">
        <v>1</v>
      </c>
      <c r="E11" s="22">
        <v>2</v>
      </c>
      <c r="F11" s="22">
        <v>3</v>
      </c>
      <c r="G11" s="22">
        <v>0</v>
      </c>
      <c r="H11" s="44">
        <v>-1</v>
      </c>
      <c r="I11" s="45">
        <f t="shared" si="0"/>
        <v>-1</v>
      </c>
      <c r="J11" s="44">
        <v>269</v>
      </c>
      <c r="K11" s="22">
        <v>5</v>
      </c>
      <c r="L11" s="22">
        <v>0</v>
      </c>
      <c r="M11" s="22">
        <v>0</v>
      </c>
      <c r="N11" s="44">
        <v>274</v>
      </c>
      <c r="O11" s="22">
        <v>1</v>
      </c>
      <c r="P11" s="22">
        <v>5</v>
      </c>
      <c r="Q11" s="22">
        <v>10</v>
      </c>
      <c r="R11" s="44">
        <v>15</v>
      </c>
      <c r="S11" s="22">
        <v>1</v>
      </c>
      <c r="T11" s="22">
        <v>3</v>
      </c>
      <c r="U11" s="44">
        <f t="shared" si="1"/>
        <v>4</v>
      </c>
      <c r="V11" s="22">
        <v>9</v>
      </c>
      <c r="W11" s="22">
        <v>5</v>
      </c>
      <c r="X11" s="22">
        <v>1</v>
      </c>
      <c r="Y11" s="50">
        <v>0.94129999999999991</v>
      </c>
      <c r="Z11" s="50">
        <v>0.95900000000000007</v>
      </c>
      <c r="AA11" s="51">
        <v>4.1299999999999996E-2</v>
      </c>
      <c r="AB11" s="35">
        <v>1820.79</v>
      </c>
      <c r="AC11" s="35">
        <v>528030</v>
      </c>
      <c r="AD11" s="36">
        <v>1.96</v>
      </c>
      <c r="AE11" s="35">
        <v>1588.22</v>
      </c>
      <c r="AF11" s="22">
        <v>1.72</v>
      </c>
    </row>
    <row r="12" spans="1:32" x14ac:dyDescent="0.25">
      <c r="A12" s="33">
        <v>44452</v>
      </c>
      <c r="B12" s="34">
        <v>290</v>
      </c>
      <c r="C12" s="22">
        <v>8</v>
      </c>
      <c r="D12" s="22">
        <v>8</v>
      </c>
      <c r="E12" s="22">
        <v>2</v>
      </c>
      <c r="F12" s="22">
        <v>0</v>
      </c>
      <c r="G12" s="22">
        <v>0</v>
      </c>
      <c r="H12" s="44">
        <v>2</v>
      </c>
      <c r="I12" s="45">
        <f t="shared" si="0"/>
        <v>0.25</v>
      </c>
      <c r="J12" s="44">
        <v>274</v>
      </c>
      <c r="K12" s="22">
        <v>3</v>
      </c>
      <c r="L12" s="22">
        <v>0</v>
      </c>
      <c r="M12" s="22">
        <v>0</v>
      </c>
      <c r="N12" s="44">
        <v>277</v>
      </c>
      <c r="O12" s="22">
        <v>1</v>
      </c>
      <c r="P12" s="22">
        <v>4</v>
      </c>
      <c r="Q12" s="22">
        <v>7</v>
      </c>
      <c r="R12" s="44">
        <v>12</v>
      </c>
      <c r="S12" s="22">
        <v>1</v>
      </c>
      <c r="T12" s="22">
        <v>3</v>
      </c>
      <c r="U12" s="44">
        <f t="shared" si="1"/>
        <v>4</v>
      </c>
      <c r="V12" s="22">
        <v>4</v>
      </c>
      <c r="W12" s="22">
        <v>5</v>
      </c>
      <c r="X12" s="22">
        <v>1</v>
      </c>
      <c r="Y12" s="50">
        <v>0.95510000000000006</v>
      </c>
      <c r="Z12" s="50">
        <v>0.9758</v>
      </c>
      <c r="AA12" s="51">
        <v>2.4E-2</v>
      </c>
      <c r="AB12" s="35">
        <v>1821</v>
      </c>
      <c r="AC12" s="35">
        <v>528030</v>
      </c>
      <c r="AD12" s="36">
        <v>1.96</v>
      </c>
      <c r="AE12" s="35">
        <v>1588.39</v>
      </c>
      <c r="AF12" s="22">
        <v>1.72</v>
      </c>
    </row>
    <row r="13" spans="1:32" x14ac:dyDescent="0.25">
      <c r="A13" s="33">
        <v>44459</v>
      </c>
      <c r="B13" s="34">
        <v>290</v>
      </c>
      <c r="C13" s="22">
        <v>9</v>
      </c>
      <c r="D13" s="22">
        <v>9</v>
      </c>
      <c r="E13" s="22">
        <v>4</v>
      </c>
      <c r="F13" s="22">
        <v>3</v>
      </c>
      <c r="G13" s="22">
        <v>0</v>
      </c>
      <c r="H13" s="44">
        <v>1</v>
      </c>
      <c r="I13" s="45">
        <f t="shared" si="0"/>
        <v>0.1111111111111111</v>
      </c>
      <c r="J13" s="44">
        <v>277</v>
      </c>
      <c r="K13" s="22">
        <v>2</v>
      </c>
      <c r="L13" s="22">
        <v>0</v>
      </c>
      <c r="M13" s="22">
        <v>0</v>
      </c>
      <c r="N13" s="44">
        <v>279</v>
      </c>
      <c r="O13" s="22">
        <v>1</v>
      </c>
      <c r="P13" s="22">
        <v>4</v>
      </c>
      <c r="Q13" s="22">
        <v>5</v>
      </c>
      <c r="R13" s="44">
        <v>8</v>
      </c>
      <c r="S13" s="22">
        <v>1</v>
      </c>
      <c r="T13" s="22">
        <v>3</v>
      </c>
      <c r="U13" s="44">
        <f t="shared" si="1"/>
        <v>4</v>
      </c>
      <c r="V13" s="22">
        <v>3</v>
      </c>
      <c r="W13" s="22">
        <v>5</v>
      </c>
      <c r="X13" s="22">
        <v>1</v>
      </c>
      <c r="Y13" s="50">
        <v>0.96200000000000008</v>
      </c>
      <c r="Z13" s="50">
        <v>0.98269999999999991</v>
      </c>
      <c r="AA13" s="51">
        <v>1.7000000000000001E-2</v>
      </c>
      <c r="AB13" s="35">
        <v>1821</v>
      </c>
      <c r="AC13" s="35">
        <v>528030</v>
      </c>
      <c r="AD13" s="36">
        <v>1.96</v>
      </c>
      <c r="AE13" s="35">
        <v>1590</v>
      </c>
      <c r="AF13" s="22">
        <v>1.72</v>
      </c>
    </row>
    <row r="14" spans="1:32" x14ac:dyDescent="0.25">
      <c r="A14" s="33">
        <v>44466</v>
      </c>
      <c r="B14" s="34">
        <v>290</v>
      </c>
      <c r="C14" s="22">
        <v>4</v>
      </c>
      <c r="D14" s="22">
        <v>4</v>
      </c>
      <c r="E14" s="22">
        <v>2</v>
      </c>
      <c r="F14" s="22">
        <v>1</v>
      </c>
      <c r="G14" s="22">
        <v>0</v>
      </c>
      <c r="H14" s="44">
        <v>1</v>
      </c>
      <c r="I14" s="45">
        <f t="shared" si="0"/>
        <v>0.25</v>
      </c>
      <c r="J14" s="44">
        <v>279</v>
      </c>
      <c r="K14" s="22">
        <v>3</v>
      </c>
      <c r="L14" s="22">
        <v>1</v>
      </c>
      <c r="M14" s="22">
        <v>0</v>
      </c>
      <c r="N14" s="44">
        <v>281</v>
      </c>
      <c r="O14" s="22">
        <v>1</v>
      </c>
      <c r="P14" s="22">
        <v>2</v>
      </c>
      <c r="Q14" s="22">
        <v>5</v>
      </c>
      <c r="R14" s="44">
        <v>8</v>
      </c>
      <c r="S14" s="22">
        <v>1</v>
      </c>
      <c r="T14" s="22">
        <v>2</v>
      </c>
      <c r="U14" s="44">
        <f t="shared" si="1"/>
        <v>3</v>
      </c>
      <c r="V14" s="22">
        <v>3</v>
      </c>
      <c r="W14" s="22">
        <v>3</v>
      </c>
      <c r="X14" s="22">
        <v>1</v>
      </c>
      <c r="Y14" s="50">
        <v>0.96889999999999998</v>
      </c>
      <c r="Z14" s="50">
        <v>0.98269999999999991</v>
      </c>
      <c r="AA14" s="51">
        <v>1.7000000000000001E-2</v>
      </c>
      <c r="AB14" s="35">
        <v>1821</v>
      </c>
      <c r="AC14" s="35">
        <v>528030</v>
      </c>
      <c r="AD14" s="36">
        <v>1.96</v>
      </c>
      <c r="AE14" s="35">
        <v>1594.96</v>
      </c>
      <c r="AF14" s="22">
        <v>1.73</v>
      </c>
    </row>
    <row r="15" spans="1:32" x14ac:dyDescent="0.25">
      <c r="A15" s="33">
        <v>44473</v>
      </c>
      <c r="B15" s="34">
        <v>290</v>
      </c>
      <c r="C15" s="22">
        <v>5</v>
      </c>
      <c r="D15" s="22">
        <v>5</v>
      </c>
      <c r="E15" s="22">
        <v>1</v>
      </c>
      <c r="F15" s="22">
        <v>0</v>
      </c>
      <c r="G15" s="22">
        <v>0</v>
      </c>
      <c r="H15" s="44">
        <v>1</v>
      </c>
      <c r="I15" s="45">
        <f t="shared" si="0"/>
        <v>0.2</v>
      </c>
      <c r="J15" s="44">
        <v>281</v>
      </c>
      <c r="K15" s="22">
        <v>2</v>
      </c>
      <c r="L15" s="22">
        <v>1</v>
      </c>
      <c r="M15" s="22">
        <v>0</v>
      </c>
      <c r="N15" s="44">
        <v>282</v>
      </c>
      <c r="O15" s="22">
        <v>1</v>
      </c>
      <c r="P15" s="22">
        <v>2</v>
      </c>
      <c r="Q15" s="22">
        <v>5</v>
      </c>
      <c r="R15" s="44">
        <v>8</v>
      </c>
      <c r="S15" s="22">
        <v>0</v>
      </c>
      <c r="T15" s="22">
        <v>2</v>
      </c>
      <c r="U15" s="44">
        <f t="shared" si="1"/>
        <v>2</v>
      </c>
      <c r="V15" s="22">
        <v>3</v>
      </c>
      <c r="W15" s="22">
        <v>2</v>
      </c>
      <c r="X15" s="22">
        <v>1</v>
      </c>
      <c r="Y15" s="50">
        <v>0.97239999999999993</v>
      </c>
      <c r="Z15" s="50">
        <v>0.98620000000000008</v>
      </c>
      <c r="AA15" s="51">
        <v>1.3999999999999999E-2</v>
      </c>
      <c r="AB15" s="35">
        <v>1821</v>
      </c>
      <c r="AC15" s="35">
        <v>528030</v>
      </c>
      <c r="AD15" s="36">
        <v>1.96</v>
      </c>
      <c r="AE15" s="35">
        <v>1597.67</v>
      </c>
      <c r="AF15" s="22">
        <v>1.73</v>
      </c>
    </row>
    <row r="16" spans="1:32" x14ac:dyDescent="0.25">
      <c r="A16" s="33">
        <v>44480</v>
      </c>
      <c r="B16" s="22">
        <v>290</v>
      </c>
      <c r="C16">
        <v>6</v>
      </c>
      <c r="D16">
        <v>6</v>
      </c>
      <c r="E16">
        <v>2</v>
      </c>
      <c r="F16">
        <v>2</v>
      </c>
      <c r="G16">
        <v>0</v>
      </c>
      <c r="H16" s="46">
        <v>0</v>
      </c>
      <c r="I16" s="46">
        <v>0</v>
      </c>
      <c r="J16" s="46">
        <v>282</v>
      </c>
      <c r="K16">
        <v>1</v>
      </c>
      <c r="L16">
        <v>0</v>
      </c>
      <c r="M16">
        <v>0</v>
      </c>
      <c r="N16" s="46">
        <v>283</v>
      </c>
      <c r="O16">
        <v>1</v>
      </c>
      <c r="P16">
        <v>1</v>
      </c>
      <c r="Q16">
        <v>5</v>
      </c>
      <c r="R16" s="46">
        <v>7</v>
      </c>
      <c r="S16">
        <v>0</v>
      </c>
      <c r="T16">
        <v>2</v>
      </c>
      <c r="U16" s="44">
        <f t="shared" si="1"/>
        <v>2</v>
      </c>
      <c r="V16">
        <v>5</v>
      </c>
      <c r="W16">
        <v>1</v>
      </c>
      <c r="X16">
        <v>0</v>
      </c>
      <c r="Y16" s="46">
        <v>97.6</v>
      </c>
      <c r="Z16" s="46">
        <v>98.6</v>
      </c>
      <c r="AA16" s="52">
        <v>1.4E-2</v>
      </c>
      <c r="AB16" s="35">
        <v>1821</v>
      </c>
      <c r="AC16" s="35">
        <v>528030</v>
      </c>
      <c r="AD16" s="36">
        <v>1.96</v>
      </c>
      <c r="AE16" s="35">
        <v>1598.62</v>
      </c>
      <c r="AF16" s="22">
        <v>1.73</v>
      </c>
    </row>
    <row r="17" spans="1:32" x14ac:dyDescent="0.25">
      <c r="A17" s="33">
        <v>44487</v>
      </c>
      <c r="B17" s="34">
        <v>290</v>
      </c>
      <c r="C17" s="22">
        <v>4</v>
      </c>
      <c r="D17" s="22">
        <v>4</v>
      </c>
      <c r="E17" s="22">
        <v>0</v>
      </c>
      <c r="F17" s="22">
        <v>0</v>
      </c>
      <c r="G17" s="22">
        <v>0</v>
      </c>
      <c r="H17" s="44">
        <v>0</v>
      </c>
      <c r="I17" s="44">
        <v>0</v>
      </c>
      <c r="J17" s="44">
        <v>283</v>
      </c>
      <c r="K17" s="22">
        <v>0</v>
      </c>
      <c r="L17" s="22">
        <v>0</v>
      </c>
      <c r="M17" s="22">
        <v>0</v>
      </c>
      <c r="N17" s="44">
        <v>283</v>
      </c>
      <c r="O17" s="22">
        <v>1</v>
      </c>
      <c r="P17">
        <v>1</v>
      </c>
      <c r="Q17">
        <v>5</v>
      </c>
      <c r="R17" s="46">
        <v>7</v>
      </c>
      <c r="S17">
        <v>0</v>
      </c>
      <c r="T17">
        <v>2</v>
      </c>
      <c r="U17" s="44">
        <f t="shared" si="1"/>
        <v>2</v>
      </c>
      <c r="V17">
        <v>5</v>
      </c>
      <c r="W17">
        <v>1</v>
      </c>
      <c r="X17">
        <v>0</v>
      </c>
      <c r="Y17" s="46">
        <v>97.6</v>
      </c>
      <c r="Z17" s="46">
        <v>98.6</v>
      </c>
      <c r="AA17" s="52">
        <v>1.4</v>
      </c>
      <c r="AB17" s="35">
        <v>1821</v>
      </c>
      <c r="AC17" s="35">
        <v>528030</v>
      </c>
      <c r="AD17" s="36">
        <v>1.96</v>
      </c>
      <c r="AE17" s="35">
        <v>1598.62</v>
      </c>
      <c r="AF17" s="22">
        <v>1.73</v>
      </c>
    </row>
    <row r="18" spans="1:32" x14ac:dyDescent="0.25">
      <c r="A18" s="33">
        <v>44494</v>
      </c>
      <c r="B18" s="34">
        <v>290</v>
      </c>
      <c r="C18" s="22">
        <v>7</v>
      </c>
      <c r="D18" s="22">
        <v>7</v>
      </c>
      <c r="E18" s="22">
        <v>3</v>
      </c>
      <c r="F18" s="22">
        <v>0</v>
      </c>
      <c r="G18" s="22">
        <v>2</v>
      </c>
      <c r="H18" s="44">
        <v>1</v>
      </c>
      <c r="I18" s="47">
        <v>0.43</v>
      </c>
      <c r="J18" s="44">
        <v>283</v>
      </c>
      <c r="K18" s="22">
        <v>0</v>
      </c>
      <c r="L18" s="22">
        <v>3</v>
      </c>
      <c r="M18" s="22">
        <v>0</v>
      </c>
      <c r="N18" s="44">
        <v>280</v>
      </c>
      <c r="O18" s="22">
        <v>1</v>
      </c>
      <c r="P18" s="22">
        <v>2</v>
      </c>
      <c r="Q18" s="22">
        <v>7</v>
      </c>
      <c r="R18" s="44">
        <v>10</v>
      </c>
      <c r="S18" s="22">
        <v>0</v>
      </c>
      <c r="T18" s="22">
        <v>6</v>
      </c>
      <c r="U18" s="44">
        <f t="shared" si="1"/>
        <v>6</v>
      </c>
      <c r="V18" s="22">
        <v>8</v>
      </c>
      <c r="W18" s="22">
        <v>2</v>
      </c>
      <c r="X18" s="22">
        <v>0</v>
      </c>
      <c r="Y18" s="50">
        <v>0.96550000000000002</v>
      </c>
      <c r="Z18" s="50">
        <v>0.9758</v>
      </c>
      <c r="AA18" s="52">
        <v>2.42</v>
      </c>
      <c r="AB18" s="35">
        <v>1821</v>
      </c>
      <c r="AC18" s="35">
        <v>528030</v>
      </c>
      <c r="AD18" s="36">
        <v>1.96</v>
      </c>
      <c r="AE18" s="35">
        <v>1598</v>
      </c>
      <c r="AF18" s="22">
        <v>1.73</v>
      </c>
    </row>
    <row r="19" spans="1:32" x14ac:dyDescent="0.25">
      <c r="A19" s="33">
        <v>44501</v>
      </c>
      <c r="B19" s="34">
        <v>290</v>
      </c>
      <c r="C19" s="22">
        <v>8</v>
      </c>
      <c r="D19" s="22">
        <v>8</v>
      </c>
      <c r="E19" s="22">
        <v>1</v>
      </c>
      <c r="F19" s="22">
        <v>0</v>
      </c>
      <c r="G19" s="22">
        <v>0</v>
      </c>
      <c r="H19" s="44">
        <v>1</v>
      </c>
      <c r="I19" s="47">
        <v>0.13</v>
      </c>
      <c r="J19" s="44">
        <v>280</v>
      </c>
      <c r="K19" s="22">
        <v>1</v>
      </c>
      <c r="L19" s="22">
        <v>0</v>
      </c>
      <c r="M19" s="22">
        <v>0</v>
      </c>
      <c r="N19" s="44">
        <v>281</v>
      </c>
      <c r="O19" s="22">
        <v>1</v>
      </c>
      <c r="P19" s="22">
        <v>2</v>
      </c>
      <c r="Q19" s="22">
        <v>6</v>
      </c>
      <c r="R19" s="44">
        <v>9</v>
      </c>
      <c r="S19" s="22">
        <v>0</v>
      </c>
      <c r="T19" s="22">
        <v>8</v>
      </c>
      <c r="U19" s="44">
        <f t="shared" si="1"/>
        <v>8</v>
      </c>
      <c r="V19" s="22">
        <v>11</v>
      </c>
      <c r="W19" s="22">
        <v>3</v>
      </c>
      <c r="X19" s="22">
        <v>0</v>
      </c>
      <c r="Y19" s="48">
        <v>0.96889999999999998</v>
      </c>
      <c r="Z19" s="50">
        <v>0.97930000000000006</v>
      </c>
      <c r="AA19" s="52">
        <v>2.07E-2</v>
      </c>
      <c r="AB19" s="35">
        <v>1821</v>
      </c>
      <c r="AC19" s="35">
        <v>528030</v>
      </c>
      <c r="AD19" s="36">
        <v>1.96</v>
      </c>
      <c r="AE19" s="35">
        <v>1600</v>
      </c>
      <c r="AF19" s="22">
        <v>1.73</v>
      </c>
    </row>
    <row r="20" spans="1:32" x14ac:dyDescent="0.25">
      <c r="A20" s="33">
        <v>44508</v>
      </c>
      <c r="B20" s="34">
        <v>290</v>
      </c>
      <c r="C20" s="22">
        <v>1</v>
      </c>
      <c r="D20" s="22">
        <v>1</v>
      </c>
      <c r="E20" s="22">
        <v>1</v>
      </c>
      <c r="F20" s="22">
        <v>0</v>
      </c>
      <c r="G20" s="22">
        <v>0</v>
      </c>
      <c r="H20" s="44">
        <v>1</v>
      </c>
      <c r="I20" s="47">
        <v>1</v>
      </c>
      <c r="J20" s="44">
        <v>281</v>
      </c>
      <c r="K20" s="22">
        <v>1</v>
      </c>
      <c r="L20" s="22">
        <v>1</v>
      </c>
      <c r="M20" s="22">
        <v>0</v>
      </c>
      <c r="N20" s="44">
        <v>281</v>
      </c>
      <c r="O20" s="22">
        <v>1</v>
      </c>
      <c r="P20" s="22">
        <v>2</v>
      </c>
      <c r="Q20" s="22">
        <v>6</v>
      </c>
      <c r="R20" s="44">
        <v>9</v>
      </c>
      <c r="S20" s="22">
        <v>0</v>
      </c>
      <c r="T20" s="22">
        <v>11</v>
      </c>
      <c r="U20" s="44">
        <f t="shared" si="1"/>
        <v>11</v>
      </c>
      <c r="V20" s="22">
        <v>8</v>
      </c>
      <c r="W20" s="22">
        <v>5</v>
      </c>
      <c r="X20" s="22">
        <v>0</v>
      </c>
      <c r="Y20" s="48">
        <v>0.96889999999999998</v>
      </c>
      <c r="Z20" s="50">
        <v>0.97930000000000006</v>
      </c>
      <c r="AA20" s="52">
        <v>2.07E-2</v>
      </c>
      <c r="AB20" s="35">
        <v>1821</v>
      </c>
      <c r="AC20" s="35">
        <v>528030</v>
      </c>
      <c r="AD20" s="36">
        <v>1.96</v>
      </c>
      <c r="AE20" s="35">
        <v>1607</v>
      </c>
      <c r="AF20" s="22">
        <v>1.74</v>
      </c>
    </row>
    <row r="21" spans="1:32" x14ac:dyDescent="0.25">
      <c r="A21" s="33">
        <v>44515</v>
      </c>
      <c r="B21" s="34">
        <v>290</v>
      </c>
      <c r="C21" s="22">
        <v>8</v>
      </c>
      <c r="D21" s="22">
        <v>8</v>
      </c>
      <c r="E21" s="22">
        <v>1</v>
      </c>
      <c r="F21" s="22">
        <v>0</v>
      </c>
      <c r="G21" s="22">
        <v>0</v>
      </c>
      <c r="H21" s="44">
        <v>1</v>
      </c>
      <c r="I21" s="47">
        <v>0.13</v>
      </c>
      <c r="J21" s="44">
        <v>281</v>
      </c>
      <c r="K21" s="22">
        <v>0</v>
      </c>
      <c r="L21" s="22">
        <v>0</v>
      </c>
      <c r="M21" s="22">
        <v>0</v>
      </c>
      <c r="N21" s="44">
        <v>281</v>
      </c>
      <c r="O21" s="22">
        <v>1</v>
      </c>
      <c r="P21" s="22">
        <v>3</v>
      </c>
      <c r="Q21" s="22">
        <v>5</v>
      </c>
      <c r="R21" s="44">
        <v>9</v>
      </c>
      <c r="S21" s="22">
        <v>0</v>
      </c>
      <c r="T21" s="22">
        <v>11</v>
      </c>
      <c r="U21" s="44">
        <f t="shared" si="1"/>
        <v>11</v>
      </c>
      <c r="V21" s="22">
        <v>8</v>
      </c>
      <c r="W21" s="22">
        <v>5</v>
      </c>
      <c r="X21" s="22">
        <v>0</v>
      </c>
      <c r="Y21" s="48">
        <v>0.96889999999999998</v>
      </c>
      <c r="Z21" s="50">
        <v>0.98270000000000002</v>
      </c>
      <c r="AA21" s="52">
        <v>1.7299999999999999E-2</v>
      </c>
      <c r="AB21" s="35">
        <v>1821</v>
      </c>
      <c r="AC21" s="35">
        <v>528030</v>
      </c>
      <c r="AD21" s="36">
        <v>1.96</v>
      </c>
      <c r="AE21" s="35">
        <v>1607</v>
      </c>
      <c r="AF21" s="22">
        <v>1.74</v>
      </c>
    </row>
    <row r="22" spans="1:32" x14ac:dyDescent="0.25">
      <c r="A22" s="33">
        <v>44522</v>
      </c>
      <c r="B22" s="34">
        <v>290</v>
      </c>
      <c r="C22" s="22">
        <v>8</v>
      </c>
      <c r="D22" s="22">
        <v>8</v>
      </c>
      <c r="E22" s="22">
        <v>1</v>
      </c>
      <c r="F22" s="22">
        <v>0</v>
      </c>
      <c r="G22" s="22">
        <v>0</v>
      </c>
      <c r="H22" s="44">
        <v>1</v>
      </c>
      <c r="I22" s="47">
        <v>0.13</v>
      </c>
      <c r="J22" s="44">
        <v>281</v>
      </c>
      <c r="K22" s="22">
        <v>3</v>
      </c>
      <c r="L22" s="22">
        <v>0</v>
      </c>
      <c r="M22" s="22">
        <v>0</v>
      </c>
      <c r="N22" s="44">
        <v>284</v>
      </c>
      <c r="O22" s="22">
        <v>1</v>
      </c>
      <c r="P22" s="22">
        <v>1</v>
      </c>
      <c r="Q22" s="22">
        <v>4</v>
      </c>
      <c r="R22" s="44">
        <v>6</v>
      </c>
      <c r="S22" s="22">
        <v>1</v>
      </c>
      <c r="T22" s="22">
        <v>11</v>
      </c>
      <c r="U22" s="44">
        <f t="shared" si="1"/>
        <v>12</v>
      </c>
      <c r="V22" s="22">
        <v>7</v>
      </c>
      <c r="W22" s="22">
        <v>5</v>
      </c>
      <c r="X22" s="22">
        <v>0</v>
      </c>
      <c r="Y22" s="48">
        <v>0.97930000000000006</v>
      </c>
      <c r="Z22" s="50">
        <v>0.98619999999999997</v>
      </c>
      <c r="AA22" s="52">
        <v>1.38E-2</v>
      </c>
      <c r="AB22" s="35">
        <v>1821</v>
      </c>
      <c r="AC22" s="35">
        <v>528030</v>
      </c>
      <c r="AD22" s="36">
        <v>1.96</v>
      </c>
      <c r="AE22" s="35">
        <v>1607</v>
      </c>
      <c r="AF22" s="22">
        <v>1.74</v>
      </c>
    </row>
    <row r="23" spans="1:32" x14ac:dyDescent="0.25">
      <c r="A23" s="33">
        <v>44529</v>
      </c>
      <c r="B23" s="34">
        <v>290</v>
      </c>
      <c r="C23" s="22">
        <v>2</v>
      </c>
      <c r="D23" s="22">
        <v>2</v>
      </c>
      <c r="E23" s="22">
        <v>0</v>
      </c>
      <c r="F23" s="22">
        <v>0</v>
      </c>
      <c r="G23" s="22">
        <v>0</v>
      </c>
      <c r="H23" s="44">
        <v>0</v>
      </c>
      <c r="I23" s="47">
        <v>0</v>
      </c>
      <c r="J23" s="44">
        <v>284</v>
      </c>
      <c r="K23" s="22">
        <v>0</v>
      </c>
      <c r="L23" s="22">
        <v>0</v>
      </c>
      <c r="M23" s="22">
        <v>0</v>
      </c>
      <c r="N23" s="44">
        <v>284</v>
      </c>
      <c r="O23" s="22">
        <v>1</v>
      </c>
      <c r="P23" s="22">
        <v>1</v>
      </c>
      <c r="Q23" s="22">
        <v>4</v>
      </c>
      <c r="R23" s="44">
        <v>6</v>
      </c>
      <c r="S23" s="22">
        <v>1</v>
      </c>
      <c r="T23" s="22">
        <v>12</v>
      </c>
      <c r="U23" s="44">
        <f t="shared" si="1"/>
        <v>13</v>
      </c>
      <c r="V23" s="22">
        <v>8</v>
      </c>
      <c r="W23" s="22">
        <v>5</v>
      </c>
      <c r="X23" s="22">
        <v>0</v>
      </c>
      <c r="Y23" s="48">
        <v>0.97930000000000006</v>
      </c>
      <c r="Z23" s="50">
        <v>0.98619999999999997</v>
      </c>
      <c r="AA23" s="52">
        <v>1.38E-2</v>
      </c>
      <c r="AB23" s="35">
        <v>1821</v>
      </c>
      <c r="AC23" s="35">
        <v>528030</v>
      </c>
      <c r="AD23" s="36">
        <v>1.96</v>
      </c>
      <c r="AE23" s="35">
        <v>1607</v>
      </c>
      <c r="AF23" s="22">
        <v>1.74</v>
      </c>
    </row>
    <row r="24" spans="1:32" x14ac:dyDescent="0.25">
      <c r="A24" s="33">
        <v>44536</v>
      </c>
      <c r="B24" s="34">
        <v>290</v>
      </c>
      <c r="C24" s="22">
        <v>3</v>
      </c>
      <c r="D24" s="22">
        <v>3</v>
      </c>
      <c r="E24" s="22">
        <v>1</v>
      </c>
      <c r="F24" s="22">
        <v>0</v>
      </c>
      <c r="G24" s="22">
        <v>0</v>
      </c>
      <c r="H24" s="44">
        <v>1</v>
      </c>
      <c r="I24" s="47">
        <v>0.33</v>
      </c>
      <c r="J24" s="44">
        <v>284</v>
      </c>
      <c r="K24" s="22">
        <v>2</v>
      </c>
      <c r="L24" s="22">
        <v>1</v>
      </c>
      <c r="M24" s="22">
        <v>0</v>
      </c>
      <c r="N24" s="44">
        <v>285</v>
      </c>
      <c r="O24" s="22">
        <v>1</v>
      </c>
      <c r="P24" s="22">
        <v>0</v>
      </c>
      <c r="Q24" s="22">
        <v>3</v>
      </c>
      <c r="R24" s="44">
        <v>4</v>
      </c>
      <c r="S24" s="22">
        <v>1</v>
      </c>
      <c r="T24" s="22">
        <v>13</v>
      </c>
      <c r="U24" s="44">
        <f t="shared" si="1"/>
        <v>14</v>
      </c>
      <c r="V24" s="22">
        <v>10</v>
      </c>
      <c r="W24" s="22">
        <v>4</v>
      </c>
      <c r="X24" s="22">
        <v>0</v>
      </c>
      <c r="Y24" s="48">
        <v>0.98959999999999992</v>
      </c>
      <c r="Z24" s="50">
        <v>0.98959999999999992</v>
      </c>
      <c r="AA24" s="52">
        <v>0.01</v>
      </c>
      <c r="AB24" s="40">
        <f t="shared" ref="AB24:AD26" si="2">AB23</f>
        <v>1821</v>
      </c>
      <c r="AC24" s="40">
        <f t="shared" si="2"/>
        <v>528030</v>
      </c>
      <c r="AD24" s="36">
        <f t="shared" si="2"/>
        <v>1.96</v>
      </c>
      <c r="AE24" s="40">
        <v>1617.11</v>
      </c>
      <c r="AF24" s="36">
        <v>1.75</v>
      </c>
    </row>
    <row r="25" spans="1:32" x14ac:dyDescent="0.25">
      <c r="A25" s="33">
        <v>44543</v>
      </c>
      <c r="B25" s="34">
        <v>290</v>
      </c>
      <c r="C25" s="22">
        <v>2</v>
      </c>
      <c r="D25" s="22">
        <v>2</v>
      </c>
      <c r="E25" s="22">
        <v>2</v>
      </c>
      <c r="F25" s="22">
        <v>0</v>
      </c>
      <c r="G25" s="22">
        <v>0</v>
      </c>
      <c r="H25" s="44">
        <v>2</v>
      </c>
      <c r="I25" s="47">
        <v>1</v>
      </c>
      <c r="J25" s="44">
        <v>285</v>
      </c>
      <c r="K25" s="22">
        <v>0</v>
      </c>
      <c r="L25" s="22">
        <v>1</v>
      </c>
      <c r="M25" s="22">
        <v>0</v>
      </c>
      <c r="N25" s="44">
        <v>284</v>
      </c>
      <c r="O25" s="22">
        <v>1</v>
      </c>
      <c r="P25" s="22">
        <v>1</v>
      </c>
      <c r="Q25" s="22">
        <v>5</v>
      </c>
      <c r="R25" s="44">
        <v>7</v>
      </c>
      <c r="S25" s="22">
        <v>1</v>
      </c>
      <c r="T25" s="22">
        <v>15</v>
      </c>
      <c r="U25" s="44">
        <f t="shared" si="1"/>
        <v>16</v>
      </c>
      <c r="V25" s="22">
        <v>11</v>
      </c>
      <c r="W25" s="22">
        <v>4</v>
      </c>
      <c r="X25" s="22">
        <v>0</v>
      </c>
      <c r="Y25" s="48">
        <v>0.9758</v>
      </c>
      <c r="Z25" s="48">
        <v>0.98959999999999992</v>
      </c>
      <c r="AA25" s="52">
        <v>0.01</v>
      </c>
      <c r="AB25" s="40">
        <f t="shared" si="2"/>
        <v>1821</v>
      </c>
      <c r="AC25" s="40">
        <f t="shared" si="2"/>
        <v>528030</v>
      </c>
      <c r="AD25" s="36">
        <f t="shared" si="2"/>
        <v>1.96</v>
      </c>
      <c r="AE25" s="40">
        <v>1618</v>
      </c>
      <c r="AF25" s="36">
        <v>1.75</v>
      </c>
    </row>
    <row r="26" spans="1:32" x14ac:dyDescent="0.25">
      <c r="A26" s="33">
        <v>44550</v>
      </c>
      <c r="B26" s="34">
        <v>290</v>
      </c>
      <c r="C26" s="22">
        <v>3</v>
      </c>
      <c r="D26" s="22">
        <v>3</v>
      </c>
      <c r="E26" s="22">
        <v>0</v>
      </c>
      <c r="F26" s="22">
        <v>0</v>
      </c>
      <c r="G26" s="22">
        <v>0</v>
      </c>
      <c r="H26" s="44">
        <v>0</v>
      </c>
      <c r="I26" s="47">
        <v>0</v>
      </c>
      <c r="J26" s="44">
        <v>284</v>
      </c>
      <c r="K26" s="22">
        <v>1</v>
      </c>
      <c r="L26" s="22">
        <v>0</v>
      </c>
      <c r="M26" s="22">
        <v>0</v>
      </c>
      <c r="N26" s="44">
        <v>285</v>
      </c>
      <c r="O26" s="22">
        <v>1</v>
      </c>
      <c r="P26" s="22">
        <v>3</v>
      </c>
      <c r="Q26" s="22">
        <v>0</v>
      </c>
      <c r="R26" s="44">
        <v>4</v>
      </c>
      <c r="S26" s="22">
        <v>1</v>
      </c>
      <c r="T26" s="22">
        <v>17</v>
      </c>
      <c r="U26" s="44">
        <f t="shared" si="1"/>
        <v>18</v>
      </c>
      <c r="V26" s="22">
        <v>13</v>
      </c>
      <c r="W26" s="22">
        <v>4</v>
      </c>
      <c r="X26" s="22">
        <v>0</v>
      </c>
      <c r="Y26" s="48">
        <v>0.97930000000000006</v>
      </c>
      <c r="Z26" s="48">
        <v>0.98959999999999992</v>
      </c>
      <c r="AA26" s="52">
        <v>0.01</v>
      </c>
      <c r="AB26" s="40">
        <f t="shared" si="2"/>
        <v>1821</v>
      </c>
      <c r="AC26" s="40">
        <f t="shared" si="2"/>
        <v>528030</v>
      </c>
      <c r="AD26" s="36">
        <f t="shared" si="2"/>
        <v>1.96</v>
      </c>
      <c r="AE26" s="40">
        <v>1618</v>
      </c>
      <c r="AF26" s="36">
        <v>1.75</v>
      </c>
    </row>
    <row r="27" spans="1:32" x14ac:dyDescent="0.25">
      <c r="A27" s="33">
        <v>44557</v>
      </c>
      <c r="B27" s="34">
        <v>290</v>
      </c>
      <c r="C27" s="22">
        <v>3</v>
      </c>
      <c r="D27" s="22">
        <v>3</v>
      </c>
      <c r="E27" s="22">
        <v>1</v>
      </c>
      <c r="F27" s="22">
        <v>0</v>
      </c>
      <c r="G27" s="22">
        <v>1</v>
      </c>
      <c r="H27" s="44">
        <v>0</v>
      </c>
      <c r="I27" s="47">
        <v>0</v>
      </c>
      <c r="J27" s="44">
        <v>285</v>
      </c>
      <c r="K27" s="22">
        <v>0</v>
      </c>
      <c r="L27" s="22">
        <v>3</v>
      </c>
      <c r="M27" s="22">
        <v>0</v>
      </c>
      <c r="N27" s="44">
        <v>282</v>
      </c>
      <c r="O27" s="22">
        <v>1</v>
      </c>
      <c r="P27" s="22">
        <v>0</v>
      </c>
      <c r="Q27" s="22">
        <v>6</v>
      </c>
      <c r="R27" s="44">
        <v>7</v>
      </c>
      <c r="S27" s="22">
        <v>1</v>
      </c>
      <c r="T27" s="22">
        <v>19</v>
      </c>
      <c r="U27" s="44">
        <f t="shared" si="1"/>
        <v>20</v>
      </c>
      <c r="V27" s="22">
        <v>14</v>
      </c>
      <c r="W27" s="22">
        <v>11</v>
      </c>
      <c r="X27" s="22">
        <v>0</v>
      </c>
      <c r="Y27" s="48">
        <v>0.97239999999999993</v>
      </c>
      <c r="Z27" s="50">
        <v>0.97930000000000006</v>
      </c>
      <c r="AA27" s="47">
        <v>0.02</v>
      </c>
      <c r="AB27">
        <v>1821</v>
      </c>
      <c r="AC27">
        <v>528030</v>
      </c>
      <c r="AD27">
        <v>1.96</v>
      </c>
      <c r="AE27" s="40">
        <v>1621.8</v>
      </c>
      <c r="AF27" s="36">
        <v>1.76</v>
      </c>
    </row>
    <row r="28" spans="1:32" x14ac:dyDescent="0.25">
      <c r="A28" s="33">
        <v>44563</v>
      </c>
      <c r="B28" s="34">
        <v>290</v>
      </c>
      <c r="C28" s="22">
        <v>6</v>
      </c>
      <c r="D28" s="22">
        <v>6</v>
      </c>
      <c r="E28" s="22">
        <v>2</v>
      </c>
      <c r="F28" s="22">
        <v>1</v>
      </c>
      <c r="G28" s="22">
        <v>0</v>
      </c>
      <c r="H28" s="44">
        <v>1</v>
      </c>
      <c r="I28" s="47">
        <v>0.17</v>
      </c>
      <c r="J28" s="44">
        <v>282</v>
      </c>
      <c r="K28" s="22">
        <v>0</v>
      </c>
      <c r="L28" s="22">
        <v>0</v>
      </c>
      <c r="M28" s="22">
        <v>0</v>
      </c>
      <c r="N28" s="44">
        <v>282</v>
      </c>
      <c r="O28" s="22">
        <v>1</v>
      </c>
      <c r="P28" s="22">
        <v>2</v>
      </c>
      <c r="Q28" s="22">
        <v>4</v>
      </c>
      <c r="R28" s="44">
        <v>7</v>
      </c>
      <c r="S28" s="22">
        <v>1</v>
      </c>
      <c r="T28" s="22">
        <v>22</v>
      </c>
      <c r="U28" s="44">
        <f t="shared" si="1"/>
        <v>23</v>
      </c>
      <c r="V28" s="22">
        <v>11</v>
      </c>
      <c r="W28" s="22">
        <v>11</v>
      </c>
      <c r="X28">
        <v>0</v>
      </c>
      <c r="Y28" s="48">
        <v>0.97239999999999993</v>
      </c>
      <c r="Z28" s="50">
        <v>0.98620000000000008</v>
      </c>
      <c r="AA28" s="47">
        <v>1.3999999999999999E-2</v>
      </c>
      <c r="AB28">
        <v>1821</v>
      </c>
      <c r="AC28">
        <v>528030</v>
      </c>
      <c r="AD28">
        <v>1.96</v>
      </c>
      <c r="AE28" s="40">
        <v>1621.8</v>
      </c>
      <c r="AF28" s="36">
        <v>1.76</v>
      </c>
    </row>
    <row r="29" spans="1:32" x14ac:dyDescent="0.25">
      <c r="A29" s="33">
        <v>44571</v>
      </c>
      <c r="B29" s="34">
        <v>290</v>
      </c>
      <c r="C29" s="22">
        <v>13</v>
      </c>
      <c r="D29" s="22">
        <v>13</v>
      </c>
      <c r="E29" s="22">
        <v>2</v>
      </c>
      <c r="F29" s="22">
        <v>0</v>
      </c>
      <c r="G29" s="22">
        <v>0</v>
      </c>
      <c r="H29" s="44">
        <v>2</v>
      </c>
      <c r="I29" s="47">
        <v>0.15</v>
      </c>
      <c r="J29" s="44">
        <v>282</v>
      </c>
      <c r="K29" s="22">
        <v>2</v>
      </c>
      <c r="L29" s="22">
        <v>2</v>
      </c>
      <c r="M29" s="22">
        <v>0</v>
      </c>
      <c r="N29" s="44">
        <v>282</v>
      </c>
      <c r="O29" s="22">
        <v>1</v>
      </c>
      <c r="P29" s="22">
        <v>2</v>
      </c>
      <c r="Q29" s="22">
        <v>3</v>
      </c>
      <c r="R29" s="44">
        <v>6</v>
      </c>
      <c r="S29" s="22">
        <v>1</v>
      </c>
      <c r="T29" s="22">
        <v>22</v>
      </c>
      <c r="U29" s="44">
        <f t="shared" si="1"/>
        <v>23</v>
      </c>
      <c r="V29" s="22">
        <f ca="1">V29:AB2911</f>
        <v>0</v>
      </c>
      <c r="W29" s="22">
        <v>11</v>
      </c>
      <c r="X29">
        <v>0</v>
      </c>
      <c r="Y29" s="48">
        <v>0.97239999999999993</v>
      </c>
      <c r="Z29" s="50">
        <v>0.98959999999999992</v>
      </c>
      <c r="AA29" s="47">
        <v>1.04E-2</v>
      </c>
      <c r="AB29">
        <v>1821</v>
      </c>
      <c r="AC29">
        <v>528030</v>
      </c>
      <c r="AD29">
        <v>1.96</v>
      </c>
      <c r="AE29" s="40">
        <v>1627.45</v>
      </c>
      <c r="AF29" s="36">
        <v>1.76</v>
      </c>
    </row>
    <row r="30" spans="1:32" x14ac:dyDescent="0.25">
      <c r="A30" s="33">
        <v>44579</v>
      </c>
      <c r="B30" s="34">
        <v>290</v>
      </c>
      <c r="C30" s="22">
        <v>12</v>
      </c>
      <c r="D30" s="22">
        <v>12</v>
      </c>
      <c r="E30" s="22">
        <v>5</v>
      </c>
      <c r="F30" s="22">
        <v>1</v>
      </c>
      <c r="G30" s="22">
        <v>0</v>
      </c>
      <c r="H30" s="44">
        <v>4</v>
      </c>
      <c r="I30" s="47">
        <v>0.42</v>
      </c>
      <c r="J30" s="44">
        <v>282</v>
      </c>
      <c r="K30" s="22">
        <v>2</v>
      </c>
      <c r="L30" s="22">
        <v>2</v>
      </c>
      <c r="M30" s="22">
        <v>1</v>
      </c>
      <c r="N30" s="44">
        <v>281</v>
      </c>
      <c r="O30" s="22">
        <v>1</v>
      </c>
      <c r="P30" s="22">
        <v>3</v>
      </c>
      <c r="Q30" s="22">
        <v>2</v>
      </c>
      <c r="R30" s="44">
        <v>6</v>
      </c>
      <c r="S30" s="22">
        <v>3</v>
      </c>
      <c r="T30" s="22">
        <v>24</v>
      </c>
      <c r="U30" s="44">
        <f t="shared" si="1"/>
        <v>27</v>
      </c>
      <c r="V30" s="22">
        <v>19</v>
      </c>
      <c r="W30" s="22">
        <v>7</v>
      </c>
      <c r="X30" s="22">
        <v>0</v>
      </c>
      <c r="Y30" s="48">
        <v>0.96889999999999998</v>
      </c>
      <c r="Z30" s="50">
        <v>0.99309999999999998</v>
      </c>
      <c r="AA30" s="47">
        <v>0</v>
      </c>
      <c r="AB30">
        <v>1821</v>
      </c>
      <c r="AC30">
        <v>528030</v>
      </c>
      <c r="AD30">
        <v>1.96</v>
      </c>
      <c r="AE30" s="40">
        <v>1635.65</v>
      </c>
      <c r="AF30" s="36">
        <v>1.77</v>
      </c>
    </row>
    <row r="31" spans="1:32" x14ac:dyDescent="0.25">
      <c r="A31" s="33">
        <v>44585</v>
      </c>
      <c r="B31" s="34">
        <v>290</v>
      </c>
      <c r="C31" s="22">
        <v>19</v>
      </c>
      <c r="D31" s="22">
        <v>19</v>
      </c>
      <c r="E31" s="22">
        <v>4</v>
      </c>
      <c r="F31" s="22">
        <v>1</v>
      </c>
      <c r="G31" s="22">
        <v>1</v>
      </c>
      <c r="H31" s="44">
        <v>2</v>
      </c>
      <c r="I31" s="47">
        <v>0.21</v>
      </c>
      <c r="J31" s="44">
        <v>281</v>
      </c>
      <c r="K31" s="22">
        <v>1</v>
      </c>
      <c r="L31" s="22">
        <v>2</v>
      </c>
      <c r="M31" s="22">
        <v>0</v>
      </c>
      <c r="N31" s="44">
        <v>280</v>
      </c>
      <c r="O31" s="22">
        <v>1</v>
      </c>
      <c r="P31" s="22">
        <v>3</v>
      </c>
      <c r="Q31" s="22">
        <v>4</v>
      </c>
      <c r="R31" s="44">
        <v>7</v>
      </c>
      <c r="S31" s="22">
        <v>5</v>
      </c>
      <c r="T31" s="22">
        <v>24</v>
      </c>
      <c r="U31" s="44">
        <f t="shared" si="1"/>
        <v>29</v>
      </c>
      <c r="V31" s="22">
        <v>19</v>
      </c>
      <c r="W31" s="22">
        <v>8</v>
      </c>
      <c r="X31" s="22">
        <v>0</v>
      </c>
      <c r="Y31" s="48">
        <v>0.96550000000000002</v>
      </c>
      <c r="Z31" s="50">
        <v>0.98620000000000008</v>
      </c>
      <c r="AA31" s="47">
        <v>1.3999999999999999E-2</v>
      </c>
      <c r="AB31">
        <v>1821</v>
      </c>
      <c r="AC31">
        <v>528030</v>
      </c>
      <c r="AD31">
        <v>1.96</v>
      </c>
      <c r="AE31" s="40">
        <v>1642.28</v>
      </c>
      <c r="AF31" s="36">
        <v>1.77</v>
      </c>
    </row>
    <row r="32" spans="1:32" x14ac:dyDescent="0.25">
      <c r="A32" s="33">
        <v>44592</v>
      </c>
      <c r="B32" s="34">
        <v>290</v>
      </c>
      <c r="C32" s="22">
        <v>22</v>
      </c>
      <c r="D32" s="22">
        <v>22</v>
      </c>
      <c r="E32" s="22">
        <v>11</v>
      </c>
      <c r="F32" s="22">
        <v>2</v>
      </c>
      <c r="G32" s="22">
        <v>0</v>
      </c>
      <c r="H32" s="44">
        <v>9</v>
      </c>
      <c r="I32" s="47">
        <v>0.5</v>
      </c>
      <c r="J32" s="44">
        <v>280</v>
      </c>
      <c r="K32" s="22">
        <v>3</v>
      </c>
      <c r="L32" s="22">
        <v>2</v>
      </c>
      <c r="M32" s="22">
        <v>0</v>
      </c>
      <c r="N32" s="44">
        <v>281</v>
      </c>
      <c r="O32" s="22">
        <v>1</v>
      </c>
      <c r="P32" s="22">
        <v>4</v>
      </c>
      <c r="Q32" s="22">
        <v>2</v>
      </c>
      <c r="R32" s="44">
        <v>7</v>
      </c>
      <c r="S32" s="22">
        <v>11</v>
      </c>
      <c r="T32" s="22">
        <v>17</v>
      </c>
      <c r="U32" s="44">
        <f t="shared" si="1"/>
        <v>28</v>
      </c>
      <c r="V32" s="22">
        <v>10</v>
      </c>
      <c r="W32" s="22">
        <v>8</v>
      </c>
      <c r="X32" s="22">
        <v>0</v>
      </c>
      <c r="Y32" s="48">
        <v>0.96889999999999998</v>
      </c>
      <c r="Z32" s="50">
        <v>0.99309999999999998</v>
      </c>
      <c r="AA32" s="47">
        <v>7.0000000000000001E-3</v>
      </c>
      <c r="AB32">
        <v>1821</v>
      </c>
      <c r="AC32">
        <v>528030</v>
      </c>
      <c r="AD32">
        <v>1.96</v>
      </c>
      <c r="AE32" s="40">
        <v>1650.84</v>
      </c>
      <c r="AF32" s="36">
        <v>1.78</v>
      </c>
    </row>
    <row r="33" spans="1:32" x14ac:dyDescent="0.25">
      <c r="A33" s="33">
        <v>44599</v>
      </c>
      <c r="B33" s="34">
        <v>290</v>
      </c>
      <c r="C33" s="22">
        <v>9</v>
      </c>
      <c r="D33" s="22">
        <v>9</v>
      </c>
      <c r="E33" s="22">
        <v>5</v>
      </c>
      <c r="F33" s="22">
        <v>2</v>
      </c>
      <c r="G33" s="22">
        <v>0</v>
      </c>
      <c r="H33" s="44">
        <v>3</v>
      </c>
      <c r="I33" s="47">
        <v>0.55000000000000004</v>
      </c>
      <c r="J33" s="44">
        <v>281</v>
      </c>
      <c r="K33" s="22">
        <v>4</v>
      </c>
      <c r="L33" s="22">
        <v>1</v>
      </c>
      <c r="M33" s="22">
        <v>0</v>
      </c>
      <c r="N33" s="44">
        <v>283</v>
      </c>
      <c r="O33" s="22">
        <v>1</v>
      </c>
      <c r="P33" s="22">
        <v>2</v>
      </c>
      <c r="Q33" s="22">
        <v>1</v>
      </c>
      <c r="R33" s="44">
        <v>4</v>
      </c>
      <c r="S33" s="22">
        <v>12</v>
      </c>
      <c r="T33" s="22">
        <v>16</v>
      </c>
      <c r="U33" s="44">
        <f t="shared" si="1"/>
        <v>28</v>
      </c>
      <c r="V33" s="22">
        <v>9</v>
      </c>
      <c r="W33" s="22">
        <v>8</v>
      </c>
      <c r="X33" s="22">
        <v>0</v>
      </c>
      <c r="Y33" s="48">
        <v>0.97930000000000006</v>
      </c>
      <c r="Z33" s="50">
        <v>0.99650000000000005</v>
      </c>
      <c r="AA33" s="47">
        <v>3.0000000000000001E-3</v>
      </c>
      <c r="AB33">
        <v>1821</v>
      </c>
      <c r="AC33">
        <v>528130</v>
      </c>
      <c r="AD33">
        <v>1.96</v>
      </c>
      <c r="AE33" s="40">
        <v>1660.53</v>
      </c>
      <c r="AF33" s="36">
        <v>1.79</v>
      </c>
    </row>
    <row r="34" spans="1:32" x14ac:dyDescent="0.25">
      <c r="A34" s="33">
        <v>44606</v>
      </c>
      <c r="B34" s="34">
        <v>290</v>
      </c>
      <c r="C34" s="22">
        <v>16</v>
      </c>
      <c r="D34" s="22">
        <v>16</v>
      </c>
      <c r="E34" s="22">
        <v>0</v>
      </c>
      <c r="F34" s="22">
        <v>0</v>
      </c>
      <c r="G34" s="22">
        <v>0</v>
      </c>
      <c r="H34" s="44">
        <v>0</v>
      </c>
      <c r="I34" s="47">
        <v>0</v>
      </c>
      <c r="J34" s="44">
        <v>283</v>
      </c>
      <c r="K34" s="22">
        <v>0</v>
      </c>
      <c r="L34" s="22">
        <v>2</v>
      </c>
      <c r="M34" s="22">
        <v>0</v>
      </c>
      <c r="N34" s="44">
        <v>281</v>
      </c>
      <c r="O34" s="22">
        <v>1</v>
      </c>
      <c r="P34" s="22">
        <v>4</v>
      </c>
      <c r="Q34" s="22">
        <v>1</v>
      </c>
      <c r="R34" s="44">
        <v>6</v>
      </c>
      <c r="S34" s="22">
        <v>11</v>
      </c>
      <c r="T34" s="22">
        <v>19</v>
      </c>
      <c r="U34" s="44">
        <f t="shared" si="1"/>
        <v>30</v>
      </c>
      <c r="V34" s="22">
        <v>11</v>
      </c>
      <c r="W34" s="22">
        <v>8</v>
      </c>
      <c r="X34" s="22">
        <v>0</v>
      </c>
      <c r="Y34" s="48">
        <v>0.97239999999999993</v>
      </c>
      <c r="Z34" s="50">
        <v>0.99650000000000005</v>
      </c>
      <c r="AA34" s="47">
        <v>0</v>
      </c>
      <c r="AB34">
        <v>1821</v>
      </c>
      <c r="AC34">
        <v>528130</v>
      </c>
      <c r="AD34">
        <v>1.96</v>
      </c>
      <c r="AE34" s="40">
        <v>1654.96</v>
      </c>
      <c r="AF34" s="36">
        <v>1.79</v>
      </c>
    </row>
    <row r="35" spans="1:32" x14ac:dyDescent="0.25">
      <c r="A35" s="33">
        <v>44613</v>
      </c>
      <c r="B35" s="34">
        <v>290</v>
      </c>
      <c r="C35" s="22">
        <v>7</v>
      </c>
      <c r="D35" s="22">
        <v>7</v>
      </c>
      <c r="E35" s="22">
        <v>2</v>
      </c>
      <c r="F35" s="22">
        <v>1</v>
      </c>
      <c r="G35" s="22">
        <v>1</v>
      </c>
      <c r="H35" s="44">
        <v>0</v>
      </c>
      <c r="I35" s="47">
        <v>0.28999999999999998</v>
      </c>
      <c r="J35" s="44">
        <v>281</v>
      </c>
      <c r="K35" s="22">
        <v>2</v>
      </c>
      <c r="L35" s="22">
        <v>7</v>
      </c>
      <c r="M35" s="22">
        <v>0</v>
      </c>
      <c r="N35" s="44">
        <v>276</v>
      </c>
      <c r="O35" s="22">
        <v>1</v>
      </c>
      <c r="P35" s="22">
        <v>5</v>
      </c>
      <c r="Q35" s="22">
        <v>5</v>
      </c>
      <c r="R35" s="44">
        <v>11</v>
      </c>
      <c r="S35" s="22">
        <v>8</v>
      </c>
      <c r="T35" s="22">
        <v>18</v>
      </c>
      <c r="U35" s="44">
        <f t="shared" si="1"/>
        <v>26</v>
      </c>
      <c r="V35" s="22">
        <v>11</v>
      </c>
      <c r="W35" s="22">
        <v>7</v>
      </c>
      <c r="X35" s="22">
        <v>1</v>
      </c>
      <c r="Y35" s="48">
        <v>0.95510000000000006</v>
      </c>
      <c r="Z35" s="50">
        <v>0.98269999999999991</v>
      </c>
      <c r="AA35" s="47">
        <v>1.7000000000000001E-2</v>
      </c>
      <c r="AB35">
        <v>1821</v>
      </c>
      <c r="AC35">
        <v>528130</v>
      </c>
      <c r="AD35">
        <v>1.96</v>
      </c>
      <c r="AE35" s="40">
        <v>1669</v>
      </c>
      <c r="AF35" s="36">
        <v>1.79</v>
      </c>
    </row>
    <row r="36" spans="1:32" x14ac:dyDescent="0.25">
      <c r="A36" s="33">
        <v>44620</v>
      </c>
      <c r="B36" s="34">
        <v>290</v>
      </c>
      <c r="C36" s="22">
        <v>7</v>
      </c>
      <c r="D36" s="22">
        <v>7</v>
      </c>
      <c r="E36" s="22">
        <v>3</v>
      </c>
      <c r="F36" s="22">
        <v>3</v>
      </c>
      <c r="G36" s="22">
        <v>0</v>
      </c>
      <c r="H36" s="44">
        <v>0</v>
      </c>
      <c r="I36" s="47">
        <v>0.45</v>
      </c>
      <c r="J36" s="44">
        <v>276</v>
      </c>
      <c r="K36" s="22">
        <v>4</v>
      </c>
      <c r="L36" s="22">
        <v>1</v>
      </c>
      <c r="M36" s="22">
        <v>2</v>
      </c>
      <c r="N36" s="44">
        <v>279</v>
      </c>
      <c r="O36" s="22">
        <v>1</v>
      </c>
      <c r="P36" s="22">
        <v>3</v>
      </c>
      <c r="Q36" s="22">
        <v>5</v>
      </c>
      <c r="R36" s="44">
        <v>9</v>
      </c>
      <c r="S36" s="22">
        <v>8</v>
      </c>
      <c r="T36" s="22">
        <v>18</v>
      </c>
      <c r="U36" s="44">
        <f t="shared" si="1"/>
        <v>26</v>
      </c>
      <c r="V36" s="22">
        <v>15</v>
      </c>
      <c r="W36" s="22">
        <v>8</v>
      </c>
      <c r="X36" s="22">
        <v>1</v>
      </c>
      <c r="Y36" s="48">
        <v>0.96199999999999997</v>
      </c>
      <c r="Z36" s="50">
        <v>0.98270000000000002</v>
      </c>
      <c r="AA36" s="47">
        <v>0.02</v>
      </c>
      <c r="AB36">
        <v>1821</v>
      </c>
      <c r="AC36">
        <v>528130</v>
      </c>
      <c r="AD36">
        <v>1.96</v>
      </c>
      <c r="AE36" s="40">
        <v>1670.96</v>
      </c>
      <c r="AF36" s="36">
        <v>1.81</v>
      </c>
    </row>
    <row r="37" spans="1:32" x14ac:dyDescent="0.25">
      <c r="A37" s="33">
        <v>44627</v>
      </c>
      <c r="B37" s="34">
        <v>290</v>
      </c>
      <c r="C37" s="22">
        <v>6</v>
      </c>
      <c r="D37" s="22">
        <v>6</v>
      </c>
      <c r="E37" s="22">
        <v>6</v>
      </c>
      <c r="F37" s="22">
        <v>0</v>
      </c>
      <c r="G37" s="22">
        <v>0</v>
      </c>
      <c r="H37" s="44">
        <v>6</v>
      </c>
      <c r="I37" s="47">
        <v>1</v>
      </c>
      <c r="J37" s="44">
        <v>279</v>
      </c>
      <c r="K37" s="22">
        <v>4</v>
      </c>
      <c r="L37" s="22">
        <v>5</v>
      </c>
      <c r="M37" s="22">
        <v>0</v>
      </c>
      <c r="N37" s="44">
        <v>278</v>
      </c>
      <c r="O37" s="22">
        <v>1</v>
      </c>
      <c r="P37" s="22">
        <v>8</v>
      </c>
      <c r="Q37" s="22">
        <v>1</v>
      </c>
      <c r="R37" s="44">
        <v>10</v>
      </c>
      <c r="S37" s="22">
        <v>5</v>
      </c>
      <c r="T37" s="22">
        <v>19</v>
      </c>
      <c r="U37" s="44">
        <f t="shared" si="1"/>
        <v>24</v>
      </c>
      <c r="V37" s="22">
        <v>11</v>
      </c>
      <c r="W37" s="22">
        <v>8</v>
      </c>
      <c r="X37" s="22">
        <v>1</v>
      </c>
      <c r="Y37" s="48">
        <v>0.95860000000000001</v>
      </c>
      <c r="Z37" s="50">
        <v>0.99650000000000005</v>
      </c>
      <c r="AA37" s="47">
        <v>3.0000000000000001E-3</v>
      </c>
      <c r="AB37">
        <v>1821</v>
      </c>
      <c r="AC37">
        <v>528130</v>
      </c>
      <c r="AD37">
        <v>1.96</v>
      </c>
      <c r="AE37" s="40">
        <v>1674</v>
      </c>
      <c r="AF37" s="36">
        <v>1.81</v>
      </c>
    </row>
    <row r="38" spans="1:32" x14ac:dyDescent="0.25">
      <c r="A38" s="33">
        <v>44634</v>
      </c>
      <c r="B38" s="34">
        <v>290</v>
      </c>
      <c r="C38" s="22">
        <v>5</v>
      </c>
      <c r="D38" s="22">
        <v>5</v>
      </c>
      <c r="E38" s="22">
        <v>1</v>
      </c>
      <c r="F38" s="22">
        <v>1</v>
      </c>
      <c r="G38" s="22">
        <v>0</v>
      </c>
      <c r="H38" s="44">
        <v>0</v>
      </c>
      <c r="I38" s="47">
        <v>0.2</v>
      </c>
      <c r="J38" s="44">
        <v>278</v>
      </c>
      <c r="K38" s="22">
        <v>4</v>
      </c>
      <c r="L38" s="22">
        <v>2</v>
      </c>
      <c r="M38" s="22">
        <v>0</v>
      </c>
      <c r="N38" s="44">
        <v>280</v>
      </c>
      <c r="O38" s="22">
        <v>1</v>
      </c>
      <c r="P38" s="22">
        <v>4</v>
      </c>
      <c r="Q38" s="22">
        <v>3</v>
      </c>
      <c r="R38" s="44">
        <v>8</v>
      </c>
      <c r="S38" s="22">
        <v>5</v>
      </c>
      <c r="T38" s="22">
        <v>22</v>
      </c>
      <c r="U38" s="44">
        <f t="shared" si="1"/>
        <v>27</v>
      </c>
      <c r="V38" s="22">
        <v>14</v>
      </c>
      <c r="W38" s="22">
        <v>9</v>
      </c>
      <c r="X38" s="22">
        <v>2</v>
      </c>
      <c r="Y38" s="48">
        <v>0.96550000000000002</v>
      </c>
      <c r="Z38" s="50">
        <v>0.98959999999999992</v>
      </c>
      <c r="AA38" s="47">
        <v>0.01</v>
      </c>
      <c r="AB38">
        <v>1821</v>
      </c>
      <c r="AC38">
        <v>528130</v>
      </c>
      <c r="AD38">
        <v>1.96</v>
      </c>
      <c r="AE38" s="40">
        <v>1683.47</v>
      </c>
      <c r="AF38" s="36">
        <v>1.82</v>
      </c>
    </row>
    <row r="39" spans="1:32" x14ac:dyDescent="0.25">
      <c r="A39" s="33">
        <v>44641</v>
      </c>
      <c r="B39" s="34">
        <v>290</v>
      </c>
      <c r="C39" s="22">
        <v>5</v>
      </c>
      <c r="D39" s="22">
        <v>5</v>
      </c>
      <c r="E39" s="22">
        <v>2</v>
      </c>
      <c r="F39" s="22">
        <v>0</v>
      </c>
      <c r="G39" s="22">
        <v>2</v>
      </c>
      <c r="H39" s="44">
        <v>0</v>
      </c>
      <c r="I39" s="47">
        <v>0.35</v>
      </c>
      <c r="J39" s="44">
        <v>280</v>
      </c>
      <c r="K39" s="22">
        <v>2</v>
      </c>
      <c r="L39" s="22">
        <v>4</v>
      </c>
      <c r="M39" s="22">
        <v>0</v>
      </c>
      <c r="N39" s="44">
        <f>J39+K39-L39</f>
        <v>278</v>
      </c>
      <c r="O39" s="22">
        <v>1</v>
      </c>
      <c r="P39" s="22">
        <v>6</v>
      </c>
      <c r="Q39" s="22">
        <v>3</v>
      </c>
      <c r="R39" s="44">
        <f>O39+P39+Q39</f>
        <v>10</v>
      </c>
      <c r="S39" s="22">
        <v>3</v>
      </c>
      <c r="T39" s="22">
        <v>22</v>
      </c>
      <c r="U39" s="44">
        <f t="shared" si="1"/>
        <v>25</v>
      </c>
      <c r="V39" s="22">
        <v>17</v>
      </c>
      <c r="W39" s="22">
        <v>9</v>
      </c>
      <c r="X39" s="22">
        <v>2</v>
      </c>
      <c r="Y39" s="48">
        <v>0.95169999999999999</v>
      </c>
      <c r="Z39" s="50">
        <v>0.97930000000000006</v>
      </c>
      <c r="AA39" s="47">
        <v>2.1000000000000001E-2</v>
      </c>
      <c r="AB39">
        <v>1821</v>
      </c>
      <c r="AC39">
        <v>528130</v>
      </c>
      <c r="AD39">
        <v>1.96</v>
      </c>
      <c r="AE39" s="40">
        <v>1689.91</v>
      </c>
      <c r="AF39" s="36">
        <v>1.83</v>
      </c>
    </row>
    <row r="40" spans="1:32" x14ac:dyDescent="0.25">
      <c r="A40" s="33">
        <v>44649</v>
      </c>
      <c r="B40" s="34">
        <v>290</v>
      </c>
      <c r="C40" s="22">
        <v>3</v>
      </c>
      <c r="D40" s="22">
        <v>3</v>
      </c>
      <c r="E40" s="22">
        <v>1</v>
      </c>
      <c r="F40" s="22">
        <v>1</v>
      </c>
      <c r="G40" s="22">
        <v>0</v>
      </c>
      <c r="H40" s="44">
        <v>0</v>
      </c>
      <c r="I40" s="47">
        <v>0.33299999999999996</v>
      </c>
      <c r="J40" s="44">
        <f>N39</f>
        <v>278</v>
      </c>
      <c r="K40" s="22">
        <v>3</v>
      </c>
      <c r="L40" s="22">
        <v>3</v>
      </c>
      <c r="M40" s="22">
        <v>0</v>
      </c>
      <c r="N40" s="44">
        <f t="shared" ref="N40:N103" si="3">J40+K40-L40</f>
        <v>278</v>
      </c>
      <c r="O40" s="22">
        <v>1</v>
      </c>
      <c r="P40" s="22">
        <v>2</v>
      </c>
      <c r="Q40" s="22">
        <v>10</v>
      </c>
      <c r="R40" s="44">
        <f t="shared" ref="R40:R103" si="4">O40+P40+Q40</f>
        <v>13</v>
      </c>
      <c r="S40" s="22">
        <v>4</v>
      </c>
      <c r="T40" s="22">
        <v>25</v>
      </c>
      <c r="U40" s="44">
        <f t="shared" si="1"/>
        <v>29</v>
      </c>
      <c r="V40" s="22">
        <v>25</v>
      </c>
      <c r="W40" s="22">
        <v>18</v>
      </c>
      <c r="X40" s="22">
        <v>1</v>
      </c>
      <c r="Y40" s="48">
        <v>0.95519999999999994</v>
      </c>
      <c r="Z40" s="50">
        <v>0.96209999999999996</v>
      </c>
      <c r="AA40" s="47">
        <v>0.1207</v>
      </c>
      <c r="AB40">
        <v>1821</v>
      </c>
      <c r="AC40">
        <v>528130</v>
      </c>
      <c r="AD40">
        <v>1.96</v>
      </c>
      <c r="AE40" s="40">
        <v>1695.92</v>
      </c>
      <c r="AF40" s="36">
        <v>1.83</v>
      </c>
    </row>
    <row r="41" spans="1:32" x14ac:dyDescent="0.25">
      <c r="A41" s="33">
        <v>44656</v>
      </c>
      <c r="B41" s="34">
        <v>290</v>
      </c>
      <c r="C41" s="22">
        <v>4</v>
      </c>
      <c r="D41" s="22">
        <v>4</v>
      </c>
      <c r="E41" s="22">
        <v>2</v>
      </c>
      <c r="F41" s="22">
        <v>0</v>
      </c>
      <c r="G41" s="22">
        <v>0</v>
      </c>
      <c r="H41" s="44">
        <v>2</v>
      </c>
      <c r="I41" s="47">
        <v>0.5</v>
      </c>
      <c r="J41" s="44">
        <f t="shared" ref="J41:J99" si="5">N40</f>
        <v>278</v>
      </c>
      <c r="K41" s="22">
        <v>1</v>
      </c>
      <c r="L41" s="22">
        <v>2</v>
      </c>
      <c r="M41" s="22">
        <v>0</v>
      </c>
      <c r="N41" s="44">
        <f t="shared" si="3"/>
        <v>277</v>
      </c>
      <c r="O41" s="22">
        <v>1</v>
      </c>
      <c r="P41" s="22">
        <v>4</v>
      </c>
      <c r="Q41" s="22">
        <v>10</v>
      </c>
      <c r="R41" s="44">
        <f t="shared" si="4"/>
        <v>15</v>
      </c>
      <c r="S41" s="22">
        <v>3</v>
      </c>
      <c r="T41" s="22">
        <v>26</v>
      </c>
      <c r="U41" s="44">
        <f t="shared" si="1"/>
        <v>29</v>
      </c>
      <c r="V41" s="22">
        <v>25</v>
      </c>
      <c r="W41" s="22">
        <v>9</v>
      </c>
      <c r="X41" s="22">
        <v>2</v>
      </c>
      <c r="Y41" s="48">
        <v>0.95169999999999999</v>
      </c>
      <c r="Z41" s="50">
        <v>0.96550000000000002</v>
      </c>
      <c r="AA41" s="47">
        <v>0.1242</v>
      </c>
      <c r="AB41">
        <v>1821</v>
      </c>
      <c r="AC41">
        <v>528130</v>
      </c>
      <c r="AD41">
        <v>1.96</v>
      </c>
      <c r="AE41" s="40">
        <v>1694.39</v>
      </c>
      <c r="AF41" s="36">
        <v>1.83</v>
      </c>
    </row>
    <row r="42" spans="1:32" x14ac:dyDescent="0.25">
      <c r="A42" s="33">
        <v>44662</v>
      </c>
      <c r="B42" s="34">
        <v>290</v>
      </c>
      <c r="C42" s="22">
        <v>5</v>
      </c>
      <c r="D42" s="22">
        <v>5</v>
      </c>
      <c r="E42" s="22">
        <v>4</v>
      </c>
      <c r="F42" s="22">
        <v>0</v>
      </c>
      <c r="G42" s="22">
        <v>1</v>
      </c>
      <c r="H42" s="44">
        <v>3</v>
      </c>
      <c r="I42" s="47">
        <v>1.2</v>
      </c>
      <c r="J42" s="44">
        <f t="shared" si="5"/>
        <v>277</v>
      </c>
      <c r="K42" s="22">
        <v>1</v>
      </c>
      <c r="L42" s="22">
        <v>3</v>
      </c>
      <c r="M42" s="22">
        <v>0</v>
      </c>
      <c r="N42" s="44">
        <f t="shared" si="3"/>
        <v>275</v>
      </c>
      <c r="O42" s="22">
        <v>1</v>
      </c>
      <c r="P42" s="22">
        <v>6</v>
      </c>
      <c r="Q42" s="22">
        <v>10</v>
      </c>
      <c r="R42" s="44">
        <f t="shared" si="4"/>
        <v>17</v>
      </c>
      <c r="S42" s="22">
        <v>5</v>
      </c>
      <c r="T42" s="22">
        <v>28</v>
      </c>
      <c r="U42" s="44">
        <f t="shared" si="1"/>
        <v>33</v>
      </c>
      <c r="V42" s="22">
        <v>25</v>
      </c>
      <c r="W42" s="22">
        <v>9</v>
      </c>
      <c r="X42" s="22">
        <v>4</v>
      </c>
      <c r="Y42" s="48">
        <v>0.94480000000000008</v>
      </c>
      <c r="Z42" s="50">
        <v>0.96550000000000002</v>
      </c>
      <c r="AA42" s="47">
        <v>0.13109999999999999</v>
      </c>
      <c r="AB42">
        <v>1821</v>
      </c>
      <c r="AC42">
        <v>528130</v>
      </c>
      <c r="AD42">
        <v>1.96</v>
      </c>
      <c r="AE42" s="40">
        <v>1701.71</v>
      </c>
      <c r="AF42" s="36">
        <v>1.84</v>
      </c>
    </row>
    <row r="43" spans="1:32" x14ac:dyDescent="0.25">
      <c r="A43" s="33">
        <v>44669</v>
      </c>
      <c r="B43" s="34">
        <v>290</v>
      </c>
      <c r="C43" s="22">
        <v>5</v>
      </c>
      <c r="D43" s="22">
        <v>5</v>
      </c>
      <c r="E43" s="22">
        <v>3</v>
      </c>
      <c r="F43" s="22">
        <v>0</v>
      </c>
      <c r="G43" s="22">
        <v>0</v>
      </c>
      <c r="H43" s="44">
        <f>E43-F43-G43</f>
        <v>3</v>
      </c>
      <c r="I43" s="47">
        <f>H43/D43</f>
        <v>0.6</v>
      </c>
      <c r="J43" s="44">
        <f t="shared" si="5"/>
        <v>275</v>
      </c>
      <c r="K43" s="22">
        <v>3</v>
      </c>
      <c r="L43" s="22">
        <v>0</v>
      </c>
      <c r="M43" s="22">
        <v>0</v>
      </c>
      <c r="N43" s="44">
        <f t="shared" si="3"/>
        <v>278</v>
      </c>
      <c r="O43" s="22">
        <v>1</v>
      </c>
      <c r="P43" s="22">
        <v>3</v>
      </c>
      <c r="Q43" s="22">
        <v>10</v>
      </c>
      <c r="R43" s="44">
        <f t="shared" si="4"/>
        <v>14</v>
      </c>
      <c r="S43" s="22">
        <v>8</v>
      </c>
      <c r="T43" s="22">
        <v>35</v>
      </c>
      <c r="U43" s="44">
        <f t="shared" si="1"/>
        <v>43</v>
      </c>
      <c r="V43" s="22">
        <v>30</v>
      </c>
      <c r="W43" s="22">
        <v>11</v>
      </c>
      <c r="X43" s="22">
        <v>4</v>
      </c>
      <c r="Y43" s="48">
        <v>0.95510000000000006</v>
      </c>
      <c r="Z43" s="50">
        <v>0.96550000000000002</v>
      </c>
      <c r="AA43" s="47">
        <v>0.1552</v>
      </c>
      <c r="AB43">
        <v>1821</v>
      </c>
      <c r="AC43">
        <v>528130</v>
      </c>
      <c r="AD43">
        <v>1.96</v>
      </c>
      <c r="AE43" s="40">
        <v>1721.28</v>
      </c>
      <c r="AF43" s="36">
        <v>1.85</v>
      </c>
    </row>
    <row r="44" spans="1:32" x14ac:dyDescent="0.25">
      <c r="A44" s="33">
        <v>44676</v>
      </c>
      <c r="B44" s="34">
        <v>290</v>
      </c>
      <c r="C44" s="22">
        <v>5</v>
      </c>
      <c r="D44" s="22">
        <v>5</v>
      </c>
      <c r="E44" s="22">
        <v>2</v>
      </c>
      <c r="F44" s="22">
        <v>0</v>
      </c>
      <c r="G44" s="22">
        <v>0</v>
      </c>
      <c r="H44" s="44">
        <f>E44-F44-G44</f>
        <v>2</v>
      </c>
      <c r="I44" s="47">
        <f>H44/D44</f>
        <v>0.4</v>
      </c>
      <c r="J44" s="44">
        <f t="shared" si="5"/>
        <v>278</v>
      </c>
      <c r="K44" s="22">
        <v>3</v>
      </c>
      <c r="L44" s="22">
        <v>3</v>
      </c>
      <c r="M44" s="22">
        <v>0</v>
      </c>
      <c r="N44" s="44">
        <f t="shared" si="3"/>
        <v>278</v>
      </c>
      <c r="O44" s="22">
        <v>1</v>
      </c>
      <c r="P44" s="22">
        <v>0</v>
      </c>
      <c r="Q44" s="22">
        <v>13</v>
      </c>
      <c r="R44" s="44">
        <f t="shared" si="4"/>
        <v>14</v>
      </c>
      <c r="S44" s="22">
        <v>10</v>
      </c>
      <c r="T44" s="22">
        <v>37</v>
      </c>
      <c r="U44" s="44">
        <f t="shared" si="1"/>
        <v>47</v>
      </c>
      <c r="V44" s="22">
        <v>31</v>
      </c>
      <c r="W44" s="22">
        <v>14</v>
      </c>
      <c r="X44" s="22">
        <v>5</v>
      </c>
      <c r="Y44" s="48">
        <v>0.95509999999999995</v>
      </c>
      <c r="Z44" s="48">
        <v>0.95509999999999995</v>
      </c>
      <c r="AA44" s="47">
        <v>0.17</v>
      </c>
      <c r="AB44">
        <v>1821</v>
      </c>
      <c r="AC44">
        <v>528130</v>
      </c>
      <c r="AD44">
        <v>1.96</v>
      </c>
      <c r="AE44" s="40">
        <v>1731.56</v>
      </c>
      <c r="AF44" s="36">
        <v>1.86</v>
      </c>
    </row>
    <row r="45" spans="1:32" x14ac:dyDescent="0.25">
      <c r="A45" s="33">
        <v>44683</v>
      </c>
      <c r="B45" s="34">
        <v>290</v>
      </c>
      <c r="C45" s="22">
        <v>4</v>
      </c>
      <c r="D45" s="22">
        <v>4</v>
      </c>
      <c r="E45" s="22">
        <v>4</v>
      </c>
      <c r="F45" s="22">
        <v>0</v>
      </c>
      <c r="G45" s="22">
        <v>0</v>
      </c>
      <c r="H45" s="44">
        <f t="shared" ref="H45:H99" si="6">E45-F45-G45</f>
        <v>4</v>
      </c>
      <c r="I45" s="47">
        <f>H45/D45</f>
        <v>1</v>
      </c>
      <c r="J45" s="44">
        <f t="shared" si="5"/>
        <v>278</v>
      </c>
      <c r="K45" s="22">
        <v>1</v>
      </c>
      <c r="L45" s="22">
        <v>3</v>
      </c>
      <c r="M45" s="22">
        <v>0</v>
      </c>
      <c r="N45" s="44">
        <f t="shared" si="3"/>
        <v>276</v>
      </c>
      <c r="O45" s="22">
        <v>1</v>
      </c>
      <c r="P45" s="22">
        <v>0</v>
      </c>
      <c r="Q45" s="22">
        <v>15</v>
      </c>
      <c r="R45" s="44">
        <f t="shared" si="4"/>
        <v>16</v>
      </c>
      <c r="S45" s="22">
        <v>14</v>
      </c>
      <c r="T45" s="22">
        <v>32</v>
      </c>
      <c r="U45" s="44">
        <f t="shared" si="1"/>
        <v>46</v>
      </c>
      <c r="V45" s="22">
        <v>30</v>
      </c>
      <c r="W45" s="22">
        <v>15</v>
      </c>
      <c r="X45" s="22">
        <v>2</v>
      </c>
      <c r="Y45" s="48">
        <v>0.94819999999999993</v>
      </c>
      <c r="Z45" s="50">
        <v>0.94819999999999993</v>
      </c>
      <c r="AA45" s="47">
        <v>0.16200000000000001</v>
      </c>
      <c r="AB45">
        <v>1821</v>
      </c>
      <c r="AC45">
        <v>528130</v>
      </c>
      <c r="AD45">
        <v>1.96</v>
      </c>
      <c r="AE45" s="40">
        <v>1734</v>
      </c>
      <c r="AF45" s="36">
        <v>1.87</v>
      </c>
    </row>
    <row r="46" spans="1:32" x14ac:dyDescent="0.25">
      <c r="A46" s="33">
        <v>44690</v>
      </c>
      <c r="B46" s="34">
        <v>290</v>
      </c>
      <c r="C46" s="22">
        <v>19</v>
      </c>
      <c r="D46" s="22">
        <v>19</v>
      </c>
      <c r="E46" s="22">
        <v>5</v>
      </c>
      <c r="F46" s="22">
        <v>0</v>
      </c>
      <c r="G46" s="22">
        <v>1</v>
      </c>
      <c r="H46" s="44">
        <f t="shared" si="6"/>
        <v>4</v>
      </c>
      <c r="I46" s="47">
        <f t="shared" ref="I46:I99" si="7">H46/D46</f>
        <v>0.21052631578947367</v>
      </c>
      <c r="J46" s="44">
        <f t="shared" si="5"/>
        <v>276</v>
      </c>
      <c r="K46" s="22">
        <v>0</v>
      </c>
      <c r="L46" s="22">
        <v>5</v>
      </c>
      <c r="M46" s="22">
        <v>0</v>
      </c>
      <c r="N46" s="44">
        <f t="shared" si="3"/>
        <v>271</v>
      </c>
      <c r="O46" s="22">
        <v>1</v>
      </c>
      <c r="P46" s="22">
        <v>6</v>
      </c>
      <c r="Q46" s="22">
        <v>14</v>
      </c>
      <c r="R46" s="44">
        <f t="shared" si="4"/>
        <v>21</v>
      </c>
      <c r="S46" s="22">
        <v>11</v>
      </c>
      <c r="T46" s="22">
        <v>36</v>
      </c>
      <c r="U46" s="44">
        <f t="shared" si="1"/>
        <v>47</v>
      </c>
      <c r="V46" s="22">
        <v>32</v>
      </c>
      <c r="W46" s="22">
        <v>16</v>
      </c>
      <c r="X46" s="22">
        <v>2</v>
      </c>
      <c r="Y46" s="48">
        <v>0.92749999999999999</v>
      </c>
      <c r="Z46" s="50">
        <v>0.95199999999999996</v>
      </c>
      <c r="AA46" s="47">
        <v>0.17</v>
      </c>
      <c r="AB46">
        <v>1821</v>
      </c>
      <c r="AC46">
        <v>528130</v>
      </c>
      <c r="AD46">
        <v>1.96</v>
      </c>
      <c r="AE46" s="40">
        <v>1726.73</v>
      </c>
      <c r="AF46" s="36">
        <v>1.87</v>
      </c>
    </row>
    <row r="47" spans="1:32" x14ac:dyDescent="0.25">
      <c r="A47" s="33">
        <v>44697</v>
      </c>
      <c r="B47" s="34">
        <v>290</v>
      </c>
      <c r="C47" s="22">
        <v>19</v>
      </c>
      <c r="D47" s="22">
        <v>19</v>
      </c>
      <c r="E47" s="22">
        <v>6</v>
      </c>
      <c r="F47" s="22">
        <v>1</v>
      </c>
      <c r="G47" s="22">
        <v>1</v>
      </c>
      <c r="H47" s="44">
        <f t="shared" si="6"/>
        <v>4</v>
      </c>
      <c r="I47" s="47">
        <f t="shared" si="7"/>
        <v>0.21052631578947367</v>
      </c>
      <c r="J47" s="44">
        <f t="shared" si="5"/>
        <v>271</v>
      </c>
      <c r="K47" s="22">
        <v>2</v>
      </c>
      <c r="L47" s="22">
        <v>4</v>
      </c>
      <c r="M47" s="22">
        <v>0</v>
      </c>
      <c r="N47" s="44">
        <f t="shared" si="3"/>
        <v>269</v>
      </c>
      <c r="O47" s="22">
        <v>1</v>
      </c>
      <c r="P47" s="22">
        <v>8</v>
      </c>
      <c r="Q47" s="22">
        <v>14</v>
      </c>
      <c r="R47" s="44">
        <f t="shared" si="4"/>
        <v>23</v>
      </c>
      <c r="S47" s="22">
        <v>13</v>
      </c>
      <c r="T47" s="22">
        <v>35</v>
      </c>
      <c r="U47" s="44">
        <f t="shared" si="1"/>
        <v>48</v>
      </c>
      <c r="V47" s="22">
        <v>35</v>
      </c>
      <c r="W47" s="22">
        <v>14</v>
      </c>
      <c r="X47" s="22">
        <v>0</v>
      </c>
      <c r="Y47" s="48">
        <v>0.92059999999999997</v>
      </c>
      <c r="Z47" s="50">
        <v>0.95200000000000007</v>
      </c>
      <c r="AA47" s="47">
        <v>0.18</v>
      </c>
      <c r="AB47">
        <v>1821</v>
      </c>
      <c r="AC47">
        <v>528130</v>
      </c>
      <c r="AD47">
        <v>1.96</v>
      </c>
      <c r="AE47" s="40">
        <v>1727</v>
      </c>
      <c r="AF47" s="36">
        <v>1.86</v>
      </c>
    </row>
    <row r="48" spans="1:32" x14ac:dyDescent="0.25">
      <c r="A48" s="33">
        <v>44705</v>
      </c>
      <c r="B48" s="34">
        <v>290</v>
      </c>
      <c r="C48" s="22">
        <v>21</v>
      </c>
      <c r="D48" s="22">
        <v>21</v>
      </c>
      <c r="E48" s="22">
        <v>12</v>
      </c>
      <c r="F48" s="22">
        <v>1</v>
      </c>
      <c r="G48" s="22">
        <v>0</v>
      </c>
      <c r="H48" s="44">
        <f t="shared" si="6"/>
        <v>11</v>
      </c>
      <c r="I48" s="47">
        <f t="shared" si="7"/>
        <v>0.52380952380952384</v>
      </c>
      <c r="J48" s="44">
        <f t="shared" si="5"/>
        <v>269</v>
      </c>
      <c r="K48" s="22">
        <v>6</v>
      </c>
      <c r="L48" s="22">
        <v>6</v>
      </c>
      <c r="M48" s="22">
        <v>0</v>
      </c>
      <c r="N48" s="44">
        <f t="shared" si="3"/>
        <v>269</v>
      </c>
      <c r="O48" s="22">
        <v>1</v>
      </c>
      <c r="P48" s="22">
        <v>12</v>
      </c>
      <c r="Q48" s="22">
        <v>9</v>
      </c>
      <c r="R48" s="44">
        <f t="shared" si="4"/>
        <v>22</v>
      </c>
      <c r="S48" s="22">
        <v>17</v>
      </c>
      <c r="T48" s="22">
        <v>35</v>
      </c>
      <c r="U48" s="44">
        <f t="shared" si="1"/>
        <v>52</v>
      </c>
      <c r="V48" s="22">
        <v>28</v>
      </c>
      <c r="W48" s="22">
        <v>7</v>
      </c>
      <c r="X48" s="22">
        <v>0</v>
      </c>
      <c r="Y48" s="48">
        <v>0.92409999999999992</v>
      </c>
      <c r="Z48" s="50">
        <v>0.96889999999999998</v>
      </c>
      <c r="AA48" s="47">
        <v>0.16</v>
      </c>
      <c r="AB48">
        <v>1821</v>
      </c>
      <c r="AC48">
        <v>528130</v>
      </c>
      <c r="AD48">
        <v>1.96</v>
      </c>
      <c r="AE48" s="40">
        <v>1731.18</v>
      </c>
      <c r="AF48" s="36">
        <v>1.87</v>
      </c>
    </row>
    <row r="49" spans="1:32" x14ac:dyDescent="0.25">
      <c r="A49" s="33">
        <v>44711</v>
      </c>
      <c r="B49" s="34">
        <v>290</v>
      </c>
      <c r="C49" s="22">
        <v>5</v>
      </c>
      <c r="D49" s="22">
        <v>5</v>
      </c>
      <c r="E49" s="22">
        <v>1</v>
      </c>
      <c r="F49" s="22">
        <v>0</v>
      </c>
      <c r="G49" s="22">
        <v>1</v>
      </c>
      <c r="H49" s="44">
        <f t="shared" si="6"/>
        <v>0</v>
      </c>
      <c r="I49" s="47">
        <f t="shared" si="7"/>
        <v>0</v>
      </c>
      <c r="J49" s="44">
        <f t="shared" si="5"/>
        <v>269</v>
      </c>
      <c r="K49" s="22">
        <v>1</v>
      </c>
      <c r="L49" s="22">
        <v>0</v>
      </c>
      <c r="M49" s="22">
        <v>0</v>
      </c>
      <c r="N49" s="44">
        <f t="shared" si="3"/>
        <v>270</v>
      </c>
      <c r="O49" s="22">
        <v>1</v>
      </c>
      <c r="P49" s="22">
        <v>10</v>
      </c>
      <c r="Q49" s="22">
        <v>13</v>
      </c>
      <c r="R49" s="44">
        <f t="shared" si="4"/>
        <v>24</v>
      </c>
      <c r="S49" s="22">
        <v>17</v>
      </c>
      <c r="T49" s="22">
        <v>34</v>
      </c>
      <c r="U49" s="44">
        <f t="shared" si="1"/>
        <v>51</v>
      </c>
      <c r="V49" s="22">
        <v>38</v>
      </c>
      <c r="W49" s="22">
        <v>9</v>
      </c>
      <c r="X49" s="22">
        <v>0</v>
      </c>
      <c r="Y49" s="48">
        <v>0.91720000000000002</v>
      </c>
      <c r="Z49" s="50">
        <v>0.95510000000000006</v>
      </c>
      <c r="AA49" s="47">
        <v>0.16899999999999998</v>
      </c>
      <c r="AB49">
        <v>1821</v>
      </c>
      <c r="AC49">
        <v>528130</v>
      </c>
      <c r="AD49">
        <v>1.96</v>
      </c>
      <c r="AE49" s="40">
        <v>1726.73</v>
      </c>
      <c r="AF49" s="36">
        <v>1.87</v>
      </c>
    </row>
    <row r="50" spans="1:32" x14ac:dyDescent="0.25">
      <c r="A50" s="33">
        <v>44718</v>
      </c>
      <c r="B50" s="34">
        <v>290</v>
      </c>
      <c r="C50" s="22">
        <v>28</v>
      </c>
      <c r="D50" s="22">
        <v>28</v>
      </c>
      <c r="E50" s="22">
        <v>15</v>
      </c>
      <c r="F50" s="22">
        <v>3</v>
      </c>
      <c r="G50" s="22">
        <v>3</v>
      </c>
      <c r="H50" s="44">
        <f t="shared" si="6"/>
        <v>9</v>
      </c>
      <c r="I50" s="47">
        <f t="shared" si="7"/>
        <v>0.32142857142857145</v>
      </c>
      <c r="J50" s="44">
        <f t="shared" si="5"/>
        <v>270</v>
      </c>
      <c r="K50" s="22">
        <v>4</v>
      </c>
      <c r="L50" s="22">
        <v>9</v>
      </c>
      <c r="M50" s="22">
        <v>0</v>
      </c>
      <c r="N50" s="44">
        <f t="shared" si="3"/>
        <v>265</v>
      </c>
      <c r="O50" s="22">
        <v>1</v>
      </c>
      <c r="P50" s="22">
        <v>14</v>
      </c>
      <c r="Q50" s="22">
        <v>12</v>
      </c>
      <c r="R50" s="44">
        <f t="shared" si="4"/>
        <v>27</v>
      </c>
      <c r="S50" s="22">
        <v>16</v>
      </c>
      <c r="T50" s="22">
        <v>33</v>
      </c>
      <c r="U50" s="44">
        <f t="shared" si="1"/>
        <v>49</v>
      </c>
      <c r="V50" s="22">
        <v>38</v>
      </c>
      <c r="W50" s="22">
        <v>7</v>
      </c>
      <c r="X50" s="22">
        <v>0</v>
      </c>
      <c r="Y50" s="48">
        <v>0.90680000000000005</v>
      </c>
      <c r="Z50" s="50">
        <v>0.95860000000000001</v>
      </c>
      <c r="AA50" s="47">
        <v>0.18</v>
      </c>
      <c r="AB50">
        <v>1821</v>
      </c>
      <c r="AC50">
        <v>528130</v>
      </c>
      <c r="AD50">
        <v>1.96</v>
      </c>
      <c r="AE50" s="40">
        <v>1767.23</v>
      </c>
      <c r="AF50" s="36">
        <v>1.91</v>
      </c>
    </row>
    <row r="51" spans="1:32" x14ac:dyDescent="0.25">
      <c r="A51" s="33">
        <v>44725</v>
      </c>
      <c r="B51" s="34">
        <v>290</v>
      </c>
      <c r="C51" s="22">
        <v>23</v>
      </c>
      <c r="D51" s="22">
        <v>23</v>
      </c>
      <c r="E51" s="22">
        <v>15</v>
      </c>
      <c r="F51" s="22">
        <v>5</v>
      </c>
      <c r="G51" s="22">
        <v>1</v>
      </c>
      <c r="H51" s="44">
        <f t="shared" si="6"/>
        <v>9</v>
      </c>
      <c r="I51" s="47">
        <f t="shared" si="7"/>
        <v>0.39130434782608697</v>
      </c>
      <c r="J51" s="44">
        <f t="shared" si="5"/>
        <v>265</v>
      </c>
      <c r="K51" s="22">
        <v>4</v>
      </c>
      <c r="L51" s="22">
        <v>4</v>
      </c>
      <c r="M51" s="22">
        <v>0</v>
      </c>
      <c r="N51" s="44">
        <f t="shared" si="3"/>
        <v>265</v>
      </c>
      <c r="O51" s="22">
        <v>1</v>
      </c>
      <c r="P51" s="22">
        <v>16</v>
      </c>
      <c r="Q51" s="22">
        <v>10</v>
      </c>
      <c r="R51" s="44">
        <f t="shared" si="4"/>
        <v>27</v>
      </c>
      <c r="S51" s="22">
        <v>19</v>
      </c>
      <c r="T51" s="22">
        <v>29</v>
      </c>
      <c r="U51" s="44">
        <f t="shared" si="1"/>
        <v>48</v>
      </c>
      <c r="V51" s="22">
        <v>35</v>
      </c>
      <c r="W51" s="22">
        <v>4</v>
      </c>
      <c r="X51" s="22">
        <v>0</v>
      </c>
      <c r="Y51" s="48">
        <v>0.90680000000000005</v>
      </c>
      <c r="Z51" s="50">
        <v>0.96550000000000002</v>
      </c>
      <c r="AA51" s="47">
        <v>0.18</v>
      </c>
      <c r="AB51">
        <v>1821</v>
      </c>
      <c r="AC51">
        <v>528130</v>
      </c>
      <c r="AD51">
        <v>1.96</v>
      </c>
      <c r="AE51" s="40">
        <v>1769.15</v>
      </c>
      <c r="AF51" s="36">
        <v>1.92</v>
      </c>
    </row>
    <row r="52" spans="1:32" x14ac:dyDescent="0.25">
      <c r="A52" s="33">
        <v>44732</v>
      </c>
      <c r="B52" s="34">
        <v>290</v>
      </c>
      <c r="C52" s="22">
        <v>26</v>
      </c>
      <c r="D52" s="22">
        <v>26</v>
      </c>
      <c r="E52" s="22">
        <v>14</v>
      </c>
      <c r="F52" s="22">
        <v>2</v>
      </c>
      <c r="G52" s="22">
        <v>2</v>
      </c>
      <c r="H52" s="44">
        <f t="shared" si="6"/>
        <v>10</v>
      </c>
      <c r="I52" s="47">
        <f t="shared" si="7"/>
        <v>0.38461538461538464</v>
      </c>
      <c r="J52" s="44">
        <f t="shared" si="5"/>
        <v>265</v>
      </c>
      <c r="K52" s="22">
        <v>6</v>
      </c>
      <c r="L52" s="22">
        <v>7</v>
      </c>
      <c r="M52" s="22">
        <v>0</v>
      </c>
      <c r="N52" s="44">
        <f t="shared" si="3"/>
        <v>264</v>
      </c>
      <c r="O52" s="22">
        <v>1</v>
      </c>
      <c r="P52" s="22">
        <v>20</v>
      </c>
      <c r="Q52" s="22">
        <v>7</v>
      </c>
      <c r="R52" s="44">
        <f t="shared" si="4"/>
        <v>28</v>
      </c>
      <c r="S52" s="22">
        <v>18</v>
      </c>
      <c r="T52" s="22">
        <v>26</v>
      </c>
      <c r="U52" s="44">
        <f t="shared" si="1"/>
        <v>44</v>
      </c>
      <c r="V52" s="22">
        <v>29</v>
      </c>
      <c r="W52" s="22">
        <v>3</v>
      </c>
      <c r="X52" s="22">
        <v>0</v>
      </c>
      <c r="Y52" s="48">
        <v>0.90339999999999998</v>
      </c>
      <c r="Z52" s="50">
        <v>0.9758</v>
      </c>
      <c r="AA52" s="47">
        <v>0.17</v>
      </c>
      <c r="AB52">
        <v>1821</v>
      </c>
      <c r="AC52">
        <v>528130</v>
      </c>
      <c r="AD52">
        <v>1.96</v>
      </c>
      <c r="AE52" s="40">
        <v>1785.18</v>
      </c>
      <c r="AF52" s="36">
        <v>1.92</v>
      </c>
    </row>
    <row r="53" spans="1:32" x14ac:dyDescent="0.25">
      <c r="A53" s="33">
        <v>44739</v>
      </c>
      <c r="B53" s="34">
        <v>290</v>
      </c>
      <c r="C53" s="22">
        <v>9</v>
      </c>
      <c r="D53" s="22">
        <v>9</v>
      </c>
      <c r="E53" s="22">
        <v>23</v>
      </c>
      <c r="F53" s="22">
        <v>3</v>
      </c>
      <c r="G53" s="22">
        <v>0</v>
      </c>
      <c r="H53" s="44">
        <f t="shared" si="6"/>
        <v>20</v>
      </c>
      <c r="I53" s="47">
        <f t="shared" si="7"/>
        <v>2.2222222222222223</v>
      </c>
      <c r="J53" s="44">
        <f t="shared" si="5"/>
        <v>264</v>
      </c>
      <c r="K53" s="22">
        <v>9</v>
      </c>
      <c r="L53" s="22">
        <v>9</v>
      </c>
      <c r="M53" s="22">
        <v>0</v>
      </c>
      <c r="N53" s="44">
        <f t="shared" si="3"/>
        <v>264</v>
      </c>
      <c r="O53" s="22">
        <v>1</v>
      </c>
      <c r="P53" s="22">
        <v>24</v>
      </c>
      <c r="Q53" s="22">
        <v>2</v>
      </c>
      <c r="R53" s="44">
        <f t="shared" si="4"/>
        <v>27</v>
      </c>
      <c r="S53" s="22">
        <v>24</v>
      </c>
      <c r="T53" s="22">
        <v>12</v>
      </c>
      <c r="U53" s="44">
        <f t="shared" si="1"/>
        <v>36</v>
      </c>
      <c r="V53" s="22">
        <v>9</v>
      </c>
      <c r="W53" s="22">
        <v>5</v>
      </c>
      <c r="X53" s="22">
        <v>0</v>
      </c>
      <c r="Y53" s="48">
        <v>0.90680000000000005</v>
      </c>
      <c r="Z53" s="50">
        <v>0.99309999999999998</v>
      </c>
      <c r="AA53" s="47">
        <v>0.05</v>
      </c>
      <c r="AB53">
        <v>1821</v>
      </c>
      <c r="AC53">
        <v>528130</v>
      </c>
      <c r="AD53">
        <v>1.96</v>
      </c>
      <c r="AE53" s="40">
        <v>1793.11</v>
      </c>
      <c r="AF53" s="36">
        <v>1.93</v>
      </c>
    </row>
    <row r="54" spans="1:32" x14ac:dyDescent="0.25">
      <c r="A54" s="33">
        <v>44746</v>
      </c>
      <c r="B54" s="34">
        <v>290</v>
      </c>
      <c r="C54" s="22">
        <v>4</v>
      </c>
      <c r="D54" s="22">
        <v>4</v>
      </c>
      <c r="E54" s="22">
        <v>14</v>
      </c>
      <c r="F54" s="22">
        <v>7</v>
      </c>
      <c r="G54" s="22">
        <v>1</v>
      </c>
      <c r="H54" s="44">
        <f t="shared" si="6"/>
        <v>6</v>
      </c>
      <c r="I54" s="47">
        <f t="shared" si="7"/>
        <v>1.5</v>
      </c>
      <c r="J54" s="44">
        <f t="shared" si="5"/>
        <v>264</v>
      </c>
      <c r="K54" s="22">
        <v>11</v>
      </c>
      <c r="L54" s="22">
        <v>9</v>
      </c>
      <c r="M54" s="22">
        <v>0</v>
      </c>
      <c r="N54" s="44">
        <f t="shared" si="3"/>
        <v>266</v>
      </c>
      <c r="O54" s="22">
        <v>1</v>
      </c>
      <c r="P54" s="22">
        <v>22</v>
      </c>
      <c r="Q54" s="22">
        <v>2</v>
      </c>
      <c r="R54" s="44">
        <f t="shared" si="4"/>
        <v>25</v>
      </c>
      <c r="S54" s="22">
        <v>22</v>
      </c>
      <c r="T54" s="22">
        <v>5</v>
      </c>
      <c r="U54" s="44">
        <f t="shared" si="1"/>
        <v>27</v>
      </c>
      <c r="V54" s="22">
        <v>4</v>
      </c>
      <c r="W54" s="22">
        <v>3</v>
      </c>
      <c r="X54" s="22">
        <v>0</v>
      </c>
      <c r="Y54" s="48">
        <v>0.91720000000000002</v>
      </c>
      <c r="Z54" s="50">
        <v>0.99309999999999998</v>
      </c>
      <c r="AA54" s="47">
        <v>2.4199999999999999E-2</v>
      </c>
      <c r="AB54">
        <v>1821</v>
      </c>
      <c r="AC54">
        <v>528130</v>
      </c>
      <c r="AD54">
        <v>1.96</v>
      </c>
      <c r="AE54" s="40">
        <v>1795.65</v>
      </c>
      <c r="AF54" s="36">
        <v>1.93</v>
      </c>
    </row>
    <row r="55" spans="1:32" x14ac:dyDescent="0.25">
      <c r="A55" s="33">
        <v>44754</v>
      </c>
      <c r="B55" s="34">
        <v>290</v>
      </c>
      <c r="C55" s="22">
        <v>13</v>
      </c>
      <c r="D55" s="22">
        <v>13</v>
      </c>
      <c r="E55" s="22">
        <v>5</v>
      </c>
      <c r="F55" s="22">
        <v>4</v>
      </c>
      <c r="G55" s="22">
        <v>3</v>
      </c>
      <c r="H55" s="44">
        <f t="shared" si="6"/>
        <v>-2</v>
      </c>
      <c r="I55" s="47">
        <f t="shared" si="7"/>
        <v>-0.15384615384615385</v>
      </c>
      <c r="J55" s="44">
        <f t="shared" si="5"/>
        <v>266</v>
      </c>
      <c r="K55" s="22">
        <v>14</v>
      </c>
      <c r="L55" s="22">
        <v>7</v>
      </c>
      <c r="M55" s="22">
        <v>0</v>
      </c>
      <c r="N55" s="44">
        <f t="shared" si="3"/>
        <v>273</v>
      </c>
      <c r="O55" s="22">
        <v>1</v>
      </c>
      <c r="P55" s="22">
        <v>17</v>
      </c>
      <c r="Q55" s="22">
        <v>0</v>
      </c>
      <c r="R55" s="44">
        <f t="shared" si="4"/>
        <v>18</v>
      </c>
      <c r="S55" s="22">
        <v>16</v>
      </c>
      <c r="T55" s="22">
        <v>7</v>
      </c>
      <c r="U55" s="44">
        <f t="shared" si="1"/>
        <v>23</v>
      </c>
      <c r="V55" s="22">
        <v>14</v>
      </c>
      <c r="W55" s="22">
        <v>2</v>
      </c>
      <c r="X55" s="22">
        <v>0</v>
      </c>
      <c r="Y55" s="48">
        <v>0.93790000000000007</v>
      </c>
      <c r="Z55" s="50">
        <v>0.99309999999999998</v>
      </c>
      <c r="AA55" s="47">
        <v>0.02</v>
      </c>
      <c r="AB55">
        <v>1821</v>
      </c>
      <c r="AC55">
        <v>528130</v>
      </c>
      <c r="AD55">
        <v>1.96</v>
      </c>
      <c r="AE55" s="40">
        <v>1792.88</v>
      </c>
      <c r="AF55" s="36">
        <v>1.93</v>
      </c>
    </row>
    <row r="56" spans="1:32" x14ac:dyDescent="0.25">
      <c r="A56" s="33">
        <v>44761</v>
      </c>
      <c r="B56" s="34">
        <v>290</v>
      </c>
      <c r="C56" s="22">
        <v>5</v>
      </c>
      <c r="D56" s="22">
        <v>5</v>
      </c>
      <c r="E56" s="22">
        <v>9</v>
      </c>
      <c r="F56" s="22">
        <v>2</v>
      </c>
      <c r="G56" s="22">
        <v>3</v>
      </c>
      <c r="H56" s="44">
        <f t="shared" si="6"/>
        <v>4</v>
      </c>
      <c r="I56" s="47">
        <f t="shared" si="7"/>
        <v>0.8</v>
      </c>
      <c r="J56" s="44">
        <f t="shared" si="5"/>
        <v>273</v>
      </c>
      <c r="K56" s="22">
        <v>6</v>
      </c>
      <c r="L56" s="22">
        <v>4</v>
      </c>
      <c r="M56" s="22">
        <v>0</v>
      </c>
      <c r="N56" s="44">
        <f t="shared" si="3"/>
        <v>275</v>
      </c>
      <c r="O56" s="22">
        <v>1</v>
      </c>
      <c r="P56" s="22">
        <v>15</v>
      </c>
      <c r="Q56" s="22">
        <v>0</v>
      </c>
      <c r="R56" s="44">
        <f t="shared" si="4"/>
        <v>16</v>
      </c>
      <c r="S56" s="22">
        <v>13</v>
      </c>
      <c r="T56" s="22">
        <v>7</v>
      </c>
      <c r="U56" s="44">
        <f t="shared" si="1"/>
        <v>20</v>
      </c>
      <c r="V56" s="22">
        <v>4</v>
      </c>
      <c r="W56" s="22">
        <v>2</v>
      </c>
      <c r="X56" s="22">
        <v>0</v>
      </c>
      <c r="Y56" s="48">
        <v>0.94480000000000008</v>
      </c>
      <c r="Z56" s="50">
        <v>0.99659999999999993</v>
      </c>
      <c r="AA56" s="47">
        <v>1.72E-2</v>
      </c>
      <c r="AB56">
        <v>1821</v>
      </c>
      <c r="AC56">
        <v>528130</v>
      </c>
      <c r="AD56">
        <v>1.96</v>
      </c>
      <c r="AE56" s="40">
        <v>1794.2</v>
      </c>
      <c r="AF56" s="36">
        <v>1.93</v>
      </c>
    </row>
    <row r="57" spans="1:32" x14ac:dyDescent="0.25">
      <c r="A57" s="33">
        <v>44768</v>
      </c>
      <c r="B57" s="34">
        <v>290</v>
      </c>
      <c r="C57" s="22">
        <v>2</v>
      </c>
      <c r="D57" s="22">
        <v>2</v>
      </c>
      <c r="E57" s="22">
        <v>3</v>
      </c>
      <c r="F57" s="22">
        <v>1</v>
      </c>
      <c r="G57" s="22">
        <v>1</v>
      </c>
      <c r="H57" s="44">
        <f t="shared" si="6"/>
        <v>1</v>
      </c>
      <c r="I57" s="47">
        <f t="shared" si="7"/>
        <v>0.5</v>
      </c>
      <c r="J57" s="44">
        <f t="shared" si="5"/>
        <v>275</v>
      </c>
      <c r="K57" s="22">
        <v>8</v>
      </c>
      <c r="L57" s="22">
        <v>6</v>
      </c>
      <c r="M57" s="22">
        <v>0</v>
      </c>
      <c r="N57" s="44">
        <f t="shared" si="3"/>
        <v>277</v>
      </c>
      <c r="O57" s="22">
        <v>1</v>
      </c>
      <c r="P57" s="22">
        <v>11</v>
      </c>
      <c r="Q57" s="22">
        <v>3</v>
      </c>
      <c r="R57" s="44">
        <f t="shared" si="4"/>
        <v>15</v>
      </c>
      <c r="S57" s="22">
        <v>14</v>
      </c>
      <c r="T57" s="22">
        <v>2</v>
      </c>
      <c r="U57" s="44">
        <f t="shared" si="1"/>
        <v>16</v>
      </c>
      <c r="V57" s="22">
        <v>5</v>
      </c>
      <c r="W57" s="22">
        <v>0</v>
      </c>
      <c r="X57" s="22">
        <v>0</v>
      </c>
      <c r="Y57" s="48">
        <v>0.94819999999999993</v>
      </c>
      <c r="Z57" s="50">
        <v>0.98959999999999992</v>
      </c>
      <c r="AA57" s="47">
        <v>0.01</v>
      </c>
      <c r="AB57">
        <v>1821</v>
      </c>
      <c r="AC57">
        <v>528130</v>
      </c>
      <c r="AD57">
        <v>1.96</v>
      </c>
      <c r="AE57" s="40">
        <v>1808.35</v>
      </c>
      <c r="AF57" s="36">
        <v>1.94</v>
      </c>
    </row>
    <row r="58" spans="1:32" x14ac:dyDescent="0.25">
      <c r="A58" s="33">
        <v>44775</v>
      </c>
      <c r="B58" s="34">
        <v>290</v>
      </c>
      <c r="C58" s="22">
        <v>6</v>
      </c>
      <c r="D58" s="22">
        <v>6</v>
      </c>
      <c r="E58" s="22">
        <v>2</v>
      </c>
      <c r="F58" s="22">
        <v>0</v>
      </c>
      <c r="G58" s="22">
        <v>0</v>
      </c>
      <c r="H58" s="44">
        <f t="shared" si="6"/>
        <v>2</v>
      </c>
      <c r="I58" s="47">
        <f t="shared" si="7"/>
        <v>0.33333333333333331</v>
      </c>
      <c r="J58" s="44">
        <f t="shared" si="5"/>
        <v>277</v>
      </c>
      <c r="K58" s="22">
        <v>6</v>
      </c>
      <c r="L58" s="22">
        <v>4</v>
      </c>
      <c r="M58" s="22">
        <v>0</v>
      </c>
      <c r="N58" s="44">
        <f t="shared" si="3"/>
        <v>279</v>
      </c>
      <c r="O58" s="22">
        <v>1</v>
      </c>
      <c r="P58" s="22">
        <v>8</v>
      </c>
      <c r="Q58" s="22">
        <v>2</v>
      </c>
      <c r="R58" s="44">
        <f t="shared" si="4"/>
        <v>11</v>
      </c>
      <c r="S58" s="22">
        <v>11</v>
      </c>
      <c r="T58" s="22">
        <v>5</v>
      </c>
      <c r="U58" s="44">
        <f t="shared" si="1"/>
        <v>16</v>
      </c>
      <c r="V58" s="22">
        <v>5</v>
      </c>
      <c r="W58" s="22">
        <v>0</v>
      </c>
      <c r="X58" s="22">
        <v>0</v>
      </c>
      <c r="Y58" s="48">
        <v>0.96199999999999997</v>
      </c>
      <c r="Z58" s="50">
        <v>0.99309999999999998</v>
      </c>
      <c r="AA58" s="47">
        <v>0.01</v>
      </c>
      <c r="AB58">
        <v>1821</v>
      </c>
      <c r="AC58">
        <v>528130</v>
      </c>
      <c r="AD58">
        <v>1.96</v>
      </c>
      <c r="AE58" s="40">
        <v>1807.17</v>
      </c>
      <c r="AF58" s="36">
        <v>1.94</v>
      </c>
    </row>
    <row r="59" spans="1:32" x14ac:dyDescent="0.25">
      <c r="A59" s="33">
        <v>44782</v>
      </c>
      <c r="B59" s="34">
        <v>290</v>
      </c>
      <c r="C59" s="22">
        <v>4</v>
      </c>
      <c r="D59" s="22">
        <v>5</v>
      </c>
      <c r="E59" s="22">
        <v>1</v>
      </c>
      <c r="F59" s="22">
        <v>1</v>
      </c>
      <c r="G59" s="22">
        <v>2</v>
      </c>
      <c r="H59" s="44">
        <f t="shared" si="6"/>
        <v>-2</v>
      </c>
      <c r="I59" s="47">
        <f t="shared" si="7"/>
        <v>-0.4</v>
      </c>
      <c r="J59" s="44">
        <f t="shared" si="5"/>
        <v>279</v>
      </c>
      <c r="K59" s="22">
        <v>2</v>
      </c>
      <c r="L59" s="22">
        <v>4</v>
      </c>
      <c r="M59" s="22">
        <v>0</v>
      </c>
      <c r="N59" s="44">
        <f t="shared" si="3"/>
        <v>277</v>
      </c>
      <c r="O59" s="22">
        <v>1</v>
      </c>
      <c r="P59" s="22">
        <v>9</v>
      </c>
      <c r="Q59" s="22">
        <v>3</v>
      </c>
      <c r="R59" s="44">
        <f t="shared" si="4"/>
        <v>13</v>
      </c>
      <c r="S59" s="22">
        <v>7</v>
      </c>
      <c r="T59" s="22">
        <v>5</v>
      </c>
      <c r="U59" s="44">
        <f t="shared" si="1"/>
        <v>12</v>
      </c>
      <c r="V59" s="22">
        <v>8</v>
      </c>
      <c r="W59" s="22">
        <v>0</v>
      </c>
      <c r="X59" s="22">
        <v>0</v>
      </c>
      <c r="Y59" s="48">
        <v>0.95510000000000006</v>
      </c>
      <c r="Z59" s="50">
        <v>0.98959999999999992</v>
      </c>
      <c r="AA59" s="47">
        <v>0.01</v>
      </c>
      <c r="AB59">
        <v>1821</v>
      </c>
      <c r="AC59">
        <v>528130</v>
      </c>
      <c r="AD59">
        <v>1.96</v>
      </c>
      <c r="AE59" s="40">
        <v>1808</v>
      </c>
      <c r="AF59" s="36">
        <v>1.94</v>
      </c>
    </row>
    <row r="60" spans="1:32" x14ac:dyDescent="0.25">
      <c r="A60" s="33">
        <v>44789</v>
      </c>
      <c r="B60" s="34">
        <v>290</v>
      </c>
      <c r="C60" s="22">
        <v>7</v>
      </c>
      <c r="D60" s="22">
        <v>7</v>
      </c>
      <c r="E60" s="22">
        <v>4</v>
      </c>
      <c r="F60" s="22">
        <v>1</v>
      </c>
      <c r="G60" s="22">
        <v>3</v>
      </c>
      <c r="H60" s="44">
        <f t="shared" si="6"/>
        <v>0</v>
      </c>
      <c r="I60" s="47">
        <f t="shared" si="7"/>
        <v>0</v>
      </c>
      <c r="J60" s="44">
        <f t="shared" si="5"/>
        <v>277</v>
      </c>
      <c r="K60" s="22">
        <v>3</v>
      </c>
      <c r="L60" s="22">
        <v>3</v>
      </c>
      <c r="M60" s="22">
        <v>0</v>
      </c>
      <c r="N60" s="44">
        <f t="shared" si="3"/>
        <v>277</v>
      </c>
      <c r="O60" s="22">
        <v>1</v>
      </c>
      <c r="P60" s="22">
        <v>8</v>
      </c>
      <c r="Q60" s="22">
        <v>4</v>
      </c>
      <c r="R60" s="44">
        <f t="shared" si="4"/>
        <v>13</v>
      </c>
      <c r="S60" s="22">
        <v>6</v>
      </c>
      <c r="T60" s="22">
        <v>2</v>
      </c>
      <c r="U60" s="44">
        <f t="shared" si="1"/>
        <v>8</v>
      </c>
      <c r="V60" s="22">
        <v>9</v>
      </c>
      <c r="W60" s="22">
        <v>1</v>
      </c>
      <c r="X60" s="22">
        <v>0</v>
      </c>
      <c r="Y60" s="48">
        <v>0.95510000000000006</v>
      </c>
      <c r="Z60" s="50">
        <v>0.98620000000000008</v>
      </c>
      <c r="AA60" s="47">
        <v>0.02</v>
      </c>
      <c r="AB60">
        <v>1821</v>
      </c>
      <c r="AC60">
        <v>528130</v>
      </c>
      <c r="AD60">
        <v>1.96</v>
      </c>
      <c r="AE60" s="40">
        <v>1808.21</v>
      </c>
      <c r="AF60" s="36">
        <v>1.94</v>
      </c>
    </row>
    <row r="61" spans="1:32" x14ac:dyDescent="0.25">
      <c r="A61" s="33">
        <v>44796</v>
      </c>
      <c r="B61" s="34">
        <v>290</v>
      </c>
      <c r="C61" s="22">
        <v>6</v>
      </c>
      <c r="D61" s="22">
        <v>6</v>
      </c>
      <c r="E61" s="22">
        <v>2</v>
      </c>
      <c r="F61" s="22">
        <v>1</v>
      </c>
      <c r="G61" s="22">
        <v>0</v>
      </c>
      <c r="H61" s="44">
        <f t="shared" si="6"/>
        <v>1</v>
      </c>
      <c r="I61" s="47">
        <f t="shared" si="7"/>
        <v>0.16666666666666666</v>
      </c>
      <c r="J61" s="44">
        <f t="shared" si="5"/>
        <v>277</v>
      </c>
      <c r="K61" s="22">
        <v>3</v>
      </c>
      <c r="L61" s="22">
        <v>2</v>
      </c>
      <c r="M61" s="22">
        <v>0</v>
      </c>
      <c r="N61" s="44">
        <f t="shared" si="3"/>
        <v>278</v>
      </c>
      <c r="O61" s="22">
        <v>1</v>
      </c>
      <c r="P61" s="22">
        <v>6</v>
      </c>
      <c r="Q61" s="22">
        <v>4</v>
      </c>
      <c r="R61" s="44">
        <f t="shared" si="4"/>
        <v>11</v>
      </c>
      <c r="S61" s="22">
        <v>6</v>
      </c>
      <c r="T61" s="22">
        <v>6</v>
      </c>
      <c r="U61" s="44">
        <f t="shared" si="1"/>
        <v>12</v>
      </c>
      <c r="V61" s="22">
        <v>8</v>
      </c>
      <c r="W61" s="22">
        <v>1</v>
      </c>
      <c r="X61" s="22">
        <v>1</v>
      </c>
      <c r="Y61" s="48">
        <v>0.96200000000000008</v>
      </c>
      <c r="Z61" s="50">
        <v>0.98620000000000008</v>
      </c>
      <c r="AA61" s="47">
        <v>0.02</v>
      </c>
      <c r="AB61">
        <v>1821</v>
      </c>
      <c r="AC61">
        <v>528130</v>
      </c>
      <c r="AD61">
        <v>1.96</v>
      </c>
      <c r="AE61" s="40">
        <v>1808</v>
      </c>
      <c r="AF61" s="36">
        <v>1.94</v>
      </c>
    </row>
    <row r="62" spans="1:32" x14ac:dyDescent="0.25">
      <c r="A62" s="33">
        <v>44803</v>
      </c>
      <c r="B62" s="34">
        <v>290</v>
      </c>
      <c r="C62" s="22">
        <v>7</v>
      </c>
      <c r="D62" s="22">
        <v>6</v>
      </c>
      <c r="E62" s="22">
        <v>0</v>
      </c>
      <c r="F62" s="22">
        <v>1</v>
      </c>
      <c r="G62" s="22">
        <v>2</v>
      </c>
      <c r="H62" s="44">
        <f t="shared" si="6"/>
        <v>-3</v>
      </c>
      <c r="I62" s="47">
        <f t="shared" si="7"/>
        <v>-0.5</v>
      </c>
      <c r="J62" s="44">
        <f t="shared" si="5"/>
        <v>278</v>
      </c>
      <c r="K62" s="22">
        <v>4</v>
      </c>
      <c r="L62" s="22">
        <v>3</v>
      </c>
      <c r="M62" s="22">
        <v>0</v>
      </c>
      <c r="N62" s="44">
        <f t="shared" si="3"/>
        <v>279</v>
      </c>
      <c r="O62" s="22">
        <v>1</v>
      </c>
      <c r="P62" s="22">
        <v>2</v>
      </c>
      <c r="Q62" s="22">
        <v>8</v>
      </c>
      <c r="R62" s="44">
        <f t="shared" si="4"/>
        <v>11</v>
      </c>
      <c r="S62" s="22">
        <v>4</v>
      </c>
      <c r="T62" s="22">
        <v>4</v>
      </c>
      <c r="U62" s="44">
        <f t="shared" si="1"/>
        <v>8</v>
      </c>
      <c r="V62" s="22">
        <v>10</v>
      </c>
      <c r="W62" s="22">
        <v>1</v>
      </c>
      <c r="X62" s="22">
        <v>1</v>
      </c>
      <c r="Y62" s="48">
        <v>0.96200000000000008</v>
      </c>
      <c r="Z62" s="50">
        <v>0.97239999999999993</v>
      </c>
      <c r="AA62" s="47">
        <v>0.03</v>
      </c>
      <c r="AB62">
        <v>1821</v>
      </c>
      <c r="AC62">
        <v>528130</v>
      </c>
      <c r="AD62">
        <v>1.96</v>
      </c>
      <c r="AE62" s="40">
        <v>1810.85</v>
      </c>
      <c r="AF62" s="36">
        <v>1.95</v>
      </c>
    </row>
    <row r="63" spans="1:32" x14ac:dyDescent="0.25">
      <c r="A63" s="33">
        <v>44810</v>
      </c>
      <c r="B63" s="34">
        <v>290</v>
      </c>
      <c r="C63" s="22">
        <v>1</v>
      </c>
      <c r="D63" s="22">
        <v>1</v>
      </c>
      <c r="E63" s="22">
        <v>2</v>
      </c>
      <c r="F63" s="22">
        <v>1</v>
      </c>
      <c r="G63" s="22">
        <v>0</v>
      </c>
      <c r="H63" s="44">
        <f t="shared" si="6"/>
        <v>1</v>
      </c>
      <c r="I63" s="47">
        <f t="shared" si="7"/>
        <v>1</v>
      </c>
      <c r="J63" s="44">
        <f t="shared" si="5"/>
        <v>279</v>
      </c>
      <c r="K63" s="22">
        <v>2</v>
      </c>
      <c r="L63" s="22">
        <v>3</v>
      </c>
      <c r="M63" s="22">
        <v>0</v>
      </c>
      <c r="N63" s="44">
        <f t="shared" si="3"/>
        <v>278</v>
      </c>
      <c r="O63" s="22">
        <v>1</v>
      </c>
      <c r="P63" s="22">
        <v>4</v>
      </c>
      <c r="Q63" s="22">
        <v>7</v>
      </c>
      <c r="R63" s="44">
        <f t="shared" si="4"/>
        <v>12</v>
      </c>
      <c r="S63" s="22">
        <v>2</v>
      </c>
      <c r="T63" s="22">
        <v>8</v>
      </c>
      <c r="U63" s="44">
        <f t="shared" si="1"/>
        <v>10</v>
      </c>
      <c r="V63" s="22">
        <v>10</v>
      </c>
      <c r="W63" s="22">
        <v>4</v>
      </c>
      <c r="X63" s="22">
        <v>1</v>
      </c>
      <c r="Y63" s="48">
        <v>0.95860000000000001</v>
      </c>
      <c r="Z63" s="50">
        <v>0.9758</v>
      </c>
      <c r="AA63" s="47">
        <v>0.03</v>
      </c>
      <c r="AB63">
        <v>1821</v>
      </c>
      <c r="AC63">
        <v>528130</v>
      </c>
      <c r="AD63">
        <v>1.96</v>
      </c>
      <c r="AE63" s="40">
        <v>1807.33</v>
      </c>
      <c r="AF63" s="36">
        <v>1.95</v>
      </c>
    </row>
    <row r="64" spans="1:32" x14ac:dyDescent="0.25">
      <c r="A64" s="33">
        <v>44817</v>
      </c>
      <c r="B64" s="34">
        <v>290</v>
      </c>
      <c r="C64" s="22">
        <v>5</v>
      </c>
      <c r="D64" s="22">
        <v>4</v>
      </c>
      <c r="E64" s="22">
        <v>1</v>
      </c>
      <c r="F64" s="22">
        <v>0</v>
      </c>
      <c r="G64" s="22">
        <v>0</v>
      </c>
      <c r="H64" s="44">
        <f t="shared" si="6"/>
        <v>1</v>
      </c>
      <c r="I64" s="47">
        <f t="shared" si="7"/>
        <v>0.25</v>
      </c>
      <c r="J64" s="44">
        <f t="shared" si="5"/>
        <v>278</v>
      </c>
      <c r="K64" s="22">
        <v>2</v>
      </c>
      <c r="L64" s="22">
        <v>0</v>
      </c>
      <c r="M64" s="22">
        <v>0</v>
      </c>
      <c r="N64" s="44">
        <f t="shared" si="3"/>
        <v>280</v>
      </c>
      <c r="O64" s="22">
        <v>1</v>
      </c>
      <c r="P64" s="22">
        <v>1</v>
      </c>
      <c r="Q64" s="22">
        <v>8</v>
      </c>
      <c r="R64" s="44">
        <f t="shared" si="4"/>
        <v>10</v>
      </c>
      <c r="S64" s="22">
        <v>2</v>
      </c>
      <c r="T64" s="22">
        <v>12</v>
      </c>
      <c r="U64" s="44">
        <f t="shared" si="1"/>
        <v>14</v>
      </c>
      <c r="V64" s="22">
        <v>13</v>
      </c>
      <c r="W64" s="22">
        <v>6</v>
      </c>
      <c r="X64" s="22">
        <v>1</v>
      </c>
      <c r="Y64" s="48">
        <v>0.96550000000000002</v>
      </c>
      <c r="Z64" s="50">
        <v>0.97239999999999993</v>
      </c>
      <c r="AA64" s="47">
        <v>0.03</v>
      </c>
      <c r="AB64">
        <v>1821</v>
      </c>
      <c r="AC64">
        <v>528130</v>
      </c>
      <c r="AD64">
        <v>1.96</v>
      </c>
      <c r="AE64" s="40">
        <v>1811</v>
      </c>
      <c r="AF64" s="36">
        <v>1.95</v>
      </c>
    </row>
    <row r="65" spans="1:32" x14ac:dyDescent="0.25">
      <c r="A65" s="33">
        <v>44824</v>
      </c>
      <c r="B65" s="34">
        <v>290</v>
      </c>
      <c r="C65" s="22">
        <v>9</v>
      </c>
      <c r="D65" s="22">
        <v>9</v>
      </c>
      <c r="E65" s="22">
        <v>2</v>
      </c>
      <c r="F65" s="22">
        <v>0</v>
      </c>
      <c r="G65" s="22">
        <v>0</v>
      </c>
      <c r="H65" s="44">
        <f t="shared" si="6"/>
        <v>2</v>
      </c>
      <c r="I65" s="47">
        <f t="shared" si="7"/>
        <v>0.22222222222222221</v>
      </c>
      <c r="J65" s="44">
        <f t="shared" si="5"/>
        <v>280</v>
      </c>
      <c r="K65" s="22">
        <v>1</v>
      </c>
      <c r="L65" s="22">
        <v>4</v>
      </c>
      <c r="M65" s="22">
        <v>0</v>
      </c>
      <c r="N65" s="44">
        <f t="shared" si="3"/>
        <v>277</v>
      </c>
      <c r="O65" s="22">
        <v>1</v>
      </c>
      <c r="P65" s="22">
        <v>2</v>
      </c>
      <c r="Q65" s="22">
        <v>11</v>
      </c>
      <c r="R65" s="44">
        <f t="shared" si="4"/>
        <v>14</v>
      </c>
      <c r="S65" s="22">
        <v>1</v>
      </c>
      <c r="T65" s="22">
        <v>11</v>
      </c>
      <c r="U65" s="44">
        <f t="shared" si="1"/>
        <v>12</v>
      </c>
      <c r="V65" s="22">
        <v>14</v>
      </c>
      <c r="W65" s="22">
        <v>8</v>
      </c>
      <c r="X65" s="22">
        <v>1</v>
      </c>
      <c r="Y65" s="48">
        <v>0.95169999999999999</v>
      </c>
      <c r="Z65" s="50">
        <v>0.96199999999999997</v>
      </c>
      <c r="AA65" s="47">
        <f>(V65+W65+X65)/290</f>
        <v>7.9310344827586213E-2</v>
      </c>
      <c r="AB65">
        <v>1821</v>
      </c>
      <c r="AC65">
        <v>528130</v>
      </c>
      <c r="AD65">
        <v>1.96</v>
      </c>
      <c r="AE65" s="40">
        <v>1809.87</v>
      </c>
      <c r="AF65" s="36">
        <v>1.94</v>
      </c>
    </row>
    <row r="66" spans="1:32" x14ac:dyDescent="0.25">
      <c r="A66" s="33">
        <v>44830</v>
      </c>
      <c r="B66" s="34">
        <v>290</v>
      </c>
      <c r="C66" s="22">
        <v>12</v>
      </c>
      <c r="D66" s="22">
        <v>12</v>
      </c>
      <c r="E66" s="22">
        <v>5</v>
      </c>
      <c r="F66" s="22">
        <v>0</v>
      </c>
      <c r="G66" s="22">
        <v>0</v>
      </c>
      <c r="H66" s="44">
        <f t="shared" si="6"/>
        <v>5</v>
      </c>
      <c r="I66" s="47">
        <f t="shared" si="7"/>
        <v>0.41666666666666669</v>
      </c>
      <c r="J66" s="44">
        <f t="shared" si="5"/>
        <v>277</v>
      </c>
      <c r="K66" s="22">
        <v>0</v>
      </c>
      <c r="L66" s="22">
        <v>1</v>
      </c>
      <c r="M66" s="22">
        <v>0</v>
      </c>
      <c r="N66" s="44">
        <f t="shared" si="3"/>
        <v>276</v>
      </c>
      <c r="O66" s="22">
        <v>1</v>
      </c>
      <c r="P66" s="22">
        <v>6</v>
      </c>
      <c r="Q66" s="22">
        <v>7</v>
      </c>
      <c r="R66" s="44">
        <f t="shared" si="4"/>
        <v>14</v>
      </c>
      <c r="S66" s="22">
        <v>2</v>
      </c>
      <c r="T66" s="22">
        <v>10</v>
      </c>
      <c r="U66" s="44">
        <f t="shared" si="1"/>
        <v>12</v>
      </c>
      <c r="V66" s="22">
        <v>11</v>
      </c>
      <c r="W66" s="22">
        <v>6</v>
      </c>
      <c r="X66" s="22">
        <v>0</v>
      </c>
      <c r="Y66" s="48">
        <v>0.95169999999999999</v>
      </c>
      <c r="Z66" s="50">
        <v>0.9758</v>
      </c>
      <c r="AA66" s="47">
        <f t="shared" ref="AA66:AA98" si="8">(V66+W66+X66)/290</f>
        <v>5.8620689655172413E-2</v>
      </c>
      <c r="AB66">
        <v>1821</v>
      </c>
      <c r="AC66">
        <v>528130</v>
      </c>
      <c r="AD66">
        <v>1.96</v>
      </c>
      <c r="AE66" s="40">
        <v>1811</v>
      </c>
      <c r="AF66" s="36">
        <v>1.94</v>
      </c>
    </row>
    <row r="67" spans="1:32" x14ac:dyDescent="0.25">
      <c r="A67" s="33">
        <v>44837</v>
      </c>
      <c r="B67" s="34">
        <v>290</v>
      </c>
      <c r="C67" s="22">
        <v>4</v>
      </c>
      <c r="D67" s="22">
        <v>4</v>
      </c>
      <c r="E67" s="22">
        <v>1</v>
      </c>
      <c r="F67" s="22">
        <v>0</v>
      </c>
      <c r="G67" s="22">
        <v>0</v>
      </c>
      <c r="H67" s="44">
        <f t="shared" si="6"/>
        <v>1</v>
      </c>
      <c r="I67" s="47">
        <f t="shared" si="7"/>
        <v>0.25</v>
      </c>
      <c r="J67" s="44">
        <f t="shared" si="5"/>
        <v>276</v>
      </c>
      <c r="K67" s="22">
        <v>2</v>
      </c>
      <c r="L67" s="22">
        <v>3</v>
      </c>
      <c r="M67" s="22">
        <v>0</v>
      </c>
      <c r="N67" s="44">
        <f t="shared" si="3"/>
        <v>275</v>
      </c>
      <c r="O67" s="22">
        <v>1</v>
      </c>
      <c r="P67" s="22">
        <v>3</v>
      </c>
      <c r="Q67" s="22">
        <v>11</v>
      </c>
      <c r="R67" s="44">
        <f t="shared" si="4"/>
        <v>15</v>
      </c>
      <c r="S67" s="22">
        <v>3</v>
      </c>
      <c r="T67" s="22">
        <v>6</v>
      </c>
      <c r="U67" s="44">
        <f t="shared" si="1"/>
        <v>9</v>
      </c>
      <c r="V67" s="22">
        <v>11</v>
      </c>
      <c r="W67" s="22">
        <v>6</v>
      </c>
      <c r="X67" s="22">
        <v>0</v>
      </c>
      <c r="Y67" s="48">
        <v>0.94819999999999993</v>
      </c>
      <c r="Z67" s="50">
        <v>0.96200000000000008</v>
      </c>
      <c r="AA67" s="47">
        <f t="shared" si="8"/>
        <v>5.8620689655172413E-2</v>
      </c>
      <c r="AB67">
        <v>1821</v>
      </c>
      <c r="AC67">
        <v>528130</v>
      </c>
      <c r="AD67">
        <v>1.96</v>
      </c>
      <c r="AE67" s="40">
        <v>1810.36</v>
      </c>
      <c r="AF67" s="36">
        <v>1.94</v>
      </c>
    </row>
    <row r="68" spans="1:32" x14ac:dyDescent="0.25">
      <c r="A68" s="33">
        <v>44845</v>
      </c>
      <c r="B68" s="34">
        <v>290</v>
      </c>
      <c r="C68" s="22">
        <v>7</v>
      </c>
      <c r="D68" s="22">
        <v>7</v>
      </c>
      <c r="E68" s="22">
        <v>4</v>
      </c>
      <c r="F68" s="22">
        <v>0</v>
      </c>
      <c r="G68" s="22">
        <v>0</v>
      </c>
      <c r="H68" s="44">
        <f t="shared" si="6"/>
        <v>4</v>
      </c>
      <c r="I68" s="47">
        <f t="shared" si="7"/>
        <v>0.5714285714285714</v>
      </c>
      <c r="J68" s="44">
        <f t="shared" si="5"/>
        <v>275</v>
      </c>
      <c r="K68" s="22">
        <v>1</v>
      </c>
      <c r="L68" s="22">
        <v>7</v>
      </c>
      <c r="M68" s="22">
        <v>0</v>
      </c>
      <c r="N68" s="44">
        <f t="shared" si="3"/>
        <v>269</v>
      </c>
      <c r="O68" s="22">
        <v>1</v>
      </c>
      <c r="P68" s="22">
        <v>6</v>
      </c>
      <c r="Q68" s="22">
        <v>14</v>
      </c>
      <c r="R68" s="44">
        <f t="shared" si="4"/>
        <v>21</v>
      </c>
      <c r="S68" s="22">
        <v>1</v>
      </c>
      <c r="T68" s="22">
        <v>6</v>
      </c>
      <c r="U68" s="44">
        <f t="shared" ref="U68:U131" si="9">SUM(S68:T68)</f>
        <v>7</v>
      </c>
      <c r="V68" s="22">
        <v>12</v>
      </c>
      <c r="W68" s="22">
        <v>7</v>
      </c>
      <c r="X68" s="22">
        <v>0</v>
      </c>
      <c r="Y68" s="48">
        <v>0.93099999999999994</v>
      </c>
      <c r="Z68" s="50">
        <v>0.95169999999999999</v>
      </c>
      <c r="AA68" s="47">
        <f t="shared" si="8"/>
        <v>6.5517241379310351E-2</v>
      </c>
      <c r="AB68">
        <v>1821</v>
      </c>
      <c r="AC68">
        <v>528130</v>
      </c>
      <c r="AD68">
        <v>1.96</v>
      </c>
      <c r="AE68" s="40">
        <v>1805.63</v>
      </c>
      <c r="AF68" s="36">
        <v>1.94</v>
      </c>
    </row>
    <row r="69" spans="1:32" x14ac:dyDescent="0.25">
      <c r="A69" s="33">
        <v>44851</v>
      </c>
      <c r="B69" s="34">
        <v>290</v>
      </c>
      <c r="C69" s="22">
        <v>27</v>
      </c>
      <c r="D69" s="22">
        <v>27</v>
      </c>
      <c r="E69" s="22">
        <v>3</v>
      </c>
      <c r="F69" s="22">
        <v>1</v>
      </c>
      <c r="G69" s="22">
        <v>1</v>
      </c>
      <c r="H69" s="44">
        <f t="shared" si="6"/>
        <v>1</v>
      </c>
      <c r="I69" s="47">
        <f t="shared" si="7"/>
        <v>3.7037037037037035E-2</v>
      </c>
      <c r="J69" s="44">
        <f t="shared" si="5"/>
        <v>269</v>
      </c>
      <c r="K69" s="22">
        <v>3</v>
      </c>
      <c r="L69" s="22">
        <v>2</v>
      </c>
      <c r="M69" s="22">
        <v>0</v>
      </c>
      <c r="N69" s="44">
        <f t="shared" si="3"/>
        <v>270</v>
      </c>
      <c r="O69" s="22">
        <v>1</v>
      </c>
      <c r="P69" s="22">
        <v>5</v>
      </c>
      <c r="Q69" s="22">
        <v>14</v>
      </c>
      <c r="R69" s="44">
        <f t="shared" si="4"/>
        <v>20</v>
      </c>
      <c r="S69" s="22">
        <v>1</v>
      </c>
      <c r="T69" s="22">
        <v>4</v>
      </c>
      <c r="U69" s="44">
        <f t="shared" si="9"/>
        <v>5</v>
      </c>
      <c r="V69" s="22">
        <v>11</v>
      </c>
      <c r="W69" s="22">
        <v>7</v>
      </c>
      <c r="X69" s="22">
        <v>0</v>
      </c>
      <c r="Y69" s="48">
        <v>0.93099999999999994</v>
      </c>
      <c r="Z69" s="50">
        <v>0.95169999999999999</v>
      </c>
      <c r="AA69" s="47">
        <f t="shared" si="8"/>
        <v>6.2068965517241378E-2</v>
      </c>
      <c r="AB69">
        <v>1821</v>
      </c>
      <c r="AC69">
        <v>528130</v>
      </c>
      <c r="AD69">
        <v>1.96</v>
      </c>
      <c r="AE69" s="40">
        <v>1802.45</v>
      </c>
      <c r="AF69" s="36">
        <v>1.94</v>
      </c>
    </row>
    <row r="70" spans="1:32" x14ac:dyDescent="0.25">
      <c r="A70" s="33">
        <v>44858</v>
      </c>
      <c r="B70" s="34">
        <v>290</v>
      </c>
      <c r="C70" s="22">
        <v>15</v>
      </c>
      <c r="D70" s="22">
        <v>15</v>
      </c>
      <c r="E70" s="22">
        <v>4</v>
      </c>
      <c r="F70" s="22">
        <v>1</v>
      </c>
      <c r="G70" s="22">
        <v>0</v>
      </c>
      <c r="H70" s="44">
        <f t="shared" si="6"/>
        <v>3</v>
      </c>
      <c r="I70" s="47">
        <f t="shared" si="7"/>
        <v>0.2</v>
      </c>
      <c r="J70" s="44">
        <f t="shared" si="5"/>
        <v>270</v>
      </c>
      <c r="K70" s="22">
        <v>2</v>
      </c>
      <c r="L70" s="22">
        <v>0</v>
      </c>
      <c r="M70" s="22">
        <v>0</v>
      </c>
      <c r="N70" s="44">
        <f t="shared" si="3"/>
        <v>272</v>
      </c>
      <c r="O70" s="22">
        <v>1</v>
      </c>
      <c r="P70" s="22">
        <v>5</v>
      </c>
      <c r="Q70" s="22">
        <v>12</v>
      </c>
      <c r="R70" s="44">
        <f t="shared" si="4"/>
        <v>18</v>
      </c>
      <c r="S70" s="22">
        <v>1</v>
      </c>
      <c r="T70" s="22">
        <v>5</v>
      </c>
      <c r="U70" s="44">
        <f t="shared" si="9"/>
        <v>6</v>
      </c>
      <c r="V70" s="22">
        <v>10</v>
      </c>
      <c r="W70" s="22">
        <v>7</v>
      </c>
      <c r="X70" s="22">
        <v>0</v>
      </c>
      <c r="Y70" s="48">
        <v>0.93789999999999996</v>
      </c>
      <c r="Z70" s="50">
        <v>0.95860000000000001</v>
      </c>
      <c r="AA70" s="47">
        <f t="shared" si="8"/>
        <v>5.8620689655172413E-2</v>
      </c>
      <c r="AB70">
        <v>1821</v>
      </c>
      <c r="AC70">
        <v>528130</v>
      </c>
      <c r="AD70">
        <v>1.96</v>
      </c>
      <c r="AE70" s="40">
        <v>1803.22</v>
      </c>
      <c r="AF70" s="36">
        <v>1.94</v>
      </c>
    </row>
    <row r="71" spans="1:32" x14ac:dyDescent="0.25">
      <c r="A71" s="33">
        <v>44865</v>
      </c>
      <c r="B71" s="34">
        <v>290</v>
      </c>
      <c r="C71" s="22">
        <v>33</v>
      </c>
      <c r="D71" s="22">
        <v>33</v>
      </c>
      <c r="E71" s="22">
        <v>5</v>
      </c>
      <c r="F71" s="22">
        <v>1</v>
      </c>
      <c r="G71" s="22">
        <v>0</v>
      </c>
      <c r="H71" s="44">
        <f t="shared" si="6"/>
        <v>4</v>
      </c>
      <c r="I71" s="47">
        <f t="shared" si="7"/>
        <v>0.12121212121212122</v>
      </c>
      <c r="J71" s="44">
        <f t="shared" si="5"/>
        <v>272</v>
      </c>
      <c r="K71" s="22">
        <v>3</v>
      </c>
      <c r="L71" s="22">
        <v>1</v>
      </c>
      <c r="M71" s="22">
        <v>0</v>
      </c>
      <c r="N71" s="44">
        <f t="shared" si="3"/>
        <v>274</v>
      </c>
      <c r="O71" s="22">
        <v>1</v>
      </c>
      <c r="P71" s="22">
        <v>6</v>
      </c>
      <c r="Q71" s="22">
        <v>9</v>
      </c>
      <c r="R71" s="44">
        <f t="shared" si="4"/>
        <v>16</v>
      </c>
      <c r="S71" s="22">
        <v>2</v>
      </c>
      <c r="T71" s="22">
        <v>3</v>
      </c>
      <c r="U71" s="44">
        <f t="shared" si="9"/>
        <v>5</v>
      </c>
      <c r="V71" s="22">
        <v>8</v>
      </c>
      <c r="W71" s="22">
        <v>4</v>
      </c>
      <c r="X71" s="22">
        <v>0</v>
      </c>
      <c r="Y71" s="48">
        <v>0.94480000000000008</v>
      </c>
      <c r="Z71" s="50">
        <v>0.96889999999999998</v>
      </c>
      <c r="AA71" s="47">
        <f t="shared" si="8"/>
        <v>4.1379310344827586E-2</v>
      </c>
      <c r="AB71">
        <v>1821</v>
      </c>
      <c r="AC71">
        <v>528130</v>
      </c>
      <c r="AD71">
        <v>1.96</v>
      </c>
      <c r="AE71" s="40">
        <v>1800</v>
      </c>
      <c r="AF71" s="36">
        <v>1.94</v>
      </c>
    </row>
    <row r="72" spans="1:32" x14ac:dyDescent="0.25">
      <c r="A72" s="33">
        <v>44872</v>
      </c>
      <c r="B72" s="34">
        <v>290</v>
      </c>
      <c r="C72" s="22">
        <v>16</v>
      </c>
      <c r="D72" s="22">
        <v>16</v>
      </c>
      <c r="E72" s="22">
        <v>7</v>
      </c>
      <c r="F72" s="22">
        <v>0</v>
      </c>
      <c r="G72" s="22">
        <v>1</v>
      </c>
      <c r="H72" s="44">
        <f t="shared" si="6"/>
        <v>6</v>
      </c>
      <c r="I72" s="47">
        <f t="shared" si="7"/>
        <v>0.375</v>
      </c>
      <c r="J72" s="44">
        <f t="shared" si="5"/>
        <v>274</v>
      </c>
      <c r="K72" s="22">
        <v>2</v>
      </c>
      <c r="L72" s="22">
        <v>1</v>
      </c>
      <c r="M72" s="22">
        <v>0</v>
      </c>
      <c r="N72" s="44">
        <f t="shared" si="3"/>
        <v>275</v>
      </c>
      <c r="O72" s="22">
        <v>1</v>
      </c>
      <c r="P72" s="22">
        <v>8</v>
      </c>
      <c r="Q72" s="22">
        <v>6</v>
      </c>
      <c r="R72" s="44">
        <f t="shared" si="4"/>
        <v>15</v>
      </c>
      <c r="S72" s="22">
        <v>4</v>
      </c>
      <c r="T72" s="22">
        <v>1</v>
      </c>
      <c r="U72" s="44">
        <f t="shared" si="9"/>
        <v>5</v>
      </c>
      <c r="V72" s="22">
        <v>4</v>
      </c>
      <c r="W72" s="22">
        <v>3</v>
      </c>
      <c r="X72" s="22">
        <v>0</v>
      </c>
      <c r="Y72" s="48">
        <v>0.94820000000000004</v>
      </c>
      <c r="Z72" s="50">
        <v>0.97930000000000006</v>
      </c>
      <c r="AA72" s="47">
        <f t="shared" si="8"/>
        <v>2.4137931034482758E-2</v>
      </c>
      <c r="AB72">
        <v>1821</v>
      </c>
      <c r="AC72">
        <v>528130</v>
      </c>
      <c r="AD72">
        <v>1.96</v>
      </c>
      <c r="AE72" s="40">
        <v>1795.73</v>
      </c>
      <c r="AF72" s="36">
        <v>1.94</v>
      </c>
    </row>
    <row r="73" spans="1:32" x14ac:dyDescent="0.25">
      <c r="A73" s="33">
        <v>44879</v>
      </c>
      <c r="B73" s="34">
        <v>290</v>
      </c>
      <c r="C73" s="22">
        <v>26</v>
      </c>
      <c r="D73" s="22">
        <v>26</v>
      </c>
      <c r="E73" s="22">
        <v>4</v>
      </c>
      <c r="F73" s="22">
        <v>1</v>
      </c>
      <c r="G73" s="22">
        <v>1</v>
      </c>
      <c r="H73" s="44">
        <f t="shared" si="6"/>
        <v>2</v>
      </c>
      <c r="I73" s="47">
        <f t="shared" si="7"/>
        <v>7.6923076923076927E-2</v>
      </c>
      <c r="J73" s="44">
        <f t="shared" si="5"/>
        <v>275</v>
      </c>
      <c r="K73" s="22">
        <v>2</v>
      </c>
      <c r="L73" s="22">
        <v>1</v>
      </c>
      <c r="M73" s="22">
        <v>0</v>
      </c>
      <c r="N73" s="44">
        <f t="shared" si="3"/>
        <v>276</v>
      </c>
      <c r="O73" s="22">
        <v>1</v>
      </c>
      <c r="P73" s="22">
        <v>7</v>
      </c>
      <c r="Q73" s="22">
        <v>6</v>
      </c>
      <c r="R73" s="44">
        <f t="shared" si="4"/>
        <v>14</v>
      </c>
      <c r="S73" s="22">
        <v>4</v>
      </c>
      <c r="T73" s="22">
        <v>3</v>
      </c>
      <c r="U73" s="44">
        <f t="shared" si="9"/>
        <v>7</v>
      </c>
      <c r="V73" s="22">
        <v>6</v>
      </c>
      <c r="W73" s="22">
        <v>3</v>
      </c>
      <c r="X73" s="22">
        <v>0</v>
      </c>
      <c r="Y73" s="48">
        <v>0.95169999999999999</v>
      </c>
      <c r="Z73" s="50">
        <v>0.97930000000000006</v>
      </c>
      <c r="AA73" s="47">
        <f t="shared" si="8"/>
        <v>3.1034482758620689E-2</v>
      </c>
      <c r="AB73">
        <v>1821</v>
      </c>
      <c r="AC73">
        <v>528130</v>
      </c>
      <c r="AD73">
        <v>1.96</v>
      </c>
      <c r="AE73" s="40">
        <v>1738</v>
      </c>
      <c r="AF73" s="36">
        <v>1.94</v>
      </c>
    </row>
    <row r="74" spans="1:32" x14ac:dyDescent="0.25">
      <c r="A74" s="33">
        <v>44886</v>
      </c>
      <c r="B74" s="34">
        <v>290</v>
      </c>
      <c r="C74" s="22">
        <v>12</v>
      </c>
      <c r="D74" s="22">
        <v>12</v>
      </c>
      <c r="E74" s="22">
        <v>4</v>
      </c>
      <c r="F74" s="22">
        <v>0</v>
      </c>
      <c r="G74" s="22">
        <v>2</v>
      </c>
      <c r="H74" s="44">
        <f t="shared" si="6"/>
        <v>2</v>
      </c>
      <c r="I74" s="47">
        <f t="shared" si="7"/>
        <v>0.16666666666666666</v>
      </c>
      <c r="J74" s="44">
        <f t="shared" si="5"/>
        <v>276</v>
      </c>
      <c r="K74" s="22">
        <v>5</v>
      </c>
      <c r="L74" s="22">
        <v>0</v>
      </c>
      <c r="M74" s="22">
        <v>0</v>
      </c>
      <c r="N74" s="44">
        <f t="shared" si="3"/>
        <v>281</v>
      </c>
      <c r="O74" s="22">
        <v>1</v>
      </c>
      <c r="P74" s="22">
        <v>5</v>
      </c>
      <c r="Q74" s="22">
        <v>3</v>
      </c>
      <c r="R74" s="44">
        <f t="shared" si="4"/>
        <v>9</v>
      </c>
      <c r="S74" s="22">
        <v>5</v>
      </c>
      <c r="T74" s="22">
        <v>6</v>
      </c>
      <c r="U74" s="44">
        <f t="shared" si="9"/>
        <v>11</v>
      </c>
      <c r="V74" s="22">
        <v>7</v>
      </c>
      <c r="W74" s="22">
        <v>2</v>
      </c>
      <c r="X74" s="22">
        <v>0</v>
      </c>
      <c r="Y74" s="48">
        <v>0.96889999999999998</v>
      </c>
      <c r="Z74" s="50">
        <v>0.97239999999999993</v>
      </c>
      <c r="AA74" s="47">
        <f t="shared" si="8"/>
        <v>3.1034482758620689E-2</v>
      </c>
      <c r="AB74">
        <v>1821</v>
      </c>
      <c r="AC74">
        <v>528130</v>
      </c>
      <c r="AD74">
        <v>1.96</v>
      </c>
      <c r="AE74" s="40">
        <v>1794.75</v>
      </c>
      <c r="AF74" s="36">
        <v>1.94</v>
      </c>
    </row>
    <row r="75" spans="1:32" x14ac:dyDescent="0.25">
      <c r="A75" s="33">
        <v>44893</v>
      </c>
      <c r="B75" s="34">
        <v>290</v>
      </c>
      <c r="C75" s="22">
        <v>8</v>
      </c>
      <c r="D75" s="22">
        <v>8</v>
      </c>
      <c r="E75" s="22">
        <v>0</v>
      </c>
      <c r="F75" s="22">
        <v>0</v>
      </c>
      <c r="G75" s="22">
        <v>0</v>
      </c>
      <c r="H75" s="44">
        <f t="shared" si="6"/>
        <v>0</v>
      </c>
      <c r="I75" s="47">
        <f t="shared" si="7"/>
        <v>0</v>
      </c>
      <c r="J75" s="44">
        <f t="shared" si="5"/>
        <v>281</v>
      </c>
      <c r="K75" s="22">
        <v>1</v>
      </c>
      <c r="L75" s="22">
        <v>3</v>
      </c>
      <c r="M75" s="22">
        <v>0</v>
      </c>
      <c r="N75" s="44">
        <f t="shared" si="3"/>
        <v>279</v>
      </c>
      <c r="O75" s="22">
        <v>1</v>
      </c>
      <c r="P75" s="22">
        <v>6</v>
      </c>
      <c r="Q75" s="22">
        <v>6</v>
      </c>
      <c r="R75" s="44">
        <f t="shared" si="4"/>
        <v>13</v>
      </c>
      <c r="S75" s="22">
        <v>4</v>
      </c>
      <c r="T75" s="22">
        <v>5</v>
      </c>
      <c r="U75" s="44">
        <f t="shared" si="9"/>
        <v>9</v>
      </c>
      <c r="V75" s="22">
        <v>7</v>
      </c>
      <c r="W75" s="22">
        <v>4</v>
      </c>
      <c r="X75" s="22">
        <v>0</v>
      </c>
      <c r="Y75" s="48">
        <v>0.95510000000000006</v>
      </c>
      <c r="Z75" s="50">
        <v>0.97930000000000006</v>
      </c>
      <c r="AA75" s="47">
        <f t="shared" si="8"/>
        <v>3.793103448275862E-2</v>
      </c>
      <c r="AB75">
        <v>1821</v>
      </c>
      <c r="AC75">
        <v>528130</v>
      </c>
      <c r="AD75">
        <v>1.96</v>
      </c>
      <c r="AE75" s="40">
        <v>1795.62</v>
      </c>
      <c r="AF75" s="36">
        <v>1.94</v>
      </c>
    </row>
    <row r="76" spans="1:32" x14ac:dyDescent="0.25">
      <c r="A76" s="33">
        <v>44901</v>
      </c>
      <c r="B76" s="34">
        <v>290</v>
      </c>
      <c r="C76" s="22">
        <v>9</v>
      </c>
      <c r="D76" s="22">
        <v>9</v>
      </c>
      <c r="E76" s="22">
        <v>3</v>
      </c>
      <c r="F76" s="22">
        <v>0</v>
      </c>
      <c r="G76" s="22">
        <v>1</v>
      </c>
      <c r="H76" s="44">
        <f t="shared" si="6"/>
        <v>2</v>
      </c>
      <c r="I76" s="47">
        <f t="shared" si="7"/>
        <v>0.22222222222222221</v>
      </c>
      <c r="J76" s="44">
        <f t="shared" si="5"/>
        <v>279</v>
      </c>
      <c r="K76" s="22">
        <v>4</v>
      </c>
      <c r="L76" s="22">
        <v>4</v>
      </c>
      <c r="M76" s="22">
        <v>0</v>
      </c>
      <c r="N76" s="44">
        <f t="shared" si="3"/>
        <v>279</v>
      </c>
      <c r="O76" s="22">
        <v>1</v>
      </c>
      <c r="P76" s="22">
        <v>5</v>
      </c>
      <c r="Q76" s="22">
        <v>7</v>
      </c>
      <c r="R76" s="44">
        <f t="shared" si="4"/>
        <v>13</v>
      </c>
      <c r="S76" s="22">
        <v>4</v>
      </c>
      <c r="T76" s="22">
        <v>6</v>
      </c>
      <c r="U76" s="44">
        <f t="shared" si="9"/>
        <v>10</v>
      </c>
      <c r="V76" s="22">
        <v>9</v>
      </c>
      <c r="W76" s="22">
        <v>3</v>
      </c>
      <c r="X76" s="22">
        <v>1</v>
      </c>
      <c r="Y76" s="48">
        <v>0.95510000000000006</v>
      </c>
      <c r="Z76" s="50">
        <v>0.9758</v>
      </c>
      <c r="AA76" s="47">
        <f t="shared" si="8"/>
        <v>4.4827586206896551E-2</v>
      </c>
      <c r="AB76">
        <v>1821</v>
      </c>
      <c r="AC76">
        <v>528130</v>
      </c>
      <c r="AD76">
        <v>1.96</v>
      </c>
      <c r="AE76" s="40">
        <v>1791.99</v>
      </c>
      <c r="AF76" s="36">
        <v>1.94</v>
      </c>
    </row>
    <row r="77" spans="1:32" x14ac:dyDescent="0.25">
      <c r="A77" s="33">
        <v>44908</v>
      </c>
      <c r="B77" s="34">
        <v>290</v>
      </c>
      <c r="C77" s="22">
        <v>12</v>
      </c>
      <c r="D77" s="22">
        <v>12</v>
      </c>
      <c r="E77" s="22">
        <v>4</v>
      </c>
      <c r="F77" s="22">
        <v>1</v>
      </c>
      <c r="G77" s="22">
        <v>0</v>
      </c>
      <c r="H77" s="44">
        <f t="shared" si="6"/>
        <v>3</v>
      </c>
      <c r="I77" s="47">
        <f t="shared" si="7"/>
        <v>0.25</v>
      </c>
      <c r="J77" s="44">
        <f t="shared" si="5"/>
        <v>279</v>
      </c>
      <c r="K77" s="22">
        <v>3</v>
      </c>
      <c r="L77" s="22">
        <v>0</v>
      </c>
      <c r="M77" s="22">
        <v>0</v>
      </c>
      <c r="N77" s="44">
        <f t="shared" si="3"/>
        <v>282</v>
      </c>
      <c r="O77" s="22">
        <v>1</v>
      </c>
      <c r="P77" s="22">
        <v>4</v>
      </c>
      <c r="Q77" s="22">
        <v>5</v>
      </c>
      <c r="R77" s="44">
        <f t="shared" si="4"/>
        <v>10</v>
      </c>
      <c r="S77" s="22">
        <v>6</v>
      </c>
      <c r="T77" s="22">
        <v>5</v>
      </c>
      <c r="U77" s="44">
        <f t="shared" si="9"/>
        <v>11</v>
      </c>
      <c r="V77" s="22">
        <v>6</v>
      </c>
      <c r="W77" s="22">
        <v>4</v>
      </c>
      <c r="X77" s="22">
        <v>0</v>
      </c>
      <c r="Y77" s="48">
        <v>0.96550000000000002</v>
      </c>
      <c r="Z77" s="50">
        <v>0.98269999999999991</v>
      </c>
      <c r="AA77" s="47">
        <f t="shared" si="8"/>
        <v>3.4482758620689655E-2</v>
      </c>
      <c r="AB77">
        <v>1821</v>
      </c>
      <c r="AC77">
        <v>528130</v>
      </c>
      <c r="AD77">
        <v>1.96</v>
      </c>
      <c r="AE77" s="40">
        <v>1791.89</v>
      </c>
      <c r="AF77" s="36">
        <v>1.94</v>
      </c>
    </row>
    <row r="78" spans="1:32" x14ac:dyDescent="0.25">
      <c r="A78" s="33">
        <v>44914</v>
      </c>
      <c r="B78" s="34">
        <v>290</v>
      </c>
      <c r="C78" s="22">
        <v>14</v>
      </c>
      <c r="D78" s="22">
        <v>14</v>
      </c>
      <c r="E78" s="22">
        <v>2</v>
      </c>
      <c r="F78" s="22">
        <v>1</v>
      </c>
      <c r="G78" s="22">
        <v>1</v>
      </c>
      <c r="H78" s="44">
        <f t="shared" si="6"/>
        <v>0</v>
      </c>
      <c r="I78" s="47">
        <f t="shared" si="7"/>
        <v>0</v>
      </c>
      <c r="J78" s="44">
        <f t="shared" si="5"/>
        <v>282</v>
      </c>
      <c r="K78" s="22">
        <v>2</v>
      </c>
      <c r="L78" s="22">
        <v>0</v>
      </c>
      <c r="M78" s="22">
        <v>0</v>
      </c>
      <c r="N78" s="44">
        <f t="shared" si="3"/>
        <v>284</v>
      </c>
      <c r="O78" s="22">
        <v>1</v>
      </c>
      <c r="P78" s="22">
        <v>2</v>
      </c>
      <c r="Q78" s="22">
        <v>5</v>
      </c>
      <c r="R78" s="44">
        <f t="shared" si="4"/>
        <v>8</v>
      </c>
      <c r="S78" s="22">
        <v>7</v>
      </c>
      <c r="T78" s="22">
        <v>8</v>
      </c>
      <c r="U78" s="44">
        <f t="shared" si="9"/>
        <v>15</v>
      </c>
      <c r="V78" s="22">
        <v>7</v>
      </c>
      <c r="W78" s="22">
        <v>6</v>
      </c>
      <c r="X78" s="22">
        <v>0</v>
      </c>
      <c r="Y78" s="48">
        <v>0.97239999999999993</v>
      </c>
      <c r="Z78" s="50">
        <v>0.98269999999999991</v>
      </c>
      <c r="AA78" s="47">
        <f t="shared" si="8"/>
        <v>4.4827586206896551E-2</v>
      </c>
      <c r="AB78">
        <v>1821</v>
      </c>
      <c r="AC78">
        <v>528130</v>
      </c>
      <c r="AD78">
        <v>1.96</v>
      </c>
      <c r="AE78" s="40">
        <v>1794.6</v>
      </c>
      <c r="AF78" s="36">
        <v>1.94</v>
      </c>
    </row>
    <row r="79" spans="1:32" x14ac:dyDescent="0.25">
      <c r="A79" s="33">
        <v>44921</v>
      </c>
      <c r="B79" s="34">
        <v>290</v>
      </c>
      <c r="C79" s="22">
        <v>7</v>
      </c>
      <c r="D79" s="22">
        <v>7</v>
      </c>
      <c r="E79" s="22">
        <v>1</v>
      </c>
      <c r="F79" s="22">
        <v>1</v>
      </c>
      <c r="G79" s="22">
        <v>0</v>
      </c>
      <c r="H79" s="44">
        <f t="shared" si="6"/>
        <v>0</v>
      </c>
      <c r="I79" s="47">
        <f t="shared" si="7"/>
        <v>0</v>
      </c>
      <c r="J79" s="44">
        <f t="shared" si="5"/>
        <v>284</v>
      </c>
      <c r="K79" s="22">
        <v>1</v>
      </c>
      <c r="L79" s="22">
        <v>1</v>
      </c>
      <c r="M79" s="22">
        <v>0</v>
      </c>
      <c r="N79" s="44">
        <f t="shared" si="3"/>
        <v>284</v>
      </c>
      <c r="O79" s="22">
        <v>1</v>
      </c>
      <c r="P79" s="22">
        <v>2</v>
      </c>
      <c r="Q79" s="22">
        <v>4</v>
      </c>
      <c r="R79" s="44">
        <f t="shared" si="4"/>
        <v>7</v>
      </c>
      <c r="S79" s="22">
        <v>5</v>
      </c>
      <c r="T79" s="22">
        <v>11</v>
      </c>
      <c r="U79" s="44">
        <f t="shared" si="9"/>
        <v>16</v>
      </c>
      <c r="V79" s="22">
        <v>8</v>
      </c>
      <c r="W79" s="22">
        <v>7</v>
      </c>
      <c r="X79" s="22">
        <v>0</v>
      </c>
      <c r="Y79" s="48">
        <v>0.9758</v>
      </c>
      <c r="Z79" s="50">
        <v>0.98620000000000008</v>
      </c>
      <c r="AA79" s="47">
        <f t="shared" si="8"/>
        <v>5.1724137931034482E-2</v>
      </c>
      <c r="AB79">
        <v>1821</v>
      </c>
      <c r="AC79">
        <v>528130</v>
      </c>
      <c r="AD79">
        <v>1.96</v>
      </c>
      <c r="AE79" s="40">
        <v>1797.18</v>
      </c>
      <c r="AF79" s="36">
        <v>1.94</v>
      </c>
    </row>
    <row r="80" spans="1:32" x14ac:dyDescent="0.25">
      <c r="A80" s="33">
        <v>44929</v>
      </c>
      <c r="B80" s="34">
        <v>290</v>
      </c>
      <c r="C80" s="22">
        <v>3</v>
      </c>
      <c r="D80" s="22">
        <v>3</v>
      </c>
      <c r="E80" s="22">
        <v>2</v>
      </c>
      <c r="F80" s="22">
        <v>0</v>
      </c>
      <c r="G80" s="22">
        <v>0</v>
      </c>
      <c r="H80" s="44">
        <f t="shared" si="6"/>
        <v>2</v>
      </c>
      <c r="I80" s="47">
        <f t="shared" si="7"/>
        <v>0.66666666666666663</v>
      </c>
      <c r="J80" s="44">
        <f t="shared" si="5"/>
        <v>284</v>
      </c>
      <c r="K80" s="22">
        <v>1</v>
      </c>
      <c r="L80" s="22">
        <v>1</v>
      </c>
      <c r="M80" s="22">
        <v>0</v>
      </c>
      <c r="N80" s="44">
        <f t="shared" si="3"/>
        <v>284</v>
      </c>
      <c r="O80" s="22">
        <v>1</v>
      </c>
      <c r="P80" s="22">
        <v>4</v>
      </c>
      <c r="Q80" s="22">
        <v>2</v>
      </c>
      <c r="R80" s="44">
        <f t="shared" si="4"/>
        <v>7</v>
      </c>
      <c r="S80" s="22">
        <v>4</v>
      </c>
      <c r="T80" s="22">
        <v>13</v>
      </c>
      <c r="U80" s="44">
        <f t="shared" si="9"/>
        <v>17</v>
      </c>
      <c r="V80" s="22">
        <v>8</v>
      </c>
      <c r="W80" s="22">
        <v>6</v>
      </c>
      <c r="X80" s="22">
        <v>1</v>
      </c>
      <c r="Y80" s="48">
        <v>0.9758</v>
      </c>
      <c r="Z80" s="50">
        <v>0.99309999999999998</v>
      </c>
      <c r="AA80" s="47">
        <f t="shared" si="8"/>
        <v>5.1724137931034482E-2</v>
      </c>
      <c r="AB80">
        <v>1821</v>
      </c>
      <c r="AC80">
        <v>528130</v>
      </c>
      <c r="AD80">
        <v>1.96</v>
      </c>
      <c r="AE80" s="40">
        <v>1798.01</v>
      </c>
      <c r="AF80" s="36">
        <v>1.94</v>
      </c>
    </row>
    <row r="81" spans="1:32" x14ac:dyDescent="0.25">
      <c r="A81" s="33">
        <v>44936</v>
      </c>
      <c r="B81" s="34">
        <v>290</v>
      </c>
      <c r="C81" s="22">
        <v>18</v>
      </c>
      <c r="D81" s="22">
        <v>18</v>
      </c>
      <c r="E81" s="22">
        <v>1</v>
      </c>
      <c r="F81" s="22">
        <v>2</v>
      </c>
      <c r="G81" s="22">
        <v>0</v>
      </c>
      <c r="H81" s="44">
        <f t="shared" si="6"/>
        <v>-1</v>
      </c>
      <c r="I81" s="47">
        <f t="shared" si="7"/>
        <v>-5.5555555555555552E-2</v>
      </c>
      <c r="J81" s="44">
        <f t="shared" si="5"/>
        <v>284</v>
      </c>
      <c r="K81" s="22">
        <v>1</v>
      </c>
      <c r="L81" s="22">
        <v>2</v>
      </c>
      <c r="M81" s="22">
        <v>0</v>
      </c>
      <c r="N81" s="44">
        <f t="shared" si="3"/>
        <v>283</v>
      </c>
      <c r="O81" s="22">
        <v>1</v>
      </c>
      <c r="P81" s="22">
        <v>2</v>
      </c>
      <c r="Q81" s="22">
        <v>5</v>
      </c>
      <c r="R81" s="44">
        <f t="shared" si="4"/>
        <v>8</v>
      </c>
      <c r="S81" s="22">
        <v>4</v>
      </c>
      <c r="T81" s="22">
        <v>16</v>
      </c>
      <c r="U81" s="44">
        <f t="shared" si="9"/>
        <v>20</v>
      </c>
      <c r="V81" s="22">
        <v>11</v>
      </c>
      <c r="W81" s="22">
        <v>7</v>
      </c>
      <c r="X81" s="22">
        <v>1</v>
      </c>
      <c r="Y81" s="48">
        <v>0.97239999999999993</v>
      </c>
      <c r="Z81" s="50">
        <v>0.98269999999999991</v>
      </c>
      <c r="AA81" s="47">
        <f t="shared" si="8"/>
        <v>6.5517241379310351E-2</v>
      </c>
      <c r="AB81">
        <v>1821</v>
      </c>
      <c r="AC81">
        <v>528130</v>
      </c>
      <c r="AD81">
        <v>1.96</v>
      </c>
      <c r="AE81" s="40">
        <v>1799.07</v>
      </c>
      <c r="AF81" s="36">
        <v>1.94</v>
      </c>
    </row>
    <row r="82" spans="1:32" x14ac:dyDescent="0.25">
      <c r="A82" s="33">
        <v>44943</v>
      </c>
      <c r="B82" s="34">
        <v>290</v>
      </c>
      <c r="C82" s="22">
        <v>13</v>
      </c>
      <c r="D82" s="22">
        <v>13</v>
      </c>
      <c r="E82" s="22">
        <v>4</v>
      </c>
      <c r="F82" s="22">
        <v>1</v>
      </c>
      <c r="G82" s="22">
        <v>1</v>
      </c>
      <c r="H82" s="44">
        <f t="shared" si="6"/>
        <v>2</v>
      </c>
      <c r="I82" s="47">
        <f t="shared" si="7"/>
        <v>0.15384615384615385</v>
      </c>
      <c r="J82" s="44">
        <f t="shared" si="5"/>
        <v>283</v>
      </c>
      <c r="K82" s="22">
        <v>0</v>
      </c>
      <c r="L82" s="22">
        <v>2</v>
      </c>
      <c r="M82" s="22">
        <v>0</v>
      </c>
      <c r="N82" s="44">
        <f t="shared" si="3"/>
        <v>281</v>
      </c>
      <c r="O82" s="22">
        <v>1</v>
      </c>
      <c r="P82" s="22">
        <v>7</v>
      </c>
      <c r="Q82" s="22">
        <v>2</v>
      </c>
      <c r="R82" s="44">
        <f t="shared" si="4"/>
        <v>10</v>
      </c>
      <c r="S82" s="22">
        <v>4</v>
      </c>
      <c r="T82" s="22">
        <v>16</v>
      </c>
      <c r="U82" s="44">
        <f t="shared" si="9"/>
        <v>20</v>
      </c>
      <c r="V82" s="22">
        <v>7</v>
      </c>
      <c r="W82" s="22">
        <v>10</v>
      </c>
      <c r="X82" s="22">
        <v>1</v>
      </c>
      <c r="Y82" s="48">
        <v>0.96550000000000002</v>
      </c>
      <c r="Z82" s="50">
        <v>0.98620000000000008</v>
      </c>
      <c r="AA82" s="47">
        <f t="shared" si="8"/>
        <v>6.2068965517241378E-2</v>
      </c>
      <c r="AB82">
        <v>1821</v>
      </c>
      <c r="AC82">
        <v>528130</v>
      </c>
      <c r="AD82">
        <v>1.96</v>
      </c>
      <c r="AE82" s="40">
        <v>1799</v>
      </c>
      <c r="AF82" s="36">
        <v>1.94</v>
      </c>
    </row>
    <row r="83" spans="1:32" x14ac:dyDescent="0.25">
      <c r="A83" s="33">
        <v>44949</v>
      </c>
      <c r="B83" s="34">
        <v>290</v>
      </c>
      <c r="C83" s="22">
        <v>34</v>
      </c>
      <c r="D83" s="22">
        <v>34</v>
      </c>
      <c r="E83" s="22">
        <v>4</v>
      </c>
      <c r="F83" s="22">
        <v>2</v>
      </c>
      <c r="G83" s="22">
        <v>0</v>
      </c>
      <c r="H83" s="44">
        <f t="shared" si="6"/>
        <v>2</v>
      </c>
      <c r="I83" s="47">
        <f t="shared" si="7"/>
        <v>5.8823529411764705E-2</v>
      </c>
      <c r="J83" s="44">
        <f t="shared" si="5"/>
        <v>281</v>
      </c>
      <c r="K83" s="22">
        <v>2</v>
      </c>
      <c r="L83" s="22">
        <v>4</v>
      </c>
      <c r="M83" s="22">
        <v>0</v>
      </c>
      <c r="N83" s="44">
        <f t="shared" si="3"/>
        <v>279</v>
      </c>
      <c r="O83" s="22">
        <v>1</v>
      </c>
      <c r="P83" s="22">
        <v>6</v>
      </c>
      <c r="Q83" s="22">
        <v>5</v>
      </c>
      <c r="R83" s="44">
        <f t="shared" si="4"/>
        <v>12</v>
      </c>
      <c r="S83" s="22">
        <v>6</v>
      </c>
      <c r="T83" s="22">
        <v>13</v>
      </c>
      <c r="U83" s="44">
        <f t="shared" si="9"/>
        <v>19</v>
      </c>
      <c r="V83" s="22">
        <v>9</v>
      </c>
      <c r="W83" s="22">
        <v>9</v>
      </c>
      <c r="X83" s="22">
        <v>0</v>
      </c>
      <c r="Y83" s="48">
        <v>0.95860000000000001</v>
      </c>
      <c r="Z83" s="50">
        <v>0.98269999999999991</v>
      </c>
      <c r="AA83" s="47">
        <f t="shared" si="8"/>
        <v>6.2068965517241378E-2</v>
      </c>
      <c r="AB83">
        <v>1821</v>
      </c>
      <c r="AC83">
        <v>528130</v>
      </c>
      <c r="AD83">
        <v>1.96</v>
      </c>
      <c r="AE83" s="40">
        <v>1798.25</v>
      </c>
      <c r="AF83" s="36">
        <v>1.94</v>
      </c>
    </row>
    <row r="84" spans="1:32" x14ac:dyDescent="0.25">
      <c r="A84" s="33">
        <v>44956</v>
      </c>
      <c r="B84" s="34">
        <v>290</v>
      </c>
      <c r="C84" s="22">
        <v>13</v>
      </c>
      <c r="D84" s="22">
        <v>13</v>
      </c>
      <c r="E84" s="22">
        <v>5</v>
      </c>
      <c r="F84" s="22">
        <v>2</v>
      </c>
      <c r="G84" s="22">
        <v>0</v>
      </c>
      <c r="H84" s="44">
        <f t="shared" si="6"/>
        <v>3</v>
      </c>
      <c r="I84" s="47">
        <f t="shared" si="7"/>
        <v>0.23076923076923078</v>
      </c>
      <c r="J84" s="44">
        <f t="shared" si="5"/>
        <v>279</v>
      </c>
      <c r="K84" s="22">
        <v>2</v>
      </c>
      <c r="L84" s="22">
        <v>2</v>
      </c>
      <c r="M84" s="22">
        <v>0</v>
      </c>
      <c r="N84" s="44">
        <f t="shared" si="3"/>
        <v>279</v>
      </c>
      <c r="O84" s="22">
        <v>1</v>
      </c>
      <c r="P84" s="22">
        <v>9</v>
      </c>
      <c r="Q84" s="22">
        <v>2</v>
      </c>
      <c r="R84" s="44">
        <f t="shared" si="4"/>
        <v>12</v>
      </c>
      <c r="S84" s="22">
        <v>4</v>
      </c>
      <c r="T84" s="22">
        <v>14</v>
      </c>
      <c r="U84" s="44">
        <f t="shared" si="9"/>
        <v>18</v>
      </c>
      <c r="V84" s="22">
        <v>8</v>
      </c>
      <c r="W84" s="22">
        <v>8</v>
      </c>
      <c r="X84" s="22">
        <v>0</v>
      </c>
      <c r="Y84" s="48">
        <v>0.95860000000000001</v>
      </c>
      <c r="Z84" s="50">
        <v>0.96200000000000008</v>
      </c>
      <c r="AA84" s="47">
        <f t="shared" si="8"/>
        <v>5.5172413793103448E-2</v>
      </c>
      <c r="AB84">
        <v>1821</v>
      </c>
      <c r="AC84">
        <v>528130</v>
      </c>
      <c r="AD84">
        <v>1.96</v>
      </c>
      <c r="AE84" s="40">
        <v>1797.45</v>
      </c>
      <c r="AF84" s="36">
        <v>1.94</v>
      </c>
    </row>
    <row r="85" spans="1:32" x14ac:dyDescent="0.25">
      <c r="A85" s="33">
        <v>44963</v>
      </c>
      <c r="B85" s="34">
        <v>290</v>
      </c>
      <c r="C85" s="22">
        <v>13</v>
      </c>
      <c r="D85" s="22">
        <v>13</v>
      </c>
      <c r="E85" s="22">
        <v>5</v>
      </c>
      <c r="F85" s="22">
        <v>2</v>
      </c>
      <c r="G85" s="22">
        <v>1</v>
      </c>
      <c r="H85" s="44">
        <f t="shared" si="6"/>
        <v>2</v>
      </c>
      <c r="I85" s="47">
        <f t="shared" si="7"/>
        <v>0.15384615384615385</v>
      </c>
      <c r="J85" s="44">
        <f t="shared" si="5"/>
        <v>279</v>
      </c>
      <c r="K85" s="22">
        <v>4</v>
      </c>
      <c r="L85" s="22">
        <v>5</v>
      </c>
      <c r="M85" s="22">
        <v>0</v>
      </c>
      <c r="N85" s="44">
        <f t="shared" si="3"/>
        <v>278</v>
      </c>
      <c r="O85" s="22">
        <v>1</v>
      </c>
      <c r="P85" s="22">
        <v>8</v>
      </c>
      <c r="Q85" s="22">
        <v>4</v>
      </c>
      <c r="R85" s="44">
        <f t="shared" si="4"/>
        <v>13</v>
      </c>
      <c r="S85" s="22">
        <v>5</v>
      </c>
      <c r="T85" s="22">
        <v>13</v>
      </c>
      <c r="U85" s="44">
        <f t="shared" si="9"/>
        <v>18</v>
      </c>
      <c r="V85" s="22">
        <v>8</v>
      </c>
      <c r="W85" s="22">
        <v>9</v>
      </c>
      <c r="X85" s="22">
        <v>0</v>
      </c>
      <c r="Y85" s="48">
        <v>0.95510000000000006</v>
      </c>
      <c r="Z85" s="50">
        <v>0.98620000000000008</v>
      </c>
      <c r="AA85" s="47">
        <f t="shared" si="8"/>
        <v>5.8620689655172413E-2</v>
      </c>
      <c r="AB85">
        <v>1821</v>
      </c>
      <c r="AC85">
        <v>528130</v>
      </c>
      <c r="AD85">
        <v>1.96</v>
      </c>
      <c r="AE85" s="40">
        <v>1798.94</v>
      </c>
      <c r="AF85" s="36">
        <v>1.94</v>
      </c>
    </row>
    <row r="86" spans="1:32" x14ac:dyDescent="0.25">
      <c r="A86" s="33">
        <v>44970</v>
      </c>
      <c r="B86" s="34">
        <v>290</v>
      </c>
      <c r="C86" s="22">
        <v>11</v>
      </c>
      <c r="D86" s="22">
        <v>11</v>
      </c>
      <c r="E86" s="22">
        <v>2</v>
      </c>
      <c r="F86" s="22">
        <v>1</v>
      </c>
      <c r="G86" s="22">
        <v>2</v>
      </c>
      <c r="H86" s="44">
        <f t="shared" si="6"/>
        <v>-1</v>
      </c>
      <c r="I86" s="47">
        <f t="shared" si="7"/>
        <v>-9.0909090909090912E-2</v>
      </c>
      <c r="J86" s="44">
        <f t="shared" si="5"/>
        <v>278</v>
      </c>
      <c r="K86" s="22">
        <v>3</v>
      </c>
      <c r="L86" s="22">
        <v>0</v>
      </c>
      <c r="M86" s="22">
        <v>0</v>
      </c>
      <c r="N86" s="44">
        <f t="shared" si="3"/>
        <v>281</v>
      </c>
      <c r="O86" s="22">
        <v>1</v>
      </c>
      <c r="P86" s="22">
        <v>6</v>
      </c>
      <c r="Q86" s="22">
        <v>2</v>
      </c>
      <c r="R86" s="44">
        <f t="shared" si="4"/>
        <v>9</v>
      </c>
      <c r="S86" s="22">
        <v>6</v>
      </c>
      <c r="T86" s="22">
        <v>18</v>
      </c>
      <c r="U86" s="44">
        <f t="shared" si="9"/>
        <v>24</v>
      </c>
      <c r="V86" s="22">
        <v>9</v>
      </c>
      <c r="W86" s="22">
        <v>11</v>
      </c>
      <c r="X86" s="22">
        <v>0</v>
      </c>
      <c r="Y86" s="48">
        <v>0.96889999999999998</v>
      </c>
      <c r="Z86" s="50">
        <v>0.99309999999999998</v>
      </c>
      <c r="AA86" s="47">
        <f t="shared" si="8"/>
        <v>6.8965517241379309E-2</v>
      </c>
      <c r="AB86">
        <v>1821</v>
      </c>
      <c r="AC86">
        <v>528130</v>
      </c>
      <c r="AD86">
        <v>1.96</v>
      </c>
      <c r="AE86" s="40">
        <v>1800.45</v>
      </c>
      <c r="AF86" s="36">
        <v>1.94</v>
      </c>
    </row>
    <row r="87" spans="1:32" x14ac:dyDescent="0.25">
      <c r="A87" s="33">
        <v>44977</v>
      </c>
      <c r="B87" s="34">
        <v>290</v>
      </c>
      <c r="C87" s="22">
        <v>13</v>
      </c>
      <c r="D87" s="22">
        <v>13</v>
      </c>
      <c r="E87" s="22">
        <v>0</v>
      </c>
      <c r="F87" s="22">
        <v>0</v>
      </c>
      <c r="G87" s="22">
        <v>1</v>
      </c>
      <c r="H87" s="44">
        <f t="shared" si="6"/>
        <v>-1</v>
      </c>
      <c r="I87" s="47">
        <f t="shared" si="7"/>
        <v>-7.6923076923076927E-2</v>
      </c>
      <c r="J87" s="44">
        <f t="shared" si="5"/>
        <v>281</v>
      </c>
      <c r="K87" s="22">
        <v>1</v>
      </c>
      <c r="L87" s="22">
        <v>5</v>
      </c>
      <c r="M87" s="22">
        <v>0</v>
      </c>
      <c r="N87" s="44">
        <f t="shared" si="3"/>
        <v>277</v>
      </c>
      <c r="O87" s="22">
        <v>1</v>
      </c>
      <c r="P87" s="22">
        <v>5</v>
      </c>
      <c r="Q87" s="22">
        <v>6</v>
      </c>
      <c r="R87" s="44">
        <f t="shared" si="4"/>
        <v>12</v>
      </c>
      <c r="S87" s="22">
        <v>3</v>
      </c>
      <c r="T87" s="22">
        <v>17</v>
      </c>
      <c r="U87" s="44">
        <f t="shared" si="9"/>
        <v>20</v>
      </c>
      <c r="V87" s="22">
        <v>12</v>
      </c>
      <c r="W87" s="22">
        <v>11</v>
      </c>
      <c r="X87" s="22">
        <v>0</v>
      </c>
      <c r="Y87" s="48">
        <v>0.95860000000000001</v>
      </c>
      <c r="Z87" s="50">
        <v>0.97930000000000006</v>
      </c>
      <c r="AA87" s="47">
        <f t="shared" si="8"/>
        <v>7.9310344827586213E-2</v>
      </c>
      <c r="AB87">
        <v>1821</v>
      </c>
      <c r="AC87">
        <v>528130</v>
      </c>
      <c r="AD87">
        <v>1.96</v>
      </c>
      <c r="AE87" s="40">
        <v>1798</v>
      </c>
      <c r="AF87" s="36">
        <v>1.94</v>
      </c>
    </row>
    <row r="88" spans="1:32" x14ac:dyDescent="0.25">
      <c r="A88" s="33">
        <v>44985</v>
      </c>
      <c r="B88" s="34">
        <v>290</v>
      </c>
      <c r="C88" s="22">
        <v>32</v>
      </c>
      <c r="D88" s="22">
        <v>32</v>
      </c>
      <c r="E88" s="22">
        <v>3</v>
      </c>
      <c r="F88" s="22">
        <v>0</v>
      </c>
      <c r="G88" s="22">
        <v>1</v>
      </c>
      <c r="H88" s="44">
        <f t="shared" si="6"/>
        <v>2</v>
      </c>
      <c r="I88" s="47">
        <f t="shared" si="7"/>
        <v>6.25E-2</v>
      </c>
      <c r="J88" s="44">
        <f t="shared" si="5"/>
        <v>277</v>
      </c>
      <c r="K88" s="22">
        <v>3</v>
      </c>
      <c r="L88" s="22">
        <v>2</v>
      </c>
      <c r="M88" s="22">
        <v>0</v>
      </c>
      <c r="N88" s="44">
        <f t="shared" si="3"/>
        <v>278</v>
      </c>
      <c r="O88" s="22">
        <v>1</v>
      </c>
      <c r="P88" s="22">
        <v>6</v>
      </c>
      <c r="Q88" s="22">
        <v>4</v>
      </c>
      <c r="R88" s="44">
        <f t="shared" si="4"/>
        <v>11</v>
      </c>
      <c r="S88" s="22">
        <v>6</v>
      </c>
      <c r="T88" s="22">
        <v>16</v>
      </c>
      <c r="U88" s="44">
        <f t="shared" si="9"/>
        <v>22</v>
      </c>
      <c r="V88" s="22">
        <v>14</v>
      </c>
      <c r="W88" s="22">
        <v>6</v>
      </c>
      <c r="X88" s="22">
        <v>0</v>
      </c>
      <c r="Y88" s="48">
        <v>0.96200000000000008</v>
      </c>
      <c r="Z88" s="50">
        <v>0.98620000000000008</v>
      </c>
      <c r="AA88" s="47">
        <f t="shared" si="8"/>
        <v>6.8965517241379309E-2</v>
      </c>
      <c r="AB88">
        <v>1821</v>
      </c>
      <c r="AC88">
        <v>528130</v>
      </c>
      <c r="AD88">
        <v>1.96</v>
      </c>
      <c r="AE88" s="40">
        <v>1794.11</v>
      </c>
      <c r="AF88" s="36">
        <v>1.94</v>
      </c>
    </row>
    <row r="89" spans="1:32" x14ac:dyDescent="0.25">
      <c r="A89" s="33">
        <v>44992</v>
      </c>
      <c r="B89" s="34">
        <v>290</v>
      </c>
      <c r="C89" s="22">
        <v>14</v>
      </c>
      <c r="D89" s="22">
        <v>14</v>
      </c>
      <c r="E89" s="22">
        <v>6</v>
      </c>
      <c r="F89" s="22">
        <v>1</v>
      </c>
      <c r="G89" s="22">
        <v>1</v>
      </c>
      <c r="H89" s="44">
        <f t="shared" si="6"/>
        <v>4</v>
      </c>
      <c r="I89" s="47">
        <f t="shared" si="7"/>
        <v>0.2857142857142857</v>
      </c>
      <c r="J89" s="44">
        <f t="shared" si="5"/>
        <v>278</v>
      </c>
      <c r="K89" s="22">
        <v>3</v>
      </c>
      <c r="L89" s="22">
        <v>6</v>
      </c>
      <c r="M89" s="22">
        <v>0</v>
      </c>
      <c r="N89" s="44">
        <f t="shared" si="3"/>
        <v>275</v>
      </c>
      <c r="O89" s="22">
        <v>1</v>
      </c>
      <c r="P89" s="22">
        <v>7</v>
      </c>
      <c r="Q89" s="22">
        <v>6</v>
      </c>
      <c r="R89" s="44">
        <f t="shared" si="4"/>
        <v>14</v>
      </c>
      <c r="S89" s="22">
        <v>7</v>
      </c>
      <c r="T89" s="22">
        <v>14</v>
      </c>
      <c r="U89" s="44">
        <f t="shared" si="9"/>
        <v>21</v>
      </c>
      <c r="V89" s="22">
        <v>17</v>
      </c>
      <c r="W89" s="22">
        <v>3</v>
      </c>
      <c r="X89" s="22">
        <v>0</v>
      </c>
      <c r="Y89" s="48">
        <v>0.95169999999999999</v>
      </c>
      <c r="Z89" s="50">
        <v>0.97930000000000006</v>
      </c>
      <c r="AA89" s="47">
        <f t="shared" si="8"/>
        <v>6.8965517241379309E-2</v>
      </c>
      <c r="AB89">
        <v>1821</v>
      </c>
      <c r="AC89">
        <v>528130</v>
      </c>
      <c r="AD89">
        <v>1.96</v>
      </c>
      <c r="AE89" s="40">
        <v>1791</v>
      </c>
      <c r="AF89" s="36">
        <v>1.94</v>
      </c>
    </row>
    <row r="90" spans="1:32" x14ac:dyDescent="0.25">
      <c r="A90" s="33">
        <v>44999</v>
      </c>
      <c r="B90" s="34">
        <v>290</v>
      </c>
      <c r="C90" s="22">
        <v>18</v>
      </c>
      <c r="D90" s="22">
        <v>18</v>
      </c>
      <c r="E90" s="22">
        <v>3</v>
      </c>
      <c r="F90" s="22">
        <v>1</v>
      </c>
      <c r="G90" s="22">
        <v>1</v>
      </c>
      <c r="H90" s="44">
        <f t="shared" si="6"/>
        <v>1</v>
      </c>
      <c r="I90" s="47">
        <f t="shared" si="7"/>
        <v>5.5555555555555552E-2</v>
      </c>
      <c r="J90" s="44">
        <f t="shared" si="5"/>
        <v>275</v>
      </c>
      <c r="K90" s="22">
        <v>4</v>
      </c>
      <c r="L90" s="22">
        <v>2</v>
      </c>
      <c r="M90" s="22">
        <v>0</v>
      </c>
      <c r="N90" s="44">
        <f t="shared" si="3"/>
        <v>277</v>
      </c>
      <c r="O90" s="22">
        <v>1</v>
      </c>
      <c r="P90" s="22">
        <v>4</v>
      </c>
      <c r="Q90" s="22">
        <v>7</v>
      </c>
      <c r="R90" s="44">
        <f t="shared" si="4"/>
        <v>12</v>
      </c>
      <c r="S90" s="22">
        <v>7</v>
      </c>
      <c r="T90" s="22">
        <v>14</v>
      </c>
      <c r="U90" s="44">
        <f t="shared" si="9"/>
        <v>21</v>
      </c>
      <c r="V90" s="22">
        <v>17</v>
      </c>
      <c r="W90" s="22">
        <v>4</v>
      </c>
      <c r="X90" s="22">
        <v>0</v>
      </c>
      <c r="Y90" s="48">
        <v>0.95860000000000001</v>
      </c>
      <c r="Z90" s="50">
        <v>0.9758</v>
      </c>
      <c r="AA90" s="47">
        <f t="shared" si="8"/>
        <v>7.2413793103448282E-2</v>
      </c>
      <c r="AB90">
        <v>1821</v>
      </c>
      <c r="AC90">
        <v>528130</v>
      </c>
      <c r="AD90">
        <v>1.96</v>
      </c>
      <c r="AE90" s="40">
        <v>1790.64</v>
      </c>
      <c r="AF90" s="36">
        <v>1.94</v>
      </c>
    </row>
    <row r="91" spans="1:32" x14ac:dyDescent="0.25">
      <c r="A91" s="33">
        <v>45006</v>
      </c>
      <c r="B91" s="34">
        <v>290</v>
      </c>
      <c r="C91" s="22">
        <v>24</v>
      </c>
      <c r="D91" s="22">
        <v>24</v>
      </c>
      <c r="E91" s="22">
        <v>6</v>
      </c>
      <c r="F91" s="22">
        <v>0</v>
      </c>
      <c r="G91" s="22">
        <v>2</v>
      </c>
      <c r="H91" s="44">
        <f t="shared" si="6"/>
        <v>4</v>
      </c>
      <c r="I91" s="47">
        <f t="shared" si="7"/>
        <v>0.16666666666666666</v>
      </c>
      <c r="J91" s="44">
        <f t="shared" si="5"/>
        <v>277</v>
      </c>
      <c r="K91" s="22">
        <v>1</v>
      </c>
      <c r="L91" s="22">
        <v>4</v>
      </c>
      <c r="M91" s="22">
        <v>0</v>
      </c>
      <c r="N91" s="44">
        <f t="shared" si="3"/>
        <v>274</v>
      </c>
      <c r="O91" s="22">
        <v>1</v>
      </c>
      <c r="P91" s="22">
        <v>8</v>
      </c>
      <c r="Q91" s="22">
        <v>6</v>
      </c>
      <c r="R91" s="44">
        <f t="shared" si="4"/>
        <v>15</v>
      </c>
      <c r="S91" s="22">
        <v>6</v>
      </c>
      <c r="T91" s="22">
        <v>9</v>
      </c>
      <c r="U91" s="44">
        <f t="shared" si="9"/>
        <v>15</v>
      </c>
      <c r="V91" s="22">
        <v>12</v>
      </c>
      <c r="W91" s="22">
        <v>3</v>
      </c>
      <c r="X91" s="22">
        <v>0</v>
      </c>
      <c r="Y91" s="48">
        <v>0.94819999999999993</v>
      </c>
      <c r="Z91" s="50">
        <v>0.97930000000000006</v>
      </c>
      <c r="AA91" s="47">
        <f t="shared" si="8"/>
        <v>5.1724137931034482E-2</v>
      </c>
      <c r="AB91">
        <v>1821</v>
      </c>
      <c r="AC91">
        <v>528130</v>
      </c>
      <c r="AD91">
        <v>1.96</v>
      </c>
      <c r="AE91" s="40">
        <v>1791</v>
      </c>
      <c r="AF91" s="36">
        <v>1.94</v>
      </c>
    </row>
    <row r="92" spans="1:32" x14ac:dyDescent="0.25">
      <c r="A92" s="33">
        <v>45013</v>
      </c>
      <c r="B92" s="34">
        <v>290</v>
      </c>
      <c r="C92" s="22">
        <v>27</v>
      </c>
      <c r="D92" s="22">
        <v>27</v>
      </c>
      <c r="E92" s="22">
        <v>5</v>
      </c>
      <c r="F92" s="22">
        <v>2</v>
      </c>
      <c r="G92" s="22">
        <v>1</v>
      </c>
      <c r="H92" s="44">
        <f t="shared" si="6"/>
        <v>2</v>
      </c>
      <c r="I92" s="47">
        <f t="shared" si="7"/>
        <v>7.407407407407407E-2</v>
      </c>
      <c r="J92" s="44">
        <f t="shared" si="5"/>
        <v>274</v>
      </c>
      <c r="K92" s="22">
        <v>3</v>
      </c>
      <c r="L92" s="22">
        <v>5</v>
      </c>
      <c r="M92" s="22">
        <v>0</v>
      </c>
      <c r="N92" s="44">
        <f t="shared" si="3"/>
        <v>272</v>
      </c>
      <c r="O92" s="22">
        <v>1</v>
      </c>
      <c r="P92" s="22">
        <v>8</v>
      </c>
      <c r="Q92" s="22">
        <v>7</v>
      </c>
      <c r="R92" s="44">
        <f t="shared" si="4"/>
        <v>16</v>
      </c>
      <c r="S92" s="22">
        <v>5</v>
      </c>
      <c r="T92" s="22">
        <v>16</v>
      </c>
      <c r="U92" s="44">
        <f t="shared" si="9"/>
        <v>21</v>
      </c>
      <c r="V92" s="22">
        <v>18</v>
      </c>
      <c r="W92" s="22">
        <v>4</v>
      </c>
      <c r="X92" s="22">
        <v>0</v>
      </c>
      <c r="Y92" s="48">
        <v>0.94480000000000008</v>
      </c>
      <c r="Z92" s="50">
        <v>0.9758</v>
      </c>
      <c r="AA92" s="47">
        <f t="shared" si="8"/>
        <v>7.586206896551724E-2</v>
      </c>
      <c r="AB92">
        <v>1821</v>
      </c>
      <c r="AC92">
        <v>528130</v>
      </c>
      <c r="AD92">
        <v>1.96</v>
      </c>
      <c r="AE92" s="40">
        <v>1793.48</v>
      </c>
      <c r="AF92" s="36">
        <v>1.94</v>
      </c>
    </row>
    <row r="93" spans="1:32" x14ac:dyDescent="0.25">
      <c r="A93" s="33">
        <v>45020</v>
      </c>
      <c r="B93" s="34">
        <v>290</v>
      </c>
      <c r="C93" s="22">
        <v>24</v>
      </c>
      <c r="D93" s="22">
        <v>24</v>
      </c>
      <c r="E93" s="22">
        <v>5</v>
      </c>
      <c r="F93" s="22">
        <v>1</v>
      </c>
      <c r="G93" s="22">
        <v>1</v>
      </c>
      <c r="H93" s="44">
        <f t="shared" si="6"/>
        <v>3</v>
      </c>
      <c r="I93" s="47">
        <f t="shared" si="7"/>
        <v>0.125</v>
      </c>
      <c r="J93" s="44">
        <f t="shared" si="5"/>
        <v>272</v>
      </c>
      <c r="K93" s="22">
        <v>5</v>
      </c>
      <c r="L93" s="22">
        <v>1</v>
      </c>
      <c r="M93" s="22">
        <v>0</v>
      </c>
      <c r="N93" s="44">
        <f t="shared" si="3"/>
        <v>276</v>
      </c>
      <c r="O93" s="22">
        <v>1</v>
      </c>
      <c r="P93" s="22">
        <v>6</v>
      </c>
      <c r="Q93" s="22">
        <v>6</v>
      </c>
      <c r="R93" s="44">
        <f t="shared" si="4"/>
        <v>13</v>
      </c>
      <c r="S93" s="22">
        <v>5</v>
      </c>
      <c r="T93" s="22">
        <v>18</v>
      </c>
      <c r="U93" s="44">
        <f t="shared" si="9"/>
        <v>23</v>
      </c>
      <c r="V93" s="22">
        <v>17</v>
      </c>
      <c r="W93" s="22">
        <v>7</v>
      </c>
      <c r="X93" s="22">
        <v>0</v>
      </c>
      <c r="Y93" s="48">
        <v>0.95510000000000006</v>
      </c>
      <c r="Z93" s="50">
        <v>0.97930000000000006</v>
      </c>
      <c r="AA93" s="47">
        <f t="shared" si="8"/>
        <v>8.2758620689655171E-2</v>
      </c>
      <c r="AB93">
        <v>1821</v>
      </c>
      <c r="AC93">
        <v>528130</v>
      </c>
      <c r="AD93">
        <v>1.96</v>
      </c>
      <c r="AE93" s="40">
        <v>1791.77</v>
      </c>
      <c r="AF93" s="36">
        <v>1.94</v>
      </c>
    </row>
    <row r="94" spans="1:32" x14ac:dyDescent="0.25">
      <c r="A94" s="33">
        <v>45027</v>
      </c>
      <c r="B94" s="34">
        <v>290</v>
      </c>
      <c r="C94" s="22">
        <v>22</v>
      </c>
      <c r="D94" s="22">
        <v>22</v>
      </c>
      <c r="E94" s="22">
        <v>6</v>
      </c>
      <c r="F94" s="22">
        <v>1</v>
      </c>
      <c r="G94" s="22">
        <v>0</v>
      </c>
      <c r="H94" s="44">
        <f t="shared" si="6"/>
        <v>5</v>
      </c>
      <c r="I94" s="47">
        <f t="shared" si="7"/>
        <v>0.22727272727272727</v>
      </c>
      <c r="J94" s="44">
        <f t="shared" si="5"/>
        <v>276</v>
      </c>
      <c r="K94" s="22">
        <v>3</v>
      </c>
      <c r="L94" s="22">
        <v>4</v>
      </c>
      <c r="M94" s="22">
        <v>1</v>
      </c>
      <c r="N94" s="44">
        <f t="shared" si="3"/>
        <v>275</v>
      </c>
      <c r="O94" s="22">
        <v>1</v>
      </c>
      <c r="P94" s="22">
        <v>9</v>
      </c>
      <c r="Q94" s="22">
        <v>4</v>
      </c>
      <c r="R94" s="44">
        <f t="shared" si="4"/>
        <v>14</v>
      </c>
      <c r="S94" s="22">
        <v>7</v>
      </c>
      <c r="T94" s="22">
        <v>17</v>
      </c>
      <c r="U94" s="44">
        <f t="shared" si="9"/>
        <v>24</v>
      </c>
      <c r="V94" s="22">
        <v>15</v>
      </c>
      <c r="W94" s="22">
        <v>6</v>
      </c>
      <c r="X94" s="22">
        <v>0</v>
      </c>
      <c r="Y94" s="48">
        <v>0.95169999999999999</v>
      </c>
      <c r="Z94" s="50">
        <v>0.98620000000000008</v>
      </c>
      <c r="AA94" s="47">
        <f t="shared" si="8"/>
        <v>7.2413793103448282E-2</v>
      </c>
      <c r="AB94">
        <v>1821</v>
      </c>
      <c r="AC94">
        <v>528130</v>
      </c>
      <c r="AD94">
        <v>1.96</v>
      </c>
      <c r="AE94" s="40">
        <v>1790.42</v>
      </c>
      <c r="AF94" s="36">
        <v>1.94</v>
      </c>
    </row>
    <row r="95" spans="1:32" x14ac:dyDescent="0.25">
      <c r="A95" s="33">
        <v>45034</v>
      </c>
      <c r="B95" s="34">
        <v>290</v>
      </c>
      <c r="C95" s="22">
        <v>17</v>
      </c>
      <c r="D95" s="22">
        <v>17</v>
      </c>
      <c r="E95" s="22">
        <v>4</v>
      </c>
      <c r="F95" s="22">
        <v>1</v>
      </c>
      <c r="G95" s="22">
        <v>0</v>
      </c>
      <c r="H95" s="44">
        <f t="shared" si="6"/>
        <v>3</v>
      </c>
      <c r="I95" s="47">
        <f t="shared" si="7"/>
        <v>0.17647058823529413</v>
      </c>
      <c r="J95" s="44">
        <f t="shared" si="5"/>
        <v>275</v>
      </c>
      <c r="K95" s="22">
        <v>3</v>
      </c>
      <c r="L95" s="22">
        <v>0</v>
      </c>
      <c r="M95" s="22">
        <v>0</v>
      </c>
      <c r="N95" s="44">
        <f t="shared" si="3"/>
        <v>278</v>
      </c>
      <c r="O95" s="22">
        <v>1</v>
      </c>
      <c r="P95" s="22">
        <v>5</v>
      </c>
      <c r="Q95" s="22">
        <v>5</v>
      </c>
      <c r="R95" s="44">
        <f t="shared" si="4"/>
        <v>11</v>
      </c>
      <c r="S95" s="22">
        <v>11</v>
      </c>
      <c r="T95" s="22">
        <v>19</v>
      </c>
      <c r="U95" s="44">
        <f t="shared" si="9"/>
        <v>30</v>
      </c>
      <c r="V95" s="22">
        <v>17</v>
      </c>
      <c r="W95" s="22">
        <v>6</v>
      </c>
      <c r="X95" s="22">
        <v>1</v>
      </c>
      <c r="Y95" s="48">
        <v>0.96200000000000008</v>
      </c>
      <c r="Z95" s="50">
        <v>0.98269999999999991</v>
      </c>
      <c r="AA95" s="47">
        <f t="shared" si="8"/>
        <v>8.2758620689655171E-2</v>
      </c>
      <c r="AB95">
        <v>1821</v>
      </c>
      <c r="AC95">
        <v>528130</v>
      </c>
      <c r="AD95">
        <v>1.96</v>
      </c>
      <c r="AE95" s="40">
        <v>1794.57</v>
      </c>
      <c r="AF95" s="36">
        <v>1.94</v>
      </c>
    </row>
    <row r="96" spans="1:32" x14ac:dyDescent="0.25">
      <c r="A96" s="33">
        <v>45041</v>
      </c>
      <c r="B96" s="34">
        <v>290</v>
      </c>
      <c r="C96" s="22">
        <v>22</v>
      </c>
      <c r="D96" s="22">
        <v>22</v>
      </c>
      <c r="E96" s="22">
        <v>10</v>
      </c>
      <c r="F96" s="22">
        <v>3</v>
      </c>
      <c r="G96" s="22">
        <v>0</v>
      </c>
      <c r="H96" s="44">
        <f t="shared" si="6"/>
        <v>7</v>
      </c>
      <c r="I96" s="47">
        <f t="shared" si="7"/>
        <v>0.31818181818181818</v>
      </c>
      <c r="J96" s="44">
        <f t="shared" si="5"/>
        <v>278</v>
      </c>
      <c r="K96" s="22">
        <v>3</v>
      </c>
      <c r="L96" s="22">
        <v>4</v>
      </c>
      <c r="M96" s="22">
        <v>0</v>
      </c>
      <c r="N96" s="44">
        <f t="shared" si="3"/>
        <v>277</v>
      </c>
      <c r="O96" s="22">
        <v>1</v>
      </c>
      <c r="P96" s="22">
        <v>8</v>
      </c>
      <c r="Q96" s="22">
        <v>4</v>
      </c>
      <c r="R96" s="44">
        <f t="shared" si="4"/>
        <v>13</v>
      </c>
      <c r="S96" s="22">
        <v>13</v>
      </c>
      <c r="T96" s="22">
        <v>14</v>
      </c>
      <c r="U96" s="44">
        <f t="shared" si="9"/>
        <v>27</v>
      </c>
      <c r="V96" s="22">
        <v>12</v>
      </c>
      <c r="W96" s="22">
        <v>6</v>
      </c>
      <c r="X96" s="22">
        <v>0</v>
      </c>
      <c r="Y96" s="48">
        <v>0.95510000000000006</v>
      </c>
      <c r="Z96" s="50">
        <v>0.98620000000000008</v>
      </c>
      <c r="AA96" s="47">
        <f t="shared" si="8"/>
        <v>6.2068965517241378E-2</v>
      </c>
      <c r="AB96">
        <v>1821</v>
      </c>
      <c r="AC96">
        <v>528130</v>
      </c>
      <c r="AD96">
        <v>1.96</v>
      </c>
      <c r="AE96" s="40">
        <v>1813.53</v>
      </c>
      <c r="AF96" s="36">
        <v>1.94</v>
      </c>
    </row>
    <row r="97" spans="1:32" x14ac:dyDescent="0.25">
      <c r="A97" s="33">
        <v>45048</v>
      </c>
      <c r="B97">
        <v>290</v>
      </c>
      <c r="C97">
        <v>9</v>
      </c>
      <c r="D97">
        <v>9</v>
      </c>
      <c r="E97">
        <v>7</v>
      </c>
      <c r="F97">
        <v>1</v>
      </c>
      <c r="G97">
        <v>2</v>
      </c>
      <c r="H97" s="44">
        <f t="shared" si="6"/>
        <v>4</v>
      </c>
      <c r="I97" s="47">
        <f t="shared" si="7"/>
        <v>0.44444444444444442</v>
      </c>
      <c r="J97" s="44">
        <f t="shared" si="5"/>
        <v>277</v>
      </c>
      <c r="K97">
        <v>3</v>
      </c>
      <c r="L97">
        <v>3</v>
      </c>
      <c r="M97">
        <v>0</v>
      </c>
      <c r="N97" s="44">
        <f t="shared" si="3"/>
        <v>277</v>
      </c>
      <c r="O97">
        <v>1</v>
      </c>
      <c r="P97">
        <v>8</v>
      </c>
      <c r="Q97">
        <v>4</v>
      </c>
      <c r="R97" s="44">
        <f t="shared" si="4"/>
        <v>13</v>
      </c>
      <c r="S97">
        <v>11</v>
      </c>
      <c r="T97">
        <v>18</v>
      </c>
      <c r="U97" s="44">
        <f t="shared" si="9"/>
        <v>29</v>
      </c>
      <c r="V97">
        <v>16</v>
      </c>
      <c r="W97">
        <v>5</v>
      </c>
      <c r="X97">
        <v>0</v>
      </c>
      <c r="Y97" s="46">
        <v>95.51</v>
      </c>
      <c r="Z97" s="48">
        <v>0.98599999999999999</v>
      </c>
      <c r="AA97" s="47">
        <f t="shared" si="8"/>
        <v>7.2413793103448282E-2</v>
      </c>
      <c r="AB97">
        <v>1821</v>
      </c>
      <c r="AC97">
        <v>528130</v>
      </c>
      <c r="AD97">
        <v>1.96</v>
      </c>
      <c r="AE97">
        <v>1821</v>
      </c>
      <c r="AF97">
        <v>1.94</v>
      </c>
    </row>
    <row r="98" spans="1:32" x14ac:dyDescent="0.25">
      <c r="A98" s="33">
        <v>45055</v>
      </c>
      <c r="B98" s="34">
        <v>290</v>
      </c>
      <c r="C98" s="22">
        <v>12</v>
      </c>
      <c r="D98" s="22">
        <v>12</v>
      </c>
      <c r="E98" s="22">
        <v>4</v>
      </c>
      <c r="F98" s="22">
        <v>0</v>
      </c>
      <c r="G98" s="22">
        <v>2</v>
      </c>
      <c r="H98" s="44">
        <f t="shared" si="6"/>
        <v>2</v>
      </c>
      <c r="I98" s="47">
        <f t="shared" si="7"/>
        <v>0.16666666666666666</v>
      </c>
      <c r="J98" s="44">
        <f t="shared" si="5"/>
        <v>277</v>
      </c>
      <c r="K98" s="22">
        <v>3</v>
      </c>
      <c r="L98" s="22">
        <v>2</v>
      </c>
      <c r="M98" s="22">
        <v>0</v>
      </c>
      <c r="N98" s="44">
        <f t="shared" si="3"/>
        <v>278</v>
      </c>
      <c r="O98" s="22">
        <v>1</v>
      </c>
      <c r="P98" s="22">
        <v>6</v>
      </c>
      <c r="Q98" s="22">
        <v>5</v>
      </c>
      <c r="R98" s="44">
        <f t="shared" si="4"/>
        <v>12</v>
      </c>
      <c r="S98" s="22">
        <v>13</v>
      </c>
      <c r="T98" s="22">
        <v>19</v>
      </c>
      <c r="U98" s="44">
        <f t="shared" si="9"/>
        <v>32</v>
      </c>
      <c r="V98" s="22">
        <v>15</v>
      </c>
      <c r="W98" s="22">
        <v>9</v>
      </c>
      <c r="X98" s="22">
        <v>0</v>
      </c>
      <c r="Y98" s="48">
        <v>0.95860000000000001</v>
      </c>
      <c r="Z98" s="50">
        <v>0.98269999999999991</v>
      </c>
      <c r="AA98" s="47">
        <f t="shared" si="8"/>
        <v>8.2758620689655171E-2</v>
      </c>
      <c r="AB98">
        <v>1821</v>
      </c>
      <c r="AC98">
        <v>528130</v>
      </c>
      <c r="AD98">
        <v>1.96</v>
      </c>
      <c r="AE98" s="40">
        <v>1816.24</v>
      </c>
      <c r="AF98" s="36">
        <v>1.95</v>
      </c>
    </row>
    <row r="99" spans="1:32" x14ac:dyDescent="0.25">
      <c r="A99" s="33">
        <v>45062</v>
      </c>
      <c r="B99">
        <v>290</v>
      </c>
      <c r="C99">
        <v>10</v>
      </c>
      <c r="D99">
        <v>10</v>
      </c>
      <c r="E99">
        <v>2</v>
      </c>
      <c r="F99">
        <v>0</v>
      </c>
      <c r="G99">
        <v>2</v>
      </c>
      <c r="H99" s="44">
        <f t="shared" si="6"/>
        <v>0</v>
      </c>
      <c r="I99" s="47">
        <f t="shared" si="7"/>
        <v>0</v>
      </c>
      <c r="J99" s="44">
        <f t="shared" si="5"/>
        <v>278</v>
      </c>
      <c r="K99">
        <v>2</v>
      </c>
      <c r="L99">
        <v>1</v>
      </c>
      <c r="M99">
        <v>0</v>
      </c>
      <c r="N99" s="44">
        <f t="shared" si="3"/>
        <v>279</v>
      </c>
      <c r="O99">
        <v>1</v>
      </c>
      <c r="P99">
        <v>3</v>
      </c>
      <c r="Q99">
        <v>7</v>
      </c>
      <c r="R99" s="44">
        <f t="shared" si="4"/>
        <v>11</v>
      </c>
      <c r="S99">
        <v>12</v>
      </c>
      <c r="T99">
        <v>21</v>
      </c>
      <c r="U99" s="44">
        <f t="shared" si="9"/>
        <v>33</v>
      </c>
      <c r="V99">
        <v>20</v>
      </c>
      <c r="W99">
        <v>10</v>
      </c>
      <c r="X99">
        <v>0</v>
      </c>
      <c r="Y99" s="48">
        <f>(N99/B99)</f>
        <v>0.96206896551724141</v>
      </c>
      <c r="Z99" s="48">
        <f>(N99+P99)/B99</f>
        <v>0.97241379310344822</v>
      </c>
      <c r="AA99" s="48">
        <f>(T99+Q99)/B99</f>
        <v>9.6551724137931033E-2</v>
      </c>
      <c r="AB99">
        <v>1821</v>
      </c>
      <c r="AC99">
        <v>528130</v>
      </c>
      <c r="AD99">
        <v>1.96</v>
      </c>
      <c r="AE99">
        <v>1813</v>
      </c>
      <c r="AF99">
        <v>1.95</v>
      </c>
    </row>
    <row r="100" spans="1:32" x14ac:dyDescent="0.25">
      <c r="A100" s="33">
        <v>45069</v>
      </c>
      <c r="B100">
        <v>290</v>
      </c>
      <c r="C100">
        <v>16</v>
      </c>
      <c r="D100">
        <v>16</v>
      </c>
      <c r="E100">
        <v>2</v>
      </c>
      <c r="F100">
        <v>1</v>
      </c>
      <c r="G100">
        <v>1</v>
      </c>
      <c r="H100" s="44">
        <f t="shared" ref="H100:H163" si="10">E100-F100-G100</f>
        <v>0</v>
      </c>
      <c r="I100" s="47">
        <f t="shared" ref="I100:I163" si="11">H100/D100</f>
        <v>0</v>
      </c>
      <c r="J100" s="44">
        <f t="shared" ref="J100:J163" si="12">N99</f>
        <v>279</v>
      </c>
      <c r="K100">
        <v>2</v>
      </c>
      <c r="L100">
        <v>5</v>
      </c>
      <c r="M100">
        <v>0</v>
      </c>
      <c r="N100" s="44">
        <f t="shared" si="3"/>
        <v>276</v>
      </c>
      <c r="O100">
        <v>1</v>
      </c>
      <c r="P100">
        <v>4</v>
      </c>
      <c r="Q100">
        <v>10</v>
      </c>
      <c r="R100" s="44">
        <f t="shared" si="4"/>
        <v>15</v>
      </c>
      <c r="S100">
        <v>9</v>
      </c>
      <c r="T100">
        <v>24</v>
      </c>
      <c r="U100" s="44">
        <f t="shared" si="9"/>
        <v>33</v>
      </c>
      <c r="V100">
        <v>21</v>
      </c>
      <c r="W100">
        <v>13</v>
      </c>
      <c r="X100">
        <v>1</v>
      </c>
      <c r="Y100" s="48">
        <f>(N100/B100)</f>
        <v>0.9517241379310345</v>
      </c>
      <c r="Z100" s="48">
        <f>(N100+P100)/B100</f>
        <v>0.96551724137931039</v>
      </c>
      <c r="AA100" s="48">
        <f>(T100+Q100)/B100</f>
        <v>0.11724137931034483</v>
      </c>
      <c r="AB100">
        <v>1821</v>
      </c>
      <c r="AC100">
        <v>528130</v>
      </c>
      <c r="AD100">
        <v>1.96</v>
      </c>
      <c r="AE100">
        <v>1812</v>
      </c>
      <c r="AF100">
        <v>1.95</v>
      </c>
    </row>
    <row r="101" spans="1:32" x14ac:dyDescent="0.25">
      <c r="A101" s="33">
        <v>45076</v>
      </c>
      <c r="B101">
        <v>290</v>
      </c>
      <c r="C101">
        <v>25</v>
      </c>
      <c r="D101">
        <v>25</v>
      </c>
      <c r="E101">
        <v>9</v>
      </c>
      <c r="F101">
        <v>0</v>
      </c>
      <c r="G101">
        <v>1</v>
      </c>
      <c r="H101" s="44">
        <f t="shared" si="10"/>
        <v>8</v>
      </c>
      <c r="I101" s="47">
        <f t="shared" si="11"/>
        <v>0.32</v>
      </c>
      <c r="J101" s="44">
        <f t="shared" si="12"/>
        <v>276</v>
      </c>
      <c r="K101">
        <v>0</v>
      </c>
      <c r="L101">
        <v>3</v>
      </c>
      <c r="M101">
        <v>0</v>
      </c>
      <c r="N101" s="44">
        <f t="shared" si="3"/>
        <v>273</v>
      </c>
      <c r="O101">
        <v>1</v>
      </c>
      <c r="P101">
        <v>10</v>
      </c>
      <c r="Q101">
        <v>7</v>
      </c>
      <c r="R101" s="44">
        <f t="shared" si="4"/>
        <v>18</v>
      </c>
      <c r="S101">
        <v>11</v>
      </c>
      <c r="T101">
        <v>19</v>
      </c>
      <c r="U101" s="44">
        <f t="shared" si="9"/>
        <v>30</v>
      </c>
      <c r="V101">
        <v>13</v>
      </c>
      <c r="W101">
        <v>12</v>
      </c>
      <c r="X101">
        <v>1</v>
      </c>
      <c r="Y101" s="48">
        <f t="shared" ref="Y101:Y164" si="13">(N101/B101)</f>
        <v>0.94137931034482758</v>
      </c>
      <c r="Z101" s="48">
        <f t="shared" ref="Z101:Z164" si="14">(N101+P101)/B101</f>
        <v>0.97586206896551719</v>
      </c>
      <c r="AA101" s="48">
        <f t="shared" ref="AA101:AA164" si="15">(T101+Q101)/B101</f>
        <v>8.9655172413793102E-2</v>
      </c>
      <c r="AB101">
        <v>1821</v>
      </c>
      <c r="AC101">
        <v>528130</v>
      </c>
      <c r="AD101">
        <v>1.96</v>
      </c>
      <c r="AE101">
        <v>1820</v>
      </c>
      <c r="AF101">
        <v>1.96</v>
      </c>
    </row>
    <row r="102" spans="1:32" x14ac:dyDescent="0.25">
      <c r="A102" s="33">
        <v>45083</v>
      </c>
      <c r="B102">
        <v>290</v>
      </c>
      <c r="C102">
        <v>39</v>
      </c>
      <c r="D102">
        <v>39</v>
      </c>
      <c r="E102">
        <v>12</v>
      </c>
      <c r="F102">
        <v>2</v>
      </c>
      <c r="G102">
        <v>4</v>
      </c>
      <c r="H102" s="44">
        <f t="shared" si="10"/>
        <v>6</v>
      </c>
      <c r="I102" s="47">
        <f t="shared" si="11"/>
        <v>0.15384615384615385</v>
      </c>
      <c r="J102" s="44">
        <f t="shared" si="12"/>
        <v>273</v>
      </c>
      <c r="K102">
        <v>2</v>
      </c>
      <c r="L102">
        <v>3</v>
      </c>
      <c r="M102">
        <v>0</v>
      </c>
      <c r="N102" s="44">
        <f t="shared" si="3"/>
        <v>272</v>
      </c>
      <c r="O102">
        <v>1</v>
      </c>
      <c r="P102">
        <v>10</v>
      </c>
      <c r="Q102">
        <v>7</v>
      </c>
      <c r="R102" s="44">
        <f t="shared" si="4"/>
        <v>18</v>
      </c>
      <c r="S102">
        <v>16</v>
      </c>
      <c r="T102">
        <v>20</v>
      </c>
      <c r="U102" s="44">
        <f t="shared" si="9"/>
        <v>36</v>
      </c>
      <c r="V102">
        <v>14</v>
      </c>
      <c r="W102">
        <v>9</v>
      </c>
      <c r="X102">
        <v>0</v>
      </c>
      <c r="Y102" s="48">
        <f t="shared" si="13"/>
        <v>0.93793103448275861</v>
      </c>
      <c r="Z102" s="48">
        <f t="shared" si="14"/>
        <v>0.97241379310344822</v>
      </c>
      <c r="AA102" s="48">
        <f t="shared" si="15"/>
        <v>9.3103448275862075E-2</v>
      </c>
      <c r="AB102">
        <v>1821</v>
      </c>
      <c r="AC102">
        <v>528130</v>
      </c>
      <c r="AD102">
        <v>1.96</v>
      </c>
      <c r="AE102">
        <v>1814</v>
      </c>
      <c r="AF102">
        <v>1.95</v>
      </c>
    </row>
    <row r="103" spans="1:32" x14ac:dyDescent="0.25">
      <c r="A103" s="33">
        <v>45090</v>
      </c>
      <c r="B103">
        <v>290</v>
      </c>
      <c r="C103">
        <v>26</v>
      </c>
      <c r="D103">
        <v>26</v>
      </c>
      <c r="E103">
        <v>12</v>
      </c>
      <c r="F103">
        <v>5</v>
      </c>
      <c r="G103">
        <v>3</v>
      </c>
      <c r="H103" s="44">
        <f t="shared" si="10"/>
        <v>4</v>
      </c>
      <c r="I103" s="47">
        <f t="shared" si="11"/>
        <v>0.15384615384615385</v>
      </c>
      <c r="J103" s="44">
        <f t="shared" si="12"/>
        <v>272</v>
      </c>
      <c r="K103">
        <v>3</v>
      </c>
      <c r="L103">
        <v>5</v>
      </c>
      <c r="M103">
        <v>1</v>
      </c>
      <c r="N103" s="44">
        <f t="shared" si="3"/>
        <v>270</v>
      </c>
      <c r="O103">
        <v>1</v>
      </c>
      <c r="P103">
        <v>10</v>
      </c>
      <c r="Q103">
        <v>8</v>
      </c>
      <c r="R103" s="44">
        <f t="shared" si="4"/>
        <v>19</v>
      </c>
      <c r="S103">
        <v>20</v>
      </c>
      <c r="T103">
        <v>18</v>
      </c>
      <c r="U103" s="44">
        <f t="shared" si="9"/>
        <v>38</v>
      </c>
      <c r="V103">
        <v>16</v>
      </c>
      <c r="W103">
        <v>10</v>
      </c>
      <c r="X103">
        <v>0</v>
      </c>
      <c r="Y103" s="48">
        <f t="shared" si="13"/>
        <v>0.93103448275862066</v>
      </c>
      <c r="Z103" s="48">
        <f t="shared" si="14"/>
        <v>0.96551724137931039</v>
      </c>
      <c r="AA103" s="48">
        <f t="shared" si="15"/>
        <v>8.9655172413793102E-2</v>
      </c>
      <c r="AB103">
        <v>1821</v>
      </c>
      <c r="AC103">
        <v>528130</v>
      </c>
      <c r="AD103">
        <v>1.96</v>
      </c>
      <c r="AE103">
        <v>1806</v>
      </c>
      <c r="AF103">
        <v>1.95</v>
      </c>
    </row>
    <row r="104" spans="1:32" x14ac:dyDescent="0.25">
      <c r="A104" s="33">
        <v>45097</v>
      </c>
      <c r="B104">
        <v>290</v>
      </c>
      <c r="C104">
        <v>20</v>
      </c>
      <c r="D104">
        <v>20</v>
      </c>
      <c r="E104">
        <v>10</v>
      </c>
      <c r="F104">
        <v>4</v>
      </c>
      <c r="G104">
        <v>1</v>
      </c>
      <c r="H104" s="44">
        <f t="shared" si="10"/>
        <v>5</v>
      </c>
      <c r="I104" s="47">
        <f t="shared" si="11"/>
        <v>0.25</v>
      </c>
      <c r="J104" s="44">
        <f t="shared" si="12"/>
        <v>270</v>
      </c>
      <c r="K104">
        <v>3</v>
      </c>
      <c r="L104">
        <v>0</v>
      </c>
      <c r="M104">
        <v>0</v>
      </c>
      <c r="N104" s="44">
        <f t="shared" ref="N104:N167" si="16">J104+K104-L104</f>
        <v>273</v>
      </c>
      <c r="O104">
        <v>1</v>
      </c>
      <c r="P104">
        <v>11</v>
      </c>
      <c r="Q104">
        <v>5</v>
      </c>
      <c r="R104" s="44">
        <f t="shared" ref="R104:R167" si="17">O104+P104+Q104</f>
        <v>17</v>
      </c>
      <c r="S104">
        <v>21</v>
      </c>
      <c r="T104">
        <v>18</v>
      </c>
      <c r="U104" s="44">
        <f t="shared" si="9"/>
        <v>39</v>
      </c>
      <c r="V104">
        <v>11</v>
      </c>
      <c r="W104">
        <v>12</v>
      </c>
      <c r="X104">
        <v>0</v>
      </c>
      <c r="Y104" s="48">
        <f t="shared" si="13"/>
        <v>0.94137931034482758</v>
      </c>
      <c r="Z104" s="48">
        <f t="shared" si="14"/>
        <v>0.97931034482758617</v>
      </c>
      <c r="AA104" s="48">
        <f t="shared" si="15"/>
        <v>7.9310344827586213E-2</v>
      </c>
      <c r="AB104">
        <v>1821</v>
      </c>
      <c r="AC104">
        <v>528130</v>
      </c>
      <c r="AD104">
        <v>1.96</v>
      </c>
      <c r="AE104">
        <v>1802</v>
      </c>
      <c r="AF104">
        <v>1.95</v>
      </c>
    </row>
    <row r="105" spans="1:32" x14ac:dyDescent="0.25">
      <c r="A105" s="33">
        <v>45104</v>
      </c>
      <c r="B105">
        <v>290</v>
      </c>
      <c r="C105">
        <v>29</v>
      </c>
      <c r="D105">
        <v>29</v>
      </c>
      <c r="E105">
        <v>14</v>
      </c>
      <c r="F105">
        <v>3</v>
      </c>
      <c r="G105">
        <v>0</v>
      </c>
      <c r="H105" s="44">
        <f t="shared" si="10"/>
        <v>11</v>
      </c>
      <c r="I105" s="47">
        <f t="shared" si="11"/>
        <v>0.37931034482758619</v>
      </c>
      <c r="J105" s="44">
        <f t="shared" si="12"/>
        <v>273</v>
      </c>
      <c r="K105">
        <v>3</v>
      </c>
      <c r="L105">
        <v>7</v>
      </c>
      <c r="M105">
        <v>0</v>
      </c>
      <c r="N105" s="44">
        <f t="shared" si="16"/>
        <v>269</v>
      </c>
      <c r="O105">
        <v>1</v>
      </c>
      <c r="P105">
        <v>14</v>
      </c>
      <c r="Q105">
        <v>6</v>
      </c>
      <c r="R105" s="44">
        <f t="shared" si="17"/>
        <v>21</v>
      </c>
      <c r="S105">
        <v>27</v>
      </c>
      <c r="T105">
        <v>11</v>
      </c>
      <c r="U105" s="44">
        <f t="shared" si="9"/>
        <v>38</v>
      </c>
      <c r="V105">
        <v>11</v>
      </c>
      <c r="W105">
        <v>5</v>
      </c>
      <c r="X105">
        <v>1</v>
      </c>
      <c r="Y105" s="48">
        <f t="shared" si="13"/>
        <v>0.92758620689655169</v>
      </c>
      <c r="Z105" s="48">
        <f t="shared" si="14"/>
        <v>0.97586206896551719</v>
      </c>
      <c r="AA105" s="48">
        <f t="shared" si="15"/>
        <v>5.8620689655172413E-2</v>
      </c>
      <c r="AB105">
        <v>1821</v>
      </c>
      <c r="AC105">
        <v>528130</v>
      </c>
      <c r="AD105">
        <v>1.96</v>
      </c>
      <c r="AE105">
        <v>1795</v>
      </c>
      <c r="AF105">
        <v>1.94</v>
      </c>
    </row>
    <row r="106" spans="1:32" x14ac:dyDescent="0.25">
      <c r="A106" s="33">
        <v>45111</v>
      </c>
      <c r="B106">
        <v>290</v>
      </c>
      <c r="C106">
        <v>35</v>
      </c>
      <c r="D106">
        <v>35</v>
      </c>
      <c r="E106">
        <v>16</v>
      </c>
      <c r="F106">
        <v>2</v>
      </c>
      <c r="G106">
        <v>2</v>
      </c>
      <c r="H106" s="44">
        <f t="shared" si="10"/>
        <v>12</v>
      </c>
      <c r="I106" s="47">
        <f t="shared" si="11"/>
        <v>0.34285714285714286</v>
      </c>
      <c r="J106" s="44">
        <f t="shared" si="12"/>
        <v>269</v>
      </c>
      <c r="K106">
        <v>7</v>
      </c>
      <c r="L106">
        <v>7</v>
      </c>
      <c r="M106">
        <v>0</v>
      </c>
      <c r="N106" s="44">
        <f t="shared" si="16"/>
        <v>269</v>
      </c>
      <c r="O106">
        <v>1</v>
      </c>
      <c r="P106">
        <v>19</v>
      </c>
      <c r="Q106">
        <v>1</v>
      </c>
      <c r="R106" s="44">
        <f t="shared" si="17"/>
        <v>21</v>
      </c>
      <c r="S106">
        <v>28</v>
      </c>
      <c r="T106">
        <v>6</v>
      </c>
      <c r="U106" s="44">
        <f t="shared" si="9"/>
        <v>34</v>
      </c>
      <c r="V106">
        <v>5</v>
      </c>
      <c r="W106">
        <v>1</v>
      </c>
      <c r="X106">
        <v>0</v>
      </c>
      <c r="Y106" s="48">
        <f t="shared" si="13"/>
        <v>0.92758620689655169</v>
      </c>
      <c r="Z106" s="48">
        <f t="shared" si="14"/>
        <v>0.99310344827586206</v>
      </c>
      <c r="AA106" s="48">
        <f t="shared" si="15"/>
        <v>2.4137931034482758E-2</v>
      </c>
      <c r="AB106">
        <v>1821</v>
      </c>
      <c r="AC106">
        <v>528130</v>
      </c>
      <c r="AD106">
        <v>1.96</v>
      </c>
      <c r="AE106">
        <v>1787</v>
      </c>
      <c r="AF106">
        <v>1.93</v>
      </c>
    </row>
    <row r="107" spans="1:32" x14ac:dyDescent="0.25">
      <c r="A107" s="33">
        <v>45118</v>
      </c>
      <c r="B107">
        <v>290</v>
      </c>
      <c r="C107">
        <v>16</v>
      </c>
      <c r="D107">
        <v>16</v>
      </c>
      <c r="E107">
        <v>8</v>
      </c>
      <c r="F107">
        <v>3</v>
      </c>
      <c r="G107">
        <v>2</v>
      </c>
      <c r="H107" s="44">
        <f t="shared" si="10"/>
        <v>3</v>
      </c>
      <c r="I107" s="47">
        <f t="shared" si="11"/>
        <v>0.1875</v>
      </c>
      <c r="J107" s="44">
        <f t="shared" si="12"/>
        <v>269</v>
      </c>
      <c r="K107">
        <v>3</v>
      </c>
      <c r="L107">
        <v>9</v>
      </c>
      <c r="M107">
        <v>0</v>
      </c>
      <c r="N107" s="44">
        <f t="shared" si="16"/>
        <v>263</v>
      </c>
      <c r="O107">
        <v>1</v>
      </c>
      <c r="P107">
        <v>24</v>
      </c>
      <c r="Q107">
        <v>2</v>
      </c>
      <c r="R107" s="44">
        <f t="shared" si="17"/>
        <v>27</v>
      </c>
      <c r="S107">
        <v>25</v>
      </c>
      <c r="T107">
        <v>3</v>
      </c>
      <c r="U107" s="44">
        <f t="shared" si="9"/>
        <v>28</v>
      </c>
      <c r="V107">
        <v>5</v>
      </c>
      <c r="W107">
        <v>0</v>
      </c>
      <c r="X107">
        <v>0</v>
      </c>
      <c r="Y107" s="48">
        <f t="shared" si="13"/>
        <v>0.90689655172413797</v>
      </c>
      <c r="Z107" s="48">
        <f t="shared" si="14"/>
        <v>0.98965517241379308</v>
      </c>
      <c r="AA107" s="48">
        <f t="shared" si="15"/>
        <v>1.7241379310344827E-2</v>
      </c>
      <c r="AB107">
        <v>1821</v>
      </c>
      <c r="AC107">
        <v>528130</v>
      </c>
      <c r="AD107">
        <v>1.96</v>
      </c>
      <c r="AE107">
        <v>1783</v>
      </c>
      <c r="AF107">
        <v>1.93</v>
      </c>
    </row>
    <row r="108" spans="1:32" x14ac:dyDescent="0.25">
      <c r="A108" s="33">
        <v>45125</v>
      </c>
      <c r="B108">
        <v>290</v>
      </c>
      <c r="C108">
        <v>13</v>
      </c>
      <c r="D108">
        <v>13</v>
      </c>
      <c r="E108">
        <v>4</v>
      </c>
      <c r="F108">
        <v>2</v>
      </c>
      <c r="G108">
        <v>2</v>
      </c>
      <c r="H108" s="44">
        <f t="shared" si="10"/>
        <v>0</v>
      </c>
      <c r="I108" s="47">
        <f t="shared" si="11"/>
        <v>0</v>
      </c>
      <c r="J108" s="44">
        <f t="shared" si="12"/>
        <v>263</v>
      </c>
      <c r="K108">
        <v>13</v>
      </c>
      <c r="L108">
        <v>4</v>
      </c>
      <c r="M108">
        <v>0</v>
      </c>
      <c r="N108" s="44">
        <f t="shared" si="16"/>
        <v>272</v>
      </c>
      <c r="O108">
        <v>1</v>
      </c>
      <c r="P108">
        <v>15</v>
      </c>
      <c r="Q108">
        <v>2</v>
      </c>
      <c r="R108" s="44">
        <f t="shared" si="17"/>
        <v>18</v>
      </c>
      <c r="S108">
        <v>22</v>
      </c>
      <c r="T108">
        <v>7</v>
      </c>
      <c r="U108" s="44">
        <f t="shared" si="9"/>
        <v>29</v>
      </c>
      <c r="V108">
        <v>9</v>
      </c>
      <c r="W108">
        <v>0</v>
      </c>
      <c r="X108">
        <v>0</v>
      </c>
      <c r="Y108" s="48">
        <f t="shared" si="13"/>
        <v>0.93793103448275861</v>
      </c>
      <c r="Z108" s="48">
        <f t="shared" si="14"/>
        <v>0.98965517241379308</v>
      </c>
      <c r="AA108" s="48">
        <f t="shared" si="15"/>
        <v>3.1034482758620689E-2</v>
      </c>
      <c r="AB108">
        <v>1821</v>
      </c>
      <c r="AC108">
        <v>528130</v>
      </c>
      <c r="AD108">
        <v>1.96</v>
      </c>
      <c r="AE108">
        <v>1778</v>
      </c>
      <c r="AF108">
        <v>1.92</v>
      </c>
    </row>
    <row r="109" spans="1:32" x14ac:dyDescent="0.25">
      <c r="A109" s="33">
        <v>45132</v>
      </c>
      <c r="B109">
        <v>290</v>
      </c>
      <c r="C109">
        <v>3</v>
      </c>
      <c r="D109">
        <v>3</v>
      </c>
      <c r="E109">
        <v>3</v>
      </c>
      <c r="F109">
        <v>3</v>
      </c>
      <c r="G109">
        <v>1</v>
      </c>
      <c r="H109" s="44">
        <f t="shared" si="10"/>
        <v>-1</v>
      </c>
      <c r="I109" s="47">
        <f t="shared" si="11"/>
        <v>-0.33333333333333331</v>
      </c>
      <c r="J109" s="44">
        <f t="shared" si="12"/>
        <v>272</v>
      </c>
      <c r="K109">
        <v>2</v>
      </c>
      <c r="L109">
        <v>5</v>
      </c>
      <c r="M109">
        <v>0</v>
      </c>
      <c r="N109" s="44">
        <f t="shared" si="16"/>
        <v>269</v>
      </c>
      <c r="O109">
        <v>1</v>
      </c>
      <c r="P109">
        <v>16</v>
      </c>
      <c r="Q109">
        <v>4</v>
      </c>
      <c r="R109" s="44">
        <f t="shared" si="17"/>
        <v>21</v>
      </c>
      <c r="S109">
        <v>20</v>
      </c>
      <c r="T109">
        <v>5</v>
      </c>
      <c r="U109" s="44">
        <f t="shared" si="9"/>
        <v>25</v>
      </c>
      <c r="V109">
        <v>9</v>
      </c>
      <c r="W109">
        <v>0</v>
      </c>
      <c r="X109">
        <v>0</v>
      </c>
      <c r="Y109" s="48">
        <f t="shared" si="13"/>
        <v>0.92758620689655169</v>
      </c>
      <c r="Z109" s="48">
        <f t="shared" si="14"/>
        <v>0.98275862068965514</v>
      </c>
      <c r="AA109" s="48">
        <f t="shared" si="15"/>
        <v>3.1034482758620689E-2</v>
      </c>
      <c r="AB109">
        <v>1821</v>
      </c>
      <c r="AC109">
        <v>528130</v>
      </c>
      <c r="AD109">
        <v>1.96</v>
      </c>
      <c r="AE109">
        <v>1783</v>
      </c>
      <c r="AF109">
        <v>1.93</v>
      </c>
    </row>
    <row r="110" spans="1:32" x14ac:dyDescent="0.25">
      <c r="A110" s="33">
        <v>45139</v>
      </c>
      <c r="B110">
        <v>290</v>
      </c>
      <c r="C110">
        <v>7</v>
      </c>
      <c r="D110">
        <v>7</v>
      </c>
      <c r="E110">
        <v>4</v>
      </c>
      <c r="F110">
        <v>1</v>
      </c>
      <c r="G110">
        <v>1</v>
      </c>
      <c r="H110" s="44">
        <f t="shared" si="10"/>
        <v>2</v>
      </c>
      <c r="I110" s="47">
        <f t="shared" si="11"/>
        <v>0.2857142857142857</v>
      </c>
      <c r="J110" s="44">
        <f t="shared" si="12"/>
        <v>269</v>
      </c>
      <c r="K110">
        <v>8</v>
      </c>
      <c r="L110">
        <v>0</v>
      </c>
      <c r="M110">
        <v>0</v>
      </c>
      <c r="N110" s="44">
        <f t="shared" si="16"/>
        <v>277</v>
      </c>
      <c r="O110">
        <v>1</v>
      </c>
      <c r="P110">
        <v>8</v>
      </c>
      <c r="Q110">
        <v>4</v>
      </c>
      <c r="R110" s="44">
        <f t="shared" si="17"/>
        <v>13</v>
      </c>
      <c r="S110">
        <v>21</v>
      </c>
      <c r="T110">
        <v>11</v>
      </c>
      <c r="U110" s="44">
        <f t="shared" si="9"/>
        <v>32</v>
      </c>
      <c r="V110">
        <v>14</v>
      </c>
      <c r="W110">
        <v>1</v>
      </c>
      <c r="X110">
        <v>0</v>
      </c>
      <c r="Y110" s="48">
        <f t="shared" si="13"/>
        <v>0.95517241379310347</v>
      </c>
      <c r="Z110" s="48">
        <f t="shared" si="14"/>
        <v>0.98275862068965514</v>
      </c>
      <c r="AA110" s="48">
        <f t="shared" si="15"/>
        <v>5.1724137931034482E-2</v>
      </c>
      <c r="AB110">
        <v>1821</v>
      </c>
      <c r="AC110">
        <v>528130</v>
      </c>
      <c r="AD110">
        <v>1.96</v>
      </c>
      <c r="AE110">
        <v>1780</v>
      </c>
      <c r="AF110">
        <v>1.93</v>
      </c>
    </row>
    <row r="111" spans="1:32" x14ac:dyDescent="0.25">
      <c r="A111" s="33">
        <v>45146</v>
      </c>
      <c r="B111">
        <v>290</v>
      </c>
      <c r="C111">
        <v>6</v>
      </c>
      <c r="D111">
        <v>6</v>
      </c>
      <c r="E111">
        <v>2</v>
      </c>
      <c r="F111">
        <v>2</v>
      </c>
      <c r="G111">
        <v>2</v>
      </c>
      <c r="H111" s="44">
        <f t="shared" si="10"/>
        <v>-2</v>
      </c>
      <c r="I111" s="47">
        <f t="shared" si="11"/>
        <v>-0.33333333333333331</v>
      </c>
      <c r="J111" s="44">
        <f t="shared" si="12"/>
        <v>277</v>
      </c>
      <c r="K111">
        <v>5</v>
      </c>
      <c r="L111">
        <v>5</v>
      </c>
      <c r="M111">
        <v>0</v>
      </c>
      <c r="N111" s="44">
        <f t="shared" si="16"/>
        <v>277</v>
      </c>
      <c r="O111">
        <v>1</v>
      </c>
      <c r="P111">
        <v>9</v>
      </c>
      <c r="Q111">
        <v>3</v>
      </c>
      <c r="R111" s="44">
        <f t="shared" si="17"/>
        <v>13</v>
      </c>
      <c r="S111">
        <v>17</v>
      </c>
      <c r="T111">
        <v>13</v>
      </c>
      <c r="U111" s="44">
        <f t="shared" si="9"/>
        <v>30</v>
      </c>
      <c r="V111">
        <v>14</v>
      </c>
      <c r="W111">
        <v>1</v>
      </c>
      <c r="X111">
        <v>1</v>
      </c>
      <c r="Y111" s="48">
        <f t="shared" si="13"/>
        <v>0.95517241379310347</v>
      </c>
      <c r="Z111" s="48">
        <f t="shared" si="14"/>
        <v>0.98620689655172411</v>
      </c>
      <c r="AA111" s="48">
        <f t="shared" si="15"/>
        <v>5.5172413793103448E-2</v>
      </c>
      <c r="AB111">
        <v>1821</v>
      </c>
      <c r="AC111">
        <v>528130</v>
      </c>
      <c r="AD111">
        <v>1.96</v>
      </c>
      <c r="AE111">
        <v>1786</v>
      </c>
      <c r="AF111">
        <v>1.93</v>
      </c>
    </row>
    <row r="112" spans="1:32" x14ac:dyDescent="0.25">
      <c r="A112" s="33">
        <v>45153</v>
      </c>
      <c r="B112">
        <v>290</v>
      </c>
      <c r="C112">
        <v>9</v>
      </c>
      <c r="D112">
        <v>9</v>
      </c>
      <c r="E112">
        <v>4</v>
      </c>
      <c r="F112">
        <v>0</v>
      </c>
      <c r="G112">
        <v>1</v>
      </c>
      <c r="H112" s="44">
        <f t="shared" si="10"/>
        <v>3</v>
      </c>
      <c r="I112" s="47">
        <f t="shared" si="11"/>
        <v>0.33333333333333331</v>
      </c>
      <c r="J112" s="44">
        <f t="shared" si="12"/>
        <v>277</v>
      </c>
      <c r="K112">
        <v>7</v>
      </c>
      <c r="L112">
        <v>7</v>
      </c>
      <c r="M112">
        <v>1</v>
      </c>
      <c r="N112" s="44">
        <f t="shared" si="16"/>
        <v>277</v>
      </c>
      <c r="O112">
        <v>1</v>
      </c>
      <c r="P112">
        <v>11</v>
      </c>
      <c r="Q112">
        <v>1</v>
      </c>
      <c r="R112" s="44">
        <f t="shared" si="17"/>
        <v>13</v>
      </c>
      <c r="S112">
        <v>12</v>
      </c>
      <c r="T112">
        <v>11</v>
      </c>
      <c r="U112" s="44">
        <f t="shared" si="9"/>
        <v>23</v>
      </c>
      <c r="V112">
        <v>11</v>
      </c>
      <c r="W112">
        <v>1</v>
      </c>
      <c r="X112">
        <v>0</v>
      </c>
      <c r="Y112" s="48">
        <f t="shared" si="13"/>
        <v>0.95517241379310347</v>
      </c>
      <c r="Z112" s="48">
        <f t="shared" si="14"/>
        <v>0.99310344827586206</v>
      </c>
      <c r="AA112" s="48">
        <f t="shared" si="15"/>
        <v>4.1379310344827586E-2</v>
      </c>
      <c r="AB112">
        <v>1821</v>
      </c>
      <c r="AC112">
        <v>528130</v>
      </c>
      <c r="AD112">
        <v>1.96</v>
      </c>
      <c r="AE112">
        <v>1786</v>
      </c>
      <c r="AF112">
        <v>1.92</v>
      </c>
    </row>
    <row r="113" spans="1:32" x14ac:dyDescent="0.25">
      <c r="A113" s="33">
        <v>45160</v>
      </c>
      <c r="B113">
        <v>290</v>
      </c>
      <c r="C113">
        <v>11</v>
      </c>
      <c r="D113">
        <v>11</v>
      </c>
      <c r="E113">
        <v>1</v>
      </c>
      <c r="F113">
        <v>0</v>
      </c>
      <c r="G113">
        <v>1</v>
      </c>
      <c r="H113" s="44">
        <f t="shared" si="10"/>
        <v>0</v>
      </c>
      <c r="I113" s="47">
        <f t="shared" si="11"/>
        <v>0</v>
      </c>
      <c r="J113" s="44">
        <f t="shared" si="12"/>
        <v>277</v>
      </c>
      <c r="K113">
        <v>5</v>
      </c>
      <c r="L113">
        <v>5</v>
      </c>
      <c r="M113">
        <v>0</v>
      </c>
      <c r="N113" s="44">
        <f t="shared" si="16"/>
        <v>277</v>
      </c>
      <c r="O113">
        <v>1</v>
      </c>
      <c r="P113">
        <v>8</v>
      </c>
      <c r="Q113">
        <v>4</v>
      </c>
      <c r="R113" s="44">
        <f t="shared" si="17"/>
        <v>13</v>
      </c>
      <c r="S113">
        <v>10</v>
      </c>
      <c r="T113">
        <v>11</v>
      </c>
      <c r="U113" s="44">
        <f t="shared" si="9"/>
        <v>21</v>
      </c>
      <c r="V113">
        <v>14</v>
      </c>
      <c r="W113">
        <v>1</v>
      </c>
      <c r="X113">
        <v>0</v>
      </c>
      <c r="Y113" s="48">
        <f t="shared" si="13"/>
        <v>0.95517241379310347</v>
      </c>
      <c r="Z113" s="48">
        <f t="shared" si="14"/>
        <v>0.98275862068965514</v>
      </c>
      <c r="AA113" s="48">
        <f t="shared" si="15"/>
        <v>5.1724137931034482E-2</v>
      </c>
      <c r="AB113">
        <v>1821</v>
      </c>
      <c r="AC113">
        <v>528130</v>
      </c>
      <c r="AD113">
        <v>1.96</v>
      </c>
      <c r="AE113">
        <v>1789</v>
      </c>
      <c r="AF113">
        <v>1.92</v>
      </c>
    </row>
    <row r="114" spans="1:32" x14ac:dyDescent="0.25">
      <c r="A114" s="33">
        <v>45167</v>
      </c>
      <c r="B114">
        <v>290</v>
      </c>
      <c r="C114">
        <v>12</v>
      </c>
      <c r="D114">
        <v>12</v>
      </c>
      <c r="E114">
        <v>7</v>
      </c>
      <c r="F114">
        <v>2</v>
      </c>
      <c r="G114">
        <v>1</v>
      </c>
      <c r="H114" s="44">
        <f t="shared" si="10"/>
        <v>4</v>
      </c>
      <c r="I114" s="47">
        <f t="shared" si="11"/>
        <v>0.33333333333333331</v>
      </c>
      <c r="J114" s="44">
        <f t="shared" si="12"/>
        <v>277</v>
      </c>
      <c r="K114">
        <v>1</v>
      </c>
      <c r="L114">
        <v>6</v>
      </c>
      <c r="M114">
        <v>0</v>
      </c>
      <c r="N114" s="44">
        <f t="shared" si="16"/>
        <v>272</v>
      </c>
      <c r="O114">
        <v>1</v>
      </c>
      <c r="P114">
        <v>13</v>
      </c>
      <c r="Q114">
        <v>4</v>
      </c>
      <c r="R114" s="44">
        <f t="shared" si="17"/>
        <v>18</v>
      </c>
      <c r="S114">
        <v>7</v>
      </c>
      <c r="T114">
        <v>12</v>
      </c>
      <c r="U114" s="44">
        <f t="shared" si="9"/>
        <v>19</v>
      </c>
      <c r="V114">
        <v>13</v>
      </c>
      <c r="W114">
        <v>2</v>
      </c>
      <c r="X114">
        <v>0</v>
      </c>
      <c r="Y114" s="48">
        <f t="shared" si="13"/>
        <v>0.93793103448275861</v>
      </c>
      <c r="Z114" s="48">
        <f t="shared" si="14"/>
        <v>0.98275862068965514</v>
      </c>
      <c r="AA114" s="48">
        <f t="shared" si="15"/>
        <v>5.5172413793103448E-2</v>
      </c>
      <c r="AB114">
        <v>1821</v>
      </c>
      <c r="AC114">
        <v>528130</v>
      </c>
      <c r="AD114">
        <v>1.96</v>
      </c>
      <c r="AE114">
        <v>1802</v>
      </c>
      <c r="AF114">
        <v>1.93</v>
      </c>
    </row>
    <row r="115" spans="1:32" x14ac:dyDescent="0.25">
      <c r="A115" s="33">
        <v>45174</v>
      </c>
      <c r="B115">
        <v>290</v>
      </c>
      <c r="C115">
        <v>2</v>
      </c>
      <c r="D115">
        <v>2</v>
      </c>
      <c r="E115">
        <v>3</v>
      </c>
      <c r="F115">
        <v>0</v>
      </c>
      <c r="G115">
        <v>0</v>
      </c>
      <c r="H115" s="44">
        <f t="shared" si="10"/>
        <v>3</v>
      </c>
      <c r="I115" s="47">
        <f t="shared" si="11"/>
        <v>1.5</v>
      </c>
      <c r="J115" s="44">
        <f t="shared" si="12"/>
        <v>272</v>
      </c>
      <c r="K115">
        <v>4</v>
      </c>
      <c r="L115">
        <v>3</v>
      </c>
      <c r="M115">
        <v>1</v>
      </c>
      <c r="N115" s="44">
        <f t="shared" si="16"/>
        <v>273</v>
      </c>
      <c r="O115">
        <v>1</v>
      </c>
      <c r="P115">
        <v>11</v>
      </c>
      <c r="Q115">
        <v>5</v>
      </c>
      <c r="R115" s="44">
        <f t="shared" si="17"/>
        <v>17</v>
      </c>
      <c r="S115">
        <v>8</v>
      </c>
      <c r="T115">
        <v>10</v>
      </c>
      <c r="U115" s="44">
        <f t="shared" si="9"/>
        <v>18</v>
      </c>
      <c r="V115">
        <v>11</v>
      </c>
      <c r="W115">
        <v>4</v>
      </c>
      <c r="X115">
        <v>0</v>
      </c>
      <c r="Y115" s="48">
        <f t="shared" si="13"/>
        <v>0.94137931034482758</v>
      </c>
      <c r="Z115" s="48">
        <f t="shared" si="14"/>
        <v>0.97931034482758617</v>
      </c>
      <c r="AA115" s="48">
        <f t="shared" si="15"/>
        <v>5.1724137931034482E-2</v>
      </c>
      <c r="AB115">
        <v>1821</v>
      </c>
      <c r="AC115">
        <v>528130</v>
      </c>
      <c r="AD115">
        <v>1.96</v>
      </c>
      <c r="AE115">
        <v>1799</v>
      </c>
      <c r="AF115">
        <v>1.93</v>
      </c>
    </row>
    <row r="116" spans="1:32" x14ac:dyDescent="0.25">
      <c r="A116" s="33">
        <v>45181</v>
      </c>
      <c r="B116">
        <v>290</v>
      </c>
      <c r="C116">
        <v>12</v>
      </c>
      <c r="D116">
        <v>12</v>
      </c>
      <c r="E116">
        <v>5</v>
      </c>
      <c r="F116">
        <v>3</v>
      </c>
      <c r="G116">
        <v>0</v>
      </c>
      <c r="H116" s="44">
        <f t="shared" si="10"/>
        <v>2</v>
      </c>
      <c r="I116" s="47">
        <f t="shared" si="11"/>
        <v>0.16666666666666666</v>
      </c>
      <c r="J116" s="44">
        <f t="shared" si="12"/>
        <v>273</v>
      </c>
      <c r="K116">
        <v>4</v>
      </c>
      <c r="L116">
        <v>2</v>
      </c>
      <c r="M116">
        <v>0</v>
      </c>
      <c r="N116" s="44">
        <f t="shared" si="16"/>
        <v>275</v>
      </c>
      <c r="O116">
        <v>1</v>
      </c>
      <c r="P116">
        <v>8</v>
      </c>
      <c r="Q116">
        <v>6</v>
      </c>
      <c r="R116" s="44">
        <f t="shared" si="17"/>
        <v>15</v>
      </c>
      <c r="S116">
        <v>9</v>
      </c>
      <c r="T116">
        <v>10</v>
      </c>
      <c r="U116" s="44">
        <f t="shared" si="9"/>
        <v>19</v>
      </c>
      <c r="V116">
        <v>11</v>
      </c>
      <c r="W116">
        <v>5</v>
      </c>
      <c r="X116">
        <v>0</v>
      </c>
      <c r="Y116" s="48">
        <f t="shared" si="13"/>
        <v>0.94827586206896552</v>
      </c>
      <c r="Z116" s="48">
        <f t="shared" si="14"/>
        <v>0.97586206896551719</v>
      </c>
      <c r="AA116" s="48">
        <f t="shared" si="15"/>
        <v>5.5172413793103448E-2</v>
      </c>
      <c r="AB116">
        <v>1821</v>
      </c>
      <c r="AC116">
        <v>528130</v>
      </c>
      <c r="AD116">
        <v>1.96</v>
      </c>
      <c r="AE116">
        <v>1797</v>
      </c>
      <c r="AF116">
        <v>1.93</v>
      </c>
    </row>
    <row r="117" spans="1:32" x14ac:dyDescent="0.25">
      <c r="A117" s="33">
        <v>45188</v>
      </c>
      <c r="B117">
        <v>290</v>
      </c>
      <c r="C117">
        <v>8</v>
      </c>
      <c r="D117">
        <v>8</v>
      </c>
      <c r="E117">
        <v>3</v>
      </c>
      <c r="F117">
        <v>2</v>
      </c>
      <c r="G117">
        <v>0</v>
      </c>
      <c r="H117" s="44">
        <f t="shared" si="10"/>
        <v>1</v>
      </c>
      <c r="I117" s="47">
        <f t="shared" si="11"/>
        <v>0.125</v>
      </c>
      <c r="J117" s="44">
        <f t="shared" si="12"/>
        <v>275</v>
      </c>
      <c r="K117">
        <v>4</v>
      </c>
      <c r="L117">
        <v>6</v>
      </c>
      <c r="M117">
        <v>1</v>
      </c>
      <c r="N117" s="44">
        <f t="shared" si="16"/>
        <v>273</v>
      </c>
      <c r="O117">
        <v>1</v>
      </c>
      <c r="P117">
        <v>9</v>
      </c>
      <c r="Q117">
        <v>6</v>
      </c>
      <c r="R117" s="44">
        <f t="shared" si="17"/>
        <v>16</v>
      </c>
      <c r="S117">
        <v>6</v>
      </c>
      <c r="T117">
        <v>10</v>
      </c>
      <c r="U117" s="44">
        <f t="shared" si="9"/>
        <v>16</v>
      </c>
      <c r="V117">
        <v>7</v>
      </c>
      <c r="W117">
        <v>6</v>
      </c>
      <c r="X117">
        <v>0</v>
      </c>
      <c r="Y117" s="48">
        <f t="shared" si="13"/>
        <v>0.94137931034482758</v>
      </c>
      <c r="Z117" s="48">
        <f t="shared" si="14"/>
        <v>0.97241379310344822</v>
      </c>
      <c r="AA117" s="48">
        <f t="shared" si="15"/>
        <v>5.5172413793103448E-2</v>
      </c>
      <c r="AB117">
        <v>1821</v>
      </c>
      <c r="AC117">
        <v>528130</v>
      </c>
      <c r="AD117">
        <v>1.96</v>
      </c>
      <c r="AE117">
        <v>1792</v>
      </c>
      <c r="AF117">
        <v>1.93</v>
      </c>
    </row>
    <row r="118" spans="1:32" x14ac:dyDescent="0.25">
      <c r="A118" s="33">
        <v>45195</v>
      </c>
      <c r="B118">
        <v>290</v>
      </c>
      <c r="C118">
        <v>6</v>
      </c>
      <c r="D118">
        <v>6</v>
      </c>
      <c r="E118">
        <v>4</v>
      </c>
      <c r="F118">
        <v>4</v>
      </c>
      <c r="G118">
        <v>1</v>
      </c>
      <c r="H118" s="44">
        <f t="shared" si="10"/>
        <v>-1</v>
      </c>
      <c r="I118" s="47">
        <f t="shared" si="11"/>
        <v>-0.16666666666666666</v>
      </c>
      <c r="J118" s="44">
        <f t="shared" si="12"/>
        <v>273</v>
      </c>
      <c r="K118">
        <v>2</v>
      </c>
      <c r="L118">
        <v>2</v>
      </c>
      <c r="M118">
        <v>3</v>
      </c>
      <c r="N118" s="44">
        <f t="shared" si="16"/>
        <v>273</v>
      </c>
      <c r="O118">
        <v>1</v>
      </c>
      <c r="P118">
        <v>9</v>
      </c>
      <c r="Q118">
        <v>6</v>
      </c>
      <c r="R118" s="44">
        <f t="shared" si="17"/>
        <v>16</v>
      </c>
      <c r="S118">
        <v>7</v>
      </c>
      <c r="T118">
        <v>10</v>
      </c>
      <c r="U118" s="44">
        <f t="shared" si="9"/>
        <v>17</v>
      </c>
      <c r="V118">
        <v>9</v>
      </c>
      <c r="W118">
        <v>7</v>
      </c>
      <c r="X118">
        <v>0</v>
      </c>
      <c r="Y118" s="48">
        <f t="shared" si="13"/>
        <v>0.94137931034482758</v>
      </c>
      <c r="Z118" s="48">
        <f t="shared" si="14"/>
        <v>0.97241379310344822</v>
      </c>
      <c r="AA118" s="48">
        <f t="shared" si="15"/>
        <v>5.5172413793103448E-2</v>
      </c>
      <c r="AB118">
        <v>1821</v>
      </c>
      <c r="AC118">
        <v>528130</v>
      </c>
      <c r="AD118">
        <v>1.96</v>
      </c>
      <c r="AE118">
        <v>1790</v>
      </c>
      <c r="AF118">
        <v>1.93</v>
      </c>
    </row>
    <row r="119" spans="1:32" x14ac:dyDescent="0.25">
      <c r="A119" s="33">
        <v>45202</v>
      </c>
      <c r="B119">
        <v>290</v>
      </c>
      <c r="C119">
        <v>6</v>
      </c>
      <c r="D119">
        <v>6</v>
      </c>
      <c r="E119">
        <v>3</v>
      </c>
      <c r="F119">
        <v>0</v>
      </c>
      <c r="G119">
        <v>0</v>
      </c>
      <c r="H119" s="44">
        <f t="shared" si="10"/>
        <v>3</v>
      </c>
      <c r="I119" s="47">
        <f t="shared" si="11"/>
        <v>0.5</v>
      </c>
      <c r="J119" s="44">
        <f t="shared" si="12"/>
        <v>273</v>
      </c>
      <c r="K119">
        <v>7</v>
      </c>
      <c r="L119">
        <v>8</v>
      </c>
      <c r="M119">
        <v>0</v>
      </c>
      <c r="N119" s="44">
        <f t="shared" si="16"/>
        <v>272</v>
      </c>
      <c r="O119">
        <v>1</v>
      </c>
      <c r="P119">
        <v>7</v>
      </c>
      <c r="Q119">
        <v>9</v>
      </c>
      <c r="R119" s="44">
        <f t="shared" si="17"/>
        <v>17</v>
      </c>
      <c r="S119">
        <v>5</v>
      </c>
      <c r="T119">
        <v>4</v>
      </c>
      <c r="U119" s="44">
        <f t="shared" si="9"/>
        <v>9</v>
      </c>
      <c r="V119">
        <v>6</v>
      </c>
      <c r="W119">
        <v>7</v>
      </c>
      <c r="X119">
        <v>0</v>
      </c>
      <c r="Y119" s="48">
        <f t="shared" si="13"/>
        <v>0.93793103448275861</v>
      </c>
      <c r="Z119" s="48">
        <f t="shared" si="14"/>
        <v>0.96206896551724141</v>
      </c>
      <c r="AA119" s="48">
        <f t="shared" si="15"/>
        <v>4.4827586206896551E-2</v>
      </c>
      <c r="AB119">
        <v>1821</v>
      </c>
      <c r="AC119">
        <v>528130</v>
      </c>
      <c r="AD119">
        <v>1.96</v>
      </c>
      <c r="AE119">
        <v>1778</v>
      </c>
      <c r="AF119">
        <v>1.92</v>
      </c>
    </row>
    <row r="120" spans="1:32" x14ac:dyDescent="0.25">
      <c r="A120" s="33">
        <v>45209</v>
      </c>
      <c r="B120">
        <v>290</v>
      </c>
      <c r="C120">
        <v>9</v>
      </c>
      <c r="D120">
        <v>9</v>
      </c>
      <c r="E120">
        <v>1</v>
      </c>
      <c r="F120">
        <v>2</v>
      </c>
      <c r="G120">
        <v>0</v>
      </c>
      <c r="H120" s="44">
        <f t="shared" si="10"/>
        <v>-1</v>
      </c>
      <c r="I120" s="47">
        <f t="shared" si="11"/>
        <v>-0.1111111111111111</v>
      </c>
      <c r="J120" s="44">
        <f t="shared" si="12"/>
        <v>272</v>
      </c>
      <c r="K120">
        <v>5</v>
      </c>
      <c r="L120">
        <v>1</v>
      </c>
      <c r="M120">
        <v>0</v>
      </c>
      <c r="N120" s="44">
        <f t="shared" si="16"/>
        <v>276</v>
      </c>
      <c r="O120">
        <v>1</v>
      </c>
      <c r="P120">
        <v>3</v>
      </c>
      <c r="Q120">
        <v>9</v>
      </c>
      <c r="R120" s="44">
        <f t="shared" si="17"/>
        <v>13</v>
      </c>
      <c r="S120">
        <v>3</v>
      </c>
      <c r="T120">
        <v>6</v>
      </c>
      <c r="U120" s="44">
        <f t="shared" si="9"/>
        <v>9</v>
      </c>
      <c r="V120">
        <v>9</v>
      </c>
      <c r="W120">
        <v>6</v>
      </c>
      <c r="X120">
        <v>0</v>
      </c>
      <c r="Y120" s="48">
        <f t="shared" si="13"/>
        <v>0.9517241379310345</v>
      </c>
      <c r="Z120" s="48">
        <f t="shared" si="14"/>
        <v>0.96206896551724141</v>
      </c>
      <c r="AA120" s="48">
        <f t="shared" si="15"/>
        <v>5.1724137931034482E-2</v>
      </c>
      <c r="AB120">
        <v>1821</v>
      </c>
      <c r="AC120">
        <v>528130</v>
      </c>
      <c r="AD120">
        <v>1.96</v>
      </c>
      <c r="AE120">
        <v>1776</v>
      </c>
      <c r="AF120">
        <v>1.92</v>
      </c>
    </row>
    <row r="121" spans="1:32" x14ac:dyDescent="0.25">
      <c r="A121" s="33">
        <v>45216</v>
      </c>
      <c r="B121">
        <v>290</v>
      </c>
      <c r="C121">
        <v>13</v>
      </c>
      <c r="D121">
        <v>13</v>
      </c>
      <c r="E121">
        <v>2</v>
      </c>
      <c r="F121">
        <v>1</v>
      </c>
      <c r="G121">
        <v>0</v>
      </c>
      <c r="H121" s="44">
        <f t="shared" si="10"/>
        <v>1</v>
      </c>
      <c r="I121" s="47">
        <f t="shared" si="11"/>
        <v>7.6923076923076927E-2</v>
      </c>
      <c r="J121" s="44">
        <f t="shared" si="12"/>
        <v>276</v>
      </c>
      <c r="K121">
        <v>1</v>
      </c>
      <c r="L121">
        <v>3</v>
      </c>
      <c r="M121">
        <v>1</v>
      </c>
      <c r="N121" s="44">
        <f t="shared" si="16"/>
        <v>274</v>
      </c>
      <c r="O121">
        <v>1</v>
      </c>
      <c r="P121">
        <v>5</v>
      </c>
      <c r="Q121">
        <v>9</v>
      </c>
      <c r="R121" s="44">
        <f t="shared" si="17"/>
        <v>15</v>
      </c>
      <c r="S121">
        <v>3</v>
      </c>
      <c r="T121">
        <v>4</v>
      </c>
      <c r="U121" s="44">
        <f t="shared" si="9"/>
        <v>7</v>
      </c>
      <c r="V121">
        <v>6</v>
      </c>
      <c r="W121">
        <v>7</v>
      </c>
      <c r="X121">
        <v>0</v>
      </c>
      <c r="Y121" s="48">
        <f t="shared" si="13"/>
        <v>0.94482758620689655</v>
      </c>
      <c r="Z121" s="48">
        <f t="shared" si="14"/>
        <v>0.96206896551724141</v>
      </c>
      <c r="AA121" s="48">
        <f t="shared" si="15"/>
        <v>4.4827586206896551E-2</v>
      </c>
      <c r="AB121">
        <v>1821</v>
      </c>
      <c r="AC121">
        <v>528130</v>
      </c>
      <c r="AD121">
        <v>1.96</v>
      </c>
      <c r="AE121">
        <v>1779</v>
      </c>
      <c r="AF121">
        <v>1.92</v>
      </c>
    </row>
    <row r="122" spans="1:32" x14ac:dyDescent="0.25">
      <c r="A122" s="33">
        <v>45223</v>
      </c>
      <c r="B122">
        <v>290</v>
      </c>
      <c r="C122">
        <v>13</v>
      </c>
      <c r="D122">
        <v>13</v>
      </c>
      <c r="E122">
        <v>3</v>
      </c>
      <c r="F122">
        <v>0</v>
      </c>
      <c r="G122">
        <v>2</v>
      </c>
      <c r="H122" s="44">
        <f t="shared" si="10"/>
        <v>1</v>
      </c>
      <c r="I122" s="47">
        <f t="shared" si="11"/>
        <v>7.6923076923076927E-2</v>
      </c>
      <c r="J122" s="44">
        <f t="shared" si="12"/>
        <v>274</v>
      </c>
      <c r="K122">
        <v>4</v>
      </c>
      <c r="L122">
        <v>2</v>
      </c>
      <c r="M122">
        <v>0</v>
      </c>
      <c r="N122" s="44">
        <f t="shared" si="16"/>
        <v>276</v>
      </c>
      <c r="O122">
        <v>1</v>
      </c>
      <c r="P122">
        <v>1</v>
      </c>
      <c r="Q122">
        <v>11</v>
      </c>
      <c r="R122" s="44">
        <f t="shared" si="17"/>
        <v>13</v>
      </c>
      <c r="S122">
        <v>4</v>
      </c>
      <c r="T122">
        <v>5</v>
      </c>
      <c r="U122" s="44">
        <f t="shared" si="9"/>
        <v>9</v>
      </c>
      <c r="V122">
        <v>9</v>
      </c>
      <c r="W122">
        <v>6</v>
      </c>
      <c r="X122">
        <v>1</v>
      </c>
      <c r="Y122" s="48">
        <f t="shared" si="13"/>
        <v>0.9517241379310345</v>
      </c>
      <c r="Z122" s="48">
        <f t="shared" si="14"/>
        <v>0.95517241379310347</v>
      </c>
      <c r="AA122" s="48">
        <f t="shared" si="15"/>
        <v>5.5172413793103448E-2</v>
      </c>
      <c r="AB122">
        <v>1821</v>
      </c>
      <c r="AC122">
        <v>528130</v>
      </c>
      <c r="AD122">
        <v>1.96</v>
      </c>
      <c r="AE122">
        <v>1777</v>
      </c>
      <c r="AF122">
        <v>1.92</v>
      </c>
    </row>
    <row r="123" spans="1:32" x14ac:dyDescent="0.25">
      <c r="A123" s="33">
        <v>45230</v>
      </c>
      <c r="B123">
        <v>290</v>
      </c>
      <c r="C123">
        <v>26</v>
      </c>
      <c r="D123">
        <v>26</v>
      </c>
      <c r="E123">
        <v>1</v>
      </c>
      <c r="F123">
        <v>0</v>
      </c>
      <c r="G123">
        <v>0</v>
      </c>
      <c r="H123" s="44">
        <f t="shared" si="10"/>
        <v>1</v>
      </c>
      <c r="I123" s="47">
        <f t="shared" si="11"/>
        <v>3.8461538461538464E-2</v>
      </c>
      <c r="J123" s="44">
        <f t="shared" si="12"/>
        <v>276</v>
      </c>
      <c r="K123">
        <v>1</v>
      </c>
      <c r="L123">
        <v>1</v>
      </c>
      <c r="M123">
        <v>1</v>
      </c>
      <c r="N123" s="44">
        <f t="shared" si="16"/>
        <v>276</v>
      </c>
      <c r="O123">
        <v>1</v>
      </c>
      <c r="P123">
        <v>2</v>
      </c>
      <c r="Q123">
        <v>10</v>
      </c>
      <c r="R123" s="44">
        <f t="shared" si="17"/>
        <v>13</v>
      </c>
      <c r="S123">
        <v>4</v>
      </c>
      <c r="T123">
        <v>8</v>
      </c>
      <c r="U123" s="44">
        <f t="shared" si="9"/>
        <v>12</v>
      </c>
      <c r="V123">
        <v>9</v>
      </c>
      <c r="W123">
        <v>6</v>
      </c>
      <c r="X123">
        <v>3</v>
      </c>
      <c r="Y123" s="48">
        <f t="shared" si="13"/>
        <v>0.9517241379310345</v>
      </c>
      <c r="Z123" s="48">
        <f t="shared" si="14"/>
        <v>0.95862068965517244</v>
      </c>
      <c r="AA123" s="48">
        <f t="shared" si="15"/>
        <v>6.2068965517241378E-2</v>
      </c>
      <c r="AB123">
        <v>1821</v>
      </c>
      <c r="AC123">
        <v>528130</v>
      </c>
      <c r="AD123">
        <v>1.96</v>
      </c>
      <c r="AE123">
        <v>1776</v>
      </c>
      <c r="AF123">
        <v>1.92</v>
      </c>
    </row>
    <row r="124" spans="1:32" x14ac:dyDescent="0.25">
      <c r="A124" s="33">
        <v>45237</v>
      </c>
      <c r="B124">
        <v>290</v>
      </c>
      <c r="C124">
        <v>24</v>
      </c>
      <c r="D124">
        <v>24</v>
      </c>
      <c r="E124">
        <v>12</v>
      </c>
      <c r="F124">
        <v>2</v>
      </c>
      <c r="G124">
        <v>2</v>
      </c>
      <c r="H124" s="44">
        <f t="shared" si="10"/>
        <v>8</v>
      </c>
      <c r="I124" s="47">
        <f t="shared" si="11"/>
        <v>0.33333333333333331</v>
      </c>
      <c r="J124" s="44">
        <f t="shared" si="12"/>
        <v>276</v>
      </c>
      <c r="K124">
        <v>2</v>
      </c>
      <c r="L124">
        <v>4</v>
      </c>
      <c r="M124">
        <v>3</v>
      </c>
      <c r="N124" s="44">
        <f t="shared" si="16"/>
        <v>274</v>
      </c>
      <c r="O124">
        <v>1</v>
      </c>
      <c r="P124">
        <v>10</v>
      </c>
      <c r="Q124">
        <v>4</v>
      </c>
      <c r="R124" s="44">
        <f t="shared" si="17"/>
        <v>15</v>
      </c>
      <c r="S124">
        <v>6</v>
      </c>
      <c r="T124">
        <v>6</v>
      </c>
      <c r="U124" s="44">
        <f t="shared" si="9"/>
        <v>12</v>
      </c>
      <c r="V124">
        <v>8</v>
      </c>
      <c r="W124">
        <v>0</v>
      </c>
      <c r="X124">
        <v>2</v>
      </c>
      <c r="Y124" s="48">
        <f t="shared" si="13"/>
        <v>0.94482758620689655</v>
      </c>
      <c r="Z124" s="48">
        <f t="shared" si="14"/>
        <v>0.97931034482758617</v>
      </c>
      <c r="AA124" s="48">
        <f t="shared" si="15"/>
        <v>3.4482758620689655E-2</v>
      </c>
      <c r="AB124">
        <v>1821</v>
      </c>
      <c r="AC124">
        <v>528130</v>
      </c>
      <c r="AD124">
        <v>1.96</v>
      </c>
      <c r="AE124">
        <v>1767</v>
      </c>
      <c r="AF124">
        <v>1.92</v>
      </c>
    </row>
    <row r="125" spans="1:32" x14ac:dyDescent="0.25">
      <c r="A125" s="33">
        <v>45244</v>
      </c>
      <c r="B125">
        <v>290</v>
      </c>
      <c r="C125">
        <v>20</v>
      </c>
      <c r="D125">
        <v>20</v>
      </c>
      <c r="E125">
        <v>1</v>
      </c>
      <c r="F125">
        <v>2</v>
      </c>
      <c r="G125">
        <v>2</v>
      </c>
      <c r="H125" s="44">
        <f t="shared" si="10"/>
        <v>-3</v>
      </c>
      <c r="I125" s="47">
        <f t="shared" si="11"/>
        <v>-0.15</v>
      </c>
      <c r="J125" s="44">
        <f t="shared" si="12"/>
        <v>274</v>
      </c>
      <c r="K125">
        <v>4</v>
      </c>
      <c r="L125">
        <v>3</v>
      </c>
      <c r="M125">
        <v>0</v>
      </c>
      <c r="N125" s="44">
        <f t="shared" si="16"/>
        <v>275</v>
      </c>
      <c r="O125">
        <v>1</v>
      </c>
      <c r="P125">
        <v>6</v>
      </c>
      <c r="Q125">
        <v>8</v>
      </c>
      <c r="R125" s="44">
        <f t="shared" si="17"/>
        <v>15</v>
      </c>
      <c r="S125">
        <v>4</v>
      </c>
      <c r="T125">
        <v>7</v>
      </c>
      <c r="U125" s="44">
        <f t="shared" si="9"/>
        <v>11</v>
      </c>
      <c r="V125">
        <v>6</v>
      </c>
      <c r="W125">
        <v>0</v>
      </c>
      <c r="X125">
        <v>2</v>
      </c>
      <c r="Y125" s="48">
        <f t="shared" si="13"/>
        <v>0.94827586206896552</v>
      </c>
      <c r="Z125" s="48">
        <f t="shared" si="14"/>
        <v>0.96896551724137936</v>
      </c>
      <c r="AA125" s="48">
        <f t="shared" si="15"/>
        <v>5.1724137931034482E-2</v>
      </c>
      <c r="AB125">
        <v>1821</v>
      </c>
      <c r="AC125">
        <v>528130</v>
      </c>
      <c r="AD125">
        <v>1.96</v>
      </c>
      <c r="AE125">
        <v>1765</v>
      </c>
      <c r="AF125">
        <v>1.91</v>
      </c>
    </row>
    <row r="126" spans="1:32" x14ac:dyDescent="0.25">
      <c r="A126" s="33">
        <v>45251</v>
      </c>
      <c r="B126">
        <v>290</v>
      </c>
      <c r="C126">
        <v>5</v>
      </c>
      <c r="D126">
        <v>5</v>
      </c>
      <c r="E126">
        <v>4</v>
      </c>
      <c r="F126">
        <v>1</v>
      </c>
      <c r="G126">
        <v>1</v>
      </c>
      <c r="H126" s="44">
        <f t="shared" si="10"/>
        <v>2</v>
      </c>
      <c r="I126" s="47">
        <f t="shared" si="11"/>
        <v>0.4</v>
      </c>
      <c r="J126" s="44">
        <f t="shared" si="12"/>
        <v>275</v>
      </c>
      <c r="K126">
        <v>4</v>
      </c>
      <c r="L126">
        <v>1</v>
      </c>
      <c r="M126">
        <v>0</v>
      </c>
      <c r="N126" s="44">
        <f t="shared" si="16"/>
        <v>278</v>
      </c>
      <c r="O126">
        <v>1</v>
      </c>
      <c r="P126">
        <v>4</v>
      </c>
      <c r="Q126">
        <v>6</v>
      </c>
      <c r="R126" s="44">
        <f t="shared" si="17"/>
        <v>11</v>
      </c>
      <c r="S126">
        <v>4</v>
      </c>
      <c r="T126">
        <v>6</v>
      </c>
      <c r="U126" s="44">
        <f t="shared" si="9"/>
        <v>10</v>
      </c>
      <c r="V126">
        <v>10</v>
      </c>
      <c r="W126">
        <v>0</v>
      </c>
      <c r="X126">
        <v>2</v>
      </c>
      <c r="Y126" s="48">
        <f t="shared" si="13"/>
        <v>0.95862068965517244</v>
      </c>
      <c r="Z126" s="48">
        <f t="shared" si="14"/>
        <v>0.97241379310344822</v>
      </c>
      <c r="AA126" s="48">
        <f t="shared" si="15"/>
        <v>4.1379310344827586E-2</v>
      </c>
      <c r="AB126">
        <v>1821</v>
      </c>
      <c r="AC126">
        <v>528130</v>
      </c>
      <c r="AD126">
        <v>1.96</v>
      </c>
      <c r="AE126">
        <v>1764</v>
      </c>
      <c r="AF126">
        <v>1.91</v>
      </c>
    </row>
    <row r="127" spans="1:32" x14ac:dyDescent="0.25">
      <c r="A127" s="33">
        <v>45258</v>
      </c>
      <c r="B127">
        <v>290</v>
      </c>
      <c r="C127">
        <v>4</v>
      </c>
      <c r="D127">
        <v>4</v>
      </c>
      <c r="E127">
        <v>1</v>
      </c>
      <c r="F127">
        <v>0</v>
      </c>
      <c r="G127">
        <v>1</v>
      </c>
      <c r="H127" s="44">
        <f t="shared" si="10"/>
        <v>0</v>
      </c>
      <c r="I127" s="47">
        <f t="shared" si="11"/>
        <v>0</v>
      </c>
      <c r="J127" s="44">
        <f t="shared" si="12"/>
        <v>278</v>
      </c>
      <c r="K127">
        <v>0</v>
      </c>
      <c r="L127">
        <v>0</v>
      </c>
      <c r="M127">
        <v>0</v>
      </c>
      <c r="N127" s="44">
        <f t="shared" si="16"/>
        <v>278</v>
      </c>
      <c r="O127">
        <v>1</v>
      </c>
      <c r="P127">
        <v>4</v>
      </c>
      <c r="Q127">
        <v>6</v>
      </c>
      <c r="R127" s="44">
        <f t="shared" si="17"/>
        <v>11</v>
      </c>
      <c r="S127">
        <v>4</v>
      </c>
      <c r="T127">
        <v>7</v>
      </c>
      <c r="U127" s="44">
        <f t="shared" si="9"/>
        <v>11</v>
      </c>
      <c r="V127">
        <v>10</v>
      </c>
      <c r="W127">
        <v>1</v>
      </c>
      <c r="X127">
        <v>2</v>
      </c>
      <c r="Y127" s="48">
        <f t="shared" si="13"/>
        <v>0.95862068965517244</v>
      </c>
      <c r="Z127" s="48">
        <f t="shared" si="14"/>
        <v>0.97241379310344822</v>
      </c>
      <c r="AA127" s="48">
        <f t="shared" si="15"/>
        <v>4.4827586206896551E-2</v>
      </c>
      <c r="AB127">
        <v>1821</v>
      </c>
      <c r="AC127">
        <v>528130</v>
      </c>
      <c r="AD127">
        <v>1.96</v>
      </c>
      <c r="AE127">
        <v>1765</v>
      </c>
      <c r="AF127">
        <v>1.91</v>
      </c>
    </row>
    <row r="128" spans="1:32" x14ac:dyDescent="0.25">
      <c r="A128" s="33">
        <v>45265</v>
      </c>
      <c r="B128">
        <v>290</v>
      </c>
      <c r="C128">
        <v>9</v>
      </c>
      <c r="D128">
        <v>9</v>
      </c>
      <c r="E128">
        <v>5</v>
      </c>
      <c r="F128">
        <v>3</v>
      </c>
      <c r="G128">
        <v>1</v>
      </c>
      <c r="H128" s="44">
        <f t="shared" si="10"/>
        <v>1</v>
      </c>
      <c r="I128" s="47">
        <f t="shared" si="11"/>
        <v>0.1111111111111111</v>
      </c>
      <c r="J128" s="44">
        <f t="shared" si="12"/>
        <v>278</v>
      </c>
      <c r="K128">
        <v>1</v>
      </c>
      <c r="L128">
        <v>1</v>
      </c>
      <c r="M128">
        <v>1</v>
      </c>
      <c r="N128" s="44">
        <f t="shared" si="16"/>
        <v>278</v>
      </c>
      <c r="O128">
        <v>1</v>
      </c>
      <c r="P128">
        <v>3</v>
      </c>
      <c r="Q128">
        <v>7</v>
      </c>
      <c r="R128" s="44">
        <f t="shared" si="17"/>
        <v>11</v>
      </c>
      <c r="S128">
        <v>6</v>
      </c>
      <c r="T128">
        <v>10</v>
      </c>
      <c r="U128" s="44">
        <f t="shared" si="9"/>
        <v>16</v>
      </c>
      <c r="V128">
        <v>12</v>
      </c>
      <c r="W128">
        <v>3</v>
      </c>
      <c r="X128">
        <v>2</v>
      </c>
      <c r="Y128" s="48">
        <f t="shared" si="13"/>
        <v>0.95862068965517244</v>
      </c>
      <c r="Z128" s="48">
        <f t="shared" si="14"/>
        <v>0.96896551724137936</v>
      </c>
      <c r="AA128" s="48">
        <f t="shared" si="15"/>
        <v>5.8620689655172413E-2</v>
      </c>
      <c r="AB128">
        <v>1821</v>
      </c>
      <c r="AC128">
        <v>528130</v>
      </c>
      <c r="AD128">
        <v>1.96</v>
      </c>
      <c r="AE128">
        <v>1763</v>
      </c>
      <c r="AF128">
        <v>1.91</v>
      </c>
    </row>
    <row r="129" spans="1:32" x14ac:dyDescent="0.25">
      <c r="A129" s="33">
        <v>45272</v>
      </c>
      <c r="B129">
        <v>290</v>
      </c>
      <c r="C129">
        <v>3</v>
      </c>
      <c r="D129">
        <v>3</v>
      </c>
      <c r="E129">
        <v>4</v>
      </c>
      <c r="F129">
        <v>1</v>
      </c>
      <c r="G129">
        <v>0</v>
      </c>
      <c r="H129" s="44">
        <f t="shared" si="10"/>
        <v>3</v>
      </c>
      <c r="I129" s="47">
        <f t="shared" si="11"/>
        <v>1</v>
      </c>
      <c r="J129" s="44">
        <f t="shared" si="12"/>
        <v>278</v>
      </c>
      <c r="K129">
        <v>1</v>
      </c>
      <c r="L129">
        <v>0</v>
      </c>
      <c r="M129">
        <v>0</v>
      </c>
      <c r="N129" s="44">
        <f t="shared" si="16"/>
        <v>279</v>
      </c>
      <c r="O129">
        <v>1</v>
      </c>
      <c r="P129">
        <v>3</v>
      </c>
      <c r="Q129">
        <v>6</v>
      </c>
      <c r="R129" s="44">
        <f t="shared" si="17"/>
        <v>10</v>
      </c>
      <c r="S129">
        <v>8</v>
      </c>
      <c r="T129">
        <v>8</v>
      </c>
      <c r="U129" s="44">
        <f t="shared" si="9"/>
        <v>16</v>
      </c>
      <c r="V129">
        <v>16</v>
      </c>
      <c r="W129">
        <v>0</v>
      </c>
      <c r="X129">
        <v>2</v>
      </c>
      <c r="Y129" s="48">
        <f t="shared" si="13"/>
        <v>0.96206896551724141</v>
      </c>
      <c r="Z129" s="48">
        <f t="shared" si="14"/>
        <v>0.97241379310344822</v>
      </c>
      <c r="AA129" s="48">
        <f t="shared" si="15"/>
        <v>4.8275862068965517E-2</v>
      </c>
      <c r="AB129">
        <v>1821</v>
      </c>
      <c r="AC129">
        <v>528130</v>
      </c>
      <c r="AD129">
        <v>1.96</v>
      </c>
      <c r="AE129">
        <v>1761</v>
      </c>
      <c r="AF129">
        <v>1.91</v>
      </c>
    </row>
    <row r="130" spans="1:32" x14ac:dyDescent="0.25">
      <c r="A130" s="33">
        <v>45279</v>
      </c>
      <c r="B130">
        <v>290</v>
      </c>
      <c r="C130">
        <v>4</v>
      </c>
      <c r="D130">
        <v>4</v>
      </c>
      <c r="E130">
        <v>3</v>
      </c>
      <c r="F130">
        <v>1</v>
      </c>
      <c r="G130">
        <v>1</v>
      </c>
      <c r="H130" s="44">
        <f t="shared" si="10"/>
        <v>1</v>
      </c>
      <c r="I130" s="47">
        <f t="shared" si="11"/>
        <v>0.25</v>
      </c>
      <c r="J130" s="44">
        <f t="shared" si="12"/>
        <v>279</v>
      </c>
      <c r="K130">
        <v>1</v>
      </c>
      <c r="L130">
        <v>3</v>
      </c>
      <c r="M130">
        <v>0</v>
      </c>
      <c r="N130" s="44">
        <f t="shared" si="16"/>
        <v>277</v>
      </c>
      <c r="O130">
        <v>1</v>
      </c>
      <c r="P130">
        <v>3</v>
      </c>
      <c r="Q130">
        <v>9</v>
      </c>
      <c r="R130" s="44">
        <f t="shared" si="17"/>
        <v>13</v>
      </c>
      <c r="S130">
        <v>8</v>
      </c>
      <c r="T130">
        <v>8</v>
      </c>
      <c r="U130" s="44">
        <f t="shared" si="9"/>
        <v>16</v>
      </c>
      <c r="V130">
        <v>13</v>
      </c>
      <c r="W130">
        <v>2</v>
      </c>
      <c r="X130">
        <v>2</v>
      </c>
      <c r="Y130" s="48">
        <f t="shared" si="13"/>
        <v>0.95517241379310347</v>
      </c>
      <c r="Z130" s="48">
        <f t="shared" si="14"/>
        <v>0.96551724137931039</v>
      </c>
      <c r="AA130" s="48">
        <f t="shared" si="15"/>
        <v>5.8620689655172413E-2</v>
      </c>
      <c r="AB130">
        <v>1821</v>
      </c>
      <c r="AC130">
        <v>528130</v>
      </c>
      <c r="AD130">
        <v>1.96</v>
      </c>
      <c r="AE130">
        <v>1762</v>
      </c>
      <c r="AF130">
        <v>1.91</v>
      </c>
    </row>
    <row r="131" spans="1:32" x14ac:dyDescent="0.25">
      <c r="A131" s="33">
        <v>45286</v>
      </c>
      <c r="B131">
        <v>290</v>
      </c>
      <c r="C131">
        <v>0</v>
      </c>
      <c r="D131">
        <v>0</v>
      </c>
      <c r="E131">
        <v>2</v>
      </c>
      <c r="F131">
        <v>0</v>
      </c>
      <c r="G131">
        <v>0</v>
      </c>
      <c r="H131" s="44">
        <f t="shared" si="10"/>
        <v>2</v>
      </c>
      <c r="I131" s="47" t="e">
        <f t="shared" si="11"/>
        <v>#DIV/0!</v>
      </c>
      <c r="J131" s="44">
        <f t="shared" si="12"/>
        <v>277</v>
      </c>
      <c r="K131">
        <v>1</v>
      </c>
      <c r="L131">
        <v>3</v>
      </c>
      <c r="M131">
        <v>1</v>
      </c>
      <c r="N131" s="44">
        <f t="shared" si="16"/>
        <v>275</v>
      </c>
      <c r="O131">
        <v>1</v>
      </c>
      <c r="P131">
        <v>6</v>
      </c>
      <c r="Q131">
        <v>8</v>
      </c>
      <c r="R131" s="44">
        <f t="shared" si="17"/>
        <v>15</v>
      </c>
      <c r="S131">
        <v>7</v>
      </c>
      <c r="T131">
        <v>8</v>
      </c>
      <c r="U131" s="44">
        <f t="shared" si="9"/>
        <v>15</v>
      </c>
      <c r="V131">
        <v>10</v>
      </c>
      <c r="W131">
        <v>4</v>
      </c>
      <c r="X131">
        <v>2</v>
      </c>
      <c r="Y131" s="48">
        <f t="shared" si="13"/>
        <v>0.94827586206896552</v>
      </c>
      <c r="Z131" s="48">
        <f t="shared" si="14"/>
        <v>0.96896551724137936</v>
      </c>
      <c r="AA131" s="48">
        <f t="shared" si="15"/>
        <v>5.5172413793103448E-2</v>
      </c>
      <c r="AB131">
        <v>1821</v>
      </c>
      <c r="AC131">
        <v>528130</v>
      </c>
      <c r="AD131">
        <v>1.96</v>
      </c>
      <c r="AE131">
        <v>1763</v>
      </c>
      <c r="AF131">
        <v>1.91</v>
      </c>
    </row>
    <row r="132" spans="1:32" x14ac:dyDescent="0.25">
      <c r="A132" s="33">
        <v>45293</v>
      </c>
      <c r="B132">
        <v>290</v>
      </c>
      <c r="C132">
        <v>2</v>
      </c>
      <c r="D132">
        <v>2</v>
      </c>
      <c r="E132">
        <v>1</v>
      </c>
      <c r="F132">
        <v>0</v>
      </c>
      <c r="G132">
        <v>0</v>
      </c>
      <c r="H132" s="44">
        <f t="shared" si="10"/>
        <v>1</v>
      </c>
      <c r="I132" s="47">
        <f t="shared" si="11"/>
        <v>0.5</v>
      </c>
      <c r="J132" s="44">
        <f t="shared" si="12"/>
        <v>275</v>
      </c>
      <c r="K132">
        <v>5</v>
      </c>
      <c r="L132">
        <v>2</v>
      </c>
      <c r="M132">
        <v>0</v>
      </c>
      <c r="N132" s="44">
        <f t="shared" si="16"/>
        <v>278</v>
      </c>
      <c r="O132">
        <v>1</v>
      </c>
      <c r="P132">
        <v>3</v>
      </c>
      <c r="Q132">
        <v>8</v>
      </c>
      <c r="R132" s="44">
        <f t="shared" si="17"/>
        <v>12</v>
      </c>
      <c r="S132">
        <v>6</v>
      </c>
      <c r="T132">
        <v>11</v>
      </c>
      <c r="U132" s="44">
        <f t="shared" ref="U132:U195" si="18">SUM(S132:T132)</f>
        <v>17</v>
      </c>
      <c r="V132">
        <v>11</v>
      </c>
      <c r="W132">
        <v>6</v>
      </c>
      <c r="X132">
        <v>2</v>
      </c>
      <c r="Y132" s="48">
        <f t="shared" si="13"/>
        <v>0.95862068965517244</v>
      </c>
      <c r="Z132" s="48">
        <f t="shared" si="14"/>
        <v>0.96896551724137936</v>
      </c>
      <c r="AA132" s="48">
        <f t="shared" si="15"/>
        <v>6.5517241379310351E-2</v>
      </c>
      <c r="AB132">
        <v>1821</v>
      </c>
      <c r="AC132">
        <v>528130</v>
      </c>
      <c r="AD132">
        <v>1.96</v>
      </c>
      <c r="AE132">
        <v>1758</v>
      </c>
      <c r="AF132">
        <v>1.91</v>
      </c>
    </row>
    <row r="133" spans="1:32" x14ac:dyDescent="0.25">
      <c r="A133" s="33">
        <v>45300</v>
      </c>
      <c r="B133">
        <v>290</v>
      </c>
      <c r="C133">
        <v>15</v>
      </c>
      <c r="D133">
        <v>15</v>
      </c>
      <c r="E133">
        <v>4</v>
      </c>
      <c r="F133">
        <v>1</v>
      </c>
      <c r="G133">
        <v>1</v>
      </c>
      <c r="H133" s="44">
        <f t="shared" si="10"/>
        <v>2</v>
      </c>
      <c r="I133" s="47">
        <f t="shared" si="11"/>
        <v>0.13333333333333333</v>
      </c>
      <c r="J133" s="44">
        <f t="shared" si="12"/>
        <v>278</v>
      </c>
      <c r="K133">
        <v>2</v>
      </c>
      <c r="L133">
        <v>6</v>
      </c>
      <c r="M133">
        <v>0</v>
      </c>
      <c r="N133" s="44">
        <f t="shared" si="16"/>
        <v>274</v>
      </c>
      <c r="O133">
        <v>1</v>
      </c>
      <c r="P133">
        <v>4</v>
      </c>
      <c r="Q133">
        <v>11</v>
      </c>
      <c r="R133" s="44">
        <f t="shared" si="17"/>
        <v>16</v>
      </c>
      <c r="S133">
        <v>5</v>
      </c>
      <c r="T133">
        <v>10</v>
      </c>
      <c r="U133" s="44">
        <f t="shared" si="18"/>
        <v>15</v>
      </c>
      <c r="V133">
        <v>14</v>
      </c>
      <c r="W133">
        <v>5</v>
      </c>
      <c r="X133">
        <v>2</v>
      </c>
      <c r="Y133" s="48">
        <f t="shared" si="13"/>
        <v>0.94482758620689655</v>
      </c>
      <c r="Z133" s="48">
        <f t="shared" si="14"/>
        <v>0.95862068965517244</v>
      </c>
      <c r="AA133" s="48">
        <f t="shared" si="15"/>
        <v>7.2413793103448282E-2</v>
      </c>
      <c r="AB133">
        <v>1821</v>
      </c>
      <c r="AC133">
        <v>528130</v>
      </c>
      <c r="AD133">
        <v>1.96</v>
      </c>
      <c r="AE133">
        <v>1756</v>
      </c>
      <c r="AF133">
        <v>1.91</v>
      </c>
    </row>
    <row r="134" spans="1:32" x14ac:dyDescent="0.25">
      <c r="A134" s="33">
        <v>45307</v>
      </c>
      <c r="B134">
        <v>290</v>
      </c>
      <c r="C134">
        <v>8</v>
      </c>
      <c r="D134">
        <v>8</v>
      </c>
      <c r="E134">
        <v>3</v>
      </c>
      <c r="F134">
        <v>1</v>
      </c>
      <c r="G134">
        <v>0</v>
      </c>
      <c r="H134" s="44">
        <f t="shared" si="10"/>
        <v>2</v>
      </c>
      <c r="I134" s="47">
        <f t="shared" si="11"/>
        <v>0.25</v>
      </c>
      <c r="J134" s="44">
        <f t="shared" si="12"/>
        <v>274</v>
      </c>
      <c r="K134">
        <v>1</v>
      </c>
      <c r="L134">
        <v>0</v>
      </c>
      <c r="M134">
        <v>0</v>
      </c>
      <c r="N134" s="44">
        <f t="shared" si="16"/>
        <v>275</v>
      </c>
      <c r="O134">
        <v>1</v>
      </c>
      <c r="P134">
        <v>4</v>
      </c>
      <c r="Q134">
        <v>10</v>
      </c>
      <c r="R134" s="44">
        <f t="shared" si="17"/>
        <v>15</v>
      </c>
      <c r="S134">
        <v>7</v>
      </c>
      <c r="T134">
        <v>10</v>
      </c>
      <c r="U134" s="44">
        <f t="shared" si="18"/>
        <v>17</v>
      </c>
      <c r="V134">
        <v>14</v>
      </c>
      <c r="W134">
        <v>4</v>
      </c>
      <c r="X134">
        <v>2</v>
      </c>
      <c r="Y134" s="48">
        <f t="shared" si="13"/>
        <v>0.94827586206896552</v>
      </c>
      <c r="Z134" s="48">
        <f t="shared" si="14"/>
        <v>0.96206896551724141</v>
      </c>
      <c r="AA134" s="48">
        <f t="shared" si="15"/>
        <v>6.8965517241379309E-2</v>
      </c>
      <c r="AB134">
        <v>1821</v>
      </c>
      <c r="AC134">
        <v>528130</v>
      </c>
      <c r="AD134">
        <v>1.96</v>
      </c>
      <c r="AE134">
        <v>1756</v>
      </c>
      <c r="AF134">
        <v>1.9</v>
      </c>
    </row>
    <row r="135" spans="1:32" x14ac:dyDescent="0.25">
      <c r="A135" s="33">
        <v>45314</v>
      </c>
      <c r="B135">
        <v>290</v>
      </c>
      <c r="C135">
        <v>12</v>
      </c>
      <c r="D135">
        <v>12</v>
      </c>
      <c r="E135">
        <v>2</v>
      </c>
      <c r="F135">
        <v>0</v>
      </c>
      <c r="G135">
        <v>1</v>
      </c>
      <c r="H135" s="44">
        <f t="shared" si="10"/>
        <v>1</v>
      </c>
      <c r="I135" s="47">
        <f t="shared" si="11"/>
        <v>8.3333333333333329E-2</v>
      </c>
      <c r="J135" s="44">
        <f t="shared" si="12"/>
        <v>275</v>
      </c>
      <c r="K135">
        <v>2</v>
      </c>
      <c r="L135">
        <v>1</v>
      </c>
      <c r="M135">
        <v>0</v>
      </c>
      <c r="N135" s="44">
        <f t="shared" si="16"/>
        <v>276</v>
      </c>
      <c r="O135">
        <v>1</v>
      </c>
      <c r="P135">
        <v>3</v>
      </c>
      <c r="Q135">
        <v>10</v>
      </c>
      <c r="R135" s="44">
        <f t="shared" si="17"/>
        <v>14</v>
      </c>
      <c r="S135">
        <v>7</v>
      </c>
      <c r="T135">
        <v>16</v>
      </c>
      <c r="U135" s="44">
        <f t="shared" si="18"/>
        <v>23</v>
      </c>
      <c r="V135">
        <v>19</v>
      </c>
      <c r="W135">
        <v>5</v>
      </c>
      <c r="X135">
        <v>2</v>
      </c>
      <c r="Y135" s="48">
        <f t="shared" si="13"/>
        <v>0.9517241379310345</v>
      </c>
      <c r="Z135" s="48">
        <f t="shared" si="14"/>
        <v>0.96206896551724141</v>
      </c>
      <c r="AA135" s="48">
        <f t="shared" si="15"/>
        <v>8.9655172413793102E-2</v>
      </c>
      <c r="AB135">
        <v>1821</v>
      </c>
      <c r="AC135">
        <v>528130</v>
      </c>
      <c r="AD135">
        <v>1.96</v>
      </c>
      <c r="AE135">
        <v>1757</v>
      </c>
      <c r="AF135">
        <v>1.91</v>
      </c>
    </row>
    <row r="136" spans="1:32" x14ac:dyDescent="0.25">
      <c r="A136" s="33">
        <v>45321</v>
      </c>
      <c r="B136">
        <v>290</v>
      </c>
      <c r="C136">
        <v>16</v>
      </c>
      <c r="D136">
        <v>16</v>
      </c>
      <c r="E136">
        <v>6</v>
      </c>
      <c r="F136">
        <v>2</v>
      </c>
      <c r="G136">
        <v>3</v>
      </c>
      <c r="H136" s="44">
        <f t="shared" si="10"/>
        <v>1</v>
      </c>
      <c r="I136" s="47">
        <f t="shared" si="11"/>
        <v>6.25E-2</v>
      </c>
      <c r="J136" s="44">
        <f t="shared" si="12"/>
        <v>276</v>
      </c>
      <c r="K136">
        <v>0</v>
      </c>
      <c r="L136">
        <v>3</v>
      </c>
      <c r="M136">
        <v>0</v>
      </c>
      <c r="N136" s="44">
        <f t="shared" si="16"/>
        <v>273</v>
      </c>
      <c r="O136">
        <v>1</v>
      </c>
      <c r="P136">
        <v>6</v>
      </c>
      <c r="Q136">
        <v>10</v>
      </c>
      <c r="R136" s="44">
        <f t="shared" si="17"/>
        <v>17</v>
      </c>
      <c r="S136">
        <v>5</v>
      </c>
      <c r="T136">
        <v>17</v>
      </c>
      <c r="U136" s="44">
        <f t="shared" si="18"/>
        <v>22</v>
      </c>
      <c r="V136">
        <v>20</v>
      </c>
      <c r="W136">
        <v>7</v>
      </c>
      <c r="X136">
        <v>2</v>
      </c>
      <c r="Y136" s="48">
        <f t="shared" si="13"/>
        <v>0.94137931034482758</v>
      </c>
      <c r="Z136" s="48">
        <f t="shared" si="14"/>
        <v>0.96206896551724141</v>
      </c>
      <c r="AA136" s="48">
        <f t="shared" si="15"/>
        <v>9.3103448275862075E-2</v>
      </c>
      <c r="AB136">
        <v>1821</v>
      </c>
      <c r="AC136">
        <v>528130</v>
      </c>
      <c r="AD136">
        <v>1.96</v>
      </c>
      <c r="AE136">
        <v>1760</v>
      </c>
      <c r="AF136">
        <v>1.91</v>
      </c>
    </row>
    <row r="137" spans="1:32" x14ac:dyDescent="0.25">
      <c r="A137" s="33">
        <v>45328</v>
      </c>
      <c r="B137">
        <v>290</v>
      </c>
      <c r="C137">
        <v>20</v>
      </c>
      <c r="D137">
        <v>12</v>
      </c>
      <c r="E137">
        <v>12</v>
      </c>
      <c r="F137">
        <v>0</v>
      </c>
      <c r="G137">
        <v>3</v>
      </c>
      <c r="H137" s="44">
        <f t="shared" si="10"/>
        <v>9</v>
      </c>
      <c r="I137" s="47">
        <f t="shared" si="11"/>
        <v>0.75</v>
      </c>
      <c r="J137" s="44">
        <f t="shared" si="12"/>
        <v>273</v>
      </c>
      <c r="K137">
        <v>4</v>
      </c>
      <c r="L137">
        <v>4</v>
      </c>
      <c r="M137">
        <v>0</v>
      </c>
      <c r="N137" s="44">
        <f t="shared" si="16"/>
        <v>273</v>
      </c>
      <c r="O137">
        <v>1</v>
      </c>
      <c r="P137">
        <v>8</v>
      </c>
      <c r="Q137">
        <v>8</v>
      </c>
      <c r="R137" s="44">
        <f t="shared" si="17"/>
        <v>17</v>
      </c>
      <c r="S137">
        <v>6</v>
      </c>
      <c r="T137">
        <v>15</v>
      </c>
      <c r="U137" s="44">
        <f t="shared" si="18"/>
        <v>21</v>
      </c>
      <c r="V137">
        <v>17</v>
      </c>
      <c r="W137">
        <v>4</v>
      </c>
      <c r="X137">
        <v>2</v>
      </c>
      <c r="Y137" s="48">
        <f t="shared" si="13"/>
        <v>0.94137931034482758</v>
      </c>
      <c r="Z137" s="48">
        <f t="shared" si="14"/>
        <v>0.96896551724137936</v>
      </c>
      <c r="AA137" s="48">
        <f t="shared" si="15"/>
        <v>7.9310344827586213E-2</v>
      </c>
      <c r="AB137">
        <v>1821</v>
      </c>
      <c r="AC137">
        <v>528130</v>
      </c>
      <c r="AD137">
        <v>1.96</v>
      </c>
      <c r="AE137">
        <v>1755</v>
      </c>
      <c r="AF137">
        <v>1.9</v>
      </c>
    </row>
    <row r="138" spans="1:32" x14ac:dyDescent="0.25">
      <c r="A138" s="33">
        <v>45335</v>
      </c>
      <c r="B138">
        <v>290</v>
      </c>
      <c r="C138">
        <v>13</v>
      </c>
      <c r="D138">
        <v>13</v>
      </c>
      <c r="E138">
        <v>9</v>
      </c>
      <c r="F138">
        <v>2</v>
      </c>
      <c r="G138">
        <v>2</v>
      </c>
      <c r="H138" s="44">
        <f t="shared" si="10"/>
        <v>5</v>
      </c>
      <c r="I138" s="47">
        <f t="shared" si="11"/>
        <v>0.38461538461538464</v>
      </c>
      <c r="J138" s="44">
        <f t="shared" si="12"/>
        <v>273</v>
      </c>
      <c r="K138">
        <v>3</v>
      </c>
      <c r="L138">
        <v>2</v>
      </c>
      <c r="M138">
        <v>0</v>
      </c>
      <c r="N138" s="44">
        <f t="shared" si="16"/>
        <v>274</v>
      </c>
      <c r="O138">
        <v>1</v>
      </c>
      <c r="P138">
        <v>9</v>
      </c>
      <c r="Q138">
        <v>6</v>
      </c>
      <c r="R138" s="44">
        <f t="shared" si="17"/>
        <v>16</v>
      </c>
      <c r="S138">
        <v>9</v>
      </c>
      <c r="T138">
        <v>12</v>
      </c>
      <c r="U138" s="44">
        <f t="shared" si="18"/>
        <v>21</v>
      </c>
      <c r="V138">
        <v>12</v>
      </c>
      <c r="W138">
        <v>4</v>
      </c>
      <c r="X138">
        <v>2</v>
      </c>
      <c r="Y138" s="48">
        <f t="shared" si="13"/>
        <v>0.94482758620689655</v>
      </c>
      <c r="Z138" s="48">
        <f t="shared" si="14"/>
        <v>0.97586206896551719</v>
      </c>
      <c r="AA138" s="48">
        <f t="shared" si="15"/>
        <v>6.2068965517241378E-2</v>
      </c>
      <c r="AB138">
        <v>1821</v>
      </c>
      <c r="AC138">
        <v>528130</v>
      </c>
      <c r="AD138">
        <v>1.96</v>
      </c>
      <c r="AE138">
        <v>1750</v>
      </c>
      <c r="AF138">
        <v>1.9</v>
      </c>
    </row>
    <row r="139" spans="1:32" x14ac:dyDescent="0.25">
      <c r="A139" s="33">
        <v>45342</v>
      </c>
      <c r="B139">
        <v>290</v>
      </c>
      <c r="C139">
        <v>12</v>
      </c>
      <c r="D139">
        <v>12</v>
      </c>
      <c r="E139">
        <v>5</v>
      </c>
      <c r="F139">
        <v>1</v>
      </c>
      <c r="G139">
        <v>0</v>
      </c>
      <c r="H139" s="44">
        <f t="shared" si="10"/>
        <v>4</v>
      </c>
      <c r="I139" s="47">
        <f t="shared" si="11"/>
        <v>0.33333333333333331</v>
      </c>
      <c r="J139" s="44">
        <f t="shared" si="12"/>
        <v>274</v>
      </c>
      <c r="K139">
        <v>2</v>
      </c>
      <c r="L139">
        <v>1</v>
      </c>
      <c r="M139">
        <v>1</v>
      </c>
      <c r="N139" s="44">
        <f t="shared" si="16"/>
        <v>275</v>
      </c>
      <c r="O139">
        <v>1</v>
      </c>
      <c r="P139">
        <v>8</v>
      </c>
      <c r="Q139">
        <v>6</v>
      </c>
      <c r="R139" s="44">
        <f t="shared" si="17"/>
        <v>15</v>
      </c>
      <c r="S139">
        <v>13</v>
      </c>
      <c r="T139">
        <v>9</v>
      </c>
      <c r="U139" s="44">
        <f t="shared" si="18"/>
        <v>22</v>
      </c>
      <c r="V139">
        <v>10</v>
      </c>
      <c r="W139">
        <v>3</v>
      </c>
      <c r="X139">
        <v>2</v>
      </c>
      <c r="Y139" s="48">
        <f t="shared" si="13"/>
        <v>0.94827586206896552</v>
      </c>
      <c r="Z139" s="48">
        <f t="shared" si="14"/>
        <v>0.97586206896551719</v>
      </c>
      <c r="AA139" s="48">
        <f t="shared" si="15"/>
        <v>5.1724137931034482E-2</v>
      </c>
      <c r="AB139">
        <v>1821</v>
      </c>
      <c r="AC139">
        <v>528130</v>
      </c>
      <c r="AD139">
        <v>1.96</v>
      </c>
      <c r="AE139">
        <v>1749</v>
      </c>
      <c r="AF139">
        <v>1.9</v>
      </c>
    </row>
    <row r="140" spans="1:32" x14ac:dyDescent="0.25">
      <c r="A140" s="33">
        <v>45349</v>
      </c>
      <c r="B140">
        <v>290</v>
      </c>
      <c r="C140">
        <v>8</v>
      </c>
      <c r="D140">
        <v>8</v>
      </c>
      <c r="E140">
        <v>3</v>
      </c>
      <c r="F140">
        <v>3</v>
      </c>
      <c r="G140">
        <v>0</v>
      </c>
      <c r="H140" s="44">
        <f t="shared" si="10"/>
        <v>0</v>
      </c>
      <c r="I140" s="47">
        <f t="shared" si="11"/>
        <v>0</v>
      </c>
      <c r="J140" s="44">
        <f t="shared" si="12"/>
        <v>275</v>
      </c>
      <c r="K140">
        <v>5</v>
      </c>
      <c r="L140">
        <v>2</v>
      </c>
      <c r="M140">
        <v>1</v>
      </c>
      <c r="N140" s="44">
        <f t="shared" si="16"/>
        <v>278</v>
      </c>
      <c r="O140">
        <v>1</v>
      </c>
      <c r="P140">
        <v>3</v>
      </c>
      <c r="Q140">
        <v>8</v>
      </c>
      <c r="R140" s="44">
        <f t="shared" si="17"/>
        <v>12</v>
      </c>
      <c r="S140">
        <v>15</v>
      </c>
      <c r="T140">
        <v>9</v>
      </c>
      <c r="U140" s="44">
        <f t="shared" si="18"/>
        <v>24</v>
      </c>
      <c r="V140">
        <v>11</v>
      </c>
      <c r="W140">
        <v>4</v>
      </c>
      <c r="X140">
        <v>2</v>
      </c>
      <c r="Y140" s="48">
        <f t="shared" si="13"/>
        <v>0.95862068965517244</v>
      </c>
      <c r="Z140" s="48">
        <f t="shared" si="14"/>
        <v>0.96896551724137936</v>
      </c>
      <c r="AA140" s="48">
        <f t="shared" si="15"/>
        <v>5.8620689655172413E-2</v>
      </c>
      <c r="AB140">
        <v>1821</v>
      </c>
      <c r="AC140">
        <v>528130</v>
      </c>
      <c r="AD140">
        <v>1.96</v>
      </c>
      <c r="AE140">
        <v>1747</v>
      </c>
      <c r="AF140">
        <v>1.89</v>
      </c>
    </row>
    <row r="141" spans="1:32" x14ac:dyDescent="0.25">
      <c r="A141" s="33">
        <v>45356</v>
      </c>
      <c r="B141">
        <v>290</v>
      </c>
      <c r="C141">
        <v>18</v>
      </c>
      <c r="D141">
        <v>18</v>
      </c>
      <c r="E141">
        <v>5</v>
      </c>
      <c r="F141">
        <v>0</v>
      </c>
      <c r="G141">
        <v>2</v>
      </c>
      <c r="H141" s="44">
        <f t="shared" si="10"/>
        <v>3</v>
      </c>
      <c r="I141" s="47">
        <f t="shared" si="11"/>
        <v>0.16666666666666666</v>
      </c>
      <c r="J141" s="44">
        <f t="shared" si="12"/>
        <v>278</v>
      </c>
      <c r="K141">
        <v>1</v>
      </c>
      <c r="L141">
        <v>7</v>
      </c>
      <c r="M141">
        <v>1</v>
      </c>
      <c r="N141" s="44">
        <f t="shared" si="16"/>
        <v>272</v>
      </c>
      <c r="O141">
        <v>1</v>
      </c>
      <c r="P141">
        <v>8</v>
      </c>
      <c r="Q141">
        <v>9</v>
      </c>
      <c r="R141" s="44">
        <f t="shared" si="17"/>
        <v>18</v>
      </c>
      <c r="S141">
        <v>13</v>
      </c>
      <c r="T141">
        <v>7</v>
      </c>
      <c r="U141" s="44">
        <f t="shared" si="18"/>
        <v>20</v>
      </c>
      <c r="V141">
        <v>9</v>
      </c>
      <c r="W141">
        <v>6</v>
      </c>
      <c r="X141">
        <v>1</v>
      </c>
      <c r="Y141" s="48">
        <f t="shared" si="13"/>
        <v>0.93793103448275861</v>
      </c>
      <c r="Z141" s="48">
        <f t="shared" si="14"/>
        <v>0.96551724137931039</v>
      </c>
      <c r="AA141" s="48">
        <f t="shared" si="15"/>
        <v>5.5172413793103448E-2</v>
      </c>
      <c r="AB141">
        <v>1821</v>
      </c>
      <c r="AC141">
        <v>528130</v>
      </c>
      <c r="AD141">
        <v>1.96</v>
      </c>
      <c r="AE141">
        <v>1750</v>
      </c>
      <c r="AF141">
        <v>1.89</v>
      </c>
    </row>
    <row r="142" spans="1:32" x14ac:dyDescent="0.25">
      <c r="A142" s="33">
        <v>45363</v>
      </c>
      <c r="B142">
        <v>290</v>
      </c>
      <c r="C142">
        <v>12</v>
      </c>
      <c r="D142">
        <v>12</v>
      </c>
      <c r="E142">
        <v>3</v>
      </c>
      <c r="F142">
        <v>1</v>
      </c>
      <c r="G142">
        <v>2</v>
      </c>
      <c r="H142" s="44">
        <f t="shared" si="10"/>
        <v>0</v>
      </c>
      <c r="I142" s="47">
        <f t="shared" si="11"/>
        <v>0</v>
      </c>
      <c r="J142" s="44">
        <f t="shared" si="12"/>
        <v>272</v>
      </c>
      <c r="K142">
        <v>6</v>
      </c>
      <c r="L142">
        <v>3</v>
      </c>
      <c r="M142">
        <v>0</v>
      </c>
      <c r="N142" s="44">
        <f t="shared" si="16"/>
        <v>275</v>
      </c>
      <c r="O142">
        <v>1</v>
      </c>
      <c r="P142">
        <v>4</v>
      </c>
      <c r="Q142">
        <v>10</v>
      </c>
      <c r="R142" s="44">
        <f t="shared" si="17"/>
        <v>15</v>
      </c>
      <c r="S142">
        <v>11</v>
      </c>
      <c r="T142">
        <v>13</v>
      </c>
      <c r="U142" s="44">
        <f t="shared" si="18"/>
        <v>24</v>
      </c>
      <c r="V142">
        <v>12</v>
      </c>
      <c r="W142">
        <v>9</v>
      </c>
      <c r="X142">
        <v>2</v>
      </c>
      <c r="Y142" s="48">
        <f t="shared" si="13"/>
        <v>0.94827586206896552</v>
      </c>
      <c r="Z142" s="48">
        <f t="shared" si="14"/>
        <v>0.96206896551724141</v>
      </c>
      <c r="AA142" s="48">
        <f t="shared" si="15"/>
        <v>7.9310344827586213E-2</v>
      </c>
      <c r="AB142">
        <v>1821</v>
      </c>
      <c r="AC142">
        <v>528130</v>
      </c>
      <c r="AD142">
        <v>1.96</v>
      </c>
      <c r="AE142">
        <v>1748</v>
      </c>
      <c r="AF142">
        <v>1.89</v>
      </c>
    </row>
    <row r="143" spans="1:32" x14ac:dyDescent="0.25">
      <c r="A143" s="33">
        <v>45370</v>
      </c>
      <c r="B143">
        <v>290</v>
      </c>
      <c r="C143">
        <v>15</v>
      </c>
      <c r="D143">
        <v>15</v>
      </c>
      <c r="E143">
        <v>7</v>
      </c>
      <c r="F143">
        <v>0</v>
      </c>
      <c r="G143">
        <v>2</v>
      </c>
      <c r="H143" s="44">
        <f t="shared" si="10"/>
        <v>5</v>
      </c>
      <c r="I143" s="47">
        <f t="shared" si="11"/>
        <v>0.33333333333333331</v>
      </c>
      <c r="J143" s="44">
        <f t="shared" si="12"/>
        <v>275</v>
      </c>
      <c r="K143">
        <v>3</v>
      </c>
      <c r="L143">
        <v>2</v>
      </c>
      <c r="M143">
        <v>1</v>
      </c>
      <c r="N143" s="44">
        <f t="shared" si="16"/>
        <v>276</v>
      </c>
      <c r="O143">
        <v>1</v>
      </c>
      <c r="P143">
        <v>6</v>
      </c>
      <c r="Q143">
        <v>8</v>
      </c>
      <c r="R143" s="44">
        <f t="shared" si="17"/>
        <v>15</v>
      </c>
      <c r="S143">
        <v>13</v>
      </c>
      <c r="T143">
        <v>12</v>
      </c>
      <c r="U143" s="44">
        <f t="shared" si="18"/>
        <v>25</v>
      </c>
      <c r="V143">
        <v>7</v>
      </c>
      <c r="W143">
        <v>7</v>
      </c>
      <c r="X143">
        <v>3</v>
      </c>
      <c r="Y143" s="48">
        <f t="shared" si="13"/>
        <v>0.9517241379310345</v>
      </c>
      <c r="Z143" s="48">
        <f t="shared" si="14"/>
        <v>0.97241379310344822</v>
      </c>
      <c r="AA143" s="48">
        <f t="shared" si="15"/>
        <v>6.8965517241379309E-2</v>
      </c>
      <c r="AB143">
        <v>1821</v>
      </c>
      <c r="AC143">
        <v>528130</v>
      </c>
      <c r="AD143">
        <v>1.96</v>
      </c>
      <c r="AE143">
        <v>1745</v>
      </c>
      <c r="AF143">
        <v>1.89</v>
      </c>
    </row>
    <row r="144" spans="1:32" x14ac:dyDescent="0.25">
      <c r="A144" s="33">
        <v>45377</v>
      </c>
      <c r="B144">
        <v>290</v>
      </c>
      <c r="C144">
        <v>16</v>
      </c>
      <c r="D144">
        <v>16</v>
      </c>
      <c r="E144">
        <v>7</v>
      </c>
      <c r="F144">
        <v>3</v>
      </c>
      <c r="G144">
        <v>2</v>
      </c>
      <c r="H144" s="44">
        <f t="shared" si="10"/>
        <v>2</v>
      </c>
      <c r="I144" s="47">
        <f t="shared" si="11"/>
        <v>0.125</v>
      </c>
      <c r="J144" s="44">
        <f t="shared" si="12"/>
        <v>276</v>
      </c>
      <c r="K144">
        <v>2</v>
      </c>
      <c r="L144">
        <v>2</v>
      </c>
      <c r="M144">
        <v>0</v>
      </c>
      <c r="N144" s="44">
        <f t="shared" si="16"/>
        <v>276</v>
      </c>
      <c r="O144">
        <v>1</v>
      </c>
      <c r="P144">
        <v>7</v>
      </c>
      <c r="Q144">
        <v>7</v>
      </c>
      <c r="R144" s="44">
        <f t="shared" si="17"/>
        <v>15</v>
      </c>
      <c r="S144">
        <v>13</v>
      </c>
      <c r="T144">
        <v>12</v>
      </c>
      <c r="U144" s="44">
        <f t="shared" si="18"/>
        <v>25</v>
      </c>
      <c r="V144">
        <v>12</v>
      </c>
      <c r="W144">
        <v>4</v>
      </c>
      <c r="X144">
        <v>3</v>
      </c>
      <c r="Y144" s="48">
        <f t="shared" si="13"/>
        <v>0.9517241379310345</v>
      </c>
      <c r="Z144" s="48">
        <f t="shared" si="14"/>
        <v>0.97586206896551719</v>
      </c>
      <c r="AA144" s="48">
        <f t="shared" si="15"/>
        <v>6.5517241379310351E-2</v>
      </c>
      <c r="AB144">
        <v>1821</v>
      </c>
      <c r="AC144">
        <v>528130</v>
      </c>
      <c r="AD144">
        <v>1.96</v>
      </c>
      <c r="AE144">
        <v>1748</v>
      </c>
      <c r="AF144">
        <v>1.89</v>
      </c>
    </row>
    <row r="145" spans="1:32" x14ac:dyDescent="0.25">
      <c r="A145" s="33">
        <v>45384</v>
      </c>
      <c r="B145">
        <v>290</v>
      </c>
      <c r="C145">
        <v>13</v>
      </c>
      <c r="D145">
        <v>13</v>
      </c>
      <c r="E145">
        <v>9</v>
      </c>
      <c r="F145">
        <v>1</v>
      </c>
      <c r="G145">
        <v>0</v>
      </c>
      <c r="H145" s="44">
        <f t="shared" si="10"/>
        <v>8</v>
      </c>
      <c r="I145" s="47">
        <f t="shared" si="11"/>
        <v>0.61538461538461542</v>
      </c>
      <c r="J145" s="44">
        <f t="shared" si="12"/>
        <v>276</v>
      </c>
      <c r="K145">
        <v>6</v>
      </c>
      <c r="L145">
        <v>4</v>
      </c>
      <c r="M145">
        <v>0</v>
      </c>
      <c r="N145" s="44">
        <f t="shared" si="16"/>
        <v>278</v>
      </c>
      <c r="O145">
        <v>1</v>
      </c>
      <c r="P145">
        <v>9</v>
      </c>
      <c r="Q145">
        <v>3</v>
      </c>
      <c r="R145" s="44">
        <f t="shared" si="17"/>
        <v>13</v>
      </c>
      <c r="S145">
        <v>14</v>
      </c>
      <c r="T145">
        <v>10</v>
      </c>
      <c r="U145" s="44">
        <f t="shared" si="18"/>
        <v>24</v>
      </c>
      <c r="V145">
        <v>8</v>
      </c>
      <c r="W145">
        <v>3</v>
      </c>
      <c r="X145">
        <v>2</v>
      </c>
      <c r="Y145" s="48">
        <f t="shared" si="13"/>
        <v>0.95862068965517244</v>
      </c>
      <c r="Z145" s="48">
        <f t="shared" si="14"/>
        <v>0.98965517241379308</v>
      </c>
      <c r="AA145" s="48">
        <f t="shared" si="15"/>
        <v>4.4827586206896551E-2</v>
      </c>
      <c r="AB145">
        <v>1821</v>
      </c>
      <c r="AC145">
        <v>528130</v>
      </c>
      <c r="AD145">
        <v>1.96</v>
      </c>
      <c r="AE145">
        <v>1745</v>
      </c>
      <c r="AF145">
        <v>1.89</v>
      </c>
    </row>
    <row r="146" spans="1:32" x14ac:dyDescent="0.25">
      <c r="A146" s="33">
        <v>45391</v>
      </c>
      <c r="B146">
        <v>290</v>
      </c>
      <c r="C146">
        <v>9</v>
      </c>
      <c r="D146">
        <v>9</v>
      </c>
      <c r="E146">
        <v>5</v>
      </c>
      <c r="F146">
        <v>0</v>
      </c>
      <c r="G146">
        <v>0</v>
      </c>
      <c r="H146" s="44">
        <f t="shared" si="10"/>
        <v>5</v>
      </c>
      <c r="I146" s="47">
        <f t="shared" si="11"/>
        <v>0.55555555555555558</v>
      </c>
      <c r="J146" s="44">
        <f t="shared" si="12"/>
        <v>278</v>
      </c>
      <c r="K146">
        <v>4</v>
      </c>
      <c r="L146">
        <v>1</v>
      </c>
      <c r="M146">
        <v>0</v>
      </c>
      <c r="N146" s="44">
        <f t="shared" si="16"/>
        <v>281</v>
      </c>
      <c r="O146">
        <v>1</v>
      </c>
      <c r="P146">
        <v>7</v>
      </c>
      <c r="Q146">
        <v>2</v>
      </c>
      <c r="R146" s="44">
        <f t="shared" si="17"/>
        <v>10</v>
      </c>
      <c r="S146">
        <v>15</v>
      </c>
      <c r="T146">
        <v>9</v>
      </c>
      <c r="U146" s="44">
        <f t="shared" si="18"/>
        <v>24</v>
      </c>
      <c r="V146">
        <v>7</v>
      </c>
      <c r="W146">
        <v>2</v>
      </c>
      <c r="X146">
        <v>2</v>
      </c>
      <c r="Y146" s="48">
        <f t="shared" si="13"/>
        <v>0.96896551724137936</v>
      </c>
      <c r="Z146" s="48">
        <f t="shared" si="14"/>
        <v>0.99310344827586206</v>
      </c>
      <c r="AA146" s="48">
        <f t="shared" si="15"/>
        <v>3.793103448275862E-2</v>
      </c>
      <c r="AB146">
        <v>1821</v>
      </c>
      <c r="AC146">
        <v>528130</v>
      </c>
      <c r="AD146">
        <v>1.96</v>
      </c>
      <c r="AE146">
        <v>1740</v>
      </c>
      <c r="AF146">
        <v>1.89</v>
      </c>
    </row>
    <row r="147" spans="1:32" x14ac:dyDescent="0.25">
      <c r="A147" s="33">
        <v>45398</v>
      </c>
      <c r="B147">
        <v>290</v>
      </c>
      <c r="C147">
        <v>6</v>
      </c>
      <c r="D147">
        <v>6</v>
      </c>
      <c r="E147">
        <v>2</v>
      </c>
      <c r="F147">
        <v>1</v>
      </c>
      <c r="G147">
        <v>1</v>
      </c>
      <c r="H147" s="44">
        <f t="shared" si="10"/>
        <v>0</v>
      </c>
      <c r="I147" s="47">
        <f t="shared" si="11"/>
        <v>0</v>
      </c>
      <c r="J147" s="44">
        <f t="shared" si="12"/>
        <v>281</v>
      </c>
      <c r="K147">
        <v>3</v>
      </c>
      <c r="L147">
        <v>3</v>
      </c>
      <c r="M147">
        <v>2</v>
      </c>
      <c r="N147" s="44">
        <f t="shared" si="16"/>
        <v>281</v>
      </c>
      <c r="O147">
        <v>1</v>
      </c>
      <c r="P147">
        <v>6</v>
      </c>
      <c r="Q147">
        <v>3</v>
      </c>
      <c r="R147" s="44">
        <f t="shared" si="17"/>
        <v>10</v>
      </c>
      <c r="S147">
        <v>14</v>
      </c>
      <c r="T147">
        <v>9</v>
      </c>
      <c r="U147" s="44">
        <f t="shared" si="18"/>
        <v>23</v>
      </c>
      <c r="V147">
        <v>9</v>
      </c>
      <c r="W147">
        <v>2</v>
      </c>
      <c r="X147">
        <v>1</v>
      </c>
      <c r="Y147" s="48">
        <f t="shared" si="13"/>
        <v>0.96896551724137936</v>
      </c>
      <c r="Z147" s="48">
        <f t="shared" si="14"/>
        <v>0.98965517241379308</v>
      </c>
      <c r="AA147" s="48">
        <f t="shared" si="15"/>
        <v>4.1379310344827586E-2</v>
      </c>
      <c r="AB147">
        <v>1821</v>
      </c>
      <c r="AC147">
        <v>528130</v>
      </c>
      <c r="AD147">
        <v>1.96</v>
      </c>
      <c r="AE147">
        <v>1736</v>
      </c>
      <c r="AF147">
        <v>1.89</v>
      </c>
    </row>
    <row r="148" spans="1:32" x14ac:dyDescent="0.25">
      <c r="A148" s="33">
        <v>45405</v>
      </c>
      <c r="B148">
        <v>290</v>
      </c>
      <c r="C148">
        <v>5</v>
      </c>
      <c r="D148">
        <v>5</v>
      </c>
      <c r="E148">
        <v>1</v>
      </c>
      <c r="F148">
        <v>0</v>
      </c>
      <c r="G148">
        <v>1</v>
      </c>
      <c r="H148" s="44">
        <f t="shared" si="10"/>
        <v>0</v>
      </c>
      <c r="I148" s="47">
        <f t="shared" si="11"/>
        <v>0</v>
      </c>
      <c r="J148" s="44">
        <f t="shared" si="12"/>
        <v>281</v>
      </c>
      <c r="K148">
        <v>3</v>
      </c>
      <c r="L148">
        <v>3</v>
      </c>
      <c r="M148">
        <v>1</v>
      </c>
      <c r="N148" s="44">
        <f t="shared" si="16"/>
        <v>281</v>
      </c>
      <c r="O148">
        <v>1</v>
      </c>
      <c r="P148">
        <v>5</v>
      </c>
      <c r="Q148">
        <v>3</v>
      </c>
      <c r="R148" s="44">
        <f t="shared" si="17"/>
        <v>9</v>
      </c>
      <c r="S148">
        <v>13</v>
      </c>
      <c r="T148">
        <v>11</v>
      </c>
      <c r="U148" s="44">
        <f t="shared" si="18"/>
        <v>24</v>
      </c>
      <c r="V148">
        <v>11</v>
      </c>
      <c r="W148">
        <v>1</v>
      </c>
      <c r="X148">
        <v>2</v>
      </c>
      <c r="Y148" s="48">
        <f t="shared" si="13"/>
        <v>0.96896551724137936</v>
      </c>
      <c r="Z148" s="48">
        <f t="shared" si="14"/>
        <v>0.98620689655172411</v>
      </c>
      <c r="AA148" s="48">
        <f t="shared" si="15"/>
        <v>4.8275862068965517E-2</v>
      </c>
      <c r="AB148">
        <v>1821</v>
      </c>
      <c r="AC148">
        <v>528130</v>
      </c>
      <c r="AD148">
        <v>1.96</v>
      </c>
      <c r="AE148">
        <v>1736</v>
      </c>
      <c r="AF148">
        <v>1.89</v>
      </c>
    </row>
    <row r="149" spans="1:32" x14ac:dyDescent="0.25">
      <c r="A149" s="33">
        <v>45412</v>
      </c>
      <c r="B149">
        <v>290</v>
      </c>
      <c r="C149">
        <v>8</v>
      </c>
      <c r="D149">
        <v>8</v>
      </c>
      <c r="E149">
        <v>2</v>
      </c>
      <c r="F149">
        <v>0</v>
      </c>
      <c r="G149">
        <v>0</v>
      </c>
      <c r="H149" s="44">
        <f t="shared" si="10"/>
        <v>2</v>
      </c>
      <c r="I149" s="47">
        <f t="shared" si="11"/>
        <v>0.25</v>
      </c>
      <c r="J149" s="44">
        <f t="shared" si="12"/>
        <v>281</v>
      </c>
      <c r="K149">
        <v>1</v>
      </c>
      <c r="L149">
        <v>3</v>
      </c>
      <c r="M149">
        <v>1</v>
      </c>
      <c r="N149" s="44">
        <f t="shared" si="16"/>
        <v>279</v>
      </c>
      <c r="O149">
        <v>1</v>
      </c>
      <c r="P149">
        <v>7</v>
      </c>
      <c r="Q149">
        <v>3</v>
      </c>
      <c r="R149" s="44">
        <f t="shared" si="17"/>
        <v>11</v>
      </c>
      <c r="S149">
        <v>13</v>
      </c>
      <c r="T149">
        <v>14</v>
      </c>
      <c r="U149" s="44">
        <f t="shared" si="18"/>
        <v>27</v>
      </c>
      <c r="V149">
        <v>12</v>
      </c>
      <c r="W149">
        <v>3</v>
      </c>
      <c r="X149">
        <v>2</v>
      </c>
      <c r="Y149" s="48">
        <f t="shared" si="13"/>
        <v>0.96206896551724141</v>
      </c>
      <c r="Z149" s="48">
        <f t="shared" si="14"/>
        <v>0.98620689655172411</v>
      </c>
      <c r="AA149" s="48">
        <f t="shared" si="15"/>
        <v>5.8620689655172413E-2</v>
      </c>
      <c r="AB149">
        <v>1821</v>
      </c>
      <c r="AC149">
        <v>528130</v>
      </c>
      <c r="AD149">
        <v>1.96</v>
      </c>
      <c r="AE149">
        <v>1747</v>
      </c>
      <c r="AF149">
        <v>1.89</v>
      </c>
    </row>
    <row r="150" spans="1:32" x14ac:dyDescent="0.25">
      <c r="A150" s="33">
        <v>45419</v>
      </c>
      <c r="B150">
        <v>290</v>
      </c>
      <c r="C150">
        <v>9</v>
      </c>
      <c r="D150">
        <v>9</v>
      </c>
      <c r="E150">
        <v>3</v>
      </c>
      <c r="F150">
        <v>0</v>
      </c>
      <c r="G150">
        <v>0</v>
      </c>
      <c r="H150" s="44">
        <f t="shared" si="10"/>
        <v>3</v>
      </c>
      <c r="I150" s="47">
        <f t="shared" si="11"/>
        <v>0.33333333333333331</v>
      </c>
      <c r="J150" s="44">
        <f t="shared" si="12"/>
        <v>279</v>
      </c>
      <c r="K150">
        <v>4</v>
      </c>
      <c r="L150">
        <v>5</v>
      </c>
      <c r="M150">
        <v>0</v>
      </c>
      <c r="N150" s="44">
        <f t="shared" si="16"/>
        <v>278</v>
      </c>
      <c r="O150">
        <v>1</v>
      </c>
      <c r="P150">
        <v>7</v>
      </c>
      <c r="Q150">
        <v>3</v>
      </c>
      <c r="R150" s="44">
        <f t="shared" si="17"/>
        <v>11</v>
      </c>
      <c r="S150">
        <v>9</v>
      </c>
      <c r="T150">
        <v>12</v>
      </c>
      <c r="U150" s="44">
        <f t="shared" si="18"/>
        <v>21</v>
      </c>
      <c r="V150">
        <v>12</v>
      </c>
      <c r="W150">
        <v>1</v>
      </c>
      <c r="X150">
        <v>2</v>
      </c>
      <c r="Y150" s="48">
        <f t="shared" si="13"/>
        <v>0.95862068965517244</v>
      </c>
      <c r="Z150" s="48">
        <f t="shared" si="14"/>
        <v>0.98275862068965514</v>
      </c>
      <c r="AA150" s="48">
        <f t="shared" si="15"/>
        <v>5.1724137931034482E-2</v>
      </c>
      <c r="AB150">
        <v>1821</v>
      </c>
      <c r="AC150">
        <v>528130</v>
      </c>
      <c r="AD150">
        <v>1.96</v>
      </c>
      <c r="AE150">
        <v>1745</v>
      </c>
      <c r="AF150">
        <v>1.9</v>
      </c>
    </row>
    <row r="151" spans="1:32" x14ac:dyDescent="0.25">
      <c r="A151" s="33">
        <v>45426</v>
      </c>
      <c r="B151">
        <v>290</v>
      </c>
      <c r="C151">
        <v>5</v>
      </c>
      <c r="D151">
        <v>5</v>
      </c>
      <c r="E151">
        <v>1</v>
      </c>
      <c r="F151">
        <v>0</v>
      </c>
      <c r="G151">
        <v>0</v>
      </c>
      <c r="H151" s="44">
        <f t="shared" si="10"/>
        <v>1</v>
      </c>
      <c r="I151" s="47">
        <f t="shared" si="11"/>
        <v>0.2</v>
      </c>
      <c r="J151" s="44">
        <f t="shared" si="12"/>
        <v>278</v>
      </c>
      <c r="K151">
        <v>5</v>
      </c>
      <c r="L151">
        <v>3</v>
      </c>
      <c r="M151">
        <v>0</v>
      </c>
      <c r="N151" s="44">
        <f t="shared" si="16"/>
        <v>280</v>
      </c>
      <c r="O151">
        <v>1</v>
      </c>
      <c r="P151">
        <v>3</v>
      </c>
      <c r="Q151">
        <v>5</v>
      </c>
      <c r="R151" s="44">
        <f t="shared" si="17"/>
        <v>9</v>
      </c>
      <c r="S151">
        <v>9</v>
      </c>
      <c r="T151">
        <v>9</v>
      </c>
      <c r="U151" s="44">
        <f t="shared" si="18"/>
        <v>18</v>
      </c>
      <c r="V151">
        <v>11</v>
      </c>
      <c r="W151">
        <v>1</v>
      </c>
      <c r="X151">
        <v>2</v>
      </c>
      <c r="Y151" s="48">
        <f t="shared" si="13"/>
        <v>0.96551724137931039</v>
      </c>
      <c r="Z151" s="48">
        <f t="shared" si="14"/>
        <v>0.97586206896551719</v>
      </c>
      <c r="AA151" s="48">
        <f t="shared" si="15"/>
        <v>4.8275862068965517E-2</v>
      </c>
      <c r="AB151">
        <v>1821</v>
      </c>
      <c r="AC151">
        <v>528130</v>
      </c>
      <c r="AD151">
        <v>1.96</v>
      </c>
      <c r="AE151">
        <v>1747</v>
      </c>
      <c r="AF151">
        <v>1.9</v>
      </c>
    </row>
    <row r="152" spans="1:32" x14ac:dyDescent="0.25">
      <c r="A152" s="33">
        <v>45433</v>
      </c>
      <c r="B152">
        <v>290</v>
      </c>
      <c r="C152">
        <v>7</v>
      </c>
      <c r="D152">
        <v>7</v>
      </c>
      <c r="E152">
        <v>1</v>
      </c>
      <c r="F152">
        <v>0</v>
      </c>
      <c r="G152">
        <v>0</v>
      </c>
      <c r="H152" s="44">
        <f t="shared" si="10"/>
        <v>1</v>
      </c>
      <c r="I152" s="47">
        <f t="shared" si="11"/>
        <v>0.14285714285714285</v>
      </c>
      <c r="J152" s="44">
        <f t="shared" si="12"/>
        <v>280</v>
      </c>
      <c r="K152">
        <v>2</v>
      </c>
      <c r="L152">
        <v>2</v>
      </c>
      <c r="M152">
        <v>0</v>
      </c>
      <c r="N152" s="44">
        <f t="shared" si="16"/>
        <v>280</v>
      </c>
      <c r="O152">
        <v>1</v>
      </c>
      <c r="P152">
        <v>3</v>
      </c>
      <c r="Q152">
        <v>5</v>
      </c>
      <c r="R152" s="44">
        <f t="shared" si="17"/>
        <v>9</v>
      </c>
      <c r="S152">
        <v>8</v>
      </c>
      <c r="T152">
        <v>12</v>
      </c>
      <c r="U152" s="44">
        <f t="shared" si="18"/>
        <v>20</v>
      </c>
      <c r="V152">
        <v>14</v>
      </c>
      <c r="W152">
        <v>1</v>
      </c>
      <c r="X152">
        <v>2</v>
      </c>
      <c r="Y152" s="48">
        <f t="shared" si="13"/>
        <v>0.96551724137931039</v>
      </c>
      <c r="Z152" s="48">
        <f t="shared" si="14"/>
        <v>0.97586206896551719</v>
      </c>
      <c r="AA152" s="48">
        <f t="shared" si="15"/>
        <v>5.8620689655172413E-2</v>
      </c>
      <c r="AB152">
        <v>1821</v>
      </c>
      <c r="AC152">
        <v>528130</v>
      </c>
      <c r="AD152">
        <v>1.96</v>
      </c>
      <c r="AE152">
        <v>1754</v>
      </c>
      <c r="AF152">
        <v>1.9</v>
      </c>
    </row>
    <row r="153" spans="1:32" x14ac:dyDescent="0.25">
      <c r="A153" s="33">
        <v>45440</v>
      </c>
      <c r="B153">
        <v>290</v>
      </c>
      <c r="C153">
        <v>1</v>
      </c>
      <c r="D153">
        <v>1</v>
      </c>
      <c r="E153">
        <v>1</v>
      </c>
      <c r="F153">
        <v>0</v>
      </c>
      <c r="G153">
        <v>0</v>
      </c>
      <c r="H153" s="44">
        <f t="shared" si="10"/>
        <v>1</v>
      </c>
      <c r="I153" s="47">
        <f t="shared" si="11"/>
        <v>1</v>
      </c>
      <c r="J153" s="44">
        <f t="shared" si="12"/>
        <v>280</v>
      </c>
      <c r="K153">
        <v>2</v>
      </c>
      <c r="L153">
        <v>3</v>
      </c>
      <c r="M153">
        <v>0</v>
      </c>
      <c r="N153" s="44">
        <f t="shared" si="16"/>
        <v>279</v>
      </c>
      <c r="O153">
        <v>1</v>
      </c>
      <c r="P153">
        <v>3</v>
      </c>
      <c r="Q153">
        <v>6</v>
      </c>
      <c r="R153" s="44">
        <f t="shared" si="17"/>
        <v>10</v>
      </c>
      <c r="S153">
        <v>7</v>
      </c>
      <c r="T153">
        <v>12</v>
      </c>
      <c r="U153" s="44">
        <f t="shared" si="18"/>
        <v>19</v>
      </c>
      <c r="V153">
        <v>15</v>
      </c>
      <c r="W153">
        <v>1</v>
      </c>
      <c r="X153">
        <v>2</v>
      </c>
      <c r="Y153" s="48">
        <f t="shared" si="13"/>
        <v>0.96206896551724141</v>
      </c>
      <c r="Z153" s="48">
        <f t="shared" si="14"/>
        <v>0.97241379310344822</v>
      </c>
      <c r="AA153" s="48">
        <f t="shared" si="15"/>
        <v>6.2068965517241378E-2</v>
      </c>
      <c r="AB153">
        <v>1821</v>
      </c>
      <c r="AC153">
        <v>528130</v>
      </c>
      <c r="AD153">
        <v>1.96</v>
      </c>
      <c r="AE153">
        <v>1758</v>
      </c>
      <c r="AF153">
        <v>1.9</v>
      </c>
    </row>
    <row r="154" spans="1:32" x14ac:dyDescent="0.25">
      <c r="A154" s="33">
        <v>45447</v>
      </c>
      <c r="B154">
        <v>290</v>
      </c>
      <c r="C154">
        <v>6</v>
      </c>
      <c r="D154">
        <v>6</v>
      </c>
      <c r="E154">
        <v>0</v>
      </c>
      <c r="F154">
        <v>0</v>
      </c>
      <c r="G154">
        <v>0</v>
      </c>
      <c r="H154" s="44">
        <f t="shared" si="10"/>
        <v>0</v>
      </c>
      <c r="I154" s="47">
        <f t="shared" si="11"/>
        <v>0</v>
      </c>
      <c r="J154" s="44">
        <f t="shared" si="12"/>
        <v>279</v>
      </c>
      <c r="K154">
        <v>2</v>
      </c>
      <c r="L154">
        <v>5</v>
      </c>
      <c r="M154">
        <v>0</v>
      </c>
      <c r="N154" s="44">
        <f t="shared" si="16"/>
        <v>276</v>
      </c>
      <c r="O154">
        <v>1</v>
      </c>
      <c r="P154">
        <v>4</v>
      </c>
      <c r="Q154">
        <v>8</v>
      </c>
      <c r="R154" s="44">
        <f t="shared" si="17"/>
        <v>13</v>
      </c>
      <c r="S154">
        <v>4</v>
      </c>
      <c r="T154">
        <v>19</v>
      </c>
      <c r="U154" s="44">
        <f t="shared" si="18"/>
        <v>23</v>
      </c>
      <c r="V154">
        <v>19</v>
      </c>
      <c r="W154">
        <v>7</v>
      </c>
      <c r="X154">
        <v>2</v>
      </c>
      <c r="Y154" s="48">
        <f t="shared" si="13"/>
        <v>0.9517241379310345</v>
      </c>
      <c r="Z154" s="48">
        <f t="shared" si="14"/>
        <v>0.96551724137931039</v>
      </c>
      <c r="AA154" s="48">
        <f t="shared" si="15"/>
        <v>9.3103448275862075E-2</v>
      </c>
      <c r="AB154">
        <v>1821</v>
      </c>
      <c r="AC154">
        <v>528130</v>
      </c>
      <c r="AD154">
        <v>1.96</v>
      </c>
      <c r="AE154">
        <v>1754</v>
      </c>
      <c r="AF154">
        <v>1.9</v>
      </c>
    </row>
    <row r="155" spans="1:32" x14ac:dyDescent="0.25">
      <c r="A155" s="33">
        <v>45454</v>
      </c>
      <c r="B155">
        <v>290</v>
      </c>
      <c r="C155">
        <v>6</v>
      </c>
      <c r="D155">
        <v>6</v>
      </c>
      <c r="E155">
        <v>5</v>
      </c>
      <c r="F155">
        <v>1</v>
      </c>
      <c r="G155">
        <v>0</v>
      </c>
      <c r="H155" s="44">
        <f t="shared" si="10"/>
        <v>4</v>
      </c>
      <c r="I155" s="47">
        <f t="shared" si="11"/>
        <v>0.66666666666666663</v>
      </c>
      <c r="J155" s="44">
        <f t="shared" si="12"/>
        <v>276</v>
      </c>
      <c r="K155">
        <v>1</v>
      </c>
      <c r="L155">
        <v>2</v>
      </c>
      <c r="M155">
        <v>0</v>
      </c>
      <c r="N155" s="44">
        <f t="shared" si="16"/>
        <v>275</v>
      </c>
      <c r="O155">
        <v>1</v>
      </c>
      <c r="P155">
        <v>4</v>
      </c>
      <c r="Q155">
        <v>9</v>
      </c>
      <c r="R155" s="44">
        <f t="shared" si="17"/>
        <v>14</v>
      </c>
      <c r="S155">
        <v>7</v>
      </c>
      <c r="T155">
        <v>15</v>
      </c>
      <c r="U155" s="44">
        <f t="shared" si="18"/>
        <v>22</v>
      </c>
      <c r="V155">
        <v>18</v>
      </c>
      <c r="W155">
        <v>5</v>
      </c>
      <c r="X155">
        <v>1</v>
      </c>
      <c r="Y155" s="48">
        <f t="shared" si="13"/>
        <v>0.94827586206896552</v>
      </c>
      <c r="Z155" s="48">
        <f t="shared" si="14"/>
        <v>0.96206896551724141</v>
      </c>
      <c r="AA155" s="48">
        <f t="shared" si="15"/>
        <v>8.2758620689655171E-2</v>
      </c>
      <c r="AB155">
        <v>1821</v>
      </c>
      <c r="AC155">
        <v>528130</v>
      </c>
      <c r="AD155">
        <v>1.96</v>
      </c>
      <c r="AE155">
        <v>1753</v>
      </c>
      <c r="AF155">
        <v>1.9</v>
      </c>
    </row>
    <row r="156" spans="1:32" x14ac:dyDescent="0.25">
      <c r="A156" s="33">
        <v>45461</v>
      </c>
      <c r="B156">
        <v>290</v>
      </c>
      <c r="C156">
        <v>8</v>
      </c>
      <c r="D156">
        <v>8</v>
      </c>
      <c r="E156">
        <v>1</v>
      </c>
      <c r="F156">
        <v>0</v>
      </c>
      <c r="G156">
        <v>0</v>
      </c>
      <c r="H156" s="44">
        <f t="shared" si="10"/>
        <v>1</v>
      </c>
      <c r="I156" s="47">
        <f t="shared" si="11"/>
        <v>0.125</v>
      </c>
      <c r="J156" s="44">
        <f t="shared" si="12"/>
        <v>275</v>
      </c>
      <c r="K156">
        <v>1</v>
      </c>
      <c r="L156">
        <v>2</v>
      </c>
      <c r="M156">
        <v>0</v>
      </c>
      <c r="N156" s="44">
        <f t="shared" si="16"/>
        <v>274</v>
      </c>
      <c r="O156">
        <v>1</v>
      </c>
      <c r="P156">
        <v>4</v>
      </c>
      <c r="Q156">
        <v>10</v>
      </c>
      <c r="R156" s="44">
        <v>15</v>
      </c>
      <c r="S156">
        <v>7</v>
      </c>
      <c r="T156">
        <v>18</v>
      </c>
      <c r="U156" s="44">
        <f t="shared" si="18"/>
        <v>25</v>
      </c>
      <c r="V156">
        <v>22</v>
      </c>
      <c r="W156">
        <v>6</v>
      </c>
      <c r="X156">
        <v>1</v>
      </c>
      <c r="Y156" s="48">
        <f t="shared" si="13"/>
        <v>0.94482758620689655</v>
      </c>
      <c r="Z156" s="48">
        <f t="shared" si="14"/>
        <v>0.95862068965517244</v>
      </c>
      <c r="AA156" s="48">
        <f t="shared" si="15"/>
        <v>9.6551724137931033E-2</v>
      </c>
      <c r="AB156">
        <v>1821</v>
      </c>
      <c r="AC156">
        <v>528130</v>
      </c>
      <c r="AD156">
        <v>1.96</v>
      </c>
      <c r="AE156">
        <v>1758</v>
      </c>
      <c r="AF156">
        <v>1.9</v>
      </c>
    </row>
    <row r="157" spans="1:32" x14ac:dyDescent="0.25">
      <c r="A157" s="33">
        <v>45468</v>
      </c>
      <c r="B157">
        <v>290</v>
      </c>
      <c r="C157">
        <v>9</v>
      </c>
      <c r="D157">
        <v>9</v>
      </c>
      <c r="E157">
        <v>2</v>
      </c>
      <c r="F157">
        <v>2</v>
      </c>
      <c r="G157">
        <v>0</v>
      </c>
      <c r="H157" s="44">
        <f t="shared" si="10"/>
        <v>0</v>
      </c>
      <c r="I157" s="47">
        <f t="shared" si="11"/>
        <v>0</v>
      </c>
      <c r="J157" s="44">
        <f t="shared" si="12"/>
        <v>274</v>
      </c>
      <c r="K157">
        <v>2</v>
      </c>
      <c r="L157">
        <v>4</v>
      </c>
      <c r="M157">
        <v>2</v>
      </c>
      <c r="N157" s="44">
        <f t="shared" si="16"/>
        <v>272</v>
      </c>
      <c r="O157">
        <v>1</v>
      </c>
      <c r="P157">
        <v>2</v>
      </c>
      <c r="Q157">
        <v>14</v>
      </c>
      <c r="R157" s="44">
        <f t="shared" si="17"/>
        <v>17</v>
      </c>
      <c r="S157">
        <v>9</v>
      </c>
      <c r="T157">
        <v>16</v>
      </c>
      <c r="U157" s="44">
        <f t="shared" si="18"/>
        <v>25</v>
      </c>
      <c r="V157">
        <v>21</v>
      </c>
      <c r="W157">
        <v>8</v>
      </c>
      <c r="X157">
        <v>1</v>
      </c>
      <c r="Y157" s="48">
        <f t="shared" si="13"/>
        <v>0.93793103448275861</v>
      </c>
      <c r="Z157" s="48">
        <f t="shared" si="14"/>
        <v>0.94482758620689655</v>
      </c>
      <c r="AA157" s="48">
        <f t="shared" si="15"/>
        <v>0.10344827586206896</v>
      </c>
      <c r="AB157">
        <v>1821</v>
      </c>
      <c r="AC157">
        <v>528130</v>
      </c>
      <c r="AD157">
        <v>1.96</v>
      </c>
      <c r="AE157">
        <v>1756</v>
      </c>
      <c r="AF157">
        <v>1.9</v>
      </c>
    </row>
    <row r="158" spans="1:32" x14ac:dyDescent="0.25">
      <c r="A158" s="33">
        <v>45475</v>
      </c>
      <c r="B158">
        <v>290</v>
      </c>
      <c r="C158">
        <v>14</v>
      </c>
      <c r="D158">
        <v>14</v>
      </c>
      <c r="E158">
        <v>9</v>
      </c>
      <c r="F158">
        <v>4</v>
      </c>
      <c r="G158">
        <v>1</v>
      </c>
      <c r="H158" s="44">
        <f t="shared" si="10"/>
        <v>4</v>
      </c>
      <c r="I158" s="47">
        <f t="shared" si="11"/>
        <v>0.2857142857142857</v>
      </c>
      <c r="J158" s="44">
        <f t="shared" si="12"/>
        <v>272</v>
      </c>
      <c r="K158">
        <v>0</v>
      </c>
      <c r="L158">
        <v>6</v>
      </c>
      <c r="M158">
        <v>1</v>
      </c>
      <c r="N158" s="44">
        <f t="shared" si="16"/>
        <v>266</v>
      </c>
      <c r="O158">
        <v>1</v>
      </c>
      <c r="P158">
        <v>7</v>
      </c>
      <c r="Q158">
        <v>15</v>
      </c>
      <c r="R158" s="44">
        <f t="shared" si="17"/>
        <v>23</v>
      </c>
      <c r="S158">
        <v>10</v>
      </c>
      <c r="T158">
        <v>17</v>
      </c>
      <c r="U158" s="44">
        <f t="shared" si="18"/>
        <v>27</v>
      </c>
      <c r="V158">
        <v>22</v>
      </c>
      <c r="W158">
        <v>8</v>
      </c>
      <c r="X158">
        <v>2</v>
      </c>
      <c r="Y158" s="48">
        <f t="shared" si="13"/>
        <v>0.91724137931034477</v>
      </c>
      <c r="Z158" s="48">
        <f t="shared" si="14"/>
        <v>0.94137931034482758</v>
      </c>
      <c r="AA158" s="48">
        <f t="shared" si="15"/>
        <v>0.1103448275862069</v>
      </c>
      <c r="AB158">
        <v>1821</v>
      </c>
      <c r="AC158">
        <v>528130</v>
      </c>
      <c r="AD158">
        <v>1.96</v>
      </c>
      <c r="AE158">
        <v>1750</v>
      </c>
      <c r="AF158">
        <v>1.9</v>
      </c>
    </row>
    <row r="159" spans="1:32" x14ac:dyDescent="0.25">
      <c r="A159" s="33">
        <v>45482</v>
      </c>
      <c r="B159">
        <v>290</v>
      </c>
      <c r="C159">
        <v>23</v>
      </c>
      <c r="D159">
        <v>23</v>
      </c>
      <c r="E159">
        <v>11</v>
      </c>
      <c r="F159">
        <v>0</v>
      </c>
      <c r="G159">
        <v>0</v>
      </c>
      <c r="H159" s="44">
        <f t="shared" si="10"/>
        <v>11</v>
      </c>
      <c r="I159" s="47">
        <f t="shared" si="11"/>
        <v>0.47826086956521741</v>
      </c>
      <c r="J159" s="44">
        <f t="shared" si="12"/>
        <v>266</v>
      </c>
      <c r="K159">
        <v>6</v>
      </c>
      <c r="L159">
        <v>4</v>
      </c>
      <c r="M159">
        <v>0</v>
      </c>
      <c r="N159" s="44">
        <f t="shared" si="16"/>
        <v>268</v>
      </c>
      <c r="O159">
        <v>1</v>
      </c>
      <c r="P159">
        <v>10</v>
      </c>
      <c r="Q159">
        <v>11</v>
      </c>
      <c r="R159" s="44">
        <f t="shared" si="17"/>
        <v>22</v>
      </c>
      <c r="S159">
        <v>12</v>
      </c>
      <c r="T159">
        <v>13</v>
      </c>
      <c r="U159" s="44">
        <f t="shared" si="18"/>
        <v>25</v>
      </c>
      <c r="V159">
        <v>16</v>
      </c>
      <c r="W159">
        <v>7</v>
      </c>
      <c r="X159">
        <v>1</v>
      </c>
      <c r="Y159" s="48">
        <f t="shared" si="13"/>
        <v>0.92413793103448272</v>
      </c>
      <c r="Z159" s="48">
        <f t="shared" si="14"/>
        <v>0.95862068965517244</v>
      </c>
      <c r="AA159" s="48">
        <f t="shared" si="15"/>
        <v>8.2758620689655171E-2</v>
      </c>
      <c r="AB159">
        <v>1821</v>
      </c>
      <c r="AC159">
        <v>528130</v>
      </c>
      <c r="AD159">
        <v>1.96</v>
      </c>
      <c r="AE159">
        <v>1751</v>
      </c>
      <c r="AF159">
        <v>1.89</v>
      </c>
    </row>
    <row r="160" spans="1:32" x14ac:dyDescent="0.25">
      <c r="A160" s="33">
        <v>45489</v>
      </c>
      <c r="B160">
        <v>290</v>
      </c>
      <c r="C160">
        <v>17</v>
      </c>
      <c r="D160">
        <v>17</v>
      </c>
      <c r="E160">
        <v>7</v>
      </c>
      <c r="F160">
        <v>2</v>
      </c>
      <c r="G160">
        <v>1</v>
      </c>
      <c r="H160" s="44">
        <f t="shared" si="10"/>
        <v>4</v>
      </c>
      <c r="I160" s="47">
        <f t="shared" si="11"/>
        <v>0.23529411764705882</v>
      </c>
      <c r="J160" s="44">
        <f t="shared" si="12"/>
        <v>268</v>
      </c>
      <c r="K160">
        <v>5</v>
      </c>
      <c r="L160">
        <v>4</v>
      </c>
      <c r="M160">
        <v>0</v>
      </c>
      <c r="N160" s="44">
        <f t="shared" si="16"/>
        <v>269</v>
      </c>
      <c r="O160">
        <v>1</v>
      </c>
      <c r="P160">
        <v>13</v>
      </c>
      <c r="Q160">
        <v>6</v>
      </c>
      <c r="R160" s="44">
        <f t="shared" si="17"/>
        <v>20</v>
      </c>
      <c r="S160">
        <v>8</v>
      </c>
      <c r="T160">
        <v>14</v>
      </c>
      <c r="U160" s="44">
        <f t="shared" si="18"/>
        <v>22</v>
      </c>
      <c r="V160">
        <v>13</v>
      </c>
      <c r="W160">
        <v>7</v>
      </c>
      <c r="X160">
        <v>0</v>
      </c>
      <c r="Y160" s="48">
        <f t="shared" si="13"/>
        <v>0.92758620689655169</v>
      </c>
      <c r="Z160" s="48">
        <f t="shared" si="14"/>
        <v>0.97241379310344822</v>
      </c>
      <c r="AA160" s="48">
        <f t="shared" si="15"/>
        <v>6.8965517241379309E-2</v>
      </c>
      <c r="AB160">
        <v>1821</v>
      </c>
      <c r="AC160">
        <v>528130</v>
      </c>
      <c r="AD160">
        <v>1.96</v>
      </c>
      <c r="AE160">
        <v>1748.06</v>
      </c>
      <c r="AF160">
        <v>1.89</v>
      </c>
    </row>
    <row r="161" spans="1:32" x14ac:dyDescent="0.25">
      <c r="A161" s="33">
        <v>45496</v>
      </c>
      <c r="B161">
        <v>290</v>
      </c>
      <c r="C161">
        <v>10</v>
      </c>
      <c r="D161">
        <v>10</v>
      </c>
      <c r="E161">
        <v>3</v>
      </c>
      <c r="F161">
        <v>0</v>
      </c>
      <c r="G161">
        <v>0</v>
      </c>
      <c r="H161" s="44">
        <f t="shared" si="10"/>
        <v>3</v>
      </c>
      <c r="I161" s="47">
        <f t="shared" si="11"/>
        <v>0.3</v>
      </c>
      <c r="J161" s="44">
        <f t="shared" si="12"/>
        <v>269</v>
      </c>
      <c r="K161">
        <v>4</v>
      </c>
      <c r="L161">
        <v>3</v>
      </c>
      <c r="M161">
        <v>1</v>
      </c>
      <c r="N161" s="44">
        <f t="shared" si="16"/>
        <v>270</v>
      </c>
      <c r="O161">
        <v>1</v>
      </c>
      <c r="P161">
        <v>13</v>
      </c>
      <c r="Q161">
        <v>5</v>
      </c>
      <c r="R161" s="44">
        <f t="shared" si="17"/>
        <v>19</v>
      </c>
      <c r="S161">
        <v>8</v>
      </c>
      <c r="T161">
        <v>16</v>
      </c>
      <c r="U161" s="44">
        <f t="shared" si="18"/>
        <v>24</v>
      </c>
      <c r="V161">
        <v>12</v>
      </c>
      <c r="W161">
        <v>9</v>
      </c>
      <c r="X161">
        <v>0</v>
      </c>
      <c r="Y161" s="48">
        <f t="shared" si="13"/>
        <v>0.93103448275862066</v>
      </c>
      <c r="Z161" s="48">
        <f t="shared" si="14"/>
        <v>0.97586206896551719</v>
      </c>
      <c r="AA161" s="48">
        <f t="shared" si="15"/>
        <v>7.2413793103448282E-2</v>
      </c>
      <c r="AB161">
        <v>1821</v>
      </c>
      <c r="AC161">
        <v>528130</v>
      </c>
      <c r="AD161">
        <v>1.96</v>
      </c>
      <c r="AE161">
        <v>1747.01</v>
      </c>
      <c r="AF161">
        <v>1.89</v>
      </c>
    </row>
    <row r="162" spans="1:32" x14ac:dyDescent="0.25">
      <c r="A162" s="33">
        <v>45503</v>
      </c>
      <c r="B162">
        <v>290</v>
      </c>
      <c r="C162">
        <v>22</v>
      </c>
      <c r="D162">
        <v>22</v>
      </c>
      <c r="E162">
        <v>8</v>
      </c>
      <c r="F162">
        <v>2</v>
      </c>
      <c r="G162">
        <v>1</v>
      </c>
      <c r="H162" s="44">
        <f t="shared" si="10"/>
        <v>5</v>
      </c>
      <c r="I162" s="47">
        <f t="shared" si="11"/>
        <v>0.22727272727272727</v>
      </c>
      <c r="J162" s="44">
        <f t="shared" si="12"/>
        <v>270</v>
      </c>
      <c r="K162">
        <v>5</v>
      </c>
      <c r="L162">
        <v>4</v>
      </c>
      <c r="M162">
        <v>0</v>
      </c>
      <c r="N162" s="44">
        <f t="shared" si="16"/>
        <v>271</v>
      </c>
      <c r="O162">
        <v>1</v>
      </c>
      <c r="P162">
        <v>11</v>
      </c>
      <c r="Q162">
        <v>6</v>
      </c>
      <c r="R162" s="44">
        <f t="shared" si="17"/>
        <v>18</v>
      </c>
      <c r="S162">
        <v>10</v>
      </c>
      <c r="T162">
        <v>12</v>
      </c>
      <c r="U162" s="44">
        <f t="shared" si="18"/>
        <v>22</v>
      </c>
      <c r="V162">
        <v>9</v>
      </c>
      <c r="W162">
        <v>8</v>
      </c>
      <c r="X162">
        <v>1</v>
      </c>
      <c r="Y162" s="48">
        <f t="shared" si="13"/>
        <v>0.93448275862068964</v>
      </c>
      <c r="Z162" s="48">
        <f t="shared" si="14"/>
        <v>0.97241379310344822</v>
      </c>
      <c r="AA162" s="48">
        <f t="shared" si="15"/>
        <v>6.2068965517241378E-2</v>
      </c>
      <c r="AB162">
        <v>1821</v>
      </c>
      <c r="AC162">
        <v>528130</v>
      </c>
      <c r="AD162">
        <v>1.96</v>
      </c>
      <c r="AE162">
        <v>1744</v>
      </c>
      <c r="AF162">
        <v>1.89</v>
      </c>
    </row>
    <row r="163" spans="1:32" x14ac:dyDescent="0.25">
      <c r="A163" s="33">
        <v>45510</v>
      </c>
      <c r="B163">
        <v>290</v>
      </c>
      <c r="C163">
        <v>25</v>
      </c>
      <c r="D163">
        <v>25</v>
      </c>
      <c r="E163">
        <v>5</v>
      </c>
      <c r="F163">
        <v>1</v>
      </c>
      <c r="G163">
        <v>1</v>
      </c>
      <c r="H163" s="44">
        <f t="shared" si="10"/>
        <v>3</v>
      </c>
      <c r="I163" s="47">
        <f t="shared" si="11"/>
        <v>0.12</v>
      </c>
      <c r="J163" s="44">
        <f t="shared" si="12"/>
        <v>271</v>
      </c>
      <c r="K163">
        <v>9</v>
      </c>
      <c r="L163">
        <v>4</v>
      </c>
      <c r="M163">
        <v>1</v>
      </c>
      <c r="N163" s="44">
        <f t="shared" si="16"/>
        <v>276</v>
      </c>
      <c r="O163">
        <v>1</v>
      </c>
      <c r="P163">
        <v>8</v>
      </c>
      <c r="Q163">
        <v>4</v>
      </c>
      <c r="R163" s="44">
        <f t="shared" si="17"/>
        <v>13</v>
      </c>
      <c r="S163">
        <v>8</v>
      </c>
      <c r="T163">
        <v>12</v>
      </c>
      <c r="U163" s="44">
        <f t="shared" si="18"/>
        <v>20</v>
      </c>
      <c r="V163">
        <v>7</v>
      </c>
      <c r="W163">
        <v>8</v>
      </c>
      <c r="X163">
        <v>1</v>
      </c>
      <c r="Y163" s="48">
        <f t="shared" si="13"/>
        <v>0.9517241379310345</v>
      </c>
      <c r="Z163" s="48">
        <f t="shared" si="14"/>
        <v>0.97931034482758617</v>
      </c>
      <c r="AA163" s="48">
        <f t="shared" si="15"/>
        <v>5.5172413793103448E-2</v>
      </c>
      <c r="AB163">
        <v>1821</v>
      </c>
      <c r="AC163">
        <v>528130</v>
      </c>
      <c r="AD163">
        <v>1.96</v>
      </c>
      <c r="AE163">
        <v>1741</v>
      </c>
      <c r="AF163">
        <v>1.88</v>
      </c>
    </row>
    <row r="164" spans="1:32" x14ac:dyDescent="0.25">
      <c r="A164" s="33">
        <v>45517</v>
      </c>
      <c r="B164">
        <v>290</v>
      </c>
      <c r="C164">
        <v>22</v>
      </c>
      <c r="D164">
        <v>22</v>
      </c>
      <c r="E164">
        <v>6</v>
      </c>
      <c r="F164">
        <v>0</v>
      </c>
      <c r="G164">
        <v>0</v>
      </c>
      <c r="H164" s="44">
        <f t="shared" ref="H164:H227" si="19">E164-F164-G164</f>
        <v>6</v>
      </c>
      <c r="I164" s="47">
        <f t="shared" ref="I164:I227" si="20">H164/D164</f>
        <v>0.27272727272727271</v>
      </c>
      <c r="J164" s="44">
        <f t="shared" ref="J164:J227" si="21">N163</f>
        <v>276</v>
      </c>
      <c r="K164">
        <v>4</v>
      </c>
      <c r="L164">
        <v>4</v>
      </c>
      <c r="M164">
        <v>2</v>
      </c>
      <c r="N164" s="44">
        <f t="shared" si="16"/>
        <v>276</v>
      </c>
      <c r="O164">
        <v>1</v>
      </c>
      <c r="P164">
        <v>7</v>
      </c>
      <c r="Q164">
        <v>5</v>
      </c>
      <c r="R164" s="44">
        <f t="shared" si="17"/>
        <v>13</v>
      </c>
      <c r="S164">
        <v>13</v>
      </c>
      <c r="T164">
        <v>6</v>
      </c>
      <c r="U164" s="44">
        <f t="shared" si="18"/>
        <v>19</v>
      </c>
      <c r="V164">
        <v>4</v>
      </c>
      <c r="W164">
        <v>6</v>
      </c>
      <c r="X164">
        <v>0</v>
      </c>
      <c r="Y164" s="48">
        <f t="shared" si="13"/>
        <v>0.9517241379310345</v>
      </c>
      <c r="Z164" s="48">
        <f t="shared" si="14"/>
        <v>0.97586206896551719</v>
      </c>
      <c r="AA164" s="48">
        <f t="shared" si="15"/>
        <v>3.793103448275862E-2</v>
      </c>
      <c r="AB164">
        <v>1821</v>
      </c>
      <c r="AC164">
        <v>528130</v>
      </c>
      <c r="AD164">
        <v>1.96</v>
      </c>
      <c r="AE164">
        <v>1735</v>
      </c>
      <c r="AF164">
        <v>1.88</v>
      </c>
    </row>
    <row r="165" spans="1:32" x14ac:dyDescent="0.25">
      <c r="A165" s="33">
        <v>45524</v>
      </c>
      <c r="B165">
        <v>290</v>
      </c>
      <c r="C165">
        <v>17</v>
      </c>
      <c r="D165">
        <v>17</v>
      </c>
      <c r="E165">
        <v>6</v>
      </c>
      <c r="F165">
        <v>2</v>
      </c>
      <c r="G165">
        <v>3</v>
      </c>
      <c r="H165" s="44">
        <f t="shared" si="19"/>
        <v>1</v>
      </c>
      <c r="I165" s="47">
        <f t="shared" si="20"/>
        <v>5.8823529411764705E-2</v>
      </c>
      <c r="J165" s="44">
        <f t="shared" si="21"/>
        <v>276</v>
      </c>
      <c r="K165">
        <v>0</v>
      </c>
      <c r="L165">
        <v>3</v>
      </c>
      <c r="M165">
        <v>1</v>
      </c>
      <c r="N165" s="44">
        <f t="shared" si="16"/>
        <v>273</v>
      </c>
      <c r="O165">
        <v>1</v>
      </c>
      <c r="P165">
        <v>9</v>
      </c>
      <c r="Q165">
        <v>6</v>
      </c>
      <c r="R165" s="44">
        <f t="shared" si="17"/>
        <v>16</v>
      </c>
      <c r="S165">
        <v>13</v>
      </c>
      <c r="T165">
        <v>6</v>
      </c>
      <c r="U165" s="44">
        <f t="shared" si="18"/>
        <v>19</v>
      </c>
      <c r="V165">
        <v>5</v>
      </c>
      <c r="W165">
        <v>7</v>
      </c>
      <c r="X165">
        <v>0</v>
      </c>
      <c r="Y165" s="48">
        <f t="shared" ref="Y165:Y228" si="22">(N165/B165)</f>
        <v>0.94137931034482758</v>
      </c>
      <c r="Z165" s="48">
        <f t="shared" ref="Z165:Z228" si="23">(N165+P165)/B165</f>
        <v>0.97241379310344822</v>
      </c>
      <c r="AA165" s="48">
        <f t="shared" ref="AA165:AA228" si="24">(T165+Q165)/B165</f>
        <v>4.1379310344827586E-2</v>
      </c>
      <c r="AB165">
        <v>1821</v>
      </c>
      <c r="AC165">
        <v>528130</v>
      </c>
      <c r="AD165">
        <v>1.96</v>
      </c>
      <c r="AE165">
        <v>1736</v>
      </c>
      <c r="AF165">
        <v>1.88</v>
      </c>
    </row>
    <row r="166" spans="1:32" x14ac:dyDescent="0.25">
      <c r="A166" s="33">
        <v>45531</v>
      </c>
      <c r="B166">
        <v>290</v>
      </c>
      <c r="C166">
        <v>2</v>
      </c>
      <c r="D166">
        <v>2</v>
      </c>
      <c r="E166">
        <v>4</v>
      </c>
      <c r="F166">
        <v>1</v>
      </c>
      <c r="G166">
        <v>0</v>
      </c>
      <c r="H166" s="44">
        <f t="shared" si="19"/>
        <v>3</v>
      </c>
      <c r="I166" s="47">
        <f t="shared" si="20"/>
        <v>1.5</v>
      </c>
      <c r="J166" s="44">
        <f t="shared" si="21"/>
        <v>273</v>
      </c>
      <c r="K166">
        <v>5</v>
      </c>
      <c r="L166">
        <v>2</v>
      </c>
      <c r="M166">
        <v>0</v>
      </c>
      <c r="N166" s="44">
        <f t="shared" si="16"/>
        <v>276</v>
      </c>
      <c r="O166">
        <v>1</v>
      </c>
      <c r="P166">
        <v>8</v>
      </c>
      <c r="Q166">
        <v>4</v>
      </c>
      <c r="R166" s="44">
        <f t="shared" si="17"/>
        <v>13</v>
      </c>
      <c r="S166">
        <v>12</v>
      </c>
      <c r="T166">
        <v>8</v>
      </c>
      <c r="U166" s="44">
        <f t="shared" si="18"/>
        <v>20</v>
      </c>
      <c r="V166">
        <v>6</v>
      </c>
      <c r="W166">
        <v>6</v>
      </c>
      <c r="X166">
        <v>0</v>
      </c>
      <c r="Y166" s="48">
        <f t="shared" si="22"/>
        <v>0.9517241379310345</v>
      </c>
      <c r="Z166" s="48">
        <f t="shared" si="23"/>
        <v>0.97931034482758617</v>
      </c>
      <c r="AA166" s="48">
        <f t="shared" si="24"/>
        <v>4.1379310344827586E-2</v>
      </c>
      <c r="AB166">
        <v>1821</v>
      </c>
      <c r="AC166">
        <v>528130</v>
      </c>
      <c r="AD166">
        <v>1.96</v>
      </c>
      <c r="AE166">
        <v>1738</v>
      </c>
      <c r="AF166">
        <v>1.88</v>
      </c>
    </row>
    <row r="167" spans="1:32" x14ac:dyDescent="0.25">
      <c r="A167" s="33">
        <v>45538</v>
      </c>
      <c r="B167">
        <v>290</v>
      </c>
      <c r="C167">
        <v>6</v>
      </c>
      <c r="D167">
        <v>6</v>
      </c>
      <c r="E167">
        <v>6</v>
      </c>
      <c r="F167">
        <v>1</v>
      </c>
      <c r="G167">
        <v>3</v>
      </c>
      <c r="H167" s="44">
        <f t="shared" si="19"/>
        <v>2</v>
      </c>
      <c r="I167" s="47">
        <f t="shared" si="20"/>
        <v>0.33333333333333331</v>
      </c>
      <c r="J167" s="44">
        <f t="shared" si="21"/>
        <v>276</v>
      </c>
      <c r="K167">
        <v>6</v>
      </c>
      <c r="L167">
        <v>4</v>
      </c>
      <c r="M167">
        <v>0</v>
      </c>
      <c r="N167" s="44">
        <f t="shared" si="16"/>
        <v>278</v>
      </c>
      <c r="O167">
        <v>1</v>
      </c>
      <c r="P167">
        <v>6</v>
      </c>
      <c r="Q167">
        <v>4</v>
      </c>
      <c r="R167" s="44">
        <f t="shared" si="17"/>
        <v>11</v>
      </c>
      <c r="S167">
        <v>10</v>
      </c>
      <c r="T167">
        <v>8</v>
      </c>
      <c r="U167" s="44">
        <f t="shared" si="18"/>
        <v>18</v>
      </c>
      <c r="V167">
        <v>6</v>
      </c>
      <c r="W167">
        <v>6</v>
      </c>
      <c r="X167">
        <v>0</v>
      </c>
      <c r="Y167" s="48">
        <f t="shared" si="22"/>
        <v>0.95862068965517244</v>
      </c>
      <c r="Z167" s="48">
        <f t="shared" si="23"/>
        <v>0.97931034482758617</v>
      </c>
      <c r="AA167" s="48">
        <f t="shared" si="24"/>
        <v>4.1379310344827586E-2</v>
      </c>
      <c r="AB167">
        <v>1821</v>
      </c>
      <c r="AC167">
        <v>528130</v>
      </c>
      <c r="AD167">
        <v>1.96</v>
      </c>
      <c r="AE167">
        <v>1740</v>
      </c>
      <c r="AF167">
        <v>1.88</v>
      </c>
    </row>
    <row r="168" spans="1:32" x14ac:dyDescent="0.25">
      <c r="A168" s="33">
        <v>45545</v>
      </c>
      <c r="B168">
        <v>290</v>
      </c>
      <c r="C168">
        <v>5</v>
      </c>
      <c r="D168">
        <v>5</v>
      </c>
      <c r="E168">
        <v>1</v>
      </c>
      <c r="F168">
        <v>0</v>
      </c>
      <c r="G168">
        <v>0</v>
      </c>
      <c r="H168" s="44">
        <f t="shared" si="19"/>
        <v>1</v>
      </c>
      <c r="I168" s="47">
        <f t="shared" si="20"/>
        <v>0.2</v>
      </c>
      <c r="J168" s="44">
        <f t="shared" si="21"/>
        <v>278</v>
      </c>
      <c r="K168">
        <v>3</v>
      </c>
      <c r="L168">
        <v>5</v>
      </c>
      <c r="M168">
        <v>0</v>
      </c>
      <c r="N168" s="44">
        <f t="shared" ref="N168:N231" si="25">J168+K168-L168</f>
        <v>276</v>
      </c>
      <c r="O168">
        <v>1</v>
      </c>
      <c r="P168">
        <v>7</v>
      </c>
      <c r="Q168">
        <v>5</v>
      </c>
      <c r="R168" s="44">
        <f t="shared" ref="R168:R231" si="26">O168+P168+Q168</f>
        <v>13</v>
      </c>
      <c r="S168">
        <v>7</v>
      </c>
      <c r="T168">
        <v>8</v>
      </c>
      <c r="U168" s="44">
        <f t="shared" si="18"/>
        <v>15</v>
      </c>
      <c r="V168">
        <v>8</v>
      </c>
      <c r="W168">
        <v>5</v>
      </c>
      <c r="X168">
        <v>0</v>
      </c>
      <c r="Y168" s="48">
        <f t="shared" si="22"/>
        <v>0.9517241379310345</v>
      </c>
      <c r="Z168" s="48">
        <f t="shared" si="23"/>
        <v>0.97586206896551719</v>
      </c>
      <c r="AA168" s="48">
        <f t="shared" si="24"/>
        <v>4.4827586206896551E-2</v>
      </c>
      <c r="AB168">
        <v>1821</v>
      </c>
      <c r="AC168">
        <v>528130</v>
      </c>
      <c r="AD168">
        <v>1.96</v>
      </c>
      <c r="AE168">
        <v>1737</v>
      </c>
      <c r="AF168">
        <v>1.88</v>
      </c>
    </row>
    <row r="169" spans="1:32" x14ac:dyDescent="0.25">
      <c r="A169" s="33">
        <v>45552</v>
      </c>
      <c r="B169">
        <v>290</v>
      </c>
      <c r="C169">
        <v>1</v>
      </c>
      <c r="D169">
        <v>1</v>
      </c>
      <c r="E169">
        <v>1</v>
      </c>
      <c r="F169">
        <v>0</v>
      </c>
      <c r="G169">
        <v>0</v>
      </c>
      <c r="H169" s="44">
        <f t="shared" si="19"/>
        <v>1</v>
      </c>
      <c r="I169" s="47">
        <f t="shared" si="20"/>
        <v>1</v>
      </c>
      <c r="J169" s="44">
        <f t="shared" si="21"/>
        <v>276</v>
      </c>
      <c r="K169">
        <v>6</v>
      </c>
      <c r="L169">
        <v>4</v>
      </c>
      <c r="M169">
        <v>0</v>
      </c>
      <c r="N169" s="44">
        <f t="shared" si="25"/>
        <v>278</v>
      </c>
      <c r="O169">
        <v>1</v>
      </c>
      <c r="P169">
        <v>3</v>
      </c>
      <c r="Q169">
        <v>7</v>
      </c>
      <c r="R169" s="44">
        <f t="shared" si="26"/>
        <v>11</v>
      </c>
      <c r="S169">
        <v>6</v>
      </c>
      <c r="T169">
        <v>7</v>
      </c>
      <c r="U169" s="44">
        <f t="shared" si="18"/>
        <v>13</v>
      </c>
      <c r="V169">
        <v>9</v>
      </c>
      <c r="W169">
        <v>5</v>
      </c>
      <c r="X169">
        <v>0</v>
      </c>
      <c r="Y169" s="48">
        <f t="shared" si="22"/>
        <v>0.95862068965517244</v>
      </c>
      <c r="Z169" s="48">
        <f t="shared" si="23"/>
        <v>0.96896551724137936</v>
      </c>
      <c r="AA169" s="48">
        <f t="shared" si="24"/>
        <v>4.8275862068965517E-2</v>
      </c>
      <c r="AB169">
        <v>1821</v>
      </c>
      <c r="AC169">
        <v>528130</v>
      </c>
      <c r="AD169">
        <v>1.96</v>
      </c>
      <c r="AE169">
        <v>1728</v>
      </c>
      <c r="AF169">
        <v>1.87</v>
      </c>
    </row>
    <row r="170" spans="1:32" x14ac:dyDescent="0.25">
      <c r="A170" s="33">
        <v>45559</v>
      </c>
      <c r="B170">
        <v>290</v>
      </c>
      <c r="C170">
        <v>4</v>
      </c>
      <c r="D170">
        <v>4</v>
      </c>
      <c r="E170">
        <v>1</v>
      </c>
      <c r="F170">
        <v>1</v>
      </c>
      <c r="G170">
        <v>0</v>
      </c>
      <c r="H170" s="44">
        <f t="shared" si="19"/>
        <v>0</v>
      </c>
      <c r="I170" s="47">
        <f t="shared" si="20"/>
        <v>0</v>
      </c>
      <c r="J170" s="44">
        <f t="shared" si="21"/>
        <v>278</v>
      </c>
      <c r="K170">
        <v>1</v>
      </c>
      <c r="L170">
        <v>2</v>
      </c>
      <c r="M170">
        <v>0</v>
      </c>
      <c r="N170" s="44">
        <f t="shared" si="25"/>
        <v>277</v>
      </c>
      <c r="O170">
        <v>1</v>
      </c>
      <c r="P170">
        <v>3</v>
      </c>
      <c r="Q170">
        <v>8</v>
      </c>
      <c r="R170" s="44">
        <f t="shared" si="26"/>
        <v>12</v>
      </c>
      <c r="S170">
        <v>5</v>
      </c>
      <c r="T170">
        <v>6</v>
      </c>
      <c r="U170" s="44">
        <f t="shared" si="18"/>
        <v>11</v>
      </c>
      <c r="V170">
        <v>8</v>
      </c>
      <c r="W170">
        <v>6</v>
      </c>
      <c r="X170">
        <v>0</v>
      </c>
      <c r="Y170" s="48">
        <f t="shared" si="22"/>
        <v>0.95517241379310347</v>
      </c>
      <c r="Z170" s="48">
        <f t="shared" si="23"/>
        <v>0.96551724137931039</v>
      </c>
      <c r="AA170" s="48">
        <f t="shared" si="24"/>
        <v>4.8275862068965517E-2</v>
      </c>
      <c r="AB170">
        <v>1821</v>
      </c>
      <c r="AC170">
        <v>528130</v>
      </c>
      <c r="AD170">
        <v>1.96</v>
      </c>
      <c r="AE170">
        <v>1730</v>
      </c>
      <c r="AF170">
        <v>1.87</v>
      </c>
    </row>
    <row r="171" spans="1:32" x14ac:dyDescent="0.25">
      <c r="A171" s="33">
        <v>45566</v>
      </c>
      <c r="B171">
        <v>290</v>
      </c>
      <c r="C171">
        <v>4</v>
      </c>
      <c r="D171">
        <v>4</v>
      </c>
      <c r="E171">
        <v>2</v>
      </c>
      <c r="F171">
        <v>0</v>
      </c>
      <c r="G171">
        <v>0</v>
      </c>
      <c r="H171" s="44">
        <f t="shared" si="19"/>
        <v>2</v>
      </c>
      <c r="I171" s="47">
        <f t="shared" si="20"/>
        <v>0.5</v>
      </c>
      <c r="J171" s="44">
        <f t="shared" si="21"/>
        <v>277</v>
      </c>
      <c r="K171">
        <v>2</v>
      </c>
      <c r="L171">
        <v>2</v>
      </c>
      <c r="M171">
        <v>0</v>
      </c>
      <c r="N171" s="44">
        <f t="shared" si="25"/>
        <v>277</v>
      </c>
      <c r="O171">
        <v>1</v>
      </c>
      <c r="P171">
        <v>4</v>
      </c>
      <c r="Q171">
        <v>7</v>
      </c>
      <c r="R171" s="44">
        <f t="shared" si="26"/>
        <v>12</v>
      </c>
      <c r="S171">
        <v>4</v>
      </c>
      <c r="T171">
        <v>6</v>
      </c>
      <c r="U171" s="44">
        <f t="shared" si="18"/>
        <v>10</v>
      </c>
      <c r="V171">
        <v>7</v>
      </c>
      <c r="W171">
        <v>6</v>
      </c>
      <c r="X171">
        <v>0</v>
      </c>
      <c r="Y171" s="48">
        <f t="shared" si="22"/>
        <v>0.95517241379310347</v>
      </c>
      <c r="Z171" s="48">
        <f t="shared" si="23"/>
        <v>0.96896551724137936</v>
      </c>
      <c r="AA171" s="48">
        <f t="shared" si="24"/>
        <v>4.4827586206896551E-2</v>
      </c>
      <c r="AB171">
        <v>1821</v>
      </c>
      <c r="AC171">
        <v>528130</v>
      </c>
      <c r="AD171">
        <v>1.96</v>
      </c>
      <c r="AE171">
        <v>1731</v>
      </c>
      <c r="AF171">
        <v>1.87</v>
      </c>
    </row>
    <row r="172" spans="1:32" x14ac:dyDescent="0.25">
      <c r="A172" s="33">
        <v>45573</v>
      </c>
      <c r="B172">
        <v>290</v>
      </c>
      <c r="C172">
        <v>0</v>
      </c>
      <c r="D172">
        <v>0</v>
      </c>
      <c r="E172">
        <v>1</v>
      </c>
      <c r="F172">
        <v>0</v>
      </c>
      <c r="G172">
        <v>0</v>
      </c>
      <c r="H172" s="44">
        <f t="shared" si="19"/>
        <v>1</v>
      </c>
      <c r="I172" s="47" t="e">
        <f t="shared" si="20"/>
        <v>#DIV/0!</v>
      </c>
      <c r="J172" s="44">
        <f t="shared" si="21"/>
        <v>277</v>
      </c>
      <c r="K172">
        <v>1</v>
      </c>
      <c r="L172">
        <v>7</v>
      </c>
      <c r="M172">
        <v>0</v>
      </c>
      <c r="N172" s="44">
        <f t="shared" si="25"/>
        <v>271</v>
      </c>
      <c r="O172">
        <v>1</v>
      </c>
      <c r="P172">
        <v>6</v>
      </c>
      <c r="Q172">
        <v>11</v>
      </c>
      <c r="R172" s="44">
        <f t="shared" si="26"/>
        <v>18</v>
      </c>
      <c r="S172">
        <v>2</v>
      </c>
      <c r="T172">
        <v>7</v>
      </c>
      <c r="U172" s="44">
        <f t="shared" si="18"/>
        <v>9</v>
      </c>
      <c r="V172">
        <v>12</v>
      </c>
      <c r="W172">
        <v>6</v>
      </c>
      <c r="X172">
        <v>0</v>
      </c>
      <c r="Y172" s="48">
        <f t="shared" si="22"/>
        <v>0.93448275862068964</v>
      </c>
      <c r="Z172" s="48">
        <f t="shared" si="23"/>
        <v>0.95517241379310347</v>
      </c>
      <c r="AA172" s="48">
        <f t="shared" si="24"/>
        <v>6.2068965517241378E-2</v>
      </c>
      <c r="AB172">
        <v>1821</v>
      </c>
      <c r="AC172">
        <v>528130</v>
      </c>
      <c r="AD172">
        <v>1.96</v>
      </c>
      <c r="AE172">
        <v>1732</v>
      </c>
      <c r="AF172">
        <v>1.87</v>
      </c>
    </row>
    <row r="173" spans="1:32" x14ac:dyDescent="0.25">
      <c r="A173" s="33">
        <v>45580</v>
      </c>
      <c r="B173">
        <v>290</v>
      </c>
      <c r="C173">
        <v>11</v>
      </c>
      <c r="D173">
        <v>11</v>
      </c>
      <c r="E173">
        <v>2</v>
      </c>
      <c r="F173">
        <v>2</v>
      </c>
      <c r="G173">
        <v>0</v>
      </c>
      <c r="H173" s="44">
        <f t="shared" si="19"/>
        <v>0</v>
      </c>
      <c r="I173" s="47">
        <f t="shared" si="20"/>
        <v>0</v>
      </c>
      <c r="J173" s="44">
        <f t="shared" si="21"/>
        <v>271</v>
      </c>
      <c r="K173">
        <v>3</v>
      </c>
      <c r="L173">
        <v>2</v>
      </c>
      <c r="M173">
        <v>0</v>
      </c>
      <c r="N173" s="44">
        <f t="shared" si="25"/>
        <v>272</v>
      </c>
      <c r="O173">
        <v>1</v>
      </c>
      <c r="P173">
        <v>4</v>
      </c>
      <c r="Q173">
        <v>12</v>
      </c>
      <c r="R173" s="44">
        <f t="shared" si="26"/>
        <v>17</v>
      </c>
      <c r="S173">
        <v>1</v>
      </c>
      <c r="T173">
        <v>8</v>
      </c>
      <c r="U173" s="44">
        <f t="shared" si="18"/>
        <v>9</v>
      </c>
      <c r="V173">
        <v>12</v>
      </c>
      <c r="W173">
        <v>8</v>
      </c>
      <c r="X173">
        <v>0</v>
      </c>
      <c r="Y173" s="48">
        <f t="shared" si="22"/>
        <v>0.93793103448275861</v>
      </c>
      <c r="Z173" s="48">
        <f t="shared" si="23"/>
        <v>0.9517241379310345</v>
      </c>
      <c r="AA173" s="48">
        <f t="shared" si="24"/>
        <v>6.8965517241379309E-2</v>
      </c>
      <c r="AB173">
        <v>1821</v>
      </c>
      <c r="AC173">
        <v>528130</v>
      </c>
      <c r="AD173">
        <v>1.96</v>
      </c>
      <c r="AE173">
        <v>1732</v>
      </c>
      <c r="AF173">
        <v>1.87</v>
      </c>
    </row>
    <row r="174" spans="1:32" x14ac:dyDescent="0.25">
      <c r="A174" s="33">
        <v>45587</v>
      </c>
      <c r="B174">
        <v>290</v>
      </c>
      <c r="C174">
        <v>7</v>
      </c>
      <c r="D174">
        <v>7</v>
      </c>
      <c r="E174">
        <v>4</v>
      </c>
      <c r="F174">
        <v>1</v>
      </c>
      <c r="G174">
        <v>0</v>
      </c>
      <c r="H174" s="44">
        <f t="shared" si="19"/>
        <v>3</v>
      </c>
      <c r="I174" s="47">
        <f t="shared" si="20"/>
        <v>0.42857142857142855</v>
      </c>
      <c r="J174" s="44">
        <f t="shared" si="21"/>
        <v>272</v>
      </c>
      <c r="K174">
        <v>2</v>
      </c>
      <c r="L174">
        <v>0</v>
      </c>
      <c r="M174">
        <v>0</v>
      </c>
      <c r="N174" s="44">
        <f t="shared" si="25"/>
        <v>274</v>
      </c>
      <c r="O174">
        <v>1</v>
      </c>
      <c r="P174">
        <v>3</v>
      </c>
      <c r="Q174">
        <v>11</v>
      </c>
      <c r="R174" s="44">
        <f t="shared" si="26"/>
        <v>15</v>
      </c>
      <c r="S174">
        <v>3</v>
      </c>
      <c r="T174">
        <v>8</v>
      </c>
      <c r="U174" s="44">
        <f t="shared" si="18"/>
        <v>11</v>
      </c>
      <c r="V174">
        <v>11</v>
      </c>
      <c r="W174">
        <v>8</v>
      </c>
      <c r="X174">
        <v>0</v>
      </c>
      <c r="Y174" s="48">
        <f t="shared" si="22"/>
        <v>0.94482758620689655</v>
      </c>
      <c r="Z174" s="48">
        <f t="shared" si="23"/>
        <v>0.95517241379310347</v>
      </c>
      <c r="AA174" s="48">
        <f t="shared" si="24"/>
        <v>6.5517241379310351E-2</v>
      </c>
      <c r="AB174">
        <v>1821</v>
      </c>
      <c r="AC174">
        <v>528130</v>
      </c>
      <c r="AD174">
        <v>1.96</v>
      </c>
      <c r="AE174">
        <v>1731</v>
      </c>
      <c r="AF174">
        <v>1.87</v>
      </c>
    </row>
    <row r="175" spans="1:32" x14ac:dyDescent="0.25">
      <c r="A175" s="33">
        <v>45594</v>
      </c>
      <c r="B175">
        <v>290</v>
      </c>
      <c r="C175">
        <v>6</v>
      </c>
      <c r="D175">
        <v>6</v>
      </c>
      <c r="E175">
        <v>0</v>
      </c>
      <c r="F175">
        <v>0</v>
      </c>
      <c r="G175">
        <v>0</v>
      </c>
      <c r="H175" s="44">
        <f t="shared" si="19"/>
        <v>0</v>
      </c>
      <c r="I175" s="47">
        <f t="shared" si="20"/>
        <v>0</v>
      </c>
      <c r="J175" s="44">
        <f t="shared" si="21"/>
        <v>274</v>
      </c>
      <c r="K175">
        <v>1</v>
      </c>
      <c r="L175">
        <v>0</v>
      </c>
      <c r="M175">
        <v>1</v>
      </c>
      <c r="N175" s="44">
        <f t="shared" si="25"/>
        <v>275</v>
      </c>
      <c r="O175">
        <v>1</v>
      </c>
      <c r="P175">
        <v>3</v>
      </c>
      <c r="Q175">
        <v>10</v>
      </c>
      <c r="R175" s="44">
        <f t="shared" si="26"/>
        <v>14</v>
      </c>
      <c r="S175">
        <v>3</v>
      </c>
      <c r="T175">
        <v>11</v>
      </c>
      <c r="U175" s="44">
        <f t="shared" si="18"/>
        <v>14</v>
      </c>
      <c r="V175">
        <v>12</v>
      </c>
      <c r="W175">
        <v>9</v>
      </c>
      <c r="X175">
        <v>0</v>
      </c>
      <c r="Y175" s="48">
        <f t="shared" si="22"/>
        <v>0.94827586206896552</v>
      </c>
      <c r="Z175" s="48">
        <f t="shared" si="23"/>
        <v>0.95862068965517244</v>
      </c>
      <c r="AA175" s="48">
        <f t="shared" si="24"/>
        <v>7.2413793103448282E-2</v>
      </c>
      <c r="AB175">
        <v>1821</v>
      </c>
      <c r="AC175">
        <v>528130</v>
      </c>
      <c r="AD175">
        <v>1.96</v>
      </c>
      <c r="AE175">
        <v>1733</v>
      </c>
      <c r="AF175">
        <v>1.88</v>
      </c>
    </row>
    <row r="176" spans="1:32" x14ac:dyDescent="0.25">
      <c r="A176" s="33">
        <v>45601</v>
      </c>
      <c r="B176">
        <v>290</v>
      </c>
      <c r="C176">
        <v>8</v>
      </c>
      <c r="D176">
        <v>8</v>
      </c>
      <c r="E176">
        <v>1</v>
      </c>
      <c r="F176">
        <v>3</v>
      </c>
      <c r="G176">
        <v>0</v>
      </c>
      <c r="H176" s="44">
        <f t="shared" si="19"/>
        <v>-2</v>
      </c>
      <c r="I176" s="47">
        <f t="shared" si="20"/>
        <v>-0.25</v>
      </c>
      <c r="J176" s="44">
        <f t="shared" si="21"/>
        <v>275</v>
      </c>
      <c r="K176">
        <v>1</v>
      </c>
      <c r="L176">
        <v>3</v>
      </c>
      <c r="M176">
        <v>1</v>
      </c>
      <c r="N176" s="44">
        <f t="shared" si="25"/>
        <v>273</v>
      </c>
      <c r="O176">
        <v>1</v>
      </c>
      <c r="P176">
        <v>2</v>
      </c>
      <c r="Q176">
        <v>13</v>
      </c>
      <c r="R176" s="44">
        <f t="shared" si="26"/>
        <v>16</v>
      </c>
      <c r="S176">
        <v>2</v>
      </c>
      <c r="T176">
        <v>9</v>
      </c>
      <c r="U176" s="44">
        <f t="shared" si="18"/>
        <v>11</v>
      </c>
      <c r="V176">
        <v>12</v>
      </c>
      <c r="W176">
        <v>10</v>
      </c>
      <c r="X176">
        <v>0</v>
      </c>
      <c r="Y176" s="48">
        <f t="shared" si="22"/>
        <v>0.94137931034482758</v>
      </c>
      <c r="Z176" s="48">
        <f t="shared" si="23"/>
        <v>0.94827586206896552</v>
      </c>
      <c r="AA176" s="48">
        <f t="shared" si="24"/>
        <v>7.586206896551724E-2</v>
      </c>
      <c r="AB176">
        <v>1821</v>
      </c>
      <c r="AC176">
        <v>528130</v>
      </c>
      <c r="AD176">
        <v>1.96</v>
      </c>
      <c r="AE176">
        <v>1737</v>
      </c>
      <c r="AF176">
        <v>1.88</v>
      </c>
    </row>
    <row r="177" spans="1:32" x14ac:dyDescent="0.25">
      <c r="A177" s="33">
        <v>45608</v>
      </c>
      <c r="B177">
        <v>290</v>
      </c>
      <c r="C177">
        <v>14</v>
      </c>
      <c r="D177">
        <v>14</v>
      </c>
      <c r="E177">
        <v>4</v>
      </c>
      <c r="F177">
        <v>0</v>
      </c>
      <c r="G177">
        <v>2</v>
      </c>
      <c r="H177" s="44">
        <f t="shared" si="19"/>
        <v>2</v>
      </c>
      <c r="I177" s="47">
        <f t="shared" si="20"/>
        <v>0.14285714285714285</v>
      </c>
      <c r="J177" s="44">
        <f t="shared" si="21"/>
        <v>273</v>
      </c>
      <c r="K177">
        <v>2</v>
      </c>
      <c r="L177">
        <v>1</v>
      </c>
      <c r="M177">
        <v>0</v>
      </c>
      <c r="N177" s="44">
        <f t="shared" si="25"/>
        <v>274</v>
      </c>
      <c r="O177">
        <v>1</v>
      </c>
      <c r="P177">
        <v>2</v>
      </c>
      <c r="Q177">
        <v>12</v>
      </c>
      <c r="R177" s="44">
        <f t="shared" si="26"/>
        <v>15</v>
      </c>
      <c r="S177">
        <v>2</v>
      </c>
      <c r="T177">
        <v>10</v>
      </c>
      <c r="U177" s="44">
        <f t="shared" si="18"/>
        <v>12</v>
      </c>
      <c r="V177">
        <v>13</v>
      </c>
      <c r="W177">
        <v>9</v>
      </c>
      <c r="X177">
        <v>0</v>
      </c>
      <c r="Y177" s="48">
        <f t="shared" si="22"/>
        <v>0.94482758620689655</v>
      </c>
      <c r="Z177" s="48">
        <f t="shared" si="23"/>
        <v>0.9517241379310345</v>
      </c>
      <c r="AA177" s="48">
        <f t="shared" si="24"/>
        <v>7.586206896551724E-2</v>
      </c>
      <c r="AB177">
        <v>1821</v>
      </c>
      <c r="AC177">
        <v>528130</v>
      </c>
      <c r="AD177">
        <v>1.96</v>
      </c>
      <c r="AE177">
        <v>1736</v>
      </c>
      <c r="AF177">
        <v>1.88</v>
      </c>
    </row>
    <row r="178" spans="1:32" x14ac:dyDescent="0.25">
      <c r="A178" s="33">
        <v>45615</v>
      </c>
      <c r="B178">
        <v>290</v>
      </c>
      <c r="C178">
        <v>10</v>
      </c>
      <c r="D178">
        <v>10</v>
      </c>
      <c r="E178">
        <v>1</v>
      </c>
      <c r="F178">
        <v>0</v>
      </c>
      <c r="G178">
        <v>0</v>
      </c>
      <c r="H178" s="44">
        <f t="shared" si="19"/>
        <v>1</v>
      </c>
      <c r="I178" s="47">
        <f t="shared" si="20"/>
        <v>0.1</v>
      </c>
      <c r="J178" s="44">
        <f t="shared" si="21"/>
        <v>274</v>
      </c>
      <c r="K178">
        <v>1</v>
      </c>
      <c r="L178">
        <v>2</v>
      </c>
      <c r="M178">
        <v>0</v>
      </c>
      <c r="N178" s="44">
        <f t="shared" si="25"/>
        <v>273</v>
      </c>
      <c r="O178">
        <v>1</v>
      </c>
      <c r="P178">
        <v>3</v>
      </c>
      <c r="Q178">
        <v>12</v>
      </c>
      <c r="R178" s="44">
        <f t="shared" si="26"/>
        <v>16</v>
      </c>
      <c r="S178">
        <v>1</v>
      </c>
      <c r="T178">
        <v>9</v>
      </c>
      <c r="U178" s="44">
        <f t="shared" si="18"/>
        <v>10</v>
      </c>
      <c r="V178">
        <v>13</v>
      </c>
      <c r="W178">
        <v>8</v>
      </c>
      <c r="X178">
        <v>0</v>
      </c>
      <c r="Y178" s="48">
        <f t="shared" si="22"/>
        <v>0.94137931034482758</v>
      </c>
      <c r="Z178" s="48">
        <f t="shared" si="23"/>
        <v>0.9517241379310345</v>
      </c>
      <c r="AA178" s="48">
        <f t="shared" si="24"/>
        <v>7.2413793103448282E-2</v>
      </c>
      <c r="AB178">
        <v>1821</v>
      </c>
      <c r="AC178">
        <v>528130</v>
      </c>
      <c r="AD178">
        <v>1.96</v>
      </c>
      <c r="AE178">
        <v>1735</v>
      </c>
      <c r="AF178">
        <v>1.88</v>
      </c>
    </row>
    <row r="179" spans="1:32" x14ac:dyDescent="0.25">
      <c r="A179" s="33">
        <v>45622</v>
      </c>
      <c r="B179">
        <v>290</v>
      </c>
      <c r="C179">
        <v>6</v>
      </c>
      <c r="D179">
        <v>6</v>
      </c>
      <c r="E179">
        <v>5</v>
      </c>
      <c r="F179">
        <v>1</v>
      </c>
      <c r="G179">
        <v>0</v>
      </c>
      <c r="H179" s="44">
        <f t="shared" si="19"/>
        <v>4</v>
      </c>
      <c r="I179" s="47">
        <f t="shared" si="20"/>
        <v>0.66666666666666663</v>
      </c>
      <c r="J179" s="44">
        <f t="shared" si="21"/>
        <v>273</v>
      </c>
      <c r="K179">
        <v>2</v>
      </c>
      <c r="L179">
        <v>1</v>
      </c>
      <c r="M179">
        <v>0</v>
      </c>
      <c r="N179" s="44">
        <f t="shared" si="25"/>
        <v>274</v>
      </c>
      <c r="O179">
        <v>1</v>
      </c>
      <c r="P179">
        <v>5</v>
      </c>
      <c r="Q179">
        <v>9</v>
      </c>
      <c r="R179" s="44">
        <f t="shared" si="26"/>
        <v>15</v>
      </c>
      <c r="S179">
        <v>1</v>
      </c>
      <c r="T179">
        <v>8</v>
      </c>
      <c r="U179" s="44">
        <f t="shared" si="18"/>
        <v>9</v>
      </c>
      <c r="V179">
        <v>13</v>
      </c>
      <c r="W179">
        <v>4</v>
      </c>
      <c r="X179">
        <v>0</v>
      </c>
      <c r="Y179" s="48">
        <f t="shared" si="22"/>
        <v>0.94482758620689655</v>
      </c>
      <c r="Z179" s="48">
        <f t="shared" si="23"/>
        <v>0.96206896551724141</v>
      </c>
      <c r="AA179" s="48">
        <f t="shared" si="24"/>
        <v>5.8620689655172413E-2</v>
      </c>
      <c r="AB179">
        <v>1821</v>
      </c>
      <c r="AC179">
        <v>528130</v>
      </c>
      <c r="AD179">
        <v>1.96</v>
      </c>
      <c r="AE179">
        <v>1735</v>
      </c>
      <c r="AF179">
        <v>1.88</v>
      </c>
    </row>
    <row r="180" spans="1:32" x14ac:dyDescent="0.25">
      <c r="A180" s="33">
        <v>45629</v>
      </c>
      <c r="B180">
        <v>290</v>
      </c>
      <c r="C180">
        <v>3</v>
      </c>
      <c r="D180">
        <v>3</v>
      </c>
      <c r="E180">
        <v>0</v>
      </c>
      <c r="F180">
        <v>0</v>
      </c>
      <c r="G180">
        <v>1</v>
      </c>
      <c r="H180" s="44">
        <f t="shared" si="19"/>
        <v>-1</v>
      </c>
      <c r="I180" s="47">
        <f t="shared" si="20"/>
        <v>-0.33333333333333331</v>
      </c>
      <c r="J180" s="44">
        <f t="shared" si="21"/>
        <v>274</v>
      </c>
      <c r="K180">
        <v>2</v>
      </c>
      <c r="L180">
        <v>1</v>
      </c>
      <c r="M180">
        <v>0</v>
      </c>
      <c r="N180" s="44">
        <f t="shared" si="25"/>
        <v>275</v>
      </c>
      <c r="O180">
        <v>1</v>
      </c>
      <c r="P180">
        <v>2</v>
      </c>
      <c r="Q180">
        <v>11</v>
      </c>
      <c r="R180" s="44">
        <f t="shared" si="26"/>
        <v>14</v>
      </c>
      <c r="S180">
        <v>1</v>
      </c>
      <c r="T180">
        <v>8</v>
      </c>
      <c r="U180" s="44">
        <f t="shared" si="18"/>
        <v>9</v>
      </c>
      <c r="V180">
        <v>14</v>
      </c>
      <c r="W180">
        <v>5</v>
      </c>
      <c r="X180">
        <v>0</v>
      </c>
      <c r="Y180" s="48">
        <f t="shared" si="22"/>
        <v>0.94827586206896552</v>
      </c>
      <c r="Z180" s="48">
        <f t="shared" si="23"/>
        <v>0.95517241379310347</v>
      </c>
      <c r="AA180" s="48">
        <f t="shared" si="24"/>
        <v>6.5517241379310351E-2</v>
      </c>
      <c r="AB180">
        <v>1821</v>
      </c>
      <c r="AC180">
        <v>528130</v>
      </c>
      <c r="AD180">
        <v>1.96</v>
      </c>
      <c r="AE180">
        <v>1737</v>
      </c>
      <c r="AF180">
        <v>1.88</v>
      </c>
    </row>
    <row r="181" spans="1:32" x14ac:dyDescent="0.25">
      <c r="A181" s="33">
        <v>45636</v>
      </c>
      <c r="B181">
        <v>290</v>
      </c>
      <c r="C181">
        <v>7</v>
      </c>
      <c r="D181">
        <v>7</v>
      </c>
      <c r="E181">
        <v>3</v>
      </c>
      <c r="F181">
        <v>0</v>
      </c>
      <c r="G181">
        <v>0</v>
      </c>
      <c r="H181" s="44">
        <f t="shared" si="19"/>
        <v>3</v>
      </c>
      <c r="I181" s="47">
        <f t="shared" si="20"/>
        <v>0.42857142857142855</v>
      </c>
      <c r="J181" s="44">
        <f t="shared" si="21"/>
        <v>275</v>
      </c>
      <c r="K181">
        <v>0</v>
      </c>
      <c r="L181">
        <v>1</v>
      </c>
      <c r="M181">
        <v>0</v>
      </c>
      <c r="N181" s="44">
        <f t="shared" si="25"/>
        <v>274</v>
      </c>
      <c r="O181">
        <v>1</v>
      </c>
      <c r="P181">
        <v>4</v>
      </c>
      <c r="Q181">
        <v>10</v>
      </c>
      <c r="R181" s="44">
        <f t="shared" si="26"/>
        <v>15</v>
      </c>
      <c r="S181">
        <v>2</v>
      </c>
      <c r="T181">
        <v>9</v>
      </c>
      <c r="U181" s="44">
        <f t="shared" si="18"/>
        <v>11</v>
      </c>
      <c r="V181">
        <v>15</v>
      </c>
      <c r="W181">
        <v>3</v>
      </c>
      <c r="X181">
        <v>1</v>
      </c>
      <c r="Y181" s="48">
        <f t="shared" si="22"/>
        <v>0.94482758620689655</v>
      </c>
      <c r="Z181" s="48">
        <f t="shared" si="23"/>
        <v>0.95862068965517244</v>
      </c>
      <c r="AA181" s="48">
        <f t="shared" si="24"/>
        <v>6.5517241379310351E-2</v>
      </c>
      <c r="AB181">
        <v>1821</v>
      </c>
      <c r="AC181">
        <v>528130</v>
      </c>
      <c r="AD181">
        <v>1.96</v>
      </c>
      <c r="AE181">
        <v>1737</v>
      </c>
      <c r="AF181">
        <v>1.87</v>
      </c>
    </row>
    <row r="182" spans="1:32" x14ac:dyDescent="0.25">
      <c r="A182" s="33">
        <v>45643</v>
      </c>
      <c r="B182">
        <v>290</v>
      </c>
      <c r="C182">
        <v>4</v>
      </c>
      <c r="D182">
        <v>4</v>
      </c>
      <c r="E182">
        <v>2</v>
      </c>
      <c r="F182">
        <v>0</v>
      </c>
      <c r="G182">
        <v>0</v>
      </c>
      <c r="H182" s="44">
        <f t="shared" si="19"/>
        <v>2</v>
      </c>
      <c r="I182" s="47">
        <f t="shared" si="20"/>
        <v>0.5</v>
      </c>
      <c r="J182" s="44">
        <f t="shared" si="21"/>
        <v>274</v>
      </c>
      <c r="K182">
        <v>2</v>
      </c>
      <c r="L182">
        <v>2</v>
      </c>
      <c r="M182">
        <v>0</v>
      </c>
      <c r="N182" s="44">
        <f t="shared" si="25"/>
        <v>274</v>
      </c>
      <c r="O182">
        <v>1</v>
      </c>
      <c r="P182">
        <v>3</v>
      </c>
      <c r="Q182">
        <v>11</v>
      </c>
      <c r="R182" s="44">
        <f t="shared" si="26"/>
        <v>15</v>
      </c>
      <c r="S182">
        <v>2</v>
      </c>
      <c r="T182">
        <v>11</v>
      </c>
      <c r="U182" s="44">
        <f t="shared" si="18"/>
        <v>13</v>
      </c>
      <c r="V182">
        <v>18</v>
      </c>
      <c r="W182">
        <v>4</v>
      </c>
      <c r="X182">
        <v>0</v>
      </c>
      <c r="Y182" s="48">
        <f t="shared" si="22"/>
        <v>0.94482758620689655</v>
      </c>
      <c r="Z182" s="48">
        <f t="shared" si="23"/>
        <v>0.95517241379310347</v>
      </c>
      <c r="AA182" s="48">
        <f t="shared" si="24"/>
        <v>7.586206896551724E-2</v>
      </c>
      <c r="AB182">
        <v>1821</v>
      </c>
      <c r="AC182">
        <v>528130</v>
      </c>
      <c r="AD182">
        <v>1.96</v>
      </c>
      <c r="AE182">
        <v>1737</v>
      </c>
      <c r="AF182">
        <v>1.87</v>
      </c>
    </row>
    <row r="183" spans="1:32" x14ac:dyDescent="0.25">
      <c r="A183" s="33">
        <v>45650</v>
      </c>
      <c r="B183">
        <v>290</v>
      </c>
      <c r="C183">
        <v>5</v>
      </c>
      <c r="D183">
        <v>5</v>
      </c>
      <c r="E183">
        <v>0</v>
      </c>
      <c r="F183">
        <v>1</v>
      </c>
      <c r="G183">
        <v>0</v>
      </c>
      <c r="H183" s="44">
        <f t="shared" si="19"/>
        <v>-1</v>
      </c>
      <c r="I183" s="47">
        <f t="shared" si="20"/>
        <v>-0.2</v>
      </c>
      <c r="J183" s="44">
        <f t="shared" si="21"/>
        <v>274</v>
      </c>
      <c r="K183">
        <v>3</v>
      </c>
      <c r="L183">
        <v>0</v>
      </c>
      <c r="M183">
        <v>0</v>
      </c>
      <c r="N183" s="44">
        <f t="shared" si="25"/>
        <v>277</v>
      </c>
      <c r="O183">
        <v>1</v>
      </c>
      <c r="P183">
        <v>0</v>
      </c>
      <c r="Q183">
        <v>11</v>
      </c>
      <c r="R183" s="44">
        <f t="shared" si="26"/>
        <v>12</v>
      </c>
      <c r="S183">
        <v>2</v>
      </c>
      <c r="T183">
        <v>13</v>
      </c>
      <c r="U183" s="44">
        <f t="shared" si="18"/>
        <v>15</v>
      </c>
      <c r="V183">
        <v>20</v>
      </c>
      <c r="W183">
        <v>4</v>
      </c>
      <c r="X183">
        <v>0</v>
      </c>
      <c r="Y183" s="48">
        <f t="shared" si="22"/>
        <v>0.95517241379310347</v>
      </c>
      <c r="Z183" s="48">
        <f t="shared" si="23"/>
        <v>0.95517241379310347</v>
      </c>
      <c r="AA183" s="48">
        <f t="shared" si="24"/>
        <v>8.2758620689655171E-2</v>
      </c>
      <c r="AB183">
        <v>1821</v>
      </c>
      <c r="AC183">
        <v>528130</v>
      </c>
      <c r="AD183">
        <v>1.96</v>
      </c>
      <c r="AE183">
        <v>1739</v>
      </c>
      <c r="AF183">
        <v>1.87</v>
      </c>
    </row>
    <row r="184" spans="1:32" x14ac:dyDescent="0.25">
      <c r="A184" s="33">
        <v>45657</v>
      </c>
      <c r="B184">
        <v>290</v>
      </c>
      <c r="C184">
        <v>4</v>
      </c>
      <c r="D184">
        <v>4</v>
      </c>
      <c r="E184">
        <v>1</v>
      </c>
      <c r="F184">
        <v>0</v>
      </c>
      <c r="G184">
        <v>0</v>
      </c>
      <c r="H184" s="44">
        <f t="shared" si="19"/>
        <v>1</v>
      </c>
      <c r="I184" s="47">
        <f t="shared" si="20"/>
        <v>0.25</v>
      </c>
      <c r="J184" s="44">
        <f t="shared" si="21"/>
        <v>277</v>
      </c>
      <c r="K184">
        <v>0</v>
      </c>
      <c r="L184">
        <v>2</v>
      </c>
      <c r="M184">
        <v>0</v>
      </c>
      <c r="N184" s="44">
        <f t="shared" si="25"/>
        <v>275</v>
      </c>
      <c r="O184">
        <v>1</v>
      </c>
      <c r="P184">
        <v>1</v>
      </c>
      <c r="Q184">
        <v>12</v>
      </c>
      <c r="R184" s="44">
        <f t="shared" si="26"/>
        <v>14</v>
      </c>
      <c r="S184">
        <v>2</v>
      </c>
      <c r="T184">
        <v>12</v>
      </c>
      <c r="U184" s="44">
        <f t="shared" si="18"/>
        <v>14</v>
      </c>
      <c r="V184">
        <v>20</v>
      </c>
      <c r="W184">
        <v>4</v>
      </c>
      <c r="X184">
        <v>0</v>
      </c>
      <c r="Y184" s="48">
        <f t="shared" si="22"/>
        <v>0.94827586206896552</v>
      </c>
      <c r="Z184" s="48">
        <f t="shared" si="23"/>
        <v>0.9517241379310345</v>
      </c>
      <c r="AA184" s="48">
        <f t="shared" si="24"/>
        <v>8.2758620689655171E-2</v>
      </c>
      <c r="AB184">
        <v>1821</v>
      </c>
      <c r="AC184">
        <v>528130</v>
      </c>
      <c r="AD184">
        <v>1.96</v>
      </c>
      <c r="AE184">
        <v>1742</v>
      </c>
      <c r="AF184">
        <v>1.88</v>
      </c>
    </row>
    <row r="185" spans="1:32" x14ac:dyDescent="0.25">
      <c r="A185" s="33">
        <v>45664</v>
      </c>
      <c r="B185">
        <v>290</v>
      </c>
      <c r="C185">
        <v>5</v>
      </c>
      <c r="D185">
        <v>5</v>
      </c>
      <c r="E185">
        <v>3</v>
      </c>
      <c r="F185">
        <v>0</v>
      </c>
      <c r="G185">
        <v>2</v>
      </c>
      <c r="H185" s="44">
        <f t="shared" si="19"/>
        <v>1</v>
      </c>
      <c r="I185" s="47">
        <f t="shared" si="20"/>
        <v>0.2</v>
      </c>
      <c r="J185" s="44">
        <f t="shared" si="21"/>
        <v>275</v>
      </c>
      <c r="K185">
        <v>1</v>
      </c>
      <c r="L185">
        <v>3</v>
      </c>
      <c r="M185">
        <v>1</v>
      </c>
      <c r="N185" s="44">
        <f t="shared" si="25"/>
        <v>273</v>
      </c>
      <c r="O185">
        <v>1</v>
      </c>
      <c r="P185">
        <v>3</v>
      </c>
      <c r="Q185">
        <v>12</v>
      </c>
      <c r="R185" s="44">
        <v>16</v>
      </c>
      <c r="S185">
        <v>1</v>
      </c>
      <c r="T185">
        <v>12</v>
      </c>
      <c r="U185" s="44">
        <f t="shared" si="18"/>
        <v>13</v>
      </c>
      <c r="V185">
        <v>21</v>
      </c>
      <c r="W185">
        <v>3</v>
      </c>
      <c r="X185">
        <v>0</v>
      </c>
      <c r="Y185" s="48">
        <f t="shared" si="22"/>
        <v>0.94137931034482758</v>
      </c>
      <c r="Z185" s="48">
        <f t="shared" si="23"/>
        <v>0.9517241379310345</v>
      </c>
      <c r="AA185" s="48">
        <f t="shared" si="24"/>
        <v>8.2758620689655171E-2</v>
      </c>
      <c r="AB185">
        <v>1821</v>
      </c>
      <c r="AC185">
        <v>528130</v>
      </c>
      <c r="AD185">
        <v>1.96</v>
      </c>
      <c r="AE185">
        <v>1743</v>
      </c>
      <c r="AF185">
        <v>1.88</v>
      </c>
    </row>
    <row r="186" spans="1:32" x14ac:dyDescent="0.25">
      <c r="A186" s="33">
        <v>45671</v>
      </c>
      <c r="B186">
        <v>290</v>
      </c>
      <c r="C186">
        <v>6</v>
      </c>
      <c r="D186">
        <v>6</v>
      </c>
      <c r="E186">
        <v>3</v>
      </c>
      <c r="F186">
        <v>1</v>
      </c>
      <c r="G186">
        <v>2</v>
      </c>
      <c r="H186" s="44">
        <f t="shared" si="19"/>
        <v>0</v>
      </c>
      <c r="I186" s="47">
        <f t="shared" si="20"/>
        <v>0</v>
      </c>
      <c r="J186" s="44">
        <f t="shared" si="21"/>
        <v>273</v>
      </c>
      <c r="K186">
        <v>0</v>
      </c>
      <c r="L186">
        <v>2</v>
      </c>
      <c r="M186">
        <v>0</v>
      </c>
      <c r="N186" s="44">
        <f t="shared" si="25"/>
        <v>271</v>
      </c>
      <c r="O186">
        <v>1</v>
      </c>
      <c r="P186">
        <v>4</v>
      </c>
      <c r="Q186">
        <v>13</v>
      </c>
      <c r="R186" s="44">
        <f t="shared" si="26"/>
        <v>18</v>
      </c>
      <c r="S186">
        <v>0</v>
      </c>
      <c r="T186">
        <v>13</v>
      </c>
      <c r="U186" s="44">
        <f t="shared" si="18"/>
        <v>13</v>
      </c>
      <c r="V186">
        <v>21</v>
      </c>
      <c r="W186">
        <v>5</v>
      </c>
      <c r="X186">
        <v>0</v>
      </c>
      <c r="Y186" s="48">
        <f t="shared" si="22"/>
        <v>0.93448275862068964</v>
      </c>
      <c r="Z186" s="48">
        <f t="shared" si="23"/>
        <v>0.94827586206896552</v>
      </c>
      <c r="AA186" s="48">
        <f t="shared" si="24"/>
        <v>8.9655172413793102E-2</v>
      </c>
      <c r="AB186">
        <v>1821</v>
      </c>
      <c r="AC186">
        <v>528130</v>
      </c>
      <c r="AD186">
        <v>1.96</v>
      </c>
      <c r="AE186">
        <v>1741</v>
      </c>
      <c r="AF186">
        <v>1.88</v>
      </c>
    </row>
    <row r="187" spans="1:32" x14ac:dyDescent="0.25">
      <c r="A187" s="33">
        <v>45678</v>
      </c>
      <c r="B187">
        <v>290</v>
      </c>
      <c r="C187">
        <v>17</v>
      </c>
      <c r="D187">
        <v>17</v>
      </c>
      <c r="E187">
        <v>1</v>
      </c>
      <c r="F187">
        <v>1</v>
      </c>
      <c r="G187">
        <v>0</v>
      </c>
      <c r="H187" s="44">
        <f t="shared" si="19"/>
        <v>0</v>
      </c>
      <c r="I187" s="47">
        <f t="shared" si="20"/>
        <v>0</v>
      </c>
      <c r="J187" s="44">
        <f t="shared" si="21"/>
        <v>271</v>
      </c>
      <c r="K187">
        <v>1</v>
      </c>
      <c r="L187">
        <v>1</v>
      </c>
      <c r="M187">
        <v>0</v>
      </c>
      <c r="N187" s="44">
        <f t="shared" si="25"/>
        <v>271</v>
      </c>
      <c r="O187">
        <v>1</v>
      </c>
      <c r="P187">
        <v>2</v>
      </c>
      <c r="Q187">
        <v>15</v>
      </c>
      <c r="R187" s="44">
        <f t="shared" si="26"/>
        <v>18</v>
      </c>
      <c r="S187">
        <v>1</v>
      </c>
      <c r="T187">
        <v>14</v>
      </c>
      <c r="U187" s="44">
        <f t="shared" si="18"/>
        <v>15</v>
      </c>
      <c r="V187">
        <v>21</v>
      </c>
      <c r="W187">
        <v>4</v>
      </c>
      <c r="X187">
        <v>0</v>
      </c>
      <c r="Y187" s="48">
        <f t="shared" si="22"/>
        <v>0.93448275862068964</v>
      </c>
      <c r="Z187" s="48">
        <f t="shared" si="23"/>
        <v>0.94137931034482758</v>
      </c>
      <c r="AA187" s="48">
        <f t="shared" si="24"/>
        <v>0.1</v>
      </c>
      <c r="AB187">
        <v>1821</v>
      </c>
      <c r="AC187">
        <v>528130</v>
      </c>
      <c r="AD187">
        <v>1.96</v>
      </c>
      <c r="AE187">
        <v>1740</v>
      </c>
      <c r="AF187">
        <v>1.88</v>
      </c>
    </row>
    <row r="188" spans="1:32" x14ac:dyDescent="0.25">
      <c r="A188" s="33">
        <v>45685</v>
      </c>
      <c r="B188">
        <v>290</v>
      </c>
      <c r="C188">
        <v>13</v>
      </c>
      <c r="D188">
        <v>13</v>
      </c>
      <c r="E188">
        <v>1</v>
      </c>
      <c r="F188">
        <v>0</v>
      </c>
      <c r="G188">
        <v>0</v>
      </c>
      <c r="H188" s="44">
        <f t="shared" si="19"/>
        <v>1</v>
      </c>
      <c r="I188" s="47">
        <f t="shared" si="20"/>
        <v>7.6923076923076927E-2</v>
      </c>
      <c r="J188" s="44">
        <f t="shared" si="21"/>
        <v>271</v>
      </c>
      <c r="K188">
        <v>0</v>
      </c>
      <c r="L188">
        <v>1</v>
      </c>
      <c r="M188">
        <v>0</v>
      </c>
      <c r="N188" s="44">
        <f t="shared" si="25"/>
        <v>270</v>
      </c>
      <c r="O188">
        <v>1</v>
      </c>
      <c r="P188">
        <v>3</v>
      </c>
      <c r="Q188">
        <v>15</v>
      </c>
      <c r="R188" s="44">
        <f t="shared" si="26"/>
        <v>19</v>
      </c>
      <c r="S188">
        <v>1</v>
      </c>
      <c r="T188">
        <v>15</v>
      </c>
      <c r="U188" s="44">
        <f t="shared" si="18"/>
        <v>16</v>
      </c>
      <c r="V188">
        <v>10</v>
      </c>
      <c r="W188">
        <v>5</v>
      </c>
      <c r="X188">
        <v>0</v>
      </c>
      <c r="Y188" s="48">
        <f t="shared" si="22"/>
        <v>0.93103448275862066</v>
      </c>
      <c r="Z188" s="48">
        <f t="shared" si="23"/>
        <v>0.94137931034482758</v>
      </c>
      <c r="AA188" s="48">
        <f t="shared" si="24"/>
        <v>0.10344827586206896</v>
      </c>
      <c r="AB188">
        <v>1821</v>
      </c>
      <c r="AC188">
        <v>528130</v>
      </c>
      <c r="AD188">
        <v>1.96</v>
      </c>
      <c r="AE188">
        <v>1741</v>
      </c>
      <c r="AF188">
        <v>1.88</v>
      </c>
    </row>
    <row r="189" spans="1:32" x14ac:dyDescent="0.25">
      <c r="A189" s="33">
        <v>45692</v>
      </c>
      <c r="B189">
        <v>290</v>
      </c>
      <c r="C189">
        <v>15</v>
      </c>
      <c r="D189">
        <v>15</v>
      </c>
      <c r="E189">
        <v>4</v>
      </c>
      <c r="F189">
        <v>1</v>
      </c>
      <c r="G189">
        <v>0</v>
      </c>
      <c r="H189" s="44">
        <f t="shared" si="19"/>
        <v>3</v>
      </c>
      <c r="I189" s="47">
        <f t="shared" si="20"/>
        <v>0.2</v>
      </c>
      <c r="J189" s="44">
        <f t="shared" si="21"/>
        <v>270</v>
      </c>
      <c r="K189">
        <v>1</v>
      </c>
      <c r="L189">
        <v>3</v>
      </c>
      <c r="M189">
        <v>1</v>
      </c>
      <c r="N189" s="44">
        <f t="shared" si="25"/>
        <v>268</v>
      </c>
      <c r="O189">
        <v>1</v>
      </c>
      <c r="P189">
        <v>3</v>
      </c>
      <c r="Q189">
        <v>17</v>
      </c>
      <c r="R189" s="44">
        <f t="shared" si="26"/>
        <v>21</v>
      </c>
      <c r="S189">
        <v>4</v>
      </c>
      <c r="T189">
        <v>12</v>
      </c>
      <c r="U189" s="44">
        <f t="shared" si="18"/>
        <v>16</v>
      </c>
      <c r="V189">
        <v>21</v>
      </c>
      <c r="W189">
        <v>8</v>
      </c>
      <c r="X189">
        <v>0</v>
      </c>
      <c r="Y189" s="48">
        <f t="shared" si="22"/>
        <v>0.92413793103448272</v>
      </c>
      <c r="Z189" s="48">
        <f t="shared" si="23"/>
        <v>0.93448275862068964</v>
      </c>
      <c r="AA189" s="48">
        <f t="shared" si="24"/>
        <v>0.1</v>
      </c>
      <c r="AB189">
        <v>1821</v>
      </c>
      <c r="AC189">
        <v>528130</v>
      </c>
      <c r="AD189">
        <v>1.96</v>
      </c>
      <c r="AE189">
        <v>1739</v>
      </c>
      <c r="AF189">
        <v>1.88</v>
      </c>
    </row>
    <row r="190" spans="1:32" x14ac:dyDescent="0.25">
      <c r="A190" s="33">
        <v>45699</v>
      </c>
      <c r="B190">
        <v>290</v>
      </c>
      <c r="C190">
        <v>7</v>
      </c>
      <c r="D190">
        <v>7</v>
      </c>
      <c r="E190">
        <v>5</v>
      </c>
      <c r="F190">
        <v>1</v>
      </c>
      <c r="G190">
        <v>1</v>
      </c>
      <c r="H190" s="44">
        <f t="shared" si="19"/>
        <v>3</v>
      </c>
      <c r="I190" s="47">
        <f t="shared" si="20"/>
        <v>0.42857142857142855</v>
      </c>
      <c r="J190" s="44">
        <f t="shared" si="21"/>
        <v>268</v>
      </c>
      <c r="K190">
        <v>2</v>
      </c>
      <c r="L190">
        <v>2</v>
      </c>
      <c r="M190">
        <v>1</v>
      </c>
      <c r="N190" s="44">
        <f t="shared" si="25"/>
        <v>268</v>
      </c>
      <c r="O190">
        <v>1</v>
      </c>
      <c r="P190">
        <v>4</v>
      </c>
      <c r="Q190">
        <v>17</v>
      </c>
      <c r="R190" s="44">
        <f t="shared" si="26"/>
        <v>22</v>
      </c>
      <c r="S190">
        <v>5</v>
      </c>
      <c r="T190">
        <v>9</v>
      </c>
      <c r="U190" s="44">
        <f t="shared" si="18"/>
        <v>14</v>
      </c>
      <c r="V190">
        <v>19</v>
      </c>
      <c r="W190">
        <v>7</v>
      </c>
      <c r="X190">
        <v>0</v>
      </c>
      <c r="Y190" s="48">
        <f t="shared" si="22"/>
        <v>0.92413793103448272</v>
      </c>
      <c r="Z190" s="48">
        <f t="shared" si="23"/>
        <v>0.93793103448275861</v>
      </c>
      <c r="AA190" s="48">
        <f t="shared" si="24"/>
        <v>8.9655172413793102E-2</v>
      </c>
      <c r="AB190">
        <v>1821</v>
      </c>
      <c r="AC190">
        <v>528130</v>
      </c>
      <c r="AD190">
        <v>1.96</v>
      </c>
      <c r="AE190">
        <v>1741</v>
      </c>
      <c r="AF190">
        <v>1.88</v>
      </c>
    </row>
    <row r="191" spans="1:32" x14ac:dyDescent="0.25">
      <c r="A191" s="33">
        <v>45706</v>
      </c>
      <c r="B191">
        <v>290</v>
      </c>
      <c r="C191">
        <v>13</v>
      </c>
      <c r="D191">
        <v>13</v>
      </c>
      <c r="E191">
        <v>4</v>
      </c>
      <c r="F191">
        <v>1</v>
      </c>
      <c r="G191">
        <v>0</v>
      </c>
      <c r="H191" s="44">
        <f t="shared" si="19"/>
        <v>3</v>
      </c>
      <c r="I191" s="47">
        <f t="shared" si="20"/>
        <v>0.23076923076923078</v>
      </c>
      <c r="J191" s="44">
        <f t="shared" si="21"/>
        <v>268</v>
      </c>
      <c r="K191">
        <v>2</v>
      </c>
      <c r="L191">
        <v>6</v>
      </c>
      <c r="M191">
        <v>0</v>
      </c>
      <c r="N191" s="44">
        <f t="shared" si="25"/>
        <v>264</v>
      </c>
      <c r="O191">
        <v>1</v>
      </c>
      <c r="P191">
        <v>5</v>
      </c>
      <c r="Q191">
        <v>20</v>
      </c>
      <c r="R191" s="44">
        <f t="shared" si="26"/>
        <v>26</v>
      </c>
      <c r="S191">
        <v>4</v>
      </c>
      <c r="T191">
        <v>7</v>
      </c>
      <c r="U191" s="44">
        <f t="shared" si="18"/>
        <v>11</v>
      </c>
      <c r="V191">
        <v>20</v>
      </c>
      <c r="W191">
        <v>7</v>
      </c>
      <c r="X191">
        <v>0</v>
      </c>
      <c r="Y191" s="48">
        <f t="shared" si="22"/>
        <v>0.91034482758620694</v>
      </c>
      <c r="Z191" s="48">
        <f t="shared" si="23"/>
        <v>0.92758620689655169</v>
      </c>
      <c r="AA191" s="48">
        <f t="shared" si="24"/>
        <v>9.3103448275862075E-2</v>
      </c>
      <c r="AB191">
        <v>1821</v>
      </c>
      <c r="AC191">
        <v>528130</v>
      </c>
      <c r="AD191">
        <v>1.96</v>
      </c>
      <c r="AE191">
        <v>1744</v>
      </c>
      <c r="AF191">
        <v>1.88</v>
      </c>
    </row>
    <row r="192" spans="1:32" x14ac:dyDescent="0.25">
      <c r="A192" s="33">
        <v>45713</v>
      </c>
      <c r="B192">
        <v>290</v>
      </c>
      <c r="C192">
        <v>11</v>
      </c>
      <c r="D192">
        <v>11</v>
      </c>
      <c r="E192">
        <v>6</v>
      </c>
      <c r="F192">
        <v>1</v>
      </c>
      <c r="G192">
        <v>0</v>
      </c>
      <c r="H192" s="44">
        <f t="shared" si="19"/>
        <v>5</v>
      </c>
      <c r="I192" s="47">
        <f t="shared" si="20"/>
        <v>0.45454545454545453</v>
      </c>
      <c r="J192" s="44">
        <f t="shared" si="21"/>
        <v>264</v>
      </c>
      <c r="K192">
        <v>5</v>
      </c>
      <c r="L192">
        <v>1</v>
      </c>
      <c r="M192">
        <v>0</v>
      </c>
      <c r="N192" s="44">
        <f t="shared" si="25"/>
        <v>268</v>
      </c>
      <c r="O192">
        <v>1</v>
      </c>
      <c r="P192">
        <v>4</v>
      </c>
      <c r="Q192">
        <v>17</v>
      </c>
      <c r="R192" s="44">
        <f t="shared" si="26"/>
        <v>22</v>
      </c>
      <c r="S192">
        <v>5</v>
      </c>
      <c r="T192">
        <v>8</v>
      </c>
      <c r="U192" s="44">
        <f t="shared" si="18"/>
        <v>13</v>
      </c>
      <c r="V192">
        <v>16</v>
      </c>
      <c r="W192">
        <v>9</v>
      </c>
      <c r="X192">
        <v>0</v>
      </c>
      <c r="Y192" s="48">
        <f t="shared" si="22"/>
        <v>0.92413793103448272</v>
      </c>
      <c r="Z192" s="48">
        <f t="shared" si="23"/>
        <v>0.93793103448275861</v>
      </c>
      <c r="AA192" s="48">
        <f t="shared" si="24"/>
        <v>8.6206896551724144E-2</v>
      </c>
      <c r="AB192">
        <v>1821</v>
      </c>
      <c r="AC192">
        <v>528130</v>
      </c>
      <c r="AD192">
        <v>1.96</v>
      </c>
      <c r="AE192">
        <v>1741</v>
      </c>
      <c r="AF192">
        <v>1.88</v>
      </c>
    </row>
    <row r="193" spans="1:32" x14ac:dyDescent="0.25">
      <c r="A193" s="33">
        <v>45720</v>
      </c>
      <c r="B193">
        <v>290</v>
      </c>
      <c r="C193">
        <v>17</v>
      </c>
      <c r="D193">
        <v>17</v>
      </c>
      <c r="E193">
        <v>7</v>
      </c>
      <c r="F193">
        <v>1</v>
      </c>
      <c r="G193">
        <v>2</v>
      </c>
      <c r="H193" s="44">
        <f t="shared" si="19"/>
        <v>4</v>
      </c>
      <c r="I193" s="47">
        <f t="shared" si="20"/>
        <v>0.23529411764705882</v>
      </c>
      <c r="J193" s="44">
        <f t="shared" si="21"/>
        <v>268</v>
      </c>
      <c r="K193">
        <v>1</v>
      </c>
      <c r="L193">
        <v>4</v>
      </c>
      <c r="M193">
        <v>2</v>
      </c>
      <c r="N193" s="44">
        <f t="shared" si="25"/>
        <v>265</v>
      </c>
      <c r="O193">
        <v>1</v>
      </c>
      <c r="P193">
        <v>8</v>
      </c>
      <c r="Q193">
        <v>16</v>
      </c>
      <c r="R193" s="44">
        <f t="shared" si="26"/>
        <v>25</v>
      </c>
      <c r="S193">
        <v>6</v>
      </c>
      <c r="T193">
        <v>8</v>
      </c>
      <c r="U193" s="44">
        <f t="shared" si="18"/>
        <v>14</v>
      </c>
      <c r="V193">
        <v>15</v>
      </c>
      <c r="W193">
        <v>9</v>
      </c>
      <c r="X193">
        <v>0</v>
      </c>
      <c r="Y193" s="48">
        <f t="shared" si="22"/>
        <v>0.91379310344827591</v>
      </c>
      <c r="Z193" s="48">
        <f t="shared" si="23"/>
        <v>0.94137931034482758</v>
      </c>
      <c r="AA193" s="48">
        <f t="shared" si="24"/>
        <v>8.2758620689655171E-2</v>
      </c>
      <c r="AB193">
        <v>1821</v>
      </c>
      <c r="AC193">
        <v>528130</v>
      </c>
      <c r="AD193">
        <v>1.96</v>
      </c>
      <c r="AE193">
        <v>1739</v>
      </c>
      <c r="AF193">
        <v>1.88</v>
      </c>
    </row>
    <row r="194" spans="1:32" x14ac:dyDescent="0.25">
      <c r="A194" s="33">
        <v>45727</v>
      </c>
      <c r="B194">
        <v>290</v>
      </c>
      <c r="C194">
        <v>12</v>
      </c>
      <c r="D194">
        <v>12</v>
      </c>
      <c r="E194">
        <v>1</v>
      </c>
      <c r="F194">
        <v>0</v>
      </c>
      <c r="G194">
        <v>0</v>
      </c>
      <c r="H194" s="44">
        <f t="shared" si="19"/>
        <v>1</v>
      </c>
      <c r="I194" s="47">
        <f t="shared" si="20"/>
        <v>8.3333333333333329E-2</v>
      </c>
      <c r="J194" s="44">
        <f t="shared" si="21"/>
        <v>265</v>
      </c>
      <c r="K194">
        <v>6</v>
      </c>
      <c r="L194">
        <v>3</v>
      </c>
      <c r="M194">
        <v>0</v>
      </c>
      <c r="N194" s="44">
        <f t="shared" si="25"/>
        <v>268</v>
      </c>
      <c r="O194">
        <v>1</v>
      </c>
      <c r="P194">
        <v>5</v>
      </c>
      <c r="Q194">
        <v>16</v>
      </c>
      <c r="R194" s="44">
        <f t="shared" si="26"/>
        <v>22</v>
      </c>
      <c r="S194">
        <v>4</v>
      </c>
      <c r="T194">
        <v>11</v>
      </c>
      <c r="U194" s="44">
        <f t="shared" si="18"/>
        <v>15</v>
      </c>
      <c r="V194">
        <v>18</v>
      </c>
      <c r="W194">
        <v>9</v>
      </c>
      <c r="X194">
        <v>0</v>
      </c>
      <c r="Y194" s="48">
        <f t="shared" si="22"/>
        <v>0.92413793103448272</v>
      </c>
      <c r="Z194" s="48">
        <f t="shared" si="23"/>
        <v>0.94137931034482758</v>
      </c>
      <c r="AA194" s="48">
        <f t="shared" si="24"/>
        <v>9.3103448275862075E-2</v>
      </c>
      <c r="AB194">
        <v>1821</v>
      </c>
      <c r="AC194">
        <v>528130</v>
      </c>
      <c r="AD194">
        <v>1.96</v>
      </c>
      <c r="AE194">
        <v>1735</v>
      </c>
      <c r="AF194">
        <v>1.87</v>
      </c>
    </row>
    <row r="195" spans="1:32" x14ac:dyDescent="0.25">
      <c r="A195" s="33">
        <v>45734</v>
      </c>
      <c r="B195">
        <v>290</v>
      </c>
      <c r="C195">
        <v>12</v>
      </c>
      <c r="D195">
        <v>12</v>
      </c>
      <c r="E195">
        <v>1</v>
      </c>
      <c r="F195">
        <v>0</v>
      </c>
      <c r="G195">
        <v>0</v>
      </c>
      <c r="H195" s="44">
        <f t="shared" si="19"/>
        <v>1</v>
      </c>
      <c r="I195" s="47">
        <f t="shared" si="20"/>
        <v>8.3333333333333329E-2</v>
      </c>
      <c r="J195" s="44">
        <f t="shared" si="21"/>
        <v>268</v>
      </c>
      <c r="K195">
        <v>3</v>
      </c>
      <c r="L195">
        <v>1</v>
      </c>
      <c r="M195">
        <v>0</v>
      </c>
      <c r="N195" s="44">
        <f t="shared" si="25"/>
        <v>270</v>
      </c>
      <c r="O195">
        <v>1</v>
      </c>
      <c r="P195">
        <v>3</v>
      </c>
      <c r="Q195">
        <v>16</v>
      </c>
      <c r="R195" s="44">
        <f t="shared" si="26"/>
        <v>20</v>
      </c>
      <c r="S195">
        <v>4</v>
      </c>
      <c r="T195">
        <v>15</v>
      </c>
      <c r="U195" s="44">
        <f t="shared" si="18"/>
        <v>19</v>
      </c>
      <c r="V195">
        <v>20</v>
      </c>
      <c r="W195">
        <v>11</v>
      </c>
      <c r="X195">
        <v>0</v>
      </c>
      <c r="Y195" s="48">
        <f t="shared" si="22"/>
        <v>0.93103448275862066</v>
      </c>
      <c r="Z195" s="48">
        <f t="shared" si="23"/>
        <v>0.94137931034482758</v>
      </c>
      <c r="AA195" s="48">
        <f t="shared" si="24"/>
        <v>0.10689655172413794</v>
      </c>
      <c r="AB195">
        <v>1821</v>
      </c>
      <c r="AC195">
        <v>528130</v>
      </c>
      <c r="AD195">
        <v>1.96</v>
      </c>
      <c r="AE195">
        <v>1733</v>
      </c>
      <c r="AF195">
        <v>1.87</v>
      </c>
    </row>
    <row r="196" spans="1:32" x14ac:dyDescent="0.25">
      <c r="A196" s="33">
        <v>45741</v>
      </c>
      <c r="B196">
        <v>290</v>
      </c>
      <c r="C196">
        <v>14</v>
      </c>
      <c r="D196">
        <v>14</v>
      </c>
      <c r="E196">
        <v>9</v>
      </c>
      <c r="F196">
        <v>1</v>
      </c>
      <c r="G196">
        <v>1</v>
      </c>
      <c r="H196" s="44">
        <f t="shared" si="19"/>
        <v>7</v>
      </c>
      <c r="I196" s="47">
        <f t="shared" si="20"/>
        <v>0.5</v>
      </c>
      <c r="J196" s="44">
        <f t="shared" si="21"/>
        <v>270</v>
      </c>
      <c r="K196">
        <v>2</v>
      </c>
      <c r="L196">
        <v>1</v>
      </c>
      <c r="M196">
        <v>1</v>
      </c>
      <c r="N196" s="44">
        <f t="shared" si="25"/>
        <v>271</v>
      </c>
      <c r="O196">
        <v>1</v>
      </c>
      <c r="P196">
        <v>9</v>
      </c>
      <c r="Q196">
        <v>9</v>
      </c>
      <c r="R196" s="44">
        <f t="shared" si="26"/>
        <v>19</v>
      </c>
      <c r="S196">
        <v>9</v>
      </c>
      <c r="T196">
        <v>16</v>
      </c>
      <c r="U196" s="44">
        <f t="shared" ref="U196:U259" si="27">SUM(S196:T196)</f>
        <v>25</v>
      </c>
      <c r="V196">
        <v>13</v>
      </c>
      <c r="W196">
        <v>12</v>
      </c>
      <c r="X196">
        <v>0</v>
      </c>
      <c r="Y196" s="48">
        <f t="shared" si="22"/>
        <v>0.93448275862068964</v>
      </c>
      <c r="Z196" s="48">
        <f t="shared" si="23"/>
        <v>0.96551724137931039</v>
      </c>
      <c r="AA196" s="48">
        <f t="shared" si="24"/>
        <v>8.6206896551724144E-2</v>
      </c>
      <c r="AB196">
        <v>1821</v>
      </c>
      <c r="AC196">
        <v>528130</v>
      </c>
      <c r="AD196">
        <v>1.96</v>
      </c>
      <c r="AE196">
        <v>1736</v>
      </c>
      <c r="AF196">
        <v>1.88</v>
      </c>
    </row>
    <row r="197" spans="1:32" x14ac:dyDescent="0.25">
      <c r="A197" s="33">
        <v>45748</v>
      </c>
      <c r="B197">
        <v>290</v>
      </c>
      <c r="C197">
        <v>12</v>
      </c>
      <c r="D197">
        <v>12</v>
      </c>
      <c r="E197">
        <v>4</v>
      </c>
      <c r="F197">
        <v>3</v>
      </c>
      <c r="G197">
        <v>0</v>
      </c>
      <c r="H197" s="44">
        <f t="shared" si="19"/>
        <v>1</v>
      </c>
      <c r="I197" s="47">
        <f t="shared" si="20"/>
        <v>8.3333333333333329E-2</v>
      </c>
      <c r="J197" s="44">
        <f t="shared" si="21"/>
        <v>271</v>
      </c>
      <c r="K197">
        <v>5</v>
      </c>
      <c r="L197">
        <v>2</v>
      </c>
      <c r="M197">
        <v>1</v>
      </c>
      <c r="N197" s="44">
        <f t="shared" si="25"/>
        <v>274</v>
      </c>
      <c r="O197">
        <v>1</v>
      </c>
      <c r="P197">
        <v>6</v>
      </c>
      <c r="Q197">
        <v>9</v>
      </c>
      <c r="R197" s="44">
        <f t="shared" si="26"/>
        <v>16</v>
      </c>
      <c r="S197">
        <v>4</v>
      </c>
      <c r="T197">
        <v>16</v>
      </c>
      <c r="U197" s="44">
        <f t="shared" si="27"/>
        <v>20</v>
      </c>
      <c r="V197">
        <v>10</v>
      </c>
      <c r="W197">
        <v>15</v>
      </c>
      <c r="X197">
        <v>0</v>
      </c>
      <c r="Y197" s="48">
        <f t="shared" si="22"/>
        <v>0.94482758620689655</v>
      </c>
      <c r="Z197" s="48">
        <f t="shared" si="23"/>
        <v>0.96551724137931039</v>
      </c>
      <c r="AA197" s="48">
        <f t="shared" si="24"/>
        <v>8.6206896551724144E-2</v>
      </c>
      <c r="AB197">
        <v>1821</v>
      </c>
      <c r="AC197">
        <v>528130</v>
      </c>
      <c r="AD197">
        <v>1.96</v>
      </c>
      <c r="AE197">
        <v>1731</v>
      </c>
      <c r="AF197">
        <v>1.87</v>
      </c>
    </row>
    <row r="198" spans="1:32" x14ac:dyDescent="0.25">
      <c r="A198" s="33">
        <v>45755</v>
      </c>
      <c r="B198">
        <v>290</v>
      </c>
      <c r="C198">
        <v>21</v>
      </c>
      <c r="D198">
        <v>21</v>
      </c>
      <c r="E198">
        <v>7</v>
      </c>
      <c r="F198">
        <v>2</v>
      </c>
      <c r="G198">
        <v>1</v>
      </c>
      <c r="H198" s="44">
        <f t="shared" si="19"/>
        <v>4</v>
      </c>
      <c r="I198" s="47">
        <f t="shared" si="20"/>
        <v>0.19047619047619047</v>
      </c>
      <c r="J198" s="44">
        <f t="shared" si="21"/>
        <v>274</v>
      </c>
      <c r="K198">
        <v>3</v>
      </c>
      <c r="L198">
        <v>2</v>
      </c>
      <c r="M198">
        <v>1</v>
      </c>
      <c r="N198" s="44">
        <f t="shared" si="25"/>
        <v>275</v>
      </c>
      <c r="O198">
        <v>1</v>
      </c>
      <c r="P198">
        <v>4</v>
      </c>
      <c r="Q198">
        <v>10</v>
      </c>
      <c r="R198" s="44">
        <f t="shared" si="26"/>
        <v>15</v>
      </c>
      <c r="S198">
        <v>7</v>
      </c>
      <c r="T198">
        <v>16</v>
      </c>
      <c r="U198" s="44">
        <f t="shared" si="27"/>
        <v>23</v>
      </c>
      <c r="V198">
        <v>12</v>
      </c>
      <c r="W198">
        <v>14</v>
      </c>
      <c r="X198">
        <v>0</v>
      </c>
      <c r="Y198" s="48">
        <f t="shared" si="22"/>
        <v>0.94827586206896552</v>
      </c>
      <c r="Z198" s="48">
        <f t="shared" si="23"/>
        <v>0.96206896551724141</v>
      </c>
      <c r="AA198" s="48">
        <f t="shared" si="24"/>
        <v>8.9655172413793102E-2</v>
      </c>
      <c r="AB198">
        <v>1821</v>
      </c>
      <c r="AC198">
        <v>528130</v>
      </c>
      <c r="AD198">
        <v>1.96</v>
      </c>
      <c r="AE198">
        <v>1726</v>
      </c>
      <c r="AF198">
        <v>1.87</v>
      </c>
    </row>
    <row r="199" spans="1:32" x14ac:dyDescent="0.25">
      <c r="A199" s="33">
        <v>45762</v>
      </c>
      <c r="B199">
        <v>290</v>
      </c>
      <c r="C199">
        <v>13</v>
      </c>
      <c r="D199">
        <v>13</v>
      </c>
      <c r="E199">
        <v>4</v>
      </c>
      <c r="F199">
        <v>0</v>
      </c>
      <c r="G199">
        <v>1</v>
      </c>
      <c r="H199" s="44">
        <f t="shared" si="19"/>
        <v>3</v>
      </c>
      <c r="I199" s="47">
        <f t="shared" si="20"/>
        <v>0.23076923076923078</v>
      </c>
      <c r="J199" s="44">
        <f t="shared" si="21"/>
        <v>275</v>
      </c>
      <c r="K199">
        <v>4</v>
      </c>
      <c r="L199">
        <v>5</v>
      </c>
      <c r="M199">
        <v>0</v>
      </c>
      <c r="N199" s="44">
        <f t="shared" si="25"/>
        <v>274</v>
      </c>
      <c r="O199">
        <v>1</v>
      </c>
      <c r="P199">
        <v>3</v>
      </c>
      <c r="Q199">
        <v>12</v>
      </c>
      <c r="R199" s="44">
        <f t="shared" si="26"/>
        <v>16</v>
      </c>
      <c r="S199">
        <v>7</v>
      </c>
      <c r="T199">
        <v>16</v>
      </c>
      <c r="U199" s="44">
        <f t="shared" si="27"/>
        <v>23</v>
      </c>
      <c r="V199">
        <v>12</v>
      </c>
      <c r="W199">
        <v>14</v>
      </c>
      <c r="X199">
        <v>2</v>
      </c>
      <c r="Y199" s="48">
        <f t="shared" si="22"/>
        <v>0.94482758620689655</v>
      </c>
      <c r="Z199" s="48">
        <f t="shared" si="23"/>
        <v>0.95517241379310347</v>
      </c>
      <c r="AA199" s="48">
        <f t="shared" si="24"/>
        <v>9.6551724137931033E-2</v>
      </c>
      <c r="AB199">
        <v>1821</v>
      </c>
      <c r="AC199">
        <v>528130</v>
      </c>
      <c r="AD199">
        <v>1.96</v>
      </c>
      <c r="AE199">
        <v>1720</v>
      </c>
      <c r="AF199">
        <v>1.87</v>
      </c>
    </row>
    <row r="200" spans="1:32" x14ac:dyDescent="0.25">
      <c r="A200" s="33">
        <v>45769</v>
      </c>
      <c r="B200">
        <v>290</v>
      </c>
      <c r="C200">
        <v>18</v>
      </c>
      <c r="D200">
        <v>18</v>
      </c>
      <c r="E200">
        <v>10</v>
      </c>
      <c r="F200">
        <v>1</v>
      </c>
      <c r="G200">
        <v>1</v>
      </c>
      <c r="H200" s="44">
        <f t="shared" si="19"/>
        <v>8</v>
      </c>
      <c r="I200" s="47">
        <f t="shared" si="20"/>
        <v>0.44444444444444442</v>
      </c>
      <c r="J200" s="44">
        <f t="shared" si="21"/>
        <v>274</v>
      </c>
      <c r="K200">
        <v>0</v>
      </c>
      <c r="L200">
        <v>2</v>
      </c>
      <c r="M200">
        <v>1</v>
      </c>
      <c r="N200" s="44">
        <f t="shared" si="25"/>
        <v>272</v>
      </c>
      <c r="O200">
        <v>1</v>
      </c>
      <c r="P200">
        <v>10</v>
      </c>
      <c r="Q200">
        <v>7</v>
      </c>
      <c r="R200" s="44">
        <f t="shared" si="26"/>
        <v>18</v>
      </c>
      <c r="S200">
        <v>10</v>
      </c>
      <c r="T200">
        <v>17</v>
      </c>
      <c r="U200" s="44">
        <f t="shared" si="27"/>
        <v>27</v>
      </c>
      <c r="V200">
        <v>12</v>
      </c>
      <c r="W200">
        <v>10</v>
      </c>
      <c r="X200">
        <v>1</v>
      </c>
      <c r="Y200" s="48">
        <f t="shared" si="22"/>
        <v>0.93793103448275861</v>
      </c>
      <c r="Z200" s="48">
        <f t="shared" si="23"/>
        <v>0.97241379310344822</v>
      </c>
      <c r="AA200" s="48">
        <f t="shared" si="24"/>
        <v>8.2758620689655171E-2</v>
      </c>
      <c r="AB200">
        <v>1821</v>
      </c>
      <c r="AC200">
        <v>528130</v>
      </c>
      <c r="AD200">
        <v>1.96</v>
      </c>
      <c r="AE200">
        <v>1717</v>
      </c>
      <c r="AF200">
        <v>1.87</v>
      </c>
    </row>
    <row r="201" spans="1:32" x14ac:dyDescent="0.25">
      <c r="A201" s="33">
        <v>45776</v>
      </c>
      <c r="B201">
        <v>290</v>
      </c>
      <c r="C201">
        <v>12</v>
      </c>
      <c r="D201">
        <v>12</v>
      </c>
      <c r="E201">
        <v>2</v>
      </c>
      <c r="F201">
        <v>0</v>
      </c>
      <c r="G201">
        <v>1</v>
      </c>
      <c r="H201" s="44">
        <f t="shared" si="19"/>
        <v>1</v>
      </c>
      <c r="I201" s="47">
        <f t="shared" si="20"/>
        <v>8.3333333333333329E-2</v>
      </c>
      <c r="J201" s="44">
        <f t="shared" si="21"/>
        <v>272</v>
      </c>
      <c r="K201">
        <v>5</v>
      </c>
      <c r="L201">
        <v>2</v>
      </c>
      <c r="M201">
        <v>0</v>
      </c>
      <c r="N201" s="44">
        <f t="shared" si="25"/>
        <v>275</v>
      </c>
      <c r="O201">
        <v>1</v>
      </c>
      <c r="P201">
        <v>7</v>
      </c>
      <c r="Q201">
        <v>7</v>
      </c>
      <c r="R201" s="44">
        <f t="shared" si="26"/>
        <v>15</v>
      </c>
      <c r="S201">
        <v>9</v>
      </c>
      <c r="T201">
        <v>19</v>
      </c>
      <c r="U201" s="44">
        <f t="shared" si="27"/>
        <v>28</v>
      </c>
      <c r="V201">
        <v>14</v>
      </c>
      <c r="W201">
        <v>12</v>
      </c>
      <c r="X201">
        <v>1</v>
      </c>
      <c r="Y201" s="48">
        <f t="shared" si="22"/>
        <v>0.94827586206896552</v>
      </c>
      <c r="Z201" s="48">
        <f t="shared" si="23"/>
        <v>0.97241379310344822</v>
      </c>
      <c r="AA201" s="48">
        <f t="shared" si="24"/>
        <v>8.9655172413793102E-2</v>
      </c>
      <c r="AB201">
        <v>1821</v>
      </c>
      <c r="AC201">
        <v>528130</v>
      </c>
      <c r="AD201">
        <v>1.96</v>
      </c>
      <c r="AE201">
        <v>1720</v>
      </c>
      <c r="AF201">
        <v>1.87</v>
      </c>
    </row>
    <row r="202" spans="1:32" x14ac:dyDescent="0.25">
      <c r="A202" s="33">
        <v>45782</v>
      </c>
      <c r="B202">
        <v>290</v>
      </c>
      <c r="C202">
        <v>12</v>
      </c>
      <c r="D202">
        <v>12</v>
      </c>
      <c r="E202">
        <v>10</v>
      </c>
      <c r="F202">
        <v>2</v>
      </c>
      <c r="G202">
        <v>3</v>
      </c>
      <c r="H202" s="44">
        <f t="shared" si="19"/>
        <v>5</v>
      </c>
      <c r="I202" s="47">
        <f t="shared" si="20"/>
        <v>0.41666666666666669</v>
      </c>
      <c r="J202" s="44">
        <f t="shared" si="21"/>
        <v>275</v>
      </c>
      <c r="K202">
        <v>4</v>
      </c>
      <c r="L202">
        <v>3</v>
      </c>
      <c r="M202">
        <v>0</v>
      </c>
      <c r="N202" s="44">
        <f t="shared" si="25"/>
        <v>276</v>
      </c>
      <c r="O202">
        <v>1</v>
      </c>
      <c r="P202">
        <v>8</v>
      </c>
      <c r="Q202">
        <v>6</v>
      </c>
      <c r="R202" s="44">
        <f t="shared" si="26"/>
        <v>15</v>
      </c>
      <c r="S202">
        <v>13</v>
      </c>
      <c r="T202">
        <v>14</v>
      </c>
      <c r="U202" s="44">
        <f t="shared" si="27"/>
        <v>27</v>
      </c>
      <c r="V202">
        <v>13</v>
      </c>
      <c r="W202">
        <v>7</v>
      </c>
      <c r="X202">
        <v>1</v>
      </c>
      <c r="Y202" s="48">
        <f t="shared" si="22"/>
        <v>0.9517241379310345</v>
      </c>
      <c r="Z202" s="48">
        <f t="shared" si="23"/>
        <v>0.97931034482758617</v>
      </c>
      <c r="AA202" s="48">
        <f t="shared" si="24"/>
        <v>6.8965517241379309E-2</v>
      </c>
      <c r="AB202">
        <v>1821</v>
      </c>
      <c r="AC202">
        <v>528130</v>
      </c>
      <c r="AD202">
        <v>1.96</v>
      </c>
      <c r="AE202">
        <v>1717</v>
      </c>
      <c r="AF202">
        <v>1.87</v>
      </c>
    </row>
    <row r="203" spans="1:32" x14ac:dyDescent="0.25">
      <c r="A203" s="33">
        <v>45790</v>
      </c>
      <c r="B203">
        <v>290</v>
      </c>
      <c r="C203">
        <v>8</v>
      </c>
      <c r="D203">
        <v>8</v>
      </c>
      <c r="E203">
        <v>5</v>
      </c>
      <c r="F203">
        <v>1</v>
      </c>
      <c r="G203">
        <v>1</v>
      </c>
      <c r="H203" s="44">
        <f t="shared" si="19"/>
        <v>3</v>
      </c>
      <c r="I203" s="47">
        <f t="shared" si="20"/>
        <v>0.375</v>
      </c>
      <c r="J203" s="44">
        <f t="shared" si="21"/>
        <v>276</v>
      </c>
      <c r="K203">
        <v>2</v>
      </c>
      <c r="L203">
        <v>4</v>
      </c>
      <c r="M203">
        <v>1</v>
      </c>
      <c r="N203" s="44">
        <f t="shared" si="25"/>
        <v>274</v>
      </c>
      <c r="O203">
        <v>1</v>
      </c>
      <c r="P203">
        <v>10</v>
      </c>
      <c r="Q203">
        <v>6</v>
      </c>
      <c r="R203" s="44">
        <f t="shared" si="26"/>
        <v>17</v>
      </c>
      <c r="S203">
        <v>12</v>
      </c>
      <c r="T203">
        <v>13</v>
      </c>
      <c r="U203" s="44">
        <f t="shared" si="27"/>
        <v>25</v>
      </c>
      <c r="V203">
        <v>11</v>
      </c>
      <c r="W203">
        <v>5</v>
      </c>
      <c r="X203">
        <v>2</v>
      </c>
      <c r="Y203" s="48">
        <f t="shared" si="22"/>
        <v>0.94482758620689655</v>
      </c>
      <c r="Z203" s="48">
        <f t="shared" si="23"/>
        <v>0.97931034482758617</v>
      </c>
      <c r="AA203" s="48">
        <f t="shared" si="24"/>
        <v>6.5517241379310351E-2</v>
      </c>
      <c r="AB203">
        <v>1821</v>
      </c>
      <c r="AC203">
        <v>528130</v>
      </c>
      <c r="AD203">
        <v>1.96</v>
      </c>
      <c r="AE203">
        <v>1717</v>
      </c>
      <c r="AF203">
        <v>1.86</v>
      </c>
    </row>
    <row r="204" spans="1:32" x14ac:dyDescent="0.25">
      <c r="A204" s="33">
        <v>45797</v>
      </c>
      <c r="B204">
        <v>290</v>
      </c>
      <c r="C204">
        <v>8</v>
      </c>
      <c r="D204">
        <v>8</v>
      </c>
      <c r="E204">
        <v>1</v>
      </c>
      <c r="F204">
        <v>1</v>
      </c>
      <c r="G204">
        <v>0</v>
      </c>
      <c r="H204" s="44">
        <f t="shared" si="19"/>
        <v>0</v>
      </c>
      <c r="I204" s="47">
        <f t="shared" si="20"/>
        <v>0</v>
      </c>
      <c r="J204" s="44">
        <f t="shared" si="21"/>
        <v>274</v>
      </c>
      <c r="K204">
        <v>5</v>
      </c>
      <c r="L204">
        <v>5</v>
      </c>
      <c r="M204">
        <v>0</v>
      </c>
      <c r="N204" s="44">
        <f t="shared" si="25"/>
        <v>274</v>
      </c>
      <c r="O204">
        <v>1</v>
      </c>
      <c r="P204">
        <v>6</v>
      </c>
      <c r="Q204">
        <v>10</v>
      </c>
      <c r="R204" s="44">
        <f t="shared" si="26"/>
        <v>17</v>
      </c>
      <c r="S204">
        <v>12</v>
      </c>
      <c r="T204">
        <v>10</v>
      </c>
      <c r="U204" s="44">
        <f t="shared" si="27"/>
        <v>22</v>
      </c>
      <c r="V204">
        <v>13</v>
      </c>
      <c r="W204">
        <v>5</v>
      </c>
      <c r="X204">
        <v>2</v>
      </c>
      <c r="Y204" s="48">
        <f t="shared" si="22"/>
        <v>0.94482758620689655</v>
      </c>
      <c r="Z204" s="48">
        <f t="shared" si="23"/>
        <v>0.96551724137931039</v>
      </c>
      <c r="AA204" s="48">
        <f t="shared" si="24"/>
        <v>6.8965517241379309E-2</v>
      </c>
      <c r="AB204">
        <v>1821</v>
      </c>
      <c r="AC204">
        <v>528130</v>
      </c>
      <c r="AD204">
        <v>1.96</v>
      </c>
      <c r="AE204">
        <v>1718</v>
      </c>
      <c r="AF204">
        <v>1.86</v>
      </c>
    </row>
    <row r="205" spans="1:32" x14ac:dyDescent="0.25">
      <c r="A205" s="33">
        <v>45804</v>
      </c>
      <c r="B205">
        <v>290</v>
      </c>
      <c r="C205">
        <v>8</v>
      </c>
      <c r="D205">
        <v>8</v>
      </c>
      <c r="E205">
        <v>3</v>
      </c>
      <c r="F205">
        <v>0</v>
      </c>
      <c r="G205">
        <v>1</v>
      </c>
      <c r="H205" s="44">
        <f t="shared" si="19"/>
        <v>2</v>
      </c>
      <c r="I205" s="47">
        <f t="shared" si="20"/>
        <v>0.25</v>
      </c>
      <c r="J205" s="44">
        <f t="shared" si="21"/>
        <v>274</v>
      </c>
      <c r="K205">
        <v>2</v>
      </c>
      <c r="L205">
        <v>4</v>
      </c>
      <c r="M205">
        <v>0</v>
      </c>
      <c r="N205" s="44">
        <f t="shared" si="25"/>
        <v>272</v>
      </c>
      <c r="O205">
        <v>1</v>
      </c>
      <c r="P205">
        <v>7</v>
      </c>
      <c r="Q205">
        <v>11</v>
      </c>
      <c r="R205" s="44">
        <f t="shared" si="26"/>
        <v>19</v>
      </c>
      <c r="S205">
        <v>11</v>
      </c>
      <c r="T205">
        <v>7</v>
      </c>
      <c r="U205" s="44">
        <f t="shared" si="27"/>
        <v>18</v>
      </c>
      <c r="V205">
        <v>10</v>
      </c>
      <c r="W205">
        <v>6</v>
      </c>
      <c r="X205">
        <v>2</v>
      </c>
      <c r="Y205" s="48">
        <f t="shared" si="22"/>
        <v>0.93793103448275861</v>
      </c>
      <c r="Z205" s="48">
        <f t="shared" si="23"/>
        <v>0.96206896551724141</v>
      </c>
      <c r="AA205" s="48">
        <f t="shared" si="24"/>
        <v>6.2068965517241378E-2</v>
      </c>
      <c r="AB205">
        <v>1821</v>
      </c>
      <c r="AC205">
        <v>528130</v>
      </c>
      <c r="AD205">
        <v>1.96</v>
      </c>
      <c r="AE205">
        <v>1716</v>
      </c>
      <c r="AF205">
        <v>1.86</v>
      </c>
    </row>
    <row r="206" spans="1:32" x14ac:dyDescent="0.25">
      <c r="A206" s="33">
        <v>45811</v>
      </c>
      <c r="B206">
        <v>290</v>
      </c>
      <c r="C206">
        <v>6</v>
      </c>
      <c r="D206">
        <v>6</v>
      </c>
      <c r="E206">
        <v>3</v>
      </c>
      <c r="F206">
        <v>0</v>
      </c>
      <c r="G206">
        <v>0</v>
      </c>
      <c r="H206" s="44">
        <f t="shared" si="19"/>
        <v>3</v>
      </c>
      <c r="I206" s="47">
        <f t="shared" si="20"/>
        <v>0.5</v>
      </c>
      <c r="J206" s="44">
        <f t="shared" si="21"/>
        <v>272</v>
      </c>
      <c r="K206">
        <v>3</v>
      </c>
      <c r="L206">
        <v>5</v>
      </c>
      <c r="M206">
        <v>0</v>
      </c>
      <c r="N206" s="44">
        <f t="shared" si="25"/>
        <v>270</v>
      </c>
      <c r="O206">
        <v>1</v>
      </c>
      <c r="P206">
        <v>9</v>
      </c>
      <c r="Q206">
        <v>11</v>
      </c>
      <c r="R206" s="44">
        <f t="shared" si="26"/>
        <v>21</v>
      </c>
      <c r="S206">
        <v>9</v>
      </c>
      <c r="T206">
        <v>8</v>
      </c>
      <c r="U206" s="44">
        <f t="shared" si="27"/>
        <v>17</v>
      </c>
      <c r="V206">
        <v>12</v>
      </c>
      <c r="W206">
        <v>5</v>
      </c>
      <c r="X206">
        <v>2</v>
      </c>
      <c r="Y206" s="48">
        <f t="shared" si="22"/>
        <v>0.93103448275862066</v>
      </c>
      <c r="Z206" s="48">
        <f t="shared" si="23"/>
        <v>0.96206896551724141</v>
      </c>
      <c r="AA206" s="48">
        <f t="shared" si="24"/>
        <v>6.5517241379310351E-2</v>
      </c>
      <c r="AB206">
        <v>1821</v>
      </c>
      <c r="AC206">
        <v>528130</v>
      </c>
      <c r="AD206">
        <v>1.96</v>
      </c>
      <c r="AE206">
        <v>1710</v>
      </c>
      <c r="AF206">
        <v>1.86</v>
      </c>
    </row>
    <row r="207" spans="1:32" x14ac:dyDescent="0.25">
      <c r="A207" s="33">
        <v>45818</v>
      </c>
      <c r="B207">
        <v>290</v>
      </c>
      <c r="C207">
        <v>3</v>
      </c>
      <c r="D207">
        <v>3</v>
      </c>
      <c r="E207">
        <v>2</v>
      </c>
      <c r="F207">
        <v>0</v>
      </c>
      <c r="G207">
        <v>0</v>
      </c>
      <c r="H207" s="44">
        <f t="shared" si="19"/>
        <v>2</v>
      </c>
      <c r="I207" s="47">
        <f t="shared" si="20"/>
        <v>0.66666666666666663</v>
      </c>
      <c r="J207" s="44">
        <f t="shared" si="21"/>
        <v>270</v>
      </c>
      <c r="K207">
        <v>5</v>
      </c>
      <c r="L207">
        <v>3</v>
      </c>
      <c r="M207">
        <v>0</v>
      </c>
      <c r="N207" s="44">
        <f t="shared" si="25"/>
        <v>272</v>
      </c>
      <c r="O207">
        <v>1</v>
      </c>
      <c r="P207">
        <v>9</v>
      </c>
      <c r="Q207">
        <v>9</v>
      </c>
      <c r="R207" s="44">
        <f t="shared" si="26"/>
        <v>19</v>
      </c>
      <c r="S207">
        <v>6</v>
      </c>
      <c r="T207">
        <v>10</v>
      </c>
      <c r="U207" s="44">
        <f t="shared" si="27"/>
        <v>16</v>
      </c>
      <c r="V207">
        <v>13</v>
      </c>
      <c r="W207">
        <v>5</v>
      </c>
      <c r="X207">
        <v>0</v>
      </c>
      <c r="Y207" s="48">
        <f t="shared" si="22"/>
        <v>0.93793103448275861</v>
      </c>
      <c r="Z207" s="48">
        <f t="shared" si="23"/>
        <v>0.96896551724137936</v>
      </c>
      <c r="AA207" s="48">
        <f t="shared" si="24"/>
        <v>6.5517241379310351E-2</v>
      </c>
      <c r="AB207">
        <v>1821</v>
      </c>
      <c r="AC207">
        <v>528130</v>
      </c>
      <c r="AD207">
        <v>1.96</v>
      </c>
      <c r="AE207">
        <v>1710</v>
      </c>
      <c r="AF207">
        <v>1.86</v>
      </c>
    </row>
    <row r="208" spans="1:32" x14ac:dyDescent="0.25">
      <c r="A208" s="33">
        <v>45825</v>
      </c>
      <c r="B208">
        <v>290</v>
      </c>
      <c r="C208">
        <v>16</v>
      </c>
      <c r="D208">
        <v>16</v>
      </c>
      <c r="E208">
        <v>3</v>
      </c>
      <c r="F208">
        <v>1</v>
      </c>
      <c r="G208">
        <v>0</v>
      </c>
      <c r="H208" s="44">
        <f t="shared" si="19"/>
        <v>2</v>
      </c>
      <c r="I208" s="47">
        <f t="shared" si="20"/>
        <v>0.125</v>
      </c>
      <c r="J208" s="44">
        <f t="shared" si="21"/>
        <v>272</v>
      </c>
      <c r="K208">
        <v>3</v>
      </c>
      <c r="L208">
        <v>1</v>
      </c>
      <c r="M208">
        <v>0</v>
      </c>
      <c r="N208" s="44">
        <f t="shared" si="25"/>
        <v>274</v>
      </c>
      <c r="O208">
        <v>1</v>
      </c>
      <c r="P208">
        <v>8</v>
      </c>
      <c r="Q208">
        <v>9</v>
      </c>
      <c r="R208" s="44">
        <f t="shared" si="26"/>
        <v>18</v>
      </c>
      <c r="S208">
        <v>6</v>
      </c>
      <c r="T208">
        <v>12</v>
      </c>
      <c r="U208" s="44">
        <f t="shared" si="27"/>
        <v>18</v>
      </c>
      <c r="V208">
        <v>13</v>
      </c>
      <c r="W208">
        <v>5</v>
      </c>
      <c r="X208">
        <v>3</v>
      </c>
      <c r="Y208" s="48">
        <f t="shared" si="22"/>
        <v>0.94482758620689655</v>
      </c>
      <c r="Z208" s="48">
        <f t="shared" si="23"/>
        <v>0.97241379310344822</v>
      </c>
      <c r="AA208" s="48">
        <f t="shared" si="24"/>
        <v>7.2413793103448282E-2</v>
      </c>
      <c r="AB208">
        <v>1821</v>
      </c>
      <c r="AC208">
        <v>528130</v>
      </c>
      <c r="AD208">
        <v>1.96</v>
      </c>
      <c r="AE208">
        <v>1710</v>
      </c>
      <c r="AF208">
        <v>1.86</v>
      </c>
    </row>
    <row r="209" spans="1:32" x14ac:dyDescent="0.25">
      <c r="A209" s="33">
        <v>45832</v>
      </c>
      <c r="B209">
        <v>290</v>
      </c>
      <c r="C209">
        <v>17</v>
      </c>
      <c r="D209">
        <v>17</v>
      </c>
      <c r="E209">
        <v>2</v>
      </c>
      <c r="F209">
        <v>0</v>
      </c>
      <c r="G209">
        <v>0</v>
      </c>
      <c r="H209" s="44">
        <f t="shared" si="19"/>
        <v>2</v>
      </c>
      <c r="I209" s="47">
        <f t="shared" si="20"/>
        <v>0.11764705882352941</v>
      </c>
      <c r="J209" s="44">
        <f t="shared" si="21"/>
        <v>274</v>
      </c>
      <c r="K209">
        <v>6</v>
      </c>
      <c r="L209">
        <v>2</v>
      </c>
      <c r="M209">
        <v>0</v>
      </c>
      <c r="N209" s="44">
        <f t="shared" si="25"/>
        <v>278</v>
      </c>
      <c r="O209">
        <v>1</v>
      </c>
      <c r="P209">
        <v>5</v>
      </c>
      <c r="Q209">
        <v>8</v>
      </c>
      <c r="R209" s="44">
        <v>14</v>
      </c>
      <c r="S209">
        <v>5</v>
      </c>
      <c r="T209">
        <v>15</v>
      </c>
      <c r="U209" s="44">
        <f t="shared" si="27"/>
        <v>20</v>
      </c>
      <c r="V209">
        <v>16</v>
      </c>
      <c r="W209">
        <v>5</v>
      </c>
      <c r="X209">
        <v>2</v>
      </c>
      <c r="Y209" s="48">
        <f t="shared" si="22"/>
        <v>0.95862068965517244</v>
      </c>
      <c r="Z209" s="48">
        <f t="shared" si="23"/>
        <v>0.97586206896551719</v>
      </c>
      <c r="AA209" s="48">
        <f t="shared" si="24"/>
        <v>7.9310344827586213E-2</v>
      </c>
      <c r="AB209">
        <v>1821</v>
      </c>
      <c r="AC209">
        <v>528130</v>
      </c>
      <c r="AD209">
        <v>1.96</v>
      </c>
      <c r="AE209">
        <v>1714</v>
      </c>
      <c r="AF209">
        <v>1.86</v>
      </c>
    </row>
    <row r="210" spans="1:32" x14ac:dyDescent="0.25">
      <c r="A210" s="33">
        <v>45839</v>
      </c>
      <c r="B210">
        <v>290</v>
      </c>
      <c r="C210">
        <v>12</v>
      </c>
      <c r="D210">
        <v>12</v>
      </c>
      <c r="E210">
        <v>3</v>
      </c>
      <c r="F210">
        <v>0</v>
      </c>
      <c r="G210">
        <v>2</v>
      </c>
      <c r="H210" s="44">
        <f t="shared" si="19"/>
        <v>1</v>
      </c>
      <c r="I210" s="47">
        <f t="shared" si="20"/>
        <v>8.3333333333333329E-2</v>
      </c>
      <c r="J210" s="44">
        <f t="shared" si="21"/>
        <v>278</v>
      </c>
      <c r="K210">
        <v>3</v>
      </c>
      <c r="L210">
        <v>0</v>
      </c>
      <c r="M210">
        <v>0</v>
      </c>
      <c r="N210" s="44">
        <f t="shared" si="25"/>
        <v>281</v>
      </c>
      <c r="O210">
        <v>1</v>
      </c>
      <c r="P210">
        <v>2</v>
      </c>
      <c r="Q210">
        <v>8</v>
      </c>
      <c r="R210" s="44">
        <f t="shared" si="26"/>
        <v>11</v>
      </c>
      <c r="S210">
        <v>6</v>
      </c>
      <c r="T210">
        <v>14</v>
      </c>
      <c r="U210" s="44">
        <f t="shared" si="27"/>
        <v>20</v>
      </c>
      <c r="V210">
        <v>15</v>
      </c>
      <c r="W210">
        <v>3</v>
      </c>
      <c r="X210">
        <v>2</v>
      </c>
      <c r="Y210" s="48">
        <f t="shared" si="22"/>
        <v>0.96896551724137936</v>
      </c>
      <c r="Z210" s="48">
        <f t="shared" si="23"/>
        <v>0.97586206896551719</v>
      </c>
      <c r="AA210" s="48">
        <f t="shared" si="24"/>
        <v>7.586206896551724E-2</v>
      </c>
      <c r="AB210">
        <v>1821</v>
      </c>
      <c r="AC210">
        <v>528130</v>
      </c>
      <c r="AD210">
        <v>1.96</v>
      </c>
      <c r="AE210">
        <v>1723</v>
      </c>
      <c r="AF210">
        <v>1.86</v>
      </c>
    </row>
    <row r="211" spans="1:32" x14ac:dyDescent="0.25">
      <c r="A211" s="33">
        <v>45846</v>
      </c>
      <c r="B211">
        <v>290</v>
      </c>
      <c r="C211">
        <v>7</v>
      </c>
      <c r="D211">
        <v>7</v>
      </c>
      <c r="E211">
        <v>3</v>
      </c>
      <c r="F211">
        <v>0</v>
      </c>
      <c r="G211">
        <v>0</v>
      </c>
      <c r="H211" s="44">
        <f t="shared" si="19"/>
        <v>3</v>
      </c>
      <c r="I211" s="47">
        <f t="shared" si="20"/>
        <v>0.42857142857142855</v>
      </c>
      <c r="J211" s="44">
        <f t="shared" si="21"/>
        <v>281</v>
      </c>
      <c r="K211">
        <v>2</v>
      </c>
      <c r="L211">
        <v>2</v>
      </c>
      <c r="M211">
        <v>2</v>
      </c>
      <c r="N211" s="44">
        <f t="shared" si="25"/>
        <v>281</v>
      </c>
      <c r="O211">
        <v>1</v>
      </c>
      <c r="P211">
        <v>4</v>
      </c>
      <c r="Q211">
        <v>6</v>
      </c>
      <c r="R211" s="44">
        <f t="shared" si="26"/>
        <v>11</v>
      </c>
      <c r="S211">
        <v>7</v>
      </c>
      <c r="T211">
        <v>14</v>
      </c>
      <c r="U211" s="44">
        <f t="shared" si="27"/>
        <v>21</v>
      </c>
      <c r="V211">
        <v>13</v>
      </c>
      <c r="W211">
        <v>5</v>
      </c>
      <c r="X211">
        <v>2</v>
      </c>
      <c r="Y211" s="48">
        <f t="shared" si="22"/>
        <v>0.96896551724137936</v>
      </c>
      <c r="Z211" s="48">
        <f t="shared" si="23"/>
        <v>0.98275862068965514</v>
      </c>
      <c r="AA211" s="48">
        <f t="shared" si="24"/>
        <v>6.8965517241379309E-2</v>
      </c>
      <c r="AB211">
        <v>1821</v>
      </c>
      <c r="AC211">
        <v>528130</v>
      </c>
      <c r="AD211">
        <v>1.96</v>
      </c>
      <c r="AE211">
        <v>1723</v>
      </c>
      <c r="AF211">
        <v>1.86</v>
      </c>
    </row>
    <row r="212" spans="1:32" x14ac:dyDescent="0.25">
      <c r="A212" s="33">
        <v>45853</v>
      </c>
      <c r="B212">
        <v>290</v>
      </c>
      <c r="C212">
        <v>15</v>
      </c>
      <c r="D212">
        <v>15</v>
      </c>
      <c r="E212">
        <v>2</v>
      </c>
      <c r="F212">
        <v>2</v>
      </c>
      <c r="G212">
        <v>1</v>
      </c>
      <c r="H212" s="44">
        <f t="shared" si="19"/>
        <v>-1</v>
      </c>
      <c r="I212" s="47">
        <f t="shared" si="20"/>
        <v>-6.6666666666666666E-2</v>
      </c>
      <c r="J212" s="44">
        <f t="shared" si="21"/>
        <v>281</v>
      </c>
      <c r="K212">
        <v>1</v>
      </c>
      <c r="L212">
        <v>2</v>
      </c>
      <c r="M212">
        <v>0</v>
      </c>
      <c r="N212" s="44">
        <f t="shared" si="25"/>
        <v>280</v>
      </c>
      <c r="O212">
        <v>1</v>
      </c>
      <c r="P212">
        <v>3</v>
      </c>
      <c r="Q212">
        <v>8</v>
      </c>
      <c r="R212" s="44">
        <f t="shared" si="26"/>
        <v>12</v>
      </c>
      <c r="S212">
        <v>6</v>
      </c>
      <c r="T212">
        <v>13</v>
      </c>
      <c r="U212" s="44">
        <f t="shared" si="27"/>
        <v>19</v>
      </c>
      <c r="V212">
        <v>13</v>
      </c>
      <c r="W212">
        <v>6</v>
      </c>
      <c r="X212">
        <v>2</v>
      </c>
      <c r="Y212" s="48">
        <f t="shared" si="22"/>
        <v>0.96551724137931039</v>
      </c>
      <c r="Z212" s="48">
        <f t="shared" si="23"/>
        <v>0.97586206896551719</v>
      </c>
      <c r="AA212" s="48">
        <f t="shared" si="24"/>
        <v>7.2413793103448282E-2</v>
      </c>
      <c r="AB212">
        <v>1821</v>
      </c>
      <c r="AC212">
        <v>528130</v>
      </c>
      <c r="AD212">
        <v>1.96</v>
      </c>
      <c r="AE212">
        <v>1720</v>
      </c>
      <c r="AF212">
        <v>1.86</v>
      </c>
    </row>
    <row r="213" spans="1:32" x14ac:dyDescent="0.25">
      <c r="A213" s="33">
        <v>45860</v>
      </c>
      <c r="B213">
        <v>290</v>
      </c>
      <c r="C213">
        <v>16</v>
      </c>
      <c r="D213">
        <v>16</v>
      </c>
      <c r="E213">
        <v>5</v>
      </c>
      <c r="F213">
        <v>0</v>
      </c>
      <c r="G213">
        <v>0</v>
      </c>
      <c r="H213" s="44">
        <f t="shared" si="19"/>
        <v>5</v>
      </c>
      <c r="I213" s="47">
        <f t="shared" si="20"/>
        <v>0.3125</v>
      </c>
      <c r="J213" s="44">
        <f t="shared" si="21"/>
        <v>280</v>
      </c>
      <c r="K213">
        <v>3</v>
      </c>
      <c r="L213">
        <v>2</v>
      </c>
      <c r="M213">
        <v>1</v>
      </c>
      <c r="N213" s="44">
        <f t="shared" si="25"/>
        <v>281</v>
      </c>
      <c r="O213">
        <v>1</v>
      </c>
      <c r="P213">
        <v>4</v>
      </c>
      <c r="Q213">
        <v>6</v>
      </c>
      <c r="R213" s="44">
        <f t="shared" si="26"/>
        <v>11</v>
      </c>
      <c r="S213">
        <v>8</v>
      </c>
      <c r="T213">
        <v>12</v>
      </c>
      <c r="U213" s="44">
        <f t="shared" si="27"/>
        <v>20</v>
      </c>
      <c r="V213">
        <v>11</v>
      </c>
      <c r="W213">
        <v>6</v>
      </c>
      <c r="X213">
        <v>1</v>
      </c>
      <c r="Y213" s="48">
        <f t="shared" si="22"/>
        <v>0.96896551724137936</v>
      </c>
      <c r="Z213" s="48">
        <f t="shared" si="23"/>
        <v>0.98275862068965514</v>
      </c>
      <c r="AA213" s="48">
        <f t="shared" si="24"/>
        <v>6.2068965517241378E-2</v>
      </c>
      <c r="AB213">
        <v>1821</v>
      </c>
      <c r="AC213">
        <v>528130</v>
      </c>
      <c r="AD213">
        <v>1.96</v>
      </c>
      <c r="AE213">
        <v>1716</v>
      </c>
      <c r="AF213">
        <v>1.86</v>
      </c>
    </row>
    <row r="214" spans="1:32" x14ac:dyDescent="0.25">
      <c r="A214" s="33">
        <v>45867</v>
      </c>
      <c r="B214">
        <v>290</v>
      </c>
      <c r="C214">
        <v>13</v>
      </c>
      <c r="D214">
        <v>13</v>
      </c>
      <c r="E214">
        <v>9</v>
      </c>
      <c r="F214">
        <v>1</v>
      </c>
      <c r="G214">
        <v>0</v>
      </c>
      <c r="H214" s="44">
        <f t="shared" si="19"/>
        <v>8</v>
      </c>
      <c r="I214" s="47">
        <f t="shared" si="20"/>
        <v>0.61538461538461542</v>
      </c>
      <c r="J214" s="44">
        <f t="shared" si="21"/>
        <v>281</v>
      </c>
      <c r="K214">
        <v>4</v>
      </c>
      <c r="L214">
        <v>3</v>
      </c>
      <c r="M214">
        <v>1</v>
      </c>
      <c r="N214" s="44">
        <f t="shared" si="25"/>
        <v>282</v>
      </c>
      <c r="O214">
        <v>1</v>
      </c>
      <c r="P214">
        <v>6</v>
      </c>
      <c r="Q214">
        <v>3</v>
      </c>
      <c r="R214" s="44">
        <f t="shared" si="26"/>
        <v>10</v>
      </c>
      <c r="S214">
        <v>11</v>
      </c>
      <c r="T214">
        <v>10</v>
      </c>
      <c r="U214" s="44">
        <f t="shared" si="27"/>
        <v>21</v>
      </c>
      <c r="V214">
        <v>3</v>
      </c>
      <c r="W214">
        <v>9</v>
      </c>
      <c r="X214">
        <v>1</v>
      </c>
      <c r="Y214" s="48">
        <f t="shared" si="22"/>
        <v>0.97241379310344822</v>
      </c>
      <c r="Z214" s="48">
        <f t="shared" si="23"/>
        <v>0.99310344827586206</v>
      </c>
      <c r="AA214" s="48">
        <f t="shared" si="24"/>
        <v>4.4827586206896551E-2</v>
      </c>
      <c r="AB214">
        <v>1821</v>
      </c>
      <c r="AC214">
        <v>528130</v>
      </c>
      <c r="AD214">
        <v>1.96</v>
      </c>
      <c r="AE214">
        <v>1718</v>
      </c>
      <c r="AF214">
        <v>1.86</v>
      </c>
    </row>
    <row r="215" spans="1:32" x14ac:dyDescent="0.25">
      <c r="A215" s="33">
        <v>45874</v>
      </c>
      <c r="B215">
        <v>290</v>
      </c>
      <c r="C215">
        <v>8</v>
      </c>
      <c r="D215">
        <v>8</v>
      </c>
      <c r="E215">
        <v>3</v>
      </c>
      <c r="F215">
        <v>2</v>
      </c>
      <c r="G215">
        <v>0</v>
      </c>
      <c r="H215" s="44">
        <f t="shared" si="19"/>
        <v>1</v>
      </c>
      <c r="I215" s="47">
        <f t="shared" si="20"/>
        <v>0.125</v>
      </c>
      <c r="J215" s="44">
        <f t="shared" si="21"/>
        <v>282</v>
      </c>
      <c r="K215">
        <v>3</v>
      </c>
      <c r="L215">
        <v>5</v>
      </c>
      <c r="M215">
        <v>0</v>
      </c>
      <c r="N215" s="44">
        <f t="shared" si="25"/>
        <v>280</v>
      </c>
      <c r="O215">
        <v>1</v>
      </c>
      <c r="P215">
        <v>7</v>
      </c>
      <c r="Q215">
        <v>4</v>
      </c>
      <c r="R215" s="44">
        <f t="shared" si="26"/>
        <v>12</v>
      </c>
      <c r="S215">
        <v>7</v>
      </c>
      <c r="T215">
        <v>9</v>
      </c>
      <c r="U215" s="44">
        <f t="shared" si="27"/>
        <v>16</v>
      </c>
      <c r="V215">
        <v>4</v>
      </c>
      <c r="W215">
        <v>8</v>
      </c>
      <c r="X215">
        <v>1</v>
      </c>
      <c r="Y215" s="48">
        <f t="shared" si="22"/>
        <v>0.96551724137931039</v>
      </c>
      <c r="Z215" s="48">
        <f t="shared" si="23"/>
        <v>0.98965517241379308</v>
      </c>
      <c r="AA215" s="48">
        <f t="shared" si="24"/>
        <v>4.4827586206896551E-2</v>
      </c>
      <c r="AB215">
        <v>1821</v>
      </c>
      <c r="AC215">
        <v>528130</v>
      </c>
      <c r="AD215">
        <v>1.96</v>
      </c>
      <c r="AE215">
        <v>1713</v>
      </c>
      <c r="AF215">
        <v>1.86</v>
      </c>
    </row>
    <row r="216" spans="1:32" x14ac:dyDescent="0.25">
      <c r="A216" s="33">
        <v>45881</v>
      </c>
      <c r="B216">
        <v>290</v>
      </c>
      <c r="C216">
        <v>9</v>
      </c>
      <c r="D216">
        <v>9</v>
      </c>
      <c r="E216">
        <v>1</v>
      </c>
      <c r="F216">
        <v>0</v>
      </c>
      <c r="G216">
        <v>0</v>
      </c>
      <c r="H216" s="44">
        <f t="shared" si="19"/>
        <v>1</v>
      </c>
      <c r="I216" s="47">
        <f t="shared" si="20"/>
        <v>0.1111111111111111</v>
      </c>
      <c r="J216" s="44">
        <f t="shared" si="21"/>
        <v>280</v>
      </c>
      <c r="K216">
        <v>4</v>
      </c>
      <c r="L216">
        <v>3</v>
      </c>
      <c r="M216">
        <v>0</v>
      </c>
      <c r="N216" s="44">
        <f t="shared" si="25"/>
        <v>281</v>
      </c>
      <c r="O216">
        <v>1</v>
      </c>
      <c r="P216">
        <v>6</v>
      </c>
      <c r="Q216">
        <v>4</v>
      </c>
      <c r="R216" s="44">
        <f t="shared" si="26"/>
        <v>11</v>
      </c>
      <c r="S216">
        <v>5</v>
      </c>
      <c r="T216">
        <v>10</v>
      </c>
      <c r="U216" s="44">
        <f t="shared" si="27"/>
        <v>15</v>
      </c>
      <c r="V216">
        <v>5</v>
      </c>
      <c r="W216">
        <v>8</v>
      </c>
      <c r="X216">
        <v>1</v>
      </c>
      <c r="Y216" s="48">
        <f t="shared" si="22"/>
        <v>0.96896551724137936</v>
      </c>
      <c r="Z216" s="48">
        <f t="shared" si="23"/>
        <v>0.98965517241379308</v>
      </c>
      <c r="AA216" s="48">
        <f t="shared" si="24"/>
        <v>4.8275862068965517E-2</v>
      </c>
      <c r="AB216">
        <v>1821</v>
      </c>
      <c r="AC216">
        <v>528130</v>
      </c>
      <c r="AD216">
        <v>1.96</v>
      </c>
      <c r="AE216">
        <v>1708</v>
      </c>
      <c r="AF216">
        <v>1.86</v>
      </c>
    </row>
    <row r="217" spans="1:32" x14ac:dyDescent="0.25">
      <c r="A217" s="33">
        <v>45888</v>
      </c>
      <c r="B217">
        <v>290</v>
      </c>
      <c r="C217">
        <v>10</v>
      </c>
      <c r="D217">
        <v>10</v>
      </c>
      <c r="E217">
        <v>2</v>
      </c>
      <c r="F217">
        <v>1</v>
      </c>
      <c r="G217">
        <v>0</v>
      </c>
      <c r="H217" s="44">
        <f t="shared" si="19"/>
        <v>1</v>
      </c>
      <c r="I217" s="47">
        <f t="shared" si="20"/>
        <v>0.1</v>
      </c>
      <c r="J217" s="44">
        <f t="shared" si="21"/>
        <v>281</v>
      </c>
      <c r="K217">
        <v>3</v>
      </c>
      <c r="L217">
        <v>5</v>
      </c>
      <c r="M217">
        <v>1</v>
      </c>
      <c r="N217" s="44">
        <f t="shared" si="25"/>
        <v>279</v>
      </c>
      <c r="O217">
        <v>1</v>
      </c>
      <c r="P217">
        <v>7</v>
      </c>
      <c r="Q217">
        <v>6</v>
      </c>
      <c r="R217" s="44">
        <f t="shared" si="26"/>
        <v>14</v>
      </c>
      <c r="S217">
        <v>2</v>
      </c>
      <c r="T217">
        <v>7</v>
      </c>
      <c r="U217" s="44">
        <f t="shared" si="27"/>
        <v>9</v>
      </c>
      <c r="V217">
        <v>6</v>
      </c>
      <c r="W217">
        <v>7</v>
      </c>
      <c r="X217">
        <v>0</v>
      </c>
      <c r="Y217" s="48">
        <f t="shared" si="22"/>
        <v>0.96206896551724141</v>
      </c>
      <c r="Z217" s="48">
        <f t="shared" si="23"/>
        <v>0.98620689655172411</v>
      </c>
      <c r="AA217" s="48">
        <f t="shared" si="24"/>
        <v>4.4827586206896551E-2</v>
      </c>
      <c r="AB217">
        <v>1821</v>
      </c>
      <c r="AC217">
        <v>528130</v>
      </c>
      <c r="AD217">
        <v>1.96</v>
      </c>
      <c r="AE217">
        <v>1714</v>
      </c>
      <c r="AF217">
        <v>1.86</v>
      </c>
    </row>
    <row r="218" spans="1:32" x14ac:dyDescent="0.25">
      <c r="A218" s="33">
        <v>45895</v>
      </c>
      <c r="B218">
        <v>290</v>
      </c>
      <c r="C218">
        <v>7</v>
      </c>
      <c r="D218">
        <v>7</v>
      </c>
      <c r="E218">
        <v>2</v>
      </c>
      <c r="F218">
        <v>0</v>
      </c>
      <c r="G218">
        <v>0</v>
      </c>
      <c r="H218" s="44">
        <f t="shared" si="19"/>
        <v>2</v>
      </c>
      <c r="I218" s="47">
        <f t="shared" si="20"/>
        <v>0.2857142857142857</v>
      </c>
      <c r="J218" s="44">
        <f t="shared" si="21"/>
        <v>279</v>
      </c>
      <c r="K218">
        <v>4</v>
      </c>
      <c r="L218">
        <v>3</v>
      </c>
      <c r="M218">
        <v>0</v>
      </c>
      <c r="N218" s="44">
        <f t="shared" si="25"/>
        <v>280</v>
      </c>
      <c r="O218">
        <v>1</v>
      </c>
      <c r="P218">
        <v>4</v>
      </c>
      <c r="Q218">
        <v>8</v>
      </c>
      <c r="R218" s="44">
        <f t="shared" si="26"/>
        <v>13</v>
      </c>
      <c r="S218">
        <v>3</v>
      </c>
      <c r="T218">
        <v>5</v>
      </c>
      <c r="U218" s="44">
        <f t="shared" si="27"/>
        <v>8</v>
      </c>
      <c r="V218">
        <v>5</v>
      </c>
      <c r="W218">
        <v>8</v>
      </c>
      <c r="X218">
        <v>0</v>
      </c>
      <c r="Y218" s="48">
        <f t="shared" si="22"/>
        <v>0.96551724137931039</v>
      </c>
      <c r="Z218" s="48">
        <f t="shared" si="23"/>
        <v>0.97931034482758617</v>
      </c>
      <c r="AA218" s="48">
        <f t="shared" si="24"/>
        <v>4.4827586206896551E-2</v>
      </c>
      <c r="AB218">
        <v>1821</v>
      </c>
      <c r="AC218">
        <v>528130</v>
      </c>
      <c r="AD218">
        <v>1.96</v>
      </c>
      <c r="AE218">
        <v>1716</v>
      </c>
      <c r="AF218">
        <v>1.86</v>
      </c>
    </row>
    <row r="219" spans="1:32" x14ac:dyDescent="0.25">
      <c r="A219" s="33">
        <v>45902</v>
      </c>
      <c r="B219">
        <v>290</v>
      </c>
      <c r="C219">
        <v>12</v>
      </c>
      <c r="D219">
        <v>2</v>
      </c>
      <c r="E219">
        <v>2</v>
      </c>
      <c r="F219">
        <v>1</v>
      </c>
      <c r="G219">
        <v>0</v>
      </c>
      <c r="H219" s="44">
        <f t="shared" si="19"/>
        <v>1</v>
      </c>
      <c r="I219" s="47">
        <f t="shared" si="20"/>
        <v>0.5</v>
      </c>
      <c r="J219" s="44">
        <f t="shared" si="21"/>
        <v>280</v>
      </c>
      <c r="K219">
        <v>1</v>
      </c>
      <c r="L219">
        <v>0</v>
      </c>
      <c r="M219">
        <v>0</v>
      </c>
      <c r="N219" s="44">
        <f t="shared" si="25"/>
        <v>281</v>
      </c>
      <c r="O219">
        <v>1</v>
      </c>
      <c r="P219">
        <v>4</v>
      </c>
      <c r="Q219">
        <v>7</v>
      </c>
      <c r="R219" s="44">
        <f t="shared" si="26"/>
        <v>12</v>
      </c>
      <c r="S219">
        <v>3</v>
      </c>
      <c r="T219">
        <v>9</v>
      </c>
      <c r="U219" s="44">
        <f t="shared" si="27"/>
        <v>12</v>
      </c>
      <c r="V219">
        <v>8</v>
      </c>
      <c r="W219">
        <v>8</v>
      </c>
      <c r="X219">
        <v>0</v>
      </c>
      <c r="Y219" s="48">
        <f t="shared" si="22"/>
        <v>0.96896551724137936</v>
      </c>
      <c r="Z219" s="48">
        <f t="shared" si="23"/>
        <v>0.98275862068965514</v>
      </c>
      <c r="AA219" s="48">
        <f t="shared" si="24"/>
        <v>5.5172413793103448E-2</v>
      </c>
      <c r="AB219">
        <v>1821</v>
      </c>
      <c r="AC219">
        <v>528130</v>
      </c>
      <c r="AD219">
        <v>1.96</v>
      </c>
      <c r="AE219">
        <v>1716</v>
      </c>
      <c r="AF219">
        <v>1.86</v>
      </c>
    </row>
    <row r="220" spans="1:32" x14ac:dyDescent="0.25">
      <c r="A220" s="33">
        <v>45909</v>
      </c>
      <c r="B220">
        <v>290</v>
      </c>
      <c r="C220">
        <v>5</v>
      </c>
      <c r="D220">
        <v>1</v>
      </c>
      <c r="E220">
        <v>1</v>
      </c>
      <c r="F220">
        <v>0</v>
      </c>
      <c r="G220">
        <v>0</v>
      </c>
      <c r="H220" s="44">
        <f t="shared" si="19"/>
        <v>1</v>
      </c>
      <c r="I220" s="47">
        <f t="shared" si="20"/>
        <v>1</v>
      </c>
      <c r="J220" s="44">
        <f t="shared" si="21"/>
        <v>281</v>
      </c>
      <c r="K220">
        <v>1</v>
      </c>
      <c r="L220">
        <v>2</v>
      </c>
      <c r="M220">
        <v>0</v>
      </c>
      <c r="N220" s="44">
        <f t="shared" si="25"/>
        <v>280</v>
      </c>
      <c r="O220">
        <v>1</v>
      </c>
      <c r="P220">
        <v>3</v>
      </c>
      <c r="Q220">
        <v>9</v>
      </c>
      <c r="R220" s="44">
        <f t="shared" si="26"/>
        <v>13</v>
      </c>
      <c r="S220">
        <v>4</v>
      </c>
      <c r="T220">
        <v>11</v>
      </c>
      <c r="U220" s="44">
        <f t="shared" si="27"/>
        <v>15</v>
      </c>
      <c r="V220">
        <v>10</v>
      </c>
      <c r="W220">
        <v>8</v>
      </c>
      <c r="X220">
        <v>0</v>
      </c>
      <c r="Y220" s="48">
        <f t="shared" si="22"/>
        <v>0.96551724137931039</v>
      </c>
      <c r="Z220" s="48">
        <f t="shared" si="23"/>
        <v>0.97586206896551719</v>
      </c>
      <c r="AA220" s="48">
        <f t="shared" si="24"/>
        <v>6.8965517241379309E-2</v>
      </c>
      <c r="AB220">
        <v>1821</v>
      </c>
      <c r="AC220">
        <v>528130</v>
      </c>
      <c r="AD220">
        <v>1.96</v>
      </c>
      <c r="AE220">
        <v>1714</v>
      </c>
      <c r="AF220">
        <v>1.86</v>
      </c>
    </row>
    <row r="221" spans="1:32" x14ac:dyDescent="0.25">
      <c r="A221" s="33">
        <v>45916</v>
      </c>
      <c r="B221">
        <v>290</v>
      </c>
      <c r="C221">
        <v>9</v>
      </c>
      <c r="D221">
        <v>9</v>
      </c>
      <c r="E221">
        <v>0</v>
      </c>
      <c r="F221">
        <v>1</v>
      </c>
      <c r="G221">
        <v>0</v>
      </c>
      <c r="H221" s="44">
        <f t="shared" si="19"/>
        <v>-1</v>
      </c>
      <c r="I221" s="47">
        <f t="shared" si="20"/>
        <v>-0.1111111111111111</v>
      </c>
      <c r="J221" s="44">
        <f t="shared" si="21"/>
        <v>280</v>
      </c>
      <c r="K221">
        <v>2</v>
      </c>
      <c r="L221">
        <v>3</v>
      </c>
      <c r="M221">
        <v>0</v>
      </c>
      <c r="N221" s="44">
        <f t="shared" si="25"/>
        <v>279</v>
      </c>
      <c r="O221">
        <v>1</v>
      </c>
      <c r="P221">
        <v>3</v>
      </c>
      <c r="Q221">
        <v>10</v>
      </c>
      <c r="R221" s="44">
        <f t="shared" si="26"/>
        <v>14</v>
      </c>
      <c r="S221">
        <v>1</v>
      </c>
      <c r="T221">
        <v>11</v>
      </c>
      <c r="U221" s="44">
        <f t="shared" si="27"/>
        <v>12</v>
      </c>
      <c r="V221">
        <v>11</v>
      </c>
      <c r="W221">
        <v>10</v>
      </c>
      <c r="X221">
        <v>0</v>
      </c>
      <c r="Y221" s="48">
        <f t="shared" si="22"/>
        <v>0.96206896551724141</v>
      </c>
      <c r="Z221" s="48">
        <f t="shared" si="23"/>
        <v>0.97241379310344822</v>
      </c>
      <c r="AA221" s="48">
        <f t="shared" si="24"/>
        <v>7.2413793103448282E-2</v>
      </c>
      <c r="AB221">
        <v>1821</v>
      </c>
      <c r="AC221">
        <v>528130</v>
      </c>
      <c r="AD221">
        <v>1.96</v>
      </c>
      <c r="AE221">
        <v>1714</v>
      </c>
      <c r="AF221">
        <v>1.86</v>
      </c>
    </row>
    <row r="222" spans="1:32" x14ac:dyDescent="0.25">
      <c r="A222" s="33">
        <v>45923</v>
      </c>
      <c r="B222">
        <v>290</v>
      </c>
      <c r="C222">
        <v>8</v>
      </c>
      <c r="D222">
        <v>8</v>
      </c>
      <c r="E222">
        <v>2</v>
      </c>
      <c r="F222">
        <v>0</v>
      </c>
      <c r="G222">
        <v>0</v>
      </c>
      <c r="H222" s="44">
        <f t="shared" si="19"/>
        <v>2</v>
      </c>
      <c r="I222" s="47">
        <f t="shared" si="20"/>
        <v>0.25</v>
      </c>
      <c r="J222" s="44">
        <f t="shared" si="21"/>
        <v>279</v>
      </c>
      <c r="K222">
        <v>1</v>
      </c>
      <c r="L222">
        <v>2</v>
      </c>
      <c r="M222">
        <v>0</v>
      </c>
      <c r="N222" s="44">
        <f t="shared" si="25"/>
        <v>278</v>
      </c>
      <c r="O222">
        <v>1</v>
      </c>
      <c r="P222">
        <v>3</v>
      </c>
      <c r="Q222">
        <v>11</v>
      </c>
      <c r="R222" s="44">
        <f t="shared" si="26"/>
        <v>15</v>
      </c>
      <c r="S222">
        <v>2</v>
      </c>
      <c r="T222">
        <v>8</v>
      </c>
      <c r="U222" s="44">
        <f t="shared" si="27"/>
        <v>10</v>
      </c>
      <c r="V222">
        <v>10</v>
      </c>
      <c r="W222">
        <v>9</v>
      </c>
      <c r="X222">
        <v>0</v>
      </c>
      <c r="Y222" s="48">
        <f t="shared" si="22"/>
        <v>0.95862068965517244</v>
      </c>
      <c r="Z222" s="48">
        <f t="shared" si="23"/>
        <v>0.96896551724137936</v>
      </c>
      <c r="AA222" s="48">
        <f t="shared" si="24"/>
        <v>6.5517241379310351E-2</v>
      </c>
      <c r="AB222">
        <v>1821</v>
      </c>
      <c r="AC222">
        <v>528130</v>
      </c>
      <c r="AD222">
        <v>1.96</v>
      </c>
      <c r="AE222">
        <v>1714</v>
      </c>
      <c r="AF222">
        <v>1.87</v>
      </c>
    </row>
    <row r="223" spans="1:32" x14ac:dyDescent="0.25">
      <c r="A223" s="33">
        <v>45930</v>
      </c>
      <c r="B223">
        <v>290</v>
      </c>
      <c r="C223">
        <v>14</v>
      </c>
      <c r="D223">
        <v>14</v>
      </c>
      <c r="E223">
        <v>2</v>
      </c>
      <c r="F223">
        <v>1</v>
      </c>
      <c r="G223">
        <v>0</v>
      </c>
      <c r="H223" s="44">
        <f t="shared" si="19"/>
        <v>1</v>
      </c>
      <c r="I223" s="47">
        <f t="shared" si="20"/>
        <v>7.1428571428571425E-2</v>
      </c>
      <c r="J223" s="44">
        <f t="shared" si="21"/>
        <v>278</v>
      </c>
      <c r="K223">
        <v>0</v>
      </c>
      <c r="L223">
        <v>1</v>
      </c>
      <c r="M223">
        <v>0</v>
      </c>
      <c r="N223" s="44">
        <f t="shared" si="25"/>
        <v>277</v>
      </c>
      <c r="O223">
        <v>1</v>
      </c>
      <c r="P223">
        <v>4</v>
      </c>
      <c r="Q223">
        <v>11</v>
      </c>
      <c r="R223" s="44">
        <f t="shared" si="26"/>
        <v>16</v>
      </c>
      <c r="S223">
        <v>2</v>
      </c>
      <c r="T223">
        <v>9</v>
      </c>
      <c r="U223" s="44">
        <f t="shared" si="27"/>
        <v>11</v>
      </c>
      <c r="V223">
        <v>11</v>
      </c>
      <c r="W223">
        <v>9</v>
      </c>
      <c r="X223">
        <v>0</v>
      </c>
      <c r="Y223" s="48">
        <f t="shared" si="22"/>
        <v>0.95517241379310347</v>
      </c>
      <c r="Z223" s="48">
        <f t="shared" si="23"/>
        <v>0.96896551724137936</v>
      </c>
      <c r="AA223" s="48">
        <f t="shared" si="24"/>
        <v>6.8965517241379309E-2</v>
      </c>
      <c r="AB223">
        <v>1821</v>
      </c>
      <c r="AC223">
        <v>528130</v>
      </c>
      <c r="AD223">
        <v>1.96</v>
      </c>
      <c r="AE223">
        <v>1717</v>
      </c>
      <c r="AF223">
        <v>1.87</v>
      </c>
    </row>
    <row r="224" spans="1:32" x14ac:dyDescent="0.25">
      <c r="A224" s="33">
        <v>45937</v>
      </c>
      <c r="B224">
        <v>290</v>
      </c>
      <c r="C224">
        <v>10</v>
      </c>
      <c r="D224">
        <v>10</v>
      </c>
      <c r="E224">
        <v>2</v>
      </c>
      <c r="F224">
        <v>0</v>
      </c>
      <c r="G224">
        <v>0</v>
      </c>
      <c r="H224" s="44">
        <f t="shared" si="19"/>
        <v>2</v>
      </c>
      <c r="I224" s="47">
        <f t="shared" si="20"/>
        <v>0.2</v>
      </c>
      <c r="J224" s="44">
        <f t="shared" si="21"/>
        <v>277</v>
      </c>
      <c r="K224">
        <v>3</v>
      </c>
      <c r="L224">
        <v>4</v>
      </c>
      <c r="M224">
        <v>0</v>
      </c>
      <c r="N224" s="44">
        <f t="shared" si="25"/>
        <v>276</v>
      </c>
      <c r="O224">
        <v>1</v>
      </c>
      <c r="P224">
        <v>3</v>
      </c>
      <c r="Q224">
        <v>13</v>
      </c>
      <c r="R224" s="44">
        <f t="shared" si="26"/>
        <v>17</v>
      </c>
      <c r="S224">
        <v>2</v>
      </c>
      <c r="T224">
        <v>8</v>
      </c>
      <c r="U224" s="44">
        <f t="shared" si="27"/>
        <v>10</v>
      </c>
      <c r="V224">
        <v>12</v>
      </c>
      <c r="W224">
        <v>9</v>
      </c>
      <c r="X224">
        <v>0</v>
      </c>
      <c r="Y224" s="48">
        <f t="shared" si="22"/>
        <v>0.9517241379310345</v>
      </c>
      <c r="Z224" s="48">
        <f t="shared" si="23"/>
        <v>0.96206896551724141</v>
      </c>
      <c r="AA224" s="48">
        <f t="shared" si="24"/>
        <v>7.2413793103448282E-2</v>
      </c>
      <c r="AB224">
        <v>1821</v>
      </c>
      <c r="AC224">
        <v>528130</v>
      </c>
      <c r="AD224">
        <v>1.96</v>
      </c>
      <c r="AE224">
        <v>1716</v>
      </c>
      <c r="AF224">
        <v>1.87</v>
      </c>
    </row>
    <row r="225" spans="1:32" x14ac:dyDescent="0.25">
      <c r="A225" s="33">
        <v>45944</v>
      </c>
      <c r="B225">
        <v>290</v>
      </c>
      <c r="C225">
        <v>9</v>
      </c>
      <c r="D225">
        <v>9</v>
      </c>
      <c r="E225">
        <v>0</v>
      </c>
      <c r="F225">
        <v>2</v>
      </c>
      <c r="G225">
        <v>0</v>
      </c>
      <c r="H225" s="44">
        <f t="shared" si="19"/>
        <v>-2</v>
      </c>
      <c r="I225" s="47">
        <f t="shared" si="20"/>
        <v>-0.22222222222222221</v>
      </c>
      <c r="J225" s="44">
        <f t="shared" si="21"/>
        <v>276</v>
      </c>
      <c r="K225">
        <v>1</v>
      </c>
      <c r="L225">
        <v>1</v>
      </c>
      <c r="M225">
        <v>0</v>
      </c>
      <c r="N225" s="44">
        <f t="shared" si="25"/>
        <v>276</v>
      </c>
      <c r="O225">
        <v>1</v>
      </c>
      <c r="P225">
        <v>0</v>
      </c>
      <c r="Q225">
        <v>16</v>
      </c>
      <c r="R225" s="44">
        <f t="shared" si="26"/>
        <v>17</v>
      </c>
      <c r="S225">
        <v>0</v>
      </c>
      <c r="T225">
        <v>16</v>
      </c>
      <c r="U225" s="44">
        <f t="shared" si="27"/>
        <v>16</v>
      </c>
      <c r="V225">
        <v>17</v>
      </c>
      <c r="W225">
        <v>11</v>
      </c>
      <c r="X225">
        <v>0</v>
      </c>
      <c r="Y225" s="48">
        <f t="shared" si="22"/>
        <v>0.9517241379310345</v>
      </c>
      <c r="Z225" s="48">
        <f t="shared" si="23"/>
        <v>0.9517241379310345</v>
      </c>
      <c r="AA225" s="48">
        <f t="shared" si="24"/>
        <v>0.1103448275862069</v>
      </c>
      <c r="AB225">
        <v>1821</v>
      </c>
      <c r="AC225">
        <v>528130</v>
      </c>
      <c r="AD225">
        <v>1.96</v>
      </c>
      <c r="AE225">
        <v>1716</v>
      </c>
      <c r="AF225">
        <v>1.87</v>
      </c>
    </row>
    <row r="226" spans="1:32" x14ac:dyDescent="0.25">
      <c r="A226" s="33">
        <v>45951</v>
      </c>
      <c r="B226">
        <v>290</v>
      </c>
      <c r="C226">
        <v>14</v>
      </c>
      <c r="D226">
        <v>14</v>
      </c>
      <c r="E226">
        <v>1</v>
      </c>
      <c r="F226">
        <v>0</v>
      </c>
      <c r="G226">
        <v>0</v>
      </c>
      <c r="H226" s="44">
        <f t="shared" si="19"/>
        <v>1</v>
      </c>
      <c r="I226" s="47">
        <f t="shared" si="20"/>
        <v>7.1428571428571425E-2</v>
      </c>
      <c r="J226" s="44">
        <f t="shared" si="21"/>
        <v>276</v>
      </c>
      <c r="K226">
        <v>0</v>
      </c>
      <c r="L226">
        <v>0</v>
      </c>
      <c r="M226">
        <v>0</v>
      </c>
      <c r="N226" s="44">
        <f t="shared" si="25"/>
        <v>276</v>
      </c>
      <c r="O226">
        <v>1</v>
      </c>
      <c r="P226">
        <v>1</v>
      </c>
      <c r="Q226">
        <v>16</v>
      </c>
      <c r="R226" s="44">
        <f t="shared" si="26"/>
        <v>18</v>
      </c>
      <c r="S226">
        <v>2</v>
      </c>
      <c r="T226">
        <v>10</v>
      </c>
      <c r="U226" s="44">
        <f t="shared" si="27"/>
        <v>12</v>
      </c>
      <c r="V226">
        <v>15</v>
      </c>
      <c r="W226">
        <v>10</v>
      </c>
      <c r="X226">
        <v>0</v>
      </c>
      <c r="Y226" s="48">
        <f t="shared" si="22"/>
        <v>0.9517241379310345</v>
      </c>
      <c r="Z226" s="48">
        <f t="shared" si="23"/>
        <v>0.95517241379310347</v>
      </c>
      <c r="AA226" s="48">
        <f t="shared" si="24"/>
        <v>8.9655172413793102E-2</v>
      </c>
      <c r="AB226">
        <v>1821</v>
      </c>
      <c r="AC226">
        <v>528130</v>
      </c>
      <c r="AD226">
        <v>1.96</v>
      </c>
      <c r="AE226">
        <v>1715</v>
      </c>
      <c r="AF226">
        <v>1.86</v>
      </c>
    </row>
    <row r="227" spans="1:32" x14ac:dyDescent="0.25">
      <c r="A227" s="33">
        <v>45958</v>
      </c>
      <c r="B227">
        <v>290</v>
      </c>
      <c r="C227">
        <v>12</v>
      </c>
      <c r="D227">
        <v>12</v>
      </c>
      <c r="E227">
        <v>5</v>
      </c>
      <c r="F227">
        <v>0</v>
      </c>
      <c r="G227">
        <v>1</v>
      </c>
      <c r="H227" s="44">
        <f t="shared" si="19"/>
        <v>4</v>
      </c>
      <c r="I227" s="47">
        <f t="shared" si="20"/>
        <v>0.33333333333333331</v>
      </c>
      <c r="J227" s="44">
        <f t="shared" si="21"/>
        <v>276</v>
      </c>
      <c r="K227">
        <v>0</v>
      </c>
      <c r="L227">
        <v>2</v>
      </c>
      <c r="M227">
        <v>0</v>
      </c>
      <c r="N227" s="44">
        <f t="shared" si="25"/>
        <v>274</v>
      </c>
      <c r="O227">
        <v>1</v>
      </c>
      <c r="P227">
        <v>6</v>
      </c>
      <c r="Q227">
        <v>13</v>
      </c>
      <c r="R227" s="44">
        <f t="shared" si="26"/>
        <v>20</v>
      </c>
      <c r="S227">
        <v>1</v>
      </c>
      <c r="T227">
        <v>11</v>
      </c>
      <c r="U227" s="44">
        <f t="shared" si="27"/>
        <v>12</v>
      </c>
      <c r="V227">
        <v>14</v>
      </c>
      <c r="W227">
        <v>10</v>
      </c>
      <c r="X227">
        <v>0</v>
      </c>
      <c r="Y227" s="48">
        <f t="shared" si="22"/>
        <v>0.94482758620689655</v>
      </c>
      <c r="Z227" s="48">
        <f t="shared" si="23"/>
        <v>0.96551724137931039</v>
      </c>
      <c r="AA227" s="48">
        <f t="shared" si="24"/>
        <v>8.2758620689655171E-2</v>
      </c>
      <c r="AB227">
        <v>1821</v>
      </c>
      <c r="AC227">
        <v>528130</v>
      </c>
      <c r="AD227">
        <v>1.96</v>
      </c>
      <c r="AE227">
        <v>1720</v>
      </c>
      <c r="AF227">
        <v>1.87</v>
      </c>
    </row>
    <row r="228" spans="1:32" x14ac:dyDescent="0.25">
      <c r="A228" s="33">
        <v>45965</v>
      </c>
      <c r="B228">
        <v>290</v>
      </c>
      <c r="C228">
        <v>13</v>
      </c>
      <c r="D228">
        <v>13</v>
      </c>
      <c r="E228">
        <v>7</v>
      </c>
      <c r="F228">
        <v>3</v>
      </c>
      <c r="G228">
        <v>0</v>
      </c>
      <c r="H228" s="44">
        <f t="shared" ref="H228:H278" si="28">E228-F228-G228</f>
        <v>4</v>
      </c>
      <c r="I228" s="47">
        <f t="shared" ref="I228:I278" si="29">H228/D228</f>
        <v>0.30769230769230771</v>
      </c>
      <c r="J228" s="44">
        <f t="shared" ref="J228:J278" si="30">N227</f>
        <v>274</v>
      </c>
      <c r="K228">
        <v>4</v>
      </c>
      <c r="L228">
        <v>3</v>
      </c>
      <c r="M228">
        <v>2</v>
      </c>
      <c r="N228" s="44">
        <f t="shared" si="25"/>
        <v>275</v>
      </c>
      <c r="O228">
        <v>1</v>
      </c>
      <c r="P228">
        <v>5</v>
      </c>
      <c r="Q228">
        <v>12</v>
      </c>
      <c r="R228" s="44">
        <f t="shared" si="26"/>
        <v>18</v>
      </c>
      <c r="S228">
        <v>4</v>
      </c>
      <c r="T228">
        <v>11</v>
      </c>
      <c r="U228" s="44">
        <f t="shared" si="27"/>
        <v>15</v>
      </c>
      <c r="V228">
        <v>15</v>
      </c>
      <c r="W228">
        <v>8</v>
      </c>
      <c r="X228">
        <v>0</v>
      </c>
      <c r="Y228" s="48">
        <f t="shared" si="22"/>
        <v>0.94827586206896552</v>
      </c>
      <c r="Z228" s="48">
        <f t="shared" si="23"/>
        <v>0.96551724137931039</v>
      </c>
      <c r="AA228" s="48">
        <f t="shared" si="24"/>
        <v>7.9310344827586213E-2</v>
      </c>
      <c r="AB228">
        <v>1821</v>
      </c>
      <c r="AC228">
        <v>528130</v>
      </c>
      <c r="AD228">
        <v>1.96</v>
      </c>
      <c r="AE228">
        <v>1710</v>
      </c>
      <c r="AF228">
        <v>1.86</v>
      </c>
    </row>
    <row r="229" spans="1:32" x14ac:dyDescent="0.25">
      <c r="A229" s="33">
        <v>45972</v>
      </c>
      <c r="B229">
        <v>290</v>
      </c>
      <c r="C229">
        <v>19</v>
      </c>
      <c r="D229">
        <v>19</v>
      </c>
      <c r="E229">
        <v>6</v>
      </c>
      <c r="F229">
        <v>2</v>
      </c>
      <c r="G229">
        <v>1</v>
      </c>
      <c r="H229" s="44">
        <f t="shared" si="28"/>
        <v>3</v>
      </c>
      <c r="I229" s="47">
        <f t="shared" si="29"/>
        <v>0.15789473684210525</v>
      </c>
      <c r="J229" s="44">
        <f t="shared" si="30"/>
        <v>275</v>
      </c>
      <c r="K229">
        <v>3</v>
      </c>
      <c r="L229">
        <v>3</v>
      </c>
      <c r="M229">
        <v>1</v>
      </c>
      <c r="N229" s="44">
        <f t="shared" si="25"/>
        <v>275</v>
      </c>
      <c r="O229">
        <v>1</v>
      </c>
      <c r="P229">
        <v>6</v>
      </c>
      <c r="Q229">
        <v>12</v>
      </c>
      <c r="R229" s="44">
        <f t="shared" si="26"/>
        <v>19</v>
      </c>
      <c r="S229">
        <v>5</v>
      </c>
      <c r="T229">
        <v>8</v>
      </c>
      <c r="U229" s="44">
        <f t="shared" si="27"/>
        <v>13</v>
      </c>
      <c r="V229">
        <v>13</v>
      </c>
      <c r="W229">
        <v>7</v>
      </c>
      <c r="X229">
        <v>0</v>
      </c>
      <c r="Y229" s="48">
        <f t="shared" ref="Y229:Y278" si="31">(N229/B229)</f>
        <v>0.94827586206896552</v>
      </c>
      <c r="Z229" s="48">
        <f t="shared" ref="Z229:Z278" si="32">(N229+P229)/B229</f>
        <v>0.96896551724137936</v>
      </c>
      <c r="AA229" s="48">
        <f t="shared" ref="AA229:AA278" si="33">(T229+Q229)/B229</f>
        <v>6.8965517241379309E-2</v>
      </c>
      <c r="AB229">
        <v>1821</v>
      </c>
      <c r="AC229">
        <v>528130</v>
      </c>
      <c r="AD229">
        <v>1.96</v>
      </c>
      <c r="AE229">
        <v>1709</v>
      </c>
      <c r="AF229">
        <v>1.85</v>
      </c>
    </row>
    <row r="230" spans="1:32" x14ac:dyDescent="0.25">
      <c r="A230" s="33">
        <v>45979</v>
      </c>
      <c r="B230">
        <v>290</v>
      </c>
      <c r="C230">
        <v>12</v>
      </c>
      <c r="D230">
        <v>12</v>
      </c>
      <c r="E230">
        <v>2</v>
      </c>
      <c r="F230">
        <v>0</v>
      </c>
      <c r="G230">
        <v>0</v>
      </c>
      <c r="H230" s="44">
        <f t="shared" si="28"/>
        <v>2</v>
      </c>
      <c r="I230" s="47">
        <f t="shared" si="29"/>
        <v>0.16666666666666666</v>
      </c>
      <c r="J230" s="44">
        <f t="shared" si="30"/>
        <v>275</v>
      </c>
      <c r="K230">
        <v>4</v>
      </c>
      <c r="L230">
        <v>3</v>
      </c>
      <c r="M230">
        <v>2</v>
      </c>
      <c r="N230" s="44">
        <f t="shared" si="25"/>
        <v>276</v>
      </c>
      <c r="O230">
        <v>1</v>
      </c>
      <c r="P230">
        <v>7</v>
      </c>
      <c r="Q230">
        <v>9</v>
      </c>
      <c r="R230" s="44">
        <f t="shared" si="26"/>
        <v>17</v>
      </c>
      <c r="S230">
        <v>4</v>
      </c>
      <c r="T230">
        <v>9</v>
      </c>
      <c r="U230" s="44">
        <f t="shared" si="27"/>
        <v>13</v>
      </c>
      <c r="V230">
        <v>13</v>
      </c>
      <c r="W230">
        <v>5</v>
      </c>
      <c r="X230">
        <v>0</v>
      </c>
      <c r="Y230" s="48">
        <f t="shared" si="31"/>
        <v>0.9517241379310345</v>
      </c>
      <c r="Z230" s="48">
        <f t="shared" si="32"/>
        <v>0.97586206896551719</v>
      </c>
      <c r="AA230" s="48">
        <f t="shared" si="33"/>
        <v>6.2068965517241378E-2</v>
      </c>
      <c r="AB230">
        <v>1821</v>
      </c>
      <c r="AC230">
        <v>528130</v>
      </c>
      <c r="AD230">
        <v>1.96</v>
      </c>
      <c r="AE230">
        <v>1709</v>
      </c>
      <c r="AF230">
        <v>1.85</v>
      </c>
    </row>
    <row r="231" spans="1:32" x14ac:dyDescent="0.25">
      <c r="A231" s="33">
        <v>45986</v>
      </c>
      <c r="B231">
        <v>290</v>
      </c>
      <c r="C231">
        <v>7</v>
      </c>
      <c r="D231">
        <v>7</v>
      </c>
      <c r="E231">
        <v>1</v>
      </c>
      <c r="F231">
        <v>2</v>
      </c>
      <c r="G231">
        <v>1</v>
      </c>
      <c r="H231" s="44">
        <f t="shared" si="28"/>
        <v>-2</v>
      </c>
      <c r="I231" s="47">
        <f t="shared" si="29"/>
        <v>-0.2857142857142857</v>
      </c>
      <c r="J231" s="44">
        <f t="shared" si="30"/>
        <v>276</v>
      </c>
      <c r="K231">
        <v>0</v>
      </c>
      <c r="L231">
        <v>2</v>
      </c>
      <c r="M231">
        <v>0</v>
      </c>
      <c r="N231" s="44">
        <f t="shared" si="25"/>
        <v>274</v>
      </c>
      <c r="O231">
        <v>1</v>
      </c>
      <c r="P231">
        <v>6</v>
      </c>
      <c r="Q231">
        <v>13</v>
      </c>
      <c r="R231" s="44">
        <f t="shared" si="26"/>
        <v>20</v>
      </c>
      <c r="S231">
        <v>3</v>
      </c>
      <c r="T231">
        <v>9</v>
      </c>
      <c r="U231" s="44">
        <f t="shared" si="27"/>
        <v>12</v>
      </c>
      <c r="V231">
        <v>15</v>
      </c>
      <c r="W231">
        <v>7</v>
      </c>
      <c r="X231">
        <v>0</v>
      </c>
      <c r="Y231" s="48">
        <f t="shared" si="31"/>
        <v>0.94482758620689655</v>
      </c>
      <c r="Z231" s="48">
        <f t="shared" si="32"/>
        <v>0.96551724137931039</v>
      </c>
      <c r="AA231" s="48">
        <f t="shared" si="33"/>
        <v>7.586206896551724E-2</v>
      </c>
      <c r="AB231">
        <v>1821</v>
      </c>
      <c r="AC231">
        <v>528130</v>
      </c>
      <c r="AD231">
        <v>1.96</v>
      </c>
      <c r="AE231">
        <v>1709</v>
      </c>
      <c r="AF231">
        <v>1.85</v>
      </c>
    </row>
    <row r="232" spans="1:32" x14ac:dyDescent="0.25">
      <c r="A232" s="33">
        <v>45993</v>
      </c>
      <c r="B232">
        <v>290</v>
      </c>
      <c r="C232">
        <v>6</v>
      </c>
      <c r="D232">
        <v>6</v>
      </c>
      <c r="E232">
        <v>0</v>
      </c>
      <c r="F232">
        <v>0</v>
      </c>
      <c r="G232">
        <v>0</v>
      </c>
      <c r="H232" s="44">
        <f t="shared" si="28"/>
        <v>0</v>
      </c>
      <c r="I232" s="47">
        <f t="shared" si="29"/>
        <v>0</v>
      </c>
      <c r="J232" s="44">
        <f t="shared" si="30"/>
        <v>274</v>
      </c>
      <c r="K232">
        <v>2</v>
      </c>
      <c r="L232">
        <v>2</v>
      </c>
      <c r="M232">
        <v>1</v>
      </c>
      <c r="N232" s="44">
        <f t="shared" ref="N232:N278" si="34">J232+K232-L232</f>
        <v>274</v>
      </c>
      <c r="O232">
        <v>1</v>
      </c>
      <c r="P232">
        <v>5</v>
      </c>
      <c r="Q232">
        <v>14</v>
      </c>
      <c r="R232" s="44">
        <f t="shared" ref="R232:R278" si="35">O232+P232+Q232</f>
        <v>20</v>
      </c>
      <c r="S232">
        <v>3</v>
      </c>
      <c r="T232">
        <v>7</v>
      </c>
      <c r="U232" s="44">
        <f t="shared" si="27"/>
        <v>10</v>
      </c>
      <c r="V232">
        <v>14</v>
      </c>
      <c r="W232">
        <v>7</v>
      </c>
      <c r="X232">
        <v>0</v>
      </c>
      <c r="Y232" s="48">
        <f t="shared" si="31"/>
        <v>0.94482758620689655</v>
      </c>
      <c r="Z232" s="48">
        <f t="shared" si="32"/>
        <v>0.96206896551724141</v>
      </c>
      <c r="AA232" s="48">
        <f t="shared" si="33"/>
        <v>7.2413793103448282E-2</v>
      </c>
      <c r="AB232">
        <v>1821</v>
      </c>
      <c r="AC232">
        <v>528130</v>
      </c>
      <c r="AD232">
        <v>1.96</v>
      </c>
      <c r="AE232">
        <v>1712</v>
      </c>
      <c r="AF232">
        <v>1.85</v>
      </c>
    </row>
    <row r="233" spans="1:32" x14ac:dyDescent="0.25">
      <c r="A233" s="33">
        <v>46000</v>
      </c>
      <c r="B233">
        <v>290</v>
      </c>
      <c r="C233">
        <v>3</v>
      </c>
      <c r="D233">
        <v>3</v>
      </c>
      <c r="E233">
        <v>1</v>
      </c>
      <c r="F233">
        <v>0</v>
      </c>
      <c r="G233">
        <v>0</v>
      </c>
      <c r="H233" s="44">
        <f t="shared" si="28"/>
        <v>1</v>
      </c>
      <c r="I233" s="47">
        <f t="shared" si="29"/>
        <v>0.33333333333333331</v>
      </c>
      <c r="J233" s="44">
        <f t="shared" si="30"/>
        <v>274</v>
      </c>
      <c r="K233">
        <v>3</v>
      </c>
      <c r="L233">
        <v>3</v>
      </c>
      <c r="M233">
        <v>1</v>
      </c>
      <c r="N233" s="44">
        <f t="shared" si="34"/>
        <v>274</v>
      </c>
      <c r="O233">
        <v>1</v>
      </c>
      <c r="P233">
        <v>5</v>
      </c>
      <c r="Q233">
        <v>13</v>
      </c>
      <c r="R233" s="44">
        <f t="shared" si="35"/>
        <v>19</v>
      </c>
      <c r="S233">
        <v>2</v>
      </c>
      <c r="T233">
        <v>10</v>
      </c>
      <c r="U233" s="44">
        <f t="shared" si="27"/>
        <v>12</v>
      </c>
      <c r="V233">
        <v>14</v>
      </c>
      <c r="W233">
        <v>9</v>
      </c>
      <c r="X233">
        <v>0</v>
      </c>
      <c r="Y233" s="48">
        <f t="shared" si="31"/>
        <v>0.94482758620689655</v>
      </c>
      <c r="Z233" s="48">
        <f t="shared" si="32"/>
        <v>0.96206896551724141</v>
      </c>
      <c r="AA233" s="48">
        <f t="shared" si="33"/>
        <v>7.9310344827586213E-2</v>
      </c>
      <c r="AB233">
        <v>1821</v>
      </c>
      <c r="AC233">
        <v>528130</v>
      </c>
      <c r="AD233">
        <v>1.96</v>
      </c>
      <c r="AE233">
        <v>1712</v>
      </c>
      <c r="AF233">
        <v>1.85</v>
      </c>
    </row>
    <row r="234" spans="1:32" x14ac:dyDescent="0.25">
      <c r="A234" s="33">
        <v>46007</v>
      </c>
      <c r="B234">
        <v>290</v>
      </c>
      <c r="C234">
        <v>5</v>
      </c>
      <c r="D234">
        <v>5</v>
      </c>
      <c r="E234">
        <v>0</v>
      </c>
      <c r="F234">
        <v>1</v>
      </c>
      <c r="G234">
        <v>1</v>
      </c>
      <c r="H234" s="44">
        <f t="shared" si="28"/>
        <v>-2</v>
      </c>
      <c r="I234" s="47">
        <f t="shared" si="29"/>
        <v>-0.4</v>
      </c>
      <c r="J234" s="44">
        <f t="shared" si="30"/>
        <v>274</v>
      </c>
      <c r="K234">
        <v>3</v>
      </c>
      <c r="L234">
        <v>2</v>
      </c>
      <c r="M234">
        <v>0</v>
      </c>
      <c r="N234" s="44">
        <f t="shared" si="34"/>
        <v>275</v>
      </c>
      <c r="O234">
        <v>1</v>
      </c>
      <c r="P234">
        <v>2</v>
      </c>
      <c r="Q234">
        <v>16</v>
      </c>
      <c r="R234" s="44">
        <f t="shared" si="35"/>
        <v>19</v>
      </c>
      <c r="S234">
        <v>0</v>
      </c>
      <c r="T234">
        <v>9</v>
      </c>
      <c r="U234" s="44">
        <f t="shared" si="27"/>
        <v>9</v>
      </c>
      <c r="V234">
        <v>16</v>
      </c>
      <c r="W234">
        <v>9</v>
      </c>
      <c r="X234">
        <v>0</v>
      </c>
      <c r="Y234" s="48">
        <f t="shared" si="31"/>
        <v>0.94827586206896552</v>
      </c>
      <c r="Z234" s="48">
        <f t="shared" si="32"/>
        <v>0.95517241379310347</v>
      </c>
      <c r="AA234" s="48">
        <f t="shared" si="33"/>
        <v>8.6206896551724144E-2</v>
      </c>
      <c r="AB234">
        <v>1821</v>
      </c>
      <c r="AC234">
        <v>528130</v>
      </c>
      <c r="AD234">
        <v>1.96</v>
      </c>
      <c r="AE234">
        <v>1711</v>
      </c>
      <c r="AF234">
        <v>1.85</v>
      </c>
    </row>
    <row r="235" spans="1:32" x14ac:dyDescent="0.25">
      <c r="A235" s="33">
        <v>46014</v>
      </c>
      <c r="B235">
        <v>290</v>
      </c>
      <c r="C235">
        <v>11</v>
      </c>
      <c r="D235">
        <v>11</v>
      </c>
      <c r="E235">
        <v>3</v>
      </c>
      <c r="F235">
        <v>0</v>
      </c>
      <c r="G235">
        <v>0</v>
      </c>
      <c r="H235" s="44">
        <f t="shared" si="28"/>
        <v>3</v>
      </c>
      <c r="I235" s="47">
        <f t="shared" si="29"/>
        <v>0.27272727272727271</v>
      </c>
      <c r="J235" s="44">
        <f t="shared" si="30"/>
        <v>275</v>
      </c>
      <c r="K235">
        <v>0</v>
      </c>
      <c r="L235">
        <v>1</v>
      </c>
      <c r="M235">
        <v>0</v>
      </c>
      <c r="N235" s="44">
        <f t="shared" si="34"/>
        <v>274</v>
      </c>
      <c r="O235">
        <v>1</v>
      </c>
      <c r="P235">
        <v>4</v>
      </c>
      <c r="Q235">
        <v>15</v>
      </c>
      <c r="R235" s="44">
        <f t="shared" si="35"/>
        <v>20</v>
      </c>
      <c r="S235">
        <v>1</v>
      </c>
      <c r="T235">
        <v>6</v>
      </c>
      <c r="U235" s="44">
        <f t="shared" si="27"/>
        <v>7</v>
      </c>
      <c r="V235">
        <v>13</v>
      </c>
      <c r="W235">
        <v>7</v>
      </c>
      <c r="X235">
        <v>0</v>
      </c>
      <c r="Y235" s="48">
        <f t="shared" si="31"/>
        <v>0.94482758620689655</v>
      </c>
      <c r="Z235" s="48">
        <f t="shared" si="32"/>
        <v>0.95862068965517244</v>
      </c>
      <c r="AA235" s="48">
        <f t="shared" si="33"/>
        <v>7.2413793103448282E-2</v>
      </c>
      <c r="AB235">
        <v>1821</v>
      </c>
      <c r="AC235">
        <v>528130</v>
      </c>
      <c r="AD235">
        <v>1.96</v>
      </c>
      <c r="AE235">
        <v>1712</v>
      </c>
      <c r="AF235">
        <v>1.85</v>
      </c>
    </row>
    <row r="236" spans="1:32" x14ac:dyDescent="0.25">
      <c r="A236" s="33">
        <v>46021</v>
      </c>
      <c r="B236">
        <v>290</v>
      </c>
      <c r="C236">
        <v>5</v>
      </c>
      <c r="D236">
        <v>5</v>
      </c>
      <c r="E236">
        <v>1</v>
      </c>
      <c r="F236">
        <v>0</v>
      </c>
      <c r="G236">
        <v>0</v>
      </c>
      <c r="H236" s="44">
        <f t="shared" si="28"/>
        <v>1</v>
      </c>
      <c r="I236" s="47">
        <f t="shared" si="29"/>
        <v>0.2</v>
      </c>
      <c r="J236" s="44">
        <f t="shared" si="30"/>
        <v>274</v>
      </c>
      <c r="K236">
        <v>1</v>
      </c>
      <c r="L236">
        <v>0</v>
      </c>
      <c r="M236">
        <v>0</v>
      </c>
      <c r="N236" s="44">
        <f t="shared" si="34"/>
        <v>275</v>
      </c>
      <c r="O236">
        <v>1</v>
      </c>
      <c r="P236">
        <v>4</v>
      </c>
      <c r="Q236">
        <v>14</v>
      </c>
      <c r="R236" s="44">
        <f t="shared" si="35"/>
        <v>19</v>
      </c>
      <c r="S236">
        <v>2</v>
      </c>
      <c r="T236">
        <v>8</v>
      </c>
      <c r="U236" s="44">
        <f t="shared" si="27"/>
        <v>10</v>
      </c>
      <c r="V236">
        <v>12</v>
      </c>
      <c r="W236">
        <v>10</v>
      </c>
      <c r="X236">
        <v>0</v>
      </c>
      <c r="Y236" s="48">
        <f t="shared" si="31"/>
        <v>0.94827586206896552</v>
      </c>
      <c r="Z236" s="48">
        <f t="shared" si="32"/>
        <v>0.96206896551724141</v>
      </c>
      <c r="AA236" s="48">
        <f t="shared" si="33"/>
        <v>7.586206896551724E-2</v>
      </c>
      <c r="AB236">
        <v>1821</v>
      </c>
      <c r="AC236">
        <v>528130</v>
      </c>
      <c r="AD236">
        <v>1.96</v>
      </c>
      <c r="AE236">
        <v>1710</v>
      </c>
      <c r="AF236">
        <v>1.85</v>
      </c>
    </row>
    <row r="237" spans="1:32" x14ac:dyDescent="0.25">
      <c r="A237" s="33">
        <v>46028</v>
      </c>
      <c r="B237">
        <v>290</v>
      </c>
      <c r="C237">
        <v>8</v>
      </c>
      <c r="D237">
        <v>8</v>
      </c>
      <c r="E237">
        <v>2</v>
      </c>
      <c r="F237">
        <v>2</v>
      </c>
      <c r="G237">
        <v>1</v>
      </c>
      <c r="H237" s="44">
        <f t="shared" si="28"/>
        <v>-1</v>
      </c>
      <c r="I237" s="47">
        <f t="shared" si="29"/>
        <v>-0.125</v>
      </c>
      <c r="J237" s="44">
        <f t="shared" si="30"/>
        <v>275</v>
      </c>
      <c r="K237">
        <v>4</v>
      </c>
      <c r="L237">
        <v>2</v>
      </c>
      <c r="M237">
        <v>0</v>
      </c>
      <c r="N237" s="44">
        <f t="shared" si="34"/>
        <v>277</v>
      </c>
      <c r="O237">
        <v>1</v>
      </c>
      <c r="P237">
        <v>2</v>
      </c>
      <c r="Q237">
        <v>14</v>
      </c>
      <c r="R237" s="44">
        <f t="shared" si="35"/>
        <v>17</v>
      </c>
      <c r="S237">
        <v>1</v>
      </c>
      <c r="T237">
        <v>13</v>
      </c>
      <c r="U237" s="44">
        <f t="shared" si="27"/>
        <v>14</v>
      </c>
      <c r="V237">
        <v>14</v>
      </c>
      <c r="W237">
        <v>12</v>
      </c>
      <c r="X237">
        <v>1</v>
      </c>
      <c r="Y237" s="48">
        <f t="shared" si="31"/>
        <v>0.95517241379310347</v>
      </c>
      <c r="Z237" s="48">
        <f t="shared" si="32"/>
        <v>0.96206896551724141</v>
      </c>
      <c r="AA237" s="48">
        <f t="shared" si="33"/>
        <v>9.3103448275862075E-2</v>
      </c>
      <c r="AB237">
        <v>1821</v>
      </c>
      <c r="AC237">
        <v>528130</v>
      </c>
      <c r="AD237">
        <v>1.96</v>
      </c>
      <c r="AE237">
        <v>1709</v>
      </c>
      <c r="AF237">
        <v>1.85</v>
      </c>
    </row>
    <row r="238" spans="1:32" x14ac:dyDescent="0.25">
      <c r="A238" s="33">
        <v>46035</v>
      </c>
      <c r="B238">
        <v>290</v>
      </c>
      <c r="C238">
        <v>10</v>
      </c>
      <c r="D238">
        <v>10</v>
      </c>
      <c r="E238">
        <v>1</v>
      </c>
      <c r="F238">
        <v>0</v>
      </c>
      <c r="G238">
        <v>0</v>
      </c>
      <c r="H238" s="44">
        <f t="shared" si="28"/>
        <v>1</v>
      </c>
      <c r="I238" s="47">
        <f t="shared" si="29"/>
        <v>0.1</v>
      </c>
      <c r="J238" s="44">
        <f t="shared" si="30"/>
        <v>277</v>
      </c>
      <c r="K238">
        <v>1</v>
      </c>
      <c r="L238">
        <v>5</v>
      </c>
      <c r="M238">
        <v>0</v>
      </c>
      <c r="N238" s="44">
        <f t="shared" si="34"/>
        <v>273</v>
      </c>
      <c r="O238">
        <v>1</v>
      </c>
      <c r="P238">
        <v>2</v>
      </c>
      <c r="Q238">
        <v>18</v>
      </c>
      <c r="R238" s="44">
        <f t="shared" si="35"/>
        <v>21</v>
      </c>
      <c r="S238">
        <v>1</v>
      </c>
      <c r="T238">
        <v>11</v>
      </c>
      <c r="U238" s="44">
        <f t="shared" si="27"/>
        <v>12</v>
      </c>
      <c r="V238">
        <v>15</v>
      </c>
      <c r="W238">
        <v>12</v>
      </c>
      <c r="X238">
        <v>2</v>
      </c>
      <c r="Y238" s="48">
        <f t="shared" si="31"/>
        <v>0.94137931034482758</v>
      </c>
      <c r="Z238" s="48">
        <f t="shared" si="32"/>
        <v>0.94827586206896552</v>
      </c>
      <c r="AA238" s="48">
        <f t="shared" si="33"/>
        <v>0.1</v>
      </c>
      <c r="AB238">
        <v>1821</v>
      </c>
      <c r="AC238">
        <v>528130</v>
      </c>
      <c r="AD238">
        <v>1.96</v>
      </c>
      <c r="AE238">
        <v>1706</v>
      </c>
      <c r="AF238">
        <v>1.85</v>
      </c>
    </row>
    <row r="239" spans="1:32" x14ac:dyDescent="0.25">
      <c r="A239" s="33">
        <v>46042</v>
      </c>
      <c r="B239">
        <v>290</v>
      </c>
      <c r="C239">
        <v>8</v>
      </c>
      <c r="D239">
        <v>8</v>
      </c>
      <c r="E239">
        <v>3</v>
      </c>
      <c r="F239">
        <v>0</v>
      </c>
      <c r="G239">
        <v>0</v>
      </c>
      <c r="H239" s="44">
        <f t="shared" si="28"/>
        <v>3</v>
      </c>
      <c r="I239" s="47">
        <f t="shared" si="29"/>
        <v>0.375</v>
      </c>
      <c r="J239" s="44">
        <f t="shared" si="30"/>
        <v>273</v>
      </c>
      <c r="K239">
        <v>1</v>
      </c>
      <c r="L239">
        <v>2</v>
      </c>
      <c r="M239">
        <v>0</v>
      </c>
      <c r="N239" s="44">
        <f t="shared" si="34"/>
        <v>272</v>
      </c>
      <c r="O239">
        <v>1</v>
      </c>
      <c r="P239">
        <v>4</v>
      </c>
      <c r="Q239">
        <v>17</v>
      </c>
      <c r="R239" s="44">
        <f t="shared" si="35"/>
        <v>22</v>
      </c>
      <c r="S239">
        <v>1</v>
      </c>
      <c r="T239">
        <v>13</v>
      </c>
      <c r="U239" s="44">
        <f t="shared" si="27"/>
        <v>14</v>
      </c>
      <c r="V239">
        <v>17</v>
      </c>
      <c r="W239">
        <v>11</v>
      </c>
      <c r="X239">
        <v>2</v>
      </c>
      <c r="Y239" s="48">
        <f t="shared" si="31"/>
        <v>0.93793103448275861</v>
      </c>
      <c r="Z239" s="48">
        <f t="shared" si="32"/>
        <v>0.9517241379310345</v>
      </c>
      <c r="AA239" s="48">
        <f t="shared" si="33"/>
        <v>0.10344827586206896</v>
      </c>
      <c r="AB239">
        <v>1821</v>
      </c>
      <c r="AC239">
        <v>528130</v>
      </c>
      <c r="AD239">
        <v>1.96</v>
      </c>
      <c r="AE239">
        <v>1708</v>
      </c>
      <c r="AF239">
        <v>1.85</v>
      </c>
    </row>
    <row r="240" spans="1:32" x14ac:dyDescent="0.25">
      <c r="A240" s="33">
        <v>46049</v>
      </c>
      <c r="B240">
        <v>290</v>
      </c>
      <c r="C240">
        <v>10</v>
      </c>
      <c r="D240">
        <v>10</v>
      </c>
      <c r="E240">
        <v>1</v>
      </c>
      <c r="F240">
        <v>0</v>
      </c>
      <c r="G240">
        <v>0</v>
      </c>
      <c r="H240" s="44">
        <f t="shared" si="28"/>
        <v>1</v>
      </c>
      <c r="I240" s="47">
        <f t="shared" si="29"/>
        <v>0.1</v>
      </c>
      <c r="J240" s="44">
        <f t="shared" si="30"/>
        <v>272</v>
      </c>
      <c r="K240">
        <v>0</v>
      </c>
      <c r="L240">
        <v>1</v>
      </c>
      <c r="M240">
        <v>0</v>
      </c>
      <c r="N240" s="44">
        <f t="shared" si="34"/>
        <v>271</v>
      </c>
      <c r="O240">
        <v>1</v>
      </c>
      <c r="P240">
        <v>5</v>
      </c>
      <c r="Q240">
        <v>17</v>
      </c>
      <c r="R240" s="44">
        <f t="shared" si="35"/>
        <v>23</v>
      </c>
      <c r="S240">
        <v>1</v>
      </c>
      <c r="T240">
        <v>13</v>
      </c>
      <c r="U240" s="44">
        <f t="shared" si="27"/>
        <v>14</v>
      </c>
      <c r="V240">
        <v>18</v>
      </c>
      <c r="W240">
        <v>10</v>
      </c>
      <c r="X240">
        <v>2</v>
      </c>
      <c r="Y240" s="48">
        <f t="shared" si="31"/>
        <v>0.93448275862068964</v>
      </c>
      <c r="Z240" s="48">
        <f t="shared" si="32"/>
        <v>0.9517241379310345</v>
      </c>
      <c r="AA240" s="48">
        <f t="shared" si="33"/>
        <v>0.10344827586206896</v>
      </c>
      <c r="AB240">
        <v>1821</v>
      </c>
      <c r="AC240">
        <v>528130</v>
      </c>
      <c r="AD240">
        <v>1.96</v>
      </c>
      <c r="AE240">
        <v>1707</v>
      </c>
      <c r="AF240">
        <v>1.85</v>
      </c>
    </row>
    <row r="241" spans="1:32" x14ac:dyDescent="0.25">
      <c r="A241" s="33">
        <v>46056</v>
      </c>
      <c r="B241">
        <v>290</v>
      </c>
      <c r="C241">
        <v>3</v>
      </c>
      <c r="D241">
        <v>3</v>
      </c>
      <c r="E241">
        <v>0</v>
      </c>
      <c r="F241">
        <v>0</v>
      </c>
      <c r="G241">
        <v>0</v>
      </c>
      <c r="H241" s="44">
        <f t="shared" si="28"/>
        <v>0</v>
      </c>
      <c r="I241" s="47">
        <f t="shared" si="29"/>
        <v>0</v>
      </c>
      <c r="J241" s="44">
        <f t="shared" si="30"/>
        <v>271</v>
      </c>
      <c r="K241">
        <v>3</v>
      </c>
      <c r="L241">
        <v>3</v>
      </c>
      <c r="M241">
        <v>0</v>
      </c>
      <c r="N241" s="44">
        <f t="shared" si="34"/>
        <v>271</v>
      </c>
      <c r="O241">
        <v>1</v>
      </c>
      <c r="P241">
        <v>3</v>
      </c>
      <c r="Q241">
        <v>19</v>
      </c>
      <c r="R241" s="44">
        <f t="shared" si="35"/>
        <v>23</v>
      </c>
      <c r="S241">
        <v>0</v>
      </c>
      <c r="T241">
        <v>14</v>
      </c>
      <c r="U241" s="44">
        <f t="shared" si="27"/>
        <v>14</v>
      </c>
      <c r="V241">
        <v>19</v>
      </c>
      <c r="W241">
        <v>12</v>
      </c>
      <c r="X241">
        <v>2</v>
      </c>
      <c r="Y241" s="48">
        <f t="shared" si="31"/>
        <v>0.93448275862068964</v>
      </c>
      <c r="Z241" s="48">
        <f t="shared" si="32"/>
        <v>0.94482758620689655</v>
      </c>
      <c r="AA241" s="48">
        <f t="shared" si="33"/>
        <v>0.11379310344827587</v>
      </c>
      <c r="AB241">
        <v>1821</v>
      </c>
      <c r="AC241">
        <v>528130</v>
      </c>
      <c r="AD241">
        <v>1.96</v>
      </c>
      <c r="AE241">
        <v>1706</v>
      </c>
      <c r="AF241">
        <v>1.85</v>
      </c>
    </row>
    <row r="242" spans="1:32" x14ac:dyDescent="0.25">
      <c r="A242" s="33">
        <v>46063</v>
      </c>
      <c r="B242">
        <v>290</v>
      </c>
      <c r="C242">
        <v>10</v>
      </c>
      <c r="D242">
        <v>10</v>
      </c>
      <c r="E242">
        <v>1</v>
      </c>
      <c r="F242">
        <v>1</v>
      </c>
      <c r="G242">
        <v>0</v>
      </c>
      <c r="H242" s="44">
        <f t="shared" si="28"/>
        <v>0</v>
      </c>
      <c r="I242" s="47">
        <f t="shared" si="29"/>
        <v>0</v>
      </c>
      <c r="J242" s="44">
        <f t="shared" si="30"/>
        <v>271</v>
      </c>
      <c r="K242">
        <v>1</v>
      </c>
      <c r="L242">
        <v>1</v>
      </c>
      <c r="M242">
        <v>0</v>
      </c>
      <c r="N242" s="44">
        <f t="shared" si="34"/>
        <v>271</v>
      </c>
      <c r="O242">
        <v>1</v>
      </c>
      <c r="P242">
        <v>1</v>
      </c>
      <c r="Q242">
        <v>21</v>
      </c>
      <c r="R242" s="44">
        <v>23</v>
      </c>
      <c r="S242">
        <v>1</v>
      </c>
      <c r="T242">
        <v>14</v>
      </c>
      <c r="U242" s="44">
        <f t="shared" si="27"/>
        <v>15</v>
      </c>
      <c r="V242">
        <v>20</v>
      </c>
      <c r="W242">
        <v>6</v>
      </c>
      <c r="X242">
        <v>2</v>
      </c>
      <c r="Y242" s="48">
        <f t="shared" si="31"/>
        <v>0.93448275862068964</v>
      </c>
      <c r="Z242" s="48">
        <f t="shared" si="32"/>
        <v>0.93793103448275861</v>
      </c>
      <c r="AA242" s="48">
        <f t="shared" si="33"/>
        <v>0.1206896551724138</v>
      </c>
      <c r="AB242">
        <v>1821</v>
      </c>
      <c r="AC242">
        <v>528130</v>
      </c>
      <c r="AD242">
        <v>1.96</v>
      </c>
      <c r="AE242">
        <v>1706</v>
      </c>
      <c r="AF242">
        <v>1.85</v>
      </c>
    </row>
    <row r="243" spans="1:32" x14ac:dyDescent="0.25">
      <c r="A243" s="33">
        <v>46070</v>
      </c>
      <c r="B243">
        <v>290</v>
      </c>
      <c r="C243">
        <v>17</v>
      </c>
      <c r="D243">
        <v>17</v>
      </c>
      <c r="E243">
        <v>11</v>
      </c>
      <c r="F243">
        <v>1</v>
      </c>
      <c r="G243">
        <v>3</v>
      </c>
      <c r="H243" s="44">
        <f t="shared" si="28"/>
        <v>7</v>
      </c>
      <c r="I243" s="47">
        <f t="shared" si="29"/>
        <v>0.41176470588235292</v>
      </c>
      <c r="J243" s="44">
        <f t="shared" si="30"/>
        <v>271</v>
      </c>
      <c r="K243">
        <v>1</v>
      </c>
      <c r="L243">
        <v>2</v>
      </c>
      <c r="M243">
        <v>1</v>
      </c>
      <c r="N243" s="44">
        <f t="shared" si="34"/>
        <v>270</v>
      </c>
      <c r="O243">
        <v>1</v>
      </c>
      <c r="P243">
        <v>6</v>
      </c>
      <c r="Q243">
        <v>17</v>
      </c>
      <c r="R243" s="44">
        <f t="shared" si="35"/>
        <v>24</v>
      </c>
      <c r="S243">
        <v>3</v>
      </c>
      <c r="T243">
        <v>14</v>
      </c>
      <c r="U243" s="44">
        <f t="shared" si="27"/>
        <v>17</v>
      </c>
      <c r="V243">
        <v>22</v>
      </c>
      <c r="W243">
        <v>17</v>
      </c>
      <c r="X243">
        <v>1</v>
      </c>
      <c r="Y243" s="48">
        <f t="shared" si="31"/>
        <v>0.93103448275862066</v>
      </c>
      <c r="Z243" s="48">
        <f t="shared" si="32"/>
        <v>0.9517241379310345</v>
      </c>
      <c r="AA243" s="48">
        <f t="shared" si="33"/>
        <v>0.10689655172413794</v>
      </c>
      <c r="AB243">
        <v>1821</v>
      </c>
      <c r="AC243">
        <v>528130</v>
      </c>
      <c r="AD243">
        <v>1.96</v>
      </c>
      <c r="AE243">
        <v>1703</v>
      </c>
      <c r="AF243">
        <v>1.85</v>
      </c>
    </row>
    <row r="244" spans="1:32" x14ac:dyDescent="0.25">
      <c r="A244" s="33">
        <v>46077</v>
      </c>
      <c r="B244">
        <v>290</v>
      </c>
      <c r="C244">
        <v>16</v>
      </c>
      <c r="D244">
        <v>16</v>
      </c>
      <c r="E244">
        <v>5</v>
      </c>
      <c r="F244">
        <v>3</v>
      </c>
      <c r="G244">
        <v>3</v>
      </c>
      <c r="H244" s="44">
        <f t="shared" si="28"/>
        <v>-1</v>
      </c>
      <c r="I244" s="47">
        <f t="shared" si="29"/>
        <v>-6.25E-2</v>
      </c>
      <c r="J244" s="44">
        <f t="shared" si="30"/>
        <v>270</v>
      </c>
      <c r="K244">
        <v>0</v>
      </c>
      <c r="L244">
        <v>1</v>
      </c>
      <c r="M244">
        <v>0</v>
      </c>
      <c r="N244" s="44">
        <f t="shared" si="34"/>
        <v>269</v>
      </c>
      <c r="O244">
        <v>1</v>
      </c>
      <c r="P244">
        <v>9</v>
      </c>
      <c r="Q244">
        <v>15</v>
      </c>
      <c r="R244" s="44">
        <f t="shared" si="35"/>
        <v>25</v>
      </c>
      <c r="S244">
        <v>3</v>
      </c>
      <c r="T244">
        <v>15</v>
      </c>
      <c r="U244" s="44">
        <f t="shared" si="27"/>
        <v>18</v>
      </c>
      <c r="V244">
        <v>18</v>
      </c>
      <c r="W244">
        <v>11</v>
      </c>
      <c r="X244">
        <v>1</v>
      </c>
      <c r="Y244" s="48">
        <f t="shared" si="31"/>
        <v>0.92758620689655169</v>
      </c>
      <c r="Z244" s="48">
        <f t="shared" si="32"/>
        <v>0.95862068965517244</v>
      </c>
      <c r="AA244" s="48">
        <f t="shared" si="33"/>
        <v>0.10344827586206896</v>
      </c>
      <c r="AB244">
        <v>1821</v>
      </c>
      <c r="AC244">
        <v>528130</v>
      </c>
      <c r="AD244">
        <v>1.96</v>
      </c>
      <c r="AE244">
        <v>1703</v>
      </c>
      <c r="AF244">
        <v>1.85</v>
      </c>
    </row>
    <row r="245" spans="1:32" x14ac:dyDescent="0.25">
      <c r="A245" s="33">
        <v>46084</v>
      </c>
      <c r="B245">
        <v>290</v>
      </c>
      <c r="C245">
        <v>10</v>
      </c>
      <c r="D245">
        <v>10</v>
      </c>
      <c r="E245">
        <v>3</v>
      </c>
      <c r="F245">
        <v>2</v>
      </c>
      <c r="G245">
        <v>1</v>
      </c>
      <c r="H245" s="44">
        <f t="shared" si="28"/>
        <v>0</v>
      </c>
      <c r="I245" s="47">
        <f t="shared" si="29"/>
        <v>0</v>
      </c>
      <c r="J245" s="44">
        <f t="shared" si="30"/>
        <v>269</v>
      </c>
      <c r="K245">
        <v>5</v>
      </c>
      <c r="L245">
        <v>5</v>
      </c>
      <c r="M245">
        <v>1</v>
      </c>
      <c r="N245" s="44">
        <f t="shared" si="34"/>
        <v>269</v>
      </c>
      <c r="O245">
        <v>1</v>
      </c>
      <c r="P245">
        <v>6</v>
      </c>
      <c r="Q245">
        <v>18</v>
      </c>
      <c r="R245" s="44">
        <f t="shared" si="35"/>
        <v>25</v>
      </c>
      <c r="S245">
        <v>2</v>
      </c>
      <c r="T245">
        <v>16</v>
      </c>
      <c r="U245" s="44">
        <f t="shared" si="27"/>
        <v>18</v>
      </c>
      <c r="V245">
        <v>21</v>
      </c>
      <c r="W245">
        <v>12</v>
      </c>
      <c r="X245">
        <v>1</v>
      </c>
      <c r="Y245" s="48">
        <f t="shared" si="31"/>
        <v>0.92758620689655169</v>
      </c>
      <c r="Z245" s="48">
        <f t="shared" si="32"/>
        <v>0.94827586206896552</v>
      </c>
      <c r="AA245" s="48">
        <f t="shared" si="33"/>
        <v>0.11724137931034483</v>
      </c>
      <c r="AB245">
        <v>1821</v>
      </c>
      <c r="AC245">
        <v>528130</v>
      </c>
      <c r="AD245">
        <v>1.96</v>
      </c>
      <c r="AE245">
        <v>1699</v>
      </c>
      <c r="AF245">
        <v>1.85</v>
      </c>
    </row>
    <row r="246" spans="1:32" x14ac:dyDescent="0.25">
      <c r="A246" s="33">
        <v>46091</v>
      </c>
      <c r="B246">
        <v>290</v>
      </c>
      <c r="C246">
        <v>17</v>
      </c>
      <c r="D246">
        <v>17</v>
      </c>
      <c r="E246">
        <v>4</v>
      </c>
      <c r="F246">
        <v>0</v>
      </c>
      <c r="G246">
        <v>1</v>
      </c>
      <c r="H246" s="44">
        <f t="shared" si="28"/>
        <v>3</v>
      </c>
      <c r="I246" s="47">
        <f t="shared" si="29"/>
        <v>0.17647058823529413</v>
      </c>
      <c r="J246" s="44">
        <f t="shared" si="30"/>
        <v>269</v>
      </c>
      <c r="K246">
        <v>3</v>
      </c>
      <c r="L246">
        <v>3</v>
      </c>
      <c r="M246">
        <v>0</v>
      </c>
      <c r="N246" s="44">
        <f t="shared" si="34"/>
        <v>269</v>
      </c>
      <c r="O246">
        <v>1</v>
      </c>
      <c r="P246">
        <v>7</v>
      </c>
      <c r="Q246">
        <v>17</v>
      </c>
      <c r="R246" s="44">
        <f t="shared" si="35"/>
        <v>25</v>
      </c>
      <c r="S246">
        <v>1</v>
      </c>
      <c r="T246">
        <v>15</v>
      </c>
      <c r="U246" s="44">
        <f t="shared" si="27"/>
        <v>16</v>
      </c>
      <c r="V246">
        <v>22</v>
      </c>
      <c r="W246">
        <v>4</v>
      </c>
      <c r="X246">
        <v>0</v>
      </c>
      <c r="Y246" s="48">
        <f t="shared" si="31"/>
        <v>0.92758620689655169</v>
      </c>
      <c r="Z246" s="48">
        <f t="shared" si="32"/>
        <v>0.9517241379310345</v>
      </c>
      <c r="AA246" s="48">
        <f t="shared" si="33"/>
        <v>0.1103448275862069</v>
      </c>
      <c r="AB246">
        <v>1821</v>
      </c>
      <c r="AC246">
        <v>528130</v>
      </c>
      <c r="AD246">
        <v>1.96</v>
      </c>
      <c r="AE246">
        <v>1695</v>
      </c>
      <c r="AF246">
        <v>1.85</v>
      </c>
    </row>
    <row r="247" spans="1:32" x14ac:dyDescent="0.25">
      <c r="A247" s="33">
        <v>46098</v>
      </c>
      <c r="B247">
        <v>290</v>
      </c>
      <c r="C247">
        <v>16</v>
      </c>
      <c r="D247">
        <v>16</v>
      </c>
      <c r="E247">
        <v>3</v>
      </c>
      <c r="F247">
        <v>0</v>
      </c>
      <c r="G247">
        <v>1</v>
      </c>
      <c r="H247" s="44">
        <f t="shared" si="28"/>
        <v>2</v>
      </c>
      <c r="I247" s="47">
        <f t="shared" si="29"/>
        <v>0.125</v>
      </c>
      <c r="J247" s="44">
        <f t="shared" si="30"/>
        <v>269</v>
      </c>
      <c r="K247">
        <v>4</v>
      </c>
      <c r="L247">
        <v>2</v>
      </c>
      <c r="M247">
        <v>1</v>
      </c>
      <c r="N247" s="44">
        <f t="shared" si="34"/>
        <v>271</v>
      </c>
      <c r="O247">
        <v>1</v>
      </c>
      <c r="P247">
        <v>4</v>
      </c>
      <c r="Q247">
        <v>18</v>
      </c>
      <c r="R247" s="44">
        <f t="shared" si="35"/>
        <v>23</v>
      </c>
      <c r="S247">
        <v>3</v>
      </c>
      <c r="T247">
        <v>14</v>
      </c>
      <c r="U247" s="44">
        <f t="shared" si="27"/>
        <v>17</v>
      </c>
      <c r="V247">
        <v>21</v>
      </c>
      <c r="W247">
        <v>11</v>
      </c>
      <c r="X247">
        <v>0</v>
      </c>
      <c r="Y247" s="48">
        <f t="shared" si="31"/>
        <v>0.93448275862068964</v>
      </c>
      <c r="Z247" s="48">
        <f t="shared" si="32"/>
        <v>0.94827586206896552</v>
      </c>
      <c r="AA247" s="48">
        <f t="shared" si="33"/>
        <v>0.1103448275862069</v>
      </c>
      <c r="AB247">
        <v>1821</v>
      </c>
      <c r="AC247">
        <v>528130</v>
      </c>
      <c r="AD247">
        <v>1.96</v>
      </c>
      <c r="AE247">
        <v>1694</v>
      </c>
      <c r="AF247">
        <v>1.84</v>
      </c>
    </row>
    <row r="248" spans="1:32" x14ac:dyDescent="0.25">
      <c r="A248" s="33">
        <v>46105</v>
      </c>
      <c r="B248">
        <v>290</v>
      </c>
      <c r="C248">
        <v>11</v>
      </c>
      <c r="D248">
        <v>11</v>
      </c>
      <c r="E248">
        <v>3</v>
      </c>
      <c r="F248">
        <v>0</v>
      </c>
      <c r="G248">
        <v>0</v>
      </c>
      <c r="H248" s="44">
        <f t="shared" si="28"/>
        <v>3</v>
      </c>
      <c r="I248" s="47">
        <f t="shared" si="29"/>
        <v>0.27272727272727271</v>
      </c>
      <c r="J248" s="44">
        <f t="shared" si="30"/>
        <v>271</v>
      </c>
      <c r="K248">
        <v>2</v>
      </c>
      <c r="L248">
        <v>2</v>
      </c>
      <c r="M248">
        <v>1</v>
      </c>
      <c r="N248" s="44">
        <f t="shared" si="34"/>
        <v>271</v>
      </c>
      <c r="O248">
        <v>1</v>
      </c>
      <c r="P248">
        <v>5</v>
      </c>
      <c r="Q248">
        <v>17</v>
      </c>
      <c r="R248" s="44">
        <f t="shared" si="35"/>
        <v>23</v>
      </c>
      <c r="S248">
        <v>4</v>
      </c>
      <c r="T248">
        <v>12</v>
      </c>
      <c r="U248" s="44">
        <f t="shared" si="27"/>
        <v>16</v>
      </c>
      <c r="V248">
        <v>20</v>
      </c>
      <c r="W248">
        <v>9</v>
      </c>
      <c r="X248">
        <v>0</v>
      </c>
      <c r="Y248" s="48">
        <f t="shared" si="31"/>
        <v>0.93448275862068964</v>
      </c>
      <c r="Z248" s="48">
        <f t="shared" si="32"/>
        <v>0.9517241379310345</v>
      </c>
      <c r="AA248" s="48">
        <f t="shared" si="33"/>
        <v>0.1</v>
      </c>
      <c r="AB248">
        <v>1821</v>
      </c>
      <c r="AC248">
        <v>528130</v>
      </c>
      <c r="AD248">
        <v>1.96</v>
      </c>
      <c r="AE248">
        <v>1694</v>
      </c>
      <c r="AF248">
        <v>1.84</v>
      </c>
    </row>
    <row r="249" spans="1:32" x14ac:dyDescent="0.25">
      <c r="A249" s="33">
        <v>46112</v>
      </c>
      <c r="B249">
        <v>290</v>
      </c>
      <c r="C249">
        <v>19</v>
      </c>
      <c r="D249">
        <v>19</v>
      </c>
      <c r="E249">
        <v>6</v>
      </c>
      <c r="F249">
        <v>0</v>
      </c>
      <c r="G249">
        <v>0</v>
      </c>
      <c r="H249" s="44">
        <f t="shared" si="28"/>
        <v>6</v>
      </c>
      <c r="I249" s="47">
        <f t="shared" si="29"/>
        <v>0.31578947368421051</v>
      </c>
      <c r="J249" s="44">
        <f t="shared" si="30"/>
        <v>271</v>
      </c>
      <c r="K249">
        <v>3</v>
      </c>
      <c r="L249">
        <v>1</v>
      </c>
      <c r="M249">
        <v>0</v>
      </c>
      <c r="N249" s="44">
        <f t="shared" si="34"/>
        <v>273</v>
      </c>
      <c r="O249">
        <v>1</v>
      </c>
      <c r="P249">
        <v>7</v>
      </c>
      <c r="Q249">
        <v>13</v>
      </c>
      <c r="R249" s="44">
        <f t="shared" si="35"/>
        <v>21</v>
      </c>
      <c r="S249">
        <v>5</v>
      </c>
      <c r="T249">
        <v>12</v>
      </c>
      <c r="U249" s="44">
        <f t="shared" si="27"/>
        <v>17</v>
      </c>
      <c r="V249">
        <v>17</v>
      </c>
      <c r="W249">
        <v>8</v>
      </c>
      <c r="X249">
        <v>0</v>
      </c>
      <c r="Y249" s="48">
        <f t="shared" si="31"/>
        <v>0.94137931034482758</v>
      </c>
      <c r="Z249" s="48">
        <f t="shared" si="32"/>
        <v>0.96551724137931039</v>
      </c>
      <c r="AA249" s="48">
        <f t="shared" si="33"/>
        <v>8.6206896551724144E-2</v>
      </c>
      <c r="AB249">
        <v>1821</v>
      </c>
      <c r="AC249">
        <v>528130</v>
      </c>
      <c r="AD249">
        <v>1.96</v>
      </c>
      <c r="AE249">
        <v>1698</v>
      </c>
      <c r="AF249">
        <v>1.85</v>
      </c>
    </row>
    <row r="250" spans="1:32" x14ac:dyDescent="0.25">
      <c r="A250" s="33">
        <v>46119</v>
      </c>
      <c r="B250">
        <v>290</v>
      </c>
      <c r="C250">
        <v>14</v>
      </c>
      <c r="D250">
        <v>14</v>
      </c>
      <c r="E250">
        <v>1</v>
      </c>
      <c r="F250">
        <v>1</v>
      </c>
      <c r="G250">
        <v>0</v>
      </c>
      <c r="H250" s="44">
        <f t="shared" si="28"/>
        <v>0</v>
      </c>
      <c r="I250" s="47">
        <f t="shared" si="29"/>
        <v>0</v>
      </c>
      <c r="J250" s="44">
        <f t="shared" si="30"/>
        <v>273</v>
      </c>
      <c r="K250">
        <v>2</v>
      </c>
      <c r="L250">
        <v>6</v>
      </c>
      <c r="M250">
        <v>2</v>
      </c>
      <c r="N250" s="44">
        <f t="shared" si="34"/>
        <v>269</v>
      </c>
      <c r="O250">
        <v>1</v>
      </c>
      <c r="P250">
        <v>8</v>
      </c>
      <c r="Q250">
        <v>16</v>
      </c>
      <c r="R250" s="44">
        <f t="shared" si="35"/>
        <v>25</v>
      </c>
      <c r="S250">
        <v>4</v>
      </c>
      <c r="T250">
        <v>12</v>
      </c>
      <c r="U250" s="44">
        <f t="shared" si="27"/>
        <v>16</v>
      </c>
      <c r="V250">
        <v>18</v>
      </c>
      <c r="W250">
        <v>9</v>
      </c>
      <c r="X250">
        <v>1</v>
      </c>
      <c r="Y250" s="48">
        <f t="shared" si="31"/>
        <v>0.92758620689655169</v>
      </c>
      <c r="Z250" s="48">
        <f t="shared" si="32"/>
        <v>0.95517241379310347</v>
      </c>
      <c r="AA250" s="48">
        <f t="shared" si="33"/>
        <v>9.6551724137931033E-2</v>
      </c>
      <c r="AB250">
        <v>1821</v>
      </c>
      <c r="AC250">
        <v>528130</v>
      </c>
      <c r="AD250">
        <v>1.96</v>
      </c>
      <c r="AE250">
        <v>1700</v>
      </c>
      <c r="AF250">
        <v>1.85</v>
      </c>
    </row>
    <row r="251" spans="1:32" x14ac:dyDescent="0.25">
      <c r="A251" s="33">
        <v>46126</v>
      </c>
      <c r="B251">
        <v>290</v>
      </c>
      <c r="C251">
        <v>15</v>
      </c>
      <c r="D251">
        <v>15</v>
      </c>
      <c r="E251">
        <v>5</v>
      </c>
      <c r="F251">
        <v>0</v>
      </c>
      <c r="G251">
        <v>0</v>
      </c>
      <c r="H251" s="44">
        <f t="shared" si="28"/>
        <v>5</v>
      </c>
      <c r="I251" s="47">
        <f t="shared" si="29"/>
        <v>0.33333333333333331</v>
      </c>
      <c r="J251" s="44">
        <f t="shared" si="30"/>
        <v>269</v>
      </c>
      <c r="K251">
        <v>8</v>
      </c>
      <c r="L251">
        <v>5</v>
      </c>
      <c r="M251">
        <v>2</v>
      </c>
      <c r="N251" s="44">
        <f t="shared" si="34"/>
        <v>272</v>
      </c>
      <c r="O251">
        <v>1</v>
      </c>
      <c r="P251">
        <v>7</v>
      </c>
      <c r="Q251">
        <v>14</v>
      </c>
      <c r="R251" s="44">
        <f t="shared" si="35"/>
        <v>22</v>
      </c>
      <c r="S251">
        <v>4</v>
      </c>
      <c r="T251">
        <v>10</v>
      </c>
      <c r="U251" s="44">
        <f t="shared" si="27"/>
        <v>14</v>
      </c>
      <c r="V251">
        <v>13</v>
      </c>
      <c r="W251">
        <v>9</v>
      </c>
      <c r="X251">
        <v>2</v>
      </c>
      <c r="Y251" s="48">
        <f t="shared" si="31"/>
        <v>0.93793103448275861</v>
      </c>
      <c r="Z251" s="48">
        <f t="shared" si="32"/>
        <v>0.96206896551724141</v>
      </c>
      <c r="AA251" s="48">
        <f t="shared" si="33"/>
        <v>8.2758620689655171E-2</v>
      </c>
      <c r="AB251">
        <v>1821</v>
      </c>
      <c r="AC251">
        <v>528130</v>
      </c>
      <c r="AD251">
        <v>1.96</v>
      </c>
      <c r="AE251">
        <v>1692</v>
      </c>
      <c r="AF251">
        <v>1.84</v>
      </c>
    </row>
    <row r="252" spans="1:32" x14ac:dyDescent="0.25">
      <c r="A252" s="33">
        <v>46133</v>
      </c>
      <c r="B252">
        <v>290</v>
      </c>
      <c r="C252">
        <v>9</v>
      </c>
      <c r="D252">
        <v>9</v>
      </c>
      <c r="E252">
        <v>4</v>
      </c>
      <c r="F252">
        <v>0</v>
      </c>
      <c r="G252">
        <v>0</v>
      </c>
      <c r="H252" s="44">
        <f t="shared" si="28"/>
        <v>4</v>
      </c>
      <c r="I252" s="47">
        <f t="shared" si="29"/>
        <v>0.44444444444444442</v>
      </c>
      <c r="J252" s="44">
        <f t="shared" si="30"/>
        <v>272</v>
      </c>
      <c r="K252">
        <v>3</v>
      </c>
      <c r="L252">
        <v>1</v>
      </c>
      <c r="M252">
        <v>1</v>
      </c>
      <c r="N252" s="44">
        <f t="shared" si="34"/>
        <v>274</v>
      </c>
      <c r="O252">
        <v>1</v>
      </c>
      <c r="P252">
        <v>8</v>
      </c>
      <c r="Q252">
        <v>11</v>
      </c>
      <c r="R252" s="44">
        <f t="shared" si="35"/>
        <v>20</v>
      </c>
      <c r="S252">
        <v>5</v>
      </c>
      <c r="T252">
        <v>12</v>
      </c>
      <c r="U252" s="44">
        <f t="shared" si="27"/>
        <v>17</v>
      </c>
      <c r="V252">
        <v>12</v>
      </c>
      <c r="W252">
        <v>10</v>
      </c>
      <c r="X252">
        <v>1</v>
      </c>
      <c r="Y252" s="48">
        <f t="shared" si="31"/>
        <v>0.94482758620689655</v>
      </c>
      <c r="Z252" s="48">
        <f t="shared" si="32"/>
        <v>0.97241379310344822</v>
      </c>
      <c r="AA252" s="48">
        <f t="shared" si="33"/>
        <v>7.9310344827586213E-2</v>
      </c>
      <c r="AB252">
        <v>1821</v>
      </c>
      <c r="AC252">
        <v>528130</v>
      </c>
      <c r="AD252">
        <v>1.96</v>
      </c>
      <c r="AE252">
        <v>1690</v>
      </c>
      <c r="AF252">
        <v>1.84</v>
      </c>
    </row>
    <row r="253" spans="1:32" x14ac:dyDescent="0.25">
      <c r="A253" s="33">
        <v>46140</v>
      </c>
      <c r="B253">
        <v>290</v>
      </c>
      <c r="C253">
        <v>13</v>
      </c>
      <c r="D253">
        <v>13</v>
      </c>
      <c r="E253">
        <v>3</v>
      </c>
      <c r="F253">
        <v>0</v>
      </c>
      <c r="G253">
        <v>1</v>
      </c>
      <c r="H253" s="44">
        <f t="shared" si="28"/>
        <v>2</v>
      </c>
      <c r="I253" s="47">
        <f t="shared" si="29"/>
        <v>0.15384615384615385</v>
      </c>
      <c r="J253" s="44">
        <f t="shared" si="30"/>
        <v>274</v>
      </c>
      <c r="K253">
        <v>2</v>
      </c>
      <c r="L253">
        <v>3</v>
      </c>
      <c r="M253">
        <v>1</v>
      </c>
      <c r="N253" s="44">
        <f t="shared" si="34"/>
        <v>273</v>
      </c>
      <c r="O253">
        <v>1</v>
      </c>
      <c r="P253">
        <v>8</v>
      </c>
      <c r="Q253">
        <v>12</v>
      </c>
      <c r="R253" s="44">
        <f t="shared" si="35"/>
        <v>21</v>
      </c>
      <c r="S253">
        <v>6</v>
      </c>
      <c r="T253">
        <v>11</v>
      </c>
      <c r="U253" s="44">
        <f t="shared" si="27"/>
        <v>17</v>
      </c>
      <c r="V253">
        <v>12</v>
      </c>
      <c r="W253">
        <v>10</v>
      </c>
      <c r="X253">
        <v>1</v>
      </c>
      <c r="Y253" s="48">
        <f t="shared" si="31"/>
        <v>0.94137931034482758</v>
      </c>
      <c r="Z253" s="48">
        <f t="shared" si="32"/>
        <v>0.96896551724137936</v>
      </c>
      <c r="AA253" s="48">
        <f t="shared" si="33"/>
        <v>7.9310344827586213E-2</v>
      </c>
      <c r="AB253">
        <v>1821</v>
      </c>
      <c r="AC253">
        <v>528130</v>
      </c>
      <c r="AD253">
        <v>1.96</v>
      </c>
      <c r="AE253">
        <v>1693</v>
      </c>
      <c r="AF253">
        <v>1.85</v>
      </c>
    </row>
    <row r="254" spans="1:32" x14ac:dyDescent="0.25">
      <c r="A254" s="33">
        <v>46147</v>
      </c>
      <c r="B254">
        <v>290</v>
      </c>
      <c r="C254">
        <v>12</v>
      </c>
      <c r="D254">
        <v>12</v>
      </c>
      <c r="E254">
        <v>4</v>
      </c>
      <c r="F254">
        <v>0</v>
      </c>
      <c r="G254">
        <v>2</v>
      </c>
      <c r="H254" s="44">
        <f t="shared" si="28"/>
        <v>2</v>
      </c>
      <c r="I254" s="47">
        <f t="shared" si="29"/>
        <v>0.16666666666666666</v>
      </c>
      <c r="J254" s="44">
        <f t="shared" si="30"/>
        <v>273</v>
      </c>
      <c r="K254">
        <v>3</v>
      </c>
      <c r="L254">
        <v>4</v>
      </c>
      <c r="M254">
        <v>1</v>
      </c>
      <c r="N254" s="44">
        <f t="shared" si="34"/>
        <v>272</v>
      </c>
      <c r="O254">
        <v>1</v>
      </c>
      <c r="P254">
        <v>8</v>
      </c>
      <c r="Q254">
        <v>13</v>
      </c>
      <c r="R254" s="44">
        <f t="shared" si="35"/>
        <v>22</v>
      </c>
      <c r="S254">
        <v>6</v>
      </c>
      <c r="T254">
        <v>15</v>
      </c>
      <c r="U254" s="44">
        <f t="shared" si="27"/>
        <v>21</v>
      </c>
      <c r="V254">
        <v>18</v>
      </c>
      <c r="W254">
        <v>8</v>
      </c>
      <c r="X254">
        <v>2</v>
      </c>
      <c r="Y254" s="48">
        <f t="shared" si="31"/>
        <v>0.93793103448275861</v>
      </c>
      <c r="Z254" s="48">
        <f t="shared" si="32"/>
        <v>0.96551724137931039</v>
      </c>
      <c r="AA254" s="48">
        <f t="shared" si="33"/>
        <v>9.6551724137931033E-2</v>
      </c>
      <c r="AB254">
        <v>1821</v>
      </c>
      <c r="AC254">
        <v>528130</v>
      </c>
      <c r="AD254">
        <v>1.96</v>
      </c>
      <c r="AE254">
        <v>1688</v>
      </c>
      <c r="AF254">
        <v>1.84</v>
      </c>
    </row>
    <row r="255" spans="1:32" x14ac:dyDescent="0.25">
      <c r="A255" s="33">
        <v>46154</v>
      </c>
      <c r="B255">
        <v>290</v>
      </c>
      <c r="C255">
        <v>12</v>
      </c>
      <c r="D255">
        <v>12</v>
      </c>
      <c r="E255">
        <v>5</v>
      </c>
      <c r="F255">
        <v>0</v>
      </c>
      <c r="G255">
        <v>0</v>
      </c>
      <c r="H255" s="44">
        <f t="shared" si="28"/>
        <v>5</v>
      </c>
      <c r="I255" s="47">
        <f t="shared" si="29"/>
        <v>0.41666666666666669</v>
      </c>
      <c r="J255" s="44">
        <f t="shared" si="30"/>
        <v>272</v>
      </c>
      <c r="K255">
        <v>4</v>
      </c>
      <c r="L255">
        <v>2</v>
      </c>
      <c r="M255">
        <v>0</v>
      </c>
      <c r="N255" s="44">
        <f t="shared" si="34"/>
        <v>274</v>
      </c>
      <c r="O255">
        <v>1</v>
      </c>
      <c r="P255">
        <v>9</v>
      </c>
      <c r="Q255">
        <v>10</v>
      </c>
      <c r="R255" s="44">
        <f t="shared" si="35"/>
        <v>20</v>
      </c>
      <c r="S255">
        <v>6</v>
      </c>
      <c r="T255">
        <v>16</v>
      </c>
      <c r="U255" s="44">
        <f t="shared" si="27"/>
        <v>22</v>
      </c>
      <c r="V255">
        <v>17</v>
      </c>
      <c r="W255">
        <v>8</v>
      </c>
      <c r="X255">
        <v>1</v>
      </c>
      <c r="Y255" s="48">
        <f t="shared" si="31"/>
        <v>0.94482758620689655</v>
      </c>
      <c r="Z255" s="48">
        <f t="shared" si="32"/>
        <v>0.97586206896551719</v>
      </c>
      <c r="AA255" s="48">
        <f t="shared" si="33"/>
        <v>8.9655172413793102E-2</v>
      </c>
      <c r="AB255">
        <v>1821</v>
      </c>
      <c r="AC255">
        <v>528130</v>
      </c>
      <c r="AD255">
        <v>1.96</v>
      </c>
      <c r="AE255">
        <v>1683</v>
      </c>
      <c r="AF255">
        <v>1.84</v>
      </c>
    </row>
    <row r="256" spans="1:32" x14ac:dyDescent="0.25">
      <c r="A256" s="33">
        <v>46161</v>
      </c>
      <c r="B256">
        <v>290</v>
      </c>
      <c r="C256">
        <v>9</v>
      </c>
      <c r="D256">
        <v>9</v>
      </c>
      <c r="E256">
        <v>2</v>
      </c>
      <c r="F256">
        <v>0</v>
      </c>
      <c r="G256">
        <v>1</v>
      </c>
      <c r="H256" s="44">
        <f t="shared" si="28"/>
        <v>1</v>
      </c>
      <c r="I256" s="47">
        <f t="shared" si="29"/>
        <v>0.1111111111111111</v>
      </c>
      <c r="J256" s="44">
        <f t="shared" si="30"/>
        <v>274</v>
      </c>
      <c r="K256">
        <v>4</v>
      </c>
      <c r="L256">
        <v>2</v>
      </c>
      <c r="M256">
        <v>0</v>
      </c>
      <c r="N256" s="44">
        <f t="shared" si="34"/>
        <v>276</v>
      </c>
      <c r="O256">
        <v>1</v>
      </c>
      <c r="P256">
        <v>7</v>
      </c>
      <c r="Q256">
        <v>10</v>
      </c>
      <c r="R256" s="44">
        <f t="shared" si="35"/>
        <v>18</v>
      </c>
      <c r="S256">
        <v>5</v>
      </c>
      <c r="T256">
        <v>15</v>
      </c>
      <c r="U256" s="44">
        <f t="shared" si="27"/>
        <v>20</v>
      </c>
      <c r="V256">
        <v>15</v>
      </c>
      <c r="W256">
        <v>7</v>
      </c>
      <c r="X256">
        <v>3</v>
      </c>
      <c r="Y256" s="48">
        <f t="shared" si="31"/>
        <v>0.9517241379310345</v>
      </c>
      <c r="Z256" s="48">
        <f t="shared" si="32"/>
        <v>0.97586206896551719</v>
      </c>
      <c r="AA256" s="48">
        <f t="shared" si="33"/>
        <v>8.6206896551724144E-2</v>
      </c>
      <c r="AB256">
        <v>1821</v>
      </c>
      <c r="AC256">
        <v>528130</v>
      </c>
      <c r="AD256">
        <v>1.96</v>
      </c>
      <c r="AE256">
        <v>1683</v>
      </c>
      <c r="AF256">
        <v>1.83</v>
      </c>
    </row>
    <row r="257" spans="1:32" x14ac:dyDescent="0.25">
      <c r="A257" s="33">
        <v>46168</v>
      </c>
      <c r="B257">
        <v>290</v>
      </c>
      <c r="C257">
        <v>17</v>
      </c>
      <c r="D257">
        <v>17</v>
      </c>
      <c r="E257">
        <v>3</v>
      </c>
      <c r="F257">
        <v>1</v>
      </c>
      <c r="G257">
        <v>0</v>
      </c>
      <c r="H257" s="44">
        <f t="shared" si="28"/>
        <v>2</v>
      </c>
      <c r="I257" s="47">
        <f t="shared" si="29"/>
        <v>0.11764705882352941</v>
      </c>
      <c r="J257" s="44">
        <f t="shared" si="30"/>
        <v>276</v>
      </c>
      <c r="K257">
        <v>4</v>
      </c>
      <c r="L257">
        <v>2</v>
      </c>
      <c r="M257">
        <v>0</v>
      </c>
      <c r="N257" s="44">
        <f t="shared" si="34"/>
        <v>278</v>
      </c>
      <c r="O257">
        <v>1</v>
      </c>
      <c r="P257">
        <v>7</v>
      </c>
      <c r="Q257">
        <v>9</v>
      </c>
      <c r="R257" s="44">
        <f t="shared" si="35"/>
        <v>17</v>
      </c>
      <c r="S257">
        <v>3</v>
      </c>
      <c r="T257">
        <v>15</v>
      </c>
      <c r="U257" s="44">
        <f t="shared" si="27"/>
        <v>18</v>
      </c>
      <c r="V257">
        <v>15</v>
      </c>
      <c r="W257">
        <v>6</v>
      </c>
      <c r="X257">
        <v>3</v>
      </c>
      <c r="Y257" s="48">
        <f t="shared" si="31"/>
        <v>0.95862068965517244</v>
      </c>
      <c r="Z257" s="48">
        <f t="shared" si="32"/>
        <v>0.98275862068965514</v>
      </c>
      <c r="AA257" s="48">
        <f t="shared" si="33"/>
        <v>8.2758620689655171E-2</v>
      </c>
      <c r="AB257">
        <v>1821</v>
      </c>
      <c r="AC257">
        <v>528130</v>
      </c>
      <c r="AD257">
        <v>1.96</v>
      </c>
      <c r="AE257">
        <v>1686</v>
      </c>
      <c r="AF257">
        <v>1.83</v>
      </c>
    </row>
    <row r="258" spans="1:32" x14ac:dyDescent="0.25">
      <c r="A258" s="33">
        <v>46175</v>
      </c>
      <c r="H258" s="44">
        <f t="shared" si="28"/>
        <v>0</v>
      </c>
      <c r="I258" s="47" t="e">
        <f t="shared" si="29"/>
        <v>#DIV/0!</v>
      </c>
      <c r="J258" s="44">
        <f t="shared" si="30"/>
        <v>278</v>
      </c>
      <c r="N258" s="44">
        <f t="shared" si="34"/>
        <v>278</v>
      </c>
      <c r="R258" s="44">
        <f t="shared" si="35"/>
        <v>0</v>
      </c>
      <c r="U258" s="44">
        <f t="shared" si="27"/>
        <v>0</v>
      </c>
      <c r="Y258" s="48" t="e">
        <f t="shared" si="31"/>
        <v>#DIV/0!</v>
      </c>
      <c r="Z258" s="48" t="e">
        <f t="shared" si="32"/>
        <v>#DIV/0!</v>
      </c>
      <c r="AA258" s="48" t="e">
        <f t="shared" si="33"/>
        <v>#DIV/0!</v>
      </c>
    </row>
    <row r="259" spans="1:32" x14ac:dyDescent="0.25">
      <c r="A259" s="33">
        <v>46182</v>
      </c>
      <c r="H259" s="44">
        <f t="shared" si="28"/>
        <v>0</v>
      </c>
      <c r="I259" s="47" t="e">
        <f t="shared" si="29"/>
        <v>#DIV/0!</v>
      </c>
      <c r="J259" s="44">
        <f t="shared" si="30"/>
        <v>278</v>
      </c>
      <c r="N259" s="44">
        <f t="shared" si="34"/>
        <v>278</v>
      </c>
      <c r="R259" s="44">
        <f t="shared" si="35"/>
        <v>0</v>
      </c>
      <c r="U259" s="44">
        <f t="shared" si="27"/>
        <v>0</v>
      </c>
      <c r="Y259" s="48" t="e">
        <f t="shared" si="31"/>
        <v>#DIV/0!</v>
      </c>
      <c r="Z259" s="48" t="e">
        <f t="shared" si="32"/>
        <v>#DIV/0!</v>
      </c>
      <c r="AA259" s="48" t="e">
        <f t="shared" si="33"/>
        <v>#DIV/0!</v>
      </c>
    </row>
    <row r="260" spans="1:32" x14ac:dyDescent="0.25">
      <c r="A260" s="33">
        <v>46189</v>
      </c>
      <c r="H260" s="44">
        <f t="shared" si="28"/>
        <v>0</v>
      </c>
      <c r="I260" s="47" t="e">
        <f t="shared" si="29"/>
        <v>#DIV/0!</v>
      </c>
      <c r="J260" s="44">
        <f t="shared" si="30"/>
        <v>278</v>
      </c>
      <c r="N260" s="44">
        <f t="shared" si="34"/>
        <v>278</v>
      </c>
      <c r="R260" s="44">
        <f t="shared" si="35"/>
        <v>0</v>
      </c>
      <c r="U260" s="44">
        <f t="shared" ref="U260:U278" si="36">SUM(S260:T260)</f>
        <v>0</v>
      </c>
      <c r="Y260" s="48" t="e">
        <f t="shared" si="31"/>
        <v>#DIV/0!</v>
      </c>
      <c r="Z260" s="48" t="e">
        <f t="shared" si="32"/>
        <v>#DIV/0!</v>
      </c>
      <c r="AA260" s="48" t="e">
        <f t="shared" si="33"/>
        <v>#DIV/0!</v>
      </c>
    </row>
    <row r="261" spans="1:32" x14ac:dyDescent="0.25">
      <c r="A261" s="33">
        <v>46196</v>
      </c>
      <c r="H261" s="44">
        <f t="shared" si="28"/>
        <v>0</v>
      </c>
      <c r="I261" s="47" t="e">
        <f t="shared" si="29"/>
        <v>#DIV/0!</v>
      </c>
      <c r="J261" s="44">
        <f t="shared" si="30"/>
        <v>278</v>
      </c>
      <c r="N261" s="44">
        <f t="shared" si="34"/>
        <v>278</v>
      </c>
      <c r="R261" s="44">
        <f t="shared" si="35"/>
        <v>0</v>
      </c>
      <c r="U261" s="44">
        <f t="shared" si="36"/>
        <v>0</v>
      </c>
      <c r="Y261" s="48" t="e">
        <f t="shared" si="31"/>
        <v>#DIV/0!</v>
      </c>
      <c r="Z261" s="48" t="e">
        <f t="shared" si="32"/>
        <v>#DIV/0!</v>
      </c>
      <c r="AA261" s="48" t="e">
        <f t="shared" si="33"/>
        <v>#DIV/0!</v>
      </c>
    </row>
    <row r="262" spans="1:32" x14ac:dyDescent="0.25">
      <c r="A262" s="33">
        <v>46203</v>
      </c>
      <c r="H262" s="44">
        <f t="shared" si="28"/>
        <v>0</v>
      </c>
      <c r="I262" s="47" t="e">
        <f t="shared" si="29"/>
        <v>#DIV/0!</v>
      </c>
      <c r="J262" s="44">
        <f t="shared" si="30"/>
        <v>278</v>
      </c>
      <c r="N262" s="44">
        <f t="shared" si="34"/>
        <v>278</v>
      </c>
      <c r="R262" s="44">
        <f t="shared" si="35"/>
        <v>0</v>
      </c>
      <c r="U262" s="44">
        <f t="shared" si="36"/>
        <v>0</v>
      </c>
      <c r="Y262" s="48" t="e">
        <f t="shared" si="31"/>
        <v>#DIV/0!</v>
      </c>
      <c r="Z262" s="48" t="e">
        <f t="shared" si="32"/>
        <v>#DIV/0!</v>
      </c>
      <c r="AA262" s="48" t="e">
        <f t="shared" si="33"/>
        <v>#DIV/0!</v>
      </c>
    </row>
    <row r="263" spans="1:32" x14ac:dyDescent="0.25">
      <c r="A263" s="33">
        <v>46210</v>
      </c>
      <c r="H263" s="44">
        <f t="shared" si="28"/>
        <v>0</v>
      </c>
      <c r="I263" s="47" t="e">
        <f t="shared" si="29"/>
        <v>#DIV/0!</v>
      </c>
      <c r="J263" s="44">
        <f t="shared" si="30"/>
        <v>278</v>
      </c>
      <c r="N263" s="44">
        <f t="shared" si="34"/>
        <v>278</v>
      </c>
      <c r="R263" s="44">
        <f t="shared" si="35"/>
        <v>0</v>
      </c>
      <c r="U263" s="44">
        <f t="shared" si="36"/>
        <v>0</v>
      </c>
      <c r="Y263" s="48" t="e">
        <f t="shared" si="31"/>
        <v>#DIV/0!</v>
      </c>
      <c r="Z263" s="48" t="e">
        <f t="shared" si="32"/>
        <v>#DIV/0!</v>
      </c>
      <c r="AA263" s="48" t="e">
        <f t="shared" si="33"/>
        <v>#DIV/0!</v>
      </c>
    </row>
    <row r="264" spans="1:32" x14ac:dyDescent="0.25">
      <c r="A264" s="33">
        <v>46217</v>
      </c>
      <c r="H264" s="44">
        <f t="shared" si="28"/>
        <v>0</v>
      </c>
      <c r="I264" s="47" t="e">
        <f t="shared" si="29"/>
        <v>#DIV/0!</v>
      </c>
      <c r="J264" s="44">
        <f t="shared" si="30"/>
        <v>278</v>
      </c>
      <c r="N264" s="44">
        <f t="shared" si="34"/>
        <v>278</v>
      </c>
      <c r="R264" s="44">
        <f t="shared" si="35"/>
        <v>0</v>
      </c>
      <c r="U264" s="44">
        <f t="shared" si="36"/>
        <v>0</v>
      </c>
      <c r="Y264" s="48" t="e">
        <f t="shared" si="31"/>
        <v>#DIV/0!</v>
      </c>
      <c r="Z264" s="48" t="e">
        <f t="shared" si="32"/>
        <v>#DIV/0!</v>
      </c>
      <c r="AA264" s="48" t="e">
        <f t="shared" si="33"/>
        <v>#DIV/0!</v>
      </c>
    </row>
    <row r="265" spans="1:32" x14ac:dyDescent="0.25">
      <c r="A265" s="33">
        <v>46224</v>
      </c>
      <c r="H265" s="44">
        <f t="shared" si="28"/>
        <v>0</v>
      </c>
      <c r="I265" s="47" t="e">
        <f t="shared" si="29"/>
        <v>#DIV/0!</v>
      </c>
      <c r="J265" s="44">
        <f t="shared" si="30"/>
        <v>278</v>
      </c>
      <c r="N265" s="44">
        <f t="shared" si="34"/>
        <v>278</v>
      </c>
      <c r="R265" s="44">
        <f t="shared" si="35"/>
        <v>0</v>
      </c>
      <c r="U265" s="44">
        <f t="shared" si="36"/>
        <v>0</v>
      </c>
      <c r="Y265" s="48" t="e">
        <f t="shared" si="31"/>
        <v>#DIV/0!</v>
      </c>
      <c r="Z265" s="48" t="e">
        <f t="shared" si="32"/>
        <v>#DIV/0!</v>
      </c>
      <c r="AA265" s="48" t="e">
        <f t="shared" si="33"/>
        <v>#DIV/0!</v>
      </c>
    </row>
    <row r="266" spans="1:32" x14ac:dyDescent="0.25">
      <c r="A266" s="33">
        <v>46231</v>
      </c>
      <c r="H266" s="44">
        <f t="shared" si="28"/>
        <v>0</v>
      </c>
      <c r="I266" s="47" t="e">
        <f t="shared" si="29"/>
        <v>#DIV/0!</v>
      </c>
      <c r="J266" s="44">
        <f t="shared" si="30"/>
        <v>278</v>
      </c>
      <c r="N266" s="44">
        <f t="shared" si="34"/>
        <v>278</v>
      </c>
      <c r="R266" s="44">
        <f t="shared" si="35"/>
        <v>0</v>
      </c>
      <c r="U266" s="44">
        <f t="shared" si="36"/>
        <v>0</v>
      </c>
      <c r="Y266" s="48" t="e">
        <f t="shared" si="31"/>
        <v>#DIV/0!</v>
      </c>
      <c r="Z266" s="48" t="e">
        <f t="shared" si="32"/>
        <v>#DIV/0!</v>
      </c>
      <c r="AA266" s="48" t="e">
        <f t="shared" si="33"/>
        <v>#DIV/0!</v>
      </c>
    </row>
    <row r="267" spans="1:32" x14ac:dyDescent="0.25">
      <c r="A267" s="33">
        <v>46238</v>
      </c>
      <c r="H267" s="44">
        <f t="shared" si="28"/>
        <v>0</v>
      </c>
      <c r="I267" s="47" t="e">
        <f t="shared" si="29"/>
        <v>#DIV/0!</v>
      </c>
      <c r="J267" s="44">
        <f t="shared" si="30"/>
        <v>278</v>
      </c>
      <c r="N267" s="44">
        <f t="shared" si="34"/>
        <v>278</v>
      </c>
      <c r="R267" s="44">
        <f t="shared" si="35"/>
        <v>0</v>
      </c>
      <c r="U267" s="44">
        <f t="shared" si="36"/>
        <v>0</v>
      </c>
      <c r="Y267" s="48" t="e">
        <f t="shared" si="31"/>
        <v>#DIV/0!</v>
      </c>
      <c r="Z267" s="48" t="e">
        <f t="shared" si="32"/>
        <v>#DIV/0!</v>
      </c>
      <c r="AA267" s="48" t="e">
        <f t="shared" si="33"/>
        <v>#DIV/0!</v>
      </c>
    </row>
    <row r="268" spans="1:32" x14ac:dyDescent="0.25">
      <c r="A268" s="33">
        <v>46245</v>
      </c>
      <c r="H268" s="44">
        <f t="shared" si="28"/>
        <v>0</v>
      </c>
      <c r="I268" s="47" t="e">
        <f t="shared" si="29"/>
        <v>#DIV/0!</v>
      </c>
      <c r="J268" s="44">
        <f t="shared" si="30"/>
        <v>278</v>
      </c>
      <c r="N268" s="44">
        <f t="shared" si="34"/>
        <v>278</v>
      </c>
      <c r="R268" s="44">
        <f t="shared" si="35"/>
        <v>0</v>
      </c>
      <c r="U268" s="44">
        <f t="shared" si="36"/>
        <v>0</v>
      </c>
      <c r="Y268" s="48" t="e">
        <f t="shared" si="31"/>
        <v>#DIV/0!</v>
      </c>
      <c r="Z268" s="48" t="e">
        <f t="shared" si="32"/>
        <v>#DIV/0!</v>
      </c>
      <c r="AA268" s="48" t="e">
        <f t="shared" si="33"/>
        <v>#DIV/0!</v>
      </c>
    </row>
    <row r="269" spans="1:32" x14ac:dyDescent="0.25">
      <c r="A269" s="33">
        <v>46252</v>
      </c>
      <c r="H269" s="44">
        <f t="shared" si="28"/>
        <v>0</v>
      </c>
      <c r="I269" s="47" t="e">
        <f t="shared" si="29"/>
        <v>#DIV/0!</v>
      </c>
      <c r="J269" s="44">
        <f t="shared" si="30"/>
        <v>278</v>
      </c>
      <c r="N269" s="44">
        <f t="shared" si="34"/>
        <v>278</v>
      </c>
      <c r="R269" s="44">
        <f t="shared" si="35"/>
        <v>0</v>
      </c>
      <c r="U269" s="44">
        <f t="shared" si="36"/>
        <v>0</v>
      </c>
      <c r="Y269" s="48" t="e">
        <f t="shared" si="31"/>
        <v>#DIV/0!</v>
      </c>
      <c r="Z269" s="48" t="e">
        <f t="shared" si="32"/>
        <v>#DIV/0!</v>
      </c>
      <c r="AA269" s="48" t="e">
        <f t="shared" si="33"/>
        <v>#DIV/0!</v>
      </c>
    </row>
    <row r="270" spans="1:32" x14ac:dyDescent="0.25">
      <c r="A270" s="33">
        <v>46259</v>
      </c>
      <c r="H270" s="44">
        <f t="shared" si="28"/>
        <v>0</v>
      </c>
      <c r="I270" s="47" t="e">
        <f t="shared" si="29"/>
        <v>#DIV/0!</v>
      </c>
      <c r="J270" s="44">
        <f t="shared" si="30"/>
        <v>278</v>
      </c>
      <c r="N270" s="44">
        <f t="shared" si="34"/>
        <v>278</v>
      </c>
      <c r="R270" s="44">
        <f t="shared" si="35"/>
        <v>0</v>
      </c>
      <c r="U270" s="44">
        <f t="shared" si="36"/>
        <v>0</v>
      </c>
      <c r="Y270" s="48" t="e">
        <f t="shared" si="31"/>
        <v>#DIV/0!</v>
      </c>
      <c r="Z270" s="48" t="e">
        <f t="shared" si="32"/>
        <v>#DIV/0!</v>
      </c>
      <c r="AA270" s="48" t="e">
        <f t="shared" si="33"/>
        <v>#DIV/0!</v>
      </c>
    </row>
    <row r="271" spans="1:32" x14ac:dyDescent="0.25">
      <c r="A271" s="33">
        <v>46266</v>
      </c>
      <c r="H271" s="44">
        <f t="shared" si="28"/>
        <v>0</v>
      </c>
      <c r="I271" s="47" t="e">
        <f t="shared" si="29"/>
        <v>#DIV/0!</v>
      </c>
      <c r="J271" s="44">
        <f t="shared" si="30"/>
        <v>278</v>
      </c>
      <c r="N271" s="44">
        <f t="shared" si="34"/>
        <v>278</v>
      </c>
      <c r="R271" s="44">
        <f t="shared" si="35"/>
        <v>0</v>
      </c>
      <c r="U271" s="44">
        <f t="shared" si="36"/>
        <v>0</v>
      </c>
      <c r="Y271" s="48" t="e">
        <f t="shared" si="31"/>
        <v>#DIV/0!</v>
      </c>
      <c r="Z271" s="48" t="e">
        <f t="shared" si="32"/>
        <v>#DIV/0!</v>
      </c>
      <c r="AA271" s="48" t="e">
        <f t="shared" si="33"/>
        <v>#DIV/0!</v>
      </c>
    </row>
    <row r="272" spans="1:32" x14ac:dyDescent="0.25">
      <c r="A272" s="33">
        <v>46273</v>
      </c>
      <c r="H272" s="44">
        <f t="shared" si="28"/>
        <v>0</v>
      </c>
      <c r="I272" s="47" t="e">
        <f t="shared" si="29"/>
        <v>#DIV/0!</v>
      </c>
      <c r="J272" s="44">
        <f t="shared" si="30"/>
        <v>278</v>
      </c>
      <c r="N272" s="44">
        <f t="shared" si="34"/>
        <v>278</v>
      </c>
      <c r="R272" s="44">
        <f t="shared" si="35"/>
        <v>0</v>
      </c>
      <c r="U272" s="44">
        <f t="shared" si="36"/>
        <v>0</v>
      </c>
      <c r="Y272" s="48" t="e">
        <f t="shared" si="31"/>
        <v>#DIV/0!</v>
      </c>
      <c r="Z272" s="48" t="e">
        <f t="shared" si="32"/>
        <v>#DIV/0!</v>
      </c>
      <c r="AA272" s="48" t="e">
        <f t="shared" si="33"/>
        <v>#DIV/0!</v>
      </c>
    </row>
    <row r="273" spans="1:27" x14ac:dyDescent="0.25">
      <c r="A273" s="33">
        <v>46280</v>
      </c>
      <c r="H273" s="44">
        <f t="shared" si="28"/>
        <v>0</v>
      </c>
      <c r="I273" s="47" t="e">
        <f t="shared" si="29"/>
        <v>#DIV/0!</v>
      </c>
      <c r="J273" s="44">
        <f t="shared" si="30"/>
        <v>278</v>
      </c>
      <c r="N273" s="44">
        <f t="shared" si="34"/>
        <v>278</v>
      </c>
      <c r="R273" s="44">
        <f t="shared" si="35"/>
        <v>0</v>
      </c>
      <c r="U273" s="44">
        <f t="shared" si="36"/>
        <v>0</v>
      </c>
      <c r="Y273" s="48" t="e">
        <f t="shared" si="31"/>
        <v>#DIV/0!</v>
      </c>
      <c r="Z273" s="48" t="e">
        <f t="shared" si="32"/>
        <v>#DIV/0!</v>
      </c>
      <c r="AA273" s="48" t="e">
        <f t="shared" si="33"/>
        <v>#DIV/0!</v>
      </c>
    </row>
    <row r="274" spans="1:27" x14ac:dyDescent="0.25">
      <c r="A274" s="33">
        <v>46287</v>
      </c>
      <c r="H274" s="44">
        <f t="shared" si="28"/>
        <v>0</v>
      </c>
      <c r="I274" s="47" t="e">
        <f t="shared" si="29"/>
        <v>#DIV/0!</v>
      </c>
      <c r="J274" s="44">
        <f t="shared" si="30"/>
        <v>278</v>
      </c>
      <c r="N274" s="44">
        <f t="shared" si="34"/>
        <v>278</v>
      </c>
      <c r="R274" s="44">
        <f t="shared" si="35"/>
        <v>0</v>
      </c>
      <c r="U274" s="44">
        <f t="shared" si="36"/>
        <v>0</v>
      </c>
      <c r="Y274" s="48" t="e">
        <f t="shared" si="31"/>
        <v>#DIV/0!</v>
      </c>
      <c r="Z274" s="48" t="e">
        <f t="shared" si="32"/>
        <v>#DIV/0!</v>
      </c>
      <c r="AA274" s="48" t="e">
        <f t="shared" si="33"/>
        <v>#DIV/0!</v>
      </c>
    </row>
    <row r="275" spans="1:27" x14ac:dyDescent="0.25">
      <c r="A275" s="33">
        <v>46294</v>
      </c>
      <c r="H275" s="44">
        <f t="shared" si="28"/>
        <v>0</v>
      </c>
      <c r="I275" s="47" t="e">
        <f t="shared" si="29"/>
        <v>#DIV/0!</v>
      </c>
      <c r="J275" s="44">
        <f t="shared" si="30"/>
        <v>278</v>
      </c>
      <c r="N275" s="44">
        <f t="shared" si="34"/>
        <v>278</v>
      </c>
      <c r="R275" s="44">
        <f t="shared" si="35"/>
        <v>0</v>
      </c>
      <c r="U275" s="44">
        <f t="shared" si="36"/>
        <v>0</v>
      </c>
      <c r="Y275" s="48" t="e">
        <f t="shared" si="31"/>
        <v>#DIV/0!</v>
      </c>
      <c r="Z275" s="48" t="e">
        <f t="shared" si="32"/>
        <v>#DIV/0!</v>
      </c>
      <c r="AA275" s="48" t="e">
        <f t="shared" si="33"/>
        <v>#DIV/0!</v>
      </c>
    </row>
    <row r="276" spans="1:27" x14ac:dyDescent="0.25">
      <c r="A276" s="33">
        <v>46301</v>
      </c>
      <c r="H276" s="44">
        <f t="shared" si="28"/>
        <v>0</v>
      </c>
      <c r="I276" s="47" t="e">
        <f t="shared" si="29"/>
        <v>#DIV/0!</v>
      </c>
      <c r="J276" s="44">
        <f t="shared" si="30"/>
        <v>278</v>
      </c>
      <c r="N276" s="44">
        <f t="shared" si="34"/>
        <v>278</v>
      </c>
      <c r="R276" s="44">
        <f t="shared" si="35"/>
        <v>0</v>
      </c>
      <c r="U276" s="44">
        <f t="shared" si="36"/>
        <v>0</v>
      </c>
      <c r="Y276" s="48" t="e">
        <f t="shared" si="31"/>
        <v>#DIV/0!</v>
      </c>
      <c r="Z276" s="48" t="e">
        <f t="shared" si="32"/>
        <v>#DIV/0!</v>
      </c>
      <c r="AA276" s="48" t="e">
        <f t="shared" si="33"/>
        <v>#DIV/0!</v>
      </c>
    </row>
    <row r="277" spans="1:27" x14ac:dyDescent="0.25">
      <c r="A277" s="33">
        <v>46308</v>
      </c>
      <c r="H277" s="44">
        <f t="shared" si="28"/>
        <v>0</v>
      </c>
      <c r="I277" s="47" t="e">
        <f t="shared" si="29"/>
        <v>#DIV/0!</v>
      </c>
      <c r="J277" s="44">
        <f t="shared" si="30"/>
        <v>278</v>
      </c>
      <c r="N277" s="44">
        <f t="shared" si="34"/>
        <v>278</v>
      </c>
      <c r="R277" s="44">
        <f t="shared" si="35"/>
        <v>0</v>
      </c>
      <c r="U277" s="44">
        <f t="shared" si="36"/>
        <v>0</v>
      </c>
      <c r="Y277" s="48" t="e">
        <f t="shared" si="31"/>
        <v>#DIV/0!</v>
      </c>
      <c r="Z277" s="48" t="e">
        <f t="shared" si="32"/>
        <v>#DIV/0!</v>
      </c>
      <c r="AA277" s="48" t="e">
        <f t="shared" si="33"/>
        <v>#DIV/0!</v>
      </c>
    </row>
    <row r="278" spans="1:27" x14ac:dyDescent="0.25">
      <c r="A278" s="33">
        <v>46315</v>
      </c>
      <c r="H278" s="44">
        <f t="shared" si="28"/>
        <v>0</v>
      </c>
      <c r="I278" s="47" t="e">
        <f t="shared" si="29"/>
        <v>#DIV/0!</v>
      </c>
      <c r="J278" s="44">
        <f t="shared" si="30"/>
        <v>278</v>
      </c>
      <c r="N278" s="44">
        <f t="shared" si="34"/>
        <v>278</v>
      </c>
      <c r="R278" s="44">
        <f t="shared" si="35"/>
        <v>0</v>
      </c>
      <c r="U278" s="44">
        <f t="shared" si="36"/>
        <v>0</v>
      </c>
      <c r="Y278" s="48" t="e">
        <f t="shared" si="31"/>
        <v>#DIV/0!</v>
      </c>
      <c r="Z278" s="48" t="e">
        <f t="shared" si="32"/>
        <v>#DIV/0!</v>
      </c>
      <c r="AA278" s="48" t="e">
        <f t="shared" si="33"/>
        <v>#DIV/0!</v>
      </c>
    </row>
  </sheetData>
  <mergeCells count="7">
    <mergeCell ref="AC1:AF1"/>
    <mergeCell ref="C1:I1"/>
    <mergeCell ref="J1:N1"/>
    <mergeCell ref="O1:R1"/>
    <mergeCell ref="S1:U1"/>
    <mergeCell ref="V1:X1"/>
    <mergeCell ref="Y1:AB1"/>
  </mergeCells>
  <pageMargins left="0.7" right="0.7" top="0.75" bottom="0.75" header="0.3" footer="0.3"/>
  <pageSetup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CB2D-4AF5-4B68-9317-1A2AC205C3B9}">
  <sheetPr>
    <pageSetUpPr fitToPage="1"/>
  </sheetPr>
  <dimension ref="A1:N1527"/>
  <sheetViews>
    <sheetView zoomScaleNormal="100" workbookViewId="0">
      <pane ySplit="1" topLeftCell="A1494" activePane="bottomLeft" state="frozen"/>
      <selection pane="bottomLeft" activeCell="D1519" sqref="D1519"/>
    </sheetView>
  </sheetViews>
  <sheetFormatPr defaultColWidth="8.85546875" defaultRowHeight="15" outlineLevelCol="1" x14ac:dyDescent="0.25"/>
  <cols>
    <col min="1" max="1" width="11.42578125" style="57" bestFit="1" customWidth="1"/>
    <col min="2" max="2" width="13.42578125" style="61" customWidth="1"/>
    <col min="3" max="3" width="11.7109375" style="57" customWidth="1"/>
    <col min="4" max="4" width="17.42578125" style="57" customWidth="1"/>
    <col min="5" max="5" width="12.140625" style="57" customWidth="1"/>
    <col min="6" max="6" width="14.140625" style="62" customWidth="1"/>
    <col min="7" max="7" width="13.85546875" style="62" customWidth="1" outlineLevel="1"/>
    <col min="8" max="8" width="15.7109375" style="62" customWidth="1" outlineLevel="1"/>
    <col min="9" max="9" width="12.42578125" style="57" customWidth="1" outlineLevel="1"/>
    <col min="10" max="10" width="11.28515625" style="57" customWidth="1"/>
    <col min="11" max="12" width="12.85546875" style="57" customWidth="1"/>
    <col min="13" max="13" width="8.85546875" style="57" customWidth="1"/>
    <col min="14" max="14" width="11.42578125" style="57" customWidth="1"/>
    <col min="15" max="26" width="8.85546875" style="57" customWidth="1"/>
    <col min="27" max="16384" width="8.85546875" style="57"/>
  </cols>
  <sheetData>
    <row r="1" spans="1:14" ht="65.45" customHeight="1" x14ac:dyDescent="0.25">
      <c r="A1" s="53" t="s">
        <v>35</v>
      </c>
      <c r="B1" s="54" t="s">
        <v>36</v>
      </c>
      <c r="C1" s="53" t="s">
        <v>37</v>
      </c>
      <c r="D1" s="53" t="s">
        <v>38</v>
      </c>
      <c r="E1" s="53" t="s">
        <v>39</v>
      </c>
      <c r="F1" s="55" t="s">
        <v>40</v>
      </c>
      <c r="G1" s="55" t="s">
        <v>41</v>
      </c>
      <c r="H1" s="55" t="s">
        <v>42</v>
      </c>
      <c r="I1" s="56" t="s">
        <v>43</v>
      </c>
      <c r="J1" s="56" t="s">
        <v>44</v>
      </c>
      <c r="K1" s="56" t="s">
        <v>45</v>
      </c>
      <c r="L1" s="56" t="s">
        <v>46</v>
      </c>
    </row>
    <row r="2" spans="1:14" x14ac:dyDescent="0.25">
      <c r="A2" t="s">
        <v>47</v>
      </c>
      <c r="B2" s="58" t="s">
        <v>48</v>
      </c>
      <c r="C2">
        <v>806</v>
      </c>
      <c r="D2" t="s">
        <v>49</v>
      </c>
      <c r="E2" s="33">
        <v>44155</v>
      </c>
      <c r="F2" s="59">
        <v>1620</v>
      </c>
      <c r="G2" s="59">
        <v>1345</v>
      </c>
      <c r="H2" s="59">
        <v>1345</v>
      </c>
      <c r="I2" s="60">
        <f t="shared" ref="I2:I65" si="0">G2/C2</f>
        <v>1.6687344913151365</v>
      </c>
      <c r="J2" s="60">
        <f t="shared" ref="J2:J65" si="1">SUM(H2-G2)</f>
        <v>0</v>
      </c>
      <c r="K2" s="60">
        <f t="shared" ref="K2:K65" si="2">H2/C2</f>
        <v>1.6687344913151365</v>
      </c>
      <c r="L2" s="60">
        <f t="shared" ref="L2:L65" si="3">K2-I2</f>
        <v>0</v>
      </c>
      <c r="M2" s="64"/>
    </row>
    <row r="3" spans="1:14" x14ac:dyDescent="0.25">
      <c r="A3" t="s">
        <v>50</v>
      </c>
      <c r="B3" s="58" t="s">
        <v>51</v>
      </c>
      <c r="C3">
        <v>848</v>
      </c>
      <c r="D3" t="s">
        <v>49</v>
      </c>
      <c r="E3" s="33">
        <v>44156</v>
      </c>
      <c r="F3" s="59">
        <v>1735</v>
      </c>
      <c r="G3" s="59">
        <v>1385</v>
      </c>
      <c r="H3" s="59">
        <v>1385</v>
      </c>
      <c r="I3" s="60">
        <f t="shared" si="0"/>
        <v>1.633254716981132</v>
      </c>
      <c r="J3" s="60">
        <f t="shared" si="1"/>
        <v>0</v>
      </c>
      <c r="K3" s="60">
        <f t="shared" si="2"/>
        <v>1.633254716981132</v>
      </c>
      <c r="L3" s="60">
        <f t="shared" si="3"/>
        <v>0</v>
      </c>
      <c r="M3" s="64"/>
    </row>
    <row r="4" spans="1:14" x14ac:dyDescent="0.25">
      <c r="A4" t="s">
        <v>52</v>
      </c>
      <c r="B4" s="58" t="s">
        <v>51</v>
      </c>
      <c r="C4">
        <v>848</v>
      </c>
      <c r="D4" t="s">
        <v>49</v>
      </c>
      <c r="E4" s="33">
        <v>44156</v>
      </c>
      <c r="F4" s="59">
        <v>1735</v>
      </c>
      <c r="G4" s="59">
        <v>1385</v>
      </c>
      <c r="H4" s="59">
        <v>1385</v>
      </c>
      <c r="I4" s="60">
        <f t="shared" si="0"/>
        <v>1.633254716981132</v>
      </c>
      <c r="J4" s="60">
        <f t="shared" si="1"/>
        <v>0</v>
      </c>
      <c r="K4" s="60">
        <f t="shared" si="2"/>
        <v>1.633254716981132</v>
      </c>
      <c r="L4" s="60">
        <f t="shared" si="3"/>
        <v>0</v>
      </c>
      <c r="M4" s="64"/>
    </row>
    <row r="5" spans="1:14" x14ac:dyDescent="0.25">
      <c r="A5" t="s">
        <v>53</v>
      </c>
      <c r="B5" s="58" t="s">
        <v>48</v>
      </c>
      <c r="C5">
        <v>806</v>
      </c>
      <c r="D5" t="s">
        <v>49</v>
      </c>
      <c r="E5" s="33">
        <v>44156</v>
      </c>
      <c r="F5" s="59">
        <v>1620</v>
      </c>
      <c r="G5" s="59">
        <v>1345</v>
      </c>
      <c r="H5" s="59">
        <v>1345</v>
      </c>
      <c r="I5" s="60">
        <f t="shared" si="0"/>
        <v>1.6687344913151365</v>
      </c>
      <c r="J5" s="60">
        <f t="shared" si="1"/>
        <v>0</v>
      </c>
      <c r="K5" s="60">
        <f t="shared" si="2"/>
        <v>1.6687344913151365</v>
      </c>
      <c r="L5" s="60">
        <f t="shared" si="3"/>
        <v>0</v>
      </c>
      <c r="M5" s="64"/>
    </row>
    <row r="6" spans="1:14" x14ac:dyDescent="0.25">
      <c r="A6" t="s">
        <v>54</v>
      </c>
      <c r="B6" s="58" t="s">
        <v>55</v>
      </c>
      <c r="C6">
        <v>764</v>
      </c>
      <c r="D6" t="s">
        <v>49</v>
      </c>
      <c r="E6" s="33">
        <v>44165</v>
      </c>
      <c r="F6" s="59">
        <v>1585</v>
      </c>
      <c r="G6" s="59">
        <v>1335</v>
      </c>
      <c r="H6" s="59">
        <v>1335</v>
      </c>
      <c r="I6" s="60">
        <f t="shared" si="0"/>
        <v>1.7473821989528795</v>
      </c>
      <c r="J6" s="60">
        <f t="shared" si="1"/>
        <v>0</v>
      </c>
      <c r="K6" s="60">
        <f t="shared" si="2"/>
        <v>1.7473821989528795</v>
      </c>
      <c r="L6" s="60">
        <f t="shared" si="3"/>
        <v>0</v>
      </c>
      <c r="M6" s="64"/>
    </row>
    <row r="7" spans="1:14" x14ac:dyDescent="0.25">
      <c r="A7" t="s">
        <v>56</v>
      </c>
      <c r="B7" s="58" t="s">
        <v>57</v>
      </c>
      <c r="C7">
        <v>700</v>
      </c>
      <c r="D7" t="s">
        <v>49</v>
      </c>
      <c r="E7" s="33">
        <v>44167</v>
      </c>
      <c r="F7" s="59">
        <v>1515</v>
      </c>
      <c r="G7" s="59">
        <v>1325</v>
      </c>
      <c r="H7" s="59">
        <v>1325</v>
      </c>
      <c r="I7" s="60">
        <f t="shared" si="0"/>
        <v>1.8928571428571428</v>
      </c>
      <c r="J7" s="60">
        <f t="shared" si="1"/>
        <v>0</v>
      </c>
      <c r="K7" s="60">
        <f t="shared" si="2"/>
        <v>1.8928571428571428</v>
      </c>
      <c r="L7" s="60">
        <f t="shared" si="3"/>
        <v>0</v>
      </c>
      <c r="M7" s="64"/>
    </row>
    <row r="8" spans="1:14" x14ac:dyDescent="0.25">
      <c r="A8" t="s">
        <v>58</v>
      </c>
      <c r="B8" s="58" t="s">
        <v>59</v>
      </c>
      <c r="C8">
        <v>1115</v>
      </c>
      <c r="D8" t="s">
        <v>49</v>
      </c>
      <c r="E8" s="33">
        <v>44167</v>
      </c>
      <c r="F8" s="59">
        <v>2135</v>
      </c>
      <c r="G8" s="59">
        <v>1650</v>
      </c>
      <c r="H8" s="59">
        <v>1650</v>
      </c>
      <c r="I8" s="60">
        <f t="shared" si="0"/>
        <v>1.4798206278026906</v>
      </c>
      <c r="J8" s="60">
        <f t="shared" si="1"/>
        <v>0</v>
      </c>
      <c r="K8" s="60">
        <f t="shared" si="2"/>
        <v>1.4798206278026906</v>
      </c>
      <c r="L8" s="60">
        <f t="shared" si="3"/>
        <v>0</v>
      </c>
      <c r="M8" s="64"/>
    </row>
    <row r="9" spans="1:14" x14ac:dyDescent="0.25">
      <c r="A9" t="s">
        <v>60</v>
      </c>
      <c r="B9" s="58" t="s">
        <v>61</v>
      </c>
      <c r="C9">
        <v>820</v>
      </c>
      <c r="D9" t="s">
        <v>49</v>
      </c>
      <c r="E9" s="33">
        <v>44169</v>
      </c>
      <c r="F9" s="59">
        <v>1645</v>
      </c>
      <c r="G9" s="59">
        <v>1405</v>
      </c>
      <c r="H9" s="59">
        <v>1405</v>
      </c>
      <c r="I9" s="60">
        <f t="shared" si="0"/>
        <v>1.7134146341463414</v>
      </c>
      <c r="J9" s="60">
        <f t="shared" si="1"/>
        <v>0</v>
      </c>
      <c r="K9" s="60">
        <f t="shared" si="2"/>
        <v>1.7134146341463414</v>
      </c>
      <c r="L9" s="60">
        <f t="shared" si="3"/>
        <v>0</v>
      </c>
      <c r="M9" s="64"/>
    </row>
    <row r="10" spans="1:14" x14ac:dyDescent="0.25">
      <c r="A10" t="s">
        <v>62</v>
      </c>
      <c r="B10" s="58" t="s">
        <v>59</v>
      </c>
      <c r="C10">
        <v>1115</v>
      </c>
      <c r="D10" t="s">
        <v>49</v>
      </c>
      <c r="E10" s="33">
        <v>44169</v>
      </c>
      <c r="F10" s="59">
        <v>2135</v>
      </c>
      <c r="G10" s="59">
        <v>1650</v>
      </c>
      <c r="H10" s="59">
        <v>1650</v>
      </c>
      <c r="I10" s="60">
        <f t="shared" si="0"/>
        <v>1.4798206278026906</v>
      </c>
      <c r="J10" s="60">
        <f t="shared" si="1"/>
        <v>0</v>
      </c>
      <c r="K10" s="60">
        <f t="shared" si="2"/>
        <v>1.4798206278026906</v>
      </c>
      <c r="L10" s="60">
        <f t="shared" si="3"/>
        <v>0</v>
      </c>
      <c r="M10" s="64"/>
    </row>
    <row r="11" spans="1:14" x14ac:dyDescent="0.25">
      <c r="A11" t="s">
        <v>63</v>
      </c>
      <c r="B11" s="58" t="s">
        <v>57</v>
      </c>
      <c r="C11">
        <v>700</v>
      </c>
      <c r="D11" t="s">
        <v>49</v>
      </c>
      <c r="E11" s="33">
        <v>44173</v>
      </c>
      <c r="F11" s="59">
        <v>1560</v>
      </c>
      <c r="G11" s="59">
        <v>1370</v>
      </c>
      <c r="H11" s="59">
        <v>1370</v>
      </c>
      <c r="I11" s="60">
        <f t="shared" si="0"/>
        <v>1.9571428571428571</v>
      </c>
      <c r="J11" s="60">
        <f t="shared" si="1"/>
        <v>0</v>
      </c>
      <c r="K11" s="60">
        <f t="shared" si="2"/>
        <v>1.9571428571428571</v>
      </c>
      <c r="L11" s="60">
        <f t="shared" si="3"/>
        <v>0</v>
      </c>
      <c r="M11" s="64"/>
      <c r="N11" s="63"/>
    </row>
    <row r="12" spans="1:14" x14ac:dyDescent="0.25">
      <c r="A12" t="s">
        <v>64</v>
      </c>
      <c r="B12" s="58" t="s">
        <v>65</v>
      </c>
      <c r="C12">
        <v>813</v>
      </c>
      <c r="D12" t="s">
        <v>49</v>
      </c>
      <c r="E12" s="33">
        <v>44177</v>
      </c>
      <c r="F12" s="59">
        <v>1580</v>
      </c>
      <c r="G12" s="59">
        <v>1315</v>
      </c>
      <c r="H12" s="59">
        <v>1315</v>
      </c>
      <c r="I12" s="60">
        <f t="shared" si="0"/>
        <v>1.6174661746617467</v>
      </c>
      <c r="J12" s="60">
        <f t="shared" si="1"/>
        <v>0</v>
      </c>
      <c r="K12" s="60">
        <f t="shared" si="2"/>
        <v>1.6174661746617467</v>
      </c>
      <c r="L12" s="60">
        <f t="shared" si="3"/>
        <v>0</v>
      </c>
      <c r="M12" s="64"/>
      <c r="N12" s="63"/>
    </row>
    <row r="13" spans="1:14" x14ac:dyDescent="0.25">
      <c r="A13" t="s">
        <v>66</v>
      </c>
      <c r="B13" s="58" t="s">
        <v>48</v>
      </c>
      <c r="C13">
        <v>806</v>
      </c>
      <c r="D13" t="s">
        <v>49</v>
      </c>
      <c r="E13" s="33">
        <v>44185</v>
      </c>
      <c r="F13" s="59">
        <v>1620</v>
      </c>
      <c r="G13" s="59">
        <v>1345</v>
      </c>
      <c r="H13" s="59">
        <v>1345</v>
      </c>
      <c r="I13" s="60">
        <f t="shared" si="0"/>
        <v>1.6687344913151365</v>
      </c>
      <c r="J13" s="60">
        <f t="shared" si="1"/>
        <v>0</v>
      </c>
      <c r="K13" s="60">
        <f t="shared" si="2"/>
        <v>1.6687344913151365</v>
      </c>
      <c r="L13" s="60">
        <f t="shared" si="3"/>
        <v>0</v>
      </c>
      <c r="M13" s="64"/>
      <c r="N13" s="63"/>
    </row>
    <row r="14" spans="1:14" x14ac:dyDescent="0.25">
      <c r="A14" t="s">
        <v>67</v>
      </c>
      <c r="B14" s="58" t="s">
        <v>51</v>
      </c>
      <c r="C14">
        <v>848</v>
      </c>
      <c r="D14" t="s">
        <v>49</v>
      </c>
      <c r="E14" s="33">
        <v>44188</v>
      </c>
      <c r="F14" s="59">
        <v>1765</v>
      </c>
      <c r="G14" s="59">
        <v>1415</v>
      </c>
      <c r="H14" s="59">
        <v>1415</v>
      </c>
      <c r="I14" s="60">
        <f t="shared" si="0"/>
        <v>1.6686320754716981</v>
      </c>
      <c r="J14" s="60">
        <f t="shared" si="1"/>
        <v>0</v>
      </c>
      <c r="K14" s="60">
        <f t="shared" si="2"/>
        <v>1.6686320754716981</v>
      </c>
      <c r="L14" s="60">
        <f t="shared" si="3"/>
        <v>0</v>
      </c>
      <c r="M14" s="64"/>
      <c r="N14" s="63"/>
    </row>
    <row r="15" spans="1:14" x14ac:dyDescent="0.25">
      <c r="A15" t="s">
        <v>68</v>
      </c>
      <c r="B15" s="58" t="s">
        <v>61</v>
      </c>
      <c r="C15">
        <v>820</v>
      </c>
      <c r="D15" t="s">
        <v>49</v>
      </c>
      <c r="E15" s="33">
        <v>44188</v>
      </c>
      <c r="F15" s="59">
        <v>1615</v>
      </c>
      <c r="G15" s="59">
        <v>1375</v>
      </c>
      <c r="H15" s="59">
        <v>1375</v>
      </c>
      <c r="I15" s="60">
        <f t="shared" si="0"/>
        <v>1.6768292682926829</v>
      </c>
      <c r="J15" s="60">
        <f t="shared" si="1"/>
        <v>0</v>
      </c>
      <c r="K15" s="60">
        <f t="shared" si="2"/>
        <v>1.6768292682926829</v>
      </c>
      <c r="L15" s="60">
        <f t="shared" si="3"/>
        <v>0</v>
      </c>
      <c r="M15" s="64"/>
      <c r="N15" s="63"/>
    </row>
    <row r="16" spans="1:14" x14ac:dyDescent="0.25">
      <c r="A16" t="s">
        <v>69</v>
      </c>
      <c r="B16" s="58" t="s">
        <v>61</v>
      </c>
      <c r="C16">
        <v>820</v>
      </c>
      <c r="D16" t="s">
        <v>49</v>
      </c>
      <c r="E16" s="33">
        <v>44193</v>
      </c>
      <c r="F16" s="59">
        <v>1615</v>
      </c>
      <c r="G16" s="59">
        <v>1375</v>
      </c>
      <c r="H16" s="59">
        <v>1375</v>
      </c>
      <c r="I16" s="60">
        <f t="shared" si="0"/>
        <v>1.6768292682926829</v>
      </c>
      <c r="J16" s="60">
        <f t="shared" si="1"/>
        <v>0</v>
      </c>
      <c r="K16" s="60">
        <f t="shared" si="2"/>
        <v>1.6768292682926829</v>
      </c>
      <c r="L16" s="60">
        <f t="shared" si="3"/>
        <v>0</v>
      </c>
      <c r="M16" s="64"/>
      <c r="N16" s="63"/>
    </row>
    <row r="17" spans="1:12" x14ac:dyDescent="0.25">
      <c r="A17" t="s">
        <v>70</v>
      </c>
      <c r="B17" s="58" t="s">
        <v>51</v>
      </c>
      <c r="C17">
        <v>848</v>
      </c>
      <c r="D17" t="s">
        <v>49</v>
      </c>
      <c r="E17" s="33">
        <v>44193</v>
      </c>
      <c r="F17" s="59">
        <v>1735</v>
      </c>
      <c r="G17" s="59">
        <v>1385</v>
      </c>
      <c r="H17" s="59">
        <v>1385</v>
      </c>
      <c r="I17" s="60">
        <f t="shared" si="0"/>
        <v>1.633254716981132</v>
      </c>
      <c r="J17" s="60">
        <f t="shared" si="1"/>
        <v>0</v>
      </c>
      <c r="K17" s="60">
        <f t="shared" si="2"/>
        <v>1.633254716981132</v>
      </c>
      <c r="L17" s="60">
        <f t="shared" si="3"/>
        <v>0</v>
      </c>
    </row>
    <row r="18" spans="1:12" x14ac:dyDescent="0.25">
      <c r="A18" t="s">
        <v>71</v>
      </c>
      <c r="B18" s="58" t="s">
        <v>55</v>
      </c>
      <c r="C18">
        <v>764</v>
      </c>
      <c r="D18" t="s">
        <v>49</v>
      </c>
      <c r="E18" s="33">
        <v>44194</v>
      </c>
      <c r="F18" s="59">
        <v>1585</v>
      </c>
      <c r="G18" s="59">
        <v>1335</v>
      </c>
      <c r="H18" s="59">
        <v>1335</v>
      </c>
      <c r="I18" s="60">
        <f t="shared" si="0"/>
        <v>1.7473821989528795</v>
      </c>
      <c r="J18" s="60">
        <f t="shared" si="1"/>
        <v>0</v>
      </c>
      <c r="K18" s="60">
        <f t="shared" si="2"/>
        <v>1.7473821989528795</v>
      </c>
      <c r="L18" s="60">
        <f t="shared" si="3"/>
        <v>0</v>
      </c>
    </row>
    <row r="19" spans="1:12" x14ac:dyDescent="0.25">
      <c r="A19" t="s">
        <v>72</v>
      </c>
      <c r="B19" s="58" t="s">
        <v>59</v>
      </c>
      <c r="C19">
        <v>1115</v>
      </c>
      <c r="D19" t="s">
        <v>49</v>
      </c>
      <c r="E19" s="33">
        <v>44200</v>
      </c>
      <c r="F19" s="59">
        <v>2165</v>
      </c>
      <c r="G19" s="59">
        <v>1680</v>
      </c>
      <c r="H19" s="59">
        <v>1680</v>
      </c>
      <c r="I19" s="60">
        <f t="shared" si="0"/>
        <v>1.506726457399103</v>
      </c>
      <c r="J19" s="60">
        <f t="shared" si="1"/>
        <v>0</v>
      </c>
      <c r="K19" s="60">
        <f t="shared" si="2"/>
        <v>1.506726457399103</v>
      </c>
      <c r="L19" s="60">
        <f t="shared" si="3"/>
        <v>0</v>
      </c>
    </row>
    <row r="20" spans="1:12" x14ac:dyDescent="0.25">
      <c r="A20" t="s">
        <v>73</v>
      </c>
      <c r="B20" s="58" t="s">
        <v>74</v>
      </c>
      <c r="C20">
        <v>1169</v>
      </c>
      <c r="D20" t="s">
        <v>49</v>
      </c>
      <c r="E20" s="33">
        <v>44204</v>
      </c>
      <c r="F20" s="59">
        <v>2195</v>
      </c>
      <c r="G20" s="59">
        <v>1695</v>
      </c>
      <c r="H20" s="59">
        <v>1695</v>
      </c>
      <c r="I20" s="60">
        <f t="shared" si="0"/>
        <v>1.4499572284003421</v>
      </c>
      <c r="J20" s="60">
        <f t="shared" si="1"/>
        <v>0</v>
      </c>
      <c r="K20" s="60">
        <f t="shared" si="2"/>
        <v>1.4499572284003421</v>
      </c>
      <c r="L20" s="60">
        <f t="shared" si="3"/>
        <v>0</v>
      </c>
    </row>
    <row r="21" spans="1:12" x14ac:dyDescent="0.25">
      <c r="A21" t="s">
        <v>75</v>
      </c>
      <c r="B21" s="58" t="s">
        <v>55</v>
      </c>
      <c r="C21">
        <v>764</v>
      </c>
      <c r="D21" t="s">
        <v>49</v>
      </c>
      <c r="E21" s="33">
        <v>44204</v>
      </c>
      <c r="F21" s="59">
        <v>1615</v>
      </c>
      <c r="G21" s="59">
        <v>1365</v>
      </c>
      <c r="H21" s="59">
        <v>1365</v>
      </c>
      <c r="I21" s="60">
        <f t="shared" si="0"/>
        <v>1.786649214659686</v>
      </c>
      <c r="J21" s="60">
        <f t="shared" si="1"/>
        <v>0</v>
      </c>
      <c r="K21" s="60">
        <f t="shared" si="2"/>
        <v>1.786649214659686</v>
      </c>
      <c r="L21" s="60">
        <f t="shared" si="3"/>
        <v>0</v>
      </c>
    </row>
    <row r="22" spans="1:12" x14ac:dyDescent="0.25">
      <c r="A22" t="s">
        <v>76</v>
      </c>
      <c r="B22" s="58" t="s">
        <v>74</v>
      </c>
      <c r="C22">
        <v>1169</v>
      </c>
      <c r="D22" t="s">
        <v>49</v>
      </c>
      <c r="E22" s="33">
        <v>44207</v>
      </c>
      <c r="F22" s="59">
        <v>2240</v>
      </c>
      <c r="G22" s="59">
        <v>2161.54</v>
      </c>
      <c r="H22" s="59">
        <v>2161.5384615384614</v>
      </c>
      <c r="I22" s="60">
        <f t="shared" si="0"/>
        <v>1.8490504704875963</v>
      </c>
      <c r="J22" s="60">
        <f t="shared" si="1"/>
        <v>-1.5384615385301004E-3</v>
      </c>
      <c r="K22" s="60">
        <f t="shared" si="2"/>
        <v>1.8490491544383758</v>
      </c>
      <c r="L22" s="60">
        <f t="shared" si="3"/>
        <v>-1.3160492204900009E-6</v>
      </c>
    </row>
    <row r="23" spans="1:12" x14ac:dyDescent="0.25">
      <c r="A23" t="s">
        <v>77</v>
      </c>
      <c r="B23" s="58" t="s">
        <v>65</v>
      </c>
      <c r="C23">
        <v>813</v>
      </c>
      <c r="D23" t="s">
        <v>49</v>
      </c>
      <c r="E23" s="33">
        <v>44207</v>
      </c>
      <c r="F23" s="59">
        <v>1580</v>
      </c>
      <c r="G23" s="59">
        <v>1365</v>
      </c>
      <c r="H23" s="59">
        <v>1365</v>
      </c>
      <c r="I23" s="60">
        <f t="shared" si="0"/>
        <v>1.6789667896678966</v>
      </c>
      <c r="J23" s="60">
        <f t="shared" si="1"/>
        <v>0</v>
      </c>
      <c r="K23" s="60">
        <f t="shared" si="2"/>
        <v>1.6789667896678966</v>
      </c>
      <c r="L23" s="60">
        <f t="shared" si="3"/>
        <v>0</v>
      </c>
    </row>
    <row r="24" spans="1:12" x14ac:dyDescent="0.25">
      <c r="A24" t="s">
        <v>78</v>
      </c>
      <c r="B24" s="58" t="s">
        <v>59</v>
      </c>
      <c r="C24">
        <v>1115</v>
      </c>
      <c r="D24" t="s">
        <v>49</v>
      </c>
      <c r="E24" s="33">
        <v>44209</v>
      </c>
      <c r="F24" s="59">
        <v>2135</v>
      </c>
      <c r="G24" s="59">
        <v>1650</v>
      </c>
      <c r="H24" s="59">
        <v>1650</v>
      </c>
      <c r="I24" s="60">
        <f t="shared" si="0"/>
        <v>1.4798206278026906</v>
      </c>
      <c r="J24" s="60">
        <f t="shared" si="1"/>
        <v>0</v>
      </c>
      <c r="K24" s="60">
        <f t="shared" si="2"/>
        <v>1.4798206278026906</v>
      </c>
      <c r="L24" s="60">
        <f t="shared" si="3"/>
        <v>0</v>
      </c>
    </row>
    <row r="25" spans="1:12" x14ac:dyDescent="0.25">
      <c r="A25" t="s">
        <v>79</v>
      </c>
      <c r="B25" s="58" t="s">
        <v>55</v>
      </c>
      <c r="C25">
        <v>764</v>
      </c>
      <c r="D25" t="s">
        <v>49</v>
      </c>
      <c r="E25" s="33">
        <v>44210</v>
      </c>
      <c r="F25" s="59">
        <v>1615</v>
      </c>
      <c r="G25" s="59">
        <v>1285</v>
      </c>
      <c r="H25" s="59">
        <v>1285</v>
      </c>
      <c r="I25" s="60">
        <f t="shared" si="0"/>
        <v>1.6819371727748691</v>
      </c>
      <c r="J25" s="60">
        <f t="shared" si="1"/>
        <v>0</v>
      </c>
      <c r="K25" s="60">
        <f t="shared" si="2"/>
        <v>1.6819371727748691</v>
      </c>
      <c r="L25" s="60">
        <f t="shared" si="3"/>
        <v>0</v>
      </c>
    </row>
    <row r="26" spans="1:12" x14ac:dyDescent="0.25">
      <c r="A26" t="s">
        <v>80</v>
      </c>
      <c r="B26" s="58" t="s">
        <v>74</v>
      </c>
      <c r="C26">
        <v>1169</v>
      </c>
      <c r="D26" t="s">
        <v>49</v>
      </c>
      <c r="E26" s="33">
        <v>44211</v>
      </c>
      <c r="F26" s="59">
        <v>2195</v>
      </c>
      <c r="G26" s="59">
        <v>1695</v>
      </c>
      <c r="H26" s="59">
        <v>1695</v>
      </c>
      <c r="I26" s="60">
        <f t="shared" si="0"/>
        <v>1.4499572284003421</v>
      </c>
      <c r="J26" s="60">
        <f t="shared" si="1"/>
        <v>0</v>
      </c>
      <c r="K26" s="60">
        <f t="shared" si="2"/>
        <v>1.4499572284003421</v>
      </c>
      <c r="L26" s="60">
        <f t="shared" si="3"/>
        <v>0</v>
      </c>
    </row>
    <row r="27" spans="1:12" x14ac:dyDescent="0.25">
      <c r="A27" t="s">
        <v>81</v>
      </c>
      <c r="B27" s="58" t="s">
        <v>82</v>
      </c>
      <c r="C27">
        <v>1112</v>
      </c>
      <c r="D27" t="s">
        <v>49</v>
      </c>
      <c r="E27" s="33">
        <v>44211</v>
      </c>
      <c r="F27" s="59">
        <v>2145</v>
      </c>
      <c r="G27" s="59">
        <v>1670</v>
      </c>
      <c r="H27" s="59">
        <v>1670</v>
      </c>
      <c r="I27" s="60">
        <f t="shared" si="0"/>
        <v>1.5017985611510791</v>
      </c>
      <c r="J27" s="60">
        <f t="shared" si="1"/>
        <v>0</v>
      </c>
      <c r="K27" s="60">
        <f t="shared" si="2"/>
        <v>1.5017985611510791</v>
      </c>
      <c r="L27" s="60">
        <f t="shared" si="3"/>
        <v>0</v>
      </c>
    </row>
    <row r="28" spans="1:12" x14ac:dyDescent="0.25">
      <c r="A28" t="s">
        <v>83</v>
      </c>
      <c r="B28" s="58" t="s">
        <v>55</v>
      </c>
      <c r="C28">
        <v>764</v>
      </c>
      <c r="D28" t="s">
        <v>49</v>
      </c>
      <c r="E28" s="33">
        <v>44211</v>
      </c>
      <c r="F28" s="59">
        <v>1585</v>
      </c>
      <c r="G28" s="59">
        <v>1335</v>
      </c>
      <c r="H28" s="59">
        <v>1335</v>
      </c>
      <c r="I28" s="60">
        <f t="shared" si="0"/>
        <v>1.7473821989528795</v>
      </c>
      <c r="J28" s="60">
        <f t="shared" si="1"/>
        <v>0</v>
      </c>
      <c r="K28" s="60">
        <f t="shared" si="2"/>
        <v>1.7473821989528795</v>
      </c>
      <c r="L28" s="60">
        <f t="shared" si="3"/>
        <v>0</v>
      </c>
    </row>
    <row r="29" spans="1:12" x14ac:dyDescent="0.25">
      <c r="A29" t="s">
        <v>84</v>
      </c>
      <c r="B29" s="58" t="s">
        <v>57</v>
      </c>
      <c r="C29">
        <v>700</v>
      </c>
      <c r="D29" t="s">
        <v>49</v>
      </c>
      <c r="E29" s="33">
        <v>44211</v>
      </c>
      <c r="F29" s="59">
        <v>1515</v>
      </c>
      <c r="G29" s="59">
        <v>1325</v>
      </c>
      <c r="H29" s="59">
        <v>1325</v>
      </c>
      <c r="I29" s="60">
        <f t="shared" si="0"/>
        <v>1.8928571428571428</v>
      </c>
      <c r="J29" s="60">
        <f t="shared" si="1"/>
        <v>0</v>
      </c>
      <c r="K29" s="60">
        <f t="shared" si="2"/>
        <v>1.8928571428571428</v>
      </c>
      <c r="L29" s="60">
        <f t="shared" si="3"/>
        <v>0</v>
      </c>
    </row>
    <row r="30" spans="1:12" x14ac:dyDescent="0.25">
      <c r="A30" t="s">
        <v>85</v>
      </c>
      <c r="B30" s="58" t="s">
        <v>86</v>
      </c>
      <c r="C30">
        <v>810</v>
      </c>
      <c r="D30" t="s">
        <v>49</v>
      </c>
      <c r="E30" s="33">
        <v>44211</v>
      </c>
      <c r="F30" s="59">
        <v>1555</v>
      </c>
      <c r="G30" s="59">
        <v>1355</v>
      </c>
      <c r="H30" s="59">
        <v>1355</v>
      </c>
      <c r="I30" s="60">
        <f t="shared" si="0"/>
        <v>1.6728395061728396</v>
      </c>
      <c r="J30" s="60">
        <f t="shared" si="1"/>
        <v>0</v>
      </c>
      <c r="K30" s="60">
        <f t="shared" si="2"/>
        <v>1.6728395061728396</v>
      </c>
      <c r="L30" s="60">
        <f t="shared" si="3"/>
        <v>0</v>
      </c>
    </row>
    <row r="31" spans="1:12" x14ac:dyDescent="0.25">
      <c r="A31" t="s">
        <v>87</v>
      </c>
      <c r="B31" s="58" t="s">
        <v>82</v>
      </c>
      <c r="C31">
        <v>1112</v>
      </c>
      <c r="D31" t="s">
        <v>49</v>
      </c>
      <c r="E31" s="33">
        <v>44215</v>
      </c>
      <c r="F31" s="59">
        <v>2125</v>
      </c>
      <c r="G31" s="59">
        <v>1650</v>
      </c>
      <c r="H31" s="59">
        <v>1650</v>
      </c>
      <c r="I31" s="60">
        <f t="shared" si="0"/>
        <v>1.4838129496402879</v>
      </c>
      <c r="J31" s="60">
        <f t="shared" si="1"/>
        <v>0</v>
      </c>
      <c r="K31" s="60">
        <f t="shared" si="2"/>
        <v>1.4838129496402879</v>
      </c>
      <c r="L31" s="60">
        <f t="shared" si="3"/>
        <v>0</v>
      </c>
    </row>
    <row r="32" spans="1:12" x14ac:dyDescent="0.25">
      <c r="A32" t="s">
        <v>88</v>
      </c>
      <c r="B32" s="58" t="s">
        <v>82</v>
      </c>
      <c r="C32">
        <v>1112</v>
      </c>
      <c r="D32" t="s">
        <v>49</v>
      </c>
      <c r="E32" s="33">
        <v>44215</v>
      </c>
      <c r="F32" s="59">
        <v>2145</v>
      </c>
      <c r="G32" s="59">
        <v>1670</v>
      </c>
      <c r="H32" s="59">
        <v>1670</v>
      </c>
      <c r="I32" s="60">
        <f t="shared" si="0"/>
        <v>1.5017985611510791</v>
      </c>
      <c r="J32" s="60">
        <f t="shared" si="1"/>
        <v>0</v>
      </c>
      <c r="K32" s="60">
        <f t="shared" si="2"/>
        <v>1.5017985611510791</v>
      </c>
      <c r="L32" s="60">
        <f t="shared" si="3"/>
        <v>0</v>
      </c>
    </row>
    <row r="33" spans="1:12" x14ac:dyDescent="0.25">
      <c r="A33" t="s">
        <v>89</v>
      </c>
      <c r="B33" s="58" t="s">
        <v>55</v>
      </c>
      <c r="C33">
        <v>764</v>
      </c>
      <c r="D33" t="s">
        <v>49</v>
      </c>
      <c r="E33" s="33">
        <v>44216</v>
      </c>
      <c r="F33" s="59">
        <v>1585</v>
      </c>
      <c r="G33" s="59">
        <v>1335</v>
      </c>
      <c r="H33" s="59">
        <v>1335</v>
      </c>
      <c r="I33" s="60">
        <f t="shared" si="0"/>
        <v>1.7473821989528795</v>
      </c>
      <c r="J33" s="60">
        <f t="shared" si="1"/>
        <v>0</v>
      </c>
      <c r="K33" s="60">
        <f t="shared" si="2"/>
        <v>1.7473821989528795</v>
      </c>
      <c r="L33" s="60">
        <f t="shared" si="3"/>
        <v>0</v>
      </c>
    </row>
    <row r="34" spans="1:12" x14ac:dyDescent="0.25">
      <c r="A34" t="s">
        <v>90</v>
      </c>
      <c r="B34" s="58" t="s">
        <v>48</v>
      </c>
      <c r="C34">
        <v>806</v>
      </c>
      <c r="D34" t="s">
        <v>49</v>
      </c>
      <c r="E34" s="33">
        <v>44221</v>
      </c>
      <c r="F34" s="59">
        <v>1620</v>
      </c>
      <c r="G34" s="59">
        <v>1345</v>
      </c>
      <c r="H34" s="59">
        <v>1345</v>
      </c>
      <c r="I34" s="60">
        <f t="shared" si="0"/>
        <v>1.6687344913151365</v>
      </c>
      <c r="J34" s="60">
        <f t="shared" si="1"/>
        <v>0</v>
      </c>
      <c r="K34" s="60">
        <f t="shared" si="2"/>
        <v>1.6687344913151365</v>
      </c>
      <c r="L34" s="60">
        <f t="shared" si="3"/>
        <v>0</v>
      </c>
    </row>
    <row r="35" spans="1:12" x14ac:dyDescent="0.25">
      <c r="A35" t="s">
        <v>91</v>
      </c>
      <c r="B35" s="58" t="s">
        <v>59</v>
      </c>
      <c r="C35">
        <v>1115</v>
      </c>
      <c r="D35" t="s">
        <v>49</v>
      </c>
      <c r="E35" s="33">
        <v>44223</v>
      </c>
      <c r="F35" s="59">
        <v>2135</v>
      </c>
      <c r="G35" s="59">
        <v>1650</v>
      </c>
      <c r="H35" s="59">
        <v>1650</v>
      </c>
      <c r="I35" s="60">
        <f t="shared" si="0"/>
        <v>1.4798206278026906</v>
      </c>
      <c r="J35" s="60">
        <f t="shared" si="1"/>
        <v>0</v>
      </c>
      <c r="K35" s="60">
        <f t="shared" si="2"/>
        <v>1.4798206278026906</v>
      </c>
      <c r="L35" s="60">
        <f t="shared" si="3"/>
        <v>0</v>
      </c>
    </row>
    <row r="36" spans="1:12" x14ac:dyDescent="0.25">
      <c r="A36" t="s">
        <v>92</v>
      </c>
      <c r="B36" s="58" t="s">
        <v>51</v>
      </c>
      <c r="C36">
        <v>848</v>
      </c>
      <c r="D36" t="s">
        <v>49</v>
      </c>
      <c r="E36" s="33">
        <v>44224</v>
      </c>
      <c r="F36" s="59">
        <v>1735</v>
      </c>
      <c r="G36" s="59">
        <v>1385</v>
      </c>
      <c r="H36" s="59">
        <v>1385</v>
      </c>
      <c r="I36" s="60">
        <f t="shared" si="0"/>
        <v>1.633254716981132</v>
      </c>
      <c r="J36" s="60">
        <f t="shared" si="1"/>
        <v>0</v>
      </c>
      <c r="K36" s="60">
        <f t="shared" si="2"/>
        <v>1.633254716981132</v>
      </c>
      <c r="L36" s="60">
        <f t="shared" si="3"/>
        <v>0</v>
      </c>
    </row>
    <row r="37" spans="1:12" x14ac:dyDescent="0.25">
      <c r="A37" t="s">
        <v>93</v>
      </c>
      <c r="B37" s="58" t="s">
        <v>65</v>
      </c>
      <c r="C37">
        <v>813</v>
      </c>
      <c r="D37" t="s">
        <v>49</v>
      </c>
      <c r="E37" s="33">
        <v>44224</v>
      </c>
      <c r="F37" s="59">
        <v>1580</v>
      </c>
      <c r="G37" s="59">
        <v>1365</v>
      </c>
      <c r="H37" s="59">
        <v>1365</v>
      </c>
      <c r="I37" s="60">
        <f t="shared" si="0"/>
        <v>1.6789667896678966</v>
      </c>
      <c r="J37" s="60">
        <f t="shared" si="1"/>
        <v>0</v>
      </c>
      <c r="K37" s="60">
        <f t="shared" si="2"/>
        <v>1.6789667896678966</v>
      </c>
      <c r="L37" s="60">
        <f t="shared" si="3"/>
        <v>0</v>
      </c>
    </row>
    <row r="38" spans="1:12" x14ac:dyDescent="0.25">
      <c r="A38" t="s">
        <v>94</v>
      </c>
      <c r="B38" s="58" t="s">
        <v>59</v>
      </c>
      <c r="C38">
        <v>1115</v>
      </c>
      <c r="D38" t="s">
        <v>49</v>
      </c>
      <c r="E38" s="33">
        <v>44225</v>
      </c>
      <c r="F38" s="59">
        <v>2135</v>
      </c>
      <c r="G38" s="59">
        <v>1650</v>
      </c>
      <c r="H38" s="59">
        <v>1650</v>
      </c>
      <c r="I38" s="60">
        <f t="shared" si="0"/>
        <v>1.4798206278026906</v>
      </c>
      <c r="J38" s="60">
        <f t="shared" si="1"/>
        <v>0</v>
      </c>
      <c r="K38" s="60">
        <f t="shared" si="2"/>
        <v>1.4798206278026906</v>
      </c>
      <c r="L38" s="60">
        <f t="shared" si="3"/>
        <v>0</v>
      </c>
    </row>
    <row r="39" spans="1:12" x14ac:dyDescent="0.25">
      <c r="A39" t="s">
        <v>95</v>
      </c>
      <c r="B39" s="58" t="s">
        <v>82</v>
      </c>
      <c r="C39">
        <v>1112</v>
      </c>
      <c r="D39" t="s">
        <v>49</v>
      </c>
      <c r="E39" s="33">
        <v>44228</v>
      </c>
      <c r="F39" s="59">
        <v>2125</v>
      </c>
      <c r="G39" s="59">
        <v>1650</v>
      </c>
      <c r="H39" s="59">
        <v>1650</v>
      </c>
      <c r="I39" s="60">
        <f t="shared" si="0"/>
        <v>1.4838129496402879</v>
      </c>
      <c r="J39" s="60">
        <f t="shared" si="1"/>
        <v>0</v>
      </c>
      <c r="K39" s="60">
        <f t="shared" si="2"/>
        <v>1.4838129496402879</v>
      </c>
      <c r="L39" s="60">
        <f t="shared" si="3"/>
        <v>0</v>
      </c>
    </row>
    <row r="40" spans="1:12" x14ac:dyDescent="0.25">
      <c r="A40" t="s">
        <v>96</v>
      </c>
      <c r="B40" s="58" t="s">
        <v>57</v>
      </c>
      <c r="C40">
        <v>700</v>
      </c>
      <c r="D40" t="s">
        <v>49</v>
      </c>
      <c r="E40" s="33">
        <v>44231</v>
      </c>
      <c r="F40" s="59">
        <v>1515</v>
      </c>
      <c r="G40" s="59">
        <v>1325</v>
      </c>
      <c r="H40" s="59">
        <v>1325</v>
      </c>
      <c r="I40" s="60">
        <f t="shared" si="0"/>
        <v>1.8928571428571428</v>
      </c>
      <c r="J40" s="60">
        <f t="shared" si="1"/>
        <v>0</v>
      </c>
      <c r="K40" s="60">
        <f t="shared" si="2"/>
        <v>1.8928571428571428</v>
      </c>
      <c r="L40" s="60">
        <f t="shared" si="3"/>
        <v>0</v>
      </c>
    </row>
    <row r="41" spans="1:12" x14ac:dyDescent="0.25">
      <c r="A41" t="s">
        <v>97</v>
      </c>
      <c r="B41" s="58" t="s">
        <v>61</v>
      </c>
      <c r="C41">
        <v>820</v>
      </c>
      <c r="D41" t="s">
        <v>49</v>
      </c>
      <c r="E41" s="33">
        <v>44231</v>
      </c>
      <c r="F41" s="59">
        <v>1660</v>
      </c>
      <c r="G41" s="59">
        <v>1355</v>
      </c>
      <c r="H41" s="59">
        <v>1355</v>
      </c>
      <c r="I41" s="60">
        <f t="shared" si="0"/>
        <v>1.6524390243902438</v>
      </c>
      <c r="J41" s="60">
        <f t="shared" si="1"/>
        <v>0</v>
      </c>
      <c r="K41" s="60">
        <f t="shared" si="2"/>
        <v>1.6524390243902438</v>
      </c>
      <c r="L41" s="60">
        <f t="shared" si="3"/>
        <v>0</v>
      </c>
    </row>
    <row r="42" spans="1:12" x14ac:dyDescent="0.25">
      <c r="A42" t="s">
        <v>98</v>
      </c>
      <c r="B42" s="58" t="s">
        <v>82</v>
      </c>
      <c r="C42">
        <v>1112</v>
      </c>
      <c r="D42" t="s">
        <v>49</v>
      </c>
      <c r="E42" s="33">
        <v>44232</v>
      </c>
      <c r="F42" s="59">
        <v>2125</v>
      </c>
      <c r="G42" s="59">
        <v>1650</v>
      </c>
      <c r="H42" s="59">
        <v>1650</v>
      </c>
      <c r="I42" s="60">
        <f t="shared" si="0"/>
        <v>1.4838129496402879</v>
      </c>
      <c r="J42" s="60">
        <f t="shared" si="1"/>
        <v>0</v>
      </c>
      <c r="K42" s="60">
        <f t="shared" si="2"/>
        <v>1.4838129496402879</v>
      </c>
      <c r="L42" s="60">
        <f t="shared" si="3"/>
        <v>0</v>
      </c>
    </row>
    <row r="43" spans="1:12" x14ac:dyDescent="0.25">
      <c r="A43" t="s">
        <v>99</v>
      </c>
      <c r="B43" s="58" t="s">
        <v>57</v>
      </c>
      <c r="C43">
        <v>700</v>
      </c>
      <c r="D43" t="s">
        <v>49</v>
      </c>
      <c r="E43" s="33">
        <v>44238</v>
      </c>
      <c r="F43" s="59">
        <v>1465</v>
      </c>
      <c r="G43" s="59">
        <v>1275</v>
      </c>
      <c r="H43" s="59">
        <v>1275</v>
      </c>
      <c r="I43" s="60">
        <f t="shared" si="0"/>
        <v>1.8214285714285714</v>
      </c>
      <c r="J43" s="60">
        <f t="shared" si="1"/>
        <v>0</v>
      </c>
      <c r="K43" s="60">
        <f t="shared" si="2"/>
        <v>1.8214285714285714</v>
      </c>
      <c r="L43" s="60">
        <f t="shared" si="3"/>
        <v>0</v>
      </c>
    </row>
    <row r="44" spans="1:12" x14ac:dyDescent="0.25">
      <c r="A44" t="s">
        <v>100</v>
      </c>
      <c r="B44" s="58" t="s">
        <v>65</v>
      </c>
      <c r="C44">
        <v>813</v>
      </c>
      <c r="D44" t="s">
        <v>49</v>
      </c>
      <c r="E44" s="33">
        <v>44239</v>
      </c>
      <c r="F44" s="59">
        <v>1580</v>
      </c>
      <c r="G44" s="59">
        <v>1365</v>
      </c>
      <c r="H44" s="59">
        <v>1365</v>
      </c>
      <c r="I44" s="60">
        <f t="shared" si="0"/>
        <v>1.6789667896678966</v>
      </c>
      <c r="J44" s="60">
        <f t="shared" si="1"/>
        <v>0</v>
      </c>
      <c r="K44" s="60">
        <f t="shared" si="2"/>
        <v>1.6789667896678966</v>
      </c>
      <c r="L44" s="60">
        <f t="shared" si="3"/>
        <v>0</v>
      </c>
    </row>
    <row r="45" spans="1:12" x14ac:dyDescent="0.25">
      <c r="A45" t="s">
        <v>101</v>
      </c>
      <c r="B45" s="58" t="s">
        <v>48</v>
      </c>
      <c r="C45">
        <v>806</v>
      </c>
      <c r="D45" t="s">
        <v>49</v>
      </c>
      <c r="E45" s="33">
        <v>44239</v>
      </c>
      <c r="F45" s="59">
        <v>1620</v>
      </c>
      <c r="G45" s="59">
        <v>1395</v>
      </c>
      <c r="H45" s="59">
        <v>1395</v>
      </c>
      <c r="I45" s="60">
        <f t="shared" si="0"/>
        <v>1.7307692307692308</v>
      </c>
      <c r="J45" s="60">
        <f t="shared" si="1"/>
        <v>0</v>
      </c>
      <c r="K45" s="60">
        <f t="shared" si="2"/>
        <v>1.7307692307692308</v>
      </c>
      <c r="L45" s="60">
        <f t="shared" si="3"/>
        <v>0</v>
      </c>
    </row>
    <row r="46" spans="1:12" x14ac:dyDescent="0.25">
      <c r="A46" t="s">
        <v>102</v>
      </c>
      <c r="B46" s="58" t="s">
        <v>86</v>
      </c>
      <c r="C46">
        <v>810</v>
      </c>
      <c r="D46" t="s">
        <v>49</v>
      </c>
      <c r="E46" s="33">
        <v>44240</v>
      </c>
      <c r="F46" s="59">
        <v>1505</v>
      </c>
      <c r="G46" s="59">
        <v>1355</v>
      </c>
      <c r="H46" s="59">
        <v>1355</v>
      </c>
      <c r="I46" s="60">
        <f t="shared" si="0"/>
        <v>1.6728395061728396</v>
      </c>
      <c r="J46" s="60">
        <f t="shared" si="1"/>
        <v>0</v>
      </c>
      <c r="K46" s="60">
        <f t="shared" si="2"/>
        <v>1.6728395061728396</v>
      </c>
      <c r="L46" s="60">
        <f t="shared" si="3"/>
        <v>0</v>
      </c>
    </row>
    <row r="47" spans="1:12" x14ac:dyDescent="0.25">
      <c r="A47" t="s">
        <v>103</v>
      </c>
      <c r="B47" s="58" t="s">
        <v>65</v>
      </c>
      <c r="C47">
        <v>813</v>
      </c>
      <c r="D47" t="s">
        <v>49</v>
      </c>
      <c r="E47" s="33">
        <v>44242</v>
      </c>
      <c r="F47" s="59">
        <v>1580</v>
      </c>
      <c r="G47" s="59">
        <v>1365</v>
      </c>
      <c r="H47" s="59">
        <v>1365</v>
      </c>
      <c r="I47" s="60">
        <f t="shared" si="0"/>
        <v>1.6789667896678966</v>
      </c>
      <c r="J47" s="60">
        <f t="shared" si="1"/>
        <v>0</v>
      </c>
      <c r="K47" s="60">
        <f t="shared" si="2"/>
        <v>1.6789667896678966</v>
      </c>
      <c r="L47" s="60">
        <f t="shared" si="3"/>
        <v>0</v>
      </c>
    </row>
    <row r="48" spans="1:12" x14ac:dyDescent="0.25">
      <c r="A48" t="s">
        <v>104</v>
      </c>
      <c r="B48" s="58" t="s">
        <v>65</v>
      </c>
      <c r="C48">
        <v>813</v>
      </c>
      <c r="D48" t="s">
        <v>49</v>
      </c>
      <c r="E48" s="33">
        <v>44246</v>
      </c>
      <c r="F48" s="59">
        <v>1580</v>
      </c>
      <c r="G48" s="59">
        <v>1365</v>
      </c>
      <c r="H48" s="59">
        <v>1365</v>
      </c>
      <c r="I48" s="60">
        <f t="shared" si="0"/>
        <v>1.6789667896678966</v>
      </c>
      <c r="J48" s="60">
        <f t="shared" si="1"/>
        <v>0</v>
      </c>
      <c r="K48" s="60">
        <f t="shared" si="2"/>
        <v>1.6789667896678966</v>
      </c>
      <c r="L48" s="60">
        <f t="shared" si="3"/>
        <v>0</v>
      </c>
    </row>
    <row r="49" spans="1:12" x14ac:dyDescent="0.25">
      <c r="A49" t="s">
        <v>105</v>
      </c>
      <c r="B49" s="58" t="s">
        <v>65</v>
      </c>
      <c r="C49">
        <v>813</v>
      </c>
      <c r="D49" t="s">
        <v>49</v>
      </c>
      <c r="E49" s="33">
        <v>44246</v>
      </c>
      <c r="F49" s="59">
        <v>1580</v>
      </c>
      <c r="G49" s="59">
        <v>1365</v>
      </c>
      <c r="H49" s="59">
        <v>1365</v>
      </c>
      <c r="I49" s="60">
        <f t="shared" si="0"/>
        <v>1.6789667896678966</v>
      </c>
      <c r="J49" s="60">
        <f t="shared" si="1"/>
        <v>0</v>
      </c>
      <c r="K49" s="60">
        <f t="shared" si="2"/>
        <v>1.6789667896678966</v>
      </c>
      <c r="L49" s="60">
        <f t="shared" si="3"/>
        <v>0</v>
      </c>
    </row>
    <row r="50" spans="1:12" x14ac:dyDescent="0.25">
      <c r="A50" t="s">
        <v>106</v>
      </c>
      <c r="B50" s="58" t="s">
        <v>51</v>
      </c>
      <c r="C50">
        <v>848</v>
      </c>
      <c r="D50" t="s">
        <v>49</v>
      </c>
      <c r="E50" s="33">
        <v>44250</v>
      </c>
      <c r="F50" s="59">
        <v>1735</v>
      </c>
      <c r="G50" s="59">
        <v>1385</v>
      </c>
      <c r="H50" s="59">
        <v>1385</v>
      </c>
      <c r="I50" s="60">
        <f t="shared" si="0"/>
        <v>1.633254716981132</v>
      </c>
      <c r="J50" s="60">
        <f t="shared" si="1"/>
        <v>0</v>
      </c>
      <c r="K50" s="60">
        <f t="shared" si="2"/>
        <v>1.633254716981132</v>
      </c>
      <c r="L50" s="60">
        <f t="shared" si="3"/>
        <v>0</v>
      </c>
    </row>
    <row r="51" spans="1:12" x14ac:dyDescent="0.25">
      <c r="A51" t="s">
        <v>107</v>
      </c>
      <c r="B51" s="58" t="s">
        <v>48</v>
      </c>
      <c r="C51">
        <v>806</v>
      </c>
      <c r="D51" t="s">
        <v>49</v>
      </c>
      <c r="E51" s="33">
        <v>44250</v>
      </c>
      <c r="F51" s="59">
        <v>1620</v>
      </c>
      <c r="G51" s="59">
        <v>1395</v>
      </c>
      <c r="H51" s="59">
        <v>1395</v>
      </c>
      <c r="I51" s="60">
        <f t="shared" si="0"/>
        <v>1.7307692307692308</v>
      </c>
      <c r="J51" s="60">
        <f t="shared" si="1"/>
        <v>0</v>
      </c>
      <c r="K51" s="60">
        <f t="shared" si="2"/>
        <v>1.7307692307692308</v>
      </c>
      <c r="L51" s="60">
        <f t="shared" si="3"/>
        <v>0</v>
      </c>
    </row>
    <row r="52" spans="1:12" x14ac:dyDescent="0.25">
      <c r="A52" t="s">
        <v>108</v>
      </c>
      <c r="B52" s="58" t="s">
        <v>82</v>
      </c>
      <c r="C52">
        <v>1112</v>
      </c>
      <c r="D52" t="s">
        <v>49</v>
      </c>
      <c r="E52" s="33">
        <v>44251</v>
      </c>
      <c r="F52" s="59">
        <v>2145</v>
      </c>
      <c r="G52" s="59">
        <v>1670</v>
      </c>
      <c r="H52" s="59">
        <v>1670</v>
      </c>
      <c r="I52" s="60">
        <f t="shared" si="0"/>
        <v>1.5017985611510791</v>
      </c>
      <c r="J52" s="60">
        <f t="shared" si="1"/>
        <v>0</v>
      </c>
      <c r="K52" s="60">
        <f t="shared" si="2"/>
        <v>1.5017985611510791</v>
      </c>
      <c r="L52" s="60">
        <f t="shared" si="3"/>
        <v>0</v>
      </c>
    </row>
    <row r="53" spans="1:12" x14ac:dyDescent="0.25">
      <c r="A53" t="s">
        <v>109</v>
      </c>
      <c r="B53" s="58" t="s">
        <v>74</v>
      </c>
      <c r="C53">
        <v>1169</v>
      </c>
      <c r="D53" t="s">
        <v>49</v>
      </c>
      <c r="E53" s="33">
        <v>44252</v>
      </c>
      <c r="F53" s="59">
        <v>2195</v>
      </c>
      <c r="G53" s="59">
        <v>1695</v>
      </c>
      <c r="H53" s="59">
        <v>1695</v>
      </c>
      <c r="I53" s="60">
        <f t="shared" si="0"/>
        <v>1.4499572284003421</v>
      </c>
      <c r="J53" s="60">
        <f t="shared" si="1"/>
        <v>0</v>
      </c>
      <c r="K53" s="60">
        <f t="shared" si="2"/>
        <v>1.4499572284003421</v>
      </c>
      <c r="L53" s="60">
        <f t="shared" si="3"/>
        <v>0</v>
      </c>
    </row>
    <row r="54" spans="1:12" x14ac:dyDescent="0.25">
      <c r="A54" t="s">
        <v>110</v>
      </c>
      <c r="B54" s="58" t="s">
        <v>59</v>
      </c>
      <c r="C54">
        <v>1115</v>
      </c>
      <c r="D54" t="s">
        <v>49</v>
      </c>
      <c r="E54" s="33">
        <v>44252</v>
      </c>
      <c r="F54" s="59">
        <v>2135</v>
      </c>
      <c r="G54" s="59">
        <v>1650</v>
      </c>
      <c r="H54" s="59">
        <v>1650</v>
      </c>
      <c r="I54" s="60">
        <f t="shared" si="0"/>
        <v>1.4798206278026906</v>
      </c>
      <c r="J54" s="60">
        <f t="shared" si="1"/>
        <v>0</v>
      </c>
      <c r="K54" s="60">
        <f t="shared" si="2"/>
        <v>1.4798206278026906</v>
      </c>
      <c r="L54" s="60">
        <f t="shared" si="3"/>
        <v>0</v>
      </c>
    </row>
    <row r="55" spans="1:12" x14ac:dyDescent="0.25">
      <c r="A55" t="s">
        <v>111</v>
      </c>
      <c r="B55" s="58" t="s">
        <v>61</v>
      </c>
      <c r="C55">
        <v>820</v>
      </c>
      <c r="D55" t="s">
        <v>49</v>
      </c>
      <c r="E55" s="33">
        <v>44253</v>
      </c>
      <c r="F55" s="59">
        <v>1645</v>
      </c>
      <c r="G55" s="59">
        <v>1405</v>
      </c>
      <c r="H55" s="59">
        <v>1405</v>
      </c>
      <c r="I55" s="60">
        <f t="shared" si="0"/>
        <v>1.7134146341463414</v>
      </c>
      <c r="J55" s="60">
        <f t="shared" si="1"/>
        <v>0</v>
      </c>
      <c r="K55" s="60">
        <f t="shared" si="2"/>
        <v>1.7134146341463414</v>
      </c>
      <c r="L55" s="60">
        <f t="shared" si="3"/>
        <v>0</v>
      </c>
    </row>
    <row r="56" spans="1:12" x14ac:dyDescent="0.25">
      <c r="A56" t="s">
        <v>112</v>
      </c>
      <c r="B56" s="58" t="s">
        <v>74</v>
      </c>
      <c r="C56">
        <v>1169</v>
      </c>
      <c r="D56" t="s">
        <v>49</v>
      </c>
      <c r="E56" s="33">
        <v>44253</v>
      </c>
      <c r="F56" s="59">
        <v>2240</v>
      </c>
      <c r="G56" s="59">
        <v>1740</v>
      </c>
      <c r="H56" s="59">
        <v>1740</v>
      </c>
      <c r="I56" s="60">
        <f t="shared" si="0"/>
        <v>1.4884516680923867</v>
      </c>
      <c r="J56" s="60">
        <f t="shared" si="1"/>
        <v>0</v>
      </c>
      <c r="K56" s="60">
        <f t="shared" si="2"/>
        <v>1.4884516680923867</v>
      </c>
      <c r="L56" s="60">
        <f t="shared" si="3"/>
        <v>0</v>
      </c>
    </row>
    <row r="57" spans="1:12" x14ac:dyDescent="0.25">
      <c r="A57" t="s">
        <v>113</v>
      </c>
      <c r="B57" s="58" t="s">
        <v>86</v>
      </c>
      <c r="C57">
        <v>810</v>
      </c>
      <c r="D57" t="s">
        <v>49</v>
      </c>
      <c r="E57" s="33">
        <v>44253</v>
      </c>
      <c r="F57" s="59">
        <v>1600</v>
      </c>
      <c r="G57" s="59">
        <v>1400</v>
      </c>
      <c r="H57" s="59">
        <v>1400</v>
      </c>
      <c r="I57" s="60">
        <f t="shared" si="0"/>
        <v>1.728395061728395</v>
      </c>
      <c r="J57" s="60">
        <f t="shared" si="1"/>
        <v>0</v>
      </c>
      <c r="K57" s="60">
        <f t="shared" si="2"/>
        <v>1.728395061728395</v>
      </c>
      <c r="L57" s="60">
        <f t="shared" si="3"/>
        <v>0</v>
      </c>
    </row>
    <row r="58" spans="1:12" x14ac:dyDescent="0.25">
      <c r="A58" t="s">
        <v>114</v>
      </c>
      <c r="B58" s="58" t="s">
        <v>86</v>
      </c>
      <c r="C58">
        <v>810</v>
      </c>
      <c r="D58" t="s">
        <v>49</v>
      </c>
      <c r="E58" s="33">
        <v>44254</v>
      </c>
      <c r="F58" s="59">
        <v>1580</v>
      </c>
      <c r="G58" s="59">
        <v>1380</v>
      </c>
      <c r="H58" s="59">
        <v>1380</v>
      </c>
      <c r="I58" s="60">
        <f t="shared" si="0"/>
        <v>1.7037037037037037</v>
      </c>
      <c r="J58" s="60">
        <f t="shared" si="1"/>
        <v>0</v>
      </c>
      <c r="K58" s="60">
        <f t="shared" si="2"/>
        <v>1.7037037037037037</v>
      </c>
      <c r="L58" s="60">
        <f t="shared" si="3"/>
        <v>0</v>
      </c>
    </row>
    <row r="59" spans="1:12" x14ac:dyDescent="0.25">
      <c r="A59" t="s">
        <v>115</v>
      </c>
      <c r="B59" s="58" t="s">
        <v>57</v>
      </c>
      <c r="C59">
        <v>700</v>
      </c>
      <c r="D59" t="s">
        <v>49</v>
      </c>
      <c r="E59" s="33">
        <v>44254</v>
      </c>
      <c r="F59" s="59">
        <v>1465</v>
      </c>
      <c r="G59" s="59">
        <v>1275</v>
      </c>
      <c r="H59" s="59">
        <v>1275</v>
      </c>
      <c r="I59" s="60">
        <f t="shared" si="0"/>
        <v>1.8214285714285714</v>
      </c>
      <c r="J59" s="60">
        <f t="shared" si="1"/>
        <v>0</v>
      </c>
      <c r="K59" s="60">
        <f t="shared" si="2"/>
        <v>1.8214285714285714</v>
      </c>
      <c r="L59" s="60">
        <f t="shared" si="3"/>
        <v>0</v>
      </c>
    </row>
    <row r="60" spans="1:12" x14ac:dyDescent="0.25">
      <c r="A60" t="s">
        <v>116</v>
      </c>
      <c r="B60" s="58" t="s">
        <v>61</v>
      </c>
      <c r="C60">
        <v>820</v>
      </c>
      <c r="D60" t="s">
        <v>49</v>
      </c>
      <c r="E60" s="33">
        <v>44256</v>
      </c>
      <c r="F60" s="59">
        <v>1615</v>
      </c>
      <c r="G60" s="59">
        <v>1375</v>
      </c>
      <c r="H60" s="59">
        <v>1375</v>
      </c>
      <c r="I60" s="60">
        <f t="shared" si="0"/>
        <v>1.6768292682926829</v>
      </c>
      <c r="J60" s="60">
        <f t="shared" si="1"/>
        <v>0</v>
      </c>
      <c r="K60" s="60">
        <f t="shared" si="2"/>
        <v>1.6768292682926829</v>
      </c>
      <c r="L60" s="60">
        <f t="shared" si="3"/>
        <v>0</v>
      </c>
    </row>
    <row r="61" spans="1:12" x14ac:dyDescent="0.25">
      <c r="A61" t="s">
        <v>117</v>
      </c>
      <c r="B61" s="58" t="s">
        <v>74</v>
      </c>
      <c r="C61">
        <v>1169</v>
      </c>
      <c r="D61" t="s">
        <v>49</v>
      </c>
      <c r="E61" s="33">
        <v>44259</v>
      </c>
      <c r="F61" s="59">
        <v>2240</v>
      </c>
      <c r="G61" s="59">
        <v>1740</v>
      </c>
      <c r="H61" s="59">
        <v>1740</v>
      </c>
      <c r="I61" s="60">
        <f t="shared" si="0"/>
        <v>1.4884516680923867</v>
      </c>
      <c r="J61" s="60">
        <f t="shared" si="1"/>
        <v>0</v>
      </c>
      <c r="K61" s="60">
        <f t="shared" si="2"/>
        <v>1.4884516680923867</v>
      </c>
      <c r="L61" s="60">
        <f t="shared" si="3"/>
        <v>0</v>
      </c>
    </row>
    <row r="62" spans="1:12" x14ac:dyDescent="0.25">
      <c r="A62" t="s">
        <v>118</v>
      </c>
      <c r="B62" s="58" t="s">
        <v>59</v>
      </c>
      <c r="C62">
        <v>1115</v>
      </c>
      <c r="D62" t="s">
        <v>49</v>
      </c>
      <c r="E62" s="33">
        <v>44260</v>
      </c>
      <c r="F62" s="59">
        <v>2135</v>
      </c>
      <c r="G62" s="59">
        <v>1650</v>
      </c>
      <c r="H62" s="59">
        <v>1650</v>
      </c>
      <c r="I62" s="60">
        <f t="shared" si="0"/>
        <v>1.4798206278026906</v>
      </c>
      <c r="J62" s="60">
        <f t="shared" si="1"/>
        <v>0</v>
      </c>
      <c r="K62" s="60">
        <f t="shared" si="2"/>
        <v>1.4798206278026906</v>
      </c>
      <c r="L62" s="60">
        <f t="shared" si="3"/>
        <v>0</v>
      </c>
    </row>
    <row r="63" spans="1:12" x14ac:dyDescent="0.25">
      <c r="A63" t="s">
        <v>119</v>
      </c>
      <c r="B63" s="58" t="s">
        <v>48</v>
      </c>
      <c r="C63">
        <v>806</v>
      </c>
      <c r="D63" t="s">
        <v>49</v>
      </c>
      <c r="E63" s="33">
        <v>44261</v>
      </c>
      <c r="F63" s="59">
        <v>1620</v>
      </c>
      <c r="G63" s="59">
        <v>1395</v>
      </c>
      <c r="H63" s="59">
        <v>1395</v>
      </c>
      <c r="I63" s="60">
        <f t="shared" si="0"/>
        <v>1.7307692307692308</v>
      </c>
      <c r="J63" s="60">
        <f t="shared" si="1"/>
        <v>0</v>
      </c>
      <c r="K63" s="60">
        <f t="shared" si="2"/>
        <v>1.7307692307692308</v>
      </c>
      <c r="L63" s="60">
        <f t="shared" si="3"/>
        <v>0</v>
      </c>
    </row>
    <row r="64" spans="1:12" x14ac:dyDescent="0.25">
      <c r="A64" t="s">
        <v>120</v>
      </c>
      <c r="B64" s="58" t="s">
        <v>51</v>
      </c>
      <c r="C64">
        <v>848</v>
      </c>
      <c r="D64" t="s">
        <v>49</v>
      </c>
      <c r="E64" s="33">
        <v>44265</v>
      </c>
      <c r="F64" s="59">
        <v>1735</v>
      </c>
      <c r="G64" s="59">
        <v>1435</v>
      </c>
      <c r="H64" s="59">
        <v>1435</v>
      </c>
      <c r="I64" s="60">
        <f t="shared" si="0"/>
        <v>1.6922169811320755</v>
      </c>
      <c r="J64" s="60">
        <f t="shared" si="1"/>
        <v>0</v>
      </c>
      <c r="K64" s="60">
        <f t="shared" si="2"/>
        <v>1.6922169811320755</v>
      </c>
      <c r="L64" s="60">
        <f t="shared" si="3"/>
        <v>0</v>
      </c>
    </row>
    <row r="65" spans="1:12" x14ac:dyDescent="0.25">
      <c r="A65" t="s">
        <v>121</v>
      </c>
      <c r="B65" s="58" t="s">
        <v>86</v>
      </c>
      <c r="C65">
        <v>810</v>
      </c>
      <c r="D65" t="s">
        <v>49</v>
      </c>
      <c r="E65" s="33">
        <v>44267</v>
      </c>
      <c r="F65" s="59">
        <v>1555</v>
      </c>
      <c r="G65" s="59">
        <v>1355</v>
      </c>
      <c r="H65" s="59">
        <v>1355</v>
      </c>
      <c r="I65" s="60">
        <f t="shared" si="0"/>
        <v>1.6728395061728396</v>
      </c>
      <c r="J65" s="60">
        <f t="shared" si="1"/>
        <v>0</v>
      </c>
      <c r="K65" s="60">
        <f t="shared" si="2"/>
        <v>1.6728395061728396</v>
      </c>
      <c r="L65" s="60">
        <f t="shared" si="3"/>
        <v>0</v>
      </c>
    </row>
    <row r="66" spans="1:12" x14ac:dyDescent="0.25">
      <c r="A66" t="s">
        <v>122</v>
      </c>
      <c r="B66" s="58" t="s">
        <v>82</v>
      </c>
      <c r="C66">
        <v>1112</v>
      </c>
      <c r="D66" t="s">
        <v>49</v>
      </c>
      <c r="E66" s="33">
        <v>44267</v>
      </c>
      <c r="F66" s="59">
        <v>2145</v>
      </c>
      <c r="G66" s="59">
        <v>1670</v>
      </c>
      <c r="H66" s="59">
        <v>1670</v>
      </c>
      <c r="I66" s="60">
        <f t="shared" ref="I66:I129" si="4">G66/C66</f>
        <v>1.5017985611510791</v>
      </c>
      <c r="J66" s="60">
        <f t="shared" ref="J66:J129" si="5">SUM(H66-G66)</f>
        <v>0</v>
      </c>
      <c r="K66" s="60">
        <f t="shared" ref="K66:K129" si="6">H66/C66</f>
        <v>1.5017985611510791</v>
      </c>
      <c r="L66" s="60">
        <f t="shared" ref="L66:L129" si="7">K66-I66</f>
        <v>0</v>
      </c>
    </row>
    <row r="67" spans="1:12" x14ac:dyDescent="0.25">
      <c r="A67" t="s">
        <v>123</v>
      </c>
      <c r="B67" s="58" t="s">
        <v>57</v>
      </c>
      <c r="C67">
        <v>700</v>
      </c>
      <c r="D67" t="s">
        <v>49</v>
      </c>
      <c r="E67" s="33">
        <v>44270</v>
      </c>
      <c r="F67" s="59">
        <v>1515</v>
      </c>
      <c r="G67" s="59">
        <v>1275</v>
      </c>
      <c r="H67" s="59">
        <v>1275</v>
      </c>
      <c r="I67" s="60">
        <f t="shared" si="4"/>
        <v>1.8214285714285714</v>
      </c>
      <c r="J67" s="60">
        <f t="shared" si="5"/>
        <v>0</v>
      </c>
      <c r="K67" s="60">
        <f t="shared" si="6"/>
        <v>1.8214285714285714</v>
      </c>
      <c r="L67" s="60">
        <f t="shared" si="7"/>
        <v>0</v>
      </c>
    </row>
    <row r="68" spans="1:12" x14ac:dyDescent="0.25">
      <c r="A68" t="s">
        <v>124</v>
      </c>
      <c r="B68" s="58" t="s">
        <v>65</v>
      </c>
      <c r="C68">
        <v>813</v>
      </c>
      <c r="D68" t="s">
        <v>49</v>
      </c>
      <c r="E68" s="33">
        <v>44271</v>
      </c>
      <c r="F68" s="59">
        <v>1580</v>
      </c>
      <c r="G68" s="59">
        <v>1355</v>
      </c>
      <c r="H68" s="59">
        <v>1355</v>
      </c>
      <c r="I68" s="60">
        <f t="shared" si="4"/>
        <v>1.6666666666666667</v>
      </c>
      <c r="J68" s="60">
        <f t="shared" si="5"/>
        <v>0</v>
      </c>
      <c r="K68" s="60">
        <f t="shared" si="6"/>
        <v>1.6666666666666667</v>
      </c>
      <c r="L68" s="60">
        <f t="shared" si="7"/>
        <v>0</v>
      </c>
    </row>
    <row r="69" spans="1:12" x14ac:dyDescent="0.25">
      <c r="A69" t="s">
        <v>125</v>
      </c>
      <c r="B69" s="58" t="s">
        <v>48</v>
      </c>
      <c r="C69">
        <v>806</v>
      </c>
      <c r="D69" t="s">
        <v>49</v>
      </c>
      <c r="E69" s="33">
        <v>44273</v>
      </c>
      <c r="F69" s="59">
        <v>1620</v>
      </c>
      <c r="G69" s="59">
        <v>1395</v>
      </c>
      <c r="H69" s="59">
        <v>1395</v>
      </c>
      <c r="I69" s="60">
        <f t="shared" si="4"/>
        <v>1.7307692307692308</v>
      </c>
      <c r="J69" s="60">
        <f t="shared" si="5"/>
        <v>0</v>
      </c>
      <c r="K69" s="60">
        <f t="shared" si="6"/>
        <v>1.7307692307692308</v>
      </c>
      <c r="L69" s="60">
        <f t="shared" si="7"/>
        <v>0</v>
      </c>
    </row>
    <row r="70" spans="1:12" x14ac:dyDescent="0.25">
      <c r="A70" t="s">
        <v>126</v>
      </c>
      <c r="B70" s="58" t="s">
        <v>86</v>
      </c>
      <c r="C70">
        <v>810</v>
      </c>
      <c r="D70" t="s">
        <v>49</v>
      </c>
      <c r="E70" s="33">
        <v>44273</v>
      </c>
      <c r="F70" s="59">
        <v>1580</v>
      </c>
      <c r="G70" s="59">
        <v>1380</v>
      </c>
      <c r="H70" s="59">
        <v>1380</v>
      </c>
      <c r="I70" s="60">
        <f t="shared" si="4"/>
        <v>1.7037037037037037</v>
      </c>
      <c r="J70" s="60">
        <f t="shared" si="5"/>
        <v>0</v>
      </c>
      <c r="K70" s="60">
        <f t="shared" si="6"/>
        <v>1.7037037037037037</v>
      </c>
      <c r="L70" s="60">
        <f t="shared" si="7"/>
        <v>0</v>
      </c>
    </row>
    <row r="71" spans="1:12" x14ac:dyDescent="0.25">
      <c r="A71" t="s">
        <v>127</v>
      </c>
      <c r="B71" s="58" t="s">
        <v>48</v>
      </c>
      <c r="C71">
        <v>806</v>
      </c>
      <c r="D71" t="s">
        <v>49</v>
      </c>
      <c r="E71" s="33">
        <v>44274</v>
      </c>
      <c r="F71" s="59">
        <v>1620</v>
      </c>
      <c r="G71" s="59">
        <v>1395</v>
      </c>
      <c r="H71" s="59">
        <v>1395</v>
      </c>
      <c r="I71" s="60">
        <f t="shared" si="4"/>
        <v>1.7307692307692308</v>
      </c>
      <c r="J71" s="60">
        <f t="shared" si="5"/>
        <v>0</v>
      </c>
      <c r="K71" s="60">
        <f t="shared" si="6"/>
        <v>1.7307692307692308</v>
      </c>
      <c r="L71" s="60">
        <f t="shared" si="7"/>
        <v>0</v>
      </c>
    </row>
    <row r="72" spans="1:12" x14ac:dyDescent="0.25">
      <c r="A72" t="s">
        <v>128</v>
      </c>
      <c r="B72" s="58" t="s">
        <v>86</v>
      </c>
      <c r="C72">
        <v>810</v>
      </c>
      <c r="D72" t="s">
        <v>49</v>
      </c>
      <c r="E72" s="33">
        <v>44274</v>
      </c>
      <c r="F72" s="59">
        <v>1580</v>
      </c>
      <c r="G72" s="59">
        <v>1380</v>
      </c>
      <c r="H72" s="59">
        <v>1380</v>
      </c>
      <c r="I72" s="60">
        <f t="shared" si="4"/>
        <v>1.7037037037037037</v>
      </c>
      <c r="J72" s="60">
        <f t="shared" si="5"/>
        <v>0</v>
      </c>
      <c r="K72" s="60">
        <f t="shared" si="6"/>
        <v>1.7037037037037037</v>
      </c>
      <c r="L72" s="60">
        <f t="shared" si="7"/>
        <v>0</v>
      </c>
    </row>
    <row r="73" spans="1:12" x14ac:dyDescent="0.25">
      <c r="A73" t="s">
        <v>129</v>
      </c>
      <c r="B73" s="58" t="s">
        <v>57</v>
      </c>
      <c r="C73">
        <v>700</v>
      </c>
      <c r="D73" t="s">
        <v>49</v>
      </c>
      <c r="E73" s="33">
        <v>44274</v>
      </c>
      <c r="F73" s="59">
        <v>1515</v>
      </c>
      <c r="G73" s="59">
        <v>1325</v>
      </c>
      <c r="H73" s="59">
        <v>1325</v>
      </c>
      <c r="I73" s="60">
        <f t="shared" si="4"/>
        <v>1.8928571428571428</v>
      </c>
      <c r="J73" s="60">
        <f t="shared" si="5"/>
        <v>0</v>
      </c>
      <c r="K73" s="60">
        <f t="shared" si="6"/>
        <v>1.8928571428571428</v>
      </c>
      <c r="L73" s="60">
        <f t="shared" si="7"/>
        <v>0</v>
      </c>
    </row>
    <row r="74" spans="1:12" x14ac:dyDescent="0.25">
      <c r="A74" t="s">
        <v>130</v>
      </c>
      <c r="B74" s="58" t="s">
        <v>59</v>
      </c>
      <c r="C74">
        <v>1115</v>
      </c>
      <c r="D74" t="s">
        <v>49</v>
      </c>
      <c r="E74" s="33">
        <v>44277</v>
      </c>
      <c r="F74" s="59">
        <v>2135</v>
      </c>
      <c r="G74" s="59">
        <v>1650</v>
      </c>
      <c r="H74" s="59">
        <v>1650</v>
      </c>
      <c r="I74" s="60">
        <f t="shared" si="4"/>
        <v>1.4798206278026906</v>
      </c>
      <c r="J74" s="60">
        <f t="shared" si="5"/>
        <v>0</v>
      </c>
      <c r="K74" s="60">
        <f t="shared" si="6"/>
        <v>1.4798206278026906</v>
      </c>
      <c r="L74" s="60">
        <f t="shared" si="7"/>
        <v>0</v>
      </c>
    </row>
    <row r="75" spans="1:12" x14ac:dyDescent="0.25">
      <c r="A75" t="s">
        <v>131</v>
      </c>
      <c r="B75" s="58" t="s">
        <v>82</v>
      </c>
      <c r="C75">
        <v>1112</v>
      </c>
      <c r="D75" t="s">
        <v>49</v>
      </c>
      <c r="E75" s="33">
        <v>44279</v>
      </c>
      <c r="F75" s="59">
        <v>2125</v>
      </c>
      <c r="G75" s="59">
        <v>1700</v>
      </c>
      <c r="H75" s="59">
        <v>1700</v>
      </c>
      <c r="I75" s="60">
        <f t="shared" si="4"/>
        <v>1.5287769784172662</v>
      </c>
      <c r="J75" s="60">
        <f t="shared" si="5"/>
        <v>0</v>
      </c>
      <c r="K75" s="60">
        <f t="shared" si="6"/>
        <v>1.5287769784172662</v>
      </c>
      <c r="L75" s="60">
        <f t="shared" si="7"/>
        <v>0</v>
      </c>
    </row>
    <row r="76" spans="1:12" x14ac:dyDescent="0.25">
      <c r="A76" t="s">
        <v>132</v>
      </c>
      <c r="B76" s="58" t="s">
        <v>82</v>
      </c>
      <c r="C76">
        <v>1112</v>
      </c>
      <c r="D76" t="s">
        <v>49</v>
      </c>
      <c r="E76" s="33">
        <v>44280</v>
      </c>
      <c r="F76" s="59">
        <v>2145</v>
      </c>
      <c r="G76" s="59">
        <v>1670</v>
      </c>
      <c r="H76" s="59">
        <v>1670</v>
      </c>
      <c r="I76" s="60">
        <f t="shared" si="4"/>
        <v>1.5017985611510791</v>
      </c>
      <c r="J76" s="60">
        <f t="shared" si="5"/>
        <v>0</v>
      </c>
      <c r="K76" s="60">
        <f t="shared" si="6"/>
        <v>1.5017985611510791</v>
      </c>
      <c r="L76" s="60">
        <f t="shared" si="7"/>
        <v>0</v>
      </c>
    </row>
    <row r="77" spans="1:12" x14ac:dyDescent="0.25">
      <c r="A77" t="s">
        <v>133</v>
      </c>
      <c r="B77" s="58" t="s">
        <v>86</v>
      </c>
      <c r="C77">
        <v>810</v>
      </c>
      <c r="D77" t="s">
        <v>49</v>
      </c>
      <c r="E77" s="33">
        <v>44280</v>
      </c>
      <c r="F77" s="59">
        <v>1555</v>
      </c>
      <c r="G77" s="59">
        <v>1305</v>
      </c>
      <c r="H77" s="59">
        <v>1305</v>
      </c>
      <c r="I77" s="60">
        <f t="shared" si="4"/>
        <v>1.6111111111111112</v>
      </c>
      <c r="J77" s="60">
        <f t="shared" si="5"/>
        <v>0</v>
      </c>
      <c r="K77" s="60">
        <f t="shared" si="6"/>
        <v>1.6111111111111112</v>
      </c>
      <c r="L77" s="60">
        <f t="shared" si="7"/>
        <v>0</v>
      </c>
    </row>
    <row r="78" spans="1:12" x14ac:dyDescent="0.25">
      <c r="A78" t="s">
        <v>134</v>
      </c>
      <c r="B78" s="58" t="s">
        <v>51</v>
      </c>
      <c r="C78">
        <v>848</v>
      </c>
      <c r="D78" t="s">
        <v>49</v>
      </c>
      <c r="E78" s="33">
        <v>44280</v>
      </c>
      <c r="F78" s="59">
        <v>1735</v>
      </c>
      <c r="G78" s="59">
        <v>1485</v>
      </c>
      <c r="H78" s="59">
        <v>1485</v>
      </c>
      <c r="I78" s="60">
        <f t="shared" si="4"/>
        <v>1.7511792452830188</v>
      </c>
      <c r="J78" s="60">
        <f t="shared" si="5"/>
        <v>0</v>
      </c>
      <c r="K78" s="60">
        <f t="shared" si="6"/>
        <v>1.7511792452830188</v>
      </c>
      <c r="L78" s="60">
        <f t="shared" si="7"/>
        <v>0</v>
      </c>
    </row>
    <row r="79" spans="1:12" x14ac:dyDescent="0.25">
      <c r="A79" t="s">
        <v>135</v>
      </c>
      <c r="B79" s="58" t="s">
        <v>86</v>
      </c>
      <c r="C79">
        <v>810</v>
      </c>
      <c r="D79" t="s">
        <v>49</v>
      </c>
      <c r="E79" s="33">
        <v>44280</v>
      </c>
      <c r="F79" s="59">
        <v>1600</v>
      </c>
      <c r="G79" s="59">
        <v>1400</v>
      </c>
      <c r="H79" s="59">
        <v>1400</v>
      </c>
      <c r="I79" s="60">
        <f t="shared" si="4"/>
        <v>1.728395061728395</v>
      </c>
      <c r="J79" s="60">
        <f t="shared" si="5"/>
        <v>0</v>
      </c>
      <c r="K79" s="60">
        <f t="shared" si="6"/>
        <v>1.728395061728395</v>
      </c>
      <c r="L79" s="60">
        <f t="shared" si="7"/>
        <v>0</v>
      </c>
    </row>
    <row r="80" spans="1:12" x14ac:dyDescent="0.25">
      <c r="A80" t="s">
        <v>136</v>
      </c>
      <c r="B80" s="58" t="s">
        <v>137</v>
      </c>
      <c r="C80">
        <v>1700</v>
      </c>
      <c r="D80" t="s">
        <v>49</v>
      </c>
      <c r="E80" s="33">
        <v>44281</v>
      </c>
      <c r="F80" s="59">
        <v>2995</v>
      </c>
      <c r="G80" s="59">
        <v>2695</v>
      </c>
      <c r="H80" s="59">
        <v>2695</v>
      </c>
      <c r="I80" s="60">
        <f t="shared" si="4"/>
        <v>1.5852941176470587</v>
      </c>
      <c r="J80" s="60">
        <f t="shared" si="5"/>
        <v>0</v>
      </c>
      <c r="K80" s="60">
        <f t="shared" si="6"/>
        <v>1.5852941176470587</v>
      </c>
      <c r="L80" s="60">
        <f t="shared" si="7"/>
        <v>0</v>
      </c>
    </row>
    <row r="81" spans="1:12" x14ac:dyDescent="0.25">
      <c r="A81" t="s">
        <v>138</v>
      </c>
      <c r="B81" s="58" t="s">
        <v>86</v>
      </c>
      <c r="C81">
        <v>810</v>
      </c>
      <c r="D81" t="s">
        <v>49</v>
      </c>
      <c r="E81" s="33">
        <v>44284</v>
      </c>
      <c r="F81" s="59">
        <v>1580</v>
      </c>
      <c r="G81" s="59">
        <v>1380</v>
      </c>
      <c r="H81" s="59">
        <v>1380</v>
      </c>
      <c r="I81" s="60">
        <f t="shared" si="4"/>
        <v>1.7037037037037037</v>
      </c>
      <c r="J81" s="60">
        <f t="shared" si="5"/>
        <v>0</v>
      </c>
      <c r="K81" s="60">
        <f t="shared" si="6"/>
        <v>1.7037037037037037</v>
      </c>
      <c r="L81" s="60">
        <f t="shared" si="7"/>
        <v>0</v>
      </c>
    </row>
    <row r="82" spans="1:12" x14ac:dyDescent="0.25">
      <c r="A82" t="s">
        <v>139</v>
      </c>
      <c r="B82" s="58" t="s">
        <v>86</v>
      </c>
      <c r="C82">
        <v>810</v>
      </c>
      <c r="D82" t="s">
        <v>49</v>
      </c>
      <c r="E82" s="33">
        <v>44287</v>
      </c>
      <c r="F82" s="59">
        <v>1505</v>
      </c>
      <c r="G82" s="59">
        <v>1355</v>
      </c>
      <c r="H82" s="59">
        <v>1355</v>
      </c>
      <c r="I82" s="60">
        <f t="shared" si="4"/>
        <v>1.6728395061728396</v>
      </c>
      <c r="J82" s="60">
        <f t="shared" si="5"/>
        <v>0</v>
      </c>
      <c r="K82" s="60">
        <f t="shared" si="6"/>
        <v>1.6728395061728396</v>
      </c>
      <c r="L82" s="60">
        <f t="shared" si="7"/>
        <v>0</v>
      </c>
    </row>
    <row r="83" spans="1:12" x14ac:dyDescent="0.25">
      <c r="A83" t="s">
        <v>140</v>
      </c>
      <c r="B83" s="58" t="s">
        <v>74</v>
      </c>
      <c r="C83">
        <v>1169</v>
      </c>
      <c r="D83" t="s">
        <v>49</v>
      </c>
      <c r="E83" s="33">
        <v>44288</v>
      </c>
      <c r="F83" s="59">
        <v>2240</v>
      </c>
      <c r="G83" s="59">
        <v>1561.35</v>
      </c>
      <c r="H83" s="59">
        <v>1561.3461538461538</v>
      </c>
      <c r="I83" s="60">
        <f t="shared" si="4"/>
        <v>1.33562874251497</v>
      </c>
      <c r="J83" s="60">
        <f t="shared" si="5"/>
        <v>-3.8461538460978772E-3</v>
      </c>
      <c r="K83" s="60">
        <f t="shared" si="6"/>
        <v>1.3356254523919193</v>
      </c>
      <c r="L83" s="60">
        <f t="shared" si="7"/>
        <v>-3.2901230506698909E-6</v>
      </c>
    </row>
    <row r="84" spans="1:12" x14ac:dyDescent="0.25">
      <c r="A84" t="s">
        <v>141</v>
      </c>
      <c r="B84" s="58" t="s">
        <v>57</v>
      </c>
      <c r="C84">
        <v>700</v>
      </c>
      <c r="D84" t="s">
        <v>49</v>
      </c>
      <c r="E84" s="33">
        <v>44288</v>
      </c>
      <c r="F84" s="59">
        <v>1560</v>
      </c>
      <c r="G84" s="59">
        <v>1211.92</v>
      </c>
      <c r="H84" s="59">
        <v>1211.9230769230769</v>
      </c>
      <c r="I84" s="60">
        <f t="shared" si="4"/>
        <v>1.7313142857142858</v>
      </c>
      <c r="J84" s="60">
        <f t="shared" si="5"/>
        <v>3.0769230768328271E-3</v>
      </c>
      <c r="K84" s="60">
        <f t="shared" si="6"/>
        <v>1.7313186813186814</v>
      </c>
      <c r="L84" s="60">
        <f t="shared" si="7"/>
        <v>4.395604395579511E-6</v>
      </c>
    </row>
    <row r="85" spans="1:12" x14ac:dyDescent="0.25">
      <c r="A85" t="s">
        <v>142</v>
      </c>
      <c r="B85" s="58" t="s">
        <v>57</v>
      </c>
      <c r="C85">
        <v>700</v>
      </c>
      <c r="D85" t="s">
        <v>49</v>
      </c>
      <c r="E85" s="33">
        <v>44291</v>
      </c>
      <c r="F85" s="59">
        <v>1465</v>
      </c>
      <c r="G85" s="59">
        <v>1172.1199999999999</v>
      </c>
      <c r="H85" s="59">
        <v>1172.1153846153845</v>
      </c>
      <c r="I85" s="60">
        <f t="shared" si="4"/>
        <v>1.6744571428571426</v>
      </c>
      <c r="J85" s="60">
        <f t="shared" si="5"/>
        <v>-4.6153846153629274E-3</v>
      </c>
      <c r="K85" s="60">
        <f t="shared" si="6"/>
        <v>1.6744505494505493</v>
      </c>
      <c r="L85" s="60">
        <f t="shared" si="7"/>
        <v>-6.5934065933692665E-6</v>
      </c>
    </row>
    <row r="86" spans="1:12" x14ac:dyDescent="0.25">
      <c r="A86" t="s">
        <v>143</v>
      </c>
      <c r="B86" s="58" t="s">
        <v>86</v>
      </c>
      <c r="C86">
        <v>810</v>
      </c>
      <c r="D86" t="s">
        <v>49</v>
      </c>
      <c r="E86" s="33">
        <v>44292</v>
      </c>
      <c r="F86" s="59">
        <v>1580</v>
      </c>
      <c r="G86" s="59">
        <v>1242.8800000000001</v>
      </c>
      <c r="H86" s="59">
        <v>1242.8846153846155</v>
      </c>
      <c r="I86" s="60">
        <f t="shared" si="4"/>
        <v>1.5344197530864199</v>
      </c>
      <c r="J86" s="60">
        <f t="shared" si="5"/>
        <v>4.6153846153629274E-3</v>
      </c>
      <c r="K86" s="60">
        <f t="shared" si="6"/>
        <v>1.5344254510921178</v>
      </c>
      <c r="L86" s="60">
        <f t="shared" si="7"/>
        <v>5.6980056979405447E-6</v>
      </c>
    </row>
    <row r="87" spans="1:12" x14ac:dyDescent="0.25">
      <c r="A87" t="s">
        <v>144</v>
      </c>
      <c r="B87" s="58" t="s">
        <v>145</v>
      </c>
      <c r="C87">
        <v>1146</v>
      </c>
      <c r="D87" t="s">
        <v>49</v>
      </c>
      <c r="E87" s="33">
        <v>44293</v>
      </c>
      <c r="F87" s="59">
        <v>2150</v>
      </c>
      <c r="G87" s="59">
        <v>1481.73</v>
      </c>
      <c r="H87" s="59">
        <v>1481.7307692307693</v>
      </c>
      <c r="I87" s="60">
        <f t="shared" si="4"/>
        <v>1.2929581151832461</v>
      </c>
      <c r="J87" s="60">
        <f t="shared" si="5"/>
        <v>7.6923076926505018E-4</v>
      </c>
      <c r="K87" s="60">
        <f t="shared" si="6"/>
        <v>1.2929587864142837</v>
      </c>
      <c r="L87" s="60">
        <f t="shared" si="7"/>
        <v>6.7123103764110681E-7</v>
      </c>
    </row>
    <row r="88" spans="1:12" x14ac:dyDescent="0.25">
      <c r="A88" t="s">
        <v>146</v>
      </c>
      <c r="B88" s="58" t="s">
        <v>86</v>
      </c>
      <c r="C88">
        <v>810</v>
      </c>
      <c r="D88" t="s">
        <v>49</v>
      </c>
      <c r="E88" s="33">
        <v>44293</v>
      </c>
      <c r="F88" s="59">
        <v>1555</v>
      </c>
      <c r="G88" s="59">
        <v>1380</v>
      </c>
      <c r="H88" s="59">
        <v>1380</v>
      </c>
      <c r="I88" s="60">
        <f t="shared" si="4"/>
        <v>1.7037037037037037</v>
      </c>
      <c r="J88" s="60">
        <f t="shared" si="5"/>
        <v>0</v>
      </c>
      <c r="K88" s="60">
        <f t="shared" si="6"/>
        <v>1.7037037037037037</v>
      </c>
      <c r="L88" s="60">
        <f t="shared" si="7"/>
        <v>0</v>
      </c>
    </row>
    <row r="89" spans="1:12" x14ac:dyDescent="0.25">
      <c r="A89" t="s">
        <v>147</v>
      </c>
      <c r="B89" s="58" t="s">
        <v>65</v>
      </c>
      <c r="C89">
        <v>813</v>
      </c>
      <c r="D89" t="s">
        <v>49</v>
      </c>
      <c r="E89" s="33">
        <v>44293</v>
      </c>
      <c r="F89" s="59">
        <v>1580</v>
      </c>
      <c r="G89" s="59">
        <v>1207.5</v>
      </c>
      <c r="H89" s="59">
        <v>1207.5</v>
      </c>
      <c r="I89" s="60">
        <f t="shared" si="4"/>
        <v>1.485239852398524</v>
      </c>
      <c r="J89" s="60">
        <f t="shared" si="5"/>
        <v>0</v>
      </c>
      <c r="K89" s="60">
        <f t="shared" si="6"/>
        <v>1.485239852398524</v>
      </c>
      <c r="L89" s="60">
        <f t="shared" si="7"/>
        <v>0</v>
      </c>
    </row>
    <row r="90" spans="1:12" x14ac:dyDescent="0.25">
      <c r="A90" t="s">
        <v>148</v>
      </c>
      <c r="B90" s="58" t="s">
        <v>59</v>
      </c>
      <c r="C90">
        <v>1115</v>
      </c>
      <c r="D90" t="s">
        <v>49</v>
      </c>
      <c r="E90" s="33">
        <v>44293</v>
      </c>
      <c r="F90" s="59">
        <v>2165</v>
      </c>
      <c r="G90" s="59">
        <v>1530.38</v>
      </c>
      <c r="H90" s="59">
        <v>1530.3846153846155</v>
      </c>
      <c r="I90" s="60">
        <f t="shared" si="4"/>
        <v>1.3725381165919284</v>
      </c>
      <c r="J90" s="60">
        <f t="shared" si="5"/>
        <v>4.6153846153629274E-3</v>
      </c>
      <c r="K90" s="60">
        <f t="shared" si="6"/>
        <v>1.3725422559503277</v>
      </c>
      <c r="L90" s="60">
        <f t="shared" si="7"/>
        <v>4.1393583993798444E-6</v>
      </c>
    </row>
    <row r="91" spans="1:12" x14ac:dyDescent="0.25">
      <c r="A91" t="s">
        <v>149</v>
      </c>
      <c r="B91" s="58" t="s">
        <v>74</v>
      </c>
      <c r="C91">
        <v>1169</v>
      </c>
      <c r="D91" t="s">
        <v>49</v>
      </c>
      <c r="E91" s="33">
        <v>44294</v>
      </c>
      <c r="F91" s="59">
        <v>2220</v>
      </c>
      <c r="G91" s="59">
        <v>1521.54</v>
      </c>
      <c r="H91" s="59">
        <v>1521.5384615384614</v>
      </c>
      <c r="I91" s="60">
        <f t="shared" si="4"/>
        <v>1.3015739948674081</v>
      </c>
      <c r="J91" s="60">
        <f t="shared" si="5"/>
        <v>-1.5384615385301004E-3</v>
      </c>
      <c r="K91" s="60">
        <f t="shared" si="6"/>
        <v>1.3015726788181876</v>
      </c>
      <c r="L91" s="60">
        <f t="shared" si="7"/>
        <v>-1.3160492204900009E-6</v>
      </c>
    </row>
    <row r="92" spans="1:12" x14ac:dyDescent="0.25">
      <c r="A92" t="s">
        <v>150</v>
      </c>
      <c r="B92" s="58" t="s">
        <v>151</v>
      </c>
      <c r="C92">
        <v>1141</v>
      </c>
      <c r="D92" t="s">
        <v>49</v>
      </c>
      <c r="E92" s="33">
        <v>44294</v>
      </c>
      <c r="F92" s="59">
        <v>2150</v>
      </c>
      <c r="G92" s="59">
        <v>1636.54</v>
      </c>
      <c r="H92" s="59">
        <v>1636.5384615384614</v>
      </c>
      <c r="I92" s="60">
        <f t="shared" si="4"/>
        <v>1.4343032427695004</v>
      </c>
      <c r="J92" s="60">
        <f t="shared" si="5"/>
        <v>-1.5384615385301004E-3</v>
      </c>
      <c r="K92" s="60">
        <f t="shared" si="6"/>
        <v>1.4343018944245938</v>
      </c>
      <c r="L92" s="60">
        <f t="shared" si="7"/>
        <v>-1.3483449066153952E-6</v>
      </c>
    </row>
    <row r="93" spans="1:12" x14ac:dyDescent="0.25">
      <c r="A93" t="s">
        <v>152</v>
      </c>
      <c r="B93" s="58" t="s">
        <v>153</v>
      </c>
      <c r="C93">
        <v>696</v>
      </c>
      <c r="D93" t="s">
        <v>49</v>
      </c>
      <c r="E93" s="33">
        <v>44295</v>
      </c>
      <c r="F93" s="59">
        <v>1450</v>
      </c>
      <c r="G93" s="59">
        <v>1163.27</v>
      </c>
      <c r="H93" s="59">
        <v>1163.2692307692307</v>
      </c>
      <c r="I93" s="60">
        <f t="shared" si="4"/>
        <v>1.6713649425287356</v>
      </c>
      <c r="J93" s="60">
        <f t="shared" si="5"/>
        <v>-7.6923076926505018E-4</v>
      </c>
      <c r="K93" s="60">
        <f t="shared" si="6"/>
        <v>1.6713638373121131</v>
      </c>
      <c r="L93" s="60">
        <f t="shared" si="7"/>
        <v>-1.1052166224434501E-6</v>
      </c>
    </row>
    <row r="94" spans="1:12" x14ac:dyDescent="0.25">
      <c r="A94" t="s">
        <v>154</v>
      </c>
      <c r="B94" s="58" t="s">
        <v>59</v>
      </c>
      <c r="C94">
        <v>1115</v>
      </c>
      <c r="D94" t="s">
        <v>49</v>
      </c>
      <c r="E94" s="33">
        <v>44295</v>
      </c>
      <c r="F94" s="59">
        <v>2135</v>
      </c>
      <c r="G94" s="59">
        <v>1459.62</v>
      </c>
      <c r="H94" s="59">
        <v>1459.6153846153845</v>
      </c>
      <c r="I94" s="60">
        <f t="shared" si="4"/>
        <v>1.3090762331838564</v>
      </c>
      <c r="J94" s="60">
        <f t="shared" si="5"/>
        <v>-4.6153846153629274E-3</v>
      </c>
      <c r="K94" s="60">
        <f t="shared" si="6"/>
        <v>1.309072093825457</v>
      </c>
      <c r="L94" s="60">
        <f t="shared" si="7"/>
        <v>-4.1393583993798444E-6</v>
      </c>
    </row>
    <row r="95" spans="1:12" x14ac:dyDescent="0.25">
      <c r="A95" t="s">
        <v>155</v>
      </c>
      <c r="B95" s="58" t="s">
        <v>57</v>
      </c>
      <c r="C95">
        <v>700</v>
      </c>
      <c r="D95" t="s">
        <v>49</v>
      </c>
      <c r="E95" s="33">
        <v>44295</v>
      </c>
      <c r="F95" s="59">
        <v>1515</v>
      </c>
      <c r="G95" s="59">
        <v>1172.1199999999999</v>
      </c>
      <c r="H95" s="59">
        <v>1172.1153846153845</v>
      </c>
      <c r="I95" s="60">
        <f t="shared" si="4"/>
        <v>1.6744571428571426</v>
      </c>
      <c r="J95" s="60">
        <f t="shared" si="5"/>
        <v>-4.6153846153629274E-3</v>
      </c>
      <c r="K95" s="60">
        <f t="shared" si="6"/>
        <v>1.6744505494505493</v>
      </c>
      <c r="L95" s="60">
        <f t="shared" si="7"/>
        <v>-6.5934065933692665E-6</v>
      </c>
    </row>
    <row r="96" spans="1:12" x14ac:dyDescent="0.25">
      <c r="A96" t="s">
        <v>156</v>
      </c>
      <c r="B96" s="58" t="s">
        <v>61</v>
      </c>
      <c r="C96">
        <v>820</v>
      </c>
      <c r="D96" t="s">
        <v>49</v>
      </c>
      <c r="E96" s="33">
        <v>44295</v>
      </c>
      <c r="F96" s="59">
        <v>1660</v>
      </c>
      <c r="G96" s="59">
        <v>1278.27</v>
      </c>
      <c r="H96" s="59">
        <v>1278.2692307692307</v>
      </c>
      <c r="I96" s="60">
        <f t="shared" si="4"/>
        <v>1.5588658536585365</v>
      </c>
      <c r="J96" s="60">
        <f t="shared" si="5"/>
        <v>-7.6923076926505018E-4</v>
      </c>
      <c r="K96" s="60">
        <f t="shared" si="6"/>
        <v>1.5588649155722325</v>
      </c>
      <c r="L96" s="60">
        <f t="shared" si="7"/>
        <v>-9.3808630396985393E-7</v>
      </c>
    </row>
    <row r="97" spans="1:12" x14ac:dyDescent="0.25">
      <c r="A97" t="s">
        <v>157</v>
      </c>
      <c r="B97" s="58" t="s">
        <v>65</v>
      </c>
      <c r="C97">
        <v>813</v>
      </c>
      <c r="D97" t="s">
        <v>49</v>
      </c>
      <c r="E97" s="33">
        <v>44298</v>
      </c>
      <c r="F97" s="59">
        <v>1580</v>
      </c>
      <c r="G97" s="59">
        <v>1207.5</v>
      </c>
      <c r="H97" s="59">
        <v>1207.5</v>
      </c>
      <c r="I97" s="60">
        <f t="shared" si="4"/>
        <v>1.485239852398524</v>
      </c>
      <c r="J97" s="60">
        <f t="shared" si="5"/>
        <v>0</v>
      </c>
      <c r="K97" s="60">
        <f t="shared" si="6"/>
        <v>1.485239852398524</v>
      </c>
      <c r="L97" s="60">
        <f t="shared" si="7"/>
        <v>0</v>
      </c>
    </row>
    <row r="98" spans="1:12" x14ac:dyDescent="0.25">
      <c r="A98" t="s">
        <v>158</v>
      </c>
      <c r="B98" s="58" t="s">
        <v>57</v>
      </c>
      <c r="C98">
        <v>700</v>
      </c>
      <c r="D98" t="s">
        <v>49</v>
      </c>
      <c r="E98" s="33">
        <v>44298</v>
      </c>
      <c r="F98" s="59">
        <v>1515</v>
      </c>
      <c r="G98" s="59">
        <v>1172.1199999999999</v>
      </c>
      <c r="H98" s="59">
        <v>1172.1153846153845</v>
      </c>
      <c r="I98" s="60">
        <f t="shared" si="4"/>
        <v>1.6744571428571426</v>
      </c>
      <c r="J98" s="60">
        <f t="shared" si="5"/>
        <v>-4.6153846153629274E-3</v>
      </c>
      <c r="K98" s="60">
        <f t="shared" si="6"/>
        <v>1.6744505494505493</v>
      </c>
      <c r="L98" s="60">
        <f t="shared" si="7"/>
        <v>-6.5934065933692665E-6</v>
      </c>
    </row>
    <row r="99" spans="1:12" x14ac:dyDescent="0.25">
      <c r="A99" t="s">
        <v>159</v>
      </c>
      <c r="B99" s="58" t="s">
        <v>59</v>
      </c>
      <c r="C99">
        <v>1115</v>
      </c>
      <c r="D99" t="s">
        <v>49</v>
      </c>
      <c r="E99" s="33">
        <v>44298</v>
      </c>
      <c r="F99" s="59">
        <v>2290</v>
      </c>
      <c r="G99" s="59">
        <v>1640.96</v>
      </c>
      <c r="H99" s="59">
        <v>1640.9615384615386</v>
      </c>
      <c r="I99" s="60">
        <f t="shared" si="4"/>
        <v>1.471713004484305</v>
      </c>
      <c r="J99" s="60">
        <f t="shared" si="5"/>
        <v>1.5384615385301004E-3</v>
      </c>
      <c r="K99" s="60">
        <f t="shared" si="6"/>
        <v>1.4717143842704381</v>
      </c>
      <c r="L99" s="60">
        <f t="shared" si="7"/>
        <v>1.3797861331266148E-6</v>
      </c>
    </row>
    <row r="100" spans="1:12" x14ac:dyDescent="0.25">
      <c r="A100" t="s">
        <v>160</v>
      </c>
      <c r="B100" s="58" t="s">
        <v>145</v>
      </c>
      <c r="C100">
        <v>1146</v>
      </c>
      <c r="D100" t="s">
        <v>49</v>
      </c>
      <c r="E100" s="33">
        <v>44298</v>
      </c>
      <c r="F100" s="59">
        <v>2150</v>
      </c>
      <c r="G100" s="59">
        <v>1503.85</v>
      </c>
      <c r="H100" s="59">
        <v>1503.8461538461538</v>
      </c>
      <c r="I100" s="60">
        <f t="shared" si="4"/>
        <v>1.3122600349040139</v>
      </c>
      <c r="J100" s="60">
        <f t="shared" si="5"/>
        <v>-3.8461538460978772E-3</v>
      </c>
      <c r="K100" s="60">
        <f t="shared" si="6"/>
        <v>1.3122566787488252</v>
      </c>
      <c r="L100" s="60">
        <f t="shared" si="7"/>
        <v>-3.3561551886496233E-6</v>
      </c>
    </row>
    <row r="101" spans="1:12" x14ac:dyDescent="0.25">
      <c r="A101" t="s">
        <v>161</v>
      </c>
      <c r="B101" s="58" t="s">
        <v>137</v>
      </c>
      <c r="C101">
        <v>1700</v>
      </c>
      <c r="D101" t="s">
        <v>49</v>
      </c>
      <c r="E101" s="33">
        <v>44300</v>
      </c>
      <c r="F101" s="59">
        <v>2995</v>
      </c>
      <c r="G101" s="59">
        <v>2384.04</v>
      </c>
      <c r="H101" s="59">
        <v>2384.0384615384614</v>
      </c>
      <c r="I101" s="60">
        <f t="shared" si="4"/>
        <v>1.4023764705882353</v>
      </c>
      <c r="J101" s="60">
        <f t="shared" si="5"/>
        <v>-1.5384615385301004E-3</v>
      </c>
      <c r="K101" s="60">
        <f t="shared" si="6"/>
        <v>1.4023755656108596</v>
      </c>
      <c r="L101" s="60">
        <f t="shared" si="7"/>
        <v>-9.0497737570416348E-7</v>
      </c>
    </row>
    <row r="102" spans="1:12" x14ac:dyDescent="0.25">
      <c r="A102" t="s">
        <v>162</v>
      </c>
      <c r="B102" s="58" t="s">
        <v>74</v>
      </c>
      <c r="C102">
        <v>1169</v>
      </c>
      <c r="D102" t="s">
        <v>49</v>
      </c>
      <c r="E102" s="33">
        <v>44301</v>
      </c>
      <c r="F102" s="59">
        <v>2220</v>
      </c>
      <c r="G102" s="59">
        <v>1521.54</v>
      </c>
      <c r="H102" s="59">
        <v>1521.5384615384614</v>
      </c>
      <c r="I102" s="60">
        <f t="shared" si="4"/>
        <v>1.3015739948674081</v>
      </c>
      <c r="J102" s="60">
        <f t="shared" si="5"/>
        <v>-1.5384615385301004E-3</v>
      </c>
      <c r="K102" s="60">
        <f t="shared" si="6"/>
        <v>1.3015726788181876</v>
      </c>
      <c r="L102" s="60">
        <f t="shared" si="7"/>
        <v>-1.3160492204900009E-6</v>
      </c>
    </row>
    <row r="103" spans="1:12" x14ac:dyDescent="0.25">
      <c r="A103" t="s">
        <v>163</v>
      </c>
      <c r="B103" s="58" t="s">
        <v>151</v>
      </c>
      <c r="C103">
        <v>1141</v>
      </c>
      <c r="D103" t="s">
        <v>49</v>
      </c>
      <c r="E103" s="33">
        <v>44302</v>
      </c>
      <c r="F103" s="59">
        <v>2150</v>
      </c>
      <c r="G103" s="59">
        <v>1636.54</v>
      </c>
      <c r="H103" s="59">
        <v>1636.5384615384614</v>
      </c>
      <c r="I103" s="60">
        <f t="shared" si="4"/>
        <v>1.4343032427695004</v>
      </c>
      <c r="J103" s="60">
        <f t="shared" si="5"/>
        <v>-1.5384615385301004E-3</v>
      </c>
      <c r="K103" s="60">
        <f t="shared" si="6"/>
        <v>1.4343018944245938</v>
      </c>
      <c r="L103" s="60">
        <f t="shared" si="7"/>
        <v>-1.3483449066153952E-6</v>
      </c>
    </row>
    <row r="104" spans="1:12" x14ac:dyDescent="0.25">
      <c r="A104" t="s">
        <v>164</v>
      </c>
      <c r="B104" s="58" t="s">
        <v>57</v>
      </c>
      <c r="C104">
        <v>700</v>
      </c>
      <c r="D104" t="s">
        <v>49</v>
      </c>
      <c r="E104" s="33">
        <v>44302</v>
      </c>
      <c r="F104" s="59">
        <v>1515</v>
      </c>
      <c r="G104" s="59">
        <v>1172.1199999999999</v>
      </c>
      <c r="H104" s="59">
        <v>1172.1153846153845</v>
      </c>
      <c r="I104" s="60">
        <f t="shared" si="4"/>
        <v>1.6744571428571426</v>
      </c>
      <c r="J104" s="60">
        <f t="shared" si="5"/>
        <v>-4.6153846153629274E-3</v>
      </c>
      <c r="K104" s="60">
        <f t="shared" si="6"/>
        <v>1.6744505494505493</v>
      </c>
      <c r="L104" s="60">
        <f t="shared" si="7"/>
        <v>-6.5934065933692665E-6</v>
      </c>
    </row>
    <row r="105" spans="1:12" x14ac:dyDescent="0.25">
      <c r="A105" t="s">
        <v>165</v>
      </c>
      <c r="B105" s="58" t="s">
        <v>59</v>
      </c>
      <c r="C105">
        <v>1115</v>
      </c>
      <c r="D105" t="s">
        <v>49</v>
      </c>
      <c r="E105" s="33">
        <v>44302</v>
      </c>
      <c r="F105" s="59">
        <v>2135</v>
      </c>
      <c r="G105" s="59">
        <v>1503.85</v>
      </c>
      <c r="H105" s="59">
        <v>1503.8461538461538</v>
      </c>
      <c r="I105" s="60">
        <f t="shared" si="4"/>
        <v>1.348744394618834</v>
      </c>
      <c r="J105" s="60">
        <f t="shared" si="5"/>
        <v>-3.8461538460978772E-3</v>
      </c>
      <c r="K105" s="60">
        <f t="shared" si="6"/>
        <v>1.3487409451535011</v>
      </c>
      <c r="L105" s="60">
        <f t="shared" si="7"/>
        <v>-3.4494653329275593E-6</v>
      </c>
    </row>
    <row r="106" spans="1:12" x14ac:dyDescent="0.25">
      <c r="A106" t="s">
        <v>166</v>
      </c>
      <c r="B106" s="58" t="s">
        <v>151</v>
      </c>
      <c r="C106">
        <v>1141</v>
      </c>
      <c r="D106" t="s">
        <v>49</v>
      </c>
      <c r="E106" s="33">
        <v>44302</v>
      </c>
      <c r="F106" s="59">
        <v>2150</v>
      </c>
      <c r="G106" s="59">
        <v>1636.54</v>
      </c>
      <c r="H106" s="59">
        <v>1636.5384615384614</v>
      </c>
      <c r="I106" s="60">
        <f t="shared" si="4"/>
        <v>1.4343032427695004</v>
      </c>
      <c r="J106" s="60">
        <f t="shared" si="5"/>
        <v>-1.5384615385301004E-3</v>
      </c>
      <c r="K106" s="60">
        <f t="shared" si="6"/>
        <v>1.4343018944245938</v>
      </c>
      <c r="L106" s="60">
        <f t="shared" si="7"/>
        <v>-1.3483449066153952E-6</v>
      </c>
    </row>
    <row r="107" spans="1:12" x14ac:dyDescent="0.25">
      <c r="A107" t="s">
        <v>167</v>
      </c>
      <c r="B107" s="58" t="s">
        <v>59</v>
      </c>
      <c r="C107">
        <v>1115</v>
      </c>
      <c r="D107" t="s">
        <v>49</v>
      </c>
      <c r="E107" s="33">
        <v>44302</v>
      </c>
      <c r="F107" s="59">
        <v>2290</v>
      </c>
      <c r="G107" s="59">
        <v>1530.38</v>
      </c>
      <c r="H107" s="59">
        <v>1530.3846153846155</v>
      </c>
      <c r="I107" s="60">
        <f t="shared" si="4"/>
        <v>1.3725381165919284</v>
      </c>
      <c r="J107" s="60">
        <f t="shared" si="5"/>
        <v>4.6153846153629274E-3</v>
      </c>
      <c r="K107" s="60">
        <f t="shared" si="6"/>
        <v>1.3725422559503277</v>
      </c>
      <c r="L107" s="60">
        <f t="shared" si="7"/>
        <v>4.1393583993798444E-6</v>
      </c>
    </row>
    <row r="108" spans="1:12" x14ac:dyDescent="0.25">
      <c r="A108" t="s">
        <v>168</v>
      </c>
      <c r="B108" s="58" t="s">
        <v>65</v>
      </c>
      <c r="C108">
        <v>813</v>
      </c>
      <c r="D108" t="s">
        <v>49</v>
      </c>
      <c r="E108" s="33">
        <v>44302</v>
      </c>
      <c r="F108" s="59">
        <v>1580</v>
      </c>
      <c r="G108" s="59">
        <v>1365</v>
      </c>
      <c r="H108" s="59">
        <v>1365</v>
      </c>
      <c r="I108" s="60">
        <f t="shared" si="4"/>
        <v>1.6789667896678966</v>
      </c>
      <c r="J108" s="60">
        <f t="shared" si="5"/>
        <v>0</v>
      </c>
      <c r="K108" s="60">
        <f t="shared" si="6"/>
        <v>1.6789667896678966</v>
      </c>
      <c r="L108" s="60">
        <f t="shared" si="7"/>
        <v>0</v>
      </c>
    </row>
    <row r="109" spans="1:12" x14ac:dyDescent="0.25">
      <c r="A109" t="s">
        <v>169</v>
      </c>
      <c r="B109" s="58" t="s">
        <v>86</v>
      </c>
      <c r="C109">
        <v>810</v>
      </c>
      <c r="D109" t="s">
        <v>49</v>
      </c>
      <c r="E109" s="33">
        <v>44302</v>
      </c>
      <c r="F109" s="59">
        <v>1555</v>
      </c>
      <c r="G109" s="59">
        <v>1220.77</v>
      </c>
      <c r="H109" s="59">
        <v>1220.7692307692307</v>
      </c>
      <c r="I109" s="60">
        <f t="shared" si="4"/>
        <v>1.5071234567901235</v>
      </c>
      <c r="J109" s="60">
        <f t="shared" si="5"/>
        <v>-7.6923076926505018E-4</v>
      </c>
      <c r="K109" s="60">
        <f t="shared" si="6"/>
        <v>1.5071225071225069</v>
      </c>
      <c r="L109" s="60">
        <f t="shared" si="7"/>
        <v>-9.4966761654546872E-7</v>
      </c>
    </row>
    <row r="110" spans="1:12" x14ac:dyDescent="0.25">
      <c r="A110" t="s">
        <v>170</v>
      </c>
      <c r="B110" s="58" t="s">
        <v>65</v>
      </c>
      <c r="C110">
        <v>813</v>
      </c>
      <c r="D110" t="s">
        <v>49</v>
      </c>
      <c r="E110" s="33">
        <v>44305</v>
      </c>
      <c r="F110" s="59">
        <v>1580</v>
      </c>
      <c r="G110" s="59">
        <v>1207.5</v>
      </c>
      <c r="H110" s="59">
        <v>1207.5</v>
      </c>
      <c r="I110" s="60">
        <f t="shared" si="4"/>
        <v>1.485239852398524</v>
      </c>
      <c r="J110" s="60">
        <f t="shared" si="5"/>
        <v>0</v>
      </c>
      <c r="K110" s="60">
        <f t="shared" si="6"/>
        <v>1.485239852398524</v>
      </c>
      <c r="L110" s="60">
        <f t="shared" si="7"/>
        <v>0</v>
      </c>
    </row>
    <row r="111" spans="1:12" x14ac:dyDescent="0.25">
      <c r="A111" t="s">
        <v>171</v>
      </c>
      <c r="B111" s="58" t="s">
        <v>86</v>
      </c>
      <c r="C111">
        <v>810</v>
      </c>
      <c r="D111" t="s">
        <v>49</v>
      </c>
      <c r="E111" s="33">
        <v>44306</v>
      </c>
      <c r="F111" s="59">
        <v>1600</v>
      </c>
      <c r="G111" s="59">
        <v>1260.58</v>
      </c>
      <c r="H111" s="59">
        <v>1260.5769230769231</v>
      </c>
      <c r="I111" s="60">
        <f t="shared" si="4"/>
        <v>1.5562716049382714</v>
      </c>
      <c r="J111" s="60">
        <f t="shared" si="5"/>
        <v>-3.0769230768328271E-3</v>
      </c>
      <c r="K111" s="60">
        <f t="shared" si="6"/>
        <v>1.5562678062678064</v>
      </c>
      <c r="L111" s="60">
        <f t="shared" si="7"/>
        <v>-3.7986704650716518E-6</v>
      </c>
    </row>
    <row r="112" spans="1:12" x14ac:dyDescent="0.25">
      <c r="A112" t="s">
        <v>172</v>
      </c>
      <c r="B112" s="58" t="s">
        <v>145</v>
      </c>
      <c r="C112">
        <v>1146</v>
      </c>
      <c r="D112" t="s">
        <v>49</v>
      </c>
      <c r="E112" s="33">
        <v>44307</v>
      </c>
      <c r="F112" s="59">
        <v>2180</v>
      </c>
      <c r="G112" s="59">
        <v>1530.38</v>
      </c>
      <c r="H112" s="59">
        <v>1530.3846153846155</v>
      </c>
      <c r="I112" s="60">
        <f t="shared" si="4"/>
        <v>1.3354101221640489</v>
      </c>
      <c r="J112" s="60">
        <f t="shared" si="5"/>
        <v>4.6153846153629274E-3</v>
      </c>
      <c r="K112" s="60">
        <f t="shared" si="6"/>
        <v>1.3354141495502754</v>
      </c>
      <c r="L112" s="60">
        <f t="shared" si="7"/>
        <v>4.0273862265127747E-6</v>
      </c>
    </row>
    <row r="113" spans="1:12" x14ac:dyDescent="0.25">
      <c r="A113" t="s">
        <v>173</v>
      </c>
      <c r="B113" s="58" t="s">
        <v>59</v>
      </c>
      <c r="C113">
        <v>1115</v>
      </c>
      <c r="D113" t="s">
        <v>49</v>
      </c>
      <c r="E113" s="33">
        <v>44309</v>
      </c>
      <c r="F113" s="59">
        <v>2135</v>
      </c>
      <c r="G113" s="59">
        <v>1459.62</v>
      </c>
      <c r="H113" s="59">
        <v>1459.6153846153845</v>
      </c>
      <c r="I113" s="60">
        <f t="shared" si="4"/>
        <v>1.3090762331838564</v>
      </c>
      <c r="J113" s="60">
        <f t="shared" si="5"/>
        <v>-4.6153846153629274E-3</v>
      </c>
      <c r="K113" s="60">
        <f t="shared" si="6"/>
        <v>1.309072093825457</v>
      </c>
      <c r="L113" s="60">
        <f t="shared" si="7"/>
        <v>-4.1393583993798444E-6</v>
      </c>
    </row>
    <row r="114" spans="1:12" x14ac:dyDescent="0.25">
      <c r="A114" t="s">
        <v>174</v>
      </c>
      <c r="B114" s="58" t="s">
        <v>59</v>
      </c>
      <c r="C114">
        <v>1115</v>
      </c>
      <c r="D114" t="s">
        <v>49</v>
      </c>
      <c r="E114" s="33">
        <v>44309</v>
      </c>
      <c r="F114" s="59">
        <v>2135</v>
      </c>
      <c r="G114" s="59">
        <v>1700</v>
      </c>
      <c r="H114" s="59">
        <v>1700</v>
      </c>
      <c r="I114" s="60">
        <f t="shared" si="4"/>
        <v>1.5246636771300448</v>
      </c>
      <c r="J114" s="60">
        <f t="shared" si="5"/>
        <v>0</v>
      </c>
      <c r="K114" s="60">
        <f t="shared" si="6"/>
        <v>1.5246636771300448</v>
      </c>
      <c r="L114" s="60">
        <f t="shared" si="7"/>
        <v>0</v>
      </c>
    </row>
    <row r="115" spans="1:12" x14ac:dyDescent="0.25">
      <c r="A115" t="s">
        <v>175</v>
      </c>
      <c r="B115" s="58" t="s">
        <v>65</v>
      </c>
      <c r="C115">
        <v>813</v>
      </c>
      <c r="D115" t="s">
        <v>49</v>
      </c>
      <c r="E115" s="33">
        <v>44309</v>
      </c>
      <c r="F115" s="59">
        <v>1580</v>
      </c>
      <c r="G115" s="59">
        <v>1229.6199999999999</v>
      </c>
      <c r="H115" s="59">
        <v>1229.6153846153845</v>
      </c>
      <c r="I115" s="60">
        <f t="shared" si="4"/>
        <v>1.5124477244772447</v>
      </c>
      <c r="J115" s="60">
        <f t="shared" si="5"/>
        <v>-4.6153846153629274E-3</v>
      </c>
      <c r="K115" s="60">
        <f t="shared" si="6"/>
        <v>1.5124420474973979</v>
      </c>
      <c r="L115" s="60">
        <f t="shared" si="7"/>
        <v>-5.6769798468803145E-6</v>
      </c>
    </row>
    <row r="116" spans="1:12" x14ac:dyDescent="0.25">
      <c r="A116" t="s">
        <v>176</v>
      </c>
      <c r="B116" s="58" t="s">
        <v>48</v>
      </c>
      <c r="C116">
        <v>806</v>
      </c>
      <c r="D116" t="s">
        <v>49</v>
      </c>
      <c r="E116" s="33">
        <v>44309</v>
      </c>
      <c r="F116" s="59">
        <v>1620</v>
      </c>
      <c r="G116" s="59">
        <v>1256.1500000000001</v>
      </c>
      <c r="H116" s="59">
        <v>1256.1538461538462</v>
      </c>
      <c r="I116" s="60">
        <f t="shared" si="4"/>
        <v>1.5584987593052111</v>
      </c>
      <c r="J116" s="60">
        <f t="shared" si="5"/>
        <v>3.8461538460978772E-3</v>
      </c>
      <c r="K116" s="60">
        <f t="shared" si="6"/>
        <v>1.5585035312082458</v>
      </c>
      <c r="L116" s="60">
        <f t="shared" si="7"/>
        <v>4.7719030347170843E-6</v>
      </c>
    </row>
    <row r="117" spans="1:12" x14ac:dyDescent="0.25">
      <c r="A117" t="s">
        <v>177</v>
      </c>
      <c r="B117" s="58" t="s">
        <v>86</v>
      </c>
      <c r="C117">
        <v>810</v>
      </c>
      <c r="D117" t="s">
        <v>49</v>
      </c>
      <c r="E117" s="33">
        <v>44309</v>
      </c>
      <c r="F117" s="59">
        <v>1555</v>
      </c>
      <c r="G117" s="59">
        <v>1220.77</v>
      </c>
      <c r="H117" s="59">
        <v>1220.7692307692307</v>
      </c>
      <c r="I117" s="60">
        <f t="shared" si="4"/>
        <v>1.5071234567901235</v>
      </c>
      <c r="J117" s="60">
        <f t="shared" si="5"/>
        <v>-7.6923076926505018E-4</v>
      </c>
      <c r="K117" s="60">
        <f t="shared" si="6"/>
        <v>1.5071225071225069</v>
      </c>
      <c r="L117" s="60">
        <f t="shared" si="7"/>
        <v>-9.4966761654546872E-7</v>
      </c>
    </row>
    <row r="118" spans="1:12" x14ac:dyDescent="0.25">
      <c r="A118" t="s">
        <v>178</v>
      </c>
      <c r="B118" s="58" t="s">
        <v>82</v>
      </c>
      <c r="C118">
        <v>1112</v>
      </c>
      <c r="D118" t="s">
        <v>49</v>
      </c>
      <c r="E118" s="33">
        <v>44309</v>
      </c>
      <c r="F118" s="59">
        <v>2125</v>
      </c>
      <c r="G118" s="59">
        <v>1481.73</v>
      </c>
      <c r="H118" s="59">
        <v>1481.7307692307693</v>
      </c>
      <c r="I118" s="60">
        <f t="shared" si="4"/>
        <v>1.3324910071942446</v>
      </c>
      <c r="J118" s="60">
        <f t="shared" si="5"/>
        <v>7.6923076926505018E-4</v>
      </c>
      <c r="K118" s="60">
        <f t="shared" si="6"/>
        <v>1.3324916989485336</v>
      </c>
      <c r="L118" s="60">
        <f t="shared" si="7"/>
        <v>6.917542889617323E-7</v>
      </c>
    </row>
    <row r="119" spans="1:12" x14ac:dyDescent="0.25">
      <c r="A119" t="s">
        <v>179</v>
      </c>
      <c r="B119" s="58" t="s">
        <v>86</v>
      </c>
      <c r="C119">
        <v>810</v>
      </c>
      <c r="D119" t="s">
        <v>49</v>
      </c>
      <c r="E119" s="33">
        <v>44312</v>
      </c>
      <c r="F119" s="59">
        <v>1555</v>
      </c>
      <c r="G119" s="59">
        <v>1198.6500000000001</v>
      </c>
      <c r="H119" s="59">
        <v>1198.6538461538462</v>
      </c>
      <c r="I119" s="60">
        <f t="shared" si="4"/>
        <v>1.4798148148148149</v>
      </c>
      <c r="J119" s="60">
        <f t="shared" si="5"/>
        <v>3.8461538460978772E-3</v>
      </c>
      <c r="K119" s="60">
        <f t="shared" si="6"/>
        <v>1.4798195631528965</v>
      </c>
      <c r="L119" s="60">
        <f t="shared" si="7"/>
        <v>4.7483380816171206E-6</v>
      </c>
    </row>
    <row r="120" spans="1:12" x14ac:dyDescent="0.25">
      <c r="A120" t="s">
        <v>180</v>
      </c>
      <c r="B120" s="58" t="s">
        <v>65</v>
      </c>
      <c r="C120">
        <v>813</v>
      </c>
      <c r="D120" t="s">
        <v>49</v>
      </c>
      <c r="E120" s="33">
        <v>44312</v>
      </c>
      <c r="F120" s="59">
        <v>1580</v>
      </c>
      <c r="G120" s="59">
        <v>1229.6199999999999</v>
      </c>
      <c r="H120" s="59">
        <v>1229.6153846153845</v>
      </c>
      <c r="I120" s="60">
        <f t="shared" si="4"/>
        <v>1.5124477244772447</v>
      </c>
      <c r="J120" s="60">
        <f t="shared" si="5"/>
        <v>-4.6153846153629274E-3</v>
      </c>
      <c r="K120" s="60">
        <f t="shared" si="6"/>
        <v>1.5124420474973979</v>
      </c>
      <c r="L120" s="60">
        <f t="shared" si="7"/>
        <v>-5.6769798468803145E-6</v>
      </c>
    </row>
    <row r="121" spans="1:12" x14ac:dyDescent="0.25">
      <c r="A121" t="s">
        <v>181</v>
      </c>
      <c r="B121" s="58" t="s">
        <v>59</v>
      </c>
      <c r="C121">
        <v>1115</v>
      </c>
      <c r="D121" t="s">
        <v>49</v>
      </c>
      <c r="E121" s="33">
        <v>44313</v>
      </c>
      <c r="F121" s="59">
        <v>2135</v>
      </c>
      <c r="G121" s="59">
        <v>1528.79</v>
      </c>
      <c r="H121" s="59">
        <v>1528.7892307692307</v>
      </c>
      <c r="I121" s="60">
        <f t="shared" si="4"/>
        <v>1.3711121076233184</v>
      </c>
      <c r="J121" s="60">
        <f t="shared" si="5"/>
        <v>-7.6923076926505018E-4</v>
      </c>
      <c r="K121" s="60">
        <f t="shared" si="6"/>
        <v>1.3711114177302517</v>
      </c>
      <c r="L121" s="60">
        <f t="shared" si="7"/>
        <v>-6.898930666743297E-7</v>
      </c>
    </row>
    <row r="122" spans="1:12" x14ac:dyDescent="0.25">
      <c r="A122" t="s">
        <v>182</v>
      </c>
      <c r="B122" s="58" t="s">
        <v>48</v>
      </c>
      <c r="C122">
        <v>806</v>
      </c>
      <c r="D122" t="s">
        <v>49</v>
      </c>
      <c r="E122" s="33">
        <v>44314</v>
      </c>
      <c r="F122" s="59">
        <v>1620</v>
      </c>
      <c r="G122" s="59">
        <v>1256.1500000000001</v>
      </c>
      <c r="H122" s="59">
        <v>1256.1538461538462</v>
      </c>
      <c r="I122" s="60">
        <f t="shared" si="4"/>
        <v>1.5584987593052111</v>
      </c>
      <c r="J122" s="60">
        <f t="shared" si="5"/>
        <v>3.8461538460978772E-3</v>
      </c>
      <c r="K122" s="60">
        <f t="shared" si="6"/>
        <v>1.5585035312082458</v>
      </c>
      <c r="L122" s="60">
        <f t="shared" si="7"/>
        <v>4.7719030347170843E-6</v>
      </c>
    </row>
    <row r="123" spans="1:12" x14ac:dyDescent="0.25">
      <c r="A123" t="s">
        <v>183</v>
      </c>
      <c r="B123" s="58" t="s">
        <v>65</v>
      </c>
      <c r="C123">
        <v>813</v>
      </c>
      <c r="D123" t="s">
        <v>49</v>
      </c>
      <c r="E123" s="33">
        <v>44314</v>
      </c>
      <c r="F123" s="59">
        <v>1580</v>
      </c>
      <c r="G123" s="59">
        <v>1229.6199999999999</v>
      </c>
      <c r="H123" s="59">
        <v>1229.6153846153845</v>
      </c>
      <c r="I123" s="60">
        <f t="shared" si="4"/>
        <v>1.5124477244772447</v>
      </c>
      <c r="J123" s="60">
        <f t="shared" si="5"/>
        <v>-4.6153846153629274E-3</v>
      </c>
      <c r="K123" s="60">
        <f t="shared" si="6"/>
        <v>1.5124420474973979</v>
      </c>
      <c r="L123" s="60">
        <f t="shared" si="7"/>
        <v>-5.6769798468803145E-6</v>
      </c>
    </row>
    <row r="124" spans="1:12" x14ac:dyDescent="0.25">
      <c r="A124" t="s">
        <v>184</v>
      </c>
      <c r="B124" s="58" t="s">
        <v>74</v>
      </c>
      <c r="C124">
        <v>1169</v>
      </c>
      <c r="D124" t="s">
        <v>49</v>
      </c>
      <c r="E124" s="33">
        <v>44315</v>
      </c>
      <c r="F124" s="59">
        <v>2240</v>
      </c>
      <c r="G124" s="59">
        <v>1627.69</v>
      </c>
      <c r="H124" s="59">
        <v>1627.6923076923076</v>
      </c>
      <c r="I124" s="60">
        <f t="shared" si="4"/>
        <v>1.3923781009409752</v>
      </c>
      <c r="J124" s="60">
        <f t="shared" si="5"/>
        <v>2.3076923075677769E-3</v>
      </c>
      <c r="K124" s="60">
        <f t="shared" si="6"/>
        <v>1.3923800750148054</v>
      </c>
      <c r="L124" s="60">
        <f t="shared" si="7"/>
        <v>1.9740738301798899E-6</v>
      </c>
    </row>
    <row r="125" spans="1:12" x14ac:dyDescent="0.25">
      <c r="A125" t="s">
        <v>185</v>
      </c>
      <c r="B125" s="58" t="s">
        <v>59</v>
      </c>
      <c r="C125">
        <v>1115</v>
      </c>
      <c r="D125" t="s">
        <v>49</v>
      </c>
      <c r="E125" s="33">
        <v>44315</v>
      </c>
      <c r="F125" s="59">
        <v>2165</v>
      </c>
      <c r="G125" s="59">
        <v>1561.35</v>
      </c>
      <c r="H125" s="59">
        <v>1561.3461538461538</v>
      </c>
      <c r="I125" s="60">
        <f t="shared" si="4"/>
        <v>1.4003139013452914</v>
      </c>
      <c r="J125" s="60">
        <f t="shared" si="5"/>
        <v>-3.8461538460978772E-3</v>
      </c>
      <c r="K125" s="60">
        <f t="shared" si="6"/>
        <v>1.4003104518799585</v>
      </c>
      <c r="L125" s="60">
        <f t="shared" si="7"/>
        <v>-3.4494653329275593E-6</v>
      </c>
    </row>
    <row r="126" spans="1:12" x14ac:dyDescent="0.25">
      <c r="A126" t="s">
        <v>186</v>
      </c>
      <c r="B126" s="58" t="s">
        <v>137</v>
      </c>
      <c r="C126">
        <v>1700</v>
      </c>
      <c r="D126" t="s">
        <v>49</v>
      </c>
      <c r="E126" s="33">
        <v>44317</v>
      </c>
      <c r="F126" s="59">
        <v>2995</v>
      </c>
      <c r="G126" s="59">
        <v>2384.04</v>
      </c>
      <c r="H126" s="59">
        <v>2384.0384615384614</v>
      </c>
      <c r="I126" s="60">
        <f t="shared" si="4"/>
        <v>1.4023764705882353</v>
      </c>
      <c r="J126" s="60">
        <f t="shared" si="5"/>
        <v>-1.5384615385301004E-3</v>
      </c>
      <c r="K126" s="60">
        <f t="shared" si="6"/>
        <v>1.4023755656108596</v>
      </c>
      <c r="L126" s="60">
        <f t="shared" si="7"/>
        <v>-9.0497737570416348E-7</v>
      </c>
    </row>
    <row r="127" spans="1:12" x14ac:dyDescent="0.25">
      <c r="A127" t="s">
        <v>187</v>
      </c>
      <c r="B127" s="58" t="s">
        <v>74</v>
      </c>
      <c r="C127">
        <v>1169</v>
      </c>
      <c r="D127" t="s">
        <v>49</v>
      </c>
      <c r="E127" s="33">
        <v>44319</v>
      </c>
      <c r="F127" s="59">
        <v>2240</v>
      </c>
      <c r="G127" s="59">
        <v>1536.35</v>
      </c>
      <c r="H127" s="59">
        <v>1536.3461538461538</v>
      </c>
      <c r="I127" s="60">
        <f t="shared" si="4"/>
        <v>1.3142429426860565</v>
      </c>
      <c r="J127" s="60">
        <f t="shared" si="5"/>
        <v>-3.8461538460978772E-3</v>
      </c>
      <c r="K127" s="60">
        <f t="shared" si="6"/>
        <v>1.3142396525630058</v>
      </c>
      <c r="L127" s="60">
        <f t="shared" si="7"/>
        <v>-3.2901230506698909E-6</v>
      </c>
    </row>
    <row r="128" spans="1:12" x14ac:dyDescent="0.25">
      <c r="A128" t="s">
        <v>188</v>
      </c>
      <c r="B128" s="58" t="s">
        <v>145</v>
      </c>
      <c r="C128">
        <v>1146</v>
      </c>
      <c r="D128" t="s">
        <v>49</v>
      </c>
      <c r="E128" s="33">
        <v>44319</v>
      </c>
      <c r="F128" s="59">
        <v>2180</v>
      </c>
      <c r="G128" s="59">
        <v>1530.38</v>
      </c>
      <c r="H128" s="59">
        <v>1530.3846153846155</v>
      </c>
      <c r="I128" s="60">
        <f t="shared" si="4"/>
        <v>1.3354101221640489</v>
      </c>
      <c r="J128" s="60">
        <f t="shared" si="5"/>
        <v>4.6153846153629274E-3</v>
      </c>
      <c r="K128" s="60">
        <f t="shared" si="6"/>
        <v>1.3354141495502754</v>
      </c>
      <c r="L128" s="60">
        <f t="shared" si="7"/>
        <v>4.0273862265127747E-6</v>
      </c>
    </row>
    <row r="129" spans="1:12" x14ac:dyDescent="0.25">
      <c r="A129" t="s">
        <v>189</v>
      </c>
      <c r="B129" s="58" t="s">
        <v>86</v>
      </c>
      <c r="C129">
        <v>810</v>
      </c>
      <c r="D129" t="s">
        <v>49</v>
      </c>
      <c r="E129" s="33">
        <v>44321</v>
      </c>
      <c r="F129" s="59">
        <v>1580</v>
      </c>
      <c r="G129" s="59">
        <v>1220.77</v>
      </c>
      <c r="H129" s="59">
        <v>1220.7692307692307</v>
      </c>
      <c r="I129" s="60">
        <f t="shared" si="4"/>
        <v>1.5071234567901235</v>
      </c>
      <c r="J129" s="60">
        <f t="shared" si="5"/>
        <v>-7.6923076926505018E-4</v>
      </c>
      <c r="K129" s="60">
        <f t="shared" si="6"/>
        <v>1.5071225071225069</v>
      </c>
      <c r="L129" s="60">
        <f t="shared" si="7"/>
        <v>-9.4966761654546872E-7</v>
      </c>
    </row>
    <row r="130" spans="1:12" x14ac:dyDescent="0.25">
      <c r="A130" t="s">
        <v>190</v>
      </c>
      <c r="B130" s="58" t="s">
        <v>65</v>
      </c>
      <c r="C130">
        <v>813</v>
      </c>
      <c r="D130" t="s">
        <v>49</v>
      </c>
      <c r="E130" s="33">
        <v>44321</v>
      </c>
      <c r="F130" s="59">
        <v>1580</v>
      </c>
      <c r="G130" s="59">
        <v>1229.6199999999999</v>
      </c>
      <c r="H130" s="59">
        <v>1229.6153846153845</v>
      </c>
      <c r="I130" s="60">
        <f t="shared" ref="I130:I193" si="8">G130/C130</f>
        <v>1.5124477244772447</v>
      </c>
      <c r="J130" s="60">
        <f t="shared" ref="J130:J193" si="9">SUM(H130-G130)</f>
        <v>-4.6153846153629274E-3</v>
      </c>
      <c r="K130" s="60">
        <f t="shared" ref="K130:K193" si="10">H130/C130</f>
        <v>1.5124420474973979</v>
      </c>
      <c r="L130" s="60">
        <f t="shared" ref="L130:L193" si="11">K130-I130</f>
        <v>-5.6769798468803145E-6</v>
      </c>
    </row>
    <row r="131" spans="1:12" x14ac:dyDescent="0.25">
      <c r="A131" t="s">
        <v>191</v>
      </c>
      <c r="B131" s="58" t="s">
        <v>74</v>
      </c>
      <c r="C131">
        <v>1169</v>
      </c>
      <c r="D131" t="s">
        <v>49</v>
      </c>
      <c r="E131" s="33">
        <v>44322</v>
      </c>
      <c r="F131" s="59">
        <v>2240</v>
      </c>
      <c r="G131" s="59">
        <v>1627.69</v>
      </c>
      <c r="H131" s="59">
        <v>1627.6923076923076</v>
      </c>
      <c r="I131" s="60">
        <f t="shared" si="8"/>
        <v>1.3923781009409752</v>
      </c>
      <c r="J131" s="60">
        <f t="shared" si="9"/>
        <v>2.3076923075677769E-3</v>
      </c>
      <c r="K131" s="60">
        <f t="shared" si="10"/>
        <v>1.3923800750148054</v>
      </c>
      <c r="L131" s="60">
        <f t="shared" si="11"/>
        <v>1.9740738301798899E-6</v>
      </c>
    </row>
    <row r="132" spans="1:12" x14ac:dyDescent="0.25">
      <c r="A132" t="s">
        <v>192</v>
      </c>
      <c r="B132" s="58" t="s">
        <v>51</v>
      </c>
      <c r="C132">
        <v>848</v>
      </c>
      <c r="D132" t="s">
        <v>49</v>
      </c>
      <c r="E132" s="33">
        <v>44323</v>
      </c>
      <c r="F132" s="59">
        <v>1735</v>
      </c>
      <c r="G132" s="59">
        <v>1225.19</v>
      </c>
      <c r="H132" s="59">
        <v>1225.1923076923076</v>
      </c>
      <c r="I132" s="60">
        <f t="shared" si="8"/>
        <v>1.4447995283018868</v>
      </c>
      <c r="J132" s="60">
        <f t="shared" si="9"/>
        <v>2.3076923075677769E-3</v>
      </c>
      <c r="K132" s="60">
        <f t="shared" si="10"/>
        <v>1.4448022496371553</v>
      </c>
      <c r="L132" s="60">
        <f t="shared" si="11"/>
        <v>2.7213352684629655E-6</v>
      </c>
    </row>
    <row r="133" spans="1:12" x14ac:dyDescent="0.25">
      <c r="A133" t="s">
        <v>193</v>
      </c>
      <c r="B133" s="58" t="s">
        <v>145</v>
      </c>
      <c r="C133">
        <v>1146</v>
      </c>
      <c r="D133" t="s">
        <v>49</v>
      </c>
      <c r="E133" s="33">
        <v>44323</v>
      </c>
      <c r="F133" s="59">
        <v>2180</v>
      </c>
      <c r="G133" s="59">
        <v>1521.54</v>
      </c>
      <c r="H133" s="59">
        <v>1521.5384615384614</v>
      </c>
      <c r="I133" s="60">
        <f t="shared" si="8"/>
        <v>1.327696335078534</v>
      </c>
      <c r="J133" s="60">
        <f t="shared" si="9"/>
        <v>-1.5384615385301004E-3</v>
      </c>
      <c r="K133" s="60">
        <f t="shared" si="10"/>
        <v>1.3276949926164585</v>
      </c>
      <c r="L133" s="60">
        <f t="shared" si="11"/>
        <v>-1.3424620755042582E-6</v>
      </c>
    </row>
    <row r="134" spans="1:12" x14ac:dyDescent="0.25">
      <c r="A134" t="s">
        <v>194</v>
      </c>
      <c r="B134" s="58" t="s">
        <v>151</v>
      </c>
      <c r="C134">
        <v>1141</v>
      </c>
      <c r="D134" t="s">
        <v>49</v>
      </c>
      <c r="E134" s="33">
        <v>44323</v>
      </c>
      <c r="F134" s="59">
        <v>2150</v>
      </c>
      <c r="G134" s="59">
        <v>1747.12</v>
      </c>
      <c r="H134" s="59">
        <v>1747.1153846153845</v>
      </c>
      <c r="I134" s="60">
        <f t="shared" si="8"/>
        <v>1.5312182296231376</v>
      </c>
      <c r="J134" s="60">
        <f t="shared" si="9"/>
        <v>-4.6153846153629274E-3</v>
      </c>
      <c r="K134" s="60">
        <f t="shared" si="10"/>
        <v>1.5312141845884177</v>
      </c>
      <c r="L134" s="60">
        <f t="shared" si="11"/>
        <v>-4.0450347198461856E-6</v>
      </c>
    </row>
    <row r="135" spans="1:12" x14ac:dyDescent="0.25">
      <c r="A135" t="s">
        <v>195</v>
      </c>
      <c r="B135" s="58" t="s">
        <v>48</v>
      </c>
      <c r="C135">
        <v>806</v>
      </c>
      <c r="D135" t="s">
        <v>49</v>
      </c>
      <c r="E135" s="33">
        <v>44323</v>
      </c>
      <c r="F135" s="59">
        <v>1620</v>
      </c>
      <c r="G135" s="59">
        <v>1420</v>
      </c>
      <c r="H135" s="59">
        <v>1420</v>
      </c>
      <c r="I135" s="60">
        <f t="shared" si="8"/>
        <v>1.7617866004962779</v>
      </c>
      <c r="J135" s="60">
        <f t="shared" si="9"/>
        <v>0</v>
      </c>
      <c r="K135" s="60">
        <f t="shared" si="10"/>
        <v>1.7617866004962779</v>
      </c>
      <c r="L135" s="60">
        <f t="shared" si="11"/>
        <v>0</v>
      </c>
    </row>
    <row r="136" spans="1:12" x14ac:dyDescent="0.25">
      <c r="A136" t="s">
        <v>196</v>
      </c>
      <c r="B136" s="58" t="s">
        <v>57</v>
      </c>
      <c r="C136">
        <v>700</v>
      </c>
      <c r="D136" t="s">
        <v>49</v>
      </c>
      <c r="E136" s="33">
        <v>44323</v>
      </c>
      <c r="F136" s="59">
        <v>1560</v>
      </c>
      <c r="G136" s="59">
        <v>1211.92</v>
      </c>
      <c r="H136" s="59">
        <v>1211.9230769230769</v>
      </c>
      <c r="I136" s="60">
        <f t="shared" si="8"/>
        <v>1.7313142857142858</v>
      </c>
      <c r="J136" s="60">
        <f t="shared" si="9"/>
        <v>3.0769230768328271E-3</v>
      </c>
      <c r="K136" s="60">
        <f t="shared" si="10"/>
        <v>1.7313186813186814</v>
      </c>
      <c r="L136" s="60">
        <f t="shared" si="11"/>
        <v>4.395604395579511E-6</v>
      </c>
    </row>
    <row r="137" spans="1:12" x14ac:dyDescent="0.25">
      <c r="A137" t="s">
        <v>197</v>
      </c>
      <c r="B137" s="58" t="s">
        <v>153</v>
      </c>
      <c r="C137">
        <v>696</v>
      </c>
      <c r="D137" t="s">
        <v>49</v>
      </c>
      <c r="E137" s="33">
        <v>44323</v>
      </c>
      <c r="F137" s="59">
        <v>1450</v>
      </c>
      <c r="G137" s="59">
        <v>1163.27</v>
      </c>
      <c r="H137" s="59">
        <v>1163.2692307692307</v>
      </c>
      <c r="I137" s="60">
        <f t="shared" si="8"/>
        <v>1.6713649425287356</v>
      </c>
      <c r="J137" s="60">
        <f t="shared" si="9"/>
        <v>-7.6923076926505018E-4</v>
      </c>
      <c r="K137" s="60">
        <f t="shared" si="10"/>
        <v>1.6713638373121131</v>
      </c>
      <c r="L137" s="60">
        <f t="shared" si="11"/>
        <v>-1.1052166224434501E-6</v>
      </c>
    </row>
    <row r="138" spans="1:12" x14ac:dyDescent="0.25">
      <c r="A138" t="s">
        <v>198</v>
      </c>
      <c r="B138" s="58" t="s">
        <v>59</v>
      </c>
      <c r="C138">
        <v>1115</v>
      </c>
      <c r="D138" t="s">
        <v>49</v>
      </c>
      <c r="E138" s="33">
        <v>44326</v>
      </c>
      <c r="F138" s="59">
        <v>2135</v>
      </c>
      <c r="G138" s="59">
        <v>1503.85</v>
      </c>
      <c r="H138" s="59">
        <v>1503.8461538461538</v>
      </c>
      <c r="I138" s="60">
        <f t="shared" si="8"/>
        <v>1.348744394618834</v>
      </c>
      <c r="J138" s="60">
        <f t="shared" si="9"/>
        <v>-3.8461538460978772E-3</v>
      </c>
      <c r="K138" s="60">
        <f t="shared" si="10"/>
        <v>1.3487409451535011</v>
      </c>
      <c r="L138" s="60">
        <f t="shared" si="11"/>
        <v>-3.4494653329275593E-6</v>
      </c>
    </row>
    <row r="139" spans="1:12" x14ac:dyDescent="0.25">
      <c r="A139" t="s">
        <v>199</v>
      </c>
      <c r="B139" s="58" t="s">
        <v>59</v>
      </c>
      <c r="C139">
        <v>1115</v>
      </c>
      <c r="D139" t="s">
        <v>49</v>
      </c>
      <c r="E139" s="33">
        <v>44326</v>
      </c>
      <c r="F139" s="59">
        <v>2165</v>
      </c>
      <c r="G139" s="59">
        <v>1530.38</v>
      </c>
      <c r="H139" s="59">
        <v>1530.3846153846155</v>
      </c>
      <c r="I139" s="60">
        <f t="shared" si="8"/>
        <v>1.3725381165919284</v>
      </c>
      <c r="J139" s="60">
        <f t="shared" si="9"/>
        <v>4.6153846153629274E-3</v>
      </c>
      <c r="K139" s="60">
        <f t="shared" si="10"/>
        <v>1.3725422559503277</v>
      </c>
      <c r="L139" s="60">
        <f t="shared" si="11"/>
        <v>4.1393583993798444E-6</v>
      </c>
    </row>
    <row r="140" spans="1:12" x14ac:dyDescent="0.25">
      <c r="A140" t="s">
        <v>200</v>
      </c>
      <c r="B140" s="58" t="s">
        <v>145</v>
      </c>
      <c r="C140">
        <v>1146</v>
      </c>
      <c r="D140" t="s">
        <v>49</v>
      </c>
      <c r="E140" s="33">
        <v>44327</v>
      </c>
      <c r="F140" s="59">
        <v>2180</v>
      </c>
      <c r="G140" s="59">
        <v>1574.62</v>
      </c>
      <c r="H140" s="59">
        <v>1574.6153846153845</v>
      </c>
      <c r="I140" s="60">
        <f t="shared" si="8"/>
        <v>1.3740139616055846</v>
      </c>
      <c r="J140" s="60">
        <f t="shared" si="9"/>
        <v>-4.6153846153629274E-3</v>
      </c>
      <c r="K140" s="60">
        <f t="shared" si="10"/>
        <v>1.3740099342193581</v>
      </c>
      <c r="L140" s="60">
        <f t="shared" si="11"/>
        <v>-4.0273862265127747E-6</v>
      </c>
    </row>
    <row r="141" spans="1:12" x14ac:dyDescent="0.25">
      <c r="A141" t="s">
        <v>201</v>
      </c>
      <c r="B141" s="58" t="s">
        <v>59</v>
      </c>
      <c r="C141">
        <v>1115</v>
      </c>
      <c r="D141" t="s">
        <v>49</v>
      </c>
      <c r="E141" s="33">
        <v>44330</v>
      </c>
      <c r="F141" s="59">
        <v>2135</v>
      </c>
      <c r="G141" s="59">
        <v>1459.62</v>
      </c>
      <c r="H141" s="59">
        <v>1459.6153846153845</v>
      </c>
      <c r="I141" s="60">
        <f t="shared" si="8"/>
        <v>1.3090762331838564</v>
      </c>
      <c r="J141" s="60">
        <f t="shared" si="9"/>
        <v>-4.6153846153629274E-3</v>
      </c>
      <c r="K141" s="60">
        <f t="shared" si="10"/>
        <v>1.309072093825457</v>
      </c>
      <c r="L141" s="60">
        <f t="shared" si="11"/>
        <v>-4.1393583993798444E-6</v>
      </c>
    </row>
    <row r="142" spans="1:12" x14ac:dyDescent="0.25">
      <c r="A142" t="s">
        <v>202</v>
      </c>
      <c r="B142" s="58" t="s">
        <v>151</v>
      </c>
      <c r="C142">
        <v>1141</v>
      </c>
      <c r="D142" t="s">
        <v>49</v>
      </c>
      <c r="E142" s="33">
        <v>44330</v>
      </c>
      <c r="F142" s="59">
        <v>2150</v>
      </c>
      <c r="G142" s="59">
        <v>1747.12</v>
      </c>
      <c r="H142" s="59">
        <v>1747.1153846153845</v>
      </c>
      <c r="I142" s="60">
        <f t="shared" si="8"/>
        <v>1.5312182296231376</v>
      </c>
      <c r="J142" s="60">
        <f t="shared" si="9"/>
        <v>-4.6153846153629274E-3</v>
      </c>
      <c r="K142" s="60">
        <f t="shared" si="10"/>
        <v>1.5312141845884177</v>
      </c>
      <c r="L142" s="60">
        <f t="shared" si="11"/>
        <v>-4.0450347198461856E-6</v>
      </c>
    </row>
    <row r="143" spans="1:12" x14ac:dyDescent="0.25">
      <c r="A143" t="s">
        <v>203</v>
      </c>
      <c r="B143" s="58" t="s">
        <v>86</v>
      </c>
      <c r="C143">
        <v>810</v>
      </c>
      <c r="D143" t="s">
        <v>49</v>
      </c>
      <c r="E143" s="33">
        <v>44330</v>
      </c>
      <c r="F143" s="59">
        <v>1555</v>
      </c>
      <c r="G143" s="59">
        <v>1220.77</v>
      </c>
      <c r="H143" s="59">
        <v>1220.7692307692307</v>
      </c>
      <c r="I143" s="60">
        <f t="shared" si="8"/>
        <v>1.5071234567901235</v>
      </c>
      <c r="J143" s="60">
        <f t="shared" si="9"/>
        <v>-7.6923076926505018E-4</v>
      </c>
      <c r="K143" s="60">
        <f t="shared" si="10"/>
        <v>1.5071225071225069</v>
      </c>
      <c r="L143" s="60">
        <f t="shared" si="11"/>
        <v>-9.4966761654546872E-7</v>
      </c>
    </row>
    <row r="144" spans="1:12" x14ac:dyDescent="0.25">
      <c r="A144" t="s">
        <v>204</v>
      </c>
      <c r="B144" s="58" t="s">
        <v>59</v>
      </c>
      <c r="C144">
        <v>1115</v>
      </c>
      <c r="D144" t="s">
        <v>49</v>
      </c>
      <c r="E144" s="33">
        <v>44330</v>
      </c>
      <c r="F144" s="59">
        <v>2165</v>
      </c>
      <c r="G144" s="59">
        <v>1561.35</v>
      </c>
      <c r="H144" s="59">
        <v>1561.3461538461538</v>
      </c>
      <c r="I144" s="60">
        <f t="shared" si="8"/>
        <v>1.4003139013452914</v>
      </c>
      <c r="J144" s="60">
        <f t="shared" si="9"/>
        <v>-3.8461538460978772E-3</v>
      </c>
      <c r="K144" s="60">
        <f t="shared" si="10"/>
        <v>1.4003104518799585</v>
      </c>
      <c r="L144" s="60">
        <f t="shared" si="11"/>
        <v>-3.4494653329275593E-6</v>
      </c>
    </row>
    <row r="145" spans="1:12" x14ac:dyDescent="0.25">
      <c r="A145" t="s">
        <v>205</v>
      </c>
      <c r="B145" s="58" t="s">
        <v>59</v>
      </c>
      <c r="C145">
        <v>1115</v>
      </c>
      <c r="D145" t="s">
        <v>49</v>
      </c>
      <c r="E145" s="33">
        <v>44330</v>
      </c>
      <c r="F145" s="59">
        <v>2135</v>
      </c>
      <c r="G145" s="59">
        <v>1534.81</v>
      </c>
      <c r="H145" s="59">
        <v>1534.8076923076924</v>
      </c>
      <c r="I145" s="60">
        <f t="shared" si="8"/>
        <v>1.3765112107623318</v>
      </c>
      <c r="J145" s="60">
        <f t="shared" si="9"/>
        <v>-2.3076923075677769E-3</v>
      </c>
      <c r="K145" s="60">
        <f t="shared" si="10"/>
        <v>1.3765091410831323</v>
      </c>
      <c r="L145" s="60">
        <f t="shared" si="11"/>
        <v>-2.0696791995788999E-6</v>
      </c>
    </row>
    <row r="146" spans="1:12" x14ac:dyDescent="0.25">
      <c r="A146" t="s">
        <v>206</v>
      </c>
      <c r="B146" s="58" t="s">
        <v>48</v>
      </c>
      <c r="C146">
        <v>806</v>
      </c>
      <c r="D146" t="s">
        <v>49</v>
      </c>
      <c r="E146" s="33">
        <v>44330</v>
      </c>
      <c r="F146" s="59">
        <v>1620</v>
      </c>
      <c r="G146" s="59">
        <v>1256.1500000000001</v>
      </c>
      <c r="H146" s="59">
        <v>1256.1538461538462</v>
      </c>
      <c r="I146" s="60">
        <f t="shared" si="8"/>
        <v>1.5584987593052111</v>
      </c>
      <c r="J146" s="60">
        <f t="shared" si="9"/>
        <v>3.8461538460978772E-3</v>
      </c>
      <c r="K146" s="60">
        <f t="shared" si="10"/>
        <v>1.5585035312082458</v>
      </c>
      <c r="L146" s="60">
        <f t="shared" si="11"/>
        <v>4.7719030347170843E-6</v>
      </c>
    </row>
    <row r="147" spans="1:12" x14ac:dyDescent="0.25">
      <c r="A147" t="s">
        <v>207</v>
      </c>
      <c r="B147" s="58" t="s">
        <v>74</v>
      </c>
      <c r="C147">
        <v>1169</v>
      </c>
      <c r="D147" t="s">
        <v>49</v>
      </c>
      <c r="E147" s="33">
        <v>44330</v>
      </c>
      <c r="F147" s="59">
        <v>2220</v>
      </c>
      <c r="G147" s="59">
        <v>1610</v>
      </c>
      <c r="H147" s="59">
        <v>1610</v>
      </c>
      <c r="I147" s="60">
        <f t="shared" si="8"/>
        <v>1.3772455089820359</v>
      </c>
      <c r="J147" s="60">
        <f t="shared" si="9"/>
        <v>0</v>
      </c>
      <c r="K147" s="60">
        <f t="shared" si="10"/>
        <v>1.3772455089820359</v>
      </c>
      <c r="L147" s="60">
        <f t="shared" si="11"/>
        <v>0</v>
      </c>
    </row>
    <row r="148" spans="1:12" x14ac:dyDescent="0.25">
      <c r="A148" t="s">
        <v>208</v>
      </c>
      <c r="B148" s="58" t="s">
        <v>48</v>
      </c>
      <c r="C148">
        <v>806</v>
      </c>
      <c r="D148" t="s">
        <v>49</v>
      </c>
      <c r="E148" s="33">
        <v>44330</v>
      </c>
      <c r="F148" s="59">
        <v>1620</v>
      </c>
      <c r="G148" s="59">
        <v>1256.1500000000001</v>
      </c>
      <c r="H148" s="59">
        <v>1256.1538461538462</v>
      </c>
      <c r="I148" s="60">
        <f t="shared" si="8"/>
        <v>1.5584987593052111</v>
      </c>
      <c r="J148" s="60">
        <f t="shared" si="9"/>
        <v>3.8461538460978772E-3</v>
      </c>
      <c r="K148" s="60">
        <f t="shared" si="10"/>
        <v>1.5585035312082458</v>
      </c>
      <c r="L148" s="60">
        <f t="shared" si="11"/>
        <v>4.7719030347170843E-6</v>
      </c>
    </row>
    <row r="149" spans="1:12" x14ac:dyDescent="0.25">
      <c r="A149" t="s">
        <v>209</v>
      </c>
      <c r="B149" s="58" t="s">
        <v>59</v>
      </c>
      <c r="C149">
        <v>1115</v>
      </c>
      <c r="D149" t="s">
        <v>49</v>
      </c>
      <c r="E149" s="33">
        <v>44333</v>
      </c>
      <c r="F149" s="59">
        <v>2260</v>
      </c>
      <c r="G149" s="59">
        <v>1640.77</v>
      </c>
      <c r="H149" s="59">
        <v>1640.7692307692307</v>
      </c>
      <c r="I149" s="60">
        <f t="shared" si="8"/>
        <v>1.4715426008968611</v>
      </c>
      <c r="J149" s="60">
        <f t="shared" si="9"/>
        <v>-7.6923076926505018E-4</v>
      </c>
      <c r="K149" s="60">
        <f t="shared" si="10"/>
        <v>1.4715419110037944</v>
      </c>
      <c r="L149" s="60">
        <f t="shared" si="11"/>
        <v>-6.898930666743297E-7</v>
      </c>
    </row>
    <row r="150" spans="1:12" x14ac:dyDescent="0.25">
      <c r="A150" t="s">
        <v>210</v>
      </c>
      <c r="B150" s="58" t="s">
        <v>151</v>
      </c>
      <c r="C150">
        <v>1141</v>
      </c>
      <c r="D150" t="s">
        <v>49</v>
      </c>
      <c r="E150" s="33">
        <v>44333</v>
      </c>
      <c r="F150" s="59">
        <v>2150</v>
      </c>
      <c r="G150" s="59">
        <v>1791.35</v>
      </c>
      <c r="H150" s="59">
        <v>1791.3461538461538</v>
      </c>
      <c r="I150" s="60">
        <f t="shared" si="8"/>
        <v>1.5699824715162138</v>
      </c>
      <c r="J150" s="60">
        <f t="shared" si="9"/>
        <v>-3.8461538460978772E-3</v>
      </c>
      <c r="K150" s="60">
        <f t="shared" si="10"/>
        <v>1.5699791006539472</v>
      </c>
      <c r="L150" s="60">
        <f t="shared" si="11"/>
        <v>-3.3708622666495103E-6</v>
      </c>
    </row>
    <row r="151" spans="1:12" x14ac:dyDescent="0.25">
      <c r="A151" t="s">
        <v>211</v>
      </c>
      <c r="B151" s="58" t="s">
        <v>59</v>
      </c>
      <c r="C151">
        <v>1115</v>
      </c>
      <c r="D151" t="s">
        <v>49</v>
      </c>
      <c r="E151" s="33">
        <v>44333</v>
      </c>
      <c r="F151" s="59">
        <v>2165</v>
      </c>
      <c r="G151" s="59">
        <v>1561.35</v>
      </c>
      <c r="H151" s="59">
        <v>1561.3461538461538</v>
      </c>
      <c r="I151" s="60">
        <f t="shared" si="8"/>
        <v>1.4003139013452914</v>
      </c>
      <c r="J151" s="60">
        <f t="shared" si="9"/>
        <v>-3.8461538460978772E-3</v>
      </c>
      <c r="K151" s="60">
        <f t="shared" si="10"/>
        <v>1.4003104518799585</v>
      </c>
      <c r="L151" s="60">
        <f t="shared" si="11"/>
        <v>-3.4494653329275593E-6</v>
      </c>
    </row>
    <row r="152" spans="1:12" x14ac:dyDescent="0.25">
      <c r="A152" t="s">
        <v>212</v>
      </c>
      <c r="B152" s="58" t="s">
        <v>61</v>
      </c>
      <c r="C152">
        <v>820</v>
      </c>
      <c r="D152" t="s">
        <v>49</v>
      </c>
      <c r="E152" s="33">
        <v>44333</v>
      </c>
      <c r="F152" s="59">
        <v>1615</v>
      </c>
      <c r="G152" s="59">
        <v>1317.31</v>
      </c>
      <c r="H152" s="59">
        <v>1317.3076923076924</v>
      </c>
      <c r="I152" s="60">
        <f t="shared" si="8"/>
        <v>1.6064756097560975</v>
      </c>
      <c r="J152" s="60">
        <f t="shared" si="9"/>
        <v>-2.3076923075677769E-3</v>
      </c>
      <c r="K152" s="60">
        <f t="shared" si="10"/>
        <v>1.6064727954971858</v>
      </c>
      <c r="L152" s="60">
        <f t="shared" si="11"/>
        <v>-2.8142589116875172E-6</v>
      </c>
    </row>
    <row r="153" spans="1:12" x14ac:dyDescent="0.25">
      <c r="A153" t="s">
        <v>213</v>
      </c>
      <c r="B153" s="58" t="s">
        <v>59</v>
      </c>
      <c r="C153">
        <v>1115</v>
      </c>
      <c r="D153" t="s">
        <v>49</v>
      </c>
      <c r="E153" s="33">
        <v>44333</v>
      </c>
      <c r="F153" s="59">
        <v>2165</v>
      </c>
      <c r="G153" s="59">
        <v>1675.38</v>
      </c>
      <c r="H153" s="59">
        <v>1675.3846153846155</v>
      </c>
      <c r="I153" s="60">
        <f t="shared" si="8"/>
        <v>1.5025829596412557</v>
      </c>
      <c r="J153" s="60">
        <f t="shared" si="9"/>
        <v>4.6153846153629274E-3</v>
      </c>
      <c r="K153" s="60">
        <f t="shared" si="10"/>
        <v>1.502587098999655</v>
      </c>
      <c r="L153" s="60">
        <f t="shared" si="11"/>
        <v>4.1393583993798444E-6</v>
      </c>
    </row>
    <row r="154" spans="1:12" x14ac:dyDescent="0.25">
      <c r="A154" t="s">
        <v>214</v>
      </c>
      <c r="B154" s="58" t="s">
        <v>145</v>
      </c>
      <c r="C154">
        <v>1146</v>
      </c>
      <c r="D154" t="s">
        <v>49</v>
      </c>
      <c r="E154" s="33">
        <v>44333</v>
      </c>
      <c r="F154" s="59">
        <v>2180</v>
      </c>
      <c r="G154" s="59">
        <v>1574.62</v>
      </c>
      <c r="H154" s="59">
        <v>1574.6153846153845</v>
      </c>
      <c r="I154" s="60">
        <f t="shared" si="8"/>
        <v>1.3740139616055846</v>
      </c>
      <c r="J154" s="60">
        <f t="shared" si="9"/>
        <v>-4.6153846153629274E-3</v>
      </c>
      <c r="K154" s="60">
        <f t="shared" si="10"/>
        <v>1.3740099342193581</v>
      </c>
      <c r="L154" s="60">
        <f t="shared" si="11"/>
        <v>-4.0273862265127747E-6</v>
      </c>
    </row>
    <row r="155" spans="1:12" x14ac:dyDescent="0.25">
      <c r="A155" t="s">
        <v>215</v>
      </c>
      <c r="B155" s="58" t="s">
        <v>61</v>
      </c>
      <c r="C155">
        <v>820</v>
      </c>
      <c r="D155" t="s">
        <v>49</v>
      </c>
      <c r="E155" s="33">
        <v>44335</v>
      </c>
      <c r="F155" s="59">
        <v>1740</v>
      </c>
      <c r="G155" s="59">
        <v>1366.15</v>
      </c>
      <c r="H155" s="59">
        <v>1366.1538461538462</v>
      </c>
      <c r="I155" s="60">
        <f t="shared" si="8"/>
        <v>1.6660365853658539</v>
      </c>
      <c r="J155" s="60">
        <f t="shared" si="9"/>
        <v>3.8461538460978772E-3</v>
      </c>
      <c r="K155" s="60">
        <f t="shared" si="10"/>
        <v>1.6660412757973735</v>
      </c>
      <c r="L155" s="60">
        <f t="shared" si="11"/>
        <v>4.690431519627225E-6</v>
      </c>
    </row>
    <row r="156" spans="1:12" x14ac:dyDescent="0.25">
      <c r="A156" t="s">
        <v>216</v>
      </c>
      <c r="B156" s="58" t="s">
        <v>57</v>
      </c>
      <c r="C156">
        <v>700</v>
      </c>
      <c r="D156" t="s">
        <v>49</v>
      </c>
      <c r="E156" s="33">
        <v>44335</v>
      </c>
      <c r="F156" s="59">
        <v>1515</v>
      </c>
      <c r="G156" s="59">
        <v>1364.23</v>
      </c>
      <c r="H156" s="59">
        <v>1364.2307692307693</v>
      </c>
      <c r="I156" s="60">
        <f t="shared" si="8"/>
        <v>1.9489000000000001</v>
      </c>
      <c r="J156" s="60">
        <f t="shared" si="9"/>
        <v>7.6923076926505018E-4</v>
      </c>
      <c r="K156" s="60">
        <f t="shared" si="10"/>
        <v>1.9489010989010991</v>
      </c>
      <c r="L156" s="60">
        <f t="shared" si="11"/>
        <v>1.0989010990059001E-6</v>
      </c>
    </row>
    <row r="157" spans="1:12" x14ac:dyDescent="0.25">
      <c r="A157" t="s">
        <v>217</v>
      </c>
      <c r="B157" s="58" t="s">
        <v>86</v>
      </c>
      <c r="C157">
        <v>810</v>
      </c>
      <c r="D157" t="s">
        <v>49</v>
      </c>
      <c r="E157" s="33">
        <v>44336</v>
      </c>
      <c r="F157" s="59">
        <v>1555</v>
      </c>
      <c r="G157" s="59">
        <v>1220.77</v>
      </c>
      <c r="H157" s="59">
        <v>1220.7692307692307</v>
      </c>
      <c r="I157" s="60">
        <f t="shared" si="8"/>
        <v>1.5071234567901235</v>
      </c>
      <c r="J157" s="60">
        <f t="shared" si="9"/>
        <v>-7.6923076926505018E-4</v>
      </c>
      <c r="K157" s="60">
        <f t="shared" si="10"/>
        <v>1.5071225071225069</v>
      </c>
      <c r="L157" s="60">
        <f t="shared" si="11"/>
        <v>-9.4966761654546872E-7</v>
      </c>
    </row>
    <row r="158" spans="1:12" x14ac:dyDescent="0.25">
      <c r="A158" t="s">
        <v>218</v>
      </c>
      <c r="B158" s="58" t="s">
        <v>48</v>
      </c>
      <c r="C158">
        <v>806</v>
      </c>
      <c r="D158" t="s">
        <v>49</v>
      </c>
      <c r="E158" s="33">
        <v>44337</v>
      </c>
      <c r="F158" s="59">
        <v>1620</v>
      </c>
      <c r="G158" s="59">
        <v>1256.1500000000001</v>
      </c>
      <c r="H158" s="59">
        <v>1256.1538461538462</v>
      </c>
      <c r="I158" s="60">
        <f t="shared" si="8"/>
        <v>1.5584987593052111</v>
      </c>
      <c r="J158" s="60">
        <f t="shared" si="9"/>
        <v>3.8461538460978772E-3</v>
      </c>
      <c r="K158" s="60">
        <f t="shared" si="10"/>
        <v>1.5585035312082458</v>
      </c>
      <c r="L158" s="60">
        <f t="shared" si="11"/>
        <v>4.7719030347170843E-6</v>
      </c>
    </row>
    <row r="159" spans="1:12" x14ac:dyDescent="0.25">
      <c r="A159" t="s">
        <v>219</v>
      </c>
      <c r="B159" s="58" t="s">
        <v>145</v>
      </c>
      <c r="C159">
        <v>1146</v>
      </c>
      <c r="D159" t="s">
        <v>49</v>
      </c>
      <c r="E159" s="33">
        <v>44337</v>
      </c>
      <c r="F159" s="59">
        <v>2180</v>
      </c>
      <c r="G159" s="59">
        <v>1508.27</v>
      </c>
      <c r="H159" s="59">
        <v>1508.2692307692307</v>
      </c>
      <c r="I159" s="60">
        <f t="shared" si="8"/>
        <v>1.3161169284467713</v>
      </c>
      <c r="J159" s="60">
        <f t="shared" si="9"/>
        <v>-7.6923076926505018E-4</v>
      </c>
      <c r="K159" s="60">
        <f t="shared" si="10"/>
        <v>1.3161162572157337</v>
      </c>
      <c r="L159" s="60">
        <f t="shared" si="11"/>
        <v>-6.7123103764110681E-7</v>
      </c>
    </row>
    <row r="160" spans="1:12" x14ac:dyDescent="0.25">
      <c r="A160" t="s">
        <v>220</v>
      </c>
      <c r="B160" s="58" t="s">
        <v>57</v>
      </c>
      <c r="C160">
        <v>700</v>
      </c>
      <c r="D160" t="s">
        <v>49</v>
      </c>
      <c r="E160" s="33">
        <v>44337</v>
      </c>
      <c r="F160" s="59">
        <v>1515</v>
      </c>
      <c r="G160" s="59">
        <v>1172.1199999999999</v>
      </c>
      <c r="H160" s="59">
        <v>1172.1153846153845</v>
      </c>
      <c r="I160" s="60">
        <f t="shared" si="8"/>
        <v>1.6744571428571426</v>
      </c>
      <c r="J160" s="60">
        <f t="shared" si="9"/>
        <v>-4.6153846153629274E-3</v>
      </c>
      <c r="K160" s="60">
        <f t="shared" si="10"/>
        <v>1.6744505494505493</v>
      </c>
      <c r="L160" s="60">
        <f t="shared" si="11"/>
        <v>-6.5934065933692665E-6</v>
      </c>
    </row>
    <row r="161" spans="1:12" x14ac:dyDescent="0.25">
      <c r="A161" t="s">
        <v>221</v>
      </c>
      <c r="B161" s="58" t="s">
        <v>74</v>
      </c>
      <c r="C161">
        <v>1169</v>
      </c>
      <c r="D161" t="s">
        <v>49</v>
      </c>
      <c r="E161" s="33">
        <v>44337</v>
      </c>
      <c r="F161" s="59">
        <v>2240</v>
      </c>
      <c r="G161" s="59">
        <v>1561.35</v>
      </c>
      <c r="H161" s="59">
        <v>1561.3461538461538</v>
      </c>
      <c r="I161" s="60">
        <f t="shared" si="8"/>
        <v>1.33562874251497</v>
      </c>
      <c r="J161" s="60">
        <f t="shared" si="9"/>
        <v>-3.8461538460978772E-3</v>
      </c>
      <c r="K161" s="60">
        <f t="shared" si="10"/>
        <v>1.3356254523919193</v>
      </c>
      <c r="L161" s="60">
        <f t="shared" si="11"/>
        <v>-3.2901230506698909E-6</v>
      </c>
    </row>
    <row r="162" spans="1:12" x14ac:dyDescent="0.25">
      <c r="A162" t="s">
        <v>222</v>
      </c>
      <c r="B162" s="58" t="s">
        <v>51</v>
      </c>
      <c r="C162">
        <v>848</v>
      </c>
      <c r="D162" t="s">
        <v>49</v>
      </c>
      <c r="E162" s="33">
        <v>44337</v>
      </c>
      <c r="F162" s="59">
        <v>1735</v>
      </c>
      <c r="G162" s="59">
        <v>1357.88</v>
      </c>
      <c r="H162" s="59">
        <v>1357.8846153846155</v>
      </c>
      <c r="I162" s="60">
        <f t="shared" si="8"/>
        <v>1.6012735849056605</v>
      </c>
      <c r="J162" s="60">
        <f t="shared" si="9"/>
        <v>4.6153846153629274E-3</v>
      </c>
      <c r="K162" s="60">
        <f t="shared" si="10"/>
        <v>1.6012790275761974</v>
      </c>
      <c r="L162" s="60">
        <f t="shared" si="11"/>
        <v>5.4426705369259309E-6</v>
      </c>
    </row>
    <row r="163" spans="1:12" x14ac:dyDescent="0.25">
      <c r="A163" t="s">
        <v>223</v>
      </c>
      <c r="B163" s="58" t="s">
        <v>57</v>
      </c>
      <c r="C163">
        <v>700</v>
      </c>
      <c r="D163" t="s">
        <v>49</v>
      </c>
      <c r="E163" s="33">
        <v>44337</v>
      </c>
      <c r="F163" s="59">
        <v>1515</v>
      </c>
      <c r="G163" s="59">
        <v>1172.1199999999999</v>
      </c>
      <c r="H163" s="59">
        <v>1172.1153846153845</v>
      </c>
      <c r="I163" s="60">
        <f t="shared" si="8"/>
        <v>1.6744571428571426</v>
      </c>
      <c r="J163" s="60">
        <f t="shared" si="9"/>
        <v>-4.6153846153629274E-3</v>
      </c>
      <c r="K163" s="60">
        <f t="shared" si="10"/>
        <v>1.6744505494505493</v>
      </c>
      <c r="L163" s="60">
        <f t="shared" si="11"/>
        <v>-6.5934065933692665E-6</v>
      </c>
    </row>
    <row r="164" spans="1:12" x14ac:dyDescent="0.25">
      <c r="A164" t="s">
        <v>224</v>
      </c>
      <c r="B164" s="58" t="s">
        <v>137</v>
      </c>
      <c r="C164">
        <v>1700</v>
      </c>
      <c r="D164" t="s">
        <v>49</v>
      </c>
      <c r="E164" s="33">
        <v>44337</v>
      </c>
      <c r="F164" s="59">
        <v>2995</v>
      </c>
      <c r="G164" s="59">
        <v>2450.38</v>
      </c>
      <c r="H164" s="59">
        <v>2450.3846153846152</v>
      </c>
      <c r="I164" s="60">
        <f t="shared" si="8"/>
        <v>1.4414</v>
      </c>
      <c r="J164" s="60">
        <f t="shared" si="9"/>
        <v>4.6153846151355538E-3</v>
      </c>
      <c r="K164" s="60">
        <f t="shared" si="10"/>
        <v>1.4414027149321267</v>
      </c>
      <c r="L164" s="60">
        <f t="shared" si="11"/>
        <v>2.7149321266684012E-6</v>
      </c>
    </row>
    <row r="165" spans="1:12" x14ac:dyDescent="0.25">
      <c r="A165" t="s">
        <v>225</v>
      </c>
      <c r="B165" s="58" t="s">
        <v>86</v>
      </c>
      <c r="C165">
        <v>810</v>
      </c>
      <c r="D165" t="s">
        <v>49</v>
      </c>
      <c r="E165" s="33">
        <v>44337</v>
      </c>
      <c r="F165" s="59">
        <v>1555</v>
      </c>
      <c r="G165" s="59">
        <v>1220.77</v>
      </c>
      <c r="H165" s="59">
        <v>1220.7692307692307</v>
      </c>
      <c r="I165" s="60">
        <f t="shared" si="8"/>
        <v>1.5071234567901235</v>
      </c>
      <c r="J165" s="60">
        <f t="shared" si="9"/>
        <v>-7.6923076926505018E-4</v>
      </c>
      <c r="K165" s="60">
        <f t="shared" si="10"/>
        <v>1.5071225071225069</v>
      </c>
      <c r="L165" s="60">
        <f t="shared" si="11"/>
        <v>-9.4966761654546872E-7</v>
      </c>
    </row>
    <row r="166" spans="1:12" x14ac:dyDescent="0.25">
      <c r="A166" t="s">
        <v>226</v>
      </c>
      <c r="B166" s="58" t="s">
        <v>57</v>
      </c>
      <c r="C166">
        <v>700</v>
      </c>
      <c r="D166" t="s">
        <v>49</v>
      </c>
      <c r="E166" s="33">
        <v>44337</v>
      </c>
      <c r="F166" s="59">
        <v>1515</v>
      </c>
      <c r="G166" s="59">
        <v>1172.1199999999999</v>
      </c>
      <c r="H166" s="59">
        <v>1172.1153846153845</v>
      </c>
      <c r="I166" s="60">
        <f t="shared" si="8"/>
        <v>1.6744571428571426</v>
      </c>
      <c r="J166" s="60">
        <f t="shared" si="9"/>
        <v>-4.6153846153629274E-3</v>
      </c>
      <c r="K166" s="60">
        <f t="shared" si="10"/>
        <v>1.6744505494505493</v>
      </c>
      <c r="L166" s="60">
        <f t="shared" si="11"/>
        <v>-6.5934065933692665E-6</v>
      </c>
    </row>
    <row r="167" spans="1:12" x14ac:dyDescent="0.25">
      <c r="A167" t="s">
        <v>227</v>
      </c>
      <c r="B167" s="58" t="s">
        <v>59</v>
      </c>
      <c r="C167">
        <v>1115</v>
      </c>
      <c r="D167" t="s">
        <v>49</v>
      </c>
      <c r="E167" s="33">
        <v>44337</v>
      </c>
      <c r="F167" s="59">
        <v>2165</v>
      </c>
      <c r="G167" s="59">
        <v>1605.58</v>
      </c>
      <c r="H167" s="59">
        <v>1605.5769230769231</v>
      </c>
      <c r="I167" s="60">
        <f t="shared" si="8"/>
        <v>1.4399820627802691</v>
      </c>
      <c r="J167" s="60">
        <f t="shared" si="9"/>
        <v>-3.0769230768328271E-3</v>
      </c>
      <c r="K167" s="60">
        <f t="shared" si="10"/>
        <v>1.4399793032080028</v>
      </c>
      <c r="L167" s="60">
        <f t="shared" si="11"/>
        <v>-2.7595722662532296E-6</v>
      </c>
    </row>
    <row r="168" spans="1:12" x14ac:dyDescent="0.25">
      <c r="A168" t="s">
        <v>228</v>
      </c>
      <c r="B168" s="58" t="s">
        <v>86</v>
      </c>
      <c r="C168">
        <v>810</v>
      </c>
      <c r="D168" t="s">
        <v>49</v>
      </c>
      <c r="E168" s="33">
        <v>44339</v>
      </c>
      <c r="F168" s="59">
        <v>1600</v>
      </c>
      <c r="G168" s="59">
        <v>1260.58</v>
      </c>
      <c r="H168" s="59">
        <v>1260.5769230769231</v>
      </c>
      <c r="I168" s="60">
        <f t="shared" si="8"/>
        <v>1.5562716049382714</v>
      </c>
      <c r="J168" s="60">
        <f t="shared" si="9"/>
        <v>-3.0769230768328271E-3</v>
      </c>
      <c r="K168" s="60">
        <f t="shared" si="10"/>
        <v>1.5562678062678064</v>
      </c>
      <c r="L168" s="60">
        <f t="shared" si="11"/>
        <v>-3.7986704650716518E-6</v>
      </c>
    </row>
    <row r="169" spans="1:12" x14ac:dyDescent="0.25">
      <c r="A169" t="s">
        <v>229</v>
      </c>
      <c r="B169" s="58" t="s">
        <v>153</v>
      </c>
      <c r="C169">
        <v>696</v>
      </c>
      <c r="D169" t="s">
        <v>49</v>
      </c>
      <c r="E169" s="33">
        <v>44340</v>
      </c>
      <c r="F169" s="59">
        <v>1450</v>
      </c>
      <c r="G169" s="59">
        <v>1163.27</v>
      </c>
      <c r="H169" s="59">
        <v>1163.2692307692307</v>
      </c>
      <c r="I169" s="60">
        <f t="shared" si="8"/>
        <v>1.6713649425287356</v>
      </c>
      <c r="J169" s="60">
        <f t="shared" si="9"/>
        <v>-7.6923076926505018E-4</v>
      </c>
      <c r="K169" s="60">
        <f t="shared" si="10"/>
        <v>1.6713638373121131</v>
      </c>
      <c r="L169" s="60">
        <f t="shared" si="11"/>
        <v>-1.1052166224434501E-6</v>
      </c>
    </row>
    <row r="170" spans="1:12" x14ac:dyDescent="0.25">
      <c r="A170" t="s">
        <v>230</v>
      </c>
      <c r="B170" s="58" t="s">
        <v>59</v>
      </c>
      <c r="C170">
        <v>1115</v>
      </c>
      <c r="D170" t="s">
        <v>49</v>
      </c>
      <c r="E170" s="33">
        <v>44340</v>
      </c>
      <c r="F170" s="59">
        <v>2135</v>
      </c>
      <c r="G170" s="59">
        <v>1534.81</v>
      </c>
      <c r="H170" s="59">
        <v>1534.8076923076924</v>
      </c>
      <c r="I170" s="60">
        <f t="shared" si="8"/>
        <v>1.3765112107623318</v>
      </c>
      <c r="J170" s="60">
        <f t="shared" si="9"/>
        <v>-2.3076923075677769E-3</v>
      </c>
      <c r="K170" s="60">
        <f t="shared" si="10"/>
        <v>1.3765091410831323</v>
      </c>
      <c r="L170" s="60">
        <f t="shared" si="11"/>
        <v>-2.0696791995788999E-6</v>
      </c>
    </row>
    <row r="171" spans="1:12" x14ac:dyDescent="0.25">
      <c r="A171" t="s">
        <v>231</v>
      </c>
      <c r="B171" s="58" t="s">
        <v>57</v>
      </c>
      <c r="C171">
        <v>700</v>
      </c>
      <c r="D171" t="s">
        <v>49</v>
      </c>
      <c r="E171" s="33">
        <v>44340</v>
      </c>
      <c r="F171" s="59">
        <v>1515</v>
      </c>
      <c r="G171" s="59">
        <v>1269.23</v>
      </c>
      <c r="H171" s="59">
        <v>1269.2307692307693</v>
      </c>
      <c r="I171" s="60">
        <f t="shared" si="8"/>
        <v>1.8131857142857144</v>
      </c>
      <c r="J171" s="60">
        <f t="shared" si="9"/>
        <v>7.6923076926505018E-4</v>
      </c>
      <c r="K171" s="60">
        <f t="shared" si="10"/>
        <v>1.8131868131868132</v>
      </c>
      <c r="L171" s="60">
        <f t="shared" si="11"/>
        <v>1.0989010987838554E-6</v>
      </c>
    </row>
    <row r="172" spans="1:12" x14ac:dyDescent="0.25">
      <c r="A172" t="s">
        <v>232</v>
      </c>
      <c r="B172" s="58" t="s">
        <v>151</v>
      </c>
      <c r="C172">
        <v>1141</v>
      </c>
      <c r="D172" t="s">
        <v>49</v>
      </c>
      <c r="E172" s="33">
        <v>44340</v>
      </c>
      <c r="F172" s="59">
        <v>2150</v>
      </c>
      <c r="G172" s="59">
        <v>1915.38</v>
      </c>
      <c r="H172" s="59">
        <v>1915.3846153846155</v>
      </c>
      <c r="I172" s="60">
        <f t="shared" si="8"/>
        <v>1.6786853637160386</v>
      </c>
      <c r="J172" s="60">
        <f t="shared" si="9"/>
        <v>4.6153846153629274E-3</v>
      </c>
      <c r="K172" s="60">
        <f t="shared" si="10"/>
        <v>1.6786894087507584</v>
      </c>
      <c r="L172" s="60">
        <f t="shared" si="11"/>
        <v>4.0450347198461856E-6</v>
      </c>
    </row>
    <row r="173" spans="1:12" x14ac:dyDescent="0.25">
      <c r="A173" t="s">
        <v>233</v>
      </c>
      <c r="B173" s="58" t="s">
        <v>153</v>
      </c>
      <c r="C173">
        <v>696</v>
      </c>
      <c r="D173" t="s">
        <v>49</v>
      </c>
      <c r="E173" s="33">
        <v>44342</v>
      </c>
      <c r="F173" s="59">
        <v>1450</v>
      </c>
      <c r="G173" s="59">
        <v>1163.27</v>
      </c>
      <c r="H173" s="59">
        <v>1163.2692307692307</v>
      </c>
      <c r="I173" s="60">
        <f t="shared" si="8"/>
        <v>1.6713649425287356</v>
      </c>
      <c r="J173" s="60">
        <f t="shared" si="9"/>
        <v>-7.6923076926505018E-4</v>
      </c>
      <c r="K173" s="60">
        <f t="shared" si="10"/>
        <v>1.6713638373121131</v>
      </c>
      <c r="L173" s="60">
        <f t="shared" si="11"/>
        <v>-1.1052166224434501E-6</v>
      </c>
    </row>
    <row r="174" spans="1:12" x14ac:dyDescent="0.25">
      <c r="A174" t="s">
        <v>234</v>
      </c>
      <c r="B174" s="58" t="s">
        <v>151</v>
      </c>
      <c r="C174">
        <v>1141</v>
      </c>
      <c r="D174" t="s">
        <v>49</v>
      </c>
      <c r="E174" s="33">
        <v>44343</v>
      </c>
      <c r="F174" s="59">
        <v>2150</v>
      </c>
      <c r="G174" s="59">
        <v>1791.35</v>
      </c>
      <c r="H174" s="59">
        <v>1791.3461538461538</v>
      </c>
      <c r="I174" s="60">
        <f t="shared" si="8"/>
        <v>1.5699824715162138</v>
      </c>
      <c r="J174" s="60">
        <f t="shared" si="9"/>
        <v>-3.8461538460978772E-3</v>
      </c>
      <c r="K174" s="60">
        <f t="shared" si="10"/>
        <v>1.5699791006539472</v>
      </c>
      <c r="L174" s="60">
        <f t="shared" si="11"/>
        <v>-3.3708622666495103E-6</v>
      </c>
    </row>
    <row r="175" spans="1:12" x14ac:dyDescent="0.25">
      <c r="A175" t="s">
        <v>235</v>
      </c>
      <c r="B175" s="58" t="s">
        <v>57</v>
      </c>
      <c r="C175">
        <v>700</v>
      </c>
      <c r="D175" t="s">
        <v>49</v>
      </c>
      <c r="E175" s="33">
        <v>44343</v>
      </c>
      <c r="F175" s="59">
        <v>1560</v>
      </c>
      <c r="G175" s="59">
        <v>1211.92</v>
      </c>
      <c r="H175" s="59">
        <v>1211.9230769230769</v>
      </c>
      <c r="I175" s="60">
        <f t="shared" si="8"/>
        <v>1.7313142857142858</v>
      </c>
      <c r="J175" s="60">
        <f t="shared" si="9"/>
        <v>3.0769230768328271E-3</v>
      </c>
      <c r="K175" s="60">
        <f t="shared" si="10"/>
        <v>1.7313186813186814</v>
      </c>
      <c r="L175" s="60">
        <f t="shared" si="11"/>
        <v>4.395604395579511E-6</v>
      </c>
    </row>
    <row r="176" spans="1:12" x14ac:dyDescent="0.25">
      <c r="A176" t="s">
        <v>236</v>
      </c>
      <c r="B176" s="58" t="s">
        <v>57</v>
      </c>
      <c r="C176">
        <v>700</v>
      </c>
      <c r="D176" t="s">
        <v>49</v>
      </c>
      <c r="E176" s="33">
        <v>44343</v>
      </c>
      <c r="F176" s="59">
        <v>1515</v>
      </c>
      <c r="G176" s="59">
        <v>1269.23</v>
      </c>
      <c r="H176" s="59">
        <v>1269.2307692307693</v>
      </c>
      <c r="I176" s="60">
        <f t="shared" si="8"/>
        <v>1.8131857142857144</v>
      </c>
      <c r="J176" s="60">
        <f t="shared" si="9"/>
        <v>7.6923076926505018E-4</v>
      </c>
      <c r="K176" s="60">
        <f t="shared" si="10"/>
        <v>1.8131868131868132</v>
      </c>
      <c r="L176" s="60">
        <f t="shared" si="11"/>
        <v>1.0989010987838554E-6</v>
      </c>
    </row>
    <row r="177" spans="1:12" x14ac:dyDescent="0.25">
      <c r="A177" t="s">
        <v>237</v>
      </c>
      <c r="B177" s="58" t="s">
        <v>59</v>
      </c>
      <c r="C177">
        <v>1115</v>
      </c>
      <c r="D177" t="s">
        <v>49</v>
      </c>
      <c r="E177" s="33">
        <v>44344</v>
      </c>
      <c r="F177" s="59">
        <v>2135</v>
      </c>
      <c r="G177" s="59">
        <v>1503.85</v>
      </c>
      <c r="H177" s="59">
        <v>1503.8461538461538</v>
      </c>
      <c r="I177" s="60">
        <f t="shared" si="8"/>
        <v>1.348744394618834</v>
      </c>
      <c r="J177" s="60">
        <f t="shared" si="9"/>
        <v>-3.8461538460978772E-3</v>
      </c>
      <c r="K177" s="60">
        <f t="shared" si="10"/>
        <v>1.3487409451535011</v>
      </c>
      <c r="L177" s="60">
        <f t="shared" si="11"/>
        <v>-3.4494653329275593E-6</v>
      </c>
    </row>
    <row r="178" spans="1:12" x14ac:dyDescent="0.25">
      <c r="A178" t="s">
        <v>238</v>
      </c>
      <c r="B178" s="58" t="s">
        <v>153</v>
      </c>
      <c r="C178">
        <v>696</v>
      </c>
      <c r="D178" t="s">
        <v>49</v>
      </c>
      <c r="E178" s="33">
        <v>44344</v>
      </c>
      <c r="F178" s="59">
        <v>1480</v>
      </c>
      <c r="G178" s="59">
        <v>1189.81</v>
      </c>
      <c r="H178" s="59">
        <v>1189.8076923076924</v>
      </c>
      <c r="I178" s="60">
        <f t="shared" si="8"/>
        <v>1.7094971264367815</v>
      </c>
      <c r="J178" s="60">
        <f t="shared" si="9"/>
        <v>-2.3076923075677769E-3</v>
      </c>
      <c r="K178" s="60">
        <f t="shared" si="10"/>
        <v>1.7094938107869144</v>
      </c>
      <c r="L178" s="60">
        <f t="shared" si="11"/>
        <v>-3.3156498671083057E-6</v>
      </c>
    </row>
    <row r="179" spans="1:12" x14ac:dyDescent="0.25">
      <c r="A179" t="s">
        <v>239</v>
      </c>
      <c r="B179" s="58" t="s">
        <v>86</v>
      </c>
      <c r="C179">
        <v>810</v>
      </c>
      <c r="D179" t="s">
        <v>49</v>
      </c>
      <c r="E179" s="33">
        <v>44344</v>
      </c>
      <c r="F179" s="59">
        <v>1600</v>
      </c>
      <c r="G179" s="59">
        <v>1384.62</v>
      </c>
      <c r="H179" s="59">
        <v>1384.6153846153845</v>
      </c>
      <c r="I179" s="60">
        <f t="shared" si="8"/>
        <v>1.7094074074074073</v>
      </c>
      <c r="J179" s="60">
        <f t="shared" si="9"/>
        <v>-4.6153846153629274E-3</v>
      </c>
      <c r="K179" s="60">
        <f t="shared" si="10"/>
        <v>1.7094017094017093</v>
      </c>
      <c r="L179" s="60">
        <f t="shared" si="11"/>
        <v>-5.6980056979405447E-6</v>
      </c>
    </row>
    <row r="180" spans="1:12" x14ac:dyDescent="0.25">
      <c r="A180" t="s">
        <v>240</v>
      </c>
      <c r="B180" s="58" t="s">
        <v>145</v>
      </c>
      <c r="C180">
        <v>1146</v>
      </c>
      <c r="D180" t="s">
        <v>49</v>
      </c>
      <c r="E180" s="33">
        <v>44345</v>
      </c>
      <c r="F180" s="59">
        <v>2180</v>
      </c>
      <c r="G180" s="59">
        <v>1574.62</v>
      </c>
      <c r="H180" s="59">
        <v>1574.6153846153845</v>
      </c>
      <c r="I180" s="60">
        <f t="shared" si="8"/>
        <v>1.3740139616055846</v>
      </c>
      <c r="J180" s="60">
        <f t="shared" si="9"/>
        <v>-4.6153846153629274E-3</v>
      </c>
      <c r="K180" s="60">
        <f t="shared" si="10"/>
        <v>1.3740099342193581</v>
      </c>
      <c r="L180" s="60">
        <f t="shared" si="11"/>
        <v>-4.0273862265127747E-6</v>
      </c>
    </row>
    <row r="181" spans="1:12" x14ac:dyDescent="0.25">
      <c r="A181" t="s">
        <v>241</v>
      </c>
      <c r="B181" s="58" t="s">
        <v>59</v>
      </c>
      <c r="C181">
        <v>1115</v>
      </c>
      <c r="D181" t="s">
        <v>49</v>
      </c>
      <c r="E181" s="33">
        <v>44348</v>
      </c>
      <c r="F181" s="59">
        <v>2165</v>
      </c>
      <c r="G181" s="59">
        <v>1561.35</v>
      </c>
      <c r="H181" s="59">
        <v>1561.3461538461538</v>
      </c>
      <c r="I181" s="60">
        <f t="shared" si="8"/>
        <v>1.4003139013452914</v>
      </c>
      <c r="J181" s="60">
        <f t="shared" si="9"/>
        <v>-3.8461538460978772E-3</v>
      </c>
      <c r="K181" s="60">
        <f t="shared" si="10"/>
        <v>1.4003104518799585</v>
      </c>
      <c r="L181" s="60">
        <f t="shared" si="11"/>
        <v>-3.4494653329275593E-6</v>
      </c>
    </row>
    <row r="182" spans="1:12" x14ac:dyDescent="0.25">
      <c r="A182" t="s">
        <v>242</v>
      </c>
      <c r="B182" s="58" t="s">
        <v>137</v>
      </c>
      <c r="C182">
        <v>1700</v>
      </c>
      <c r="D182" t="s">
        <v>49</v>
      </c>
      <c r="E182" s="33">
        <v>44348</v>
      </c>
      <c r="F182" s="59">
        <v>2995</v>
      </c>
      <c r="G182" s="59">
        <v>2384.04</v>
      </c>
      <c r="H182" s="59">
        <v>2384.0384615384614</v>
      </c>
      <c r="I182" s="60">
        <f t="shared" si="8"/>
        <v>1.4023764705882353</v>
      </c>
      <c r="J182" s="60">
        <f t="shared" si="9"/>
        <v>-1.5384615385301004E-3</v>
      </c>
      <c r="K182" s="60">
        <f t="shared" si="10"/>
        <v>1.4023755656108596</v>
      </c>
      <c r="L182" s="60">
        <f t="shared" si="11"/>
        <v>-9.0497737570416348E-7</v>
      </c>
    </row>
    <row r="183" spans="1:12" x14ac:dyDescent="0.25">
      <c r="A183" t="s">
        <v>243</v>
      </c>
      <c r="B183" s="58" t="s">
        <v>86</v>
      </c>
      <c r="C183">
        <v>810</v>
      </c>
      <c r="D183" t="s">
        <v>49</v>
      </c>
      <c r="E183" s="33">
        <v>44348</v>
      </c>
      <c r="F183" s="59">
        <v>1580</v>
      </c>
      <c r="G183" s="59">
        <v>1242.8800000000001</v>
      </c>
      <c r="H183" s="59">
        <v>1242.8846153846155</v>
      </c>
      <c r="I183" s="60">
        <f t="shared" si="8"/>
        <v>1.5344197530864199</v>
      </c>
      <c r="J183" s="60">
        <f t="shared" si="9"/>
        <v>4.6153846153629274E-3</v>
      </c>
      <c r="K183" s="60">
        <f t="shared" si="10"/>
        <v>1.5344254510921178</v>
      </c>
      <c r="L183" s="60">
        <f t="shared" si="11"/>
        <v>5.6980056979405447E-6</v>
      </c>
    </row>
    <row r="184" spans="1:12" x14ac:dyDescent="0.25">
      <c r="A184" t="s">
        <v>244</v>
      </c>
      <c r="B184" s="58" t="s">
        <v>86</v>
      </c>
      <c r="C184">
        <v>810</v>
      </c>
      <c r="D184" t="s">
        <v>49</v>
      </c>
      <c r="E184" s="33">
        <v>44348</v>
      </c>
      <c r="F184" s="59">
        <v>1580</v>
      </c>
      <c r="G184" s="59">
        <v>1343.08</v>
      </c>
      <c r="H184" s="59">
        <v>1343.0769230769231</v>
      </c>
      <c r="I184" s="60">
        <f t="shared" si="8"/>
        <v>1.6581234567901233</v>
      </c>
      <c r="J184" s="60">
        <f t="shared" si="9"/>
        <v>-3.0769230768328271E-3</v>
      </c>
      <c r="K184" s="60">
        <f t="shared" si="10"/>
        <v>1.6581196581196582</v>
      </c>
      <c r="L184" s="60">
        <f t="shared" si="11"/>
        <v>-3.7986704650716518E-6</v>
      </c>
    </row>
    <row r="185" spans="1:12" x14ac:dyDescent="0.25">
      <c r="A185" t="s">
        <v>245</v>
      </c>
      <c r="B185" s="58" t="s">
        <v>65</v>
      </c>
      <c r="C185">
        <v>813</v>
      </c>
      <c r="D185" t="s">
        <v>49</v>
      </c>
      <c r="E185" s="33">
        <v>44348</v>
      </c>
      <c r="F185" s="59">
        <v>1580</v>
      </c>
      <c r="G185" s="59">
        <v>1229.6199999999999</v>
      </c>
      <c r="H185" s="59">
        <v>1229.6153846153845</v>
      </c>
      <c r="I185" s="60">
        <f t="shared" si="8"/>
        <v>1.5124477244772447</v>
      </c>
      <c r="J185" s="60">
        <f t="shared" si="9"/>
        <v>-4.6153846153629274E-3</v>
      </c>
      <c r="K185" s="60">
        <f t="shared" si="10"/>
        <v>1.5124420474973979</v>
      </c>
      <c r="L185" s="60">
        <f t="shared" si="11"/>
        <v>-5.6769798468803145E-6</v>
      </c>
    </row>
    <row r="186" spans="1:12" x14ac:dyDescent="0.25">
      <c r="A186" t="s">
        <v>246</v>
      </c>
      <c r="B186" s="58" t="s">
        <v>145</v>
      </c>
      <c r="C186">
        <v>1146</v>
      </c>
      <c r="D186" t="s">
        <v>49</v>
      </c>
      <c r="E186" s="33">
        <v>44348</v>
      </c>
      <c r="F186" s="59">
        <v>2150</v>
      </c>
      <c r="G186" s="59">
        <v>1684.62</v>
      </c>
      <c r="H186" s="59">
        <v>1684.6153846153845</v>
      </c>
      <c r="I186" s="60">
        <f t="shared" si="8"/>
        <v>1.47</v>
      </c>
      <c r="J186" s="60">
        <f t="shared" si="9"/>
        <v>-4.6153846153629274E-3</v>
      </c>
      <c r="K186" s="60">
        <f t="shared" si="10"/>
        <v>1.4699959726137737</v>
      </c>
      <c r="L186" s="60">
        <f t="shared" si="11"/>
        <v>-4.0273862262907301E-6</v>
      </c>
    </row>
    <row r="187" spans="1:12" x14ac:dyDescent="0.25">
      <c r="A187" t="s">
        <v>247</v>
      </c>
      <c r="B187" s="58" t="s">
        <v>57</v>
      </c>
      <c r="C187">
        <v>700</v>
      </c>
      <c r="D187" t="s">
        <v>49</v>
      </c>
      <c r="E187" s="33">
        <v>44348</v>
      </c>
      <c r="F187" s="59">
        <v>1515</v>
      </c>
      <c r="G187" s="59">
        <v>1269.23</v>
      </c>
      <c r="H187" s="59">
        <v>1269.2307692307693</v>
      </c>
      <c r="I187" s="60">
        <f t="shared" si="8"/>
        <v>1.8131857142857144</v>
      </c>
      <c r="J187" s="60">
        <f t="shared" si="9"/>
        <v>7.6923076926505018E-4</v>
      </c>
      <c r="K187" s="60">
        <f t="shared" si="10"/>
        <v>1.8131868131868132</v>
      </c>
      <c r="L187" s="60">
        <f t="shared" si="11"/>
        <v>1.0989010987838554E-6</v>
      </c>
    </row>
    <row r="188" spans="1:12" x14ac:dyDescent="0.25">
      <c r="A188" t="s">
        <v>248</v>
      </c>
      <c r="B188" s="58" t="s">
        <v>57</v>
      </c>
      <c r="C188">
        <v>700</v>
      </c>
      <c r="D188" t="s">
        <v>49</v>
      </c>
      <c r="E188" s="33">
        <v>44348</v>
      </c>
      <c r="F188" s="59">
        <v>1515</v>
      </c>
      <c r="G188" s="59">
        <v>1269.23</v>
      </c>
      <c r="H188" s="59">
        <v>1269.2307692307693</v>
      </c>
      <c r="I188" s="60">
        <f t="shared" si="8"/>
        <v>1.8131857142857144</v>
      </c>
      <c r="J188" s="60">
        <f t="shared" si="9"/>
        <v>7.6923076926505018E-4</v>
      </c>
      <c r="K188" s="60">
        <f t="shared" si="10"/>
        <v>1.8131868131868132</v>
      </c>
      <c r="L188" s="60">
        <f t="shared" si="11"/>
        <v>1.0989010987838554E-6</v>
      </c>
    </row>
    <row r="189" spans="1:12" x14ac:dyDescent="0.25">
      <c r="A189" t="s">
        <v>249</v>
      </c>
      <c r="B189" s="58" t="s">
        <v>59</v>
      </c>
      <c r="C189">
        <v>1115</v>
      </c>
      <c r="D189" t="s">
        <v>49</v>
      </c>
      <c r="E189" s="33">
        <v>44349</v>
      </c>
      <c r="F189" s="59">
        <v>2135</v>
      </c>
      <c r="G189" s="59">
        <v>1647.69</v>
      </c>
      <c r="H189" s="59">
        <v>1647.6923076923076</v>
      </c>
      <c r="I189" s="60">
        <f t="shared" si="8"/>
        <v>1.4777488789237669</v>
      </c>
      <c r="J189" s="60">
        <f t="shared" si="9"/>
        <v>2.3076923075677769E-3</v>
      </c>
      <c r="K189" s="60">
        <f t="shared" si="10"/>
        <v>1.4777509486029665</v>
      </c>
      <c r="L189" s="60">
        <f t="shared" si="11"/>
        <v>2.0696791995788999E-6</v>
      </c>
    </row>
    <row r="190" spans="1:12" x14ac:dyDescent="0.25">
      <c r="A190" t="s">
        <v>250</v>
      </c>
      <c r="B190" s="58" t="s">
        <v>65</v>
      </c>
      <c r="C190">
        <v>813</v>
      </c>
      <c r="D190" t="s">
        <v>49</v>
      </c>
      <c r="E190" s="33">
        <v>44349</v>
      </c>
      <c r="F190" s="59">
        <v>1580</v>
      </c>
      <c r="G190" s="59">
        <v>1421.54</v>
      </c>
      <c r="H190" s="59">
        <v>1421.5384615384614</v>
      </c>
      <c r="I190" s="60">
        <f t="shared" si="8"/>
        <v>1.7485116851168512</v>
      </c>
      <c r="J190" s="60">
        <f t="shared" si="9"/>
        <v>-1.5384615385301004E-3</v>
      </c>
      <c r="K190" s="60">
        <f t="shared" si="10"/>
        <v>1.7485097927902356</v>
      </c>
      <c r="L190" s="60">
        <f t="shared" si="11"/>
        <v>-1.8923266156267715E-6</v>
      </c>
    </row>
    <row r="191" spans="1:12" x14ac:dyDescent="0.25">
      <c r="A191" t="s">
        <v>251</v>
      </c>
      <c r="B191" s="58" t="s">
        <v>151</v>
      </c>
      <c r="C191">
        <v>1141</v>
      </c>
      <c r="D191" t="s">
        <v>49</v>
      </c>
      <c r="E191" s="33">
        <v>44350</v>
      </c>
      <c r="F191" s="59">
        <v>2150</v>
      </c>
      <c r="G191" s="59">
        <v>1835.58</v>
      </c>
      <c r="H191" s="59">
        <v>1835.5769230769231</v>
      </c>
      <c r="I191" s="60">
        <f t="shared" si="8"/>
        <v>1.6087467134092901</v>
      </c>
      <c r="J191" s="60">
        <f t="shared" si="9"/>
        <v>-3.0769230768328271E-3</v>
      </c>
      <c r="K191" s="60">
        <f t="shared" si="10"/>
        <v>1.6087440167194769</v>
      </c>
      <c r="L191" s="60">
        <f t="shared" si="11"/>
        <v>-2.6966898132307904E-6</v>
      </c>
    </row>
    <row r="192" spans="1:12" x14ac:dyDescent="0.25">
      <c r="A192" t="s">
        <v>252</v>
      </c>
      <c r="B192" s="58" t="s">
        <v>137</v>
      </c>
      <c r="C192">
        <v>1700</v>
      </c>
      <c r="D192" t="s">
        <v>49</v>
      </c>
      <c r="E192" s="33">
        <v>44350</v>
      </c>
      <c r="F192" s="59">
        <v>2995</v>
      </c>
      <c r="G192" s="59">
        <v>2584.62</v>
      </c>
      <c r="H192" s="59">
        <v>2584.6153846153848</v>
      </c>
      <c r="I192" s="60">
        <f t="shared" si="8"/>
        <v>1.5203647058823528</v>
      </c>
      <c r="J192" s="60">
        <f t="shared" si="9"/>
        <v>-4.6153846151355538E-3</v>
      </c>
      <c r="K192" s="60">
        <f t="shared" si="10"/>
        <v>1.5203619909502264</v>
      </c>
      <c r="L192" s="60">
        <f t="shared" si="11"/>
        <v>-2.7149321264463566E-6</v>
      </c>
    </row>
    <row r="193" spans="1:12" x14ac:dyDescent="0.25">
      <c r="A193" t="s">
        <v>253</v>
      </c>
      <c r="B193" s="58" t="s">
        <v>48</v>
      </c>
      <c r="C193">
        <v>806</v>
      </c>
      <c r="D193" t="s">
        <v>49</v>
      </c>
      <c r="E193" s="33">
        <v>44351</v>
      </c>
      <c r="F193" s="59">
        <v>1620</v>
      </c>
      <c r="G193" s="59">
        <v>1256.1500000000001</v>
      </c>
      <c r="H193" s="59">
        <v>1256.1538461538462</v>
      </c>
      <c r="I193" s="60">
        <f t="shared" si="8"/>
        <v>1.5584987593052111</v>
      </c>
      <c r="J193" s="60">
        <f t="shared" si="9"/>
        <v>3.8461538460978772E-3</v>
      </c>
      <c r="K193" s="60">
        <f t="shared" si="10"/>
        <v>1.5585035312082458</v>
      </c>
      <c r="L193" s="60">
        <f t="shared" si="11"/>
        <v>4.7719030347170843E-6</v>
      </c>
    </row>
    <row r="194" spans="1:12" x14ac:dyDescent="0.25">
      <c r="A194" t="s">
        <v>254</v>
      </c>
      <c r="B194" s="58" t="s">
        <v>153</v>
      </c>
      <c r="C194">
        <v>696</v>
      </c>
      <c r="D194" t="s">
        <v>49</v>
      </c>
      <c r="E194" s="33">
        <v>44351</v>
      </c>
      <c r="F194" s="59">
        <v>1450</v>
      </c>
      <c r="G194" s="59">
        <v>1260</v>
      </c>
      <c r="H194" s="59">
        <v>1260</v>
      </c>
      <c r="I194" s="60">
        <f t="shared" ref="I194:I257" si="12">G194/C194</f>
        <v>1.8103448275862069</v>
      </c>
      <c r="J194" s="60">
        <f t="shared" ref="J194:J257" si="13">SUM(H194-G194)</f>
        <v>0</v>
      </c>
      <c r="K194" s="60">
        <f t="shared" ref="K194:K257" si="14">H194/C194</f>
        <v>1.8103448275862069</v>
      </c>
      <c r="L194" s="60">
        <f t="shared" ref="L194:L257" si="15">K194-I194</f>
        <v>0</v>
      </c>
    </row>
    <row r="195" spans="1:12" x14ac:dyDescent="0.25">
      <c r="A195" t="s">
        <v>255</v>
      </c>
      <c r="B195" s="58" t="s">
        <v>57</v>
      </c>
      <c r="C195">
        <v>700</v>
      </c>
      <c r="D195" t="s">
        <v>49</v>
      </c>
      <c r="E195" s="33">
        <v>44351</v>
      </c>
      <c r="F195" s="59">
        <v>1515</v>
      </c>
      <c r="G195" s="59">
        <v>1269.23</v>
      </c>
      <c r="H195" s="59">
        <v>1269.2307692307693</v>
      </c>
      <c r="I195" s="60">
        <f t="shared" si="12"/>
        <v>1.8131857142857144</v>
      </c>
      <c r="J195" s="60">
        <f t="shared" si="13"/>
        <v>7.6923076926505018E-4</v>
      </c>
      <c r="K195" s="60">
        <f t="shared" si="14"/>
        <v>1.8131868131868132</v>
      </c>
      <c r="L195" s="60">
        <f t="shared" si="15"/>
        <v>1.0989010987838554E-6</v>
      </c>
    </row>
    <row r="196" spans="1:12" x14ac:dyDescent="0.25">
      <c r="A196" t="s">
        <v>256</v>
      </c>
      <c r="B196" s="58" t="s">
        <v>57</v>
      </c>
      <c r="C196">
        <v>700</v>
      </c>
      <c r="D196" t="s">
        <v>49</v>
      </c>
      <c r="E196" s="33">
        <v>44352</v>
      </c>
      <c r="F196" s="59">
        <v>1560</v>
      </c>
      <c r="G196" s="59">
        <v>1310.77</v>
      </c>
      <c r="H196" s="59">
        <v>1310.7692307692307</v>
      </c>
      <c r="I196" s="60">
        <f t="shared" si="12"/>
        <v>1.8725285714285713</v>
      </c>
      <c r="J196" s="60">
        <f t="shared" si="13"/>
        <v>-7.6923076926505018E-4</v>
      </c>
      <c r="K196" s="60">
        <f t="shared" si="14"/>
        <v>1.8725274725274725</v>
      </c>
      <c r="L196" s="60">
        <f t="shared" si="15"/>
        <v>-1.0989010987838554E-6</v>
      </c>
    </row>
    <row r="197" spans="1:12" x14ac:dyDescent="0.25">
      <c r="A197" t="s">
        <v>257</v>
      </c>
      <c r="B197" s="58" t="s">
        <v>86</v>
      </c>
      <c r="C197">
        <v>810</v>
      </c>
      <c r="D197" t="s">
        <v>49</v>
      </c>
      <c r="E197" s="33">
        <v>44354</v>
      </c>
      <c r="F197" s="59">
        <v>1555</v>
      </c>
      <c r="G197" s="59">
        <v>1220.77</v>
      </c>
      <c r="H197" s="59">
        <v>1220.7692307692307</v>
      </c>
      <c r="I197" s="60">
        <f t="shared" si="12"/>
        <v>1.5071234567901235</v>
      </c>
      <c r="J197" s="60">
        <f t="shared" si="13"/>
        <v>-7.6923076926505018E-4</v>
      </c>
      <c r="K197" s="60">
        <f t="shared" si="14"/>
        <v>1.5071225071225069</v>
      </c>
      <c r="L197" s="60">
        <f t="shared" si="15"/>
        <v>-9.4966761654546872E-7</v>
      </c>
    </row>
    <row r="198" spans="1:12" x14ac:dyDescent="0.25">
      <c r="A198" t="s">
        <v>258</v>
      </c>
      <c r="B198" s="58" t="s">
        <v>151</v>
      </c>
      <c r="C198">
        <v>1141</v>
      </c>
      <c r="D198" t="s">
        <v>49</v>
      </c>
      <c r="E198" s="33">
        <v>44354</v>
      </c>
      <c r="F198" s="59">
        <v>2150</v>
      </c>
      <c r="G198" s="59">
        <v>1791.35</v>
      </c>
      <c r="H198" s="59">
        <v>1791.3461538461538</v>
      </c>
      <c r="I198" s="60">
        <f t="shared" si="12"/>
        <v>1.5699824715162138</v>
      </c>
      <c r="J198" s="60">
        <f t="shared" si="13"/>
        <v>-3.8461538460978772E-3</v>
      </c>
      <c r="K198" s="60">
        <f t="shared" si="14"/>
        <v>1.5699791006539472</v>
      </c>
      <c r="L198" s="60">
        <f t="shared" si="15"/>
        <v>-3.3708622666495103E-6</v>
      </c>
    </row>
    <row r="199" spans="1:12" x14ac:dyDescent="0.25">
      <c r="A199" t="s">
        <v>259</v>
      </c>
      <c r="B199" s="58" t="s">
        <v>57</v>
      </c>
      <c r="C199">
        <v>700</v>
      </c>
      <c r="D199" t="s">
        <v>49</v>
      </c>
      <c r="E199" s="33">
        <v>44354</v>
      </c>
      <c r="F199" s="59">
        <v>1515</v>
      </c>
      <c r="G199" s="59">
        <v>1319</v>
      </c>
      <c r="H199" s="59">
        <v>1319</v>
      </c>
      <c r="I199" s="60">
        <f t="shared" si="12"/>
        <v>1.8842857142857143</v>
      </c>
      <c r="J199" s="60">
        <f t="shared" si="13"/>
        <v>0</v>
      </c>
      <c r="K199" s="60">
        <f t="shared" si="14"/>
        <v>1.8842857142857143</v>
      </c>
      <c r="L199" s="60">
        <f t="shared" si="15"/>
        <v>0</v>
      </c>
    </row>
    <row r="200" spans="1:12" x14ac:dyDescent="0.25">
      <c r="A200" t="s">
        <v>260</v>
      </c>
      <c r="B200" s="58" t="s">
        <v>86</v>
      </c>
      <c r="C200">
        <v>810</v>
      </c>
      <c r="D200" t="s">
        <v>49</v>
      </c>
      <c r="E200" s="33">
        <v>44355</v>
      </c>
      <c r="F200" s="59">
        <v>1580</v>
      </c>
      <c r="G200" s="59">
        <v>1296.92</v>
      </c>
      <c r="H200" s="59">
        <v>1296.9230769230769</v>
      </c>
      <c r="I200" s="60">
        <f t="shared" si="12"/>
        <v>1.6011358024691358</v>
      </c>
      <c r="J200" s="60">
        <f t="shared" si="13"/>
        <v>3.0769230768328271E-3</v>
      </c>
      <c r="K200" s="60">
        <f t="shared" si="14"/>
        <v>1.6011396011396011</v>
      </c>
      <c r="L200" s="60">
        <f t="shared" si="15"/>
        <v>3.7986704652936965E-6</v>
      </c>
    </row>
    <row r="201" spans="1:12" x14ac:dyDescent="0.25">
      <c r="A201" t="s">
        <v>261</v>
      </c>
      <c r="B201" s="58" t="s">
        <v>74</v>
      </c>
      <c r="C201">
        <v>1169</v>
      </c>
      <c r="D201" t="s">
        <v>49</v>
      </c>
      <c r="E201" s="33">
        <v>44355</v>
      </c>
      <c r="F201" s="59">
        <v>2220</v>
      </c>
      <c r="G201" s="59">
        <v>1795.38</v>
      </c>
      <c r="H201" s="59">
        <v>1795.3846153846155</v>
      </c>
      <c r="I201" s="60">
        <f t="shared" si="12"/>
        <v>1.5358254918733962</v>
      </c>
      <c r="J201" s="60">
        <f t="shared" si="13"/>
        <v>4.6153846153629274E-3</v>
      </c>
      <c r="K201" s="60">
        <f t="shared" si="14"/>
        <v>1.5358294400210568</v>
      </c>
      <c r="L201" s="60">
        <f t="shared" si="15"/>
        <v>3.9481476605818244E-6</v>
      </c>
    </row>
    <row r="202" spans="1:12" x14ac:dyDescent="0.25">
      <c r="A202" t="s">
        <v>262</v>
      </c>
      <c r="B202" s="58" t="s">
        <v>59</v>
      </c>
      <c r="C202">
        <v>1115</v>
      </c>
      <c r="D202" t="s">
        <v>49</v>
      </c>
      <c r="E202" s="33">
        <v>44356</v>
      </c>
      <c r="F202" s="59">
        <v>2165</v>
      </c>
      <c r="G202" s="59">
        <v>1744.62</v>
      </c>
      <c r="H202" s="59">
        <v>1744.6153846153845</v>
      </c>
      <c r="I202" s="60">
        <f t="shared" si="12"/>
        <v>1.5646816143497757</v>
      </c>
      <c r="J202" s="60">
        <f t="shared" si="13"/>
        <v>-4.6153846153629274E-3</v>
      </c>
      <c r="K202" s="60">
        <f t="shared" si="14"/>
        <v>1.5646774749913763</v>
      </c>
      <c r="L202" s="60">
        <f t="shared" si="15"/>
        <v>-4.1393583993798444E-6</v>
      </c>
    </row>
    <row r="203" spans="1:12" x14ac:dyDescent="0.25">
      <c r="A203" t="s">
        <v>263</v>
      </c>
      <c r="B203" s="58" t="s">
        <v>48</v>
      </c>
      <c r="C203">
        <v>806</v>
      </c>
      <c r="D203" t="s">
        <v>49</v>
      </c>
      <c r="E203" s="33">
        <v>44356</v>
      </c>
      <c r="F203" s="59">
        <v>1620</v>
      </c>
      <c r="G203" s="59">
        <v>1403.08</v>
      </c>
      <c r="H203" s="59">
        <v>1403.0769230769231</v>
      </c>
      <c r="I203" s="60">
        <f t="shared" si="12"/>
        <v>1.7407940446650123</v>
      </c>
      <c r="J203" s="60">
        <f t="shared" si="13"/>
        <v>-3.0769230768328271E-3</v>
      </c>
      <c r="K203" s="60">
        <f t="shared" si="14"/>
        <v>1.7407902271425846</v>
      </c>
      <c r="L203" s="60">
        <f t="shared" si="15"/>
        <v>-3.8175224277292585E-6</v>
      </c>
    </row>
    <row r="204" spans="1:12" x14ac:dyDescent="0.25">
      <c r="A204" t="s">
        <v>264</v>
      </c>
      <c r="B204" s="58" t="s">
        <v>57</v>
      </c>
      <c r="C204">
        <v>700</v>
      </c>
      <c r="D204" t="s">
        <v>49</v>
      </c>
      <c r="E204" s="33">
        <v>44356</v>
      </c>
      <c r="F204" s="59">
        <v>1515</v>
      </c>
      <c r="G204" s="59">
        <v>1269.23</v>
      </c>
      <c r="H204" s="59">
        <v>1269.2307692307693</v>
      </c>
      <c r="I204" s="60">
        <f t="shared" si="12"/>
        <v>1.8131857142857144</v>
      </c>
      <c r="J204" s="60">
        <f t="shared" si="13"/>
        <v>7.6923076926505018E-4</v>
      </c>
      <c r="K204" s="60">
        <f t="shared" si="14"/>
        <v>1.8131868131868132</v>
      </c>
      <c r="L204" s="60">
        <f t="shared" si="15"/>
        <v>1.0989010987838554E-6</v>
      </c>
    </row>
    <row r="205" spans="1:12" x14ac:dyDescent="0.25">
      <c r="A205" t="s">
        <v>265</v>
      </c>
      <c r="B205" s="58" t="s">
        <v>59</v>
      </c>
      <c r="C205">
        <v>1115</v>
      </c>
      <c r="D205" t="s">
        <v>49</v>
      </c>
      <c r="E205" s="33">
        <v>44357</v>
      </c>
      <c r="F205" s="59">
        <v>2165</v>
      </c>
      <c r="G205" s="59">
        <v>1530.38</v>
      </c>
      <c r="H205" s="59">
        <v>1530.3846153846155</v>
      </c>
      <c r="I205" s="60">
        <f t="shared" si="12"/>
        <v>1.3725381165919284</v>
      </c>
      <c r="J205" s="60">
        <f t="shared" si="13"/>
        <v>4.6153846153629274E-3</v>
      </c>
      <c r="K205" s="60">
        <f t="shared" si="14"/>
        <v>1.3725422559503277</v>
      </c>
      <c r="L205" s="60">
        <f t="shared" si="15"/>
        <v>4.1393583993798444E-6</v>
      </c>
    </row>
    <row r="206" spans="1:12" x14ac:dyDescent="0.25">
      <c r="A206" t="s">
        <v>266</v>
      </c>
      <c r="B206" s="58" t="s">
        <v>59</v>
      </c>
      <c r="C206">
        <v>1115</v>
      </c>
      <c r="D206" t="s">
        <v>49</v>
      </c>
      <c r="E206" s="33">
        <v>44357</v>
      </c>
      <c r="F206" s="59">
        <v>2165</v>
      </c>
      <c r="G206" s="59">
        <v>1561.35</v>
      </c>
      <c r="H206" s="59">
        <v>1561.3461538461538</v>
      </c>
      <c r="I206" s="60">
        <f t="shared" si="12"/>
        <v>1.4003139013452914</v>
      </c>
      <c r="J206" s="60">
        <f t="shared" si="13"/>
        <v>-3.8461538460978772E-3</v>
      </c>
      <c r="K206" s="60">
        <f t="shared" si="14"/>
        <v>1.4003104518799585</v>
      </c>
      <c r="L206" s="60">
        <f t="shared" si="15"/>
        <v>-3.4494653329275593E-6</v>
      </c>
    </row>
    <row r="207" spans="1:12" x14ac:dyDescent="0.25">
      <c r="A207" t="s">
        <v>267</v>
      </c>
      <c r="B207" s="58" t="s">
        <v>59</v>
      </c>
      <c r="C207">
        <v>1115</v>
      </c>
      <c r="D207" t="s">
        <v>49</v>
      </c>
      <c r="E207" s="33">
        <v>44357</v>
      </c>
      <c r="F207" s="59">
        <v>2135</v>
      </c>
      <c r="G207" s="59">
        <v>1534.81</v>
      </c>
      <c r="H207" s="59">
        <v>1534.8076923076924</v>
      </c>
      <c r="I207" s="60">
        <f t="shared" si="12"/>
        <v>1.3765112107623318</v>
      </c>
      <c r="J207" s="60">
        <f t="shared" si="13"/>
        <v>-2.3076923075677769E-3</v>
      </c>
      <c r="K207" s="60">
        <f t="shared" si="14"/>
        <v>1.3765091410831323</v>
      </c>
      <c r="L207" s="60">
        <f t="shared" si="15"/>
        <v>-2.0696791995788999E-6</v>
      </c>
    </row>
    <row r="208" spans="1:12" x14ac:dyDescent="0.25">
      <c r="A208" t="s">
        <v>268</v>
      </c>
      <c r="B208" s="58" t="s">
        <v>82</v>
      </c>
      <c r="C208">
        <v>1112</v>
      </c>
      <c r="D208" t="s">
        <v>49</v>
      </c>
      <c r="E208" s="33">
        <v>44357</v>
      </c>
      <c r="F208" s="59">
        <v>2125</v>
      </c>
      <c r="G208" s="59">
        <v>1684.62</v>
      </c>
      <c r="H208" s="59">
        <v>1684.6153846153845</v>
      </c>
      <c r="I208" s="60">
        <f t="shared" si="12"/>
        <v>1.5149460431654675</v>
      </c>
      <c r="J208" s="60">
        <f t="shared" si="13"/>
        <v>-4.6153846153629274E-3</v>
      </c>
      <c r="K208" s="60">
        <f t="shared" si="14"/>
        <v>1.5149418926397342</v>
      </c>
      <c r="L208" s="60">
        <f t="shared" si="15"/>
        <v>-4.1505257333263046E-6</v>
      </c>
    </row>
    <row r="209" spans="1:12" x14ac:dyDescent="0.25">
      <c r="A209" t="s">
        <v>269</v>
      </c>
      <c r="B209" s="58" t="s">
        <v>59</v>
      </c>
      <c r="C209">
        <v>1115</v>
      </c>
      <c r="D209" t="s">
        <v>49</v>
      </c>
      <c r="E209" s="33">
        <v>44357</v>
      </c>
      <c r="F209" s="59">
        <v>2165</v>
      </c>
      <c r="G209" s="59">
        <v>1744.62</v>
      </c>
      <c r="H209" s="59">
        <v>1744.6153846153845</v>
      </c>
      <c r="I209" s="60">
        <f t="shared" si="12"/>
        <v>1.5646816143497757</v>
      </c>
      <c r="J209" s="60">
        <f t="shared" si="13"/>
        <v>-4.6153846153629274E-3</v>
      </c>
      <c r="K209" s="60">
        <f t="shared" si="14"/>
        <v>1.5646774749913763</v>
      </c>
      <c r="L209" s="60">
        <f t="shared" si="15"/>
        <v>-4.1393583993798444E-6</v>
      </c>
    </row>
    <row r="210" spans="1:12" x14ac:dyDescent="0.25">
      <c r="A210" t="s">
        <v>270</v>
      </c>
      <c r="B210" s="58" t="s">
        <v>48</v>
      </c>
      <c r="C210">
        <v>806</v>
      </c>
      <c r="D210" t="s">
        <v>49</v>
      </c>
      <c r="E210" s="33">
        <v>44357</v>
      </c>
      <c r="F210" s="59">
        <v>1620</v>
      </c>
      <c r="G210" s="59">
        <v>1620</v>
      </c>
      <c r="H210" s="59">
        <v>1620</v>
      </c>
      <c r="I210" s="60">
        <f t="shared" si="12"/>
        <v>2.0099255583126552</v>
      </c>
      <c r="J210" s="60">
        <f t="shared" si="13"/>
        <v>0</v>
      </c>
      <c r="K210" s="60">
        <f t="shared" si="14"/>
        <v>2.0099255583126552</v>
      </c>
      <c r="L210" s="60">
        <f t="shared" si="15"/>
        <v>0</v>
      </c>
    </row>
    <row r="211" spans="1:12" x14ac:dyDescent="0.25">
      <c r="A211" t="s">
        <v>271</v>
      </c>
      <c r="B211" s="58" t="s">
        <v>51</v>
      </c>
      <c r="C211">
        <v>848</v>
      </c>
      <c r="D211" t="s">
        <v>49</v>
      </c>
      <c r="E211" s="33">
        <v>44358</v>
      </c>
      <c r="F211" s="59">
        <v>1765</v>
      </c>
      <c r="G211" s="59">
        <v>1375.77</v>
      </c>
      <c r="H211" s="59">
        <v>1375.7692307692307</v>
      </c>
      <c r="I211" s="60">
        <f t="shared" si="12"/>
        <v>1.622370283018868</v>
      </c>
      <c r="J211" s="60">
        <f t="shared" si="13"/>
        <v>-7.6923076926505018E-4</v>
      </c>
      <c r="K211" s="60">
        <f t="shared" si="14"/>
        <v>1.6223693759071116</v>
      </c>
      <c r="L211" s="60">
        <f t="shared" si="15"/>
        <v>-9.0711175637636643E-7</v>
      </c>
    </row>
    <row r="212" spans="1:12" x14ac:dyDescent="0.25">
      <c r="A212" t="s">
        <v>272</v>
      </c>
      <c r="B212" s="58" t="s">
        <v>145</v>
      </c>
      <c r="C212">
        <v>1146</v>
      </c>
      <c r="D212" t="s">
        <v>49</v>
      </c>
      <c r="E212" s="33">
        <v>44358</v>
      </c>
      <c r="F212" s="59">
        <v>2180</v>
      </c>
      <c r="G212" s="59">
        <v>1689.23</v>
      </c>
      <c r="H212" s="59">
        <v>1689.2307692307693</v>
      </c>
      <c r="I212" s="60">
        <f t="shared" si="12"/>
        <v>1.474022687609075</v>
      </c>
      <c r="J212" s="60">
        <f t="shared" si="13"/>
        <v>7.6923076926505018E-4</v>
      </c>
      <c r="K212" s="60">
        <f t="shared" si="14"/>
        <v>1.4740233588401128</v>
      </c>
      <c r="L212" s="60">
        <f t="shared" si="15"/>
        <v>6.7123103786315141E-7</v>
      </c>
    </row>
    <row r="213" spans="1:12" x14ac:dyDescent="0.25">
      <c r="A213" t="s">
        <v>273</v>
      </c>
      <c r="B213" s="58" t="s">
        <v>57</v>
      </c>
      <c r="C213">
        <v>700</v>
      </c>
      <c r="D213" t="s">
        <v>49</v>
      </c>
      <c r="E213" s="33">
        <v>44358</v>
      </c>
      <c r="F213" s="59">
        <v>1515</v>
      </c>
      <c r="G213" s="59">
        <v>1338.46</v>
      </c>
      <c r="H213" s="59">
        <v>1338.4615384615386</v>
      </c>
      <c r="I213" s="60">
        <f t="shared" si="12"/>
        <v>1.9120857142857144</v>
      </c>
      <c r="J213" s="60">
        <f t="shared" si="13"/>
        <v>1.5384615385301004E-3</v>
      </c>
      <c r="K213" s="60">
        <f t="shared" si="14"/>
        <v>1.9120879120879122</v>
      </c>
      <c r="L213" s="60">
        <f t="shared" si="15"/>
        <v>2.1978021977897555E-6</v>
      </c>
    </row>
    <row r="214" spans="1:12" x14ac:dyDescent="0.25">
      <c r="A214" t="s">
        <v>274</v>
      </c>
      <c r="B214" s="58" t="s">
        <v>86</v>
      </c>
      <c r="C214">
        <v>810</v>
      </c>
      <c r="D214" t="s">
        <v>49</v>
      </c>
      <c r="E214" s="33">
        <v>44361</v>
      </c>
      <c r="F214" s="59">
        <v>1555</v>
      </c>
      <c r="G214" s="59">
        <v>1366.15</v>
      </c>
      <c r="H214" s="59">
        <v>1366.1538461538462</v>
      </c>
      <c r="I214" s="60">
        <f t="shared" si="12"/>
        <v>1.6866049382716051</v>
      </c>
      <c r="J214" s="60">
        <f t="shared" si="13"/>
        <v>3.8461538460978772E-3</v>
      </c>
      <c r="K214" s="60">
        <f t="shared" si="14"/>
        <v>1.6866096866096867</v>
      </c>
      <c r="L214" s="60">
        <f t="shared" si="15"/>
        <v>4.7483380816171206E-6</v>
      </c>
    </row>
    <row r="215" spans="1:12" x14ac:dyDescent="0.25">
      <c r="A215" t="s">
        <v>275</v>
      </c>
      <c r="B215" s="58" t="s">
        <v>57</v>
      </c>
      <c r="C215">
        <v>700</v>
      </c>
      <c r="D215" t="s">
        <v>49</v>
      </c>
      <c r="E215" s="33">
        <v>44361</v>
      </c>
      <c r="F215" s="59">
        <v>1515</v>
      </c>
      <c r="G215" s="59">
        <v>1285.78</v>
      </c>
      <c r="H215" s="59">
        <v>1285.7838461538461</v>
      </c>
      <c r="I215" s="60">
        <f t="shared" si="12"/>
        <v>1.8368285714285715</v>
      </c>
      <c r="J215" s="60">
        <f t="shared" si="13"/>
        <v>3.8461538460978772E-3</v>
      </c>
      <c r="K215" s="60">
        <f t="shared" si="14"/>
        <v>1.8368340659340658</v>
      </c>
      <c r="L215" s="60">
        <f t="shared" si="15"/>
        <v>5.4945054943633664E-6</v>
      </c>
    </row>
    <row r="216" spans="1:12" x14ac:dyDescent="0.25">
      <c r="A216" t="s">
        <v>276</v>
      </c>
      <c r="B216" s="58" t="s">
        <v>151</v>
      </c>
      <c r="C216">
        <v>1141</v>
      </c>
      <c r="D216" t="s">
        <v>49</v>
      </c>
      <c r="E216" s="33">
        <v>44362</v>
      </c>
      <c r="F216" s="59">
        <v>2150</v>
      </c>
      <c r="G216" s="59">
        <v>1636.54</v>
      </c>
      <c r="H216" s="59">
        <v>1636.5384615384614</v>
      </c>
      <c r="I216" s="60">
        <f t="shared" si="12"/>
        <v>1.4343032427695004</v>
      </c>
      <c r="J216" s="60">
        <f t="shared" si="13"/>
        <v>-1.5384615385301004E-3</v>
      </c>
      <c r="K216" s="60">
        <f t="shared" si="14"/>
        <v>1.4343018944245938</v>
      </c>
      <c r="L216" s="60">
        <f t="shared" si="15"/>
        <v>-1.3483449066153952E-6</v>
      </c>
    </row>
    <row r="217" spans="1:12" x14ac:dyDescent="0.25">
      <c r="A217" t="s">
        <v>277</v>
      </c>
      <c r="B217" s="58" t="s">
        <v>145</v>
      </c>
      <c r="C217">
        <v>1146</v>
      </c>
      <c r="D217" t="s">
        <v>49</v>
      </c>
      <c r="E217" s="33">
        <v>44362</v>
      </c>
      <c r="F217" s="59">
        <v>2180</v>
      </c>
      <c r="G217" s="59">
        <v>1712.31</v>
      </c>
      <c r="H217" s="59">
        <v>1712.3076923076924</v>
      </c>
      <c r="I217" s="60">
        <f t="shared" si="12"/>
        <v>1.4941623036649214</v>
      </c>
      <c r="J217" s="60">
        <f t="shared" si="13"/>
        <v>-2.3076923075677769E-3</v>
      </c>
      <c r="K217" s="60">
        <f t="shared" si="14"/>
        <v>1.4941602899718083</v>
      </c>
      <c r="L217" s="60">
        <f t="shared" si="15"/>
        <v>-2.013693113145365E-6</v>
      </c>
    </row>
    <row r="218" spans="1:12" x14ac:dyDescent="0.25">
      <c r="A218" t="s">
        <v>278</v>
      </c>
      <c r="B218" s="58" t="s">
        <v>86</v>
      </c>
      <c r="C218">
        <v>810</v>
      </c>
      <c r="D218" t="s">
        <v>49</v>
      </c>
      <c r="E218" s="33">
        <v>44362</v>
      </c>
      <c r="F218" s="59">
        <v>1580</v>
      </c>
      <c r="G218" s="59">
        <v>1234.23</v>
      </c>
      <c r="H218" s="59">
        <v>1234.2307692307693</v>
      </c>
      <c r="I218" s="60">
        <f t="shared" si="12"/>
        <v>1.5237407407407408</v>
      </c>
      <c r="J218" s="60">
        <f t="shared" si="13"/>
        <v>7.6923076926505018E-4</v>
      </c>
      <c r="K218" s="60">
        <f t="shared" si="14"/>
        <v>1.5237416904083572</v>
      </c>
      <c r="L218" s="60">
        <f t="shared" si="15"/>
        <v>9.4966761632342411E-7</v>
      </c>
    </row>
    <row r="219" spans="1:12" x14ac:dyDescent="0.25">
      <c r="A219" t="s">
        <v>279</v>
      </c>
      <c r="B219" s="58" t="s">
        <v>57</v>
      </c>
      <c r="C219">
        <v>700</v>
      </c>
      <c r="D219" t="s">
        <v>49</v>
      </c>
      <c r="E219" s="33">
        <v>44362</v>
      </c>
      <c r="F219" s="59">
        <v>1515</v>
      </c>
      <c r="G219" s="59">
        <v>1269.23</v>
      </c>
      <c r="H219" s="59">
        <v>1269.2307692307693</v>
      </c>
      <c r="I219" s="60">
        <f t="shared" si="12"/>
        <v>1.8131857142857144</v>
      </c>
      <c r="J219" s="60">
        <f t="shared" si="13"/>
        <v>7.6923076926505018E-4</v>
      </c>
      <c r="K219" s="60">
        <f t="shared" si="14"/>
        <v>1.8131868131868132</v>
      </c>
      <c r="L219" s="60">
        <f t="shared" si="15"/>
        <v>1.0989010987838554E-6</v>
      </c>
    </row>
    <row r="220" spans="1:12" x14ac:dyDescent="0.25">
      <c r="A220" t="s">
        <v>280</v>
      </c>
      <c r="B220" s="58" t="s">
        <v>74</v>
      </c>
      <c r="C220">
        <v>1169</v>
      </c>
      <c r="D220" t="s">
        <v>49</v>
      </c>
      <c r="E220" s="33">
        <v>44362</v>
      </c>
      <c r="F220" s="59">
        <v>2220</v>
      </c>
      <c r="G220" s="59">
        <v>1795.38</v>
      </c>
      <c r="H220" s="59">
        <v>1795.3846153846155</v>
      </c>
      <c r="I220" s="60">
        <f t="shared" si="12"/>
        <v>1.5358254918733962</v>
      </c>
      <c r="J220" s="60">
        <f t="shared" si="13"/>
        <v>4.6153846153629274E-3</v>
      </c>
      <c r="K220" s="60">
        <f t="shared" si="14"/>
        <v>1.5358294400210568</v>
      </c>
      <c r="L220" s="60">
        <f t="shared" si="15"/>
        <v>3.9481476605818244E-6</v>
      </c>
    </row>
    <row r="221" spans="1:12" x14ac:dyDescent="0.25">
      <c r="A221" t="s">
        <v>281</v>
      </c>
      <c r="B221" s="58" t="s">
        <v>57</v>
      </c>
      <c r="C221">
        <v>700</v>
      </c>
      <c r="D221" t="s">
        <v>49</v>
      </c>
      <c r="E221" s="33">
        <v>44363</v>
      </c>
      <c r="F221" s="59">
        <v>1515</v>
      </c>
      <c r="G221" s="59">
        <v>1269.23</v>
      </c>
      <c r="H221" s="59">
        <v>1269.2307692307693</v>
      </c>
      <c r="I221" s="60">
        <f t="shared" si="12"/>
        <v>1.8131857142857144</v>
      </c>
      <c r="J221" s="60">
        <f t="shared" si="13"/>
        <v>7.6923076926505018E-4</v>
      </c>
      <c r="K221" s="60">
        <f t="shared" si="14"/>
        <v>1.8131868131868132</v>
      </c>
      <c r="L221" s="60">
        <f t="shared" si="15"/>
        <v>1.0989010987838554E-6</v>
      </c>
    </row>
    <row r="222" spans="1:12" x14ac:dyDescent="0.25">
      <c r="A222" t="s">
        <v>282</v>
      </c>
      <c r="B222" s="58" t="s">
        <v>57</v>
      </c>
      <c r="C222">
        <v>700</v>
      </c>
      <c r="D222" t="s">
        <v>49</v>
      </c>
      <c r="E222" s="33">
        <v>44365</v>
      </c>
      <c r="F222" s="59">
        <v>1515</v>
      </c>
      <c r="G222" s="59">
        <v>1292.31</v>
      </c>
      <c r="H222" s="59">
        <v>1292.3076923076924</v>
      </c>
      <c r="I222" s="60">
        <f t="shared" si="12"/>
        <v>1.8461571428571428</v>
      </c>
      <c r="J222" s="60">
        <f t="shared" si="13"/>
        <v>-2.3076923075677769E-3</v>
      </c>
      <c r="K222" s="60">
        <f t="shared" si="14"/>
        <v>1.8461538461538463</v>
      </c>
      <c r="L222" s="60">
        <f t="shared" si="15"/>
        <v>-3.2967032965736109E-6</v>
      </c>
    </row>
    <row r="223" spans="1:12" x14ac:dyDescent="0.25">
      <c r="A223" t="s">
        <v>283</v>
      </c>
      <c r="B223" s="58" t="s">
        <v>57</v>
      </c>
      <c r="C223">
        <v>700</v>
      </c>
      <c r="D223" t="s">
        <v>49</v>
      </c>
      <c r="E223" s="33">
        <v>44365</v>
      </c>
      <c r="F223" s="59">
        <v>1515</v>
      </c>
      <c r="G223" s="59">
        <v>1269.23</v>
      </c>
      <c r="H223" s="59">
        <v>1269.2307692307693</v>
      </c>
      <c r="I223" s="60">
        <f t="shared" si="12"/>
        <v>1.8131857142857144</v>
      </c>
      <c r="J223" s="60">
        <f t="shared" si="13"/>
        <v>7.6923076926505018E-4</v>
      </c>
      <c r="K223" s="60">
        <f t="shared" si="14"/>
        <v>1.8131868131868132</v>
      </c>
      <c r="L223" s="60">
        <f t="shared" si="15"/>
        <v>1.0989010987838554E-6</v>
      </c>
    </row>
    <row r="224" spans="1:12" x14ac:dyDescent="0.25">
      <c r="A224" t="s">
        <v>284</v>
      </c>
      <c r="B224" s="58" t="s">
        <v>57</v>
      </c>
      <c r="C224">
        <v>700</v>
      </c>
      <c r="D224" t="s">
        <v>49</v>
      </c>
      <c r="E224" s="33">
        <v>44365</v>
      </c>
      <c r="F224" s="59">
        <v>1515</v>
      </c>
      <c r="G224" s="59">
        <v>1338.46</v>
      </c>
      <c r="H224" s="59">
        <v>1338.4615384615386</v>
      </c>
      <c r="I224" s="60">
        <f t="shared" si="12"/>
        <v>1.9120857142857144</v>
      </c>
      <c r="J224" s="60">
        <f t="shared" si="13"/>
        <v>1.5384615385301004E-3</v>
      </c>
      <c r="K224" s="60">
        <f t="shared" si="14"/>
        <v>1.9120879120879122</v>
      </c>
      <c r="L224" s="60">
        <f t="shared" si="15"/>
        <v>2.1978021977897555E-6</v>
      </c>
    </row>
    <row r="225" spans="1:12" x14ac:dyDescent="0.25">
      <c r="A225" t="s">
        <v>285</v>
      </c>
      <c r="B225" s="58" t="s">
        <v>65</v>
      </c>
      <c r="C225">
        <v>813</v>
      </c>
      <c r="D225" t="s">
        <v>49</v>
      </c>
      <c r="E225" s="33">
        <v>44368</v>
      </c>
      <c r="F225" s="59">
        <v>1580</v>
      </c>
      <c r="G225" s="59">
        <v>1398.46</v>
      </c>
      <c r="H225" s="59">
        <v>1398.4615384615386</v>
      </c>
      <c r="I225" s="60">
        <f t="shared" si="12"/>
        <v>1.7201230012300124</v>
      </c>
      <c r="J225" s="60">
        <f t="shared" si="13"/>
        <v>1.5384615385301004E-3</v>
      </c>
      <c r="K225" s="60">
        <f t="shared" si="14"/>
        <v>1.720124893556628</v>
      </c>
      <c r="L225" s="60">
        <f t="shared" si="15"/>
        <v>1.8923266156267715E-6</v>
      </c>
    </row>
    <row r="226" spans="1:12" x14ac:dyDescent="0.25">
      <c r="A226" t="s">
        <v>286</v>
      </c>
      <c r="B226" s="58" t="s">
        <v>86</v>
      </c>
      <c r="C226">
        <v>810</v>
      </c>
      <c r="D226" t="s">
        <v>49</v>
      </c>
      <c r="E226" s="33">
        <v>44368</v>
      </c>
      <c r="F226" s="59">
        <v>1580</v>
      </c>
      <c r="G226" s="59">
        <v>1448.33</v>
      </c>
      <c r="H226" s="59">
        <v>1448.3333333333333</v>
      </c>
      <c r="I226" s="60">
        <f t="shared" si="12"/>
        <v>1.7880617283950617</v>
      </c>
      <c r="J226" s="60">
        <f t="shared" si="13"/>
        <v>3.3333333333303017E-3</v>
      </c>
      <c r="K226" s="60">
        <f t="shared" si="14"/>
        <v>1.788065843621399</v>
      </c>
      <c r="L226" s="60">
        <f t="shared" si="15"/>
        <v>4.1152263372534748E-6</v>
      </c>
    </row>
    <row r="227" spans="1:12" x14ac:dyDescent="0.25">
      <c r="A227" t="s">
        <v>287</v>
      </c>
      <c r="B227" s="58" t="s">
        <v>59</v>
      </c>
      <c r="C227">
        <v>1115</v>
      </c>
      <c r="D227" t="s">
        <v>49</v>
      </c>
      <c r="E227" s="33">
        <v>44371</v>
      </c>
      <c r="F227" s="59">
        <v>2135</v>
      </c>
      <c r="G227" s="59">
        <v>1693.85</v>
      </c>
      <c r="H227" s="59">
        <v>1693.8461538461538</v>
      </c>
      <c r="I227" s="60">
        <f t="shared" si="12"/>
        <v>1.5191479820627802</v>
      </c>
      <c r="J227" s="60">
        <f t="shared" si="13"/>
        <v>-3.8461538460978772E-3</v>
      </c>
      <c r="K227" s="60">
        <f t="shared" si="14"/>
        <v>1.5191445325974473</v>
      </c>
      <c r="L227" s="60">
        <f t="shared" si="15"/>
        <v>-3.4494653329275593E-6</v>
      </c>
    </row>
    <row r="228" spans="1:12" x14ac:dyDescent="0.25">
      <c r="A228" t="s">
        <v>288</v>
      </c>
      <c r="B228" s="58" t="s">
        <v>59</v>
      </c>
      <c r="C228">
        <v>1115</v>
      </c>
      <c r="D228" t="s">
        <v>49</v>
      </c>
      <c r="E228" s="33">
        <v>44371</v>
      </c>
      <c r="F228" s="59">
        <v>2165</v>
      </c>
      <c r="G228" s="59">
        <v>1790.96</v>
      </c>
      <c r="H228" s="59">
        <v>1790.9553846153847</v>
      </c>
      <c r="I228" s="60">
        <f t="shared" si="12"/>
        <v>1.6062421524663677</v>
      </c>
      <c r="J228" s="60">
        <f t="shared" si="13"/>
        <v>-4.6153846153629274E-3</v>
      </c>
      <c r="K228" s="60">
        <f t="shared" si="14"/>
        <v>1.6062380131079683</v>
      </c>
      <c r="L228" s="60">
        <f t="shared" si="15"/>
        <v>-4.1393583993798444E-6</v>
      </c>
    </row>
    <row r="229" spans="1:12" x14ac:dyDescent="0.25">
      <c r="A229" t="s">
        <v>289</v>
      </c>
      <c r="B229" s="58" t="s">
        <v>57</v>
      </c>
      <c r="C229">
        <v>700</v>
      </c>
      <c r="D229" t="s">
        <v>49</v>
      </c>
      <c r="E229" s="33">
        <v>44372</v>
      </c>
      <c r="F229" s="59">
        <v>1515</v>
      </c>
      <c r="G229" s="59">
        <v>1172.1199999999999</v>
      </c>
      <c r="H229" s="59">
        <v>1172.1153846153845</v>
      </c>
      <c r="I229" s="60">
        <f t="shared" si="12"/>
        <v>1.6744571428571426</v>
      </c>
      <c r="J229" s="60">
        <f t="shared" si="13"/>
        <v>-4.6153846153629274E-3</v>
      </c>
      <c r="K229" s="60">
        <f t="shared" si="14"/>
        <v>1.6744505494505493</v>
      </c>
      <c r="L229" s="60">
        <f t="shared" si="15"/>
        <v>-6.5934065933692665E-6</v>
      </c>
    </row>
    <row r="230" spans="1:12" x14ac:dyDescent="0.25">
      <c r="A230" t="s">
        <v>290</v>
      </c>
      <c r="B230" s="58" t="s">
        <v>65</v>
      </c>
      <c r="C230">
        <v>813</v>
      </c>
      <c r="D230" t="s">
        <v>49</v>
      </c>
      <c r="E230" s="33">
        <v>44372</v>
      </c>
      <c r="F230" s="59">
        <v>1580</v>
      </c>
      <c r="G230" s="59">
        <v>1503.46</v>
      </c>
      <c r="H230" s="59">
        <v>1503.4615384615386</v>
      </c>
      <c r="I230" s="60">
        <f t="shared" si="12"/>
        <v>1.8492742927429275</v>
      </c>
      <c r="J230" s="60">
        <f t="shared" si="13"/>
        <v>1.5384615385301004E-3</v>
      </c>
      <c r="K230" s="60">
        <f t="shared" si="14"/>
        <v>1.8492761850695432</v>
      </c>
      <c r="L230" s="60">
        <f t="shared" si="15"/>
        <v>1.8923266156267715E-6</v>
      </c>
    </row>
    <row r="231" spans="1:12" x14ac:dyDescent="0.25">
      <c r="A231" t="s">
        <v>291</v>
      </c>
      <c r="B231" s="58" t="s">
        <v>86</v>
      </c>
      <c r="C231">
        <v>810</v>
      </c>
      <c r="D231" t="s">
        <v>49</v>
      </c>
      <c r="E231" s="33">
        <v>44372</v>
      </c>
      <c r="F231" s="59">
        <v>1580</v>
      </c>
      <c r="G231" s="59">
        <v>1412.54</v>
      </c>
      <c r="H231" s="59">
        <v>1412.5384615384614</v>
      </c>
      <c r="I231" s="60">
        <f t="shared" si="12"/>
        <v>1.7438765432098764</v>
      </c>
      <c r="J231" s="60">
        <f t="shared" si="13"/>
        <v>-1.5384615385301004E-3</v>
      </c>
      <c r="K231" s="60">
        <f t="shared" si="14"/>
        <v>1.7438746438746437</v>
      </c>
      <c r="L231" s="60">
        <f t="shared" si="15"/>
        <v>-1.8993352326468482E-6</v>
      </c>
    </row>
    <row r="232" spans="1:12" x14ac:dyDescent="0.25">
      <c r="A232" t="s">
        <v>292</v>
      </c>
      <c r="B232" s="58" t="s">
        <v>153</v>
      </c>
      <c r="C232">
        <v>696</v>
      </c>
      <c r="D232" t="s">
        <v>49</v>
      </c>
      <c r="E232" s="33">
        <v>44372</v>
      </c>
      <c r="F232" s="59">
        <v>1480</v>
      </c>
      <c r="G232" s="59">
        <v>1387.59</v>
      </c>
      <c r="H232" s="59">
        <v>1387.5907692307692</v>
      </c>
      <c r="I232" s="60">
        <f t="shared" si="12"/>
        <v>1.9936637931034482</v>
      </c>
      <c r="J232" s="60">
        <f t="shared" si="13"/>
        <v>7.6923076926505018E-4</v>
      </c>
      <c r="K232" s="60">
        <f t="shared" si="14"/>
        <v>1.9936648983200707</v>
      </c>
      <c r="L232" s="60">
        <f t="shared" si="15"/>
        <v>1.1052166224434501E-6</v>
      </c>
    </row>
    <row r="233" spans="1:12" x14ac:dyDescent="0.25">
      <c r="A233" t="s">
        <v>293</v>
      </c>
      <c r="B233" s="58" t="s">
        <v>57</v>
      </c>
      <c r="C233">
        <v>700</v>
      </c>
      <c r="D233" t="s">
        <v>49</v>
      </c>
      <c r="E233" s="33">
        <v>44372</v>
      </c>
      <c r="F233" s="59">
        <v>1515</v>
      </c>
      <c r="G233" s="59">
        <v>1286.98</v>
      </c>
      <c r="H233" s="59">
        <v>1286.9815384615385</v>
      </c>
      <c r="I233" s="60">
        <f t="shared" si="12"/>
        <v>1.8385428571428573</v>
      </c>
      <c r="J233" s="60">
        <f t="shared" si="13"/>
        <v>1.5384615385301004E-3</v>
      </c>
      <c r="K233" s="60">
        <f t="shared" si="14"/>
        <v>1.838545054945055</v>
      </c>
      <c r="L233" s="60">
        <f t="shared" si="15"/>
        <v>2.1978021977897555E-6</v>
      </c>
    </row>
    <row r="234" spans="1:12" x14ac:dyDescent="0.25">
      <c r="A234" t="s">
        <v>294</v>
      </c>
      <c r="B234" s="58" t="s">
        <v>57</v>
      </c>
      <c r="C234">
        <v>700</v>
      </c>
      <c r="D234" t="s">
        <v>49</v>
      </c>
      <c r="E234" s="33">
        <v>44372</v>
      </c>
      <c r="F234" s="59">
        <v>1515</v>
      </c>
      <c r="G234" s="59">
        <v>1292.31</v>
      </c>
      <c r="H234" s="59">
        <v>1292.3076923076924</v>
      </c>
      <c r="I234" s="60">
        <f t="shared" si="12"/>
        <v>1.8461571428571428</v>
      </c>
      <c r="J234" s="60">
        <f t="shared" si="13"/>
        <v>-2.3076923075677769E-3</v>
      </c>
      <c r="K234" s="60">
        <f t="shared" si="14"/>
        <v>1.8461538461538463</v>
      </c>
      <c r="L234" s="60">
        <f t="shared" si="15"/>
        <v>-3.2967032965736109E-6</v>
      </c>
    </row>
    <row r="235" spans="1:12" x14ac:dyDescent="0.25">
      <c r="A235" t="s">
        <v>295</v>
      </c>
      <c r="B235" s="58" t="s">
        <v>57</v>
      </c>
      <c r="C235">
        <v>700</v>
      </c>
      <c r="D235" t="s">
        <v>49</v>
      </c>
      <c r="E235" s="33">
        <v>44372</v>
      </c>
      <c r="F235" s="59">
        <v>1515</v>
      </c>
      <c r="G235" s="59">
        <v>1284.49</v>
      </c>
      <c r="H235" s="59">
        <v>1284.4915384615385</v>
      </c>
      <c r="I235" s="60">
        <f t="shared" si="12"/>
        <v>1.8349857142857142</v>
      </c>
      <c r="J235" s="60">
        <f t="shared" si="13"/>
        <v>1.5384615385301004E-3</v>
      </c>
      <c r="K235" s="60">
        <f t="shared" si="14"/>
        <v>1.8349879120879122</v>
      </c>
      <c r="L235" s="60">
        <f t="shared" si="15"/>
        <v>2.1978021980118001E-6</v>
      </c>
    </row>
    <row r="236" spans="1:12" x14ac:dyDescent="0.25">
      <c r="A236" t="s">
        <v>296</v>
      </c>
      <c r="B236" s="58" t="s">
        <v>59</v>
      </c>
      <c r="C236">
        <v>1115</v>
      </c>
      <c r="D236" t="s">
        <v>49</v>
      </c>
      <c r="E236" s="33">
        <v>44372</v>
      </c>
      <c r="F236" s="59">
        <v>2165</v>
      </c>
      <c r="G236" s="59">
        <v>2079.04</v>
      </c>
      <c r="H236" s="59">
        <v>2079.0446153846156</v>
      </c>
      <c r="I236" s="60">
        <f t="shared" si="12"/>
        <v>1.8646098654708521</v>
      </c>
      <c r="J236" s="60">
        <f t="shared" si="13"/>
        <v>4.6153846155903011E-3</v>
      </c>
      <c r="K236" s="60">
        <f t="shared" si="14"/>
        <v>1.8646140048292517</v>
      </c>
      <c r="L236" s="60">
        <f t="shared" si="15"/>
        <v>4.139358399601889E-6</v>
      </c>
    </row>
    <row r="237" spans="1:12" x14ac:dyDescent="0.25">
      <c r="A237" t="s">
        <v>297</v>
      </c>
      <c r="B237" s="58" t="s">
        <v>86</v>
      </c>
      <c r="C237">
        <v>810</v>
      </c>
      <c r="D237" t="s">
        <v>49</v>
      </c>
      <c r="E237" s="33">
        <v>44372</v>
      </c>
      <c r="F237" s="59">
        <v>1555</v>
      </c>
      <c r="G237" s="59">
        <v>1555</v>
      </c>
      <c r="H237" s="59">
        <v>1555</v>
      </c>
      <c r="I237" s="60">
        <f t="shared" si="12"/>
        <v>1.9197530864197532</v>
      </c>
      <c r="J237" s="60">
        <f t="shared" si="13"/>
        <v>0</v>
      </c>
      <c r="K237" s="60">
        <f t="shared" si="14"/>
        <v>1.9197530864197532</v>
      </c>
      <c r="L237" s="60">
        <f t="shared" si="15"/>
        <v>0</v>
      </c>
    </row>
    <row r="238" spans="1:12" x14ac:dyDescent="0.25">
      <c r="A238" t="s">
        <v>298</v>
      </c>
      <c r="B238" s="58" t="s">
        <v>137</v>
      </c>
      <c r="C238">
        <v>1700</v>
      </c>
      <c r="D238" t="s">
        <v>49</v>
      </c>
      <c r="E238" s="33">
        <v>44378</v>
      </c>
      <c r="F238" s="59">
        <v>2995</v>
      </c>
      <c r="G238" s="59">
        <v>2464.23</v>
      </c>
      <c r="H238" s="59">
        <v>2464.2307692307691</v>
      </c>
      <c r="I238" s="60">
        <f t="shared" si="12"/>
        <v>1.4495470588235295</v>
      </c>
      <c r="J238" s="60">
        <f t="shared" si="13"/>
        <v>7.6923076903767651E-4</v>
      </c>
      <c r="K238" s="60">
        <f t="shared" si="14"/>
        <v>1.4495475113122172</v>
      </c>
      <c r="L238" s="60">
        <f t="shared" si="15"/>
        <v>4.5248868763003713E-7</v>
      </c>
    </row>
    <row r="239" spans="1:12" x14ac:dyDescent="0.25">
      <c r="A239" t="s">
        <v>299</v>
      </c>
      <c r="B239" s="58" t="s">
        <v>151</v>
      </c>
      <c r="C239">
        <v>1141</v>
      </c>
      <c r="D239" t="s">
        <v>49</v>
      </c>
      <c r="E239" s="33">
        <v>44379</v>
      </c>
      <c r="F239" s="59">
        <v>2150</v>
      </c>
      <c r="G239" s="59">
        <v>1984.62</v>
      </c>
      <c r="H239" s="59">
        <v>1984.6153846153845</v>
      </c>
      <c r="I239" s="60">
        <f t="shared" si="12"/>
        <v>1.7393689745836984</v>
      </c>
      <c r="J239" s="60">
        <f t="shared" si="13"/>
        <v>-4.6153846153629274E-3</v>
      </c>
      <c r="K239" s="60">
        <f t="shared" si="14"/>
        <v>1.7393649295489786</v>
      </c>
      <c r="L239" s="60">
        <f t="shared" si="15"/>
        <v>-4.0450347198461856E-6</v>
      </c>
    </row>
    <row r="240" spans="1:12" x14ac:dyDescent="0.25">
      <c r="A240" t="s">
        <v>300</v>
      </c>
      <c r="B240" s="58" t="s">
        <v>57</v>
      </c>
      <c r="C240">
        <v>700</v>
      </c>
      <c r="D240" t="s">
        <v>49</v>
      </c>
      <c r="E240" s="33">
        <v>44384</v>
      </c>
      <c r="F240" s="59">
        <v>1515</v>
      </c>
      <c r="G240" s="59">
        <v>1398.46</v>
      </c>
      <c r="H240" s="59">
        <v>1398.4615384615386</v>
      </c>
      <c r="I240" s="60">
        <f t="shared" si="12"/>
        <v>1.9978</v>
      </c>
      <c r="J240" s="60">
        <f t="shared" si="13"/>
        <v>1.5384615385301004E-3</v>
      </c>
      <c r="K240" s="60">
        <f t="shared" si="14"/>
        <v>1.997802197802198</v>
      </c>
      <c r="L240" s="60">
        <f t="shared" si="15"/>
        <v>2.1978021980118001E-6</v>
      </c>
    </row>
    <row r="241" spans="1:12" x14ac:dyDescent="0.25">
      <c r="A241" t="s">
        <v>301</v>
      </c>
      <c r="B241" s="58" t="s">
        <v>57</v>
      </c>
      <c r="C241">
        <v>700</v>
      </c>
      <c r="D241" t="s">
        <v>49</v>
      </c>
      <c r="E241" s="33">
        <v>44386</v>
      </c>
      <c r="F241" s="59">
        <v>1560</v>
      </c>
      <c r="G241" s="59">
        <v>1380</v>
      </c>
      <c r="H241" s="59">
        <v>1380</v>
      </c>
      <c r="I241" s="60">
        <f t="shared" si="12"/>
        <v>1.9714285714285715</v>
      </c>
      <c r="J241" s="60">
        <f t="shared" si="13"/>
        <v>0</v>
      </c>
      <c r="K241" s="60">
        <f t="shared" si="14"/>
        <v>1.9714285714285715</v>
      </c>
      <c r="L241" s="60">
        <f t="shared" si="15"/>
        <v>0</v>
      </c>
    </row>
    <row r="242" spans="1:12" x14ac:dyDescent="0.25">
      <c r="A242" t="s">
        <v>302</v>
      </c>
      <c r="B242" s="58" t="s">
        <v>57</v>
      </c>
      <c r="C242">
        <v>700</v>
      </c>
      <c r="D242" t="s">
        <v>49</v>
      </c>
      <c r="E242" s="33">
        <v>44386</v>
      </c>
      <c r="F242" s="59">
        <v>1515</v>
      </c>
      <c r="G242" s="59">
        <v>1338.46</v>
      </c>
      <c r="H242" s="59">
        <v>1338.4615384615386</v>
      </c>
      <c r="I242" s="60">
        <f t="shared" si="12"/>
        <v>1.9120857142857144</v>
      </c>
      <c r="J242" s="60">
        <f t="shared" si="13"/>
        <v>1.5384615385301004E-3</v>
      </c>
      <c r="K242" s="60">
        <f t="shared" si="14"/>
        <v>1.9120879120879122</v>
      </c>
      <c r="L242" s="60">
        <f t="shared" si="15"/>
        <v>2.1978021977897555E-6</v>
      </c>
    </row>
    <row r="243" spans="1:12" x14ac:dyDescent="0.25">
      <c r="A243" t="s">
        <v>303</v>
      </c>
      <c r="B243" s="58" t="s">
        <v>57</v>
      </c>
      <c r="C243">
        <v>700</v>
      </c>
      <c r="D243" t="s">
        <v>49</v>
      </c>
      <c r="E243" s="33">
        <v>44387</v>
      </c>
      <c r="F243" s="59">
        <v>1515</v>
      </c>
      <c r="G243" s="59">
        <v>1230.77</v>
      </c>
      <c r="H243" s="59">
        <v>1230.7692307692307</v>
      </c>
      <c r="I243" s="60">
        <f t="shared" si="12"/>
        <v>1.7582428571428572</v>
      </c>
      <c r="J243" s="60">
        <f t="shared" si="13"/>
        <v>-7.6923076926505018E-4</v>
      </c>
      <c r="K243" s="60">
        <f t="shared" si="14"/>
        <v>1.7582417582417582</v>
      </c>
      <c r="L243" s="60">
        <f t="shared" si="15"/>
        <v>-1.0989010990059001E-6</v>
      </c>
    </row>
    <row r="244" spans="1:12" x14ac:dyDescent="0.25">
      <c r="A244" t="s">
        <v>304</v>
      </c>
      <c r="B244" s="58" t="s">
        <v>57</v>
      </c>
      <c r="C244">
        <v>700</v>
      </c>
      <c r="D244" t="s">
        <v>49</v>
      </c>
      <c r="E244" s="33">
        <v>44387</v>
      </c>
      <c r="F244" s="59">
        <v>1515</v>
      </c>
      <c r="G244" s="59">
        <v>1300</v>
      </c>
      <c r="H244" s="59">
        <v>1300</v>
      </c>
      <c r="I244" s="60">
        <f t="shared" si="12"/>
        <v>1.8571428571428572</v>
      </c>
      <c r="J244" s="60">
        <f t="shared" si="13"/>
        <v>0</v>
      </c>
      <c r="K244" s="60">
        <f t="shared" si="14"/>
        <v>1.8571428571428572</v>
      </c>
      <c r="L244" s="60">
        <f t="shared" si="15"/>
        <v>0</v>
      </c>
    </row>
    <row r="245" spans="1:12" x14ac:dyDescent="0.25">
      <c r="A245" t="s">
        <v>305</v>
      </c>
      <c r="B245" s="58" t="s">
        <v>59</v>
      </c>
      <c r="C245">
        <v>1115</v>
      </c>
      <c r="D245" t="s">
        <v>49</v>
      </c>
      <c r="E245" s="33">
        <v>44389</v>
      </c>
      <c r="F245" s="59">
        <v>2165</v>
      </c>
      <c r="G245" s="59">
        <v>1698.46</v>
      </c>
      <c r="H245" s="59">
        <v>1698.4615384615386</v>
      </c>
      <c r="I245" s="60">
        <f t="shared" si="12"/>
        <v>1.5232825112107624</v>
      </c>
      <c r="J245" s="60">
        <f t="shared" si="13"/>
        <v>1.5384615385301004E-3</v>
      </c>
      <c r="K245" s="60">
        <f t="shared" si="14"/>
        <v>1.5232838909968955</v>
      </c>
      <c r="L245" s="60">
        <f t="shared" si="15"/>
        <v>1.3797861331266148E-6</v>
      </c>
    </row>
    <row r="246" spans="1:12" x14ac:dyDescent="0.25">
      <c r="A246" t="s">
        <v>306</v>
      </c>
      <c r="B246" s="58" t="s">
        <v>57</v>
      </c>
      <c r="C246">
        <v>700</v>
      </c>
      <c r="D246" t="s">
        <v>49</v>
      </c>
      <c r="E246" s="33">
        <v>44389</v>
      </c>
      <c r="F246" s="59">
        <v>1515</v>
      </c>
      <c r="G246" s="59">
        <v>1253.8499999999999</v>
      </c>
      <c r="H246" s="59">
        <v>1253.8461538461538</v>
      </c>
      <c r="I246" s="60">
        <f t="shared" si="12"/>
        <v>1.7912142857142856</v>
      </c>
      <c r="J246" s="60">
        <f t="shared" si="13"/>
        <v>-3.8461538460978772E-3</v>
      </c>
      <c r="K246" s="60">
        <f t="shared" si="14"/>
        <v>1.7912087912087911</v>
      </c>
      <c r="L246" s="60">
        <f t="shared" si="15"/>
        <v>-5.494505494585411E-6</v>
      </c>
    </row>
    <row r="247" spans="1:12" x14ac:dyDescent="0.25">
      <c r="A247" t="s">
        <v>62</v>
      </c>
      <c r="B247" s="58" t="s">
        <v>59</v>
      </c>
      <c r="C247">
        <v>1115</v>
      </c>
      <c r="D247" t="s">
        <v>49</v>
      </c>
      <c r="E247" s="33">
        <v>44389</v>
      </c>
      <c r="F247" s="59">
        <v>2135</v>
      </c>
      <c r="G247" s="59">
        <v>1650</v>
      </c>
      <c r="H247" s="59">
        <v>1970.7692307692307</v>
      </c>
      <c r="I247" s="60">
        <f t="shared" si="12"/>
        <v>1.4798206278026906</v>
      </c>
      <c r="J247" s="60">
        <f t="shared" si="13"/>
        <v>320.76923076923072</v>
      </c>
      <c r="K247" s="60">
        <f t="shared" si="14"/>
        <v>1.7675060365643325</v>
      </c>
      <c r="L247" s="60">
        <f t="shared" si="15"/>
        <v>0.28768540876164184</v>
      </c>
    </row>
    <row r="248" spans="1:12" x14ac:dyDescent="0.25">
      <c r="A248" t="s">
        <v>307</v>
      </c>
      <c r="B248" s="58" t="s">
        <v>57</v>
      </c>
      <c r="C248">
        <v>700</v>
      </c>
      <c r="D248" t="s">
        <v>49</v>
      </c>
      <c r="E248" s="33">
        <v>44390</v>
      </c>
      <c r="F248" s="59">
        <v>1515</v>
      </c>
      <c r="G248" s="59">
        <v>1398.46</v>
      </c>
      <c r="H248" s="59">
        <v>1398.4615384615386</v>
      </c>
      <c r="I248" s="60">
        <f t="shared" si="12"/>
        <v>1.9978</v>
      </c>
      <c r="J248" s="60">
        <f t="shared" si="13"/>
        <v>1.5384615385301004E-3</v>
      </c>
      <c r="K248" s="60">
        <f t="shared" si="14"/>
        <v>1.997802197802198</v>
      </c>
      <c r="L248" s="60">
        <f t="shared" si="15"/>
        <v>2.1978021980118001E-6</v>
      </c>
    </row>
    <row r="249" spans="1:12" x14ac:dyDescent="0.25">
      <c r="A249" t="s">
        <v>308</v>
      </c>
      <c r="B249" s="58" t="s">
        <v>48</v>
      </c>
      <c r="C249">
        <v>806</v>
      </c>
      <c r="D249" t="s">
        <v>49</v>
      </c>
      <c r="E249" s="33">
        <v>44393</v>
      </c>
      <c r="F249" s="59">
        <v>1620</v>
      </c>
      <c r="G249" s="59">
        <v>1495.38</v>
      </c>
      <c r="H249" s="59">
        <v>1495.3846153846155</v>
      </c>
      <c r="I249" s="60">
        <f t="shared" si="12"/>
        <v>1.8553101736972706</v>
      </c>
      <c r="J249" s="60">
        <f t="shared" si="13"/>
        <v>4.6153846153629274E-3</v>
      </c>
      <c r="K249" s="60">
        <f t="shared" si="14"/>
        <v>1.8553158999809125</v>
      </c>
      <c r="L249" s="60">
        <f t="shared" si="15"/>
        <v>5.7262836419269547E-6</v>
      </c>
    </row>
    <row r="250" spans="1:12" x14ac:dyDescent="0.25">
      <c r="A250" t="s">
        <v>309</v>
      </c>
      <c r="B250" s="58" t="s">
        <v>86</v>
      </c>
      <c r="C250">
        <v>810</v>
      </c>
      <c r="D250" t="s">
        <v>49</v>
      </c>
      <c r="E250" s="33">
        <v>44396</v>
      </c>
      <c r="F250" s="59">
        <v>1600</v>
      </c>
      <c r="G250" s="59">
        <v>1476.92</v>
      </c>
      <c r="H250" s="59">
        <v>1476.9230769230769</v>
      </c>
      <c r="I250" s="60">
        <f t="shared" si="12"/>
        <v>1.8233580246913581</v>
      </c>
      <c r="J250" s="60">
        <f t="shared" si="13"/>
        <v>3.0769230768328271E-3</v>
      </c>
      <c r="K250" s="60">
        <f t="shared" si="14"/>
        <v>1.8233618233618234</v>
      </c>
      <c r="L250" s="60">
        <f t="shared" si="15"/>
        <v>3.7986704652936965E-6</v>
      </c>
    </row>
    <row r="251" spans="1:12" x14ac:dyDescent="0.25">
      <c r="A251" t="s">
        <v>310</v>
      </c>
      <c r="B251" s="58" t="s">
        <v>59</v>
      </c>
      <c r="C251">
        <v>1115</v>
      </c>
      <c r="D251" t="s">
        <v>49</v>
      </c>
      <c r="E251" s="33">
        <v>44399</v>
      </c>
      <c r="F251" s="59">
        <v>2165</v>
      </c>
      <c r="G251" s="59">
        <v>1998.46</v>
      </c>
      <c r="H251" s="59">
        <v>1998.4615384615386</v>
      </c>
      <c r="I251" s="60">
        <f t="shared" si="12"/>
        <v>1.7923408071748879</v>
      </c>
      <c r="J251" s="60">
        <f t="shared" si="13"/>
        <v>1.5384615385301004E-3</v>
      </c>
      <c r="K251" s="60">
        <f t="shared" si="14"/>
        <v>1.7923421869610212</v>
      </c>
      <c r="L251" s="60">
        <f t="shared" si="15"/>
        <v>1.3797861333486594E-6</v>
      </c>
    </row>
    <row r="252" spans="1:12" x14ac:dyDescent="0.25">
      <c r="A252" t="s">
        <v>311</v>
      </c>
      <c r="B252" s="58" t="s">
        <v>86</v>
      </c>
      <c r="C252">
        <v>810</v>
      </c>
      <c r="D252" t="s">
        <v>49</v>
      </c>
      <c r="E252" s="33">
        <v>44399</v>
      </c>
      <c r="F252" s="59">
        <v>1580</v>
      </c>
      <c r="G252" s="59">
        <v>1458.46</v>
      </c>
      <c r="H252" s="59">
        <v>1458.4615384615386</v>
      </c>
      <c r="I252" s="60">
        <f t="shared" si="12"/>
        <v>1.8005679012345679</v>
      </c>
      <c r="J252" s="60">
        <f t="shared" si="13"/>
        <v>1.5384615385301004E-3</v>
      </c>
      <c r="K252" s="60">
        <f t="shared" si="14"/>
        <v>1.8005698005698008</v>
      </c>
      <c r="L252" s="60">
        <f t="shared" si="15"/>
        <v>1.8993352328688928E-6</v>
      </c>
    </row>
    <row r="253" spans="1:12" x14ac:dyDescent="0.25">
      <c r="A253" t="s">
        <v>312</v>
      </c>
      <c r="B253" s="58" t="s">
        <v>57</v>
      </c>
      <c r="C253">
        <v>700</v>
      </c>
      <c r="D253" t="s">
        <v>49</v>
      </c>
      <c r="E253" s="33">
        <v>44404</v>
      </c>
      <c r="F253" s="59">
        <v>1515</v>
      </c>
      <c r="G253" s="59">
        <v>1338.46</v>
      </c>
      <c r="H253" s="59">
        <v>1338.4615384615386</v>
      </c>
      <c r="I253" s="60">
        <f t="shared" si="12"/>
        <v>1.9120857142857144</v>
      </c>
      <c r="J253" s="60">
        <f t="shared" si="13"/>
        <v>1.5384615385301004E-3</v>
      </c>
      <c r="K253" s="60">
        <f t="shared" si="14"/>
        <v>1.9120879120879122</v>
      </c>
      <c r="L253" s="60">
        <f t="shared" si="15"/>
        <v>2.1978021977897555E-6</v>
      </c>
    </row>
    <row r="254" spans="1:12" x14ac:dyDescent="0.25">
      <c r="A254" t="s">
        <v>313</v>
      </c>
      <c r="B254" s="58" t="s">
        <v>65</v>
      </c>
      <c r="C254">
        <v>813</v>
      </c>
      <c r="D254" t="s">
        <v>49</v>
      </c>
      <c r="E254" s="33">
        <v>44404</v>
      </c>
      <c r="F254" s="59">
        <v>1580</v>
      </c>
      <c r="G254" s="59">
        <v>1458.46</v>
      </c>
      <c r="H254" s="59">
        <v>1458.4615384615386</v>
      </c>
      <c r="I254" s="60">
        <f t="shared" si="12"/>
        <v>1.7939237392373923</v>
      </c>
      <c r="J254" s="60">
        <f t="shared" si="13"/>
        <v>1.5384615385301004E-3</v>
      </c>
      <c r="K254" s="60">
        <f t="shared" si="14"/>
        <v>1.793925631564008</v>
      </c>
      <c r="L254" s="60">
        <f t="shared" si="15"/>
        <v>1.8923266156267715E-6</v>
      </c>
    </row>
    <row r="255" spans="1:12" x14ac:dyDescent="0.25">
      <c r="A255" t="s">
        <v>314</v>
      </c>
      <c r="B255" s="58" t="s">
        <v>74</v>
      </c>
      <c r="C255">
        <v>1169</v>
      </c>
      <c r="D255" t="s">
        <v>49</v>
      </c>
      <c r="E255" s="33">
        <v>44405</v>
      </c>
      <c r="F255" s="59">
        <v>2240</v>
      </c>
      <c r="G255" s="59">
        <v>2240</v>
      </c>
      <c r="H255" s="59">
        <v>2240</v>
      </c>
      <c r="I255" s="60">
        <f t="shared" si="12"/>
        <v>1.9161676646706587</v>
      </c>
      <c r="J255" s="60">
        <f t="shared" si="13"/>
        <v>0</v>
      </c>
      <c r="K255" s="60">
        <f t="shared" si="14"/>
        <v>1.9161676646706587</v>
      </c>
      <c r="L255" s="60">
        <f t="shared" si="15"/>
        <v>0</v>
      </c>
    </row>
    <row r="256" spans="1:12" x14ac:dyDescent="0.25">
      <c r="A256" t="s">
        <v>315</v>
      </c>
      <c r="B256" s="58" t="s">
        <v>65</v>
      </c>
      <c r="C256">
        <v>813</v>
      </c>
      <c r="D256" t="s">
        <v>49</v>
      </c>
      <c r="E256" s="33">
        <v>44405</v>
      </c>
      <c r="F256" s="59">
        <v>1580</v>
      </c>
      <c r="G256" s="59">
        <v>1458.46</v>
      </c>
      <c r="H256" s="59">
        <v>1458.4615384615386</v>
      </c>
      <c r="I256" s="60">
        <f t="shared" si="12"/>
        <v>1.7939237392373923</v>
      </c>
      <c r="J256" s="60">
        <f t="shared" si="13"/>
        <v>1.5384615385301004E-3</v>
      </c>
      <c r="K256" s="60">
        <f t="shared" si="14"/>
        <v>1.793925631564008</v>
      </c>
      <c r="L256" s="60">
        <f t="shared" si="15"/>
        <v>1.8923266156267715E-6</v>
      </c>
    </row>
    <row r="257" spans="1:12" x14ac:dyDescent="0.25">
      <c r="A257" t="s">
        <v>316</v>
      </c>
      <c r="B257" s="58" t="s">
        <v>86</v>
      </c>
      <c r="C257">
        <v>810</v>
      </c>
      <c r="D257" t="s">
        <v>49</v>
      </c>
      <c r="E257" s="33">
        <v>44405</v>
      </c>
      <c r="F257" s="59">
        <v>1555</v>
      </c>
      <c r="G257" s="59">
        <v>1435.38</v>
      </c>
      <c r="H257" s="59">
        <v>1435.3846153846155</v>
      </c>
      <c r="I257" s="60">
        <f t="shared" si="12"/>
        <v>1.7720740740740741</v>
      </c>
      <c r="J257" s="60">
        <f t="shared" si="13"/>
        <v>4.6153846153629274E-3</v>
      </c>
      <c r="K257" s="60">
        <f t="shared" si="14"/>
        <v>1.7720797720797723</v>
      </c>
      <c r="L257" s="60">
        <f t="shared" si="15"/>
        <v>5.6980056981625893E-6</v>
      </c>
    </row>
    <row r="258" spans="1:12" x14ac:dyDescent="0.25">
      <c r="A258" t="s">
        <v>317</v>
      </c>
      <c r="B258" s="58" t="s">
        <v>74</v>
      </c>
      <c r="C258">
        <v>1169</v>
      </c>
      <c r="D258" t="s">
        <v>49</v>
      </c>
      <c r="E258" s="33">
        <v>44406</v>
      </c>
      <c r="F258" s="59">
        <v>2220</v>
      </c>
      <c r="G258" s="59">
        <v>1963.85</v>
      </c>
      <c r="H258" s="59">
        <v>1963.8461538461538</v>
      </c>
      <c r="I258" s="60">
        <f t="shared" ref="I258:I321" si="16">G258/C258</f>
        <v>1.6799401197604789</v>
      </c>
      <c r="J258" s="60">
        <f t="shared" ref="J258:J321" si="17">SUM(H258-G258)</f>
        <v>-3.8461538460978772E-3</v>
      </c>
      <c r="K258" s="60">
        <f t="shared" ref="K258:K321" si="18">H258/C258</f>
        <v>1.6799368296374284</v>
      </c>
      <c r="L258" s="60">
        <f t="shared" ref="L258:L321" si="19">K258-I258</f>
        <v>-3.2901230504478463E-6</v>
      </c>
    </row>
    <row r="259" spans="1:12" x14ac:dyDescent="0.25">
      <c r="A259" t="s">
        <v>318</v>
      </c>
      <c r="B259" s="58" t="s">
        <v>57</v>
      </c>
      <c r="C259">
        <v>700</v>
      </c>
      <c r="D259" t="s">
        <v>49</v>
      </c>
      <c r="E259" s="33">
        <v>44407</v>
      </c>
      <c r="F259" s="59">
        <v>1515</v>
      </c>
      <c r="G259" s="59">
        <v>1398.46</v>
      </c>
      <c r="H259" s="59">
        <v>1398.4615384615386</v>
      </c>
      <c r="I259" s="60">
        <f t="shared" si="16"/>
        <v>1.9978</v>
      </c>
      <c r="J259" s="60">
        <f t="shared" si="17"/>
        <v>1.5384615385301004E-3</v>
      </c>
      <c r="K259" s="60">
        <f t="shared" si="18"/>
        <v>1.997802197802198</v>
      </c>
      <c r="L259" s="60">
        <f t="shared" si="19"/>
        <v>2.1978021980118001E-6</v>
      </c>
    </row>
    <row r="260" spans="1:12" x14ac:dyDescent="0.25">
      <c r="A260" t="s">
        <v>319</v>
      </c>
      <c r="B260" s="58" t="s">
        <v>320</v>
      </c>
      <c r="C260">
        <v>950</v>
      </c>
      <c r="D260" t="s">
        <v>49</v>
      </c>
      <c r="E260" s="33">
        <v>44407</v>
      </c>
      <c r="F260" s="59">
        <v>1795</v>
      </c>
      <c r="G260" s="59">
        <v>1656.92</v>
      </c>
      <c r="H260" s="59">
        <v>1656.9230769230769</v>
      </c>
      <c r="I260" s="60">
        <f t="shared" si="16"/>
        <v>1.7441263157894737</v>
      </c>
      <c r="J260" s="60">
        <f t="shared" si="17"/>
        <v>3.0769230768328271E-3</v>
      </c>
      <c r="K260" s="60">
        <f t="shared" si="18"/>
        <v>1.7441295546558704</v>
      </c>
      <c r="L260" s="60">
        <f t="shared" si="19"/>
        <v>3.2388663966376185E-6</v>
      </c>
    </row>
    <row r="261" spans="1:12" x14ac:dyDescent="0.25">
      <c r="A261" t="s">
        <v>321</v>
      </c>
      <c r="B261" s="58" t="s">
        <v>153</v>
      </c>
      <c r="C261">
        <v>696</v>
      </c>
      <c r="D261" t="s">
        <v>49</v>
      </c>
      <c r="E261" s="33">
        <v>44407</v>
      </c>
      <c r="F261" s="59">
        <v>1450</v>
      </c>
      <c r="G261" s="59">
        <v>1338.46</v>
      </c>
      <c r="H261" s="59">
        <v>1338.4615384615386</v>
      </c>
      <c r="I261" s="60">
        <f t="shared" si="16"/>
        <v>1.9230747126436782</v>
      </c>
      <c r="J261" s="60">
        <f t="shared" si="17"/>
        <v>1.5384615385301004E-3</v>
      </c>
      <c r="K261" s="60">
        <f t="shared" si="18"/>
        <v>1.9230769230769231</v>
      </c>
      <c r="L261" s="60">
        <f t="shared" si="19"/>
        <v>2.2104332448869002E-6</v>
      </c>
    </row>
    <row r="262" spans="1:12" x14ac:dyDescent="0.25">
      <c r="A262" t="s">
        <v>322</v>
      </c>
      <c r="B262" s="58" t="s">
        <v>57</v>
      </c>
      <c r="C262">
        <v>700</v>
      </c>
      <c r="D262" t="s">
        <v>49</v>
      </c>
      <c r="E262" s="33">
        <v>44410</v>
      </c>
      <c r="F262" s="59">
        <v>1515</v>
      </c>
      <c r="G262" s="59">
        <v>1398.46</v>
      </c>
      <c r="H262" s="59">
        <v>1398.4615384615386</v>
      </c>
      <c r="I262" s="60">
        <f t="shared" si="16"/>
        <v>1.9978</v>
      </c>
      <c r="J262" s="60">
        <f t="shared" si="17"/>
        <v>1.5384615385301004E-3</v>
      </c>
      <c r="K262" s="60">
        <f t="shared" si="18"/>
        <v>1.997802197802198</v>
      </c>
      <c r="L262" s="60">
        <f t="shared" si="19"/>
        <v>2.1978021980118001E-6</v>
      </c>
    </row>
    <row r="263" spans="1:12" x14ac:dyDescent="0.25">
      <c r="A263" t="s">
        <v>323</v>
      </c>
      <c r="B263" s="58" t="s">
        <v>86</v>
      </c>
      <c r="C263">
        <v>810</v>
      </c>
      <c r="D263" t="s">
        <v>49</v>
      </c>
      <c r="E263" s="33">
        <v>44410</v>
      </c>
      <c r="F263" s="59">
        <v>1555</v>
      </c>
      <c r="G263" s="59">
        <v>1435.38</v>
      </c>
      <c r="H263" s="59">
        <v>1435.3846153846155</v>
      </c>
      <c r="I263" s="60">
        <f t="shared" si="16"/>
        <v>1.7720740740740741</v>
      </c>
      <c r="J263" s="60">
        <f t="shared" si="17"/>
        <v>4.6153846153629274E-3</v>
      </c>
      <c r="K263" s="60">
        <f t="shared" si="18"/>
        <v>1.7720797720797723</v>
      </c>
      <c r="L263" s="60">
        <f t="shared" si="19"/>
        <v>5.6980056981625893E-6</v>
      </c>
    </row>
    <row r="264" spans="1:12" x14ac:dyDescent="0.25">
      <c r="A264" t="s">
        <v>324</v>
      </c>
      <c r="B264" s="58" t="s">
        <v>86</v>
      </c>
      <c r="C264">
        <v>810</v>
      </c>
      <c r="D264" t="s">
        <v>49</v>
      </c>
      <c r="E264" s="33">
        <v>44417</v>
      </c>
      <c r="F264" s="59">
        <v>1580</v>
      </c>
      <c r="G264" s="59">
        <v>1618.46</v>
      </c>
      <c r="H264" s="59">
        <v>1618.4615384615386</v>
      </c>
      <c r="I264" s="60">
        <f t="shared" si="16"/>
        <v>1.9980987654320987</v>
      </c>
      <c r="J264" s="60">
        <f t="shared" si="17"/>
        <v>1.5384615385301004E-3</v>
      </c>
      <c r="K264" s="60">
        <f t="shared" si="18"/>
        <v>1.9981006647673316</v>
      </c>
      <c r="L264" s="60">
        <f t="shared" si="19"/>
        <v>1.8993352328688928E-6</v>
      </c>
    </row>
    <row r="265" spans="1:12" x14ac:dyDescent="0.25">
      <c r="A265" t="s">
        <v>325</v>
      </c>
      <c r="B265" s="58" t="s">
        <v>86</v>
      </c>
      <c r="C265">
        <v>810</v>
      </c>
      <c r="D265" t="s">
        <v>49</v>
      </c>
      <c r="E265" s="33">
        <v>44419</v>
      </c>
      <c r="F265" s="59">
        <v>1555</v>
      </c>
      <c r="G265" s="59">
        <v>1435.38</v>
      </c>
      <c r="H265" s="59">
        <v>1435.3846153846155</v>
      </c>
      <c r="I265" s="60">
        <f t="shared" si="16"/>
        <v>1.7720740740740741</v>
      </c>
      <c r="J265" s="60">
        <f t="shared" si="17"/>
        <v>4.6153846153629274E-3</v>
      </c>
      <c r="K265" s="60">
        <f t="shared" si="18"/>
        <v>1.7720797720797723</v>
      </c>
      <c r="L265" s="60">
        <f t="shared" si="19"/>
        <v>5.6980056981625893E-6</v>
      </c>
    </row>
    <row r="266" spans="1:12" x14ac:dyDescent="0.25">
      <c r="A266" t="s">
        <v>326</v>
      </c>
      <c r="B266" s="58" t="s">
        <v>61</v>
      </c>
      <c r="C266">
        <v>820</v>
      </c>
      <c r="D266" t="s">
        <v>49</v>
      </c>
      <c r="E266" s="33">
        <v>44419</v>
      </c>
      <c r="F266" s="59">
        <v>1660</v>
      </c>
      <c r="G266" s="59">
        <v>1521.67</v>
      </c>
      <c r="H266" s="59">
        <v>1521.6666666666667</v>
      </c>
      <c r="I266" s="60">
        <f t="shared" si="16"/>
        <v>1.8556951219512197</v>
      </c>
      <c r="J266" s="60">
        <f t="shared" si="17"/>
        <v>-3.3333333333303017E-3</v>
      </c>
      <c r="K266" s="60">
        <f t="shared" si="18"/>
        <v>1.8556910569105691</v>
      </c>
      <c r="L266" s="60">
        <f t="shared" si="19"/>
        <v>-4.0650406505360337E-6</v>
      </c>
    </row>
    <row r="267" spans="1:12" x14ac:dyDescent="0.25">
      <c r="A267" t="s">
        <v>327</v>
      </c>
      <c r="B267" s="58" t="s">
        <v>86</v>
      </c>
      <c r="C267">
        <v>810</v>
      </c>
      <c r="D267" t="s">
        <v>49</v>
      </c>
      <c r="E267" s="33">
        <v>44419</v>
      </c>
      <c r="F267" s="59">
        <v>1580</v>
      </c>
      <c r="G267" s="59">
        <v>1519.23</v>
      </c>
      <c r="H267" s="59">
        <v>1519.2307692307693</v>
      </c>
      <c r="I267" s="60">
        <f t="shared" si="16"/>
        <v>1.8755925925925927</v>
      </c>
      <c r="J267" s="60">
        <f t="shared" si="17"/>
        <v>7.6923076926505018E-4</v>
      </c>
      <c r="K267" s="60">
        <f t="shared" si="18"/>
        <v>1.875593542260209</v>
      </c>
      <c r="L267" s="60">
        <f t="shared" si="19"/>
        <v>9.4966761632342411E-7</v>
      </c>
    </row>
    <row r="268" spans="1:12" x14ac:dyDescent="0.25">
      <c r="A268" t="s">
        <v>328</v>
      </c>
      <c r="B268" s="58" t="s">
        <v>86</v>
      </c>
      <c r="C268">
        <v>810</v>
      </c>
      <c r="D268" t="s">
        <v>49</v>
      </c>
      <c r="E268" s="33">
        <v>44420</v>
      </c>
      <c r="F268" s="59">
        <v>1580</v>
      </c>
      <c r="G268" s="59">
        <v>1530</v>
      </c>
      <c r="H268" s="59">
        <v>1530</v>
      </c>
      <c r="I268" s="60">
        <f t="shared" si="16"/>
        <v>1.8888888888888888</v>
      </c>
      <c r="J268" s="60">
        <f t="shared" si="17"/>
        <v>0</v>
      </c>
      <c r="K268" s="60">
        <f t="shared" si="18"/>
        <v>1.8888888888888888</v>
      </c>
      <c r="L268" s="60">
        <f t="shared" si="19"/>
        <v>0</v>
      </c>
    </row>
    <row r="269" spans="1:12" x14ac:dyDescent="0.25">
      <c r="A269" t="s">
        <v>64</v>
      </c>
      <c r="B269" s="58" t="s">
        <v>65</v>
      </c>
      <c r="C269">
        <v>813</v>
      </c>
      <c r="D269" t="s">
        <v>49</v>
      </c>
      <c r="E269" s="33">
        <v>44421</v>
      </c>
      <c r="F269" s="59">
        <v>1580</v>
      </c>
      <c r="G269" s="59">
        <v>1315</v>
      </c>
      <c r="H269" s="59">
        <v>1580</v>
      </c>
      <c r="I269" s="60">
        <f t="shared" si="16"/>
        <v>1.6174661746617467</v>
      </c>
      <c r="J269" s="60">
        <f t="shared" si="17"/>
        <v>265</v>
      </c>
      <c r="K269" s="60">
        <f t="shared" si="18"/>
        <v>1.943419434194342</v>
      </c>
      <c r="L269" s="60">
        <f t="shared" si="19"/>
        <v>0.32595325953259535</v>
      </c>
    </row>
    <row r="270" spans="1:12" x14ac:dyDescent="0.25">
      <c r="A270" t="s">
        <v>329</v>
      </c>
      <c r="B270" s="58" t="s">
        <v>153</v>
      </c>
      <c r="C270">
        <v>696</v>
      </c>
      <c r="D270" t="s">
        <v>49</v>
      </c>
      <c r="E270" s="33">
        <v>44421</v>
      </c>
      <c r="F270" s="59">
        <v>1480</v>
      </c>
      <c r="G270" s="59">
        <v>1366.15</v>
      </c>
      <c r="H270" s="59">
        <v>1366.1538461538462</v>
      </c>
      <c r="I270" s="60">
        <f t="shared" si="16"/>
        <v>1.9628591954022989</v>
      </c>
      <c r="J270" s="60">
        <f t="shared" si="17"/>
        <v>3.8461538460978772E-3</v>
      </c>
      <c r="K270" s="60">
        <f t="shared" si="18"/>
        <v>1.9628647214854111</v>
      </c>
      <c r="L270" s="60">
        <f t="shared" si="19"/>
        <v>5.5260831122172505E-6</v>
      </c>
    </row>
    <row r="271" spans="1:12" x14ac:dyDescent="0.25">
      <c r="A271" t="s">
        <v>330</v>
      </c>
      <c r="B271" s="58" t="s">
        <v>320</v>
      </c>
      <c r="C271">
        <v>950</v>
      </c>
      <c r="D271" t="s">
        <v>49</v>
      </c>
      <c r="E271" s="33">
        <v>44424</v>
      </c>
      <c r="F271" s="59">
        <v>1795</v>
      </c>
      <c r="G271" s="59">
        <v>1656.92</v>
      </c>
      <c r="H271" s="59">
        <v>1656.9230769230769</v>
      </c>
      <c r="I271" s="60">
        <f t="shared" si="16"/>
        <v>1.7441263157894737</v>
      </c>
      <c r="J271" s="60">
        <f t="shared" si="17"/>
        <v>3.0769230768328271E-3</v>
      </c>
      <c r="K271" s="60">
        <f t="shared" si="18"/>
        <v>1.7441295546558704</v>
      </c>
      <c r="L271" s="60">
        <f t="shared" si="19"/>
        <v>3.2388663966376185E-6</v>
      </c>
    </row>
    <row r="272" spans="1:12" x14ac:dyDescent="0.25">
      <c r="A272" t="s">
        <v>331</v>
      </c>
      <c r="B272" s="58" t="s">
        <v>51</v>
      </c>
      <c r="C272">
        <v>848</v>
      </c>
      <c r="D272" t="s">
        <v>49</v>
      </c>
      <c r="E272" s="33">
        <v>44425</v>
      </c>
      <c r="F272" s="59">
        <v>1735</v>
      </c>
      <c r="G272" s="59">
        <v>1601.54</v>
      </c>
      <c r="H272" s="59">
        <v>1601.5384615384614</v>
      </c>
      <c r="I272" s="60">
        <f t="shared" si="16"/>
        <v>1.8886084905660376</v>
      </c>
      <c r="J272" s="60">
        <f t="shared" si="17"/>
        <v>-1.5384615385301004E-3</v>
      </c>
      <c r="K272" s="60">
        <f t="shared" si="18"/>
        <v>1.8886066763425253</v>
      </c>
      <c r="L272" s="60">
        <f t="shared" si="19"/>
        <v>-1.8142235123086436E-6</v>
      </c>
    </row>
    <row r="273" spans="1:12" x14ac:dyDescent="0.25">
      <c r="A273" t="s">
        <v>332</v>
      </c>
      <c r="B273" s="58" t="s">
        <v>61</v>
      </c>
      <c r="C273">
        <v>820</v>
      </c>
      <c r="D273" t="s">
        <v>49</v>
      </c>
      <c r="E273" s="33">
        <v>44431</v>
      </c>
      <c r="F273" s="59">
        <v>1615</v>
      </c>
      <c r="G273" s="59">
        <v>1615</v>
      </c>
      <c r="H273" s="59">
        <v>1615</v>
      </c>
      <c r="I273" s="60">
        <f t="shared" si="16"/>
        <v>1.9695121951219512</v>
      </c>
      <c r="J273" s="60">
        <f t="shared" si="17"/>
        <v>0</v>
      </c>
      <c r="K273" s="60">
        <f t="shared" si="18"/>
        <v>1.9695121951219512</v>
      </c>
      <c r="L273" s="60">
        <f t="shared" si="19"/>
        <v>0</v>
      </c>
    </row>
    <row r="274" spans="1:12" x14ac:dyDescent="0.25">
      <c r="A274" t="s">
        <v>333</v>
      </c>
      <c r="B274" s="58" t="s">
        <v>61</v>
      </c>
      <c r="C274">
        <v>820</v>
      </c>
      <c r="D274" t="s">
        <v>49</v>
      </c>
      <c r="E274" s="33">
        <v>44432</v>
      </c>
      <c r="F274" s="59">
        <v>1660</v>
      </c>
      <c r="G274" s="59">
        <v>1532.31</v>
      </c>
      <c r="H274" s="59">
        <v>1532.3076923076924</v>
      </c>
      <c r="I274" s="60">
        <f t="shared" si="16"/>
        <v>1.868670731707317</v>
      </c>
      <c r="J274" s="60">
        <f t="shared" si="17"/>
        <v>-2.3076923075677769E-3</v>
      </c>
      <c r="K274" s="60">
        <f t="shared" si="18"/>
        <v>1.8686679174484053</v>
      </c>
      <c r="L274" s="60">
        <f t="shared" si="19"/>
        <v>-2.8142589116875172E-6</v>
      </c>
    </row>
    <row r="275" spans="1:12" x14ac:dyDescent="0.25">
      <c r="A275" t="s">
        <v>116</v>
      </c>
      <c r="B275" s="58" t="s">
        <v>61</v>
      </c>
      <c r="C275">
        <v>820</v>
      </c>
      <c r="D275" t="s">
        <v>49</v>
      </c>
      <c r="E275" s="33">
        <v>44435</v>
      </c>
      <c r="F275" s="59">
        <v>1615</v>
      </c>
      <c r="G275" s="59">
        <v>1375</v>
      </c>
      <c r="H275" s="59">
        <v>1490.7692307692307</v>
      </c>
      <c r="I275" s="60">
        <f t="shared" si="16"/>
        <v>1.6768292682926829</v>
      </c>
      <c r="J275" s="60">
        <f t="shared" si="17"/>
        <v>115.76923076923072</v>
      </c>
      <c r="K275" s="60">
        <f t="shared" si="18"/>
        <v>1.8180112570356473</v>
      </c>
      <c r="L275" s="60">
        <f t="shared" si="19"/>
        <v>0.14118198874296439</v>
      </c>
    </row>
    <row r="276" spans="1:12" x14ac:dyDescent="0.25">
      <c r="A276" t="s">
        <v>174</v>
      </c>
      <c r="B276" s="58" t="s">
        <v>59</v>
      </c>
      <c r="C276">
        <v>1115</v>
      </c>
      <c r="D276" t="s">
        <v>49</v>
      </c>
      <c r="E276" s="33">
        <v>44435</v>
      </c>
      <c r="F276" s="59">
        <v>2135</v>
      </c>
      <c r="G276" s="59">
        <v>1700</v>
      </c>
      <c r="H276" s="59">
        <v>1970.7692307692307</v>
      </c>
      <c r="I276" s="60">
        <f t="shared" si="16"/>
        <v>1.5246636771300448</v>
      </c>
      <c r="J276" s="60">
        <f t="shared" si="17"/>
        <v>270.76923076923072</v>
      </c>
      <c r="K276" s="60">
        <f t="shared" si="18"/>
        <v>1.7675060365643325</v>
      </c>
      <c r="L276" s="60">
        <f t="shared" si="19"/>
        <v>0.24284235943428767</v>
      </c>
    </row>
    <row r="277" spans="1:12" x14ac:dyDescent="0.25">
      <c r="A277" t="s">
        <v>334</v>
      </c>
      <c r="B277" s="58" t="s">
        <v>65</v>
      </c>
      <c r="C277">
        <v>813</v>
      </c>
      <c r="D277" t="s">
        <v>49</v>
      </c>
      <c r="E277" s="33">
        <v>44438</v>
      </c>
      <c r="F277" s="59">
        <v>1580</v>
      </c>
      <c r="G277" s="59">
        <v>1458.46</v>
      </c>
      <c r="H277" s="59">
        <v>1458.4615384615386</v>
      </c>
      <c r="I277" s="60">
        <f t="shared" si="16"/>
        <v>1.7939237392373923</v>
      </c>
      <c r="J277" s="60">
        <f t="shared" si="17"/>
        <v>1.5384615385301004E-3</v>
      </c>
      <c r="K277" s="60">
        <f t="shared" si="18"/>
        <v>1.793925631564008</v>
      </c>
      <c r="L277" s="60">
        <f t="shared" si="19"/>
        <v>1.8923266156267715E-6</v>
      </c>
    </row>
    <row r="278" spans="1:12" x14ac:dyDescent="0.25">
      <c r="A278" t="s">
        <v>335</v>
      </c>
      <c r="B278" s="58" t="s">
        <v>61</v>
      </c>
      <c r="C278">
        <v>820</v>
      </c>
      <c r="D278" t="s">
        <v>49</v>
      </c>
      <c r="E278" s="33">
        <v>44438</v>
      </c>
      <c r="F278" s="59">
        <v>1615</v>
      </c>
      <c r="G278" s="59">
        <v>1490.77</v>
      </c>
      <c r="H278" s="59">
        <v>1490.7692307692307</v>
      </c>
      <c r="I278" s="60">
        <f t="shared" si="16"/>
        <v>1.8180121951219512</v>
      </c>
      <c r="J278" s="60">
        <f t="shared" si="17"/>
        <v>-7.6923076926505018E-4</v>
      </c>
      <c r="K278" s="60">
        <f t="shared" si="18"/>
        <v>1.8180112570356473</v>
      </c>
      <c r="L278" s="60">
        <f t="shared" si="19"/>
        <v>-9.3808630396985393E-7</v>
      </c>
    </row>
    <row r="279" spans="1:12" x14ac:dyDescent="0.25">
      <c r="A279" t="s">
        <v>336</v>
      </c>
      <c r="B279" s="58" t="s">
        <v>48</v>
      </c>
      <c r="C279">
        <v>806</v>
      </c>
      <c r="D279" t="s">
        <v>49</v>
      </c>
      <c r="E279" s="33">
        <v>44440</v>
      </c>
      <c r="F279" s="59">
        <v>1620</v>
      </c>
      <c r="G279" s="59">
        <v>1620</v>
      </c>
      <c r="H279" s="59">
        <v>1620</v>
      </c>
      <c r="I279" s="60">
        <f t="shared" si="16"/>
        <v>2.0099255583126552</v>
      </c>
      <c r="J279" s="60">
        <f t="shared" si="17"/>
        <v>0</v>
      </c>
      <c r="K279" s="60">
        <f t="shared" si="18"/>
        <v>2.0099255583126552</v>
      </c>
      <c r="L279" s="60">
        <f t="shared" si="19"/>
        <v>0</v>
      </c>
    </row>
    <row r="280" spans="1:12" x14ac:dyDescent="0.25">
      <c r="A280" t="s">
        <v>337</v>
      </c>
      <c r="B280" s="58" t="s">
        <v>61</v>
      </c>
      <c r="C280">
        <v>820</v>
      </c>
      <c r="D280" t="s">
        <v>49</v>
      </c>
      <c r="E280" s="33">
        <v>44441</v>
      </c>
      <c r="F280" s="59">
        <v>1660</v>
      </c>
      <c r="G280" s="59">
        <v>1660</v>
      </c>
      <c r="H280" s="59">
        <v>1660</v>
      </c>
      <c r="I280" s="60">
        <f t="shared" si="16"/>
        <v>2.024390243902439</v>
      </c>
      <c r="J280" s="60">
        <f t="shared" si="17"/>
        <v>0</v>
      </c>
      <c r="K280" s="60">
        <f t="shared" si="18"/>
        <v>2.024390243902439</v>
      </c>
      <c r="L280" s="60">
        <f t="shared" si="19"/>
        <v>0</v>
      </c>
    </row>
    <row r="281" spans="1:12" x14ac:dyDescent="0.25">
      <c r="A281" t="s">
        <v>216</v>
      </c>
      <c r="B281" s="58" t="s">
        <v>57</v>
      </c>
      <c r="C281">
        <v>700</v>
      </c>
      <c r="D281" t="s">
        <v>49</v>
      </c>
      <c r="E281" s="33">
        <v>44442</v>
      </c>
      <c r="F281" s="59">
        <v>1515</v>
      </c>
      <c r="G281" s="59">
        <v>1364.23</v>
      </c>
      <c r="H281" s="59">
        <v>1398.4615384615386</v>
      </c>
      <c r="I281" s="60">
        <f t="shared" si="16"/>
        <v>1.9489000000000001</v>
      </c>
      <c r="J281" s="60">
        <f t="shared" si="17"/>
        <v>34.231538461538548</v>
      </c>
      <c r="K281" s="60">
        <f t="shared" si="18"/>
        <v>1.997802197802198</v>
      </c>
      <c r="L281" s="60">
        <f t="shared" si="19"/>
        <v>4.8902197802197955E-2</v>
      </c>
    </row>
    <row r="282" spans="1:12" x14ac:dyDescent="0.25">
      <c r="A282" t="s">
        <v>338</v>
      </c>
      <c r="B282" s="58" t="s">
        <v>48</v>
      </c>
      <c r="C282">
        <v>806</v>
      </c>
      <c r="D282" t="s">
        <v>49</v>
      </c>
      <c r="E282" s="33">
        <v>44447</v>
      </c>
      <c r="F282" s="59">
        <v>1620</v>
      </c>
      <c r="G282" s="59">
        <v>1495.38</v>
      </c>
      <c r="H282" s="59">
        <v>1495.3846153846155</v>
      </c>
      <c r="I282" s="60">
        <f t="shared" si="16"/>
        <v>1.8553101736972706</v>
      </c>
      <c r="J282" s="60">
        <f t="shared" si="17"/>
        <v>4.6153846153629274E-3</v>
      </c>
      <c r="K282" s="60">
        <f t="shared" si="18"/>
        <v>1.8553158999809125</v>
      </c>
      <c r="L282" s="60">
        <f t="shared" si="19"/>
        <v>5.7262836419269547E-6</v>
      </c>
    </row>
    <row r="283" spans="1:12" x14ac:dyDescent="0.25">
      <c r="A283" t="s">
        <v>339</v>
      </c>
      <c r="B283" s="58" t="s">
        <v>86</v>
      </c>
      <c r="C283">
        <v>810</v>
      </c>
      <c r="D283" t="s">
        <v>49</v>
      </c>
      <c r="E283" s="33">
        <v>44449</v>
      </c>
      <c r="F283" s="59">
        <v>1580</v>
      </c>
      <c r="G283" s="59">
        <v>1458.46</v>
      </c>
      <c r="H283" s="59">
        <v>1458.4615384615386</v>
      </c>
      <c r="I283" s="60">
        <f t="shared" si="16"/>
        <v>1.8005679012345679</v>
      </c>
      <c r="J283" s="60">
        <f t="shared" si="17"/>
        <v>1.5384615385301004E-3</v>
      </c>
      <c r="K283" s="60">
        <f t="shared" si="18"/>
        <v>1.8005698005698008</v>
      </c>
      <c r="L283" s="60">
        <f t="shared" si="19"/>
        <v>1.8993352328688928E-6</v>
      </c>
    </row>
    <row r="284" spans="1:12" x14ac:dyDescent="0.25">
      <c r="A284" t="s">
        <v>340</v>
      </c>
      <c r="B284" s="58" t="s">
        <v>86</v>
      </c>
      <c r="C284">
        <v>810</v>
      </c>
      <c r="D284" t="s">
        <v>49</v>
      </c>
      <c r="E284" s="33">
        <v>44449</v>
      </c>
      <c r="F284" s="59">
        <v>1580</v>
      </c>
      <c r="G284" s="59">
        <v>1580</v>
      </c>
      <c r="H284" s="59">
        <v>1580</v>
      </c>
      <c r="I284" s="60">
        <f t="shared" si="16"/>
        <v>1.9506172839506173</v>
      </c>
      <c r="J284" s="60">
        <f t="shared" si="17"/>
        <v>0</v>
      </c>
      <c r="K284" s="60">
        <f t="shared" si="18"/>
        <v>1.9506172839506173</v>
      </c>
      <c r="L284" s="60">
        <f t="shared" si="19"/>
        <v>0</v>
      </c>
    </row>
    <row r="285" spans="1:12" x14ac:dyDescent="0.25">
      <c r="A285" t="s">
        <v>341</v>
      </c>
      <c r="B285" s="58" t="s">
        <v>48</v>
      </c>
      <c r="C285">
        <v>806</v>
      </c>
      <c r="D285" t="s">
        <v>49</v>
      </c>
      <c r="E285" s="33">
        <v>44454</v>
      </c>
      <c r="F285" s="59">
        <v>1620</v>
      </c>
      <c r="G285" s="59">
        <v>1765</v>
      </c>
      <c r="H285" s="59">
        <v>1765</v>
      </c>
      <c r="I285" s="60">
        <f t="shared" si="16"/>
        <v>2.1898263027295286</v>
      </c>
      <c r="J285" s="60">
        <f t="shared" si="17"/>
        <v>0</v>
      </c>
      <c r="K285" s="60">
        <f t="shared" si="18"/>
        <v>2.1898263027295286</v>
      </c>
      <c r="L285" s="60">
        <f t="shared" si="19"/>
        <v>0</v>
      </c>
    </row>
    <row r="286" spans="1:12" x14ac:dyDescent="0.25">
      <c r="A286" t="s">
        <v>342</v>
      </c>
      <c r="B286" s="58" t="s">
        <v>59</v>
      </c>
      <c r="C286">
        <v>1115</v>
      </c>
      <c r="D286" t="s">
        <v>49</v>
      </c>
      <c r="E286" s="33">
        <v>44454</v>
      </c>
      <c r="F286" s="59">
        <v>2135</v>
      </c>
      <c r="G286" s="59">
        <v>2075</v>
      </c>
      <c r="H286" s="59">
        <v>2075</v>
      </c>
      <c r="I286" s="60">
        <f t="shared" si="16"/>
        <v>1.8609865470852018</v>
      </c>
      <c r="J286" s="60">
        <f t="shared" si="17"/>
        <v>0</v>
      </c>
      <c r="K286" s="60">
        <f t="shared" si="18"/>
        <v>1.8609865470852018</v>
      </c>
      <c r="L286" s="60">
        <f t="shared" si="19"/>
        <v>0</v>
      </c>
    </row>
    <row r="287" spans="1:12" x14ac:dyDescent="0.25">
      <c r="A287" t="s">
        <v>343</v>
      </c>
      <c r="B287" s="58" t="s">
        <v>59</v>
      </c>
      <c r="C287">
        <v>1115</v>
      </c>
      <c r="D287" t="s">
        <v>49</v>
      </c>
      <c r="E287" s="33">
        <v>44460</v>
      </c>
      <c r="F287" s="59">
        <v>2135</v>
      </c>
      <c r="G287" s="59">
        <v>2075</v>
      </c>
      <c r="H287" s="59">
        <v>2075</v>
      </c>
      <c r="I287" s="60">
        <f t="shared" si="16"/>
        <v>1.8609865470852018</v>
      </c>
      <c r="J287" s="60">
        <f t="shared" si="17"/>
        <v>0</v>
      </c>
      <c r="K287" s="60">
        <f t="shared" si="18"/>
        <v>1.8609865470852018</v>
      </c>
      <c r="L287" s="60">
        <f t="shared" si="19"/>
        <v>0</v>
      </c>
    </row>
    <row r="288" spans="1:12" x14ac:dyDescent="0.25">
      <c r="A288" t="s">
        <v>344</v>
      </c>
      <c r="B288" s="58" t="s">
        <v>61</v>
      </c>
      <c r="C288">
        <v>820</v>
      </c>
      <c r="D288" t="s">
        <v>49</v>
      </c>
      <c r="E288" s="33">
        <v>44462</v>
      </c>
      <c r="F288" s="59">
        <v>1660</v>
      </c>
      <c r="G288" s="59">
        <v>1521.67</v>
      </c>
      <c r="H288" s="59">
        <v>1521.6666666666667</v>
      </c>
      <c r="I288" s="60">
        <f t="shared" si="16"/>
        <v>1.8556951219512197</v>
      </c>
      <c r="J288" s="60">
        <f t="shared" si="17"/>
        <v>-3.3333333333303017E-3</v>
      </c>
      <c r="K288" s="60">
        <f t="shared" si="18"/>
        <v>1.8556910569105691</v>
      </c>
      <c r="L288" s="60">
        <f t="shared" si="19"/>
        <v>-4.0650406505360337E-6</v>
      </c>
    </row>
    <row r="289" spans="1:12" x14ac:dyDescent="0.25">
      <c r="A289" t="s">
        <v>345</v>
      </c>
      <c r="B289" s="58" t="s">
        <v>59</v>
      </c>
      <c r="C289">
        <v>1115</v>
      </c>
      <c r="D289" t="s">
        <v>49</v>
      </c>
      <c r="E289" s="33">
        <v>44463</v>
      </c>
      <c r="F289" s="59">
        <v>2135</v>
      </c>
      <c r="G289" s="59">
        <v>2190</v>
      </c>
      <c r="H289" s="59">
        <v>2190</v>
      </c>
      <c r="I289" s="60">
        <f t="shared" si="16"/>
        <v>1.9641255605381165</v>
      </c>
      <c r="J289" s="60">
        <f t="shared" si="17"/>
        <v>0</v>
      </c>
      <c r="K289" s="60">
        <f t="shared" si="18"/>
        <v>1.9641255605381165</v>
      </c>
      <c r="L289" s="60">
        <f t="shared" si="19"/>
        <v>0</v>
      </c>
    </row>
    <row r="290" spans="1:12" x14ac:dyDescent="0.25">
      <c r="A290" t="s">
        <v>195</v>
      </c>
      <c r="B290" s="58" t="s">
        <v>48</v>
      </c>
      <c r="C290">
        <v>806</v>
      </c>
      <c r="D290" t="s">
        <v>49</v>
      </c>
      <c r="E290" s="33">
        <v>44468</v>
      </c>
      <c r="F290" s="59">
        <v>1620</v>
      </c>
      <c r="G290" s="59">
        <v>1420</v>
      </c>
      <c r="H290" s="59">
        <v>1745</v>
      </c>
      <c r="I290" s="60">
        <f t="shared" si="16"/>
        <v>1.7617866004962779</v>
      </c>
      <c r="J290" s="60">
        <f t="shared" si="17"/>
        <v>325</v>
      </c>
      <c r="K290" s="60">
        <f t="shared" si="18"/>
        <v>2.1650124069478909</v>
      </c>
      <c r="L290" s="60">
        <f t="shared" si="19"/>
        <v>0.40322580645161299</v>
      </c>
    </row>
    <row r="291" spans="1:12" x14ac:dyDescent="0.25">
      <c r="A291" t="s">
        <v>346</v>
      </c>
      <c r="B291" s="58" t="s">
        <v>59</v>
      </c>
      <c r="C291">
        <v>1115</v>
      </c>
      <c r="D291" t="s">
        <v>49</v>
      </c>
      <c r="E291" s="33">
        <v>44468</v>
      </c>
      <c r="F291" s="59">
        <v>2165</v>
      </c>
      <c r="G291" s="59">
        <v>2170</v>
      </c>
      <c r="H291" s="59">
        <v>2170</v>
      </c>
      <c r="I291" s="60">
        <f t="shared" si="16"/>
        <v>1.946188340807175</v>
      </c>
      <c r="J291" s="60">
        <f t="shared" si="17"/>
        <v>0</v>
      </c>
      <c r="K291" s="60">
        <f t="shared" si="18"/>
        <v>1.946188340807175</v>
      </c>
      <c r="L291" s="60">
        <f t="shared" si="19"/>
        <v>0</v>
      </c>
    </row>
    <row r="292" spans="1:12" x14ac:dyDescent="0.25">
      <c r="A292" t="s">
        <v>347</v>
      </c>
      <c r="B292" s="58" t="s">
        <v>48</v>
      </c>
      <c r="C292">
        <v>806</v>
      </c>
      <c r="D292" t="s">
        <v>49</v>
      </c>
      <c r="E292" s="33">
        <v>44476</v>
      </c>
      <c r="F292" s="59">
        <v>1620</v>
      </c>
      <c r="G292" s="59">
        <v>1735.42</v>
      </c>
      <c r="H292" s="59">
        <v>1735.4166666666667</v>
      </c>
      <c r="I292" s="60">
        <f t="shared" si="16"/>
        <v>2.1531265508684863</v>
      </c>
      <c r="J292" s="60">
        <f t="shared" si="17"/>
        <v>-3.3333333333303017E-3</v>
      </c>
      <c r="K292" s="60">
        <f t="shared" si="18"/>
        <v>2.1531224152191895</v>
      </c>
      <c r="L292" s="60">
        <f t="shared" si="19"/>
        <v>-4.1356492967992153E-6</v>
      </c>
    </row>
    <row r="293" spans="1:12" x14ac:dyDescent="0.25">
      <c r="A293" t="s">
        <v>348</v>
      </c>
      <c r="B293" s="58" t="s">
        <v>59</v>
      </c>
      <c r="C293">
        <v>1115</v>
      </c>
      <c r="D293" t="s">
        <v>49</v>
      </c>
      <c r="E293" s="33">
        <v>44498</v>
      </c>
      <c r="F293" s="59">
        <v>2135</v>
      </c>
      <c r="G293" s="59">
        <v>2285</v>
      </c>
      <c r="H293" s="59">
        <v>2285</v>
      </c>
      <c r="I293" s="60">
        <f t="shared" si="16"/>
        <v>2.0493273542600896</v>
      </c>
      <c r="J293" s="60">
        <f t="shared" si="17"/>
        <v>0</v>
      </c>
      <c r="K293" s="60">
        <f t="shared" si="18"/>
        <v>2.0493273542600896</v>
      </c>
      <c r="L293" s="60">
        <f t="shared" si="19"/>
        <v>0</v>
      </c>
    </row>
    <row r="294" spans="1:12" x14ac:dyDescent="0.25">
      <c r="A294" t="s">
        <v>349</v>
      </c>
      <c r="B294" s="58" t="s">
        <v>137</v>
      </c>
      <c r="C294">
        <v>1700</v>
      </c>
      <c r="D294" t="s">
        <v>49</v>
      </c>
      <c r="E294" s="33">
        <v>44502</v>
      </c>
      <c r="F294" s="59">
        <v>2995</v>
      </c>
      <c r="G294" s="59">
        <v>2995</v>
      </c>
      <c r="H294" s="59">
        <v>2995</v>
      </c>
      <c r="I294" s="60">
        <f t="shared" si="16"/>
        <v>1.7617647058823529</v>
      </c>
      <c r="J294" s="60">
        <f t="shared" si="17"/>
        <v>0</v>
      </c>
      <c r="K294" s="60">
        <f t="shared" si="18"/>
        <v>1.7617647058823529</v>
      </c>
      <c r="L294" s="60">
        <f t="shared" si="19"/>
        <v>0</v>
      </c>
    </row>
    <row r="295" spans="1:12" x14ac:dyDescent="0.25">
      <c r="A295" t="s">
        <v>350</v>
      </c>
      <c r="B295" s="58" t="s">
        <v>65</v>
      </c>
      <c r="C295">
        <v>813</v>
      </c>
      <c r="D295" t="s">
        <v>49</v>
      </c>
      <c r="E295" s="33">
        <v>44511</v>
      </c>
      <c r="F295" s="59">
        <v>1580</v>
      </c>
      <c r="G295" s="59">
        <v>1775</v>
      </c>
      <c r="H295" s="59">
        <v>1775</v>
      </c>
      <c r="I295" s="60">
        <f t="shared" si="16"/>
        <v>2.1832718327183271</v>
      </c>
      <c r="J295" s="60">
        <f t="shared" si="17"/>
        <v>0</v>
      </c>
      <c r="K295" s="60">
        <f t="shared" si="18"/>
        <v>2.1832718327183271</v>
      </c>
      <c r="L295" s="60">
        <f t="shared" si="19"/>
        <v>0</v>
      </c>
    </row>
    <row r="296" spans="1:12" x14ac:dyDescent="0.25">
      <c r="A296" t="s">
        <v>146</v>
      </c>
      <c r="B296" s="58" t="s">
        <v>86</v>
      </c>
      <c r="C296">
        <v>810</v>
      </c>
      <c r="D296" t="s">
        <v>49</v>
      </c>
      <c r="E296" s="33">
        <v>44515</v>
      </c>
      <c r="F296" s="59">
        <v>1555</v>
      </c>
      <c r="G296" s="59">
        <v>1380</v>
      </c>
      <c r="H296" s="59">
        <v>1745</v>
      </c>
      <c r="I296" s="60">
        <f t="shared" si="16"/>
        <v>1.7037037037037037</v>
      </c>
      <c r="J296" s="60">
        <f t="shared" si="17"/>
        <v>365</v>
      </c>
      <c r="K296" s="60">
        <f t="shared" si="18"/>
        <v>2.1543209876543208</v>
      </c>
      <c r="L296" s="60">
        <f t="shared" si="19"/>
        <v>0.45061728395061706</v>
      </c>
    </row>
    <row r="297" spans="1:12" x14ac:dyDescent="0.25">
      <c r="A297" t="s">
        <v>275</v>
      </c>
      <c r="B297" s="58" t="s">
        <v>57</v>
      </c>
      <c r="C297">
        <v>700</v>
      </c>
      <c r="D297" t="s">
        <v>49</v>
      </c>
      <c r="E297" s="33">
        <v>44516</v>
      </c>
      <c r="F297" s="59">
        <v>1515</v>
      </c>
      <c r="G297" s="59">
        <v>1285.78</v>
      </c>
      <c r="H297" s="59">
        <v>1912</v>
      </c>
      <c r="I297" s="60">
        <f t="shared" si="16"/>
        <v>1.8368285714285715</v>
      </c>
      <c r="J297" s="60">
        <f t="shared" si="17"/>
        <v>626.22</v>
      </c>
      <c r="K297" s="60">
        <f t="shared" si="18"/>
        <v>2.7314285714285713</v>
      </c>
      <c r="L297" s="60">
        <f t="shared" si="19"/>
        <v>0.89459999999999984</v>
      </c>
    </row>
    <row r="298" spans="1:12" x14ac:dyDescent="0.25">
      <c r="A298" t="s">
        <v>270</v>
      </c>
      <c r="B298" s="58" t="s">
        <v>48</v>
      </c>
      <c r="C298">
        <v>806</v>
      </c>
      <c r="D298" t="s">
        <v>49</v>
      </c>
      <c r="E298" s="33">
        <v>44522</v>
      </c>
      <c r="F298" s="59">
        <v>1620</v>
      </c>
      <c r="G298" s="59">
        <v>1620</v>
      </c>
      <c r="H298" s="59">
        <v>2405</v>
      </c>
      <c r="I298" s="60">
        <f t="shared" si="16"/>
        <v>2.0099255583126552</v>
      </c>
      <c r="J298" s="60">
        <f t="shared" si="17"/>
        <v>785</v>
      </c>
      <c r="K298" s="60">
        <f t="shared" si="18"/>
        <v>2.9838709677419355</v>
      </c>
      <c r="L298" s="60">
        <f t="shared" si="19"/>
        <v>0.97394540942928032</v>
      </c>
    </row>
    <row r="299" spans="1:12" x14ac:dyDescent="0.25">
      <c r="A299" t="s">
        <v>351</v>
      </c>
      <c r="B299" s="58" t="s">
        <v>48</v>
      </c>
      <c r="C299">
        <v>806</v>
      </c>
      <c r="D299" t="s">
        <v>49</v>
      </c>
      <c r="E299" s="33">
        <v>44532</v>
      </c>
      <c r="F299" s="59">
        <v>1620</v>
      </c>
      <c r="G299" s="59">
        <v>1915</v>
      </c>
      <c r="H299" s="59">
        <v>1915</v>
      </c>
      <c r="I299" s="60">
        <f t="shared" si="16"/>
        <v>2.3759305210918114</v>
      </c>
      <c r="J299" s="60">
        <f t="shared" si="17"/>
        <v>0</v>
      </c>
      <c r="K299" s="60">
        <f t="shared" si="18"/>
        <v>2.3759305210918114</v>
      </c>
      <c r="L299" s="60">
        <f t="shared" si="19"/>
        <v>0</v>
      </c>
    </row>
    <row r="300" spans="1:12" x14ac:dyDescent="0.25">
      <c r="A300" t="s">
        <v>76</v>
      </c>
      <c r="B300" s="58" t="s">
        <v>74</v>
      </c>
      <c r="C300">
        <v>1169</v>
      </c>
      <c r="D300" t="s">
        <v>49</v>
      </c>
      <c r="E300" s="33">
        <v>44545</v>
      </c>
      <c r="F300" s="59">
        <v>2240</v>
      </c>
      <c r="G300" s="59">
        <v>2161.54</v>
      </c>
      <c r="H300" s="59">
        <v>2280</v>
      </c>
      <c r="I300" s="60">
        <f t="shared" si="16"/>
        <v>1.8490504704875963</v>
      </c>
      <c r="J300" s="60">
        <f t="shared" si="17"/>
        <v>118.46000000000004</v>
      </c>
      <c r="K300" s="60">
        <f t="shared" si="18"/>
        <v>1.9503849443969203</v>
      </c>
      <c r="L300" s="60">
        <f t="shared" si="19"/>
        <v>0.10133447390932404</v>
      </c>
    </row>
    <row r="301" spans="1:12" x14ac:dyDescent="0.25">
      <c r="A301" t="s">
        <v>53</v>
      </c>
      <c r="B301" s="58" t="s">
        <v>48</v>
      </c>
      <c r="C301">
        <v>806</v>
      </c>
      <c r="D301" t="s">
        <v>352</v>
      </c>
      <c r="E301" s="33">
        <v>44551</v>
      </c>
      <c r="F301" s="59">
        <v>1620</v>
      </c>
      <c r="G301" s="59">
        <v>1345</v>
      </c>
      <c r="H301" s="59">
        <v>1562</v>
      </c>
      <c r="I301" s="60">
        <f t="shared" si="16"/>
        <v>1.6687344913151365</v>
      </c>
      <c r="J301" s="60">
        <f t="shared" si="17"/>
        <v>217</v>
      </c>
      <c r="K301" s="60">
        <f t="shared" si="18"/>
        <v>1.9379652605459057</v>
      </c>
      <c r="L301" s="60">
        <f t="shared" si="19"/>
        <v>0.26923076923076916</v>
      </c>
    </row>
    <row r="302" spans="1:12" x14ac:dyDescent="0.25">
      <c r="A302" t="s">
        <v>47</v>
      </c>
      <c r="B302" s="58" t="s">
        <v>48</v>
      </c>
      <c r="C302">
        <v>806</v>
      </c>
      <c r="D302" t="s">
        <v>49</v>
      </c>
      <c r="E302" s="33">
        <v>44564</v>
      </c>
      <c r="F302" s="59">
        <v>1620</v>
      </c>
      <c r="G302" s="59">
        <v>1345</v>
      </c>
      <c r="H302" s="59">
        <v>1425</v>
      </c>
      <c r="I302" s="60">
        <f t="shared" si="16"/>
        <v>1.6687344913151365</v>
      </c>
      <c r="J302" s="60">
        <f t="shared" si="17"/>
        <v>80</v>
      </c>
      <c r="K302" s="60">
        <f t="shared" si="18"/>
        <v>1.7679900744416874</v>
      </c>
      <c r="L302" s="60">
        <f t="shared" si="19"/>
        <v>9.9255583126550917E-2</v>
      </c>
    </row>
    <row r="303" spans="1:12" x14ac:dyDescent="0.25">
      <c r="A303" t="s">
        <v>58</v>
      </c>
      <c r="B303" s="58" t="s">
        <v>59</v>
      </c>
      <c r="C303">
        <v>1115</v>
      </c>
      <c r="D303" t="s">
        <v>352</v>
      </c>
      <c r="E303" s="33">
        <v>44565</v>
      </c>
      <c r="F303" s="59">
        <v>2135</v>
      </c>
      <c r="G303" s="59">
        <v>1650</v>
      </c>
      <c r="H303" s="59">
        <v>1898</v>
      </c>
      <c r="I303" s="60">
        <f t="shared" si="16"/>
        <v>1.4798206278026906</v>
      </c>
      <c r="J303" s="60">
        <f t="shared" si="17"/>
        <v>248</v>
      </c>
      <c r="K303" s="60">
        <f t="shared" si="18"/>
        <v>1.7022421524663678</v>
      </c>
      <c r="L303" s="60">
        <f t="shared" si="19"/>
        <v>0.22242152466367715</v>
      </c>
    </row>
    <row r="304" spans="1:12" x14ac:dyDescent="0.25">
      <c r="A304" t="s">
        <v>54</v>
      </c>
      <c r="B304" s="58" t="s">
        <v>55</v>
      </c>
      <c r="C304">
        <v>764</v>
      </c>
      <c r="D304" t="s">
        <v>352</v>
      </c>
      <c r="E304" s="33">
        <v>44565</v>
      </c>
      <c r="F304" s="59">
        <v>1585</v>
      </c>
      <c r="G304" s="59">
        <v>1335</v>
      </c>
      <c r="H304" s="59">
        <v>1517</v>
      </c>
      <c r="I304" s="60">
        <f t="shared" si="16"/>
        <v>1.7473821989528795</v>
      </c>
      <c r="J304" s="60">
        <f t="shared" si="17"/>
        <v>182</v>
      </c>
      <c r="K304" s="60">
        <f t="shared" si="18"/>
        <v>1.9856020942408377</v>
      </c>
      <c r="L304" s="60">
        <f t="shared" si="19"/>
        <v>0.23821989528795817</v>
      </c>
    </row>
    <row r="305" spans="1:12" x14ac:dyDescent="0.25">
      <c r="A305" t="s">
        <v>56</v>
      </c>
      <c r="B305" s="58" t="s">
        <v>57</v>
      </c>
      <c r="C305">
        <v>700</v>
      </c>
      <c r="D305" t="s">
        <v>352</v>
      </c>
      <c r="E305" s="33">
        <v>44565</v>
      </c>
      <c r="F305" s="59">
        <v>1515</v>
      </c>
      <c r="G305" s="59">
        <v>1325</v>
      </c>
      <c r="H305" s="59">
        <v>1506</v>
      </c>
      <c r="I305" s="60">
        <f t="shared" si="16"/>
        <v>1.8928571428571428</v>
      </c>
      <c r="J305" s="60">
        <f t="shared" si="17"/>
        <v>181</v>
      </c>
      <c r="K305" s="60">
        <f t="shared" si="18"/>
        <v>2.1514285714285712</v>
      </c>
      <c r="L305" s="60">
        <f t="shared" si="19"/>
        <v>0.25857142857142845</v>
      </c>
    </row>
    <row r="306" spans="1:12" x14ac:dyDescent="0.25">
      <c r="A306" t="s">
        <v>87</v>
      </c>
      <c r="B306" s="58" t="s">
        <v>82</v>
      </c>
      <c r="C306">
        <v>1112</v>
      </c>
      <c r="D306" t="s">
        <v>49</v>
      </c>
      <c r="E306" s="33">
        <v>44568</v>
      </c>
      <c r="F306" s="59">
        <v>2125</v>
      </c>
      <c r="G306" s="59">
        <v>1650</v>
      </c>
      <c r="H306" s="59">
        <v>2091</v>
      </c>
      <c r="I306" s="60">
        <f t="shared" si="16"/>
        <v>1.4838129496402879</v>
      </c>
      <c r="J306" s="60">
        <f t="shared" si="17"/>
        <v>441</v>
      </c>
      <c r="K306" s="60">
        <f t="shared" si="18"/>
        <v>1.8803956834532374</v>
      </c>
      <c r="L306" s="60">
        <f t="shared" si="19"/>
        <v>0.39658273381294951</v>
      </c>
    </row>
    <row r="307" spans="1:12" x14ac:dyDescent="0.25">
      <c r="A307" t="s">
        <v>60</v>
      </c>
      <c r="B307" s="58" t="s">
        <v>61</v>
      </c>
      <c r="C307">
        <v>820</v>
      </c>
      <c r="D307" t="s">
        <v>49</v>
      </c>
      <c r="E307" s="33">
        <v>44571</v>
      </c>
      <c r="F307" s="59">
        <v>1645</v>
      </c>
      <c r="G307" s="59">
        <v>1405</v>
      </c>
      <c r="H307" s="59">
        <v>1855</v>
      </c>
      <c r="I307" s="60">
        <f t="shared" si="16"/>
        <v>1.7134146341463414</v>
      </c>
      <c r="J307" s="60">
        <f t="shared" si="17"/>
        <v>450</v>
      </c>
      <c r="K307" s="60">
        <f t="shared" si="18"/>
        <v>2.2621951219512195</v>
      </c>
      <c r="L307" s="60">
        <f t="shared" si="19"/>
        <v>0.54878048780487809</v>
      </c>
    </row>
    <row r="308" spans="1:12" x14ac:dyDescent="0.25">
      <c r="A308" t="s">
        <v>181</v>
      </c>
      <c r="B308" s="58" t="s">
        <v>59</v>
      </c>
      <c r="C308">
        <v>1115</v>
      </c>
      <c r="D308" t="s">
        <v>49</v>
      </c>
      <c r="E308" s="33">
        <v>44575</v>
      </c>
      <c r="F308" s="59">
        <v>2135</v>
      </c>
      <c r="G308" s="59">
        <v>1528.79</v>
      </c>
      <c r="H308" s="59">
        <v>2770</v>
      </c>
      <c r="I308" s="60">
        <f t="shared" si="16"/>
        <v>1.3711121076233184</v>
      </c>
      <c r="J308" s="60">
        <f t="shared" si="17"/>
        <v>1241.21</v>
      </c>
      <c r="K308" s="60">
        <f t="shared" si="18"/>
        <v>2.4843049327354261</v>
      </c>
      <c r="L308" s="60">
        <f t="shared" si="19"/>
        <v>1.1131928251121077</v>
      </c>
    </row>
    <row r="309" spans="1:12" x14ac:dyDescent="0.25">
      <c r="A309" t="s">
        <v>66</v>
      </c>
      <c r="B309" s="58" t="s">
        <v>48</v>
      </c>
      <c r="C309">
        <v>806</v>
      </c>
      <c r="D309" t="s">
        <v>352</v>
      </c>
      <c r="E309" s="33">
        <v>44581</v>
      </c>
      <c r="F309" s="59">
        <v>1620</v>
      </c>
      <c r="G309" s="59">
        <v>1345</v>
      </c>
      <c r="H309" s="59">
        <v>1528</v>
      </c>
      <c r="I309" s="60">
        <f t="shared" si="16"/>
        <v>1.6687344913151365</v>
      </c>
      <c r="J309" s="60">
        <f t="shared" si="17"/>
        <v>183</v>
      </c>
      <c r="K309" s="60">
        <f t="shared" si="18"/>
        <v>1.8957816377171215</v>
      </c>
      <c r="L309" s="60">
        <f t="shared" si="19"/>
        <v>0.22704714640198498</v>
      </c>
    </row>
    <row r="310" spans="1:12" x14ac:dyDescent="0.25">
      <c r="A310" t="s">
        <v>81</v>
      </c>
      <c r="B310" s="58" t="s">
        <v>82</v>
      </c>
      <c r="C310">
        <v>1112</v>
      </c>
      <c r="D310" t="s">
        <v>49</v>
      </c>
      <c r="E310" s="33">
        <v>44582</v>
      </c>
      <c r="F310" s="59">
        <v>2145</v>
      </c>
      <c r="G310" s="59">
        <v>1670</v>
      </c>
      <c r="H310" s="59">
        <v>2220</v>
      </c>
      <c r="I310" s="60">
        <f t="shared" si="16"/>
        <v>1.5017985611510791</v>
      </c>
      <c r="J310" s="60">
        <f t="shared" si="17"/>
        <v>550</v>
      </c>
      <c r="K310" s="60">
        <f t="shared" si="18"/>
        <v>1.9964028776978417</v>
      </c>
      <c r="L310" s="60">
        <f t="shared" si="19"/>
        <v>0.49460431654676262</v>
      </c>
    </row>
    <row r="311" spans="1:12" x14ac:dyDescent="0.25">
      <c r="A311" t="s">
        <v>50</v>
      </c>
      <c r="B311" s="58" t="s">
        <v>51</v>
      </c>
      <c r="C311">
        <v>848</v>
      </c>
      <c r="D311" t="s">
        <v>49</v>
      </c>
      <c r="E311" s="33">
        <v>44585</v>
      </c>
      <c r="F311" s="59">
        <v>1735</v>
      </c>
      <c r="G311" s="59">
        <v>1385</v>
      </c>
      <c r="H311" s="59">
        <v>1775</v>
      </c>
      <c r="I311" s="60">
        <f t="shared" si="16"/>
        <v>1.633254716981132</v>
      </c>
      <c r="J311" s="60">
        <f t="shared" si="17"/>
        <v>390</v>
      </c>
      <c r="K311" s="60">
        <f t="shared" si="18"/>
        <v>2.0931603773584904</v>
      </c>
      <c r="L311" s="60">
        <f t="shared" si="19"/>
        <v>0.45990566037735836</v>
      </c>
    </row>
    <row r="312" spans="1:12" x14ac:dyDescent="0.25">
      <c r="A312" t="s">
        <v>52</v>
      </c>
      <c r="B312" s="58" t="s">
        <v>51</v>
      </c>
      <c r="C312">
        <v>848</v>
      </c>
      <c r="D312" t="s">
        <v>49</v>
      </c>
      <c r="E312" s="33">
        <v>44585</v>
      </c>
      <c r="F312" s="59">
        <v>1735</v>
      </c>
      <c r="G312" s="59">
        <v>1385</v>
      </c>
      <c r="H312" s="59">
        <v>1770</v>
      </c>
      <c r="I312" s="60">
        <f t="shared" si="16"/>
        <v>1.633254716981132</v>
      </c>
      <c r="J312" s="60">
        <f t="shared" si="17"/>
        <v>385</v>
      </c>
      <c r="K312" s="60">
        <f t="shared" si="18"/>
        <v>2.0872641509433962</v>
      </c>
      <c r="L312" s="60">
        <f t="shared" si="19"/>
        <v>0.45400943396226423</v>
      </c>
    </row>
    <row r="313" spans="1:12" x14ac:dyDescent="0.25">
      <c r="A313" t="s">
        <v>67</v>
      </c>
      <c r="B313" s="58" t="s">
        <v>51</v>
      </c>
      <c r="C313">
        <v>848</v>
      </c>
      <c r="D313" t="s">
        <v>352</v>
      </c>
      <c r="E313" s="33">
        <v>44586</v>
      </c>
      <c r="F313" s="59">
        <v>1765</v>
      </c>
      <c r="G313" s="59">
        <v>1415</v>
      </c>
      <c r="H313" s="59">
        <v>1633</v>
      </c>
      <c r="I313" s="60">
        <f t="shared" si="16"/>
        <v>1.6686320754716981</v>
      </c>
      <c r="J313" s="60">
        <f t="shared" si="17"/>
        <v>218</v>
      </c>
      <c r="K313" s="60">
        <f t="shared" si="18"/>
        <v>1.9257075471698113</v>
      </c>
      <c r="L313" s="60">
        <f t="shared" si="19"/>
        <v>0.25707547169811318</v>
      </c>
    </row>
    <row r="314" spans="1:12" x14ac:dyDescent="0.25">
      <c r="A314" t="s">
        <v>69</v>
      </c>
      <c r="B314" s="58" t="s">
        <v>61</v>
      </c>
      <c r="C314">
        <v>820</v>
      </c>
      <c r="D314" t="s">
        <v>352</v>
      </c>
      <c r="E314" s="33">
        <v>44589</v>
      </c>
      <c r="F314" s="59">
        <v>1615</v>
      </c>
      <c r="G314" s="59">
        <v>1375</v>
      </c>
      <c r="H314" s="59">
        <v>1540</v>
      </c>
      <c r="I314" s="60">
        <f t="shared" si="16"/>
        <v>1.6768292682926829</v>
      </c>
      <c r="J314" s="60">
        <f t="shared" si="17"/>
        <v>165</v>
      </c>
      <c r="K314" s="60">
        <f t="shared" si="18"/>
        <v>1.8780487804878048</v>
      </c>
      <c r="L314" s="60">
        <f t="shared" si="19"/>
        <v>0.20121951219512191</v>
      </c>
    </row>
    <row r="315" spans="1:12" x14ac:dyDescent="0.25">
      <c r="A315" t="s">
        <v>71</v>
      </c>
      <c r="B315" s="58" t="s">
        <v>55</v>
      </c>
      <c r="C315">
        <v>764</v>
      </c>
      <c r="D315" t="s">
        <v>49</v>
      </c>
      <c r="E315" s="33">
        <v>44589</v>
      </c>
      <c r="F315" s="59">
        <v>1585</v>
      </c>
      <c r="G315" s="59">
        <v>1335</v>
      </c>
      <c r="H315" s="59">
        <v>1625</v>
      </c>
      <c r="I315" s="60">
        <f t="shared" si="16"/>
        <v>1.7473821989528795</v>
      </c>
      <c r="J315" s="60">
        <f t="shared" si="17"/>
        <v>290</v>
      </c>
      <c r="K315" s="60">
        <f t="shared" si="18"/>
        <v>2.1269633507853403</v>
      </c>
      <c r="L315" s="60">
        <f t="shared" si="19"/>
        <v>0.37958115183246077</v>
      </c>
    </row>
    <row r="316" spans="1:12" x14ac:dyDescent="0.25">
      <c r="A316" t="s">
        <v>68</v>
      </c>
      <c r="B316" s="58" t="s">
        <v>61</v>
      </c>
      <c r="C316">
        <v>820</v>
      </c>
      <c r="D316" t="s">
        <v>49</v>
      </c>
      <c r="E316" s="33">
        <v>44592</v>
      </c>
      <c r="F316" s="59">
        <v>1615</v>
      </c>
      <c r="G316" s="59">
        <v>1375</v>
      </c>
      <c r="H316" s="59">
        <v>1680</v>
      </c>
      <c r="I316" s="60">
        <f t="shared" si="16"/>
        <v>1.6768292682926829</v>
      </c>
      <c r="J316" s="60">
        <f t="shared" si="17"/>
        <v>305</v>
      </c>
      <c r="K316" s="60">
        <f t="shared" si="18"/>
        <v>2.0487804878048781</v>
      </c>
      <c r="L316" s="60">
        <f t="shared" si="19"/>
        <v>0.37195121951219523</v>
      </c>
    </row>
    <row r="317" spans="1:12" x14ac:dyDescent="0.25">
      <c r="A317" t="s">
        <v>176</v>
      </c>
      <c r="B317" s="58" t="s">
        <v>48</v>
      </c>
      <c r="C317">
        <v>806</v>
      </c>
      <c r="D317" t="s">
        <v>49</v>
      </c>
      <c r="E317" s="33">
        <v>44593</v>
      </c>
      <c r="F317" s="59">
        <v>1620</v>
      </c>
      <c r="G317" s="59">
        <v>1256.1500000000001</v>
      </c>
      <c r="H317" s="59">
        <v>1620</v>
      </c>
      <c r="I317" s="60">
        <f t="shared" si="16"/>
        <v>1.5584987593052111</v>
      </c>
      <c r="J317" s="60">
        <f t="shared" si="17"/>
        <v>363.84999999999991</v>
      </c>
      <c r="K317" s="60">
        <f t="shared" si="18"/>
        <v>2.0099255583126552</v>
      </c>
      <c r="L317" s="60">
        <f t="shared" si="19"/>
        <v>0.45142679900744409</v>
      </c>
    </row>
    <row r="318" spans="1:12" x14ac:dyDescent="0.25">
      <c r="A318" t="s">
        <v>70</v>
      </c>
      <c r="B318" s="58" t="s">
        <v>51</v>
      </c>
      <c r="C318">
        <v>848</v>
      </c>
      <c r="D318" t="s">
        <v>49</v>
      </c>
      <c r="E318" s="33">
        <v>44595</v>
      </c>
      <c r="F318" s="59">
        <v>1735</v>
      </c>
      <c r="G318" s="59">
        <v>1385</v>
      </c>
      <c r="H318" s="59">
        <v>1735</v>
      </c>
      <c r="I318" s="60">
        <f t="shared" si="16"/>
        <v>1.633254716981132</v>
      </c>
      <c r="J318" s="60">
        <f t="shared" si="17"/>
        <v>350</v>
      </c>
      <c r="K318" s="60">
        <f t="shared" si="18"/>
        <v>2.045990566037736</v>
      </c>
      <c r="L318" s="60">
        <f t="shared" si="19"/>
        <v>0.41273584905660399</v>
      </c>
    </row>
    <row r="319" spans="1:12" x14ac:dyDescent="0.25">
      <c r="A319" t="s">
        <v>317</v>
      </c>
      <c r="B319" s="58" t="s">
        <v>74</v>
      </c>
      <c r="C319">
        <v>1169</v>
      </c>
      <c r="D319" t="s">
        <v>49</v>
      </c>
      <c r="E319" s="33">
        <v>44596</v>
      </c>
      <c r="F319" s="59">
        <v>2220</v>
      </c>
      <c r="G319" s="59">
        <v>1963.85</v>
      </c>
      <c r="H319" s="59">
        <v>2225</v>
      </c>
      <c r="I319" s="60">
        <f t="shared" si="16"/>
        <v>1.6799401197604789</v>
      </c>
      <c r="J319" s="60">
        <f t="shared" si="17"/>
        <v>261.15000000000009</v>
      </c>
      <c r="K319" s="60">
        <f t="shared" si="18"/>
        <v>1.9033361847733106</v>
      </c>
      <c r="L319" s="60">
        <f t="shared" si="19"/>
        <v>0.22339606501283171</v>
      </c>
    </row>
    <row r="320" spans="1:12" x14ac:dyDescent="0.25">
      <c r="A320" t="s">
        <v>72</v>
      </c>
      <c r="B320" s="58" t="s">
        <v>59</v>
      </c>
      <c r="C320">
        <v>1115</v>
      </c>
      <c r="D320" t="s">
        <v>352</v>
      </c>
      <c r="E320" s="33">
        <v>44600</v>
      </c>
      <c r="F320" s="59">
        <v>2165</v>
      </c>
      <c r="G320" s="59">
        <v>1680</v>
      </c>
      <c r="H320" s="59">
        <v>1936</v>
      </c>
      <c r="I320" s="60">
        <f t="shared" si="16"/>
        <v>1.506726457399103</v>
      </c>
      <c r="J320" s="60">
        <f t="shared" si="17"/>
        <v>256</v>
      </c>
      <c r="K320" s="60">
        <f t="shared" si="18"/>
        <v>1.7363228699551569</v>
      </c>
      <c r="L320" s="60">
        <f t="shared" si="19"/>
        <v>0.2295964125560539</v>
      </c>
    </row>
    <row r="321" spans="1:12" x14ac:dyDescent="0.25">
      <c r="A321" t="s">
        <v>77</v>
      </c>
      <c r="B321" s="58" t="s">
        <v>65</v>
      </c>
      <c r="C321">
        <v>813</v>
      </c>
      <c r="D321" t="s">
        <v>49</v>
      </c>
      <c r="E321" s="33">
        <v>44603</v>
      </c>
      <c r="F321" s="59">
        <v>1580</v>
      </c>
      <c r="G321" s="59">
        <v>1365</v>
      </c>
      <c r="H321" s="59">
        <v>1542</v>
      </c>
      <c r="I321" s="60">
        <f t="shared" si="16"/>
        <v>1.6789667896678966</v>
      </c>
      <c r="J321" s="60">
        <f t="shared" si="17"/>
        <v>177</v>
      </c>
      <c r="K321" s="60">
        <f t="shared" si="18"/>
        <v>1.896678966789668</v>
      </c>
      <c r="L321" s="60">
        <f t="shared" si="19"/>
        <v>0.21771217712177138</v>
      </c>
    </row>
    <row r="322" spans="1:12" x14ac:dyDescent="0.25">
      <c r="A322" t="s">
        <v>73</v>
      </c>
      <c r="B322" s="58" t="s">
        <v>74</v>
      </c>
      <c r="C322">
        <v>1169</v>
      </c>
      <c r="D322" t="s">
        <v>49</v>
      </c>
      <c r="E322" s="33">
        <v>44606</v>
      </c>
      <c r="F322" s="59">
        <v>2195</v>
      </c>
      <c r="G322" s="59">
        <v>1695</v>
      </c>
      <c r="H322" s="59">
        <v>3720</v>
      </c>
      <c r="I322" s="60">
        <f t="shared" ref="I322:I385" si="20">G322/C322</f>
        <v>1.4499572284003421</v>
      </c>
      <c r="J322" s="60">
        <f t="shared" ref="J322:J385" si="21">SUM(H322-G322)</f>
        <v>2025</v>
      </c>
      <c r="K322" s="60">
        <f t="shared" ref="K322:K385" si="22">H322/C322</f>
        <v>3.1822070145423438</v>
      </c>
      <c r="L322" s="60">
        <f t="shared" ref="L322:L385" si="23">K322-I322</f>
        <v>1.7322497861420016</v>
      </c>
    </row>
    <row r="323" spans="1:12" x14ac:dyDescent="0.25">
      <c r="A323" t="s">
        <v>318</v>
      </c>
      <c r="B323" s="58" t="s">
        <v>57</v>
      </c>
      <c r="C323">
        <v>700</v>
      </c>
      <c r="D323" t="s">
        <v>49</v>
      </c>
      <c r="E323" s="33">
        <v>44609</v>
      </c>
      <c r="F323" s="59">
        <v>1515</v>
      </c>
      <c r="G323" s="59">
        <v>1398.46</v>
      </c>
      <c r="H323" s="59">
        <v>1555</v>
      </c>
      <c r="I323" s="60">
        <f t="shared" si="20"/>
        <v>1.9978</v>
      </c>
      <c r="J323" s="60">
        <f t="shared" si="21"/>
        <v>156.53999999999996</v>
      </c>
      <c r="K323" s="60">
        <f t="shared" si="22"/>
        <v>2.2214285714285715</v>
      </c>
      <c r="L323" s="60">
        <f t="shared" si="23"/>
        <v>0.22362857142857151</v>
      </c>
    </row>
    <row r="324" spans="1:12" x14ac:dyDescent="0.25">
      <c r="A324" t="s">
        <v>85</v>
      </c>
      <c r="B324" s="58" t="s">
        <v>86</v>
      </c>
      <c r="C324">
        <v>810</v>
      </c>
      <c r="D324" t="s">
        <v>49</v>
      </c>
      <c r="E324" s="33">
        <v>44613</v>
      </c>
      <c r="F324" s="59">
        <v>1555</v>
      </c>
      <c r="G324" s="59">
        <v>1355</v>
      </c>
      <c r="H324" s="59">
        <v>1640</v>
      </c>
      <c r="I324" s="60">
        <f t="shared" si="20"/>
        <v>1.6728395061728396</v>
      </c>
      <c r="J324" s="60">
        <f t="shared" si="21"/>
        <v>285</v>
      </c>
      <c r="K324" s="60">
        <f t="shared" si="22"/>
        <v>2.0246913580246915</v>
      </c>
      <c r="L324" s="60">
        <f t="shared" si="23"/>
        <v>0.35185185185185186</v>
      </c>
    </row>
    <row r="325" spans="1:12" x14ac:dyDescent="0.25">
      <c r="A325" t="s">
        <v>84</v>
      </c>
      <c r="B325" s="58" t="s">
        <v>57</v>
      </c>
      <c r="C325">
        <v>700</v>
      </c>
      <c r="D325" t="s">
        <v>49</v>
      </c>
      <c r="E325" s="33">
        <v>44613</v>
      </c>
      <c r="F325" s="59">
        <v>1515</v>
      </c>
      <c r="G325" s="59">
        <v>1325</v>
      </c>
      <c r="H325" s="59">
        <v>1585</v>
      </c>
      <c r="I325" s="60">
        <f t="shared" si="20"/>
        <v>1.8928571428571428</v>
      </c>
      <c r="J325" s="60">
        <f t="shared" si="21"/>
        <v>260</v>
      </c>
      <c r="K325" s="60">
        <f t="shared" si="22"/>
        <v>2.2642857142857142</v>
      </c>
      <c r="L325" s="60">
        <f t="shared" si="23"/>
        <v>0.37142857142857144</v>
      </c>
    </row>
    <row r="326" spans="1:12" x14ac:dyDescent="0.25">
      <c r="A326" t="s">
        <v>83</v>
      </c>
      <c r="B326" s="58" t="s">
        <v>55</v>
      </c>
      <c r="C326">
        <v>764</v>
      </c>
      <c r="D326" t="s">
        <v>49</v>
      </c>
      <c r="E326" s="33">
        <v>44613</v>
      </c>
      <c r="F326" s="59">
        <v>1585</v>
      </c>
      <c r="G326" s="59">
        <v>1335</v>
      </c>
      <c r="H326" s="59">
        <v>1625</v>
      </c>
      <c r="I326" s="60">
        <f t="shared" si="20"/>
        <v>1.7473821989528795</v>
      </c>
      <c r="J326" s="60">
        <f t="shared" si="21"/>
        <v>290</v>
      </c>
      <c r="K326" s="60">
        <f t="shared" si="22"/>
        <v>2.1269633507853403</v>
      </c>
      <c r="L326" s="60">
        <f t="shared" si="23"/>
        <v>0.37958115183246077</v>
      </c>
    </row>
    <row r="327" spans="1:12" x14ac:dyDescent="0.25">
      <c r="A327" t="s">
        <v>63</v>
      </c>
      <c r="B327" s="58" t="s">
        <v>57</v>
      </c>
      <c r="C327">
        <v>700</v>
      </c>
      <c r="D327" t="s">
        <v>49</v>
      </c>
      <c r="E327" s="33">
        <v>44613</v>
      </c>
      <c r="F327" s="59">
        <v>1560</v>
      </c>
      <c r="G327" s="59">
        <v>1370</v>
      </c>
      <c r="H327" s="59">
        <v>1670</v>
      </c>
      <c r="I327" s="60">
        <f t="shared" si="20"/>
        <v>1.9571428571428571</v>
      </c>
      <c r="J327" s="60">
        <f t="shared" si="21"/>
        <v>300</v>
      </c>
      <c r="K327" s="60">
        <f t="shared" si="22"/>
        <v>2.3857142857142857</v>
      </c>
      <c r="L327" s="60">
        <f t="shared" si="23"/>
        <v>0.4285714285714286</v>
      </c>
    </row>
    <row r="328" spans="1:12" x14ac:dyDescent="0.25">
      <c r="A328" t="s">
        <v>89</v>
      </c>
      <c r="B328" s="58" t="s">
        <v>55</v>
      </c>
      <c r="C328">
        <v>764</v>
      </c>
      <c r="D328" t="s">
        <v>352</v>
      </c>
      <c r="E328" s="33">
        <v>44617</v>
      </c>
      <c r="F328" s="59">
        <v>1585</v>
      </c>
      <c r="G328" s="59">
        <v>1335</v>
      </c>
      <c r="H328" s="59">
        <v>1776</v>
      </c>
      <c r="I328" s="60">
        <f t="shared" si="20"/>
        <v>1.7473821989528795</v>
      </c>
      <c r="J328" s="60">
        <f t="shared" si="21"/>
        <v>441</v>
      </c>
      <c r="K328" s="60">
        <f t="shared" si="22"/>
        <v>2.3246073298429319</v>
      </c>
      <c r="L328" s="60">
        <f t="shared" si="23"/>
        <v>0.57722513089005245</v>
      </c>
    </row>
    <row r="329" spans="1:12" x14ac:dyDescent="0.25">
      <c r="A329" t="s">
        <v>93</v>
      </c>
      <c r="B329" s="58" t="s">
        <v>65</v>
      </c>
      <c r="C329">
        <v>813</v>
      </c>
      <c r="D329" t="s">
        <v>352</v>
      </c>
      <c r="E329" s="33">
        <v>44620</v>
      </c>
      <c r="F329" s="59">
        <v>1580</v>
      </c>
      <c r="G329" s="59">
        <v>1365</v>
      </c>
      <c r="H329" s="59">
        <v>1547</v>
      </c>
      <c r="I329" s="60">
        <f t="shared" si="20"/>
        <v>1.6789667896678966</v>
      </c>
      <c r="J329" s="60">
        <f t="shared" si="21"/>
        <v>182</v>
      </c>
      <c r="K329" s="60">
        <f t="shared" si="22"/>
        <v>1.9028290282902829</v>
      </c>
      <c r="L329" s="60">
        <f t="shared" si="23"/>
        <v>0.2238622386223863</v>
      </c>
    </row>
    <row r="330" spans="1:12" x14ac:dyDescent="0.25">
      <c r="A330" t="s">
        <v>88</v>
      </c>
      <c r="B330" s="58" t="s">
        <v>82</v>
      </c>
      <c r="C330">
        <v>1112</v>
      </c>
      <c r="D330" t="s">
        <v>49</v>
      </c>
      <c r="E330" s="33">
        <v>44621</v>
      </c>
      <c r="F330" s="59">
        <v>2145</v>
      </c>
      <c r="G330" s="59">
        <v>1670</v>
      </c>
      <c r="H330" s="59">
        <v>2145</v>
      </c>
      <c r="I330" s="60">
        <f t="shared" si="20"/>
        <v>1.5017985611510791</v>
      </c>
      <c r="J330" s="60">
        <f t="shared" si="21"/>
        <v>475</v>
      </c>
      <c r="K330" s="60">
        <f t="shared" si="22"/>
        <v>1.9289568345323742</v>
      </c>
      <c r="L330" s="60">
        <f t="shared" si="23"/>
        <v>0.42715827338129508</v>
      </c>
    </row>
    <row r="331" spans="1:12" x14ac:dyDescent="0.25">
      <c r="A331" t="s">
        <v>275</v>
      </c>
      <c r="B331" s="58" t="s">
        <v>57</v>
      </c>
      <c r="C331">
        <v>700</v>
      </c>
      <c r="D331" t="s">
        <v>49</v>
      </c>
      <c r="E331" s="33">
        <v>44624</v>
      </c>
      <c r="F331" s="59">
        <v>1515</v>
      </c>
      <c r="G331" s="59">
        <v>1912</v>
      </c>
      <c r="H331" s="59">
        <v>1800</v>
      </c>
      <c r="I331" s="60">
        <f t="shared" si="20"/>
        <v>2.7314285714285713</v>
      </c>
      <c r="J331" s="60">
        <f t="shared" si="21"/>
        <v>-112</v>
      </c>
      <c r="K331" s="60">
        <f t="shared" si="22"/>
        <v>2.5714285714285716</v>
      </c>
      <c r="L331" s="60">
        <f t="shared" si="23"/>
        <v>-0.1599999999999997</v>
      </c>
    </row>
    <row r="332" spans="1:12" x14ac:dyDescent="0.25">
      <c r="A332" t="s">
        <v>300</v>
      </c>
      <c r="B332" s="58" t="s">
        <v>57</v>
      </c>
      <c r="C332">
        <v>700</v>
      </c>
      <c r="D332" t="s">
        <v>49</v>
      </c>
      <c r="E332" s="33">
        <v>44624</v>
      </c>
      <c r="F332" s="59">
        <v>1515</v>
      </c>
      <c r="G332" s="59">
        <v>1398.46</v>
      </c>
      <c r="H332" s="59">
        <v>1315</v>
      </c>
      <c r="I332" s="60">
        <f t="shared" si="20"/>
        <v>1.9978</v>
      </c>
      <c r="J332" s="60">
        <f t="shared" si="21"/>
        <v>-83.460000000000036</v>
      </c>
      <c r="K332" s="60">
        <f t="shared" si="22"/>
        <v>1.8785714285714286</v>
      </c>
      <c r="L332" s="60">
        <f t="shared" si="23"/>
        <v>-0.11922857142857146</v>
      </c>
    </row>
    <row r="333" spans="1:12" x14ac:dyDescent="0.25">
      <c r="A333" t="s">
        <v>91</v>
      </c>
      <c r="B333" s="58" t="s">
        <v>59</v>
      </c>
      <c r="C333">
        <v>1115</v>
      </c>
      <c r="D333" t="s">
        <v>49</v>
      </c>
      <c r="E333" s="33">
        <v>44624</v>
      </c>
      <c r="F333" s="59">
        <v>2135</v>
      </c>
      <c r="G333" s="59">
        <v>1650</v>
      </c>
      <c r="H333" s="59">
        <v>2145</v>
      </c>
      <c r="I333" s="60">
        <f t="shared" si="20"/>
        <v>1.4798206278026906</v>
      </c>
      <c r="J333" s="60">
        <f t="shared" si="21"/>
        <v>495</v>
      </c>
      <c r="K333" s="60">
        <f t="shared" si="22"/>
        <v>1.9237668161434978</v>
      </c>
      <c r="L333" s="60">
        <f t="shared" si="23"/>
        <v>0.44394618834080712</v>
      </c>
    </row>
    <row r="334" spans="1:12" x14ac:dyDescent="0.25">
      <c r="A334" t="s">
        <v>92</v>
      </c>
      <c r="B334" s="58" t="s">
        <v>51</v>
      </c>
      <c r="C334">
        <v>848</v>
      </c>
      <c r="D334" t="s">
        <v>49</v>
      </c>
      <c r="E334" s="33">
        <v>44628</v>
      </c>
      <c r="F334" s="59">
        <v>1735</v>
      </c>
      <c r="G334" s="59">
        <v>1385</v>
      </c>
      <c r="H334" s="59">
        <v>1760</v>
      </c>
      <c r="I334" s="60">
        <f t="shared" si="20"/>
        <v>1.633254716981132</v>
      </c>
      <c r="J334" s="60">
        <f t="shared" si="21"/>
        <v>375</v>
      </c>
      <c r="K334" s="60">
        <f t="shared" si="22"/>
        <v>2.0754716981132075</v>
      </c>
      <c r="L334" s="60">
        <f t="shared" si="23"/>
        <v>0.44221698113207553</v>
      </c>
    </row>
    <row r="335" spans="1:12" x14ac:dyDescent="0.25">
      <c r="A335" t="s">
        <v>97</v>
      </c>
      <c r="B335" s="58" t="s">
        <v>61</v>
      </c>
      <c r="C335">
        <v>820</v>
      </c>
      <c r="D335" t="s">
        <v>49</v>
      </c>
      <c r="E335" s="33">
        <v>44628</v>
      </c>
      <c r="F335" s="59">
        <v>1660</v>
      </c>
      <c r="G335" s="59">
        <v>1355</v>
      </c>
      <c r="H335" s="59">
        <v>1835</v>
      </c>
      <c r="I335" s="60">
        <f t="shared" si="20"/>
        <v>1.6524390243902438</v>
      </c>
      <c r="J335" s="60">
        <f t="shared" si="21"/>
        <v>480</v>
      </c>
      <c r="K335" s="60">
        <f t="shared" si="22"/>
        <v>2.2378048780487805</v>
      </c>
      <c r="L335" s="60">
        <f t="shared" si="23"/>
        <v>0.58536585365853666</v>
      </c>
    </row>
    <row r="336" spans="1:12" x14ac:dyDescent="0.25">
      <c r="A336" t="s">
        <v>98</v>
      </c>
      <c r="B336" s="58" t="s">
        <v>82</v>
      </c>
      <c r="C336">
        <v>1112</v>
      </c>
      <c r="D336" t="s">
        <v>352</v>
      </c>
      <c r="E336" s="33">
        <v>44628</v>
      </c>
      <c r="F336" s="59">
        <v>2125</v>
      </c>
      <c r="G336" s="59">
        <v>1650</v>
      </c>
      <c r="H336" s="59">
        <v>1848</v>
      </c>
      <c r="I336" s="60">
        <f t="shared" si="20"/>
        <v>1.4838129496402879</v>
      </c>
      <c r="J336" s="60">
        <f t="shared" si="21"/>
        <v>198</v>
      </c>
      <c r="K336" s="60">
        <f t="shared" si="22"/>
        <v>1.6618705035971224</v>
      </c>
      <c r="L336" s="60">
        <f t="shared" si="23"/>
        <v>0.17805755395683454</v>
      </c>
    </row>
    <row r="337" spans="1:12" x14ac:dyDescent="0.25">
      <c r="A337" t="s">
        <v>90</v>
      </c>
      <c r="B337" s="58" t="s">
        <v>48</v>
      </c>
      <c r="C337">
        <v>806</v>
      </c>
      <c r="D337" t="s">
        <v>49</v>
      </c>
      <c r="E337" s="33">
        <v>44629</v>
      </c>
      <c r="F337" s="59">
        <v>1620</v>
      </c>
      <c r="G337" s="59">
        <v>1345</v>
      </c>
      <c r="H337" s="59">
        <v>1795</v>
      </c>
      <c r="I337" s="60">
        <f t="shared" si="20"/>
        <v>1.6687344913151365</v>
      </c>
      <c r="J337" s="60">
        <f t="shared" si="21"/>
        <v>450</v>
      </c>
      <c r="K337" s="60">
        <f t="shared" si="22"/>
        <v>2.227047146401985</v>
      </c>
      <c r="L337" s="60">
        <f t="shared" si="23"/>
        <v>0.55831265508684846</v>
      </c>
    </row>
    <row r="338" spans="1:12" x14ac:dyDescent="0.25">
      <c r="A338" t="s">
        <v>94</v>
      </c>
      <c r="B338" s="58" t="s">
        <v>59</v>
      </c>
      <c r="C338">
        <v>1115</v>
      </c>
      <c r="D338" t="s">
        <v>49</v>
      </c>
      <c r="E338" s="33">
        <v>44631</v>
      </c>
      <c r="F338" s="59">
        <v>2135</v>
      </c>
      <c r="G338" s="59">
        <v>1650</v>
      </c>
      <c r="H338" s="59">
        <v>2145</v>
      </c>
      <c r="I338" s="60">
        <f t="shared" si="20"/>
        <v>1.4798206278026906</v>
      </c>
      <c r="J338" s="60">
        <f t="shared" si="21"/>
        <v>495</v>
      </c>
      <c r="K338" s="60">
        <f t="shared" si="22"/>
        <v>1.9237668161434978</v>
      </c>
      <c r="L338" s="60">
        <f t="shared" si="23"/>
        <v>0.44394618834080712</v>
      </c>
    </row>
    <row r="339" spans="1:12" x14ac:dyDescent="0.25">
      <c r="A339" t="s">
        <v>100</v>
      </c>
      <c r="B339" s="58" t="s">
        <v>65</v>
      </c>
      <c r="C339">
        <v>813</v>
      </c>
      <c r="D339" t="s">
        <v>352</v>
      </c>
      <c r="E339" s="33">
        <v>44635</v>
      </c>
      <c r="F339" s="59">
        <v>1580</v>
      </c>
      <c r="G339" s="59">
        <v>1365</v>
      </c>
      <c r="H339" s="59">
        <v>1547</v>
      </c>
      <c r="I339" s="60">
        <f t="shared" si="20"/>
        <v>1.6789667896678966</v>
      </c>
      <c r="J339" s="60">
        <f t="shared" si="21"/>
        <v>182</v>
      </c>
      <c r="K339" s="60">
        <f t="shared" si="22"/>
        <v>1.9028290282902829</v>
      </c>
      <c r="L339" s="60">
        <f t="shared" si="23"/>
        <v>0.2238622386223863</v>
      </c>
    </row>
    <row r="340" spans="1:12" x14ac:dyDescent="0.25">
      <c r="A340" t="s">
        <v>95</v>
      </c>
      <c r="B340" s="58" t="s">
        <v>82</v>
      </c>
      <c r="C340">
        <v>1112</v>
      </c>
      <c r="D340" t="s">
        <v>49</v>
      </c>
      <c r="E340" s="33">
        <v>44637</v>
      </c>
      <c r="F340" s="59">
        <v>2125</v>
      </c>
      <c r="G340" s="59">
        <v>1650</v>
      </c>
      <c r="H340" s="59">
        <v>2110</v>
      </c>
      <c r="I340" s="60">
        <f t="shared" si="20"/>
        <v>1.4838129496402879</v>
      </c>
      <c r="J340" s="60">
        <f t="shared" si="21"/>
        <v>460</v>
      </c>
      <c r="K340" s="60">
        <f t="shared" si="22"/>
        <v>1.8974820143884892</v>
      </c>
      <c r="L340" s="60">
        <f t="shared" si="23"/>
        <v>0.41366906474820131</v>
      </c>
    </row>
    <row r="341" spans="1:12" x14ac:dyDescent="0.25">
      <c r="A341" t="s">
        <v>102</v>
      </c>
      <c r="B341" s="58" t="s">
        <v>86</v>
      </c>
      <c r="C341">
        <v>810</v>
      </c>
      <c r="D341" t="s">
        <v>49</v>
      </c>
      <c r="E341" s="33">
        <v>44638</v>
      </c>
      <c r="F341" s="59">
        <v>1505</v>
      </c>
      <c r="G341" s="59">
        <v>1355</v>
      </c>
      <c r="H341" s="59">
        <v>1585</v>
      </c>
      <c r="I341" s="60">
        <f t="shared" si="20"/>
        <v>1.6728395061728396</v>
      </c>
      <c r="J341" s="60">
        <f t="shared" si="21"/>
        <v>230</v>
      </c>
      <c r="K341" s="60">
        <f t="shared" si="22"/>
        <v>1.9567901234567902</v>
      </c>
      <c r="L341" s="60">
        <f t="shared" si="23"/>
        <v>0.28395061728395055</v>
      </c>
    </row>
    <row r="342" spans="1:12" x14ac:dyDescent="0.25">
      <c r="A342" t="s">
        <v>104</v>
      </c>
      <c r="B342" s="58" t="s">
        <v>65</v>
      </c>
      <c r="C342">
        <v>813</v>
      </c>
      <c r="D342" t="s">
        <v>352</v>
      </c>
      <c r="E342" s="33">
        <v>44642</v>
      </c>
      <c r="F342" s="59">
        <v>1580</v>
      </c>
      <c r="G342" s="59">
        <v>1365</v>
      </c>
      <c r="H342" s="59">
        <v>1579</v>
      </c>
      <c r="I342" s="60">
        <f t="shared" si="20"/>
        <v>1.6789667896678966</v>
      </c>
      <c r="J342" s="60">
        <f t="shared" si="21"/>
        <v>214</v>
      </c>
      <c r="K342" s="60">
        <f t="shared" si="22"/>
        <v>1.9421894218942188</v>
      </c>
      <c r="L342" s="60">
        <f t="shared" si="23"/>
        <v>0.26322263222632225</v>
      </c>
    </row>
    <row r="343" spans="1:12" x14ac:dyDescent="0.25">
      <c r="A343" t="s">
        <v>270</v>
      </c>
      <c r="B343" s="58" t="s">
        <v>48</v>
      </c>
      <c r="C343">
        <v>806</v>
      </c>
      <c r="D343" t="s">
        <v>352</v>
      </c>
      <c r="E343" s="33">
        <v>44642</v>
      </c>
      <c r="F343" s="59">
        <v>1620</v>
      </c>
      <c r="G343" s="59">
        <v>2405</v>
      </c>
      <c r="H343" s="59">
        <v>1725</v>
      </c>
      <c r="I343" s="60">
        <f t="shared" si="20"/>
        <v>2.9838709677419355</v>
      </c>
      <c r="J343" s="60">
        <f t="shared" si="21"/>
        <v>-680</v>
      </c>
      <c r="K343" s="60">
        <f t="shared" si="22"/>
        <v>2.1401985111662531</v>
      </c>
      <c r="L343" s="60">
        <f t="shared" si="23"/>
        <v>-0.84367245657568235</v>
      </c>
    </row>
    <row r="344" spans="1:12" x14ac:dyDescent="0.25">
      <c r="A344" t="s">
        <v>103</v>
      </c>
      <c r="B344" s="58" t="s">
        <v>65</v>
      </c>
      <c r="C344">
        <v>813</v>
      </c>
      <c r="D344" t="s">
        <v>49</v>
      </c>
      <c r="E344" s="33">
        <v>44642</v>
      </c>
      <c r="F344" s="59">
        <v>1580</v>
      </c>
      <c r="G344" s="59">
        <v>1365</v>
      </c>
      <c r="H344" s="59">
        <v>1685</v>
      </c>
      <c r="I344" s="60">
        <f t="shared" si="20"/>
        <v>1.6789667896678966</v>
      </c>
      <c r="J344" s="60">
        <f t="shared" si="21"/>
        <v>320</v>
      </c>
      <c r="K344" s="60">
        <f t="shared" si="22"/>
        <v>2.0725707257072572</v>
      </c>
      <c r="L344" s="60">
        <f t="shared" si="23"/>
        <v>0.39360393603936061</v>
      </c>
    </row>
    <row r="345" spans="1:12" x14ac:dyDescent="0.25">
      <c r="A345" t="s">
        <v>101</v>
      </c>
      <c r="B345" s="58" t="s">
        <v>48</v>
      </c>
      <c r="C345">
        <v>806</v>
      </c>
      <c r="D345" t="s">
        <v>49</v>
      </c>
      <c r="E345" s="33">
        <v>44644</v>
      </c>
      <c r="F345" s="59">
        <v>1620</v>
      </c>
      <c r="G345" s="59">
        <v>1395</v>
      </c>
      <c r="H345" s="59">
        <v>1685</v>
      </c>
      <c r="I345" s="60">
        <f t="shared" si="20"/>
        <v>1.7307692307692308</v>
      </c>
      <c r="J345" s="60">
        <f t="shared" si="21"/>
        <v>290</v>
      </c>
      <c r="K345" s="60">
        <f t="shared" si="22"/>
        <v>2.0905707196029777</v>
      </c>
      <c r="L345" s="60">
        <f t="shared" si="23"/>
        <v>0.35980148883374685</v>
      </c>
    </row>
    <row r="346" spans="1:12" x14ac:dyDescent="0.25">
      <c r="A346" t="s">
        <v>109</v>
      </c>
      <c r="B346" s="58" t="s">
        <v>74</v>
      </c>
      <c r="C346">
        <v>1169</v>
      </c>
      <c r="D346" t="s">
        <v>352</v>
      </c>
      <c r="E346" s="33">
        <v>44645</v>
      </c>
      <c r="F346" s="59">
        <v>2195</v>
      </c>
      <c r="G346" s="59">
        <v>1695</v>
      </c>
      <c r="H346" s="59">
        <v>1954</v>
      </c>
      <c r="I346" s="60">
        <f t="shared" si="20"/>
        <v>1.4499572284003421</v>
      </c>
      <c r="J346" s="60">
        <f t="shared" si="21"/>
        <v>259</v>
      </c>
      <c r="K346" s="60">
        <f t="shared" si="22"/>
        <v>1.6715141146278871</v>
      </c>
      <c r="L346" s="60">
        <f t="shared" si="23"/>
        <v>0.22155688622754499</v>
      </c>
    </row>
    <row r="347" spans="1:12" x14ac:dyDescent="0.25">
      <c r="A347" t="s">
        <v>75</v>
      </c>
      <c r="B347" s="58" t="s">
        <v>55</v>
      </c>
      <c r="C347">
        <v>764</v>
      </c>
      <c r="D347" t="s">
        <v>49</v>
      </c>
      <c r="E347" s="33">
        <v>44645</v>
      </c>
      <c r="F347" s="59">
        <v>1615</v>
      </c>
      <c r="G347" s="59">
        <v>1365</v>
      </c>
      <c r="H347" s="59">
        <v>1790</v>
      </c>
      <c r="I347" s="60">
        <f t="shared" si="20"/>
        <v>1.786649214659686</v>
      </c>
      <c r="J347" s="60">
        <f t="shared" si="21"/>
        <v>425</v>
      </c>
      <c r="K347" s="60">
        <f t="shared" si="22"/>
        <v>2.342931937172775</v>
      </c>
      <c r="L347" s="60">
        <f t="shared" si="23"/>
        <v>0.55628272251308908</v>
      </c>
    </row>
    <row r="348" spans="1:12" x14ac:dyDescent="0.25">
      <c r="A348" t="s">
        <v>112</v>
      </c>
      <c r="B348" s="58" t="s">
        <v>74</v>
      </c>
      <c r="C348">
        <v>1169</v>
      </c>
      <c r="D348" t="s">
        <v>352</v>
      </c>
      <c r="E348" s="33">
        <v>44646</v>
      </c>
      <c r="F348" s="59">
        <v>2240</v>
      </c>
      <c r="G348" s="59">
        <v>1740</v>
      </c>
      <c r="H348" s="59">
        <v>2005</v>
      </c>
      <c r="I348" s="60">
        <f t="shared" si="20"/>
        <v>1.4884516680923867</v>
      </c>
      <c r="J348" s="60">
        <f t="shared" si="21"/>
        <v>265</v>
      </c>
      <c r="K348" s="60">
        <f t="shared" si="22"/>
        <v>1.7151411462788708</v>
      </c>
      <c r="L348" s="60">
        <f t="shared" si="23"/>
        <v>0.22668947818648411</v>
      </c>
    </row>
    <row r="349" spans="1:12" x14ac:dyDescent="0.25">
      <c r="A349" t="s">
        <v>108</v>
      </c>
      <c r="B349" s="58" t="s">
        <v>82</v>
      </c>
      <c r="C349">
        <v>1112</v>
      </c>
      <c r="D349" t="s">
        <v>352</v>
      </c>
      <c r="E349" s="33">
        <v>44649</v>
      </c>
      <c r="F349" s="59">
        <v>2145</v>
      </c>
      <c r="G349" s="59">
        <v>1670</v>
      </c>
      <c r="H349" s="59">
        <v>1925</v>
      </c>
      <c r="I349" s="60">
        <f t="shared" si="20"/>
        <v>1.5017985611510791</v>
      </c>
      <c r="J349" s="60">
        <f t="shared" si="21"/>
        <v>255</v>
      </c>
      <c r="K349" s="60">
        <f t="shared" si="22"/>
        <v>1.7311151079136691</v>
      </c>
      <c r="L349" s="60">
        <f t="shared" si="23"/>
        <v>0.22931654676258995</v>
      </c>
    </row>
    <row r="350" spans="1:12" x14ac:dyDescent="0.25">
      <c r="A350" t="s">
        <v>106</v>
      </c>
      <c r="B350" s="58" t="s">
        <v>51</v>
      </c>
      <c r="C350">
        <v>848</v>
      </c>
      <c r="D350" t="s">
        <v>352</v>
      </c>
      <c r="E350" s="33">
        <v>44649</v>
      </c>
      <c r="F350" s="59">
        <v>1735</v>
      </c>
      <c r="G350" s="59">
        <v>1385</v>
      </c>
      <c r="H350" s="59">
        <v>1602</v>
      </c>
      <c r="I350" s="60">
        <f t="shared" si="20"/>
        <v>1.633254716981132</v>
      </c>
      <c r="J350" s="60">
        <f t="shared" si="21"/>
        <v>217</v>
      </c>
      <c r="K350" s="60">
        <f t="shared" si="22"/>
        <v>1.8891509433962264</v>
      </c>
      <c r="L350" s="60">
        <f t="shared" si="23"/>
        <v>0.25589622641509435</v>
      </c>
    </row>
    <row r="351" spans="1:12" x14ac:dyDescent="0.25">
      <c r="A351" t="s">
        <v>107</v>
      </c>
      <c r="B351" s="58" t="s">
        <v>48</v>
      </c>
      <c r="C351">
        <v>806</v>
      </c>
      <c r="D351" t="s">
        <v>352</v>
      </c>
      <c r="E351" s="33">
        <v>44649</v>
      </c>
      <c r="F351" s="59">
        <v>1620</v>
      </c>
      <c r="G351" s="59">
        <v>1395</v>
      </c>
      <c r="H351" s="59">
        <v>1573</v>
      </c>
      <c r="I351" s="60">
        <f t="shared" si="20"/>
        <v>1.7307692307692308</v>
      </c>
      <c r="J351" s="60">
        <f t="shared" si="21"/>
        <v>178</v>
      </c>
      <c r="K351" s="60">
        <f t="shared" si="22"/>
        <v>1.9516129032258065</v>
      </c>
      <c r="L351" s="60">
        <f t="shared" si="23"/>
        <v>0.22084367245657566</v>
      </c>
    </row>
    <row r="352" spans="1:12" x14ac:dyDescent="0.25">
      <c r="A352" t="s">
        <v>114</v>
      </c>
      <c r="B352" s="58" t="s">
        <v>86</v>
      </c>
      <c r="C352">
        <v>810</v>
      </c>
      <c r="D352" t="s">
        <v>352</v>
      </c>
      <c r="E352" s="33">
        <v>44649</v>
      </c>
      <c r="F352" s="59">
        <v>1580</v>
      </c>
      <c r="G352" s="59">
        <v>1380</v>
      </c>
      <c r="H352" s="59">
        <v>1597</v>
      </c>
      <c r="I352" s="60">
        <f t="shared" si="20"/>
        <v>1.7037037037037037</v>
      </c>
      <c r="J352" s="60">
        <f t="shared" si="21"/>
        <v>217</v>
      </c>
      <c r="K352" s="60">
        <f t="shared" si="22"/>
        <v>1.971604938271605</v>
      </c>
      <c r="L352" s="60">
        <f t="shared" si="23"/>
        <v>0.26790123456790127</v>
      </c>
    </row>
    <row r="353" spans="1:12" x14ac:dyDescent="0.25">
      <c r="A353" t="s">
        <v>110</v>
      </c>
      <c r="B353" s="58" t="s">
        <v>59</v>
      </c>
      <c r="C353">
        <v>1115</v>
      </c>
      <c r="D353" t="s">
        <v>352</v>
      </c>
      <c r="E353" s="33">
        <v>44649</v>
      </c>
      <c r="F353" s="59">
        <v>2135</v>
      </c>
      <c r="G353" s="59">
        <v>1650</v>
      </c>
      <c r="H353" s="59">
        <v>1825</v>
      </c>
      <c r="I353" s="60">
        <f t="shared" si="20"/>
        <v>1.4798206278026906</v>
      </c>
      <c r="J353" s="60">
        <f t="shared" si="21"/>
        <v>175</v>
      </c>
      <c r="K353" s="60">
        <f t="shared" si="22"/>
        <v>1.6367713004484306</v>
      </c>
      <c r="L353" s="60">
        <f t="shared" si="23"/>
        <v>0.15695067264573992</v>
      </c>
    </row>
    <row r="354" spans="1:12" x14ac:dyDescent="0.25">
      <c r="A354" t="s">
        <v>80</v>
      </c>
      <c r="B354" s="58" t="s">
        <v>74</v>
      </c>
      <c r="C354">
        <v>1169</v>
      </c>
      <c r="D354" t="s">
        <v>49</v>
      </c>
      <c r="E354" s="33">
        <v>44650</v>
      </c>
      <c r="F354" s="59">
        <v>2195</v>
      </c>
      <c r="G354" s="59">
        <v>1695</v>
      </c>
      <c r="H354" s="59">
        <v>2241</v>
      </c>
      <c r="I354" s="60">
        <f t="shared" si="20"/>
        <v>1.4499572284003421</v>
      </c>
      <c r="J354" s="60">
        <f t="shared" si="21"/>
        <v>546</v>
      </c>
      <c r="K354" s="60">
        <f t="shared" si="22"/>
        <v>1.9170230966638153</v>
      </c>
      <c r="L354" s="60">
        <f t="shared" si="23"/>
        <v>0.46706586826347318</v>
      </c>
    </row>
    <row r="355" spans="1:12" x14ac:dyDescent="0.25">
      <c r="A355" t="s">
        <v>118</v>
      </c>
      <c r="B355" s="58" t="s">
        <v>59</v>
      </c>
      <c r="C355">
        <v>1115</v>
      </c>
      <c r="D355" t="s">
        <v>352</v>
      </c>
      <c r="E355" s="33">
        <v>44656</v>
      </c>
      <c r="F355" s="59">
        <v>2135</v>
      </c>
      <c r="G355" s="59">
        <v>1650</v>
      </c>
      <c r="H355" s="59">
        <v>2071</v>
      </c>
      <c r="I355" s="60">
        <f t="shared" si="20"/>
        <v>1.4798206278026906</v>
      </c>
      <c r="J355" s="60">
        <f t="shared" si="21"/>
        <v>421</v>
      </c>
      <c r="K355" s="60">
        <f t="shared" si="22"/>
        <v>1.8573991031390134</v>
      </c>
      <c r="L355" s="60">
        <f t="shared" si="23"/>
        <v>0.37757847533632272</v>
      </c>
    </row>
    <row r="356" spans="1:12" x14ac:dyDescent="0.25">
      <c r="A356" t="s">
        <v>78</v>
      </c>
      <c r="B356" s="58" t="s">
        <v>59</v>
      </c>
      <c r="C356">
        <v>1115</v>
      </c>
      <c r="D356" t="s">
        <v>49</v>
      </c>
      <c r="E356" s="33">
        <v>44659</v>
      </c>
      <c r="F356" s="59">
        <v>2135</v>
      </c>
      <c r="G356" s="59">
        <v>1650</v>
      </c>
      <c r="H356" s="59">
        <v>2175</v>
      </c>
      <c r="I356" s="60">
        <f t="shared" si="20"/>
        <v>1.4798206278026906</v>
      </c>
      <c r="J356" s="60">
        <f t="shared" si="21"/>
        <v>525</v>
      </c>
      <c r="K356" s="60">
        <f t="shared" si="22"/>
        <v>1.9506726457399104</v>
      </c>
      <c r="L356" s="60">
        <f t="shared" si="23"/>
        <v>0.47085201793721976</v>
      </c>
    </row>
    <row r="357" spans="1:12" x14ac:dyDescent="0.25">
      <c r="A357" t="s">
        <v>267</v>
      </c>
      <c r="B357" s="58" t="s">
        <v>59</v>
      </c>
      <c r="C357">
        <v>1115</v>
      </c>
      <c r="D357" t="s">
        <v>49</v>
      </c>
      <c r="E357" s="33">
        <v>44666</v>
      </c>
      <c r="F357" s="59">
        <v>2135</v>
      </c>
      <c r="G357" s="59">
        <v>1534.81</v>
      </c>
      <c r="H357" s="59">
        <v>2184</v>
      </c>
      <c r="I357" s="60">
        <f t="shared" si="20"/>
        <v>1.3765112107623318</v>
      </c>
      <c r="J357" s="60">
        <f t="shared" si="21"/>
        <v>649.19000000000005</v>
      </c>
      <c r="K357" s="60">
        <f t="shared" si="22"/>
        <v>1.9587443946188341</v>
      </c>
      <c r="L357" s="60">
        <f t="shared" si="23"/>
        <v>0.58223318385650225</v>
      </c>
    </row>
    <row r="358" spans="1:12" x14ac:dyDescent="0.25">
      <c r="A358" t="s">
        <v>79</v>
      </c>
      <c r="B358" s="58" t="s">
        <v>55</v>
      </c>
      <c r="C358">
        <v>764</v>
      </c>
      <c r="D358" t="s">
        <v>49</v>
      </c>
      <c r="E358" s="33">
        <v>44666</v>
      </c>
      <c r="F358" s="59">
        <v>1615</v>
      </c>
      <c r="G358" s="59">
        <v>1285</v>
      </c>
      <c r="H358" s="59">
        <v>1820</v>
      </c>
      <c r="I358" s="60">
        <f t="shared" si="20"/>
        <v>1.6819371727748691</v>
      </c>
      <c r="J358" s="60">
        <f t="shared" si="21"/>
        <v>535</v>
      </c>
      <c r="K358" s="60">
        <f t="shared" si="22"/>
        <v>2.3821989528795813</v>
      </c>
      <c r="L358" s="60">
        <f t="shared" si="23"/>
        <v>0.70026178010471218</v>
      </c>
    </row>
    <row r="359" spans="1:12" x14ac:dyDescent="0.25">
      <c r="A359" t="s">
        <v>124</v>
      </c>
      <c r="B359" s="58" t="s">
        <v>65</v>
      </c>
      <c r="C359">
        <v>813</v>
      </c>
      <c r="D359" t="s">
        <v>352</v>
      </c>
      <c r="E359" s="33">
        <v>44667</v>
      </c>
      <c r="F359" s="59">
        <v>1580</v>
      </c>
      <c r="G359" s="59">
        <v>1355</v>
      </c>
      <c r="H359" s="59">
        <v>1517</v>
      </c>
      <c r="I359" s="60">
        <f t="shared" si="20"/>
        <v>1.6666666666666667</v>
      </c>
      <c r="J359" s="60">
        <f t="shared" si="21"/>
        <v>162</v>
      </c>
      <c r="K359" s="60">
        <f t="shared" si="22"/>
        <v>1.8659286592865929</v>
      </c>
      <c r="L359" s="60">
        <f t="shared" si="23"/>
        <v>0.19926199261992616</v>
      </c>
    </row>
    <row r="360" spans="1:12" x14ac:dyDescent="0.25">
      <c r="A360" t="s">
        <v>105</v>
      </c>
      <c r="B360" s="58" t="s">
        <v>65</v>
      </c>
      <c r="C360">
        <v>813</v>
      </c>
      <c r="D360" t="s">
        <v>49</v>
      </c>
      <c r="E360" s="33">
        <v>44669</v>
      </c>
      <c r="F360" s="59">
        <v>1580</v>
      </c>
      <c r="G360" s="59">
        <v>1365</v>
      </c>
      <c r="H360" s="59">
        <v>1645</v>
      </c>
      <c r="I360" s="60">
        <f t="shared" si="20"/>
        <v>1.6789667896678966</v>
      </c>
      <c r="J360" s="60">
        <f t="shared" si="21"/>
        <v>280</v>
      </c>
      <c r="K360" s="60">
        <f t="shared" si="22"/>
        <v>2.0233702337023369</v>
      </c>
      <c r="L360" s="60">
        <f t="shared" si="23"/>
        <v>0.34440344403444034</v>
      </c>
    </row>
    <row r="361" spans="1:12" x14ac:dyDescent="0.25">
      <c r="A361" t="s">
        <v>123</v>
      </c>
      <c r="B361" s="58" t="s">
        <v>57</v>
      </c>
      <c r="C361">
        <v>700</v>
      </c>
      <c r="D361" t="s">
        <v>352</v>
      </c>
      <c r="E361" s="33">
        <v>44670</v>
      </c>
      <c r="F361" s="59">
        <v>1515</v>
      </c>
      <c r="G361" s="59">
        <v>1275</v>
      </c>
      <c r="H361" s="59">
        <v>1478</v>
      </c>
      <c r="I361" s="60">
        <f t="shared" si="20"/>
        <v>1.8214285714285714</v>
      </c>
      <c r="J361" s="60">
        <f t="shared" si="21"/>
        <v>203</v>
      </c>
      <c r="K361" s="60">
        <f t="shared" si="22"/>
        <v>2.1114285714285712</v>
      </c>
      <c r="L361" s="60">
        <f t="shared" si="23"/>
        <v>0.28999999999999981</v>
      </c>
    </row>
    <row r="362" spans="1:12" x14ac:dyDescent="0.25">
      <c r="A362" t="s">
        <v>117</v>
      </c>
      <c r="B362" s="58" t="s">
        <v>74</v>
      </c>
      <c r="C362">
        <v>1169</v>
      </c>
      <c r="D362" t="s">
        <v>49</v>
      </c>
      <c r="E362" s="33">
        <v>44670</v>
      </c>
      <c r="F362" s="59">
        <v>2240</v>
      </c>
      <c r="G362" s="59">
        <v>1740</v>
      </c>
      <c r="H362" s="59">
        <v>2280</v>
      </c>
      <c r="I362" s="60">
        <f t="shared" si="20"/>
        <v>1.4884516680923867</v>
      </c>
      <c r="J362" s="60">
        <f t="shared" si="21"/>
        <v>540</v>
      </c>
      <c r="K362" s="60">
        <f t="shared" si="22"/>
        <v>1.9503849443969203</v>
      </c>
      <c r="L362" s="60">
        <f t="shared" si="23"/>
        <v>0.46193327630453362</v>
      </c>
    </row>
    <row r="363" spans="1:12" x14ac:dyDescent="0.25">
      <c r="A363" t="s">
        <v>290</v>
      </c>
      <c r="B363" s="58" t="s">
        <v>65</v>
      </c>
      <c r="C363">
        <v>813</v>
      </c>
      <c r="D363" t="s">
        <v>49</v>
      </c>
      <c r="E363" s="33">
        <v>44671</v>
      </c>
      <c r="F363" s="59">
        <v>1580</v>
      </c>
      <c r="G363" s="59">
        <v>1503.46</v>
      </c>
      <c r="H363" s="59">
        <v>1785</v>
      </c>
      <c r="I363" s="60">
        <f t="shared" si="20"/>
        <v>1.8492742927429275</v>
      </c>
      <c r="J363" s="60">
        <f t="shared" si="21"/>
        <v>281.53999999999996</v>
      </c>
      <c r="K363" s="60">
        <f t="shared" si="22"/>
        <v>2.195571955719557</v>
      </c>
      <c r="L363" s="60">
        <f t="shared" si="23"/>
        <v>0.34629766297662945</v>
      </c>
    </row>
    <row r="364" spans="1:12" x14ac:dyDescent="0.25">
      <c r="A364" t="s">
        <v>120</v>
      </c>
      <c r="B364" s="58" t="s">
        <v>51</v>
      </c>
      <c r="C364">
        <v>848</v>
      </c>
      <c r="D364" t="s">
        <v>49</v>
      </c>
      <c r="E364" s="33">
        <v>44672</v>
      </c>
      <c r="F364" s="59">
        <v>1735</v>
      </c>
      <c r="G364" s="59">
        <v>1435</v>
      </c>
      <c r="H364" s="59">
        <v>1735</v>
      </c>
      <c r="I364" s="60">
        <f t="shared" si="20"/>
        <v>1.6922169811320755</v>
      </c>
      <c r="J364" s="60">
        <f t="shared" si="21"/>
        <v>300</v>
      </c>
      <c r="K364" s="60">
        <f t="shared" si="22"/>
        <v>2.045990566037736</v>
      </c>
      <c r="L364" s="60">
        <f t="shared" si="23"/>
        <v>0.35377358490566047</v>
      </c>
    </row>
    <row r="365" spans="1:12" x14ac:dyDescent="0.25">
      <c r="A365" t="s">
        <v>125</v>
      </c>
      <c r="B365" s="58" t="s">
        <v>48</v>
      </c>
      <c r="C365">
        <v>806</v>
      </c>
      <c r="D365" t="s">
        <v>352</v>
      </c>
      <c r="E365" s="33">
        <v>44672</v>
      </c>
      <c r="F365" s="59">
        <v>1620</v>
      </c>
      <c r="G365" s="59">
        <v>1395</v>
      </c>
      <c r="H365" s="59">
        <v>1577</v>
      </c>
      <c r="I365" s="60">
        <f t="shared" si="20"/>
        <v>1.7307692307692308</v>
      </c>
      <c r="J365" s="60">
        <f t="shared" si="21"/>
        <v>182</v>
      </c>
      <c r="K365" s="60">
        <f t="shared" si="22"/>
        <v>1.9565756823821341</v>
      </c>
      <c r="L365" s="60">
        <f t="shared" si="23"/>
        <v>0.22580645161290325</v>
      </c>
    </row>
    <row r="366" spans="1:12" x14ac:dyDescent="0.25">
      <c r="A366" t="s">
        <v>133</v>
      </c>
      <c r="B366" s="58" t="s">
        <v>86</v>
      </c>
      <c r="C366">
        <v>810</v>
      </c>
      <c r="D366" t="s">
        <v>352</v>
      </c>
      <c r="E366" s="33">
        <v>44676</v>
      </c>
      <c r="F366" s="59">
        <v>1555</v>
      </c>
      <c r="G366" s="59">
        <v>1305</v>
      </c>
      <c r="H366" s="59">
        <v>1514</v>
      </c>
      <c r="I366" s="60">
        <f t="shared" si="20"/>
        <v>1.6111111111111112</v>
      </c>
      <c r="J366" s="60">
        <f t="shared" si="21"/>
        <v>209</v>
      </c>
      <c r="K366" s="60">
        <f t="shared" si="22"/>
        <v>1.8691358024691358</v>
      </c>
      <c r="L366" s="60">
        <f t="shared" si="23"/>
        <v>0.25802469135802464</v>
      </c>
    </row>
    <row r="367" spans="1:12" x14ac:dyDescent="0.25">
      <c r="A367" t="s">
        <v>135</v>
      </c>
      <c r="B367" s="58" t="s">
        <v>86</v>
      </c>
      <c r="C367">
        <v>810</v>
      </c>
      <c r="D367" t="s">
        <v>352</v>
      </c>
      <c r="E367" s="33">
        <v>44676</v>
      </c>
      <c r="F367" s="59">
        <v>1600</v>
      </c>
      <c r="G367" s="59">
        <v>1400</v>
      </c>
      <c r="H367" s="59">
        <v>1624</v>
      </c>
      <c r="I367" s="60">
        <f t="shared" si="20"/>
        <v>1.728395061728395</v>
      </c>
      <c r="J367" s="60">
        <f t="shared" si="21"/>
        <v>224</v>
      </c>
      <c r="K367" s="60">
        <f t="shared" si="22"/>
        <v>2.0049382716049382</v>
      </c>
      <c r="L367" s="60">
        <f t="shared" si="23"/>
        <v>0.27654320987654324</v>
      </c>
    </row>
    <row r="368" spans="1:12" x14ac:dyDescent="0.25">
      <c r="A368" t="s">
        <v>134</v>
      </c>
      <c r="B368" s="58" t="s">
        <v>51</v>
      </c>
      <c r="C368">
        <v>848</v>
      </c>
      <c r="D368" t="s">
        <v>352</v>
      </c>
      <c r="E368" s="33">
        <v>44677</v>
      </c>
      <c r="F368" s="59">
        <v>1735</v>
      </c>
      <c r="G368" s="59">
        <v>1485</v>
      </c>
      <c r="H368" s="59">
        <v>1879</v>
      </c>
      <c r="I368" s="60">
        <f t="shared" si="20"/>
        <v>1.7511792452830188</v>
      </c>
      <c r="J368" s="60">
        <f t="shared" si="21"/>
        <v>394</v>
      </c>
      <c r="K368" s="60">
        <f t="shared" si="22"/>
        <v>2.2158018867924527</v>
      </c>
      <c r="L368" s="60">
        <f t="shared" si="23"/>
        <v>0.46462264150943389</v>
      </c>
    </row>
    <row r="369" spans="1:12" x14ac:dyDescent="0.25">
      <c r="A369" t="s">
        <v>131</v>
      </c>
      <c r="B369" s="58" t="s">
        <v>82</v>
      </c>
      <c r="C369">
        <v>1112</v>
      </c>
      <c r="D369" t="s">
        <v>352</v>
      </c>
      <c r="E369" s="33">
        <v>44677</v>
      </c>
      <c r="F369" s="59">
        <v>2125</v>
      </c>
      <c r="G369" s="59">
        <v>1700</v>
      </c>
      <c r="H369" s="59">
        <v>1904</v>
      </c>
      <c r="I369" s="60">
        <f t="shared" si="20"/>
        <v>1.5287769784172662</v>
      </c>
      <c r="J369" s="60">
        <f t="shared" si="21"/>
        <v>204</v>
      </c>
      <c r="K369" s="60">
        <f t="shared" si="22"/>
        <v>1.7122302158273381</v>
      </c>
      <c r="L369" s="60">
        <f t="shared" si="23"/>
        <v>0.18345323741007191</v>
      </c>
    </row>
    <row r="370" spans="1:12" x14ac:dyDescent="0.25">
      <c r="A370" t="s">
        <v>132</v>
      </c>
      <c r="B370" s="58" t="s">
        <v>82</v>
      </c>
      <c r="C370">
        <v>1112</v>
      </c>
      <c r="D370" t="s">
        <v>352</v>
      </c>
      <c r="E370" s="33">
        <v>44677</v>
      </c>
      <c r="F370" s="59">
        <v>2145</v>
      </c>
      <c r="G370" s="59">
        <v>1670</v>
      </c>
      <c r="H370" s="59">
        <v>1871</v>
      </c>
      <c r="I370" s="60">
        <f t="shared" si="20"/>
        <v>1.5017985611510791</v>
      </c>
      <c r="J370" s="60">
        <f t="shared" si="21"/>
        <v>201</v>
      </c>
      <c r="K370" s="60">
        <f t="shared" si="22"/>
        <v>1.6825539568345325</v>
      </c>
      <c r="L370" s="60">
        <f t="shared" si="23"/>
        <v>0.18075539568345333</v>
      </c>
    </row>
    <row r="371" spans="1:12" x14ac:dyDescent="0.25">
      <c r="A371" t="s">
        <v>130</v>
      </c>
      <c r="B371" s="58" t="s">
        <v>59</v>
      </c>
      <c r="C371">
        <v>1115</v>
      </c>
      <c r="D371" t="s">
        <v>352</v>
      </c>
      <c r="E371" s="33">
        <v>44677</v>
      </c>
      <c r="F371" s="59">
        <v>2135</v>
      </c>
      <c r="G371" s="59">
        <v>1650</v>
      </c>
      <c r="H371" s="59">
        <v>1856</v>
      </c>
      <c r="I371" s="60">
        <f t="shared" si="20"/>
        <v>1.4798206278026906</v>
      </c>
      <c r="J371" s="60">
        <f t="shared" si="21"/>
        <v>206</v>
      </c>
      <c r="K371" s="60">
        <f t="shared" si="22"/>
        <v>1.6645739910313901</v>
      </c>
      <c r="L371" s="60">
        <f t="shared" si="23"/>
        <v>0.18475336322869951</v>
      </c>
    </row>
    <row r="372" spans="1:12" x14ac:dyDescent="0.25">
      <c r="A372" t="s">
        <v>140</v>
      </c>
      <c r="B372" s="58" t="s">
        <v>74</v>
      </c>
      <c r="C372">
        <v>1169</v>
      </c>
      <c r="D372" t="s">
        <v>352</v>
      </c>
      <c r="E372" s="33">
        <v>44683</v>
      </c>
      <c r="F372" s="59">
        <v>2240</v>
      </c>
      <c r="G372" s="59">
        <v>1561.35</v>
      </c>
      <c r="H372" s="59">
        <v>2054</v>
      </c>
      <c r="I372" s="60">
        <f t="shared" si="20"/>
        <v>1.33562874251497</v>
      </c>
      <c r="J372" s="60">
        <f t="shared" si="21"/>
        <v>492.65000000000009</v>
      </c>
      <c r="K372" s="60">
        <f t="shared" si="22"/>
        <v>1.7570573139435415</v>
      </c>
      <c r="L372" s="60">
        <f t="shared" si="23"/>
        <v>0.42142857142857149</v>
      </c>
    </row>
    <row r="373" spans="1:12" x14ac:dyDescent="0.25">
      <c r="A373" t="s">
        <v>141</v>
      </c>
      <c r="B373" s="58" t="s">
        <v>57</v>
      </c>
      <c r="C373">
        <v>700</v>
      </c>
      <c r="D373" t="s">
        <v>352</v>
      </c>
      <c r="E373" s="33">
        <v>44683</v>
      </c>
      <c r="F373" s="59">
        <v>1560</v>
      </c>
      <c r="G373" s="59">
        <v>1211.92</v>
      </c>
      <c r="H373" s="59">
        <v>1534</v>
      </c>
      <c r="I373" s="60">
        <f t="shared" si="20"/>
        <v>1.7313142857142858</v>
      </c>
      <c r="J373" s="60">
        <f t="shared" si="21"/>
        <v>322.07999999999993</v>
      </c>
      <c r="K373" s="60">
        <f t="shared" si="22"/>
        <v>2.1914285714285713</v>
      </c>
      <c r="L373" s="60">
        <f t="shared" si="23"/>
        <v>0.46011428571428548</v>
      </c>
    </row>
    <row r="374" spans="1:12" x14ac:dyDescent="0.25">
      <c r="A374" t="s">
        <v>136</v>
      </c>
      <c r="B374" s="58" t="s">
        <v>137</v>
      </c>
      <c r="C374">
        <v>1700</v>
      </c>
      <c r="D374" t="s">
        <v>49</v>
      </c>
      <c r="E374" s="33">
        <v>44683</v>
      </c>
      <c r="F374" s="59">
        <v>2995</v>
      </c>
      <c r="G374" s="59">
        <v>2695</v>
      </c>
      <c r="H374" s="59">
        <v>2995</v>
      </c>
      <c r="I374" s="60">
        <f t="shared" si="20"/>
        <v>1.5852941176470587</v>
      </c>
      <c r="J374" s="60">
        <f t="shared" si="21"/>
        <v>300</v>
      </c>
      <c r="K374" s="60">
        <f t="shared" si="22"/>
        <v>1.7617647058823529</v>
      </c>
      <c r="L374" s="60">
        <f t="shared" si="23"/>
        <v>0.17647058823529416</v>
      </c>
    </row>
    <row r="375" spans="1:12" x14ac:dyDescent="0.25">
      <c r="A375" t="s">
        <v>47</v>
      </c>
      <c r="B375" s="58" t="s">
        <v>48</v>
      </c>
      <c r="C375">
        <v>806</v>
      </c>
      <c r="D375" t="s">
        <v>352</v>
      </c>
      <c r="E375" s="33">
        <v>44684</v>
      </c>
      <c r="F375" s="59">
        <v>1620</v>
      </c>
      <c r="G375" s="59">
        <v>1425</v>
      </c>
      <c r="H375" s="59">
        <v>1639</v>
      </c>
      <c r="I375" s="60">
        <f t="shared" si="20"/>
        <v>1.7679900744416874</v>
      </c>
      <c r="J375" s="60">
        <f t="shared" si="21"/>
        <v>214</v>
      </c>
      <c r="K375" s="60">
        <f t="shared" si="22"/>
        <v>2.033498759305211</v>
      </c>
      <c r="L375" s="60">
        <f t="shared" si="23"/>
        <v>0.26550868486352353</v>
      </c>
    </row>
    <row r="376" spans="1:12" x14ac:dyDescent="0.25">
      <c r="A376" t="s">
        <v>138</v>
      </c>
      <c r="B376" s="58" t="s">
        <v>86</v>
      </c>
      <c r="C376">
        <v>810</v>
      </c>
      <c r="D376" t="s">
        <v>352</v>
      </c>
      <c r="E376" s="33">
        <v>44684</v>
      </c>
      <c r="F376" s="59">
        <v>1580</v>
      </c>
      <c r="G376" s="59">
        <v>1380</v>
      </c>
      <c r="H376" s="59">
        <v>1610</v>
      </c>
      <c r="I376" s="60">
        <f t="shared" si="20"/>
        <v>1.7037037037037037</v>
      </c>
      <c r="J376" s="60">
        <f t="shared" si="21"/>
        <v>230</v>
      </c>
      <c r="K376" s="60">
        <f t="shared" si="22"/>
        <v>1.9876543209876543</v>
      </c>
      <c r="L376" s="60">
        <f t="shared" si="23"/>
        <v>0.28395061728395055</v>
      </c>
    </row>
    <row r="377" spans="1:12" x14ac:dyDescent="0.25">
      <c r="A377" t="s">
        <v>139</v>
      </c>
      <c r="B377" s="58" t="s">
        <v>86</v>
      </c>
      <c r="C377">
        <v>810</v>
      </c>
      <c r="D377" t="s">
        <v>352</v>
      </c>
      <c r="E377" s="33">
        <v>44684</v>
      </c>
      <c r="F377" s="59">
        <v>1505</v>
      </c>
      <c r="G377" s="59">
        <v>1355</v>
      </c>
      <c r="H377" s="59">
        <v>1582</v>
      </c>
      <c r="I377" s="60">
        <f t="shared" si="20"/>
        <v>1.6728395061728396</v>
      </c>
      <c r="J377" s="60">
        <f t="shared" si="21"/>
        <v>227</v>
      </c>
      <c r="K377" s="60">
        <f t="shared" si="22"/>
        <v>1.9530864197530864</v>
      </c>
      <c r="L377" s="60">
        <f t="shared" si="23"/>
        <v>0.28024691358024678</v>
      </c>
    </row>
    <row r="378" spans="1:12" x14ac:dyDescent="0.25">
      <c r="A378" t="s">
        <v>154</v>
      </c>
      <c r="B378" s="58" t="s">
        <v>59</v>
      </c>
      <c r="C378">
        <v>1115</v>
      </c>
      <c r="D378" t="s">
        <v>352</v>
      </c>
      <c r="E378" s="33">
        <v>44690</v>
      </c>
      <c r="F378" s="59">
        <v>2135</v>
      </c>
      <c r="G378" s="59">
        <v>1459.62</v>
      </c>
      <c r="H378" s="59">
        <v>1898</v>
      </c>
      <c r="I378" s="60">
        <f t="shared" si="20"/>
        <v>1.3090762331838564</v>
      </c>
      <c r="J378" s="60">
        <f t="shared" si="21"/>
        <v>438.38000000000011</v>
      </c>
      <c r="K378" s="60">
        <f t="shared" si="22"/>
        <v>1.7022421524663678</v>
      </c>
      <c r="L378" s="60">
        <f t="shared" si="23"/>
        <v>0.39316591928251143</v>
      </c>
    </row>
    <row r="379" spans="1:12" x14ac:dyDescent="0.25">
      <c r="A379" t="s">
        <v>144</v>
      </c>
      <c r="B379" s="58" t="s">
        <v>145</v>
      </c>
      <c r="C379">
        <v>1146</v>
      </c>
      <c r="D379" t="s">
        <v>352</v>
      </c>
      <c r="E379" s="33">
        <v>44691</v>
      </c>
      <c r="F379" s="59">
        <v>2150</v>
      </c>
      <c r="G379" s="59">
        <v>1481.73</v>
      </c>
      <c r="H379" s="59">
        <v>1953</v>
      </c>
      <c r="I379" s="60">
        <f t="shared" si="20"/>
        <v>1.2929581151832461</v>
      </c>
      <c r="J379" s="60">
        <f t="shared" si="21"/>
        <v>471.27</v>
      </c>
      <c r="K379" s="60">
        <f t="shared" si="22"/>
        <v>1.7041884816753927</v>
      </c>
      <c r="L379" s="60">
        <f t="shared" si="23"/>
        <v>0.41123036649214662</v>
      </c>
    </row>
    <row r="380" spans="1:12" x14ac:dyDescent="0.25">
      <c r="A380" t="s">
        <v>152</v>
      </c>
      <c r="B380" s="58" t="s">
        <v>153</v>
      </c>
      <c r="C380">
        <v>696</v>
      </c>
      <c r="D380" t="s">
        <v>352</v>
      </c>
      <c r="E380" s="33">
        <v>44691</v>
      </c>
      <c r="F380" s="59">
        <v>1450</v>
      </c>
      <c r="G380" s="59">
        <v>1163.27</v>
      </c>
      <c r="H380" s="59">
        <v>1536</v>
      </c>
      <c r="I380" s="60">
        <f t="shared" si="20"/>
        <v>1.6713649425287356</v>
      </c>
      <c r="J380" s="60">
        <f t="shared" si="21"/>
        <v>372.73</v>
      </c>
      <c r="K380" s="60">
        <f t="shared" si="22"/>
        <v>2.2068965517241379</v>
      </c>
      <c r="L380" s="60">
        <f t="shared" si="23"/>
        <v>0.53553160919540232</v>
      </c>
    </row>
    <row r="381" spans="1:12" x14ac:dyDescent="0.25">
      <c r="A381" t="s">
        <v>156</v>
      </c>
      <c r="B381" s="58" t="s">
        <v>61</v>
      </c>
      <c r="C381">
        <v>820</v>
      </c>
      <c r="D381" t="s">
        <v>352</v>
      </c>
      <c r="E381" s="33">
        <v>44692</v>
      </c>
      <c r="F381" s="59">
        <v>1660</v>
      </c>
      <c r="G381" s="59">
        <v>1278.27</v>
      </c>
      <c r="H381" s="59">
        <v>1680</v>
      </c>
      <c r="I381" s="60">
        <f t="shared" si="20"/>
        <v>1.5588658536585365</v>
      </c>
      <c r="J381" s="60">
        <f t="shared" si="21"/>
        <v>401.73</v>
      </c>
      <c r="K381" s="60">
        <f t="shared" si="22"/>
        <v>2.0487804878048781</v>
      </c>
      <c r="L381" s="60">
        <f t="shared" si="23"/>
        <v>0.48991463414634162</v>
      </c>
    </row>
    <row r="382" spans="1:12" x14ac:dyDescent="0.25">
      <c r="A382" t="s">
        <v>157</v>
      </c>
      <c r="B382" s="58" t="s">
        <v>65</v>
      </c>
      <c r="C382">
        <v>813</v>
      </c>
      <c r="D382" t="s">
        <v>352</v>
      </c>
      <c r="E382" s="33">
        <v>44693</v>
      </c>
      <c r="F382" s="59">
        <v>1580</v>
      </c>
      <c r="G382" s="59">
        <v>1207.5</v>
      </c>
      <c r="H382" s="59">
        <v>1593</v>
      </c>
      <c r="I382" s="60">
        <f t="shared" si="20"/>
        <v>1.485239852398524</v>
      </c>
      <c r="J382" s="60">
        <f t="shared" si="21"/>
        <v>385.5</v>
      </c>
      <c r="K382" s="60">
        <f t="shared" si="22"/>
        <v>1.9594095940959411</v>
      </c>
      <c r="L382" s="60">
        <f t="shared" si="23"/>
        <v>0.4741697416974171</v>
      </c>
    </row>
    <row r="383" spans="1:12" x14ac:dyDescent="0.25">
      <c r="A383" t="s">
        <v>149</v>
      </c>
      <c r="B383" s="58" t="s">
        <v>74</v>
      </c>
      <c r="C383">
        <v>1169</v>
      </c>
      <c r="D383" t="s">
        <v>49</v>
      </c>
      <c r="E383" s="33">
        <v>44694</v>
      </c>
      <c r="F383" s="59">
        <v>2220</v>
      </c>
      <c r="G383" s="59">
        <v>1521.54</v>
      </c>
      <c r="H383" s="59">
        <v>2300</v>
      </c>
      <c r="I383" s="60">
        <f t="shared" si="20"/>
        <v>1.3015739948674081</v>
      </c>
      <c r="J383" s="60">
        <f t="shared" si="21"/>
        <v>778.46</v>
      </c>
      <c r="K383" s="60">
        <f t="shared" si="22"/>
        <v>1.9674935842600514</v>
      </c>
      <c r="L383" s="60">
        <f t="shared" si="23"/>
        <v>0.66591958939264329</v>
      </c>
    </row>
    <row r="384" spans="1:12" x14ac:dyDescent="0.25">
      <c r="A384" t="s">
        <v>150</v>
      </c>
      <c r="B384" s="58" t="s">
        <v>151</v>
      </c>
      <c r="C384">
        <v>1141</v>
      </c>
      <c r="D384" t="s">
        <v>49</v>
      </c>
      <c r="E384" s="33">
        <v>44697</v>
      </c>
      <c r="F384" s="59">
        <v>2150</v>
      </c>
      <c r="G384" s="59">
        <v>1636.54</v>
      </c>
      <c r="H384" s="59">
        <v>2515</v>
      </c>
      <c r="I384" s="60">
        <f t="shared" si="20"/>
        <v>1.4343032427695004</v>
      </c>
      <c r="J384" s="60">
        <f t="shared" si="21"/>
        <v>878.46</v>
      </c>
      <c r="K384" s="60">
        <f t="shared" si="22"/>
        <v>2.2042068361086766</v>
      </c>
      <c r="L384" s="60">
        <f t="shared" si="23"/>
        <v>0.76990359333917624</v>
      </c>
    </row>
    <row r="385" spans="1:12" x14ac:dyDescent="0.25">
      <c r="A385" t="s">
        <v>168</v>
      </c>
      <c r="B385" s="58" t="s">
        <v>65</v>
      </c>
      <c r="C385">
        <v>813</v>
      </c>
      <c r="D385" t="s">
        <v>352</v>
      </c>
      <c r="E385" s="33">
        <v>44697</v>
      </c>
      <c r="F385" s="59">
        <v>1580</v>
      </c>
      <c r="G385" s="59">
        <v>1365</v>
      </c>
      <c r="H385" s="59">
        <v>1529</v>
      </c>
      <c r="I385" s="60">
        <f t="shared" si="20"/>
        <v>1.6789667896678966</v>
      </c>
      <c r="J385" s="60">
        <f t="shared" si="21"/>
        <v>164</v>
      </c>
      <c r="K385" s="60">
        <f t="shared" si="22"/>
        <v>1.8806888068880689</v>
      </c>
      <c r="L385" s="60">
        <f t="shared" si="23"/>
        <v>0.20172201722017236</v>
      </c>
    </row>
    <row r="386" spans="1:12" x14ac:dyDescent="0.25">
      <c r="A386" s="57" t="s">
        <v>165</v>
      </c>
      <c r="B386" s="61" t="s">
        <v>59</v>
      </c>
      <c r="C386">
        <v>1115</v>
      </c>
      <c r="D386" s="57" t="s">
        <v>352</v>
      </c>
      <c r="E386" s="57">
        <v>44697</v>
      </c>
      <c r="F386" s="62">
        <v>2135</v>
      </c>
      <c r="G386" s="62">
        <v>1503.85</v>
      </c>
      <c r="H386" s="62">
        <v>1982</v>
      </c>
      <c r="I386" s="60">
        <f t="shared" ref="I386:I449" si="24">G386/C386</f>
        <v>1.348744394618834</v>
      </c>
      <c r="J386" s="60">
        <f t="shared" ref="J386:J449" si="25">SUM(H386-G386)</f>
        <v>478.15000000000009</v>
      </c>
      <c r="K386" s="60">
        <f t="shared" ref="K386:K449" si="26">H386/C386</f>
        <v>1.7775784753363228</v>
      </c>
      <c r="L386" s="60">
        <f t="shared" ref="L386:L449" si="27">K386-I386</f>
        <v>0.42883408071748885</v>
      </c>
    </row>
    <row r="387" spans="1:12" x14ac:dyDescent="0.25">
      <c r="A387" s="57" t="s">
        <v>160</v>
      </c>
      <c r="B387" s="61" t="s">
        <v>145</v>
      </c>
      <c r="C387">
        <v>1146</v>
      </c>
      <c r="D387" s="57" t="s">
        <v>49</v>
      </c>
      <c r="E387" s="57">
        <v>44698</v>
      </c>
      <c r="F387" s="62">
        <v>2150</v>
      </c>
      <c r="G387" s="62">
        <v>1503.85</v>
      </c>
      <c r="H387" s="62">
        <v>2404</v>
      </c>
      <c r="I387" s="60">
        <f t="shared" si="24"/>
        <v>1.3122600349040139</v>
      </c>
      <c r="J387" s="60">
        <f t="shared" si="25"/>
        <v>900.15000000000009</v>
      </c>
      <c r="K387" s="60">
        <f t="shared" si="26"/>
        <v>2.0977312390924956</v>
      </c>
      <c r="L387" s="60">
        <f t="shared" si="27"/>
        <v>0.78547120418848171</v>
      </c>
    </row>
    <row r="388" spans="1:12" x14ac:dyDescent="0.25">
      <c r="A388" s="57" t="s">
        <v>164</v>
      </c>
      <c r="B388" s="61" t="s">
        <v>57</v>
      </c>
      <c r="C388">
        <v>700</v>
      </c>
      <c r="D388" s="57" t="s">
        <v>352</v>
      </c>
      <c r="E388" s="57">
        <v>44698</v>
      </c>
      <c r="F388" s="62">
        <v>1515</v>
      </c>
      <c r="G388" s="62">
        <v>1172.1199999999999</v>
      </c>
      <c r="H388" s="62">
        <v>1676</v>
      </c>
      <c r="I388" s="60">
        <f t="shared" si="24"/>
        <v>1.6744571428571426</v>
      </c>
      <c r="J388" s="60">
        <f t="shared" si="25"/>
        <v>503.88000000000011</v>
      </c>
      <c r="K388" s="60">
        <f t="shared" si="26"/>
        <v>2.3942857142857141</v>
      </c>
      <c r="L388" s="60">
        <f t="shared" si="27"/>
        <v>0.71982857142857148</v>
      </c>
    </row>
    <row r="389" spans="1:12" x14ac:dyDescent="0.25">
      <c r="A389" s="57" t="s">
        <v>158</v>
      </c>
      <c r="B389" s="61" t="s">
        <v>57</v>
      </c>
      <c r="C389">
        <v>700</v>
      </c>
      <c r="D389" s="57" t="s">
        <v>352</v>
      </c>
      <c r="E389" s="57">
        <v>44698</v>
      </c>
      <c r="F389" s="62">
        <v>1515</v>
      </c>
      <c r="G389" s="62">
        <v>1172.1199999999999</v>
      </c>
      <c r="H389" s="62">
        <v>1484</v>
      </c>
      <c r="I389" s="60">
        <f t="shared" si="24"/>
        <v>1.6744571428571426</v>
      </c>
      <c r="J389" s="60">
        <f t="shared" si="25"/>
        <v>311.88000000000011</v>
      </c>
      <c r="K389" s="60">
        <f t="shared" si="26"/>
        <v>2.12</v>
      </c>
      <c r="L389" s="60">
        <f t="shared" si="27"/>
        <v>0.44554285714285746</v>
      </c>
    </row>
    <row r="390" spans="1:12" x14ac:dyDescent="0.25">
      <c r="A390" s="57" t="s">
        <v>162</v>
      </c>
      <c r="B390" s="61" t="s">
        <v>74</v>
      </c>
      <c r="C390">
        <v>1169</v>
      </c>
      <c r="D390" s="57" t="s">
        <v>352</v>
      </c>
      <c r="E390" s="57">
        <v>44698</v>
      </c>
      <c r="F390" s="62">
        <v>2220</v>
      </c>
      <c r="G390" s="62">
        <v>1521.54</v>
      </c>
      <c r="H390" s="62">
        <v>1927</v>
      </c>
      <c r="I390" s="60">
        <f t="shared" si="24"/>
        <v>1.3015739948674081</v>
      </c>
      <c r="J390" s="60">
        <f t="shared" si="25"/>
        <v>405.46000000000004</v>
      </c>
      <c r="K390" s="60">
        <f t="shared" si="26"/>
        <v>1.6484174508126603</v>
      </c>
      <c r="L390" s="60">
        <f t="shared" si="27"/>
        <v>0.34684345594525223</v>
      </c>
    </row>
    <row r="391" spans="1:12" x14ac:dyDescent="0.25">
      <c r="A391" s="57" t="s">
        <v>148</v>
      </c>
      <c r="B391" s="61" t="s">
        <v>59</v>
      </c>
      <c r="C391">
        <v>1115</v>
      </c>
      <c r="D391" s="57" t="s">
        <v>49</v>
      </c>
      <c r="E391" s="57">
        <v>44698</v>
      </c>
      <c r="F391" s="62">
        <v>2165</v>
      </c>
      <c r="G391" s="62">
        <v>1530.38</v>
      </c>
      <c r="H391" s="62">
        <v>2270</v>
      </c>
      <c r="I391" s="60">
        <f t="shared" si="24"/>
        <v>1.3725381165919284</v>
      </c>
      <c r="J391" s="60">
        <f t="shared" si="25"/>
        <v>739.61999999999989</v>
      </c>
      <c r="K391" s="60">
        <f t="shared" si="26"/>
        <v>2.0358744394618835</v>
      </c>
      <c r="L391" s="60">
        <f t="shared" si="27"/>
        <v>0.66333632286995514</v>
      </c>
    </row>
    <row r="392" spans="1:12" x14ac:dyDescent="0.25">
      <c r="A392" s="57" t="s">
        <v>166</v>
      </c>
      <c r="B392" s="61" t="s">
        <v>151</v>
      </c>
      <c r="C392">
        <v>1141</v>
      </c>
      <c r="D392" s="57" t="s">
        <v>352</v>
      </c>
      <c r="E392" s="57">
        <v>44698</v>
      </c>
      <c r="F392" s="62">
        <v>2150</v>
      </c>
      <c r="G392" s="62">
        <v>1636.54</v>
      </c>
      <c r="H392" s="62">
        <v>2128</v>
      </c>
      <c r="I392" s="60">
        <f t="shared" si="24"/>
        <v>1.4343032427695004</v>
      </c>
      <c r="J392" s="60">
        <f t="shared" si="25"/>
        <v>491.46000000000004</v>
      </c>
      <c r="K392" s="60">
        <f t="shared" si="26"/>
        <v>1.8650306748466257</v>
      </c>
      <c r="L392" s="60">
        <f t="shared" si="27"/>
        <v>0.43072743207712527</v>
      </c>
    </row>
    <row r="393" spans="1:12" x14ac:dyDescent="0.25">
      <c r="A393" s="57" t="s">
        <v>159</v>
      </c>
      <c r="B393" s="61" t="s">
        <v>59</v>
      </c>
      <c r="C393">
        <v>1115</v>
      </c>
      <c r="D393" s="57" t="s">
        <v>49</v>
      </c>
      <c r="E393" s="57">
        <v>44701</v>
      </c>
      <c r="F393" s="62">
        <v>2290</v>
      </c>
      <c r="G393" s="62">
        <v>1640.96</v>
      </c>
      <c r="H393" s="62">
        <v>2290</v>
      </c>
      <c r="I393" s="60">
        <f t="shared" si="24"/>
        <v>1.471713004484305</v>
      </c>
      <c r="J393" s="60">
        <f t="shared" si="25"/>
        <v>649.04</v>
      </c>
      <c r="K393" s="60">
        <f t="shared" si="26"/>
        <v>2.0538116591928253</v>
      </c>
      <c r="L393" s="60">
        <f t="shared" si="27"/>
        <v>0.58209865470852029</v>
      </c>
    </row>
    <row r="394" spans="1:12" x14ac:dyDescent="0.25">
      <c r="A394" s="57" t="s">
        <v>142</v>
      </c>
      <c r="B394" s="61" t="s">
        <v>57</v>
      </c>
      <c r="C394">
        <v>700</v>
      </c>
      <c r="D394" s="57" t="s">
        <v>49</v>
      </c>
      <c r="E394" s="57">
        <v>44701</v>
      </c>
      <c r="F394" s="62">
        <v>1465</v>
      </c>
      <c r="G394" s="62">
        <v>1172.1199999999999</v>
      </c>
      <c r="H394" s="62">
        <v>1680</v>
      </c>
      <c r="I394" s="60">
        <f t="shared" si="24"/>
        <v>1.6744571428571426</v>
      </c>
      <c r="J394" s="60">
        <f t="shared" si="25"/>
        <v>507.88000000000011</v>
      </c>
      <c r="K394" s="60">
        <f t="shared" si="26"/>
        <v>2.4</v>
      </c>
      <c r="L394" s="60">
        <f t="shared" si="27"/>
        <v>0.72554285714285727</v>
      </c>
    </row>
    <row r="395" spans="1:12" x14ac:dyDescent="0.25">
      <c r="A395" s="57" t="s">
        <v>328</v>
      </c>
      <c r="B395" s="61" t="s">
        <v>86</v>
      </c>
      <c r="C395">
        <v>810</v>
      </c>
      <c r="D395" s="57" t="s">
        <v>49</v>
      </c>
      <c r="E395" s="57">
        <v>44701</v>
      </c>
      <c r="F395" s="62">
        <v>1580</v>
      </c>
      <c r="G395" s="62">
        <v>1530</v>
      </c>
      <c r="H395" s="62">
        <v>1680</v>
      </c>
      <c r="I395" s="60">
        <f t="shared" si="24"/>
        <v>1.8888888888888888</v>
      </c>
      <c r="J395" s="60">
        <f t="shared" si="25"/>
        <v>150</v>
      </c>
      <c r="K395" s="60">
        <f t="shared" si="26"/>
        <v>2.074074074074074</v>
      </c>
      <c r="L395" s="60">
        <f t="shared" si="27"/>
        <v>0.18518518518518512</v>
      </c>
    </row>
    <row r="396" spans="1:12" x14ac:dyDescent="0.25">
      <c r="A396" s="57" t="s">
        <v>121</v>
      </c>
      <c r="B396" s="61" t="s">
        <v>86</v>
      </c>
      <c r="C396">
        <v>810</v>
      </c>
      <c r="D396" s="57" t="s">
        <v>49</v>
      </c>
      <c r="E396" s="57">
        <v>44702</v>
      </c>
      <c r="F396" s="62">
        <v>1555</v>
      </c>
      <c r="G396" s="62">
        <v>1355</v>
      </c>
      <c r="H396" s="62">
        <v>1650</v>
      </c>
      <c r="I396" s="60">
        <f t="shared" si="24"/>
        <v>1.6728395061728396</v>
      </c>
      <c r="J396" s="60">
        <f t="shared" si="25"/>
        <v>295</v>
      </c>
      <c r="K396" s="60">
        <f t="shared" si="26"/>
        <v>2.0370370370370372</v>
      </c>
      <c r="L396" s="60">
        <f t="shared" si="27"/>
        <v>0.36419753086419759</v>
      </c>
    </row>
    <row r="397" spans="1:12" x14ac:dyDescent="0.25">
      <c r="A397" s="57" t="s">
        <v>113</v>
      </c>
      <c r="B397" s="61" t="s">
        <v>86</v>
      </c>
      <c r="C397">
        <v>810</v>
      </c>
      <c r="D397" s="57" t="s">
        <v>49</v>
      </c>
      <c r="E397" s="57">
        <v>44704</v>
      </c>
      <c r="F397" s="62">
        <v>1600</v>
      </c>
      <c r="G397" s="62">
        <v>1400</v>
      </c>
      <c r="H397" s="62">
        <v>1725</v>
      </c>
      <c r="I397" s="60">
        <f t="shared" si="24"/>
        <v>1.728395061728395</v>
      </c>
      <c r="J397" s="60">
        <f t="shared" si="25"/>
        <v>325</v>
      </c>
      <c r="K397" s="60">
        <f t="shared" si="26"/>
        <v>2.1296296296296298</v>
      </c>
      <c r="L397" s="60">
        <f t="shared" si="27"/>
        <v>0.4012345679012348</v>
      </c>
    </row>
    <row r="398" spans="1:12" x14ac:dyDescent="0.25">
      <c r="A398" s="57" t="s">
        <v>172</v>
      </c>
      <c r="B398" s="61" t="s">
        <v>145</v>
      </c>
      <c r="C398">
        <v>1146</v>
      </c>
      <c r="D398" s="57" t="s">
        <v>352</v>
      </c>
      <c r="E398" s="57">
        <v>44705</v>
      </c>
      <c r="F398" s="62">
        <v>2180</v>
      </c>
      <c r="G398" s="62">
        <v>1530.38</v>
      </c>
      <c r="H398" s="62">
        <v>1990</v>
      </c>
      <c r="I398" s="60">
        <f t="shared" si="24"/>
        <v>1.3354101221640489</v>
      </c>
      <c r="J398" s="60">
        <f t="shared" si="25"/>
        <v>459.61999999999989</v>
      </c>
      <c r="K398" s="60">
        <f t="shared" si="26"/>
        <v>1.7364746945898779</v>
      </c>
      <c r="L398" s="60">
        <f t="shared" si="27"/>
        <v>0.40106457242582905</v>
      </c>
    </row>
    <row r="399" spans="1:12" x14ac:dyDescent="0.25">
      <c r="A399" s="57" t="s">
        <v>177</v>
      </c>
      <c r="B399" s="61" t="s">
        <v>86</v>
      </c>
      <c r="C399">
        <v>810</v>
      </c>
      <c r="D399" s="57" t="s">
        <v>352</v>
      </c>
      <c r="E399" s="57">
        <v>44705</v>
      </c>
      <c r="F399" s="62">
        <v>1555</v>
      </c>
      <c r="G399" s="62">
        <v>1220.77</v>
      </c>
      <c r="H399" s="62">
        <v>1604</v>
      </c>
      <c r="I399" s="60">
        <f t="shared" si="24"/>
        <v>1.5071234567901235</v>
      </c>
      <c r="J399" s="60">
        <f t="shared" si="25"/>
        <v>383.23</v>
      </c>
      <c r="K399" s="60">
        <f t="shared" si="26"/>
        <v>1.980246913580247</v>
      </c>
      <c r="L399" s="60">
        <f t="shared" si="27"/>
        <v>0.47312345679012346</v>
      </c>
    </row>
    <row r="400" spans="1:12" x14ac:dyDescent="0.25">
      <c r="A400" s="57" t="s">
        <v>111</v>
      </c>
      <c r="B400" s="61" t="s">
        <v>61</v>
      </c>
      <c r="C400">
        <v>820</v>
      </c>
      <c r="D400" s="57" t="s">
        <v>49</v>
      </c>
      <c r="E400" s="57">
        <v>44706</v>
      </c>
      <c r="F400" s="62">
        <v>1645</v>
      </c>
      <c r="G400" s="62">
        <v>1405</v>
      </c>
      <c r="H400" s="62">
        <v>1720</v>
      </c>
      <c r="I400" s="60">
        <f t="shared" si="24"/>
        <v>1.7134146341463414</v>
      </c>
      <c r="J400" s="60">
        <f t="shared" si="25"/>
        <v>315</v>
      </c>
      <c r="K400" s="60">
        <f t="shared" si="26"/>
        <v>2.0975609756097562</v>
      </c>
      <c r="L400" s="60">
        <f t="shared" si="27"/>
        <v>0.38414634146341475</v>
      </c>
    </row>
    <row r="401" spans="1:12" x14ac:dyDescent="0.25">
      <c r="A401" s="57" t="s">
        <v>155</v>
      </c>
      <c r="B401" s="61" t="s">
        <v>57</v>
      </c>
      <c r="C401">
        <v>700</v>
      </c>
      <c r="D401" s="57" t="s">
        <v>49</v>
      </c>
      <c r="E401" s="57">
        <v>44711</v>
      </c>
      <c r="F401" s="62">
        <v>1515</v>
      </c>
      <c r="G401" s="62">
        <v>1172.1199999999999</v>
      </c>
      <c r="H401" s="62">
        <v>1610</v>
      </c>
      <c r="I401" s="60">
        <f t="shared" si="24"/>
        <v>1.6744571428571426</v>
      </c>
      <c r="J401" s="60">
        <f t="shared" si="25"/>
        <v>437.88000000000011</v>
      </c>
      <c r="K401" s="60">
        <f t="shared" si="26"/>
        <v>2.2999999999999998</v>
      </c>
      <c r="L401" s="60">
        <f t="shared" si="27"/>
        <v>0.62554285714285718</v>
      </c>
    </row>
    <row r="402" spans="1:12" x14ac:dyDescent="0.25">
      <c r="A402" s="57" t="s">
        <v>179</v>
      </c>
      <c r="B402" s="61" t="s">
        <v>86</v>
      </c>
      <c r="C402">
        <v>810</v>
      </c>
      <c r="D402" s="57" t="s">
        <v>352</v>
      </c>
      <c r="E402" s="57">
        <v>44712</v>
      </c>
      <c r="F402" s="62">
        <v>1555</v>
      </c>
      <c r="G402" s="62">
        <v>1198.6500000000001</v>
      </c>
      <c r="H402" s="62">
        <v>1577</v>
      </c>
      <c r="I402" s="60">
        <f t="shared" si="24"/>
        <v>1.4798148148148149</v>
      </c>
      <c r="J402" s="60">
        <f t="shared" si="25"/>
        <v>378.34999999999991</v>
      </c>
      <c r="K402" s="60">
        <f t="shared" si="26"/>
        <v>1.9469135802469135</v>
      </c>
      <c r="L402" s="60">
        <f t="shared" si="27"/>
        <v>0.46709876543209861</v>
      </c>
    </row>
    <row r="403" spans="1:12" x14ac:dyDescent="0.25">
      <c r="A403" s="57" t="s">
        <v>180</v>
      </c>
      <c r="B403" s="61" t="s">
        <v>65</v>
      </c>
      <c r="C403">
        <v>813</v>
      </c>
      <c r="D403" s="57" t="s">
        <v>352</v>
      </c>
      <c r="E403" s="57">
        <v>44712</v>
      </c>
      <c r="F403" s="62">
        <v>1580</v>
      </c>
      <c r="G403" s="62">
        <v>1229.6199999999999</v>
      </c>
      <c r="H403" s="62">
        <v>1618</v>
      </c>
      <c r="I403" s="60">
        <f t="shared" si="24"/>
        <v>1.5124477244772447</v>
      </c>
      <c r="J403" s="60">
        <f t="shared" si="25"/>
        <v>388.38000000000011</v>
      </c>
      <c r="K403" s="60">
        <f t="shared" si="26"/>
        <v>1.9901599015990159</v>
      </c>
      <c r="L403" s="60">
        <f t="shared" si="27"/>
        <v>0.47771217712177116</v>
      </c>
    </row>
    <row r="404" spans="1:12" x14ac:dyDescent="0.25">
      <c r="A404" s="57" t="s">
        <v>183</v>
      </c>
      <c r="B404" s="61" t="s">
        <v>65</v>
      </c>
      <c r="C404">
        <v>813</v>
      </c>
      <c r="D404" s="57" t="s">
        <v>352</v>
      </c>
      <c r="E404" s="57">
        <v>44712</v>
      </c>
      <c r="F404" s="62">
        <v>1580</v>
      </c>
      <c r="G404" s="62">
        <v>1229.6199999999999</v>
      </c>
      <c r="H404" s="62">
        <v>1576</v>
      </c>
      <c r="I404" s="60">
        <f t="shared" si="24"/>
        <v>1.5124477244772447</v>
      </c>
      <c r="J404" s="60">
        <f t="shared" si="25"/>
        <v>346.38000000000011</v>
      </c>
      <c r="K404" s="60">
        <f t="shared" si="26"/>
        <v>1.9384993849938499</v>
      </c>
      <c r="L404" s="60">
        <f t="shared" si="27"/>
        <v>0.42605166051660515</v>
      </c>
    </row>
    <row r="405" spans="1:12" x14ac:dyDescent="0.25">
      <c r="A405" s="57" t="s">
        <v>209</v>
      </c>
      <c r="B405" s="61" t="s">
        <v>59</v>
      </c>
      <c r="C405">
        <v>1115</v>
      </c>
      <c r="D405" s="57" t="s">
        <v>49</v>
      </c>
      <c r="E405" s="57">
        <v>44713</v>
      </c>
      <c r="F405" s="62">
        <v>2260</v>
      </c>
      <c r="G405" s="62">
        <v>1640.77</v>
      </c>
      <c r="H405" s="62">
        <v>2075</v>
      </c>
      <c r="I405" s="60">
        <f t="shared" si="24"/>
        <v>1.4715426008968611</v>
      </c>
      <c r="J405" s="60">
        <f t="shared" si="25"/>
        <v>434.23</v>
      </c>
      <c r="K405" s="60">
        <f t="shared" si="26"/>
        <v>1.8609865470852018</v>
      </c>
      <c r="L405" s="60">
        <f t="shared" si="27"/>
        <v>0.38944394618834077</v>
      </c>
    </row>
    <row r="406" spans="1:12" x14ac:dyDescent="0.25">
      <c r="A406" s="57" t="s">
        <v>187</v>
      </c>
      <c r="B406" s="61" t="s">
        <v>74</v>
      </c>
      <c r="C406">
        <v>1169</v>
      </c>
      <c r="D406" s="57" t="s">
        <v>352</v>
      </c>
      <c r="E406" s="57">
        <v>44715</v>
      </c>
      <c r="F406" s="62">
        <v>2240</v>
      </c>
      <c r="G406" s="62">
        <v>1536.35</v>
      </c>
      <c r="H406" s="62">
        <v>1970</v>
      </c>
      <c r="I406" s="60">
        <f t="shared" si="24"/>
        <v>1.3142429426860565</v>
      </c>
      <c r="J406" s="60">
        <f t="shared" si="25"/>
        <v>433.65000000000009</v>
      </c>
      <c r="K406" s="60">
        <f t="shared" si="26"/>
        <v>1.6852010265183919</v>
      </c>
      <c r="L406" s="60">
        <f t="shared" si="27"/>
        <v>0.37095808383233542</v>
      </c>
    </row>
    <row r="407" spans="1:12" x14ac:dyDescent="0.25">
      <c r="A407" s="57" t="s">
        <v>188</v>
      </c>
      <c r="B407" s="61" t="s">
        <v>145</v>
      </c>
      <c r="C407">
        <v>1146</v>
      </c>
      <c r="D407" s="57" t="s">
        <v>352</v>
      </c>
      <c r="E407" s="57">
        <v>44715</v>
      </c>
      <c r="F407" s="62">
        <v>2180</v>
      </c>
      <c r="G407" s="62">
        <v>1530.38</v>
      </c>
      <c r="H407" s="62">
        <v>2271</v>
      </c>
      <c r="I407" s="60">
        <f t="shared" si="24"/>
        <v>1.3354101221640489</v>
      </c>
      <c r="J407" s="60">
        <f t="shared" si="25"/>
        <v>740.61999999999989</v>
      </c>
      <c r="K407" s="60">
        <f t="shared" si="26"/>
        <v>1.9816753926701571</v>
      </c>
      <c r="L407" s="60">
        <f t="shared" si="27"/>
        <v>0.64626527050610827</v>
      </c>
    </row>
    <row r="408" spans="1:12" x14ac:dyDescent="0.25">
      <c r="A408" s="57" t="s">
        <v>126</v>
      </c>
      <c r="B408" s="61" t="s">
        <v>86</v>
      </c>
      <c r="C408">
        <v>810</v>
      </c>
      <c r="D408" s="57" t="s">
        <v>49</v>
      </c>
      <c r="E408" s="57">
        <v>44716</v>
      </c>
      <c r="F408" s="62">
        <v>1580</v>
      </c>
      <c r="G408" s="62">
        <v>1380</v>
      </c>
      <c r="H408" s="62">
        <v>1725</v>
      </c>
      <c r="I408" s="60">
        <f t="shared" si="24"/>
        <v>1.7037037037037037</v>
      </c>
      <c r="J408" s="60">
        <f t="shared" si="25"/>
        <v>345</v>
      </c>
      <c r="K408" s="60">
        <f t="shared" si="26"/>
        <v>2.1296296296296298</v>
      </c>
      <c r="L408" s="60">
        <f t="shared" si="27"/>
        <v>0.42592592592592604</v>
      </c>
    </row>
    <row r="409" spans="1:12" x14ac:dyDescent="0.25">
      <c r="A409" s="57" t="s">
        <v>182</v>
      </c>
      <c r="B409" s="61" t="s">
        <v>48</v>
      </c>
      <c r="C409">
        <v>806</v>
      </c>
      <c r="D409" s="57" t="s">
        <v>49</v>
      </c>
      <c r="E409" s="57">
        <v>44718</v>
      </c>
      <c r="F409" s="62">
        <v>1620</v>
      </c>
      <c r="G409" s="62">
        <v>1256.1500000000001</v>
      </c>
      <c r="H409" s="62">
        <v>1640</v>
      </c>
      <c r="I409" s="60">
        <f t="shared" si="24"/>
        <v>1.5584987593052111</v>
      </c>
      <c r="J409" s="60">
        <f t="shared" si="25"/>
        <v>383.84999999999991</v>
      </c>
      <c r="K409" s="60">
        <f t="shared" si="26"/>
        <v>2.0347394540942929</v>
      </c>
      <c r="L409" s="60">
        <f t="shared" si="27"/>
        <v>0.47624069478908182</v>
      </c>
    </row>
    <row r="410" spans="1:12" x14ac:dyDescent="0.25">
      <c r="A410" s="57" t="s">
        <v>192</v>
      </c>
      <c r="B410" s="61" t="s">
        <v>51</v>
      </c>
      <c r="C410">
        <v>848</v>
      </c>
      <c r="D410" s="57" t="s">
        <v>352</v>
      </c>
      <c r="E410" s="57">
        <v>44719</v>
      </c>
      <c r="F410" s="62">
        <v>1735</v>
      </c>
      <c r="G410" s="62">
        <v>1225.19</v>
      </c>
      <c r="H410" s="62">
        <v>1605</v>
      </c>
      <c r="I410" s="60">
        <f t="shared" si="24"/>
        <v>1.4447995283018868</v>
      </c>
      <c r="J410" s="60">
        <f t="shared" si="25"/>
        <v>379.80999999999995</v>
      </c>
      <c r="K410" s="60">
        <f t="shared" si="26"/>
        <v>1.8926886792452831</v>
      </c>
      <c r="L410" s="60">
        <f t="shared" si="27"/>
        <v>0.44788915094339621</v>
      </c>
    </row>
    <row r="411" spans="1:12" x14ac:dyDescent="0.25">
      <c r="A411" s="57" t="s">
        <v>194</v>
      </c>
      <c r="B411" s="61" t="s">
        <v>151</v>
      </c>
      <c r="C411">
        <v>1141</v>
      </c>
      <c r="D411" s="57" t="s">
        <v>352</v>
      </c>
      <c r="E411" s="57">
        <v>44719</v>
      </c>
      <c r="F411" s="62">
        <v>2150</v>
      </c>
      <c r="G411" s="62">
        <v>1747.12</v>
      </c>
      <c r="H411" s="62">
        <v>2303</v>
      </c>
      <c r="I411" s="60">
        <f t="shared" si="24"/>
        <v>1.5312182296231376</v>
      </c>
      <c r="J411" s="60">
        <f t="shared" si="25"/>
        <v>555.88000000000011</v>
      </c>
      <c r="K411" s="60">
        <f t="shared" si="26"/>
        <v>2.01840490797546</v>
      </c>
      <c r="L411" s="60">
        <f t="shared" si="27"/>
        <v>0.48718667835232243</v>
      </c>
    </row>
    <row r="412" spans="1:12" x14ac:dyDescent="0.25">
      <c r="A412" s="57" t="s">
        <v>189</v>
      </c>
      <c r="B412" s="61" t="s">
        <v>86</v>
      </c>
      <c r="C412">
        <v>810</v>
      </c>
      <c r="D412" s="57" t="s">
        <v>352</v>
      </c>
      <c r="E412" s="57">
        <v>44719</v>
      </c>
      <c r="F412" s="62">
        <v>1580</v>
      </c>
      <c r="G412" s="62">
        <v>1220.77</v>
      </c>
      <c r="H412" s="62">
        <v>1600</v>
      </c>
      <c r="I412" s="60">
        <f t="shared" si="24"/>
        <v>1.5071234567901235</v>
      </c>
      <c r="J412" s="60">
        <f t="shared" si="25"/>
        <v>379.23</v>
      </c>
      <c r="K412" s="60">
        <f t="shared" si="26"/>
        <v>1.9753086419753085</v>
      </c>
      <c r="L412" s="60">
        <f t="shared" si="27"/>
        <v>0.46818518518518504</v>
      </c>
    </row>
    <row r="413" spans="1:12" x14ac:dyDescent="0.25">
      <c r="A413" s="57" t="s">
        <v>196</v>
      </c>
      <c r="B413" s="61" t="s">
        <v>57</v>
      </c>
      <c r="C413">
        <v>700</v>
      </c>
      <c r="D413" s="57" t="s">
        <v>352</v>
      </c>
      <c r="E413" s="57">
        <v>44719</v>
      </c>
      <c r="F413" s="62">
        <v>1560</v>
      </c>
      <c r="G413" s="62">
        <v>1211.92</v>
      </c>
      <c r="H413" s="62">
        <v>1576</v>
      </c>
      <c r="I413" s="60">
        <f t="shared" si="24"/>
        <v>1.7313142857142858</v>
      </c>
      <c r="J413" s="60">
        <f t="shared" si="25"/>
        <v>364.07999999999993</v>
      </c>
      <c r="K413" s="60">
        <f t="shared" si="26"/>
        <v>2.2514285714285713</v>
      </c>
      <c r="L413" s="60">
        <f t="shared" si="27"/>
        <v>0.52011428571428553</v>
      </c>
    </row>
    <row r="414" spans="1:12" x14ac:dyDescent="0.25">
      <c r="A414" s="57" t="s">
        <v>193</v>
      </c>
      <c r="B414" s="61" t="s">
        <v>145</v>
      </c>
      <c r="C414">
        <v>1146</v>
      </c>
      <c r="D414" s="57" t="s">
        <v>352</v>
      </c>
      <c r="E414" s="57">
        <v>44719</v>
      </c>
      <c r="F414" s="62">
        <v>2180</v>
      </c>
      <c r="G414" s="62">
        <v>1521.54</v>
      </c>
      <c r="H414" s="62">
        <v>2009</v>
      </c>
      <c r="I414" s="60">
        <f t="shared" si="24"/>
        <v>1.327696335078534</v>
      </c>
      <c r="J414" s="60">
        <f t="shared" si="25"/>
        <v>487.46000000000004</v>
      </c>
      <c r="K414" s="60">
        <f t="shared" si="26"/>
        <v>1.7530541012216405</v>
      </c>
      <c r="L414" s="60">
        <f t="shared" si="27"/>
        <v>0.4253577661431065</v>
      </c>
    </row>
    <row r="415" spans="1:12" x14ac:dyDescent="0.25">
      <c r="A415" s="57" t="s">
        <v>122</v>
      </c>
      <c r="B415" s="61" t="s">
        <v>82</v>
      </c>
      <c r="C415">
        <v>1112</v>
      </c>
      <c r="D415" s="57" t="s">
        <v>49</v>
      </c>
      <c r="E415" s="57">
        <v>44722</v>
      </c>
      <c r="F415" s="62">
        <v>2145</v>
      </c>
      <c r="G415" s="62">
        <v>1670</v>
      </c>
      <c r="H415" s="62">
        <v>2075</v>
      </c>
      <c r="I415" s="60">
        <f t="shared" si="24"/>
        <v>1.5017985611510791</v>
      </c>
      <c r="J415" s="60">
        <f t="shared" si="25"/>
        <v>405</v>
      </c>
      <c r="K415" s="60">
        <f t="shared" si="26"/>
        <v>1.8660071942446044</v>
      </c>
      <c r="L415" s="60">
        <f t="shared" si="27"/>
        <v>0.36420863309352525</v>
      </c>
    </row>
    <row r="416" spans="1:12" x14ac:dyDescent="0.25">
      <c r="A416" s="57" t="s">
        <v>314</v>
      </c>
      <c r="B416" s="61" t="s">
        <v>74</v>
      </c>
      <c r="C416">
        <v>1169</v>
      </c>
      <c r="D416" s="57" t="s">
        <v>49</v>
      </c>
      <c r="E416" s="57">
        <v>44722</v>
      </c>
      <c r="F416" s="62">
        <v>2240</v>
      </c>
      <c r="G416" s="62">
        <v>2240</v>
      </c>
      <c r="H416" s="62">
        <v>2069</v>
      </c>
      <c r="I416" s="60">
        <f t="shared" si="24"/>
        <v>1.9161676646706587</v>
      </c>
      <c r="J416" s="60">
        <f t="shared" si="25"/>
        <v>-171</v>
      </c>
      <c r="K416" s="60">
        <f t="shared" si="26"/>
        <v>1.7698887938408896</v>
      </c>
      <c r="L416" s="60">
        <f t="shared" si="27"/>
        <v>-0.14627887082976909</v>
      </c>
    </row>
    <row r="417" spans="1:12" x14ac:dyDescent="0.25">
      <c r="A417" s="57" t="s">
        <v>324</v>
      </c>
      <c r="B417" s="61" t="s">
        <v>86</v>
      </c>
      <c r="C417">
        <v>810</v>
      </c>
      <c r="D417" s="57" t="s">
        <v>49</v>
      </c>
      <c r="E417" s="57">
        <v>44722</v>
      </c>
      <c r="F417" s="62">
        <v>1580</v>
      </c>
      <c r="G417" s="62">
        <v>1618.46</v>
      </c>
      <c r="H417" s="62">
        <v>1675</v>
      </c>
      <c r="I417" s="60">
        <f t="shared" si="24"/>
        <v>1.9980987654320987</v>
      </c>
      <c r="J417" s="60">
        <f t="shared" si="25"/>
        <v>56.539999999999964</v>
      </c>
      <c r="K417" s="60">
        <f t="shared" si="26"/>
        <v>2.0679012345679011</v>
      </c>
      <c r="L417" s="60">
        <f t="shared" si="27"/>
        <v>6.9802469135802347E-2</v>
      </c>
    </row>
    <row r="418" spans="1:12" x14ac:dyDescent="0.25">
      <c r="A418" s="57" t="s">
        <v>250</v>
      </c>
      <c r="B418" s="61" t="s">
        <v>65</v>
      </c>
      <c r="C418">
        <v>813</v>
      </c>
      <c r="D418" s="57" t="s">
        <v>49</v>
      </c>
      <c r="E418" s="57">
        <v>44725</v>
      </c>
      <c r="F418" s="62">
        <v>1580</v>
      </c>
      <c r="G418" s="62">
        <v>1421.54</v>
      </c>
      <c r="H418" s="62">
        <v>1655</v>
      </c>
      <c r="I418" s="60">
        <f t="shared" si="24"/>
        <v>1.7485116851168512</v>
      </c>
      <c r="J418" s="60">
        <f t="shared" si="25"/>
        <v>233.46000000000004</v>
      </c>
      <c r="K418" s="60">
        <f t="shared" si="26"/>
        <v>2.0356703567035672</v>
      </c>
      <c r="L418" s="60">
        <f t="shared" si="27"/>
        <v>0.28715867158671604</v>
      </c>
    </row>
    <row r="419" spans="1:12" x14ac:dyDescent="0.25">
      <c r="A419" s="57" t="s">
        <v>208</v>
      </c>
      <c r="B419" s="61" t="s">
        <v>48</v>
      </c>
      <c r="C419">
        <v>806</v>
      </c>
      <c r="D419" s="57" t="s">
        <v>352</v>
      </c>
      <c r="E419" s="57">
        <v>44726</v>
      </c>
      <c r="F419" s="62">
        <v>1620</v>
      </c>
      <c r="G419" s="62">
        <v>1256.1500000000001</v>
      </c>
      <c r="H419" s="62">
        <v>1646</v>
      </c>
      <c r="I419" s="60">
        <f t="shared" si="24"/>
        <v>1.5584987593052111</v>
      </c>
      <c r="J419" s="60">
        <f t="shared" si="25"/>
        <v>389.84999999999991</v>
      </c>
      <c r="K419" s="60">
        <f t="shared" si="26"/>
        <v>2.0421836228287842</v>
      </c>
      <c r="L419" s="60">
        <f t="shared" si="27"/>
        <v>0.48368486352357309</v>
      </c>
    </row>
    <row r="420" spans="1:12" x14ac:dyDescent="0.25">
      <c r="A420" s="57" t="s">
        <v>198</v>
      </c>
      <c r="B420" s="61" t="s">
        <v>59</v>
      </c>
      <c r="C420">
        <v>1115</v>
      </c>
      <c r="D420" s="57" t="s">
        <v>352</v>
      </c>
      <c r="E420" s="57">
        <v>44726</v>
      </c>
      <c r="F420" s="62">
        <v>2135</v>
      </c>
      <c r="G420" s="62">
        <v>1503.85</v>
      </c>
      <c r="H420" s="62">
        <v>1986</v>
      </c>
      <c r="I420" s="60">
        <f t="shared" si="24"/>
        <v>1.348744394618834</v>
      </c>
      <c r="J420" s="60">
        <f t="shared" si="25"/>
        <v>482.15000000000009</v>
      </c>
      <c r="K420" s="60">
        <f t="shared" si="26"/>
        <v>1.7811659192825111</v>
      </c>
      <c r="L420" s="60">
        <f t="shared" si="27"/>
        <v>0.43242152466367711</v>
      </c>
    </row>
    <row r="421" spans="1:12" x14ac:dyDescent="0.25">
      <c r="A421" s="57" t="s">
        <v>184</v>
      </c>
      <c r="B421" s="61" t="s">
        <v>74</v>
      </c>
      <c r="C421">
        <v>1169</v>
      </c>
      <c r="D421" s="57" t="s">
        <v>49</v>
      </c>
      <c r="E421" s="57">
        <v>44727</v>
      </c>
      <c r="F421" s="62">
        <v>2240</v>
      </c>
      <c r="G421" s="62">
        <v>1627.69</v>
      </c>
      <c r="H421" s="62">
        <v>2065</v>
      </c>
      <c r="I421" s="60">
        <f t="shared" si="24"/>
        <v>1.3923781009409752</v>
      </c>
      <c r="J421" s="60">
        <f t="shared" si="25"/>
        <v>437.30999999999995</v>
      </c>
      <c r="K421" s="60">
        <f t="shared" si="26"/>
        <v>1.7664670658682635</v>
      </c>
      <c r="L421" s="60">
        <f t="shared" si="27"/>
        <v>0.37408896492728827</v>
      </c>
    </row>
    <row r="422" spans="1:12" x14ac:dyDescent="0.25">
      <c r="A422" s="57" t="s">
        <v>213</v>
      </c>
      <c r="B422" s="61" t="s">
        <v>59</v>
      </c>
      <c r="C422">
        <v>1115</v>
      </c>
      <c r="D422" s="57" t="s">
        <v>352</v>
      </c>
      <c r="E422" s="57">
        <v>44729</v>
      </c>
      <c r="F422" s="62">
        <v>2165</v>
      </c>
      <c r="G422" s="62">
        <v>1675.38</v>
      </c>
      <c r="H422" s="62">
        <v>2120</v>
      </c>
      <c r="I422" s="60">
        <f t="shared" si="24"/>
        <v>1.5025829596412557</v>
      </c>
      <c r="J422" s="60">
        <f t="shared" si="25"/>
        <v>444.61999999999989</v>
      </c>
      <c r="K422" s="60">
        <f t="shared" si="26"/>
        <v>1.9013452914798206</v>
      </c>
      <c r="L422" s="60">
        <f t="shared" si="27"/>
        <v>0.39876233183856491</v>
      </c>
    </row>
    <row r="423" spans="1:12" x14ac:dyDescent="0.25">
      <c r="A423" s="57" t="s">
        <v>185</v>
      </c>
      <c r="B423" s="61" t="s">
        <v>59</v>
      </c>
      <c r="C423">
        <v>1115</v>
      </c>
      <c r="D423" s="57" t="s">
        <v>49</v>
      </c>
      <c r="E423" s="57">
        <v>44729</v>
      </c>
      <c r="F423" s="62">
        <v>2165</v>
      </c>
      <c r="G423" s="62">
        <v>1561.35</v>
      </c>
      <c r="H423" s="62">
        <v>1955</v>
      </c>
      <c r="I423" s="60">
        <f t="shared" si="24"/>
        <v>1.4003139013452914</v>
      </c>
      <c r="J423" s="60">
        <f t="shared" si="25"/>
        <v>393.65000000000009</v>
      </c>
      <c r="K423" s="60">
        <f t="shared" si="26"/>
        <v>1.7533632286995515</v>
      </c>
      <c r="L423" s="60">
        <f t="shared" si="27"/>
        <v>0.35304932735426009</v>
      </c>
    </row>
    <row r="424" spans="1:12" x14ac:dyDescent="0.25">
      <c r="A424" s="57" t="s">
        <v>214</v>
      </c>
      <c r="B424" s="61" t="s">
        <v>145</v>
      </c>
      <c r="C424">
        <v>1146</v>
      </c>
      <c r="D424" s="57" t="s">
        <v>352</v>
      </c>
      <c r="E424" s="57">
        <v>44729</v>
      </c>
      <c r="F424" s="62">
        <v>2180</v>
      </c>
      <c r="G424" s="62">
        <v>1574.62</v>
      </c>
      <c r="H424" s="62">
        <v>2079</v>
      </c>
      <c r="I424" s="60">
        <f t="shared" si="24"/>
        <v>1.3740139616055846</v>
      </c>
      <c r="J424" s="60">
        <f t="shared" si="25"/>
        <v>504.38000000000011</v>
      </c>
      <c r="K424" s="60">
        <f t="shared" si="26"/>
        <v>1.8141361256544504</v>
      </c>
      <c r="L424" s="60">
        <f t="shared" si="27"/>
        <v>0.44012216404886573</v>
      </c>
    </row>
    <row r="425" spans="1:12" x14ac:dyDescent="0.25">
      <c r="A425" s="57" t="s">
        <v>212</v>
      </c>
      <c r="B425" s="61" t="s">
        <v>61</v>
      </c>
      <c r="C425">
        <v>820</v>
      </c>
      <c r="D425" s="57" t="s">
        <v>352</v>
      </c>
      <c r="E425" s="57">
        <v>44729</v>
      </c>
      <c r="F425" s="62">
        <v>1615</v>
      </c>
      <c r="G425" s="62">
        <v>1317.31</v>
      </c>
      <c r="H425" s="62">
        <v>1645</v>
      </c>
      <c r="I425" s="60">
        <f t="shared" si="24"/>
        <v>1.6064756097560975</v>
      </c>
      <c r="J425" s="60">
        <f t="shared" si="25"/>
        <v>327.69000000000005</v>
      </c>
      <c r="K425" s="60">
        <f t="shared" si="26"/>
        <v>2.0060975609756095</v>
      </c>
      <c r="L425" s="60">
        <f t="shared" si="27"/>
        <v>0.39962195121951205</v>
      </c>
    </row>
    <row r="426" spans="1:12" x14ac:dyDescent="0.25">
      <c r="A426" s="57" t="s">
        <v>173</v>
      </c>
      <c r="B426" s="61" t="s">
        <v>59</v>
      </c>
      <c r="C426">
        <v>1115</v>
      </c>
      <c r="D426" s="57" t="s">
        <v>49</v>
      </c>
      <c r="E426" s="57">
        <v>44729</v>
      </c>
      <c r="F426" s="62">
        <v>2135</v>
      </c>
      <c r="G426" s="62">
        <v>1459.62</v>
      </c>
      <c r="H426" s="62">
        <v>1960</v>
      </c>
      <c r="I426" s="60">
        <f t="shared" si="24"/>
        <v>1.3090762331838564</v>
      </c>
      <c r="J426" s="60">
        <f t="shared" si="25"/>
        <v>500.38000000000011</v>
      </c>
      <c r="K426" s="60">
        <f t="shared" si="26"/>
        <v>1.757847533632287</v>
      </c>
      <c r="L426" s="60">
        <f t="shared" si="27"/>
        <v>0.44877130044843061</v>
      </c>
    </row>
    <row r="427" spans="1:12" x14ac:dyDescent="0.25">
      <c r="A427" s="57" t="s">
        <v>215</v>
      </c>
      <c r="B427" s="61" t="s">
        <v>61</v>
      </c>
      <c r="C427">
        <v>820</v>
      </c>
      <c r="D427" s="57" t="s">
        <v>352</v>
      </c>
      <c r="E427" s="57">
        <v>44731</v>
      </c>
      <c r="F427" s="62">
        <v>1740</v>
      </c>
      <c r="G427" s="62">
        <v>1366.15</v>
      </c>
      <c r="H427" s="62">
        <v>1702</v>
      </c>
      <c r="I427" s="60">
        <f t="shared" si="24"/>
        <v>1.6660365853658539</v>
      </c>
      <c r="J427" s="60">
        <f t="shared" si="25"/>
        <v>335.84999999999991</v>
      </c>
      <c r="K427" s="60">
        <f t="shared" si="26"/>
        <v>2.075609756097561</v>
      </c>
      <c r="L427" s="60">
        <f t="shared" si="27"/>
        <v>0.40957317073170718</v>
      </c>
    </row>
    <row r="428" spans="1:12" x14ac:dyDescent="0.25">
      <c r="A428" s="57" t="s">
        <v>161</v>
      </c>
      <c r="B428" s="61" t="s">
        <v>137</v>
      </c>
      <c r="C428">
        <v>1700</v>
      </c>
      <c r="D428" s="57" t="s">
        <v>49</v>
      </c>
      <c r="E428" s="57">
        <v>44732</v>
      </c>
      <c r="F428" s="62">
        <v>2995</v>
      </c>
      <c r="G428" s="62">
        <v>2384.04</v>
      </c>
      <c r="H428" s="62">
        <v>2630</v>
      </c>
      <c r="I428" s="60">
        <f t="shared" si="24"/>
        <v>1.4023764705882353</v>
      </c>
      <c r="J428" s="60">
        <f t="shared" si="25"/>
        <v>245.96000000000004</v>
      </c>
      <c r="K428" s="60">
        <f t="shared" si="26"/>
        <v>1.5470588235294118</v>
      </c>
      <c r="L428" s="60">
        <f t="shared" si="27"/>
        <v>0.14468235294117648</v>
      </c>
    </row>
    <row r="429" spans="1:12" x14ac:dyDescent="0.25">
      <c r="A429" s="57" t="s">
        <v>186</v>
      </c>
      <c r="B429" s="61" t="s">
        <v>137</v>
      </c>
      <c r="C429">
        <v>1700</v>
      </c>
      <c r="D429" s="57" t="s">
        <v>49</v>
      </c>
      <c r="E429" s="57">
        <v>44732</v>
      </c>
      <c r="F429" s="62">
        <v>2995</v>
      </c>
      <c r="G429" s="62">
        <v>2384.04</v>
      </c>
      <c r="H429" s="62">
        <v>2630</v>
      </c>
      <c r="I429" s="60">
        <f t="shared" si="24"/>
        <v>1.4023764705882353</v>
      </c>
      <c r="J429" s="60">
        <f t="shared" si="25"/>
        <v>245.96000000000004</v>
      </c>
      <c r="K429" s="60">
        <f t="shared" si="26"/>
        <v>1.5470588235294118</v>
      </c>
      <c r="L429" s="60">
        <f t="shared" si="27"/>
        <v>0.14468235294117648</v>
      </c>
    </row>
    <row r="430" spans="1:12" x14ac:dyDescent="0.25">
      <c r="A430" s="57" t="s">
        <v>163</v>
      </c>
      <c r="B430" s="61" t="s">
        <v>151</v>
      </c>
      <c r="C430">
        <v>1141</v>
      </c>
      <c r="D430" s="57" t="s">
        <v>49</v>
      </c>
      <c r="E430" s="57">
        <v>44732</v>
      </c>
      <c r="F430" s="62">
        <v>2150</v>
      </c>
      <c r="G430" s="62">
        <v>1636.54</v>
      </c>
      <c r="H430" s="62">
        <v>2160</v>
      </c>
      <c r="I430" s="60">
        <f t="shared" si="24"/>
        <v>1.4343032427695004</v>
      </c>
      <c r="J430" s="60">
        <f t="shared" si="25"/>
        <v>523.46</v>
      </c>
      <c r="K430" s="60">
        <f t="shared" si="26"/>
        <v>1.8930762489044697</v>
      </c>
      <c r="L430" s="60">
        <f t="shared" si="27"/>
        <v>0.4587730061349693</v>
      </c>
    </row>
    <row r="431" spans="1:12" x14ac:dyDescent="0.25">
      <c r="A431" s="57" t="s">
        <v>225</v>
      </c>
      <c r="B431" s="61" t="s">
        <v>86</v>
      </c>
      <c r="C431">
        <v>810</v>
      </c>
      <c r="D431" s="57" t="s">
        <v>352</v>
      </c>
      <c r="E431" s="57">
        <v>44733</v>
      </c>
      <c r="F431" s="62">
        <v>1555</v>
      </c>
      <c r="G431" s="62">
        <v>1220.77</v>
      </c>
      <c r="H431" s="62">
        <v>1545</v>
      </c>
      <c r="I431" s="60">
        <f t="shared" si="24"/>
        <v>1.5071234567901235</v>
      </c>
      <c r="J431" s="60">
        <f t="shared" si="25"/>
        <v>324.23</v>
      </c>
      <c r="K431" s="60">
        <f t="shared" si="26"/>
        <v>1.9074074074074074</v>
      </c>
      <c r="L431" s="60">
        <f t="shared" si="27"/>
        <v>0.40028395061728395</v>
      </c>
    </row>
    <row r="432" spans="1:12" x14ac:dyDescent="0.25">
      <c r="A432" s="57" t="s">
        <v>220</v>
      </c>
      <c r="B432" s="61" t="s">
        <v>57</v>
      </c>
      <c r="C432">
        <v>700</v>
      </c>
      <c r="D432" s="57" t="s">
        <v>352</v>
      </c>
      <c r="E432" s="57">
        <v>44733</v>
      </c>
      <c r="F432" s="62">
        <v>1515</v>
      </c>
      <c r="G432" s="62">
        <v>1172.1199999999999</v>
      </c>
      <c r="H432" s="62">
        <v>1484</v>
      </c>
      <c r="I432" s="60">
        <f t="shared" si="24"/>
        <v>1.6744571428571426</v>
      </c>
      <c r="J432" s="60">
        <f t="shared" si="25"/>
        <v>311.88000000000011</v>
      </c>
      <c r="K432" s="60">
        <f t="shared" si="26"/>
        <v>2.12</v>
      </c>
      <c r="L432" s="60">
        <f t="shared" si="27"/>
        <v>0.44554285714285746</v>
      </c>
    </row>
    <row r="433" spans="1:12" x14ac:dyDescent="0.25">
      <c r="A433" s="57" t="s">
        <v>218</v>
      </c>
      <c r="B433" s="61" t="s">
        <v>48</v>
      </c>
      <c r="C433">
        <v>806</v>
      </c>
      <c r="D433" s="57" t="s">
        <v>352</v>
      </c>
      <c r="E433" s="57">
        <v>44733</v>
      </c>
      <c r="F433" s="62">
        <v>1620</v>
      </c>
      <c r="G433" s="62">
        <v>1256.1500000000001</v>
      </c>
      <c r="H433" s="62">
        <v>1633</v>
      </c>
      <c r="I433" s="60">
        <f t="shared" si="24"/>
        <v>1.5584987593052111</v>
      </c>
      <c r="J433" s="60">
        <f t="shared" si="25"/>
        <v>376.84999999999991</v>
      </c>
      <c r="K433" s="60">
        <f t="shared" si="26"/>
        <v>2.0260545905707197</v>
      </c>
      <c r="L433" s="60">
        <f t="shared" si="27"/>
        <v>0.46755583126550859</v>
      </c>
    </row>
    <row r="434" spans="1:12" x14ac:dyDescent="0.25">
      <c r="A434" s="57" t="s">
        <v>211</v>
      </c>
      <c r="B434" s="61" t="s">
        <v>59</v>
      </c>
      <c r="C434">
        <v>1115</v>
      </c>
      <c r="D434" s="57" t="s">
        <v>352</v>
      </c>
      <c r="E434" s="57">
        <v>44733</v>
      </c>
      <c r="F434" s="62">
        <v>2165</v>
      </c>
      <c r="G434" s="62">
        <v>1561.35</v>
      </c>
      <c r="H434" s="62">
        <v>2045</v>
      </c>
      <c r="I434" s="60">
        <f t="shared" si="24"/>
        <v>1.4003139013452914</v>
      </c>
      <c r="J434" s="60">
        <f t="shared" si="25"/>
        <v>483.65000000000009</v>
      </c>
      <c r="K434" s="60">
        <f t="shared" si="26"/>
        <v>1.8340807174887892</v>
      </c>
      <c r="L434" s="60">
        <f t="shared" si="27"/>
        <v>0.43376681614349777</v>
      </c>
    </row>
    <row r="435" spans="1:12" x14ac:dyDescent="0.25">
      <c r="A435" s="57" t="s">
        <v>221</v>
      </c>
      <c r="B435" s="61" t="s">
        <v>74</v>
      </c>
      <c r="C435">
        <v>1169</v>
      </c>
      <c r="D435" s="57" t="s">
        <v>352</v>
      </c>
      <c r="E435" s="57">
        <v>44733</v>
      </c>
      <c r="F435" s="62">
        <v>2240</v>
      </c>
      <c r="G435" s="62">
        <v>1561.35</v>
      </c>
      <c r="H435" s="62">
        <v>2045</v>
      </c>
      <c r="I435" s="60">
        <f t="shared" si="24"/>
        <v>1.33562874251497</v>
      </c>
      <c r="J435" s="60">
        <f t="shared" si="25"/>
        <v>483.65000000000009</v>
      </c>
      <c r="K435" s="60">
        <f t="shared" si="26"/>
        <v>1.7493584260051327</v>
      </c>
      <c r="L435" s="60">
        <f t="shared" si="27"/>
        <v>0.4137296834901627</v>
      </c>
    </row>
    <row r="436" spans="1:12" x14ac:dyDescent="0.25">
      <c r="A436" s="57" t="s">
        <v>73</v>
      </c>
      <c r="B436" s="61" t="s">
        <v>74</v>
      </c>
      <c r="C436">
        <v>1169</v>
      </c>
      <c r="D436" s="57" t="s">
        <v>49</v>
      </c>
      <c r="E436" s="57">
        <v>44733</v>
      </c>
      <c r="F436" s="62">
        <v>2195</v>
      </c>
      <c r="G436" s="62">
        <v>3720</v>
      </c>
      <c r="H436" s="62">
        <v>2120</v>
      </c>
      <c r="I436" s="60">
        <f t="shared" si="24"/>
        <v>3.1822070145423438</v>
      </c>
      <c r="J436" s="60">
        <f t="shared" si="25"/>
        <v>-1600</v>
      </c>
      <c r="K436" s="60">
        <f t="shared" si="26"/>
        <v>1.8135158254918733</v>
      </c>
      <c r="L436" s="60">
        <f t="shared" si="27"/>
        <v>-1.3686911890504705</v>
      </c>
    </row>
    <row r="437" spans="1:12" x14ac:dyDescent="0.25">
      <c r="A437" s="57" t="s">
        <v>170</v>
      </c>
      <c r="B437" s="61" t="s">
        <v>65</v>
      </c>
      <c r="C437">
        <v>813</v>
      </c>
      <c r="D437" s="57" t="s">
        <v>49</v>
      </c>
      <c r="E437" s="57">
        <v>44733</v>
      </c>
      <c r="F437" s="62">
        <v>1580</v>
      </c>
      <c r="G437" s="62">
        <v>1207.5</v>
      </c>
      <c r="H437" s="62">
        <v>1545</v>
      </c>
      <c r="I437" s="60">
        <f t="shared" si="24"/>
        <v>1.485239852398524</v>
      </c>
      <c r="J437" s="60">
        <f t="shared" si="25"/>
        <v>337.5</v>
      </c>
      <c r="K437" s="60">
        <f t="shared" si="26"/>
        <v>1.9003690036900369</v>
      </c>
      <c r="L437" s="60">
        <f t="shared" si="27"/>
        <v>0.41512915129151295</v>
      </c>
    </row>
    <row r="438" spans="1:12" x14ac:dyDescent="0.25">
      <c r="A438" s="57" t="s">
        <v>171</v>
      </c>
      <c r="B438" s="61" t="s">
        <v>86</v>
      </c>
      <c r="C438">
        <v>810</v>
      </c>
      <c r="D438" s="57" t="s">
        <v>49</v>
      </c>
      <c r="E438" s="57">
        <v>44734</v>
      </c>
      <c r="F438" s="62">
        <v>1600</v>
      </c>
      <c r="G438" s="62">
        <v>1260.58</v>
      </c>
      <c r="H438" s="62">
        <v>1585</v>
      </c>
      <c r="I438" s="60">
        <f t="shared" si="24"/>
        <v>1.5562716049382714</v>
      </c>
      <c r="J438" s="60">
        <f t="shared" si="25"/>
        <v>324.42000000000007</v>
      </c>
      <c r="K438" s="60">
        <f t="shared" si="26"/>
        <v>1.9567901234567902</v>
      </c>
      <c r="L438" s="60">
        <f t="shared" si="27"/>
        <v>0.40051851851851872</v>
      </c>
    </row>
    <row r="439" spans="1:12" x14ac:dyDescent="0.25">
      <c r="A439" s="57" t="s">
        <v>81</v>
      </c>
      <c r="B439" s="61" t="s">
        <v>82</v>
      </c>
      <c r="C439">
        <v>1112</v>
      </c>
      <c r="D439" s="57" t="s">
        <v>49</v>
      </c>
      <c r="E439" s="57">
        <v>44735</v>
      </c>
      <c r="F439" s="62">
        <v>2145</v>
      </c>
      <c r="G439" s="62">
        <v>2220</v>
      </c>
      <c r="H439" s="62">
        <v>1973</v>
      </c>
      <c r="I439" s="60">
        <f t="shared" si="24"/>
        <v>1.9964028776978417</v>
      </c>
      <c r="J439" s="60">
        <f t="shared" si="25"/>
        <v>-247</v>
      </c>
      <c r="K439" s="60">
        <f t="shared" si="26"/>
        <v>1.7742805755395683</v>
      </c>
      <c r="L439" s="60">
        <f t="shared" si="27"/>
        <v>-0.22212230215827344</v>
      </c>
    </row>
    <row r="440" spans="1:12" x14ac:dyDescent="0.25">
      <c r="A440" s="57" t="s">
        <v>175</v>
      </c>
      <c r="B440" s="61" t="s">
        <v>65</v>
      </c>
      <c r="C440">
        <v>813</v>
      </c>
      <c r="D440" s="57" t="s">
        <v>49</v>
      </c>
      <c r="E440" s="57">
        <v>44735</v>
      </c>
      <c r="F440" s="62">
        <v>1580</v>
      </c>
      <c r="G440" s="62">
        <v>1229.6199999999999</v>
      </c>
      <c r="H440" s="62">
        <v>1575</v>
      </c>
      <c r="I440" s="60">
        <f t="shared" si="24"/>
        <v>1.5124477244772447</v>
      </c>
      <c r="J440" s="60">
        <f t="shared" si="25"/>
        <v>345.38000000000011</v>
      </c>
      <c r="K440" s="60">
        <f t="shared" si="26"/>
        <v>1.9372693726937269</v>
      </c>
      <c r="L440" s="60">
        <f t="shared" si="27"/>
        <v>0.42482164821648216</v>
      </c>
    </row>
    <row r="441" spans="1:12" x14ac:dyDescent="0.25">
      <c r="A441" s="57" t="s">
        <v>228</v>
      </c>
      <c r="B441" s="61" t="s">
        <v>86</v>
      </c>
      <c r="C441">
        <v>810</v>
      </c>
      <c r="D441" s="57" t="s">
        <v>352</v>
      </c>
      <c r="E441" s="57">
        <v>44735</v>
      </c>
      <c r="F441" s="62">
        <v>1600</v>
      </c>
      <c r="G441" s="62">
        <v>1260.58</v>
      </c>
      <c r="H441" s="62">
        <v>1648</v>
      </c>
      <c r="I441" s="60">
        <f t="shared" si="24"/>
        <v>1.5562716049382714</v>
      </c>
      <c r="J441" s="60">
        <f t="shared" si="25"/>
        <v>387.42000000000007</v>
      </c>
      <c r="K441" s="60">
        <f t="shared" si="26"/>
        <v>2.0345679012345679</v>
      </c>
      <c r="L441" s="60">
        <f t="shared" si="27"/>
        <v>0.47829629629629644</v>
      </c>
    </row>
    <row r="442" spans="1:12" x14ac:dyDescent="0.25">
      <c r="A442" s="57" t="s">
        <v>231</v>
      </c>
      <c r="B442" s="61" t="s">
        <v>57</v>
      </c>
      <c r="C442">
        <v>700</v>
      </c>
      <c r="D442" s="57" t="s">
        <v>352</v>
      </c>
      <c r="E442" s="57">
        <v>44736</v>
      </c>
      <c r="F442" s="62">
        <v>1515</v>
      </c>
      <c r="G442" s="62">
        <v>1269.23</v>
      </c>
      <c r="H442" s="62">
        <v>1590</v>
      </c>
      <c r="I442" s="60">
        <f t="shared" si="24"/>
        <v>1.8131857142857144</v>
      </c>
      <c r="J442" s="60">
        <f t="shared" si="25"/>
        <v>320.77</v>
      </c>
      <c r="K442" s="60">
        <f t="shared" si="26"/>
        <v>2.2714285714285714</v>
      </c>
      <c r="L442" s="60">
        <f t="shared" si="27"/>
        <v>0.45824285714285695</v>
      </c>
    </row>
    <row r="443" spans="1:12" x14ac:dyDescent="0.25">
      <c r="A443" s="57" t="s">
        <v>229</v>
      </c>
      <c r="B443" s="61" t="s">
        <v>153</v>
      </c>
      <c r="C443">
        <v>696</v>
      </c>
      <c r="D443" s="57" t="s">
        <v>352</v>
      </c>
      <c r="E443" s="57">
        <v>44736</v>
      </c>
      <c r="F443" s="62">
        <v>1450</v>
      </c>
      <c r="G443" s="62">
        <v>1163.27</v>
      </c>
      <c r="H443" s="62">
        <v>1521</v>
      </c>
      <c r="I443" s="60">
        <f t="shared" si="24"/>
        <v>1.6713649425287356</v>
      </c>
      <c r="J443" s="60">
        <f t="shared" si="25"/>
        <v>357.73</v>
      </c>
      <c r="K443" s="60">
        <f t="shared" si="26"/>
        <v>2.1853448275862069</v>
      </c>
      <c r="L443" s="60">
        <f t="shared" si="27"/>
        <v>0.51397988505747128</v>
      </c>
    </row>
    <row r="444" spans="1:12" x14ac:dyDescent="0.25">
      <c r="A444" s="57" t="s">
        <v>202</v>
      </c>
      <c r="B444" s="61" t="s">
        <v>151</v>
      </c>
      <c r="C444">
        <v>1141</v>
      </c>
      <c r="D444" s="57" t="s">
        <v>49</v>
      </c>
      <c r="E444" s="57">
        <v>44736</v>
      </c>
      <c r="F444" s="62">
        <v>2150</v>
      </c>
      <c r="G444" s="62">
        <v>1747.12</v>
      </c>
      <c r="H444" s="62">
        <v>2280</v>
      </c>
      <c r="I444" s="60">
        <f t="shared" si="24"/>
        <v>1.5312182296231376</v>
      </c>
      <c r="J444" s="60">
        <f t="shared" si="25"/>
        <v>532.88000000000011</v>
      </c>
      <c r="K444" s="60">
        <f t="shared" si="26"/>
        <v>1.9982471516213847</v>
      </c>
      <c r="L444" s="60">
        <f t="shared" si="27"/>
        <v>0.46702892199824708</v>
      </c>
    </row>
    <row r="445" spans="1:12" x14ac:dyDescent="0.25">
      <c r="A445" s="57" t="s">
        <v>99</v>
      </c>
      <c r="B445" s="61" t="s">
        <v>57</v>
      </c>
      <c r="C445">
        <v>700</v>
      </c>
      <c r="D445" s="57" t="s">
        <v>49</v>
      </c>
      <c r="E445" s="57">
        <v>44736</v>
      </c>
      <c r="F445" s="62">
        <v>1465</v>
      </c>
      <c r="G445" s="62">
        <v>1275</v>
      </c>
      <c r="H445" s="62">
        <v>1475</v>
      </c>
      <c r="I445" s="60">
        <f t="shared" si="24"/>
        <v>1.8214285714285714</v>
      </c>
      <c r="J445" s="60">
        <f t="shared" si="25"/>
        <v>200</v>
      </c>
      <c r="K445" s="60">
        <f t="shared" si="26"/>
        <v>2.1071428571428572</v>
      </c>
      <c r="L445" s="60">
        <f t="shared" si="27"/>
        <v>0.28571428571428581</v>
      </c>
    </row>
    <row r="446" spans="1:12" x14ac:dyDescent="0.25">
      <c r="A446" s="57" t="s">
        <v>224</v>
      </c>
      <c r="B446" s="61" t="s">
        <v>137</v>
      </c>
      <c r="C446">
        <v>1700</v>
      </c>
      <c r="D446" s="57" t="s">
        <v>49</v>
      </c>
      <c r="E446" s="57">
        <v>44739</v>
      </c>
      <c r="F446" s="62">
        <v>2995</v>
      </c>
      <c r="G446" s="62">
        <v>2450.38</v>
      </c>
      <c r="H446" s="62">
        <v>2460</v>
      </c>
      <c r="I446" s="60">
        <f t="shared" si="24"/>
        <v>1.4414</v>
      </c>
      <c r="J446" s="60">
        <f t="shared" si="25"/>
        <v>9.6199999999998909</v>
      </c>
      <c r="K446" s="60">
        <f t="shared" si="26"/>
        <v>1.4470588235294117</v>
      </c>
      <c r="L446" s="60">
        <f t="shared" si="27"/>
        <v>5.6588235294117162E-3</v>
      </c>
    </row>
    <row r="447" spans="1:12" x14ac:dyDescent="0.25">
      <c r="A447" s="57" t="s">
        <v>256</v>
      </c>
      <c r="B447" s="61" t="s">
        <v>57</v>
      </c>
      <c r="C447">
        <v>700</v>
      </c>
      <c r="D447" s="57" t="s">
        <v>49</v>
      </c>
      <c r="E447" s="57">
        <v>44739</v>
      </c>
      <c r="F447" s="62">
        <v>1560</v>
      </c>
      <c r="G447" s="62">
        <v>1310.77</v>
      </c>
      <c r="H447" s="62">
        <v>1560</v>
      </c>
      <c r="I447" s="60">
        <f t="shared" si="24"/>
        <v>1.8725285714285713</v>
      </c>
      <c r="J447" s="60">
        <f t="shared" si="25"/>
        <v>249.23000000000002</v>
      </c>
      <c r="K447" s="60">
        <f t="shared" si="26"/>
        <v>2.2285714285714286</v>
      </c>
      <c r="L447" s="60">
        <f t="shared" si="27"/>
        <v>0.35604285714285733</v>
      </c>
    </row>
    <row r="448" spans="1:12" x14ac:dyDescent="0.25">
      <c r="A448" s="57" t="s">
        <v>238</v>
      </c>
      <c r="B448" s="61" t="s">
        <v>153</v>
      </c>
      <c r="C448">
        <v>696</v>
      </c>
      <c r="D448" s="57" t="s">
        <v>352</v>
      </c>
      <c r="E448" s="57">
        <v>44740</v>
      </c>
      <c r="F448" s="62">
        <v>1480</v>
      </c>
      <c r="G448" s="62">
        <v>1189.81</v>
      </c>
      <c r="H448" s="62">
        <v>1547</v>
      </c>
      <c r="I448" s="60">
        <f t="shared" si="24"/>
        <v>1.7094971264367815</v>
      </c>
      <c r="J448" s="60">
        <f t="shared" si="25"/>
        <v>357.19000000000005</v>
      </c>
      <c r="K448" s="60">
        <f t="shared" si="26"/>
        <v>2.2227011494252875</v>
      </c>
      <c r="L448" s="60">
        <f t="shared" si="27"/>
        <v>0.51320402298850598</v>
      </c>
    </row>
    <row r="449" spans="1:12" x14ac:dyDescent="0.25">
      <c r="A449" s="57" t="s">
        <v>235</v>
      </c>
      <c r="B449" s="61" t="s">
        <v>57</v>
      </c>
      <c r="C449">
        <v>700</v>
      </c>
      <c r="D449" s="57" t="s">
        <v>352</v>
      </c>
      <c r="E449" s="57">
        <v>44740</v>
      </c>
      <c r="F449" s="62">
        <v>1560</v>
      </c>
      <c r="G449" s="62">
        <v>1211.92</v>
      </c>
      <c r="H449" s="62">
        <v>1576</v>
      </c>
      <c r="I449" s="60">
        <f t="shared" si="24"/>
        <v>1.7313142857142858</v>
      </c>
      <c r="J449" s="60">
        <f t="shared" si="25"/>
        <v>364.07999999999993</v>
      </c>
      <c r="K449" s="60">
        <f t="shared" si="26"/>
        <v>2.2514285714285713</v>
      </c>
      <c r="L449" s="60">
        <f t="shared" si="27"/>
        <v>0.52011428571428553</v>
      </c>
    </row>
    <row r="450" spans="1:12" x14ac:dyDescent="0.25">
      <c r="A450" s="57" t="s">
        <v>240</v>
      </c>
      <c r="B450" s="61" t="s">
        <v>145</v>
      </c>
      <c r="C450">
        <v>1146</v>
      </c>
      <c r="D450" s="57" t="s">
        <v>352</v>
      </c>
      <c r="E450" s="57">
        <v>44740</v>
      </c>
      <c r="F450" s="62">
        <v>2180</v>
      </c>
      <c r="G450" s="62">
        <v>1574.62</v>
      </c>
      <c r="H450" s="62">
        <v>2050</v>
      </c>
      <c r="I450" s="60">
        <f t="shared" ref="I450:I513" si="28">G450/C450</f>
        <v>1.3740139616055846</v>
      </c>
      <c r="J450" s="60">
        <f t="shared" ref="J450:J513" si="29">SUM(H450-G450)</f>
        <v>475.38000000000011</v>
      </c>
      <c r="K450" s="60">
        <f t="shared" ref="K450:K513" si="30">H450/C450</f>
        <v>1.7888307155322862</v>
      </c>
      <c r="L450" s="60">
        <f t="shared" ref="L450:L513" si="31">K450-I450</f>
        <v>0.41481675392670159</v>
      </c>
    </row>
    <row r="451" spans="1:12" x14ac:dyDescent="0.25">
      <c r="A451" s="57" t="s">
        <v>217</v>
      </c>
      <c r="B451" s="61" t="s">
        <v>86</v>
      </c>
      <c r="C451">
        <v>810</v>
      </c>
      <c r="D451" s="57" t="s">
        <v>49</v>
      </c>
      <c r="E451" s="57">
        <v>44740</v>
      </c>
      <c r="F451" s="62">
        <v>1555</v>
      </c>
      <c r="G451" s="62">
        <v>1220.77</v>
      </c>
      <c r="H451" s="62">
        <v>1570</v>
      </c>
      <c r="I451" s="60">
        <f t="shared" si="28"/>
        <v>1.5071234567901235</v>
      </c>
      <c r="J451" s="60">
        <f t="shared" si="29"/>
        <v>349.23</v>
      </c>
      <c r="K451" s="60">
        <f t="shared" si="30"/>
        <v>1.9382716049382716</v>
      </c>
      <c r="L451" s="60">
        <f t="shared" si="31"/>
        <v>0.43114814814814806</v>
      </c>
    </row>
    <row r="452" spans="1:12" x14ac:dyDescent="0.25">
      <c r="A452" s="57" t="s">
        <v>127</v>
      </c>
      <c r="B452" s="61" t="s">
        <v>48</v>
      </c>
      <c r="C452">
        <v>806</v>
      </c>
      <c r="D452" s="57" t="s">
        <v>49</v>
      </c>
      <c r="E452" s="57">
        <v>44740</v>
      </c>
      <c r="F452" s="62">
        <v>1620</v>
      </c>
      <c r="G452" s="62">
        <v>1395</v>
      </c>
      <c r="H452" s="62">
        <v>1575</v>
      </c>
      <c r="I452" s="60">
        <f t="shared" si="28"/>
        <v>1.7307692307692308</v>
      </c>
      <c r="J452" s="60">
        <f t="shared" si="29"/>
        <v>180</v>
      </c>
      <c r="K452" s="60">
        <f t="shared" si="30"/>
        <v>1.9540942928039702</v>
      </c>
      <c r="L452" s="60">
        <f t="shared" si="31"/>
        <v>0.22332506203473934</v>
      </c>
    </row>
    <row r="453" spans="1:12" x14ac:dyDescent="0.25">
      <c r="A453" s="57" t="s">
        <v>315</v>
      </c>
      <c r="B453" s="61" t="s">
        <v>65</v>
      </c>
      <c r="C453">
        <v>813</v>
      </c>
      <c r="D453" s="57" t="s">
        <v>49</v>
      </c>
      <c r="E453" s="57">
        <v>44741</v>
      </c>
      <c r="F453" s="62">
        <v>1580</v>
      </c>
      <c r="G453" s="62">
        <v>1458.46</v>
      </c>
      <c r="H453" s="62">
        <v>1685</v>
      </c>
      <c r="I453" s="60">
        <f t="shared" si="28"/>
        <v>1.7939237392373923</v>
      </c>
      <c r="J453" s="60">
        <f t="shared" si="29"/>
        <v>226.53999999999996</v>
      </c>
      <c r="K453" s="60">
        <f t="shared" si="30"/>
        <v>2.0725707257072572</v>
      </c>
      <c r="L453" s="60">
        <f t="shared" si="31"/>
        <v>0.27864698646986485</v>
      </c>
    </row>
    <row r="454" spans="1:12" x14ac:dyDescent="0.25">
      <c r="A454" s="57" t="s">
        <v>167</v>
      </c>
      <c r="B454" s="61" t="s">
        <v>59</v>
      </c>
      <c r="C454">
        <v>1115</v>
      </c>
      <c r="D454" s="57" t="s">
        <v>49</v>
      </c>
      <c r="E454" s="57">
        <v>44742</v>
      </c>
      <c r="F454" s="62">
        <v>2290</v>
      </c>
      <c r="G454" s="62">
        <v>1530.38</v>
      </c>
      <c r="H454" s="62">
        <v>2080</v>
      </c>
      <c r="I454" s="60">
        <f t="shared" si="28"/>
        <v>1.3725381165919284</v>
      </c>
      <c r="J454" s="60">
        <f t="shared" si="29"/>
        <v>549.61999999999989</v>
      </c>
      <c r="K454" s="60">
        <f t="shared" si="30"/>
        <v>1.8654708520179373</v>
      </c>
      <c r="L454" s="60">
        <f t="shared" si="31"/>
        <v>0.49293273542600891</v>
      </c>
    </row>
    <row r="455" spans="1:12" x14ac:dyDescent="0.25">
      <c r="A455" s="57" t="s">
        <v>201</v>
      </c>
      <c r="B455" s="61" t="s">
        <v>59</v>
      </c>
      <c r="C455">
        <v>1115</v>
      </c>
      <c r="D455" s="57" t="s">
        <v>49</v>
      </c>
      <c r="E455" s="57">
        <v>44742</v>
      </c>
      <c r="F455" s="62">
        <v>2135</v>
      </c>
      <c r="G455" s="62">
        <v>1459.62</v>
      </c>
      <c r="H455" s="62">
        <v>1960</v>
      </c>
      <c r="I455" s="60">
        <f t="shared" si="28"/>
        <v>1.3090762331838564</v>
      </c>
      <c r="J455" s="60">
        <f t="shared" si="29"/>
        <v>500.38000000000011</v>
      </c>
      <c r="K455" s="60">
        <f t="shared" si="30"/>
        <v>1.757847533632287</v>
      </c>
      <c r="L455" s="60">
        <f t="shared" si="31"/>
        <v>0.44877130044843061</v>
      </c>
    </row>
    <row r="456" spans="1:12" x14ac:dyDescent="0.25">
      <c r="A456" s="57" t="s">
        <v>223</v>
      </c>
      <c r="B456" s="61" t="s">
        <v>57</v>
      </c>
      <c r="C456">
        <v>700</v>
      </c>
      <c r="D456" s="57" t="s">
        <v>49</v>
      </c>
      <c r="E456" s="57">
        <v>44742</v>
      </c>
      <c r="F456" s="62">
        <v>1515</v>
      </c>
      <c r="G456" s="62">
        <v>1172.1199999999999</v>
      </c>
      <c r="H456" s="62">
        <v>1515</v>
      </c>
      <c r="I456" s="60">
        <f t="shared" si="28"/>
        <v>1.6744571428571426</v>
      </c>
      <c r="J456" s="60">
        <f t="shared" si="29"/>
        <v>342.88000000000011</v>
      </c>
      <c r="K456" s="60">
        <f t="shared" si="30"/>
        <v>2.1642857142857141</v>
      </c>
      <c r="L456" s="60">
        <f t="shared" si="31"/>
        <v>0.4898285714285715</v>
      </c>
    </row>
    <row r="457" spans="1:12" x14ac:dyDescent="0.25">
      <c r="A457" s="57" t="s">
        <v>197</v>
      </c>
      <c r="B457" s="61" t="s">
        <v>153</v>
      </c>
      <c r="C457">
        <v>696</v>
      </c>
      <c r="D457" s="57" t="s">
        <v>49</v>
      </c>
      <c r="E457" s="57">
        <v>44742</v>
      </c>
      <c r="F457" s="62">
        <v>1450</v>
      </c>
      <c r="G457" s="62">
        <v>1163.27</v>
      </c>
      <c r="H457" s="62">
        <v>1480</v>
      </c>
      <c r="I457" s="60">
        <f t="shared" si="28"/>
        <v>1.6713649425287356</v>
      </c>
      <c r="J457" s="60">
        <f t="shared" si="29"/>
        <v>316.73</v>
      </c>
      <c r="K457" s="60">
        <f t="shared" si="30"/>
        <v>2.1264367816091956</v>
      </c>
      <c r="L457" s="60">
        <f t="shared" si="31"/>
        <v>0.45507183908046001</v>
      </c>
    </row>
    <row r="458" spans="1:12" x14ac:dyDescent="0.25">
      <c r="A458" s="57" t="s">
        <v>206</v>
      </c>
      <c r="B458" s="61" t="s">
        <v>48</v>
      </c>
      <c r="C458">
        <v>806</v>
      </c>
      <c r="D458" s="57" t="s">
        <v>49</v>
      </c>
      <c r="E458" s="57">
        <v>44743</v>
      </c>
      <c r="F458" s="62">
        <v>1620</v>
      </c>
      <c r="G458" s="62">
        <v>1256.1500000000001</v>
      </c>
      <c r="H458" s="62">
        <v>1855</v>
      </c>
      <c r="I458" s="60">
        <f t="shared" si="28"/>
        <v>1.5584987593052111</v>
      </c>
      <c r="J458" s="60">
        <f t="shared" si="29"/>
        <v>598.84999999999991</v>
      </c>
      <c r="K458" s="60">
        <f t="shared" si="30"/>
        <v>2.3014888337468982</v>
      </c>
      <c r="L458" s="60">
        <f t="shared" si="31"/>
        <v>0.74299007444168708</v>
      </c>
    </row>
    <row r="459" spans="1:12" x14ac:dyDescent="0.25">
      <c r="A459" s="57" t="s">
        <v>210</v>
      </c>
      <c r="B459" s="61" t="s">
        <v>151</v>
      </c>
      <c r="C459">
        <v>1141</v>
      </c>
      <c r="D459" s="57" t="s">
        <v>49</v>
      </c>
      <c r="E459" s="57">
        <v>44743</v>
      </c>
      <c r="F459" s="62">
        <v>2150</v>
      </c>
      <c r="G459" s="62">
        <v>1791.35</v>
      </c>
      <c r="H459" s="62">
        <v>2220</v>
      </c>
      <c r="I459" s="60">
        <f t="shared" si="28"/>
        <v>1.5699824715162138</v>
      </c>
      <c r="J459" s="60">
        <f t="shared" si="29"/>
        <v>428.65000000000009</v>
      </c>
      <c r="K459" s="60">
        <f t="shared" si="30"/>
        <v>1.9456617002629273</v>
      </c>
      <c r="L459" s="60">
        <f t="shared" si="31"/>
        <v>0.37567922874671345</v>
      </c>
    </row>
    <row r="460" spans="1:12" x14ac:dyDescent="0.25">
      <c r="A460" s="57" t="s">
        <v>207</v>
      </c>
      <c r="B460" s="61" t="s">
        <v>74</v>
      </c>
      <c r="C460">
        <v>1169</v>
      </c>
      <c r="D460" s="57" t="s">
        <v>49</v>
      </c>
      <c r="E460" s="57">
        <v>44743</v>
      </c>
      <c r="F460" s="62">
        <v>2220</v>
      </c>
      <c r="G460" s="62">
        <v>1610</v>
      </c>
      <c r="H460" s="62">
        <v>2045</v>
      </c>
      <c r="I460" s="60">
        <f t="shared" si="28"/>
        <v>1.3772455089820359</v>
      </c>
      <c r="J460" s="60">
        <f t="shared" si="29"/>
        <v>435</v>
      </c>
      <c r="K460" s="60">
        <f t="shared" si="30"/>
        <v>1.7493584260051327</v>
      </c>
      <c r="L460" s="60">
        <f t="shared" si="31"/>
        <v>0.37211291702309679</v>
      </c>
    </row>
    <row r="461" spans="1:12" x14ac:dyDescent="0.25">
      <c r="A461" s="57" t="s">
        <v>119</v>
      </c>
      <c r="B461" s="61" t="s">
        <v>48</v>
      </c>
      <c r="C461">
        <v>806</v>
      </c>
      <c r="D461" s="57" t="s">
        <v>49</v>
      </c>
      <c r="E461" s="57">
        <v>44743</v>
      </c>
      <c r="F461" s="62">
        <v>1620</v>
      </c>
      <c r="G461" s="62">
        <v>1395</v>
      </c>
      <c r="H461" s="62">
        <v>1535</v>
      </c>
      <c r="I461" s="60">
        <f t="shared" si="28"/>
        <v>1.7307692307692308</v>
      </c>
      <c r="J461" s="60">
        <f t="shared" si="29"/>
        <v>140</v>
      </c>
      <c r="K461" s="60">
        <f t="shared" si="30"/>
        <v>1.9044665012406947</v>
      </c>
      <c r="L461" s="60">
        <f t="shared" si="31"/>
        <v>0.17369727047146388</v>
      </c>
    </row>
    <row r="462" spans="1:12" x14ac:dyDescent="0.25">
      <c r="A462" s="57" t="s">
        <v>239</v>
      </c>
      <c r="B462" s="61" t="s">
        <v>86</v>
      </c>
      <c r="C462">
        <v>810</v>
      </c>
      <c r="D462" s="57" t="s">
        <v>49</v>
      </c>
      <c r="E462" s="57">
        <v>44743</v>
      </c>
      <c r="F462" s="62">
        <v>1600</v>
      </c>
      <c r="G462" s="62">
        <v>1384.62</v>
      </c>
      <c r="H462" s="62">
        <v>1600</v>
      </c>
      <c r="I462" s="60">
        <f t="shared" si="28"/>
        <v>1.7094074074074073</v>
      </c>
      <c r="J462" s="60">
        <f t="shared" si="29"/>
        <v>215.38000000000011</v>
      </c>
      <c r="K462" s="60">
        <f t="shared" si="30"/>
        <v>1.9753086419753085</v>
      </c>
      <c r="L462" s="60">
        <f t="shared" si="31"/>
        <v>0.26590123456790127</v>
      </c>
    </row>
    <row r="463" spans="1:12" x14ac:dyDescent="0.25">
      <c r="A463" s="57" t="s">
        <v>300</v>
      </c>
      <c r="B463" s="61" t="s">
        <v>57</v>
      </c>
      <c r="C463">
        <v>700</v>
      </c>
      <c r="D463" s="57" t="s">
        <v>352</v>
      </c>
      <c r="E463" s="57">
        <v>44746</v>
      </c>
      <c r="F463" s="62">
        <v>1515</v>
      </c>
      <c r="G463" s="62">
        <v>1315</v>
      </c>
      <c r="H463" s="62">
        <v>1512</v>
      </c>
      <c r="I463" s="60">
        <f t="shared" si="28"/>
        <v>1.8785714285714286</v>
      </c>
      <c r="J463" s="60">
        <f t="shared" si="29"/>
        <v>197</v>
      </c>
      <c r="K463" s="60">
        <f t="shared" si="30"/>
        <v>2.16</v>
      </c>
      <c r="L463" s="60">
        <f t="shared" si="31"/>
        <v>0.28142857142857158</v>
      </c>
    </row>
    <row r="464" spans="1:12" x14ac:dyDescent="0.25">
      <c r="A464" s="57" t="s">
        <v>253</v>
      </c>
      <c r="B464" s="61" t="s">
        <v>48</v>
      </c>
      <c r="C464">
        <v>806</v>
      </c>
      <c r="D464" s="57" t="s">
        <v>352</v>
      </c>
      <c r="E464" s="57">
        <v>44747</v>
      </c>
      <c r="F464" s="62">
        <v>1620</v>
      </c>
      <c r="G464" s="62">
        <v>1256.1500000000001</v>
      </c>
      <c r="H464" s="62">
        <v>1562</v>
      </c>
      <c r="I464" s="60">
        <f t="shared" si="28"/>
        <v>1.5584987593052111</v>
      </c>
      <c r="J464" s="60">
        <f t="shared" si="29"/>
        <v>305.84999999999991</v>
      </c>
      <c r="K464" s="60">
        <f t="shared" si="30"/>
        <v>1.9379652605459057</v>
      </c>
      <c r="L464" s="60">
        <f t="shared" si="31"/>
        <v>0.37946650124069459</v>
      </c>
    </row>
    <row r="465" spans="1:12" x14ac:dyDescent="0.25">
      <c r="A465" s="57" t="s">
        <v>246</v>
      </c>
      <c r="B465" s="61" t="s">
        <v>145</v>
      </c>
      <c r="C465">
        <v>1146</v>
      </c>
      <c r="D465" s="57" t="s">
        <v>352</v>
      </c>
      <c r="E465" s="57">
        <v>44747</v>
      </c>
      <c r="F465" s="62">
        <v>2150</v>
      </c>
      <c r="G465" s="62">
        <v>1684.62</v>
      </c>
      <c r="H465" s="62">
        <v>2010</v>
      </c>
      <c r="I465" s="60">
        <f t="shared" si="28"/>
        <v>1.47</v>
      </c>
      <c r="J465" s="60">
        <f t="shared" si="29"/>
        <v>325.38000000000011</v>
      </c>
      <c r="K465" s="60">
        <f t="shared" si="30"/>
        <v>1.7539267015706805</v>
      </c>
      <c r="L465" s="60">
        <f t="shared" si="31"/>
        <v>0.28392670157068056</v>
      </c>
    </row>
    <row r="466" spans="1:12" x14ac:dyDescent="0.25">
      <c r="A466" s="57" t="s">
        <v>249</v>
      </c>
      <c r="B466" s="61" t="s">
        <v>59</v>
      </c>
      <c r="C466">
        <v>1115</v>
      </c>
      <c r="D466" s="57" t="s">
        <v>352</v>
      </c>
      <c r="E466" s="57">
        <v>44747</v>
      </c>
      <c r="F466" s="62">
        <v>2135</v>
      </c>
      <c r="G466" s="62">
        <v>1647.69</v>
      </c>
      <c r="H466" s="62">
        <v>1925</v>
      </c>
      <c r="I466" s="60">
        <f t="shared" si="28"/>
        <v>1.4777488789237669</v>
      </c>
      <c r="J466" s="60">
        <f t="shared" si="29"/>
        <v>277.30999999999995</v>
      </c>
      <c r="K466" s="60">
        <f t="shared" si="30"/>
        <v>1.7264573991031391</v>
      </c>
      <c r="L466" s="60">
        <f t="shared" si="31"/>
        <v>0.24870852017937217</v>
      </c>
    </row>
    <row r="467" spans="1:12" x14ac:dyDescent="0.25">
      <c r="A467" s="57" t="s">
        <v>255</v>
      </c>
      <c r="B467" s="61" t="s">
        <v>57</v>
      </c>
      <c r="C467">
        <v>700</v>
      </c>
      <c r="D467" s="57" t="s">
        <v>352</v>
      </c>
      <c r="E467" s="57">
        <v>44747</v>
      </c>
      <c r="F467" s="62">
        <v>1515</v>
      </c>
      <c r="G467" s="62">
        <v>1269.23</v>
      </c>
      <c r="H467" s="62">
        <v>1513</v>
      </c>
      <c r="I467" s="60">
        <f t="shared" si="28"/>
        <v>1.8131857142857144</v>
      </c>
      <c r="J467" s="60">
        <f t="shared" si="29"/>
        <v>243.76999999999998</v>
      </c>
      <c r="K467" s="60">
        <f t="shared" si="30"/>
        <v>2.1614285714285715</v>
      </c>
      <c r="L467" s="60">
        <f t="shared" si="31"/>
        <v>0.34824285714285708</v>
      </c>
    </row>
    <row r="468" spans="1:12" x14ac:dyDescent="0.25">
      <c r="A468" s="57" t="s">
        <v>241</v>
      </c>
      <c r="B468" s="61" t="s">
        <v>59</v>
      </c>
      <c r="C468">
        <v>1115</v>
      </c>
      <c r="D468" s="57" t="s">
        <v>352</v>
      </c>
      <c r="E468" s="57">
        <v>44747</v>
      </c>
      <c r="F468" s="62">
        <v>2165</v>
      </c>
      <c r="G468" s="62">
        <v>1561.35</v>
      </c>
      <c r="H468" s="62">
        <v>1871</v>
      </c>
      <c r="I468" s="60">
        <f t="shared" si="28"/>
        <v>1.4003139013452914</v>
      </c>
      <c r="J468" s="60">
        <f t="shared" si="29"/>
        <v>309.65000000000009</v>
      </c>
      <c r="K468" s="60">
        <f t="shared" si="30"/>
        <v>1.6780269058295965</v>
      </c>
      <c r="L468" s="60">
        <f t="shared" si="31"/>
        <v>0.27771300448430503</v>
      </c>
    </row>
    <row r="469" spans="1:12" x14ac:dyDescent="0.25">
      <c r="A469" s="57" t="s">
        <v>71</v>
      </c>
      <c r="B469" s="61" t="s">
        <v>55</v>
      </c>
      <c r="C469">
        <v>764</v>
      </c>
      <c r="D469" s="57" t="s">
        <v>49</v>
      </c>
      <c r="E469" s="57">
        <v>44747</v>
      </c>
      <c r="F469" s="62">
        <v>1585</v>
      </c>
      <c r="G469" s="62">
        <v>1625</v>
      </c>
      <c r="H469" s="62">
        <v>1600</v>
      </c>
      <c r="I469" s="60">
        <f t="shared" si="28"/>
        <v>2.1269633507853403</v>
      </c>
      <c r="J469" s="60">
        <f t="shared" si="29"/>
        <v>-25</v>
      </c>
      <c r="K469" s="60">
        <f t="shared" si="30"/>
        <v>2.0942408376963351</v>
      </c>
      <c r="L469" s="60">
        <f t="shared" si="31"/>
        <v>-3.2722513089005201E-2</v>
      </c>
    </row>
    <row r="470" spans="1:12" x14ac:dyDescent="0.25">
      <c r="A470" s="57" t="s">
        <v>234</v>
      </c>
      <c r="B470" s="61" t="s">
        <v>151</v>
      </c>
      <c r="C470">
        <v>1141</v>
      </c>
      <c r="D470" s="57" t="s">
        <v>49</v>
      </c>
      <c r="E470" s="57">
        <v>44748</v>
      </c>
      <c r="F470" s="62">
        <v>2150</v>
      </c>
      <c r="G470" s="62">
        <v>1791.35</v>
      </c>
      <c r="H470" s="62">
        <v>2080</v>
      </c>
      <c r="I470" s="60">
        <f t="shared" si="28"/>
        <v>1.5699824715162138</v>
      </c>
      <c r="J470" s="60">
        <f t="shared" si="29"/>
        <v>288.65000000000009</v>
      </c>
      <c r="K470" s="60">
        <f t="shared" si="30"/>
        <v>1.8229623137598598</v>
      </c>
      <c r="L470" s="60">
        <f t="shared" si="31"/>
        <v>0.252979842243646</v>
      </c>
    </row>
    <row r="471" spans="1:12" x14ac:dyDescent="0.25">
      <c r="A471" s="57" t="s">
        <v>258</v>
      </c>
      <c r="B471" s="61" t="s">
        <v>151</v>
      </c>
      <c r="C471">
        <v>1141</v>
      </c>
      <c r="D471" s="57" t="s">
        <v>352</v>
      </c>
      <c r="E471" s="57">
        <v>44749</v>
      </c>
      <c r="F471" s="62">
        <v>2150</v>
      </c>
      <c r="G471" s="62">
        <v>1791.35</v>
      </c>
      <c r="H471" s="62">
        <v>2158</v>
      </c>
      <c r="I471" s="60">
        <f t="shared" si="28"/>
        <v>1.5699824715162138</v>
      </c>
      <c r="J471" s="60">
        <f t="shared" si="29"/>
        <v>366.65000000000009</v>
      </c>
      <c r="K471" s="60">
        <f t="shared" si="30"/>
        <v>1.8913234005258546</v>
      </c>
      <c r="L471" s="60">
        <f t="shared" si="31"/>
        <v>0.32134092900964073</v>
      </c>
    </row>
    <row r="472" spans="1:12" x14ac:dyDescent="0.25">
      <c r="A472" s="57" t="s">
        <v>232</v>
      </c>
      <c r="B472" s="61" t="s">
        <v>151</v>
      </c>
      <c r="C472">
        <v>1141</v>
      </c>
      <c r="D472" s="57" t="s">
        <v>49</v>
      </c>
      <c r="E472" s="57">
        <v>44749</v>
      </c>
      <c r="F472" s="62">
        <v>2150</v>
      </c>
      <c r="G472" s="62">
        <v>1915.38</v>
      </c>
      <c r="H472" s="62">
        <v>2110</v>
      </c>
      <c r="I472" s="60">
        <f t="shared" si="28"/>
        <v>1.6786853637160386</v>
      </c>
      <c r="J472" s="60">
        <f t="shared" si="29"/>
        <v>194.61999999999989</v>
      </c>
      <c r="K472" s="60">
        <f t="shared" si="30"/>
        <v>1.8492550394390885</v>
      </c>
      <c r="L472" s="60">
        <f t="shared" si="31"/>
        <v>0.17056967572304993</v>
      </c>
    </row>
    <row r="473" spans="1:12" x14ac:dyDescent="0.25">
      <c r="A473" s="57" t="s">
        <v>205</v>
      </c>
      <c r="B473" s="61" t="s">
        <v>59</v>
      </c>
      <c r="C473">
        <v>1115</v>
      </c>
      <c r="D473" s="57" t="s">
        <v>49</v>
      </c>
      <c r="E473" s="57">
        <v>44749</v>
      </c>
      <c r="F473" s="62">
        <v>2135</v>
      </c>
      <c r="G473" s="62">
        <v>1534.81</v>
      </c>
      <c r="H473" s="62">
        <v>1960</v>
      </c>
      <c r="I473" s="60">
        <f t="shared" si="28"/>
        <v>1.3765112107623318</v>
      </c>
      <c r="J473" s="60">
        <f t="shared" si="29"/>
        <v>425.19000000000005</v>
      </c>
      <c r="K473" s="60">
        <f t="shared" si="30"/>
        <v>1.757847533632287</v>
      </c>
      <c r="L473" s="60">
        <f t="shared" si="31"/>
        <v>0.38133632286995511</v>
      </c>
    </row>
    <row r="474" spans="1:12" x14ac:dyDescent="0.25">
      <c r="A474" s="57" t="s">
        <v>286</v>
      </c>
      <c r="B474" s="61" t="s">
        <v>86</v>
      </c>
      <c r="C474">
        <v>810</v>
      </c>
      <c r="D474" s="57" t="s">
        <v>49</v>
      </c>
      <c r="E474" s="57">
        <v>44749</v>
      </c>
      <c r="F474" s="62">
        <v>1580</v>
      </c>
      <c r="G474" s="62">
        <v>1448.33</v>
      </c>
      <c r="H474" s="62">
        <v>1570</v>
      </c>
      <c r="I474" s="60">
        <f t="shared" si="28"/>
        <v>1.7880617283950617</v>
      </c>
      <c r="J474" s="60">
        <f t="shared" si="29"/>
        <v>121.67000000000007</v>
      </c>
      <c r="K474" s="60">
        <f t="shared" si="30"/>
        <v>1.9382716049382716</v>
      </c>
      <c r="L474" s="60">
        <f t="shared" si="31"/>
        <v>0.15020987654320983</v>
      </c>
    </row>
    <row r="475" spans="1:12" x14ac:dyDescent="0.25">
      <c r="A475" s="57" t="s">
        <v>190</v>
      </c>
      <c r="B475" s="61" t="s">
        <v>65</v>
      </c>
      <c r="C475">
        <v>813</v>
      </c>
      <c r="D475" s="57" t="s">
        <v>49</v>
      </c>
      <c r="E475" s="57">
        <v>44749</v>
      </c>
      <c r="F475" s="62">
        <v>1580</v>
      </c>
      <c r="G475" s="62">
        <v>1229.6199999999999</v>
      </c>
      <c r="H475" s="62">
        <v>1550</v>
      </c>
      <c r="I475" s="60">
        <f t="shared" si="28"/>
        <v>1.5124477244772447</v>
      </c>
      <c r="J475" s="60">
        <f t="shared" si="29"/>
        <v>320.38000000000011</v>
      </c>
      <c r="K475" s="60">
        <f t="shared" si="30"/>
        <v>1.9065190651906518</v>
      </c>
      <c r="L475" s="60">
        <f t="shared" si="31"/>
        <v>0.3940713407134071</v>
      </c>
    </row>
    <row r="476" spans="1:12" x14ac:dyDescent="0.25">
      <c r="A476" s="57" t="s">
        <v>222</v>
      </c>
      <c r="B476" s="61" t="s">
        <v>51</v>
      </c>
      <c r="C476">
        <v>848</v>
      </c>
      <c r="D476" s="57" t="s">
        <v>49</v>
      </c>
      <c r="E476" s="57">
        <v>44750</v>
      </c>
      <c r="F476" s="62">
        <v>1735</v>
      </c>
      <c r="G476" s="62">
        <v>1357.88</v>
      </c>
      <c r="H476" s="62">
        <v>1570</v>
      </c>
      <c r="I476" s="60">
        <f t="shared" si="28"/>
        <v>1.6012735849056605</v>
      </c>
      <c r="J476" s="60">
        <f t="shared" si="29"/>
        <v>212.11999999999989</v>
      </c>
      <c r="K476" s="60">
        <f t="shared" si="30"/>
        <v>1.8514150943396226</v>
      </c>
      <c r="L476" s="60">
        <f t="shared" si="31"/>
        <v>0.25014150943396207</v>
      </c>
    </row>
    <row r="477" spans="1:12" x14ac:dyDescent="0.25">
      <c r="A477" s="57" t="s">
        <v>247</v>
      </c>
      <c r="B477" s="61" t="s">
        <v>57</v>
      </c>
      <c r="C477">
        <v>700</v>
      </c>
      <c r="D477" s="57" t="s">
        <v>49</v>
      </c>
      <c r="E477" s="57">
        <v>44750</v>
      </c>
      <c r="F477" s="62">
        <v>1515</v>
      </c>
      <c r="G477" s="62">
        <v>1269.23</v>
      </c>
      <c r="H477" s="62">
        <v>1490</v>
      </c>
      <c r="I477" s="60">
        <f t="shared" si="28"/>
        <v>1.8131857142857144</v>
      </c>
      <c r="J477" s="60">
        <f t="shared" si="29"/>
        <v>220.76999999999998</v>
      </c>
      <c r="K477" s="60">
        <f t="shared" si="30"/>
        <v>2.1285714285714286</v>
      </c>
      <c r="L477" s="60">
        <f t="shared" si="31"/>
        <v>0.31538571428571416</v>
      </c>
    </row>
    <row r="478" spans="1:12" x14ac:dyDescent="0.25">
      <c r="A478" s="57" t="s">
        <v>143</v>
      </c>
      <c r="B478" s="61" t="s">
        <v>86</v>
      </c>
      <c r="C478">
        <v>810</v>
      </c>
      <c r="D478" s="57" t="s">
        <v>49</v>
      </c>
      <c r="E478" s="57">
        <v>44751</v>
      </c>
      <c r="F478" s="62">
        <v>1580</v>
      </c>
      <c r="G478" s="62">
        <v>1242.8800000000001</v>
      </c>
      <c r="H478" s="62">
        <v>1568</v>
      </c>
      <c r="I478" s="60">
        <f t="shared" si="28"/>
        <v>1.5344197530864199</v>
      </c>
      <c r="J478" s="60">
        <f t="shared" si="29"/>
        <v>325.11999999999989</v>
      </c>
      <c r="K478" s="60">
        <f t="shared" si="30"/>
        <v>1.9358024691358025</v>
      </c>
      <c r="L478" s="60">
        <f t="shared" si="31"/>
        <v>0.40138271604938258</v>
      </c>
    </row>
    <row r="479" spans="1:12" x14ac:dyDescent="0.25">
      <c r="A479" s="57" t="s">
        <v>262</v>
      </c>
      <c r="B479" s="61" t="s">
        <v>59</v>
      </c>
      <c r="C479">
        <v>1115</v>
      </c>
      <c r="D479" s="57" t="s">
        <v>352</v>
      </c>
      <c r="E479" s="57">
        <v>44751</v>
      </c>
      <c r="F479" s="62">
        <v>2165</v>
      </c>
      <c r="G479" s="62">
        <v>1744.62</v>
      </c>
      <c r="H479" s="62">
        <v>2030</v>
      </c>
      <c r="I479" s="60">
        <f t="shared" si="28"/>
        <v>1.5646816143497757</v>
      </c>
      <c r="J479" s="60">
        <f t="shared" si="29"/>
        <v>285.38000000000011</v>
      </c>
      <c r="K479" s="60">
        <f t="shared" si="30"/>
        <v>1.8206278026905829</v>
      </c>
      <c r="L479" s="60">
        <f t="shared" si="31"/>
        <v>0.25594618834080718</v>
      </c>
    </row>
    <row r="480" spans="1:12" x14ac:dyDescent="0.25">
      <c r="A480" s="57" t="s">
        <v>268</v>
      </c>
      <c r="B480" s="61" t="s">
        <v>82</v>
      </c>
      <c r="C480">
        <v>1112</v>
      </c>
      <c r="D480" s="57" t="s">
        <v>352</v>
      </c>
      <c r="E480" s="57">
        <v>44752</v>
      </c>
      <c r="F480" s="62">
        <v>2125</v>
      </c>
      <c r="G480" s="62">
        <v>1684.62</v>
      </c>
      <c r="H480" s="62">
        <v>1990</v>
      </c>
      <c r="I480" s="60">
        <f t="shared" si="28"/>
        <v>1.5149460431654675</v>
      </c>
      <c r="J480" s="60">
        <f t="shared" si="29"/>
        <v>305.38000000000011</v>
      </c>
      <c r="K480" s="60">
        <f t="shared" si="30"/>
        <v>1.789568345323741</v>
      </c>
      <c r="L480" s="60">
        <f t="shared" si="31"/>
        <v>0.27462230215827343</v>
      </c>
    </row>
    <row r="481" spans="1:12" x14ac:dyDescent="0.25">
      <c r="A481" s="57" t="s">
        <v>266</v>
      </c>
      <c r="B481" s="61" t="s">
        <v>59</v>
      </c>
      <c r="C481">
        <v>1115</v>
      </c>
      <c r="D481" s="57" t="s">
        <v>352</v>
      </c>
      <c r="E481" s="57">
        <v>44752</v>
      </c>
      <c r="F481" s="62">
        <v>2165</v>
      </c>
      <c r="G481" s="62">
        <v>1561.35</v>
      </c>
      <c r="H481" s="62">
        <v>1946</v>
      </c>
      <c r="I481" s="60">
        <f t="shared" si="28"/>
        <v>1.4003139013452914</v>
      </c>
      <c r="J481" s="60">
        <f t="shared" si="29"/>
        <v>384.65000000000009</v>
      </c>
      <c r="K481" s="60">
        <f t="shared" si="30"/>
        <v>1.7452914798206278</v>
      </c>
      <c r="L481" s="60">
        <f t="shared" si="31"/>
        <v>0.34497757847533639</v>
      </c>
    </row>
    <row r="482" spans="1:12" x14ac:dyDescent="0.25">
      <c r="A482" s="57" t="s">
        <v>251</v>
      </c>
      <c r="B482" s="61" t="s">
        <v>151</v>
      </c>
      <c r="C482">
        <v>1141</v>
      </c>
      <c r="D482" s="57" t="s">
        <v>49</v>
      </c>
      <c r="E482" s="57">
        <v>44753</v>
      </c>
      <c r="F482" s="62">
        <v>2150</v>
      </c>
      <c r="G482" s="62">
        <v>1835.58</v>
      </c>
      <c r="H482" s="62">
        <v>2100</v>
      </c>
      <c r="I482" s="60">
        <f t="shared" si="28"/>
        <v>1.6087467134092901</v>
      </c>
      <c r="J482" s="60">
        <f t="shared" si="29"/>
        <v>264.42000000000007</v>
      </c>
      <c r="K482" s="60">
        <f t="shared" si="30"/>
        <v>1.8404907975460123</v>
      </c>
      <c r="L482" s="60">
        <f t="shared" si="31"/>
        <v>0.23174408413672221</v>
      </c>
    </row>
    <row r="483" spans="1:12" x14ac:dyDescent="0.25">
      <c r="A483" s="57" t="s">
        <v>254</v>
      </c>
      <c r="B483" s="61" t="s">
        <v>153</v>
      </c>
      <c r="C483">
        <v>696</v>
      </c>
      <c r="D483" s="57" t="s">
        <v>49</v>
      </c>
      <c r="E483" s="57">
        <v>44753</v>
      </c>
      <c r="F483" s="62">
        <v>1450</v>
      </c>
      <c r="G483" s="62">
        <v>1260</v>
      </c>
      <c r="H483" s="62">
        <v>1480</v>
      </c>
      <c r="I483" s="60">
        <f t="shared" si="28"/>
        <v>1.8103448275862069</v>
      </c>
      <c r="J483" s="60">
        <f t="shared" si="29"/>
        <v>220</v>
      </c>
      <c r="K483" s="60">
        <f t="shared" si="30"/>
        <v>2.1264367816091956</v>
      </c>
      <c r="L483" s="60">
        <f t="shared" si="31"/>
        <v>0.31609195402298873</v>
      </c>
    </row>
    <row r="484" spans="1:12" x14ac:dyDescent="0.25">
      <c r="A484" s="57" t="s">
        <v>89</v>
      </c>
      <c r="B484" s="61" t="s">
        <v>55</v>
      </c>
      <c r="C484">
        <v>764</v>
      </c>
      <c r="D484" s="57" t="s">
        <v>49</v>
      </c>
      <c r="E484" s="57">
        <v>44753</v>
      </c>
      <c r="F484" s="62">
        <v>1585</v>
      </c>
      <c r="G484" s="62">
        <v>1776</v>
      </c>
      <c r="H484" s="62">
        <v>1515</v>
      </c>
      <c r="I484" s="60">
        <f t="shared" si="28"/>
        <v>2.3246073298429319</v>
      </c>
      <c r="J484" s="60">
        <f t="shared" si="29"/>
        <v>-261</v>
      </c>
      <c r="K484" s="60">
        <f t="shared" si="30"/>
        <v>1.9829842931937174</v>
      </c>
      <c r="L484" s="60">
        <f t="shared" si="31"/>
        <v>-0.34162303664921456</v>
      </c>
    </row>
    <row r="485" spans="1:12" x14ac:dyDescent="0.25">
      <c r="A485" s="57" t="s">
        <v>335</v>
      </c>
      <c r="B485" s="61" t="s">
        <v>61</v>
      </c>
      <c r="C485">
        <v>820</v>
      </c>
      <c r="D485" s="57" t="s">
        <v>49</v>
      </c>
      <c r="E485" s="57">
        <v>44753</v>
      </c>
      <c r="F485" s="62">
        <v>1615</v>
      </c>
      <c r="G485" s="62">
        <v>1490.77</v>
      </c>
      <c r="H485" s="62">
        <v>1575</v>
      </c>
      <c r="I485" s="60">
        <f t="shared" si="28"/>
        <v>1.8180121951219512</v>
      </c>
      <c r="J485" s="60">
        <f t="shared" si="29"/>
        <v>84.230000000000018</v>
      </c>
      <c r="K485" s="60">
        <f t="shared" si="30"/>
        <v>1.9207317073170731</v>
      </c>
      <c r="L485" s="60">
        <f t="shared" si="31"/>
        <v>0.10271951219512188</v>
      </c>
    </row>
    <row r="486" spans="1:12" x14ac:dyDescent="0.25">
      <c r="A486" s="57" t="s">
        <v>244</v>
      </c>
      <c r="B486" s="61" t="s">
        <v>86</v>
      </c>
      <c r="C486">
        <v>810</v>
      </c>
      <c r="D486" s="57" t="s">
        <v>49</v>
      </c>
      <c r="E486" s="57">
        <v>44754</v>
      </c>
      <c r="F486" s="62">
        <v>1580</v>
      </c>
      <c r="G486" s="62">
        <v>1343.08</v>
      </c>
      <c r="H486" s="62">
        <v>1575</v>
      </c>
      <c r="I486" s="60">
        <f t="shared" si="28"/>
        <v>1.6581234567901233</v>
      </c>
      <c r="J486" s="60">
        <f t="shared" si="29"/>
        <v>231.92000000000007</v>
      </c>
      <c r="K486" s="60">
        <f t="shared" si="30"/>
        <v>1.9444444444444444</v>
      </c>
      <c r="L486" s="60">
        <f t="shared" si="31"/>
        <v>0.28632098765432112</v>
      </c>
    </row>
    <row r="487" spans="1:12" x14ac:dyDescent="0.25">
      <c r="A487" s="57" t="s">
        <v>261</v>
      </c>
      <c r="B487" s="61" t="s">
        <v>74</v>
      </c>
      <c r="C487">
        <v>1169</v>
      </c>
      <c r="D487" s="57" t="s">
        <v>352</v>
      </c>
      <c r="E487" s="57">
        <v>44754</v>
      </c>
      <c r="F487" s="62">
        <v>2220</v>
      </c>
      <c r="G487" s="62">
        <v>1795.38</v>
      </c>
      <c r="H487" s="62">
        <v>2062</v>
      </c>
      <c r="I487" s="60">
        <f t="shared" si="28"/>
        <v>1.5358254918733962</v>
      </c>
      <c r="J487" s="60">
        <f t="shared" si="29"/>
        <v>266.61999999999989</v>
      </c>
      <c r="K487" s="60">
        <f t="shared" si="30"/>
        <v>1.7639007698887939</v>
      </c>
      <c r="L487" s="60">
        <f t="shared" si="31"/>
        <v>0.22807527801539762</v>
      </c>
    </row>
    <row r="488" spans="1:12" x14ac:dyDescent="0.25">
      <c r="A488" s="57" t="s">
        <v>287</v>
      </c>
      <c r="B488" s="61" t="s">
        <v>59</v>
      </c>
      <c r="C488">
        <v>1115</v>
      </c>
      <c r="D488" s="57" t="s">
        <v>49</v>
      </c>
      <c r="E488" s="57">
        <v>44755</v>
      </c>
      <c r="F488" s="62">
        <v>2135</v>
      </c>
      <c r="G488" s="62">
        <v>1693.85</v>
      </c>
      <c r="H488" s="62">
        <v>1995</v>
      </c>
      <c r="I488" s="60">
        <f t="shared" si="28"/>
        <v>1.5191479820627802</v>
      </c>
      <c r="J488" s="60">
        <f t="shared" si="29"/>
        <v>301.15000000000009</v>
      </c>
      <c r="K488" s="60">
        <f t="shared" si="30"/>
        <v>1.789237668161435</v>
      </c>
      <c r="L488" s="60">
        <f t="shared" si="31"/>
        <v>0.2700896860986548</v>
      </c>
    </row>
    <row r="489" spans="1:12" x14ac:dyDescent="0.25">
      <c r="A489" s="57" t="s">
        <v>233</v>
      </c>
      <c r="B489" s="61" t="s">
        <v>153</v>
      </c>
      <c r="C489">
        <v>696</v>
      </c>
      <c r="D489" s="57" t="s">
        <v>49</v>
      </c>
      <c r="E489" s="57">
        <v>44755</v>
      </c>
      <c r="F489" s="62">
        <v>1450</v>
      </c>
      <c r="G489" s="62">
        <v>1163.27</v>
      </c>
      <c r="H489" s="62">
        <v>1485</v>
      </c>
      <c r="I489" s="60">
        <f t="shared" si="28"/>
        <v>1.6713649425287356</v>
      </c>
      <c r="J489" s="60">
        <f t="shared" si="29"/>
        <v>321.73</v>
      </c>
      <c r="K489" s="60">
        <f t="shared" si="30"/>
        <v>2.1336206896551726</v>
      </c>
      <c r="L489" s="60">
        <f t="shared" si="31"/>
        <v>0.46225574712643702</v>
      </c>
    </row>
    <row r="490" spans="1:12" x14ac:dyDescent="0.25">
      <c r="A490" s="57" t="s">
        <v>252</v>
      </c>
      <c r="B490" s="61" t="s">
        <v>137</v>
      </c>
      <c r="C490">
        <v>1700</v>
      </c>
      <c r="D490" s="57" t="s">
        <v>49</v>
      </c>
      <c r="E490" s="57">
        <v>44756</v>
      </c>
      <c r="F490" s="62">
        <v>2995</v>
      </c>
      <c r="G490" s="62">
        <v>2584.62</v>
      </c>
      <c r="H490" s="62">
        <v>2425</v>
      </c>
      <c r="I490" s="60">
        <f t="shared" si="28"/>
        <v>1.5203647058823528</v>
      </c>
      <c r="J490" s="60">
        <f t="shared" si="29"/>
        <v>-159.61999999999989</v>
      </c>
      <c r="K490" s="60">
        <f t="shared" si="30"/>
        <v>1.4264705882352942</v>
      </c>
      <c r="L490" s="60">
        <f t="shared" si="31"/>
        <v>-9.3894117647058684E-2</v>
      </c>
    </row>
    <row r="491" spans="1:12" x14ac:dyDescent="0.25">
      <c r="A491" s="57" t="s">
        <v>181</v>
      </c>
      <c r="B491" s="61" t="s">
        <v>59</v>
      </c>
      <c r="C491">
        <v>1115</v>
      </c>
      <c r="D491" s="57" t="s">
        <v>352</v>
      </c>
      <c r="E491" s="57">
        <v>44756</v>
      </c>
      <c r="F491" s="62">
        <v>2135</v>
      </c>
      <c r="G491" s="62">
        <v>2770</v>
      </c>
      <c r="H491" s="62">
        <v>3052</v>
      </c>
      <c r="I491" s="60">
        <f t="shared" si="28"/>
        <v>2.4843049327354261</v>
      </c>
      <c r="J491" s="60">
        <f t="shared" si="29"/>
        <v>282</v>
      </c>
      <c r="K491" s="60">
        <f t="shared" si="30"/>
        <v>2.7372197309417041</v>
      </c>
      <c r="L491" s="60">
        <f t="shared" si="31"/>
        <v>0.25291479820627805</v>
      </c>
    </row>
    <row r="492" spans="1:12" x14ac:dyDescent="0.25">
      <c r="A492" s="57" t="s">
        <v>274</v>
      </c>
      <c r="B492" s="61" t="s">
        <v>86</v>
      </c>
      <c r="C492">
        <v>810</v>
      </c>
      <c r="D492" s="57" t="s">
        <v>352</v>
      </c>
      <c r="E492" s="57">
        <v>44756</v>
      </c>
      <c r="F492" s="62">
        <v>1555</v>
      </c>
      <c r="G492" s="62">
        <v>1366.15</v>
      </c>
      <c r="H492" s="62">
        <v>1612</v>
      </c>
      <c r="I492" s="60">
        <f t="shared" si="28"/>
        <v>1.6866049382716051</v>
      </c>
      <c r="J492" s="60">
        <f t="shared" si="29"/>
        <v>245.84999999999991</v>
      </c>
      <c r="K492" s="60">
        <f t="shared" si="30"/>
        <v>1.9901234567901234</v>
      </c>
      <c r="L492" s="60">
        <f t="shared" si="31"/>
        <v>0.3035185185185183</v>
      </c>
    </row>
    <row r="493" spans="1:12" x14ac:dyDescent="0.25">
      <c r="A493" s="57" t="s">
        <v>276</v>
      </c>
      <c r="B493" s="61" t="s">
        <v>151</v>
      </c>
      <c r="C493">
        <v>1141</v>
      </c>
      <c r="D493" s="57" t="s">
        <v>352</v>
      </c>
      <c r="E493" s="57">
        <v>44757</v>
      </c>
      <c r="F493" s="62">
        <v>2150</v>
      </c>
      <c r="G493" s="62">
        <v>1636.54</v>
      </c>
      <c r="H493" s="62">
        <v>2040</v>
      </c>
      <c r="I493" s="60">
        <f t="shared" si="28"/>
        <v>1.4343032427695004</v>
      </c>
      <c r="J493" s="60">
        <f t="shared" si="29"/>
        <v>403.46000000000004</v>
      </c>
      <c r="K493" s="60">
        <f t="shared" si="30"/>
        <v>1.7879053461875547</v>
      </c>
      <c r="L493" s="60">
        <f t="shared" si="31"/>
        <v>0.35360210341805431</v>
      </c>
    </row>
    <row r="494" spans="1:12" x14ac:dyDescent="0.25">
      <c r="A494" s="57" t="s">
        <v>280</v>
      </c>
      <c r="B494" s="61" t="s">
        <v>74</v>
      </c>
      <c r="C494">
        <v>1169</v>
      </c>
      <c r="D494" s="57" t="s">
        <v>352</v>
      </c>
      <c r="E494" s="57">
        <v>44757</v>
      </c>
      <c r="F494" s="62">
        <v>2220</v>
      </c>
      <c r="G494" s="62">
        <v>1795.38</v>
      </c>
      <c r="H494" s="62">
        <v>2090</v>
      </c>
      <c r="I494" s="60">
        <f t="shared" si="28"/>
        <v>1.5358254918733962</v>
      </c>
      <c r="J494" s="60">
        <f t="shared" si="29"/>
        <v>294.61999999999989</v>
      </c>
      <c r="K494" s="60">
        <f t="shared" si="30"/>
        <v>1.7878528656971771</v>
      </c>
      <c r="L494" s="60">
        <f t="shared" si="31"/>
        <v>0.25202737382378082</v>
      </c>
    </row>
    <row r="495" spans="1:12" x14ac:dyDescent="0.25">
      <c r="A495" s="57" t="s">
        <v>147</v>
      </c>
      <c r="B495" s="61" t="s">
        <v>65</v>
      </c>
      <c r="C495">
        <v>813</v>
      </c>
      <c r="D495" s="57" t="s">
        <v>49</v>
      </c>
      <c r="E495" s="57">
        <v>44757</v>
      </c>
      <c r="F495" s="62">
        <v>1580</v>
      </c>
      <c r="G495" s="62">
        <v>1207.5</v>
      </c>
      <c r="H495" s="62">
        <v>1623</v>
      </c>
      <c r="I495" s="60">
        <f t="shared" si="28"/>
        <v>1.485239852398524</v>
      </c>
      <c r="J495" s="60">
        <f t="shared" si="29"/>
        <v>415.5</v>
      </c>
      <c r="K495" s="60">
        <f t="shared" si="30"/>
        <v>1.996309963099631</v>
      </c>
      <c r="L495" s="60">
        <f t="shared" si="31"/>
        <v>0.51107011070110708</v>
      </c>
    </row>
    <row r="496" spans="1:12" x14ac:dyDescent="0.25">
      <c r="A496" s="57" t="s">
        <v>257</v>
      </c>
      <c r="B496" s="61" t="s">
        <v>86</v>
      </c>
      <c r="C496">
        <v>810</v>
      </c>
      <c r="D496" s="57" t="s">
        <v>49</v>
      </c>
      <c r="E496" s="57">
        <v>44760</v>
      </c>
      <c r="F496" s="62">
        <v>1555</v>
      </c>
      <c r="G496" s="62">
        <v>1220.77</v>
      </c>
      <c r="H496" s="62">
        <v>1555</v>
      </c>
      <c r="I496" s="60">
        <f t="shared" si="28"/>
        <v>1.5071234567901235</v>
      </c>
      <c r="J496" s="60">
        <f t="shared" si="29"/>
        <v>334.23</v>
      </c>
      <c r="K496" s="60">
        <f t="shared" si="30"/>
        <v>1.9197530864197532</v>
      </c>
      <c r="L496" s="60">
        <f t="shared" si="31"/>
        <v>0.41262962962962968</v>
      </c>
    </row>
    <row r="497" spans="1:12" x14ac:dyDescent="0.25">
      <c r="A497" s="57" t="s">
        <v>272</v>
      </c>
      <c r="B497" s="61" t="s">
        <v>145</v>
      </c>
      <c r="C497">
        <v>1146</v>
      </c>
      <c r="D497" s="57" t="s">
        <v>49</v>
      </c>
      <c r="E497" s="57">
        <v>44760</v>
      </c>
      <c r="F497" s="62">
        <v>2180</v>
      </c>
      <c r="G497" s="62">
        <v>1689.23</v>
      </c>
      <c r="H497" s="62">
        <v>2070</v>
      </c>
      <c r="I497" s="60">
        <f t="shared" si="28"/>
        <v>1.474022687609075</v>
      </c>
      <c r="J497" s="60">
        <f t="shared" si="29"/>
        <v>380.77</v>
      </c>
      <c r="K497" s="60">
        <f t="shared" si="30"/>
        <v>1.8062827225130891</v>
      </c>
      <c r="L497" s="60">
        <f t="shared" si="31"/>
        <v>0.33226003490401412</v>
      </c>
    </row>
    <row r="498" spans="1:12" x14ac:dyDescent="0.25">
      <c r="A498" s="57" t="s">
        <v>283</v>
      </c>
      <c r="B498" s="61" t="s">
        <v>57</v>
      </c>
      <c r="C498">
        <v>700</v>
      </c>
      <c r="D498" s="57" t="s">
        <v>352</v>
      </c>
      <c r="E498" s="57">
        <v>44761</v>
      </c>
      <c r="F498" s="62">
        <v>1515</v>
      </c>
      <c r="G498" s="62">
        <v>1269.23</v>
      </c>
      <c r="H498" s="62">
        <v>1513</v>
      </c>
      <c r="I498" s="60">
        <f t="shared" si="28"/>
        <v>1.8131857142857144</v>
      </c>
      <c r="J498" s="60">
        <f t="shared" si="29"/>
        <v>243.76999999999998</v>
      </c>
      <c r="K498" s="60">
        <f t="shared" si="30"/>
        <v>2.1614285714285715</v>
      </c>
      <c r="L498" s="60">
        <f t="shared" si="31"/>
        <v>0.34824285714285708</v>
      </c>
    </row>
    <row r="499" spans="1:12" x14ac:dyDescent="0.25">
      <c r="A499" s="57" t="s">
        <v>278</v>
      </c>
      <c r="B499" s="61" t="s">
        <v>86</v>
      </c>
      <c r="C499">
        <v>810</v>
      </c>
      <c r="D499" s="57" t="s">
        <v>352</v>
      </c>
      <c r="E499" s="57">
        <v>44761</v>
      </c>
      <c r="F499" s="62">
        <v>1580</v>
      </c>
      <c r="G499" s="62">
        <v>1234.23</v>
      </c>
      <c r="H499" s="62">
        <v>1546</v>
      </c>
      <c r="I499" s="60">
        <f t="shared" si="28"/>
        <v>1.5237407407407408</v>
      </c>
      <c r="J499" s="60">
        <f t="shared" si="29"/>
        <v>311.77</v>
      </c>
      <c r="K499" s="60">
        <f t="shared" si="30"/>
        <v>1.9086419753086419</v>
      </c>
      <c r="L499" s="60">
        <f t="shared" si="31"/>
        <v>0.38490123456790104</v>
      </c>
    </row>
    <row r="500" spans="1:12" x14ac:dyDescent="0.25">
      <c r="A500" s="57" t="s">
        <v>277</v>
      </c>
      <c r="B500" s="61" t="s">
        <v>145</v>
      </c>
      <c r="C500">
        <v>1146</v>
      </c>
      <c r="D500" s="57" t="s">
        <v>352</v>
      </c>
      <c r="E500" s="57">
        <v>44761</v>
      </c>
      <c r="F500" s="62">
        <v>2180</v>
      </c>
      <c r="G500" s="62">
        <v>1712.31</v>
      </c>
      <c r="H500" s="62">
        <v>2040</v>
      </c>
      <c r="I500" s="60">
        <f t="shared" si="28"/>
        <v>1.4941623036649214</v>
      </c>
      <c r="J500" s="60">
        <f t="shared" si="29"/>
        <v>327.69000000000005</v>
      </c>
      <c r="K500" s="60">
        <f t="shared" si="30"/>
        <v>1.7801047120418849</v>
      </c>
      <c r="L500" s="60">
        <f t="shared" si="31"/>
        <v>0.2859424083769635</v>
      </c>
    </row>
    <row r="501" spans="1:12" x14ac:dyDescent="0.25">
      <c r="A501" s="57" t="s">
        <v>281</v>
      </c>
      <c r="B501" s="61" t="s">
        <v>57</v>
      </c>
      <c r="C501">
        <v>700</v>
      </c>
      <c r="D501" s="57" t="s">
        <v>352</v>
      </c>
      <c r="E501" s="57">
        <v>44761</v>
      </c>
      <c r="F501" s="62">
        <v>1515</v>
      </c>
      <c r="G501" s="62">
        <v>1269.23</v>
      </c>
      <c r="H501" s="62">
        <v>1513</v>
      </c>
      <c r="I501" s="60">
        <f t="shared" si="28"/>
        <v>1.8131857142857144</v>
      </c>
      <c r="J501" s="60">
        <f t="shared" si="29"/>
        <v>243.76999999999998</v>
      </c>
      <c r="K501" s="60">
        <f t="shared" si="30"/>
        <v>2.1614285714285715</v>
      </c>
      <c r="L501" s="60">
        <f t="shared" si="31"/>
        <v>0.34824285714285708</v>
      </c>
    </row>
    <row r="502" spans="1:12" x14ac:dyDescent="0.25">
      <c r="A502" s="57" t="s">
        <v>263</v>
      </c>
      <c r="B502" s="61" t="s">
        <v>48</v>
      </c>
      <c r="C502">
        <v>806</v>
      </c>
      <c r="D502" s="57" t="s">
        <v>49</v>
      </c>
      <c r="E502" s="57">
        <v>44762</v>
      </c>
      <c r="F502" s="62">
        <v>1620</v>
      </c>
      <c r="G502" s="62">
        <v>1403.08</v>
      </c>
      <c r="H502" s="62">
        <v>1565</v>
      </c>
      <c r="I502" s="60">
        <f t="shared" si="28"/>
        <v>1.7407940446650123</v>
      </c>
      <c r="J502" s="60">
        <f t="shared" si="29"/>
        <v>161.92000000000007</v>
      </c>
      <c r="K502" s="60">
        <f t="shared" si="30"/>
        <v>1.9416873449131513</v>
      </c>
      <c r="L502" s="60">
        <f t="shared" si="31"/>
        <v>0.20089330024813901</v>
      </c>
    </row>
    <row r="503" spans="1:12" x14ac:dyDescent="0.25">
      <c r="A503" s="57" t="s">
        <v>271</v>
      </c>
      <c r="B503" s="61" t="s">
        <v>51</v>
      </c>
      <c r="C503">
        <v>848</v>
      </c>
      <c r="D503" s="57" t="s">
        <v>49</v>
      </c>
      <c r="E503" s="57">
        <v>44764</v>
      </c>
      <c r="F503" s="62">
        <v>1765</v>
      </c>
      <c r="G503" s="62">
        <v>1375.77</v>
      </c>
      <c r="H503" s="62">
        <v>1740</v>
      </c>
      <c r="I503" s="60">
        <f t="shared" si="28"/>
        <v>1.622370283018868</v>
      </c>
      <c r="J503" s="60">
        <f t="shared" si="29"/>
        <v>364.23</v>
      </c>
      <c r="K503" s="60">
        <f t="shared" si="30"/>
        <v>2.0518867924528301</v>
      </c>
      <c r="L503" s="60">
        <f t="shared" si="31"/>
        <v>0.42951650943396213</v>
      </c>
    </row>
    <row r="504" spans="1:12" x14ac:dyDescent="0.25">
      <c r="A504" s="57" t="s">
        <v>237</v>
      </c>
      <c r="B504" s="61" t="s">
        <v>59</v>
      </c>
      <c r="C504">
        <v>1115</v>
      </c>
      <c r="D504" s="57" t="s">
        <v>49</v>
      </c>
      <c r="E504" s="57">
        <v>44764</v>
      </c>
      <c r="F504" s="62">
        <v>2135</v>
      </c>
      <c r="G504" s="62">
        <v>1503.85</v>
      </c>
      <c r="H504" s="62">
        <v>2045</v>
      </c>
      <c r="I504" s="60">
        <f t="shared" si="28"/>
        <v>1.348744394618834</v>
      </c>
      <c r="J504" s="60">
        <f t="shared" si="29"/>
        <v>541.15000000000009</v>
      </c>
      <c r="K504" s="60">
        <f t="shared" si="30"/>
        <v>1.8340807174887892</v>
      </c>
      <c r="L504" s="60">
        <f t="shared" si="31"/>
        <v>0.48533632286995521</v>
      </c>
    </row>
    <row r="505" spans="1:12" x14ac:dyDescent="0.25">
      <c r="A505" s="57" t="s">
        <v>204</v>
      </c>
      <c r="B505" s="61" t="s">
        <v>59</v>
      </c>
      <c r="C505">
        <v>1115</v>
      </c>
      <c r="D505" s="57" t="s">
        <v>49</v>
      </c>
      <c r="E505" s="57">
        <v>44764</v>
      </c>
      <c r="F505" s="62">
        <v>2165</v>
      </c>
      <c r="G505" s="62">
        <v>1561.35</v>
      </c>
      <c r="H505" s="62">
        <v>2070</v>
      </c>
      <c r="I505" s="60">
        <f t="shared" si="28"/>
        <v>1.4003139013452914</v>
      </c>
      <c r="J505" s="60">
        <f t="shared" si="29"/>
        <v>508.65000000000009</v>
      </c>
      <c r="K505" s="60">
        <f t="shared" si="30"/>
        <v>1.8565022421524664</v>
      </c>
      <c r="L505" s="60">
        <f t="shared" si="31"/>
        <v>0.45618834080717496</v>
      </c>
    </row>
    <row r="506" spans="1:12" x14ac:dyDescent="0.25">
      <c r="A506" s="57" t="s">
        <v>288</v>
      </c>
      <c r="B506" s="61" t="s">
        <v>59</v>
      </c>
      <c r="C506">
        <v>1115</v>
      </c>
      <c r="D506" s="57" t="s">
        <v>352</v>
      </c>
      <c r="E506" s="57">
        <v>44766</v>
      </c>
      <c r="F506" s="62">
        <v>2165</v>
      </c>
      <c r="G506" s="62">
        <v>1790.96</v>
      </c>
      <c r="H506" s="62">
        <v>2030</v>
      </c>
      <c r="I506" s="60">
        <f t="shared" si="28"/>
        <v>1.6062421524663677</v>
      </c>
      <c r="J506" s="60">
        <f t="shared" si="29"/>
        <v>239.03999999999996</v>
      </c>
      <c r="K506" s="60">
        <f t="shared" si="30"/>
        <v>1.8206278026905829</v>
      </c>
      <c r="L506" s="60">
        <f t="shared" si="31"/>
        <v>0.21438565022421519</v>
      </c>
    </row>
    <row r="507" spans="1:12" x14ac:dyDescent="0.25">
      <c r="A507" s="57" t="s">
        <v>78</v>
      </c>
      <c r="B507" s="61" t="s">
        <v>59</v>
      </c>
      <c r="C507">
        <v>1115</v>
      </c>
      <c r="D507" s="57" t="s">
        <v>49</v>
      </c>
      <c r="E507" s="57">
        <v>44767</v>
      </c>
      <c r="F507" s="62">
        <v>2135</v>
      </c>
      <c r="G507" s="62">
        <v>2175</v>
      </c>
      <c r="H507" s="62">
        <v>1950</v>
      </c>
      <c r="I507" s="60">
        <f t="shared" si="28"/>
        <v>1.9506726457399104</v>
      </c>
      <c r="J507" s="60">
        <f t="shared" si="29"/>
        <v>-225</v>
      </c>
      <c r="K507" s="60">
        <f t="shared" si="30"/>
        <v>1.7488789237668161</v>
      </c>
      <c r="L507" s="60">
        <f t="shared" si="31"/>
        <v>-0.20179372197309431</v>
      </c>
    </row>
    <row r="508" spans="1:12" x14ac:dyDescent="0.25">
      <c r="A508" s="57" t="s">
        <v>90</v>
      </c>
      <c r="B508" s="61" t="s">
        <v>48</v>
      </c>
      <c r="C508">
        <v>806</v>
      </c>
      <c r="D508" s="57" t="s">
        <v>49</v>
      </c>
      <c r="E508" s="57">
        <v>44767</v>
      </c>
      <c r="F508" s="62">
        <v>1620</v>
      </c>
      <c r="G508" s="62">
        <v>1795</v>
      </c>
      <c r="H508" s="62">
        <v>1540</v>
      </c>
      <c r="I508" s="60">
        <f t="shared" si="28"/>
        <v>2.227047146401985</v>
      </c>
      <c r="J508" s="60">
        <f t="shared" si="29"/>
        <v>-255</v>
      </c>
      <c r="K508" s="60">
        <f t="shared" si="30"/>
        <v>1.9106699751861043</v>
      </c>
      <c r="L508" s="60">
        <f t="shared" si="31"/>
        <v>-0.31637717121588071</v>
      </c>
    </row>
    <row r="509" spans="1:12" x14ac:dyDescent="0.25">
      <c r="A509" s="57" t="s">
        <v>273</v>
      </c>
      <c r="B509" s="61" t="s">
        <v>57</v>
      </c>
      <c r="C509">
        <v>700</v>
      </c>
      <c r="D509" s="57" t="s">
        <v>49</v>
      </c>
      <c r="E509" s="57">
        <v>44768</v>
      </c>
      <c r="F509" s="62">
        <v>1515</v>
      </c>
      <c r="G509" s="62">
        <v>1338.46</v>
      </c>
      <c r="H509" s="62">
        <v>1540</v>
      </c>
      <c r="I509" s="60">
        <f t="shared" si="28"/>
        <v>1.9120857142857144</v>
      </c>
      <c r="J509" s="60">
        <f t="shared" si="29"/>
        <v>201.53999999999996</v>
      </c>
      <c r="K509" s="60">
        <f t="shared" si="30"/>
        <v>2.2000000000000002</v>
      </c>
      <c r="L509" s="60">
        <f t="shared" si="31"/>
        <v>0.28791428571428579</v>
      </c>
    </row>
    <row r="510" spans="1:12" x14ac:dyDescent="0.25">
      <c r="A510" s="57" t="s">
        <v>169</v>
      </c>
      <c r="B510" s="61" t="s">
        <v>86</v>
      </c>
      <c r="C510">
        <v>810</v>
      </c>
      <c r="D510" s="57" t="s">
        <v>49</v>
      </c>
      <c r="E510" s="57">
        <v>44768</v>
      </c>
      <c r="F510" s="62">
        <v>1555</v>
      </c>
      <c r="G510" s="62">
        <v>1220.77</v>
      </c>
      <c r="H510" s="62">
        <v>1640</v>
      </c>
      <c r="I510" s="60">
        <f t="shared" si="28"/>
        <v>1.5071234567901235</v>
      </c>
      <c r="J510" s="60">
        <f t="shared" si="29"/>
        <v>419.23</v>
      </c>
      <c r="K510" s="60">
        <f t="shared" si="30"/>
        <v>2.0246913580246915</v>
      </c>
      <c r="L510" s="60">
        <f t="shared" si="31"/>
        <v>0.51756790123456797</v>
      </c>
    </row>
    <row r="511" spans="1:12" x14ac:dyDescent="0.25">
      <c r="A511" s="57" t="s">
        <v>96</v>
      </c>
      <c r="B511" s="61" t="s">
        <v>57</v>
      </c>
      <c r="C511">
        <v>700</v>
      </c>
      <c r="D511" s="57" t="s">
        <v>49</v>
      </c>
      <c r="E511" s="57">
        <v>44769</v>
      </c>
      <c r="F511" s="62">
        <v>1515</v>
      </c>
      <c r="G511" s="62">
        <v>1325</v>
      </c>
      <c r="H511" s="62">
        <v>1530</v>
      </c>
      <c r="I511" s="60">
        <f t="shared" si="28"/>
        <v>1.8928571428571428</v>
      </c>
      <c r="J511" s="60">
        <f t="shared" si="29"/>
        <v>205</v>
      </c>
      <c r="K511" s="60">
        <f t="shared" si="30"/>
        <v>2.1857142857142855</v>
      </c>
      <c r="L511" s="60">
        <f t="shared" si="31"/>
        <v>0.2928571428571427</v>
      </c>
    </row>
    <row r="512" spans="1:12" x14ac:dyDescent="0.25">
      <c r="A512" s="57" t="s">
        <v>171</v>
      </c>
      <c r="B512" s="61" t="s">
        <v>86</v>
      </c>
      <c r="C512">
        <v>810</v>
      </c>
      <c r="D512" s="57" t="s">
        <v>49</v>
      </c>
      <c r="E512" s="57">
        <v>44771</v>
      </c>
      <c r="F512" s="62">
        <v>1600</v>
      </c>
      <c r="G512" s="62">
        <v>1585</v>
      </c>
      <c r="H512" s="62">
        <v>1648</v>
      </c>
      <c r="I512" s="60">
        <f t="shared" si="28"/>
        <v>1.9567901234567902</v>
      </c>
      <c r="J512" s="60">
        <f t="shared" si="29"/>
        <v>63</v>
      </c>
      <c r="K512" s="60">
        <f t="shared" si="30"/>
        <v>2.0345679012345679</v>
      </c>
      <c r="L512" s="60">
        <f t="shared" si="31"/>
        <v>7.7777777777777724E-2</v>
      </c>
    </row>
    <row r="513" spans="1:12" x14ac:dyDescent="0.25">
      <c r="A513" s="57" t="s">
        <v>282</v>
      </c>
      <c r="B513" s="61" t="s">
        <v>57</v>
      </c>
      <c r="C513">
        <v>700</v>
      </c>
      <c r="D513" s="57" t="s">
        <v>49</v>
      </c>
      <c r="E513" s="57">
        <v>44771</v>
      </c>
      <c r="F513" s="62">
        <v>1515</v>
      </c>
      <c r="G513" s="62">
        <v>1292.31</v>
      </c>
      <c r="H513" s="62">
        <v>1610</v>
      </c>
      <c r="I513" s="60">
        <f t="shared" si="28"/>
        <v>1.8461571428571428</v>
      </c>
      <c r="J513" s="60">
        <f t="shared" si="29"/>
        <v>317.69000000000005</v>
      </c>
      <c r="K513" s="60">
        <f t="shared" si="30"/>
        <v>2.2999999999999998</v>
      </c>
      <c r="L513" s="60">
        <f t="shared" si="31"/>
        <v>0.45384285714285699</v>
      </c>
    </row>
    <row r="514" spans="1:12" x14ac:dyDescent="0.25">
      <c r="A514" s="57" t="s">
        <v>297</v>
      </c>
      <c r="B514" s="61" t="s">
        <v>86</v>
      </c>
      <c r="C514">
        <v>810</v>
      </c>
      <c r="D514" s="57" t="s">
        <v>49</v>
      </c>
      <c r="E514" s="57">
        <v>44772</v>
      </c>
      <c r="F514" s="62">
        <v>1555</v>
      </c>
      <c r="G514" s="62">
        <v>1555</v>
      </c>
      <c r="H514" s="62">
        <v>1570</v>
      </c>
      <c r="I514" s="60">
        <f t="shared" ref="I514:I577" si="32">G514/C514</f>
        <v>1.9197530864197532</v>
      </c>
      <c r="J514" s="60">
        <f t="shared" ref="J514:J577" si="33">SUM(H514-G514)</f>
        <v>15</v>
      </c>
      <c r="K514" s="60">
        <f t="shared" ref="K514:K577" si="34">H514/C514</f>
        <v>1.9382716049382716</v>
      </c>
      <c r="L514" s="60">
        <f t="shared" ref="L514:L577" si="35">K514-I514</f>
        <v>1.8518518518518379E-2</v>
      </c>
    </row>
    <row r="515" spans="1:12" x14ac:dyDescent="0.25">
      <c r="A515" s="57" t="s">
        <v>289</v>
      </c>
      <c r="B515" s="61" t="s">
        <v>57</v>
      </c>
      <c r="C515">
        <v>700</v>
      </c>
      <c r="D515" s="57" t="s">
        <v>49</v>
      </c>
      <c r="E515" s="57">
        <v>44774</v>
      </c>
      <c r="F515" s="62">
        <v>1515</v>
      </c>
      <c r="G515" s="62">
        <v>1172.1199999999999</v>
      </c>
      <c r="H515" s="62">
        <v>1500</v>
      </c>
      <c r="I515" s="60">
        <f t="shared" si="32"/>
        <v>1.6744571428571426</v>
      </c>
      <c r="J515" s="60">
        <f t="shared" si="33"/>
        <v>327.88000000000011</v>
      </c>
      <c r="K515" s="60">
        <f t="shared" si="34"/>
        <v>2.1428571428571428</v>
      </c>
      <c r="L515" s="60">
        <f t="shared" si="35"/>
        <v>0.46840000000000015</v>
      </c>
    </row>
    <row r="516" spans="1:12" x14ac:dyDescent="0.25">
      <c r="A516" s="57" t="s">
        <v>248</v>
      </c>
      <c r="B516" s="61" t="s">
        <v>57</v>
      </c>
      <c r="C516">
        <v>700</v>
      </c>
      <c r="D516" s="57" t="s">
        <v>49</v>
      </c>
      <c r="E516" s="57">
        <v>44774</v>
      </c>
      <c r="F516" s="62">
        <v>1515</v>
      </c>
      <c r="G516" s="62">
        <v>1269.23</v>
      </c>
      <c r="H516" s="62">
        <v>1515</v>
      </c>
      <c r="I516" s="60">
        <f t="shared" si="32"/>
        <v>1.8131857142857144</v>
      </c>
      <c r="J516" s="60">
        <f t="shared" si="33"/>
        <v>245.76999999999998</v>
      </c>
      <c r="K516" s="60">
        <f t="shared" si="34"/>
        <v>2.1642857142857141</v>
      </c>
      <c r="L516" s="60">
        <f t="shared" si="35"/>
        <v>0.35109999999999975</v>
      </c>
    </row>
    <row r="517" spans="1:12" x14ac:dyDescent="0.25">
      <c r="A517" s="57" t="s">
        <v>299</v>
      </c>
      <c r="B517" s="61" t="s">
        <v>151</v>
      </c>
      <c r="C517">
        <v>1141</v>
      </c>
      <c r="D517" s="57" t="s">
        <v>352</v>
      </c>
      <c r="E517" s="57">
        <v>44775</v>
      </c>
      <c r="F517" s="62">
        <v>2150</v>
      </c>
      <c r="G517" s="62">
        <v>1984.62</v>
      </c>
      <c r="H517" s="62">
        <v>2321</v>
      </c>
      <c r="I517" s="60">
        <f t="shared" si="32"/>
        <v>1.7393689745836984</v>
      </c>
      <c r="J517" s="60">
        <f t="shared" si="33"/>
        <v>336.38000000000011</v>
      </c>
      <c r="K517" s="60">
        <f t="shared" si="34"/>
        <v>2.0341805433829974</v>
      </c>
      <c r="L517" s="60">
        <f t="shared" si="35"/>
        <v>0.29481156879929893</v>
      </c>
    </row>
    <row r="518" spans="1:12" x14ac:dyDescent="0.25">
      <c r="A518" s="57" t="s">
        <v>293</v>
      </c>
      <c r="B518" s="61" t="s">
        <v>57</v>
      </c>
      <c r="C518">
        <v>700</v>
      </c>
      <c r="D518" s="57" t="s">
        <v>49</v>
      </c>
      <c r="E518" s="57">
        <v>44777</v>
      </c>
      <c r="F518" s="62">
        <v>1515</v>
      </c>
      <c r="G518" s="62">
        <v>1286.98</v>
      </c>
      <c r="H518" s="62">
        <v>1515</v>
      </c>
      <c r="I518" s="60">
        <f t="shared" si="32"/>
        <v>1.8385428571428573</v>
      </c>
      <c r="J518" s="60">
        <f t="shared" si="33"/>
        <v>228.01999999999998</v>
      </c>
      <c r="K518" s="60">
        <f t="shared" si="34"/>
        <v>2.1642857142857141</v>
      </c>
      <c r="L518" s="60">
        <f t="shared" si="35"/>
        <v>0.32574285714285689</v>
      </c>
    </row>
    <row r="519" spans="1:12" x14ac:dyDescent="0.25">
      <c r="A519" s="57" t="s">
        <v>291</v>
      </c>
      <c r="B519" s="61" t="s">
        <v>86</v>
      </c>
      <c r="C519">
        <v>810</v>
      </c>
      <c r="D519" s="57" t="s">
        <v>49</v>
      </c>
      <c r="E519" s="57">
        <v>44777</v>
      </c>
      <c r="F519" s="62">
        <v>1580</v>
      </c>
      <c r="G519" s="62">
        <v>1412.54</v>
      </c>
      <c r="H519" s="62">
        <v>1610</v>
      </c>
      <c r="I519" s="60">
        <f t="shared" si="32"/>
        <v>1.7438765432098764</v>
      </c>
      <c r="J519" s="60">
        <f t="shared" si="33"/>
        <v>197.46000000000004</v>
      </c>
      <c r="K519" s="60">
        <f t="shared" si="34"/>
        <v>1.9876543209876543</v>
      </c>
      <c r="L519" s="60">
        <f t="shared" si="35"/>
        <v>0.24377777777777787</v>
      </c>
    </row>
    <row r="520" spans="1:12" x14ac:dyDescent="0.25">
      <c r="A520" s="57" t="s">
        <v>294</v>
      </c>
      <c r="B520" s="61" t="s">
        <v>57</v>
      </c>
      <c r="C520">
        <v>700</v>
      </c>
      <c r="D520" s="57" t="s">
        <v>49</v>
      </c>
      <c r="E520" s="57">
        <v>44782</v>
      </c>
      <c r="F520" s="62">
        <v>1515</v>
      </c>
      <c r="G520" s="62">
        <v>1292.31</v>
      </c>
      <c r="H520" s="62">
        <v>1515</v>
      </c>
      <c r="I520" s="60">
        <f t="shared" si="32"/>
        <v>1.8461571428571428</v>
      </c>
      <c r="J520" s="60">
        <f t="shared" si="33"/>
        <v>222.69000000000005</v>
      </c>
      <c r="K520" s="60">
        <f t="shared" si="34"/>
        <v>2.1642857142857141</v>
      </c>
      <c r="L520" s="60">
        <f t="shared" si="35"/>
        <v>0.31812857142857132</v>
      </c>
    </row>
    <row r="521" spans="1:12" x14ac:dyDescent="0.25">
      <c r="A521" s="57" t="s">
        <v>301</v>
      </c>
      <c r="B521" s="61" t="s">
        <v>57</v>
      </c>
      <c r="C521">
        <v>700</v>
      </c>
      <c r="D521" s="57" t="s">
        <v>352</v>
      </c>
      <c r="E521" s="57">
        <v>44782</v>
      </c>
      <c r="F521" s="62">
        <v>1560</v>
      </c>
      <c r="G521" s="62">
        <v>1380</v>
      </c>
      <c r="H521" s="62">
        <v>1623</v>
      </c>
      <c r="I521" s="60">
        <f t="shared" si="32"/>
        <v>1.9714285714285715</v>
      </c>
      <c r="J521" s="60">
        <f t="shared" si="33"/>
        <v>243</v>
      </c>
      <c r="K521" s="60">
        <f t="shared" si="34"/>
        <v>2.3185714285714285</v>
      </c>
      <c r="L521" s="60">
        <f t="shared" si="35"/>
        <v>0.34714285714285698</v>
      </c>
    </row>
    <row r="522" spans="1:12" x14ac:dyDescent="0.25">
      <c r="A522" s="57" t="s">
        <v>326</v>
      </c>
      <c r="B522" s="61" t="s">
        <v>61</v>
      </c>
      <c r="C522">
        <v>820</v>
      </c>
      <c r="D522" s="57" t="s">
        <v>352</v>
      </c>
      <c r="E522" s="57">
        <v>44784</v>
      </c>
      <c r="F522" s="62">
        <v>1660</v>
      </c>
      <c r="G522" s="62">
        <v>1521.67</v>
      </c>
      <c r="H522" s="62">
        <v>1722</v>
      </c>
      <c r="I522" s="60">
        <f t="shared" si="32"/>
        <v>1.8556951219512197</v>
      </c>
      <c r="J522" s="60">
        <f t="shared" si="33"/>
        <v>200.32999999999993</v>
      </c>
      <c r="K522" s="60">
        <f t="shared" si="34"/>
        <v>2.1</v>
      </c>
      <c r="L522" s="60">
        <f t="shared" si="35"/>
        <v>0.24430487804878043</v>
      </c>
    </row>
    <row r="523" spans="1:12" x14ac:dyDescent="0.25">
      <c r="A523" s="57" t="s">
        <v>203</v>
      </c>
      <c r="B523" s="61" t="s">
        <v>86</v>
      </c>
      <c r="C523">
        <v>810</v>
      </c>
      <c r="D523" s="57" t="s">
        <v>49</v>
      </c>
      <c r="E523" s="57">
        <v>44788</v>
      </c>
      <c r="F523" s="62">
        <v>1555</v>
      </c>
      <c r="G523" s="62">
        <v>1220.77</v>
      </c>
      <c r="H523" s="62">
        <v>1555</v>
      </c>
      <c r="I523" s="60">
        <f t="shared" si="32"/>
        <v>1.5071234567901235</v>
      </c>
      <c r="J523" s="60">
        <f t="shared" si="33"/>
        <v>334.23</v>
      </c>
      <c r="K523" s="60">
        <f t="shared" si="34"/>
        <v>1.9197530864197532</v>
      </c>
      <c r="L523" s="60">
        <f t="shared" si="35"/>
        <v>0.41262962962962968</v>
      </c>
    </row>
    <row r="524" spans="1:12" x14ac:dyDescent="0.25">
      <c r="A524" s="57" t="s">
        <v>226</v>
      </c>
      <c r="B524" s="61" t="s">
        <v>57</v>
      </c>
      <c r="C524">
        <v>700</v>
      </c>
      <c r="D524" s="57" t="s">
        <v>49</v>
      </c>
      <c r="E524" s="57">
        <v>44788</v>
      </c>
      <c r="F524" s="62">
        <v>1515</v>
      </c>
      <c r="G524" s="62">
        <v>1172.1199999999999</v>
      </c>
      <c r="H524" s="62">
        <v>1515</v>
      </c>
      <c r="I524" s="60">
        <f t="shared" si="32"/>
        <v>1.6744571428571426</v>
      </c>
      <c r="J524" s="60">
        <f t="shared" si="33"/>
        <v>342.88000000000011</v>
      </c>
      <c r="K524" s="60">
        <f t="shared" si="34"/>
        <v>2.1642857142857141</v>
      </c>
      <c r="L524" s="60">
        <f t="shared" si="35"/>
        <v>0.4898285714285715</v>
      </c>
    </row>
    <row r="525" spans="1:12" x14ac:dyDescent="0.25">
      <c r="A525" s="57" t="s">
        <v>243</v>
      </c>
      <c r="B525" s="61" t="s">
        <v>86</v>
      </c>
      <c r="C525">
        <v>810</v>
      </c>
      <c r="D525" s="57" t="s">
        <v>49</v>
      </c>
      <c r="E525" s="57">
        <v>44788</v>
      </c>
      <c r="F525" s="62">
        <v>1580</v>
      </c>
      <c r="G525" s="62">
        <v>1242.8800000000001</v>
      </c>
      <c r="H525" s="62">
        <v>1565</v>
      </c>
      <c r="I525" s="60">
        <f t="shared" si="32"/>
        <v>1.5344197530864199</v>
      </c>
      <c r="J525" s="60">
        <f t="shared" si="33"/>
        <v>322.11999999999989</v>
      </c>
      <c r="K525" s="60">
        <f t="shared" si="34"/>
        <v>1.9320987654320987</v>
      </c>
      <c r="L525" s="60">
        <f t="shared" si="35"/>
        <v>0.39767901234567882</v>
      </c>
    </row>
    <row r="526" spans="1:12" x14ac:dyDescent="0.25">
      <c r="A526" s="57" t="s">
        <v>305</v>
      </c>
      <c r="B526" s="61" t="s">
        <v>59</v>
      </c>
      <c r="C526">
        <v>1115</v>
      </c>
      <c r="D526" s="57" t="s">
        <v>352</v>
      </c>
      <c r="E526" s="57">
        <v>44789</v>
      </c>
      <c r="F526" s="62">
        <v>2165</v>
      </c>
      <c r="G526" s="62">
        <v>1698.46</v>
      </c>
      <c r="H526" s="62">
        <v>1960</v>
      </c>
      <c r="I526" s="60">
        <f t="shared" si="32"/>
        <v>1.5232825112107624</v>
      </c>
      <c r="J526" s="60">
        <f t="shared" si="33"/>
        <v>261.53999999999996</v>
      </c>
      <c r="K526" s="60">
        <f t="shared" si="34"/>
        <v>1.757847533632287</v>
      </c>
      <c r="L526" s="60">
        <f t="shared" si="35"/>
        <v>0.23456502242152455</v>
      </c>
    </row>
    <row r="527" spans="1:12" x14ac:dyDescent="0.25">
      <c r="A527" s="57" t="s">
        <v>306</v>
      </c>
      <c r="B527" s="61" t="s">
        <v>57</v>
      </c>
      <c r="C527">
        <v>700</v>
      </c>
      <c r="D527" s="57" t="s">
        <v>352</v>
      </c>
      <c r="E527" s="57">
        <v>44789</v>
      </c>
      <c r="F527" s="62">
        <v>1515</v>
      </c>
      <c r="G527" s="62">
        <v>1253.8499999999999</v>
      </c>
      <c r="H527" s="62">
        <v>1492</v>
      </c>
      <c r="I527" s="60">
        <f t="shared" si="32"/>
        <v>1.7912142857142856</v>
      </c>
      <c r="J527" s="60">
        <f t="shared" si="33"/>
        <v>238.15000000000009</v>
      </c>
      <c r="K527" s="60">
        <f t="shared" si="34"/>
        <v>2.1314285714285712</v>
      </c>
      <c r="L527" s="60">
        <f t="shared" si="35"/>
        <v>0.34021428571428558</v>
      </c>
    </row>
    <row r="528" spans="1:12" x14ac:dyDescent="0.25">
      <c r="A528" s="57" t="s">
        <v>308</v>
      </c>
      <c r="B528" s="61" t="s">
        <v>48</v>
      </c>
      <c r="C528">
        <v>806</v>
      </c>
      <c r="D528" s="57" t="s">
        <v>352</v>
      </c>
      <c r="E528" s="57">
        <v>44789</v>
      </c>
      <c r="F528" s="62">
        <v>1620</v>
      </c>
      <c r="G528" s="62">
        <v>1495.38</v>
      </c>
      <c r="H528" s="62">
        <v>1636</v>
      </c>
      <c r="I528" s="60">
        <f t="shared" si="32"/>
        <v>1.8553101736972706</v>
      </c>
      <c r="J528" s="60">
        <f t="shared" si="33"/>
        <v>140.61999999999989</v>
      </c>
      <c r="K528" s="60">
        <f t="shared" si="34"/>
        <v>2.0297766749379651</v>
      </c>
      <c r="L528" s="60">
        <f t="shared" si="35"/>
        <v>0.17446650124069452</v>
      </c>
    </row>
    <row r="529" spans="1:12" x14ac:dyDescent="0.25">
      <c r="A529" s="57" t="s">
        <v>302</v>
      </c>
      <c r="B529" s="61" t="s">
        <v>57</v>
      </c>
      <c r="C529">
        <v>700</v>
      </c>
      <c r="D529" s="57" t="s">
        <v>49</v>
      </c>
      <c r="E529" s="57">
        <v>44792</v>
      </c>
      <c r="F529" s="62">
        <v>1515</v>
      </c>
      <c r="G529" s="62">
        <v>1338.46</v>
      </c>
      <c r="H529" s="62">
        <v>1530</v>
      </c>
      <c r="I529" s="60">
        <f t="shared" si="32"/>
        <v>1.9120857142857144</v>
      </c>
      <c r="J529" s="60">
        <f t="shared" si="33"/>
        <v>191.53999999999996</v>
      </c>
      <c r="K529" s="60">
        <f t="shared" si="34"/>
        <v>2.1857142857142855</v>
      </c>
      <c r="L529" s="60">
        <f t="shared" si="35"/>
        <v>0.27362857142857111</v>
      </c>
    </row>
    <row r="530" spans="1:12" x14ac:dyDescent="0.25">
      <c r="A530" s="57" t="s">
        <v>304</v>
      </c>
      <c r="B530" s="61" t="s">
        <v>57</v>
      </c>
      <c r="C530">
        <v>700</v>
      </c>
      <c r="D530" s="57" t="s">
        <v>49</v>
      </c>
      <c r="E530" s="57">
        <v>44793</v>
      </c>
      <c r="F530" s="62">
        <v>1515</v>
      </c>
      <c r="G530" s="62">
        <v>1300</v>
      </c>
      <c r="H530" s="62">
        <v>1490</v>
      </c>
      <c r="I530" s="60">
        <f t="shared" si="32"/>
        <v>1.8571428571428572</v>
      </c>
      <c r="J530" s="60">
        <f t="shared" si="33"/>
        <v>190</v>
      </c>
      <c r="K530" s="60">
        <f t="shared" si="34"/>
        <v>2.1285714285714286</v>
      </c>
      <c r="L530" s="60">
        <f t="shared" si="35"/>
        <v>0.27142857142857135</v>
      </c>
    </row>
    <row r="531" spans="1:12" x14ac:dyDescent="0.25">
      <c r="A531" s="57" t="s">
        <v>309</v>
      </c>
      <c r="B531" s="61" t="s">
        <v>86</v>
      </c>
      <c r="C531">
        <v>810</v>
      </c>
      <c r="D531" s="57" t="s">
        <v>352</v>
      </c>
      <c r="E531" s="57">
        <v>44793</v>
      </c>
      <c r="F531" s="62">
        <v>1600</v>
      </c>
      <c r="G531" s="62">
        <v>1476.92</v>
      </c>
      <c r="H531" s="62">
        <v>1697</v>
      </c>
      <c r="I531" s="60">
        <f t="shared" si="32"/>
        <v>1.8233580246913581</v>
      </c>
      <c r="J531" s="60">
        <f t="shared" si="33"/>
        <v>220.07999999999993</v>
      </c>
      <c r="K531" s="60">
        <f t="shared" si="34"/>
        <v>2.0950617283950619</v>
      </c>
      <c r="L531" s="60">
        <f t="shared" si="35"/>
        <v>0.27170370370370378</v>
      </c>
    </row>
    <row r="532" spans="1:12" x14ac:dyDescent="0.25">
      <c r="A532" s="57" t="s">
        <v>310</v>
      </c>
      <c r="B532" s="61" t="s">
        <v>59</v>
      </c>
      <c r="C532">
        <v>1115</v>
      </c>
      <c r="D532" s="57" t="s">
        <v>352</v>
      </c>
      <c r="E532" s="57">
        <v>44795</v>
      </c>
      <c r="F532" s="62">
        <v>2165</v>
      </c>
      <c r="G532" s="62">
        <v>1998.46</v>
      </c>
      <c r="H532" s="62">
        <v>2187</v>
      </c>
      <c r="I532" s="60">
        <f t="shared" si="32"/>
        <v>1.7923408071748879</v>
      </c>
      <c r="J532" s="60">
        <f t="shared" si="33"/>
        <v>188.53999999999996</v>
      </c>
      <c r="K532" s="60">
        <f t="shared" si="34"/>
        <v>1.9614349775784754</v>
      </c>
      <c r="L532" s="60">
        <f t="shared" si="35"/>
        <v>0.16909417040358754</v>
      </c>
    </row>
    <row r="533" spans="1:12" x14ac:dyDescent="0.25">
      <c r="A533" s="57" t="s">
        <v>230</v>
      </c>
      <c r="B533" s="61" t="s">
        <v>59</v>
      </c>
      <c r="C533">
        <v>1115</v>
      </c>
      <c r="D533" s="57" t="s">
        <v>49</v>
      </c>
      <c r="E533" s="57">
        <v>44795</v>
      </c>
      <c r="F533" s="62">
        <v>2135</v>
      </c>
      <c r="G533" s="62">
        <v>1534.81</v>
      </c>
      <c r="H533" s="62">
        <v>2035</v>
      </c>
      <c r="I533" s="60">
        <f t="shared" si="32"/>
        <v>1.3765112107623318</v>
      </c>
      <c r="J533" s="60">
        <f t="shared" si="33"/>
        <v>500.19000000000005</v>
      </c>
      <c r="K533" s="60">
        <f t="shared" si="34"/>
        <v>1.8251121076233183</v>
      </c>
      <c r="L533" s="60">
        <f t="shared" si="35"/>
        <v>0.44860089686098648</v>
      </c>
    </row>
    <row r="534" spans="1:12" x14ac:dyDescent="0.25">
      <c r="A534" s="57" t="s">
        <v>199</v>
      </c>
      <c r="B534" s="61" t="s">
        <v>59</v>
      </c>
      <c r="C534">
        <v>1115</v>
      </c>
      <c r="D534" s="57" t="s">
        <v>352</v>
      </c>
      <c r="E534" s="57">
        <v>44795</v>
      </c>
      <c r="F534" s="62">
        <v>2165</v>
      </c>
      <c r="G534" s="62">
        <v>1530.38</v>
      </c>
      <c r="H534" s="62">
        <v>2021</v>
      </c>
      <c r="I534" s="60">
        <f t="shared" si="32"/>
        <v>1.3725381165919284</v>
      </c>
      <c r="J534" s="60">
        <f t="shared" si="33"/>
        <v>490.61999999999989</v>
      </c>
      <c r="K534" s="60">
        <f t="shared" si="34"/>
        <v>1.8125560538116592</v>
      </c>
      <c r="L534" s="60">
        <f t="shared" si="35"/>
        <v>0.44001793721973081</v>
      </c>
    </row>
    <row r="535" spans="1:12" x14ac:dyDescent="0.25">
      <c r="A535" s="57" t="s">
        <v>298</v>
      </c>
      <c r="B535" s="61" t="s">
        <v>137</v>
      </c>
      <c r="C535">
        <v>1700</v>
      </c>
      <c r="D535" s="57" t="s">
        <v>352</v>
      </c>
      <c r="E535" s="57">
        <v>44797</v>
      </c>
      <c r="F535" s="62">
        <v>2995</v>
      </c>
      <c r="G535" s="62">
        <v>2464.23</v>
      </c>
      <c r="H535" s="62">
        <v>2818</v>
      </c>
      <c r="I535" s="60">
        <f t="shared" si="32"/>
        <v>1.4495470588235295</v>
      </c>
      <c r="J535" s="60">
        <f t="shared" si="33"/>
        <v>353.77</v>
      </c>
      <c r="K535" s="60">
        <f t="shared" si="34"/>
        <v>1.6576470588235295</v>
      </c>
      <c r="L535" s="60">
        <f t="shared" si="35"/>
        <v>0.20809999999999995</v>
      </c>
    </row>
    <row r="536" spans="1:12" x14ac:dyDescent="0.25">
      <c r="A536" s="57" t="s">
        <v>285</v>
      </c>
      <c r="B536" s="61" t="s">
        <v>65</v>
      </c>
      <c r="C536">
        <v>813</v>
      </c>
      <c r="D536" s="57" t="s">
        <v>49</v>
      </c>
      <c r="E536" s="57">
        <v>44799</v>
      </c>
      <c r="F536" s="62">
        <v>1580</v>
      </c>
      <c r="G536" s="62">
        <v>1398.46</v>
      </c>
      <c r="H536" s="62">
        <v>1620</v>
      </c>
      <c r="I536" s="60">
        <f t="shared" si="32"/>
        <v>1.7201230012300124</v>
      </c>
      <c r="J536" s="60">
        <f t="shared" si="33"/>
        <v>221.53999999999996</v>
      </c>
      <c r="K536" s="60">
        <f t="shared" si="34"/>
        <v>1.9926199261992621</v>
      </c>
      <c r="L536" s="60">
        <f t="shared" si="35"/>
        <v>0.27249692496924971</v>
      </c>
    </row>
    <row r="537" spans="1:12" x14ac:dyDescent="0.25">
      <c r="A537" s="57" t="s">
        <v>292</v>
      </c>
      <c r="B537" s="61" t="s">
        <v>153</v>
      </c>
      <c r="C537">
        <v>696</v>
      </c>
      <c r="D537" s="57" t="s">
        <v>49</v>
      </c>
      <c r="E537" s="57">
        <v>44800</v>
      </c>
      <c r="F537" s="62">
        <v>1480</v>
      </c>
      <c r="G537" s="62">
        <v>1387.59</v>
      </c>
      <c r="H537" s="62">
        <v>1735</v>
      </c>
      <c r="I537" s="60">
        <f t="shared" si="32"/>
        <v>1.9936637931034482</v>
      </c>
      <c r="J537" s="60">
        <f t="shared" si="33"/>
        <v>347.41000000000008</v>
      </c>
      <c r="K537" s="60">
        <f t="shared" si="34"/>
        <v>2.492816091954023</v>
      </c>
      <c r="L537" s="60">
        <f t="shared" si="35"/>
        <v>0.49915229885057477</v>
      </c>
    </row>
    <row r="538" spans="1:12" x14ac:dyDescent="0.25">
      <c r="A538" s="57" t="s">
        <v>316</v>
      </c>
      <c r="B538" s="61" t="s">
        <v>86</v>
      </c>
      <c r="C538">
        <v>810</v>
      </c>
      <c r="D538" s="57" t="s">
        <v>352</v>
      </c>
      <c r="E538" s="57">
        <v>44801</v>
      </c>
      <c r="F538" s="62">
        <v>1555</v>
      </c>
      <c r="G538" s="62">
        <v>1435.38</v>
      </c>
      <c r="H538" s="62">
        <v>1774</v>
      </c>
      <c r="I538" s="60">
        <f t="shared" si="32"/>
        <v>1.7720740740740741</v>
      </c>
      <c r="J538" s="60">
        <f t="shared" si="33"/>
        <v>338.61999999999989</v>
      </c>
      <c r="K538" s="60">
        <f t="shared" si="34"/>
        <v>2.1901234567901233</v>
      </c>
      <c r="L538" s="60">
        <f t="shared" si="35"/>
        <v>0.41804938271604919</v>
      </c>
    </row>
    <row r="539" spans="1:12" x14ac:dyDescent="0.25">
      <c r="A539" s="57" t="s">
        <v>118</v>
      </c>
      <c r="B539" s="61" t="s">
        <v>59</v>
      </c>
      <c r="C539">
        <v>1115</v>
      </c>
      <c r="D539" s="57" t="s">
        <v>49</v>
      </c>
      <c r="E539" s="57">
        <v>44802</v>
      </c>
      <c r="F539" s="62">
        <v>2135</v>
      </c>
      <c r="G539" s="62">
        <v>2071</v>
      </c>
      <c r="H539" s="62">
        <v>2180</v>
      </c>
      <c r="I539" s="60">
        <f t="shared" si="32"/>
        <v>1.8573991031390134</v>
      </c>
      <c r="J539" s="60">
        <f t="shared" si="33"/>
        <v>109</v>
      </c>
      <c r="K539" s="60">
        <f t="shared" si="34"/>
        <v>1.9551569506726458</v>
      </c>
      <c r="L539" s="60">
        <f t="shared" si="35"/>
        <v>9.775784753363248E-2</v>
      </c>
    </row>
    <row r="540" spans="1:12" x14ac:dyDescent="0.25">
      <c r="A540" s="57" t="s">
        <v>284</v>
      </c>
      <c r="B540" s="61" t="s">
        <v>57</v>
      </c>
      <c r="C540">
        <v>700</v>
      </c>
      <c r="D540" s="57" t="s">
        <v>49</v>
      </c>
      <c r="E540" s="57">
        <v>44802</v>
      </c>
      <c r="F540" s="62">
        <v>1515</v>
      </c>
      <c r="G540" s="62">
        <v>1338.46</v>
      </c>
      <c r="H540" s="62">
        <v>1500</v>
      </c>
      <c r="I540" s="60">
        <f t="shared" si="32"/>
        <v>1.9120857142857144</v>
      </c>
      <c r="J540" s="60">
        <f t="shared" si="33"/>
        <v>161.53999999999996</v>
      </c>
      <c r="K540" s="60">
        <f t="shared" si="34"/>
        <v>2.1428571428571428</v>
      </c>
      <c r="L540" s="60">
        <f t="shared" si="35"/>
        <v>0.23077142857142841</v>
      </c>
    </row>
    <row r="541" spans="1:12" x14ac:dyDescent="0.25">
      <c r="A541" s="57" t="s">
        <v>303</v>
      </c>
      <c r="B541" s="61" t="s">
        <v>57</v>
      </c>
      <c r="C541">
        <v>700</v>
      </c>
      <c r="D541" s="57" t="s">
        <v>49</v>
      </c>
      <c r="E541" s="57">
        <v>44805</v>
      </c>
      <c r="F541" s="62">
        <v>1515</v>
      </c>
      <c r="G541" s="62">
        <v>1230.77</v>
      </c>
      <c r="H541" s="62">
        <v>1515</v>
      </c>
      <c r="I541" s="60">
        <f t="shared" si="32"/>
        <v>1.7582428571428572</v>
      </c>
      <c r="J541" s="60">
        <f t="shared" si="33"/>
        <v>284.23</v>
      </c>
      <c r="K541" s="60">
        <f t="shared" si="34"/>
        <v>2.1642857142857141</v>
      </c>
      <c r="L541" s="60">
        <f t="shared" si="35"/>
        <v>0.40604285714285693</v>
      </c>
    </row>
    <row r="542" spans="1:12" x14ac:dyDescent="0.25">
      <c r="A542" s="57" t="s">
        <v>322</v>
      </c>
      <c r="B542" s="61" t="s">
        <v>57</v>
      </c>
      <c r="C542">
        <v>700</v>
      </c>
      <c r="D542" s="57" t="s">
        <v>352</v>
      </c>
      <c r="E542" s="57">
        <v>44806</v>
      </c>
      <c r="F542" s="62">
        <v>1515</v>
      </c>
      <c r="G542" s="62">
        <v>1398.46</v>
      </c>
      <c r="H542" s="62">
        <v>1582</v>
      </c>
      <c r="I542" s="60">
        <f t="shared" si="32"/>
        <v>1.9978</v>
      </c>
      <c r="J542" s="60">
        <f t="shared" si="33"/>
        <v>183.53999999999996</v>
      </c>
      <c r="K542" s="60">
        <f t="shared" si="34"/>
        <v>2.2599999999999998</v>
      </c>
      <c r="L542" s="60">
        <f t="shared" si="35"/>
        <v>0.26219999999999977</v>
      </c>
    </row>
    <row r="543" spans="1:12" x14ac:dyDescent="0.25">
      <c r="A543" s="57" t="s">
        <v>50</v>
      </c>
      <c r="B543" s="61" t="s">
        <v>51</v>
      </c>
      <c r="C543">
        <v>848</v>
      </c>
      <c r="D543" s="57" t="s">
        <v>49</v>
      </c>
      <c r="E543" s="57">
        <v>44806</v>
      </c>
      <c r="F543" s="62">
        <v>1735</v>
      </c>
      <c r="G543" s="62">
        <v>1775</v>
      </c>
      <c r="H543" s="62">
        <v>1755</v>
      </c>
      <c r="I543" s="60">
        <f t="shared" si="32"/>
        <v>2.0931603773584904</v>
      </c>
      <c r="J543" s="60">
        <f t="shared" si="33"/>
        <v>-20</v>
      </c>
      <c r="K543" s="60">
        <f t="shared" si="34"/>
        <v>2.0695754716981134</v>
      </c>
      <c r="L543" s="60">
        <f t="shared" si="35"/>
        <v>-2.3584905660376965E-2</v>
      </c>
    </row>
    <row r="544" spans="1:12" x14ac:dyDescent="0.25">
      <c r="A544" s="57" t="s">
        <v>188</v>
      </c>
      <c r="B544" s="61" t="s">
        <v>145</v>
      </c>
      <c r="C544">
        <v>1146</v>
      </c>
      <c r="D544" s="57" t="s">
        <v>352</v>
      </c>
      <c r="E544" s="57">
        <v>44807</v>
      </c>
      <c r="F544" s="62">
        <v>2180</v>
      </c>
      <c r="G544" s="62">
        <v>2271</v>
      </c>
      <c r="H544" s="62">
        <v>2700</v>
      </c>
      <c r="I544" s="60">
        <f t="shared" si="32"/>
        <v>1.9816753926701571</v>
      </c>
      <c r="J544" s="60">
        <f t="shared" si="33"/>
        <v>429</v>
      </c>
      <c r="K544" s="60">
        <f t="shared" si="34"/>
        <v>2.3560209424083771</v>
      </c>
      <c r="L544" s="60">
        <f t="shared" si="35"/>
        <v>0.37434554973821998</v>
      </c>
    </row>
    <row r="545" spans="1:12" x14ac:dyDescent="0.25">
      <c r="A545" s="57" t="s">
        <v>323</v>
      </c>
      <c r="B545" s="61" t="s">
        <v>86</v>
      </c>
      <c r="C545">
        <v>810</v>
      </c>
      <c r="D545" s="57" t="s">
        <v>352</v>
      </c>
      <c r="E545" s="57">
        <v>44810</v>
      </c>
      <c r="F545" s="62">
        <v>1555</v>
      </c>
      <c r="G545" s="62">
        <v>1435.38</v>
      </c>
      <c r="H545" s="62">
        <v>1679</v>
      </c>
      <c r="I545" s="60">
        <f t="shared" si="32"/>
        <v>1.7720740740740741</v>
      </c>
      <c r="J545" s="60">
        <f t="shared" si="33"/>
        <v>243.61999999999989</v>
      </c>
      <c r="K545" s="60">
        <f t="shared" si="34"/>
        <v>2.0728395061728393</v>
      </c>
      <c r="L545" s="60">
        <f t="shared" si="35"/>
        <v>0.30076543209876516</v>
      </c>
    </row>
    <row r="546" spans="1:12" x14ac:dyDescent="0.25">
      <c r="A546" s="57" t="s">
        <v>279</v>
      </c>
      <c r="B546" s="61" t="s">
        <v>57</v>
      </c>
      <c r="C546">
        <v>700</v>
      </c>
      <c r="D546" s="57" t="s">
        <v>49</v>
      </c>
      <c r="E546" s="57">
        <v>44813</v>
      </c>
      <c r="F546" s="62">
        <v>1515</v>
      </c>
      <c r="G546" s="62">
        <v>1269.23</v>
      </c>
      <c r="H546" s="62">
        <v>1755</v>
      </c>
      <c r="I546" s="60">
        <f t="shared" si="32"/>
        <v>1.8131857142857144</v>
      </c>
      <c r="J546" s="60">
        <f t="shared" si="33"/>
        <v>485.77</v>
      </c>
      <c r="K546" s="60">
        <f t="shared" si="34"/>
        <v>2.5071428571428571</v>
      </c>
      <c r="L546" s="60">
        <f t="shared" si="35"/>
        <v>0.69395714285714272</v>
      </c>
    </row>
    <row r="547" spans="1:12" x14ac:dyDescent="0.25">
      <c r="A547" s="57" t="s">
        <v>327</v>
      </c>
      <c r="B547" s="61" t="s">
        <v>86</v>
      </c>
      <c r="C547">
        <v>810</v>
      </c>
      <c r="D547" s="57" t="s">
        <v>352</v>
      </c>
      <c r="E547" s="57">
        <v>44815</v>
      </c>
      <c r="F547" s="62">
        <v>1580</v>
      </c>
      <c r="G547" s="62">
        <v>1519.23</v>
      </c>
      <c r="H547" s="62">
        <v>1616</v>
      </c>
      <c r="I547" s="60">
        <f t="shared" si="32"/>
        <v>1.8755925925925927</v>
      </c>
      <c r="J547" s="60">
        <f t="shared" si="33"/>
        <v>96.769999999999982</v>
      </c>
      <c r="K547" s="60">
        <f t="shared" si="34"/>
        <v>1.9950617283950618</v>
      </c>
      <c r="L547" s="60">
        <f t="shared" si="35"/>
        <v>0.1194691358024691</v>
      </c>
    </row>
    <row r="548" spans="1:12" x14ac:dyDescent="0.25">
      <c r="A548" s="57" t="s">
        <v>242</v>
      </c>
      <c r="B548" s="61" t="s">
        <v>137</v>
      </c>
      <c r="C548">
        <v>1700</v>
      </c>
      <c r="D548" s="57" t="s">
        <v>49</v>
      </c>
      <c r="E548" s="57">
        <v>44816</v>
      </c>
      <c r="F548" s="62">
        <v>2995</v>
      </c>
      <c r="G548" s="62">
        <v>2384.04</v>
      </c>
      <c r="H548" s="62">
        <v>2745</v>
      </c>
      <c r="I548" s="60">
        <f t="shared" si="32"/>
        <v>1.4023764705882353</v>
      </c>
      <c r="J548" s="60">
        <f t="shared" si="33"/>
        <v>360.96000000000004</v>
      </c>
      <c r="K548" s="60">
        <f t="shared" si="34"/>
        <v>1.6147058823529412</v>
      </c>
      <c r="L548" s="60">
        <f t="shared" si="35"/>
        <v>0.21232941176470588</v>
      </c>
    </row>
    <row r="549" spans="1:12" x14ac:dyDescent="0.25">
      <c r="A549" s="57" t="s">
        <v>343</v>
      </c>
      <c r="B549" s="61" t="s">
        <v>59</v>
      </c>
      <c r="C549">
        <v>1115</v>
      </c>
      <c r="D549" s="57" t="s">
        <v>352</v>
      </c>
      <c r="E549" s="57">
        <v>44816</v>
      </c>
      <c r="F549" s="62">
        <v>2135</v>
      </c>
      <c r="G549" s="62">
        <v>2075</v>
      </c>
      <c r="H549" s="62">
        <v>2270</v>
      </c>
      <c r="I549" s="60">
        <f t="shared" si="32"/>
        <v>1.8609865470852018</v>
      </c>
      <c r="J549" s="60">
        <f t="shared" si="33"/>
        <v>195</v>
      </c>
      <c r="K549" s="60">
        <f t="shared" si="34"/>
        <v>2.0358744394618835</v>
      </c>
      <c r="L549" s="60">
        <f t="shared" si="35"/>
        <v>0.17488789237668168</v>
      </c>
    </row>
    <row r="550" spans="1:12" x14ac:dyDescent="0.25">
      <c r="A550" s="57" t="s">
        <v>346</v>
      </c>
      <c r="B550" s="61" t="s">
        <v>59</v>
      </c>
      <c r="C550">
        <v>1115</v>
      </c>
      <c r="D550" s="57" t="s">
        <v>352</v>
      </c>
      <c r="E550" s="57">
        <v>44816</v>
      </c>
      <c r="F550" s="62">
        <v>2165</v>
      </c>
      <c r="G550" s="62">
        <v>2170</v>
      </c>
      <c r="H550" s="62">
        <v>2222</v>
      </c>
      <c r="I550" s="60">
        <f t="shared" si="32"/>
        <v>1.946188340807175</v>
      </c>
      <c r="J550" s="60">
        <f t="shared" si="33"/>
        <v>52</v>
      </c>
      <c r="K550" s="60">
        <f t="shared" si="34"/>
        <v>1.9928251121076233</v>
      </c>
      <c r="L550" s="60">
        <f t="shared" si="35"/>
        <v>4.6636771300448299E-2</v>
      </c>
    </row>
    <row r="551" spans="1:12" x14ac:dyDescent="0.25">
      <c r="A551" s="57" t="s">
        <v>329</v>
      </c>
      <c r="B551" s="61" t="s">
        <v>153</v>
      </c>
      <c r="C551">
        <v>696</v>
      </c>
      <c r="D551" s="57" t="s">
        <v>352</v>
      </c>
      <c r="E551" s="57">
        <v>44817</v>
      </c>
      <c r="F551" s="62">
        <v>1480</v>
      </c>
      <c r="G551" s="62">
        <v>1366.15</v>
      </c>
      <c r="H551" s="62">
        <v>1554</v>
      </c>
      <c r="I551" s="60">
        <f t="shared" si="32"/>
        <v>1.9628591954022989</v>
      </c>
      <c r="J551" s="60">
        <f t="shared" si="33"/>
        <v>187.84999999999991</v>
      </c>
      <c r="K551" s="60">
        <f t="shared" si="34"/>
        <v>2.2327586206896552</v>
      </c>
      <c r="L551" s="60">
        <f t="shared" si="35"/>
        <v>0.26989942528735633</v>
      </c>
    </row>
    <row r="552" spans="1:12" x14ac:dyDescent="0.25">
      <c r="A552" s="57" t="s">
        <v>342</v>
      </c>
      <c r="B552" s="61" t="s">
        <v>59</v>
      </c>
      <c r="C552">
        <v>1115</v>
      </c>
      <c r="D552" s="57" t="s">
        <v>352</v>
      </c>
      <c r="E552" s="57">
        <v>44819</v>
      </c>
      <c r="F552" s="62">
        <v>2135</v>
      </c>
      <c r="G552" s="62">
        <v>2075</v>
      </c>
      <c r="H552" s="62">
        <v>2191</v>
      </c>
      <c r="I552" s="60">
        <f t="shared" si="32"/>
        <v>1.8609865470852018</v>
      </c>
      <c r="J552" s="60">
        <f t="shared" si="33"/>
        <v>116</v>
      </c>
      <c r="K552" s="60">
        <f t="shared" si="34"/>
        <v>1.9650224215246637</v>
      </c>
      <c r="L552" s="60">
        <f t="shared" si="35"/>
        <v>0.10403587443946183</v>
      </c>
    </row>
    <row r="553" spans="1:12" x14ac:dyDescent="0.25">
      <c r="A553" s="57" t="s">
        <v>146</v>
      </c>
      <c r="B553" s="61" t="s">
        <v>86</v>
      </c>
      <c r="C553">
        <v>810</v>
      </c>
      <c r="D553" s="57" t="s">
        <v>352</v>
      </c>
      <c r="E553" s="57">
        <v>44819</v>
      </c>
      <c r="F553" s="62">
        <v>1555</v>
      </c>
      <c r="G553" s="62">
        <v>1745</v>
      </c>
      <c r="H553" s="62">
        <v>1822</v>
      </c>
      <c r="I553" s="60">
        <f t="shared" si="32"/>
        <v>2.1543209876543208</v>
      </c>
      <c r="J553" s="60">
        <f t="shared" si="33"/>
        <v>77</v>
      </c>
      <c r="K553" s="60">
        <f t="shared" si="34"/>
        <v>2.2493827160493827</v>
      </c>
      <c r="L553" s="60">
        <f t="shared" si="35"/>
        <v>9.5061728395061884E-2</v>
      </c>
    </row>
    <row r="554" spans="1:12" x14ac:dyDescent="0.25">
      <c r="A554" s="57" t="s">
        <v>330</v>
      </c>
      <c r="B554" s="61" t="s">
        <v>320</v>
      </c>
      <c r="C554">
        <v>950</v>
      </c>
      <c r="D554" s="57" t="s">
        <v>352</v>
      </c>
      <c r="E554" s="57">
        <v>44820</v>
      </c>
      <c r="F554" s="62">
        <v>1795</v>
      </c>
      <c r="G554" s="62">
        <v>1656.92</v>
      </c>
      <c r="H554" s="62">
        <v>1813</v>
      </c>
      <c r="I554" s="60">
        <f t="shared" si="32"/>
        <v>1.7441263157894737</v>
      </c>
      <c r="J554" s="60">
        <f t="shared" si="33"/>
        <v>156.07999999999993</v>
      </c>
      <c r="K554" s="60">
        <f t="shared" si="34"/>
        <v>1.908421052631579</v>
      </c>
      <c r="L554" s="60">
        <f t="shared" si="35"/>
        <v>0.16429473684210527</v>
      </c>
    </row>
    <row r="555" spans="1:12" x14ac:dyDescent="0.25">
      <c r="A555" s="57" t="s">
        <v>331</v>
      </c>
      <c r="B555" s="61" t="s">
        <v>51</v>
      </c>
      <c r="C555">
        <v>848</v>
      </c>
      <c r="D555" s="57" t="s">
        <v>352</v>
      </c>
      <c r="E555" s="57">
        <v>44821</v>
      </c>
      <c r="F555" s="62">
        <v>1735</v>
      </c>
      <c r="G555" s="62">
        <v>1601.54</v>
      </c>
      <c r="H555" s="62">
        <v>1752</v>
      </c>
      <c r="I555" s="60">
        <f t="shared" si="32"/>
        <v>1.8886084905660376</v>
      </c>
      <c r="J555" s="60">
        <f t="shared" si="33"/>
        <v>150.46000000000004</v>
      </c>
      <c r="K555" s="60">
        <f t="shared" si="34"/>
        <v>2.0660377358490565</v>
      </c>
      <c r="L555" s="60">
        <f t="shared" si="35"/>
        <v>0.17742924528301884</v>
      </c>
    </row>
    <row r="556" spans="1:12" x14ac:dyDescent="0.25">
      <c r="A556" s="57" t="s">
        <v>313</v>
      </c>
      <c r="B556" s="61" t="s">
        <v>65</v>
      </c>
      <c r="C556">
        <v>813</v>
      </c>
      <c r="D556" s="57" t="s">
        <v>49</v>
      </c>
      <c r="E556" s="57">
        <v>44823</v>
      </c>
      <c r="F556" s="62">
        <v>1580</v>
      </c>
      <c r="G556" s="62">
        <v>1458.46</v>
      </c>
      <c r="H556" s="62">
        <v>1795</v>
      </c>
      <c r="I556" s="60">
        <f t="shared" si="32"/>
        <v>1.7939237392373923</v>
      </c>
      <c r="J556" s="60">
        <f t="shared" si="33"/>
        <v>336.53999999999996</v>
      </c>
      <c r="K556" s="60">
        <f t="shared" si="34"/>
        <v>2.2078720787207873</v>
      </c>
      <c r="L556" s="60">
        <f t="shared" si="35"/>
        <v>0.41394833948339493</v>
      </c>
    </row>
    <row r="557" spans="1:12" x14ac:dyDescent="0.25">
      <c r="A557" s="57" t="s">
        <v>332</v>
      </c>
      <c r="B557" s="61" t="s">
        <v>61</v>
      </c>
      <c r="C557">
        <v>820</v>
      </c>
      <c r="D557" s="57" t="s">
        <v>352</v>
      </c>
      <c r="E557" s="57">
        <v>44827</v>
      </c>
      <c r="F557" s="62">
        <v>1615</v>
      </c>
      <c r="G557" s="62">
        <v>1615</v>
      </c>
      <c r="H557" s="62">
        <v>1910</v>
      </c>
      <c r="I557" s="60">
        <f t="shared" si="32"/>
        <v>1.9695121951219512</v>
      </c>
      <c r="J557" s="60">
        <f t="shared" si="33"/>
        <v>295</v>
      </c>
      <c r="K557" s="60">
        <f t="shared" si="34"/>
        <v>2.3292682926829267</v>
      </c>
      <c r="L557" s="60">
        <f t="shared" si="35"/>
        <v>0.35975609756097549</v>
      </c>
    </row>
    <row r="558" spans="1:12" x14ac:dyDescent="0.25">
      <c r="A558" s="57" t="s">
        <v>116</v>
      </c>
      <c r="B558" s="61" t="s">
        <v>61</v>
      </c>
      <c r="C558">
        <v>820</v>
      </c>
      <c r="D558" s="57" t="s">
        <v>352</v>
      </c>
      <c r="E558" s="57">
        <v>44831</v>
      </c>
      <c r="F558" s="62">
        <v>1615</v>
      </c>
      <c r="G558" s="62">
        <v>1490.77</v>
      </c>
      <c r="H558" s="62">
        <v>1647</v>
      </c>
      <c r="I558" s="60">
        <f t="shared" si="32"/>
        <v>1.8180121951219512</v>
      </c>
      <c r="J558" s="60">
        <f t="shared" si="33"/>
        <v>156.23000000000002</v>
      </c>
      <c r="K558" s="60">
        <f t="shared" si="34"/>
        <v>2.0085365853658534</v>
      </c>
      <c r="L558" s="60">
        <f t="shared" si="35"/>
        <v>0.19052439024390222</v>
      </c>
    </row>
    <row r="559" spans="1:12" x14ac:dyDescent="0.25">
      <c r="A559" s="57" t="s">
        <v>334</v>
      </c>
      <c r="B559" s="61" t="s">
        <v>65</v>
      </c>
      <c r="C559">
        <v>813</v>
      </c>
      <c r="D559" s="57" t="s">
        <v>352</v>
      </c>
      <c r="E559" s="57">
        <v>44834</v>
      </c>
      <c r="F559" s="62">
        <v>1580</v>
      </c>
      <c r="G559" s="62">
        <v>1458.46</v>
      </c>
      <c r="H559" s="62">
        <v>1673</v>
      </c>
      <c r="I559" s="60">
        <f t="shared" si="32"/>
        <v>1.7939237392373923</v>
      </c>
      <c r="J559" s="60">
        <f t="shared" si="33"/>
        <v>214.53999999999996</v>
      </c>
      <c r="K559" s="60">
        <f t="shared" si="34"/>
        <v>2.0578105781057809</v>
      </c>
      <c r="L559" s="60">
        <f t="shared" si="35"/>
        <v>0.2638868388683886</v>
      </c>
    </row>
    <row r="560" spans="1:12" x14ac:dyDescent="0.25">
      <c r="A560" s="57" t="s">
        <v>62</v>
      </c>
      <c r="B560" s="61" t="s">
        <v>59</v>
      </c>
      <c r="C560">
        <v>1115</v>
      </c>
      <c r="D560" s="57" t="s">
        <v>49</v>
      </c>
      <c r="E560" s="57">
        <v>44834</v>
      </c>
      <c r="F560" s="62">
        <v>2135</v>
      </c>
      <c r="G560" s="62">
        <v>1970.77</v>
      </c>
      <c r="H560" s="62">
        <v>2135</v>
      </c>
      <c r="I560" s="60">
        <f t="shared" si="32"/>
        <v>1.7675067264573991</v>
      </c>
      <c r="J560" s="60">
        <f t="shared" si="33"/>
        <v>164.23000000000002</v>
      </c>
      <c r="K560" s="60">
        <f t="shared" si="34"/>
        <v>1.9147982062780269</v>
      </c>
      <c r="L560" s="60">
        <f t="shared" si="35"/>
        <v>0.14729147982062774</v>
      </c>
    </row>
    <row r="561" spans="1:12" x14ac:dyDescent="0.25">
      <c r="A561" s="57" t="s">
        <v>336</v>
      </c>
      <c r="B561" s="61" t="s">
        <v>48</v>
      </c>
      <c r="C561">
        <v>806</v>
      </c>
      <c r="D561" s="57" t="s">
        <v>352</v>
      </c>
      <c r="E561" s="57">
        <v>44835</v>
      </c>
      <c r="F561" s="62">
        <v>1620</v>
      </c>
      <c r="G561" s="62">
        <v>1620</v>
      </c>
      <c r="H561" s="62">
        <v>1636</v>
      </c>
      <c r="I561" s="60">
        <f t="shared" si="32"/>
        <v>2.0099255583126552</v>
      </c>
      <c r="J561" s="60">
        <f t="shared" si="33"/>
        <v>16</v>
      </c>
      <c r="K561" s="60">
        <f t="shared" si="34"/>
        <v>2.0297766749379651</v>
      </c>
      <c r="L561" s="60">
        <f t="shared" si="35"/>
        <v>1.9851116625309917E-2</v>
      </c>
    </row>
    <row r="562" spans="1:12" x14ac:dyDescent="0.25">
      <c r="A562" s="57" t="s">
        <v>337</v>
      </c>
      <c r="B562" s="61" t="s">
        <v>61</v>
      </c>
      <c r="C562">
        <v>820</v>
      </c>
      <c r="D562" s="57" t="s">
        <v>352</v>
      </c>
      <c r="E562" s="57">
        <v>44836</v>
      </c>
      <c r="F562" s="62">
        <v>1660</v>
      </c>
      <c r="G562" s="62">
        <v>1660</v>
      </c>
      <c r="H562" s="62">
        <v>1677</v>
      </c>
      <c r="I562" s="60">
        <f t="shared" si="32"/>
        <v>2.024390243902439</v>
      </c>
      <c r="J562" s="60">
        <f t="shared" si="33"/>
        <v>17</v>
      </c>
      <c r="K562" s="60">
        <f t="shared" si="34"/>
        <v>2.045121951219512</v>
      </c>
      <c r="L562" s="60">
        <f t="shared" si="35"/>
        <v>2.0731707317072967E-2</v>
      </c>
    </row>
    <row r="563" spans="1:12" x14ac:dyDescent="0.25">
      <c r="A563" s="57" t="s">
        <v>348</v>
      </c>
      <c r="B563" s="61" t="s">
        <v>59</v>
      </c>
      <c r="C563">
        <v>1115</v>
      </c>
      <c r="D563" s="57" t="s">
        <v>49</v>
      </c>
      <c r="E563" s="57">
        <v>44837</v>
      </c>
      <c r="F563" s="62">
        <v>2135</v>
      </c>
      <c r="G563" s="62">
        <v>2285</v>
      </c>
      <c r="H563" s="62">
        <v>2100</v>
      </c>
      <c r="I563" s="60">
        <f t="shared" si="32"/>
        <v>2.0493273542600896</v>
      </c>
      <c r="J563" s="60">
        <f t="shared" si="33"/>
        <v>-185</v>
      </c>
      <c r="K563" s="60">
        <f t="shared" si="34"/>
        <v>1.883408071748879</v>
      </c>
      <c r="L563" s="60">
        <f t="shared" si="35"/>
        <v>-0.16591928251121058</v>
      </c>
    </row>
    <row r="564" spans="1:12" x14ac:dyDescent="0.25">
      <c r="A564" s="57" t="s">
        <v>275</v>
      </c>
      <c r="B564" s="61" t="s">
        <v>57</v>
      </c>
      <c r="C564">
        <v>700</v>
      </c>
      <c r="D564" s="57" t="s">
        <v>352</v>
      </c>
      <c r="E564" s="57">
        <v>44838</v>
      </c>
      <c r="F564" s="62">
        <v>1515</v>
      </c>
      <c r="G564" s="62">
        <v>1800</v>
      </c>
      <c r="H564" s="62">
        <v>1889</v>
      </c>
      <c r="I564" s="60">
        <f t="shared" si="32"/>
        <v>2.5714285714285716</v>
      </c>
      <c r="J564" s="60">
        <f t="shared" si="33"/>
        <v>89</v>
      </c>
      <c r="K564" s="60">
        <f t="shared" si="34"/>
        <v>2.6985714285714284</v>
      </c>
      <c r="L564" s="60">
        <f t="shared" si="35"/>
        <v>0.12714285714285678</v>
      </c>
    </row>
    <row r="565" spans="1:12" x14ac:dyDescent="0.25">
      <c r="A565" s="57" t="s">
        <v>347</v>
      </c>
      <c r="B565" s="61" t="s">
        <v>48</v>
      </c>
      <c r="C565">
        <v>806</v>
      </c>
      <c r="D565" s="57" t="s">
        <v>352</v>
      </c>
      <c r="E565" s="57">
        <v>44841</v>
      </c>
      <c r="F565" s="62">
        <v>1620</v>
      </c>
      <c r="G565" s="62">
        <v>1735.42</v>
      </c>
      <c r="H565" s="62">
        <v>1895</v>
      </c>
      <c r="I565" s="60">
        <f t="shared" si="32"/>
        <v>2.1531265508684863</v>
      </c>
      <c r="J565" s="60">
        <f t="shared" si="33"/>
        <v>159.57999999999993</v>
      </c>
      <c r="K565" s="60">
        <f t="shared" si="34"/>
        <v>2.3511166253101736</v>
      </c>
      <c r="L565" s="60">
        <f t="shared" si="35"/>
        <v>0.19799007444168737</v>
      </c>
    </row>
    <row r="566" spans="1:12" x14ac:dyDescent="0.25">
      <c r="A566" s="57" t="s">
        <v>333</v>
      </c>
      <c r="B566" s="61" t="s">
        <v>61</v>
      </c>
      <c r="C566">
        <v>820</v>
      </c>
      <c r="D566" s="57" t="s">
        <v>49</v>
      </c>
      <c r="E566" s="57">
        <v>44841</v>
      </c>
      <c r="F566" s="62">
        <v>1660</v>
      </c>
      <c r="G566" s="62">
        <v>1532.31</v>
      </c>
      <c r="H566" s="62">
        <v>1680</v>
      </c>
      <c r="I566" s="60">
        <f t="shared" si="32"/>
        <v>1.868670731707317</v>
      </c>
      <c r="J566" s="60">
        <f t="shared" si="33"/>
        <v>147.69000000000005</v>
      </c>
      <c r="K566" s="60">
        <f t="shared" si="34"/>
        <v>2.0487804878048781</v>
      </c>
      <c r="L566" s="60">
        <f t="shared" si="35"/>
        <v>0.18010975609756108</v>
      </c>
    </row>
    <row r="567" spans="1:12" x14ac:dyDescent="0.25">
      <c r="A567" s="57" t="s">
        <v>338</v>
      </c>
      <c r="B567" s="61" t="s">
        <v>48</v>
      </c>
      <c r="C567">
        <v>806</v>
      </c>
      <c r="D567" s="57" t="s">
        <v>352</v>
      </c>
      <c r="E567" s="57">
        <v>44842</v>
      </c>
      <c r="F567" s="62">
        <v>1620</v>
      </c>
      <c r="G567" s="62">
        <v>1495.38</v>
      </c>
      <c r="H567" s="62">
        <v>1646</v>
      </c>
      <c r="I567" s="60">
        <f t="shared" si="32"/>
        <v>1.8553101736972706</v>
      </c>
      <c r="J567" s="60">
        <f t="shared" si="33"/>
        <v>150.61999999999989</v>
      </c>
      <c r="K567" s="60">
        <f t="shared" si="34"/>
        <v>2.0421836228287842</v>
      </c>
      <c r="L567" s="60">
        <f t="shared" si="35"/>
        <v>0.1868734491315136</v>
      </c>
    </row>
    <row r="568" spans="1:12" x14ac:dyDescent="0.25">
      <c r="A568" s="57" t="s">
        <v>339</v>
      </c>
      <c r="B568" s="61" t="s">
        <v>86</v>
      </c>
      <c r="C568">
        <v>810</v>
      </c>
      <c r="D568" s="57" t="s">
        <v>352</v>
      </c>
      <c r="E568" s="57">
        <v>44844</v>
      </c>
      <c r="F568" s="62">
        <v>1580</v>
      </c>
      <c r="G568" s="62">
        <v>1458.46</v>
      </c>
      <c r="H568" s="62">
        <v>1626</v>
      </c>
      <c r="I568" s="60">
        <f t="shared" si="32"/>
        <v>1.8005679012345679</v>
      </c>
      <c r="J568" s="60">
        <f t="shared" si="33"/>
        <v>167.53999999999996</v>
      </c>
      <c r="K568" s="60">
        <f t="shared" si="34"/>
        <v>2.0074074074074075</v>
      </c>
      <c r="L568" s="60">
        <f t="shared" si="35"/>
        <v>0.20683950617283964</v>
      </c>
    </row>
    <row r="569" spans="1:12" x14ac:dyDescent="0.25">
      <c r="A569" s="57" t="s">
        <v>188</v>
      </c>
      <c r="B569" s="61" t="s">
        <v>145</v>
      </c>
      <c r="C569">
        <v>1146</v>
      </c>
      <c r="D569" s="57" t="s">
        <v>49</v>
      </c>
      <c r="E569" s="57">
        <v>44846</v>
      </c>
      <c r="F569" s="62">
        <v>2180</v>
      </c>
      <c r="G569" s="62">
        <v>2700</v>
      </c>
      <c r="H569" s="62">
        <v>2145</v>
      </c>
      <c r="I569" s="60">
        <f t="shared" si="32"/>
        <v>2.3560209424083771</v>
      </c>
      <c r="J569" s="60">
        <f t="shared" si="33"/>
        <v>-555</v>
      </c>
      <c r="K569" s="60">
        <f t="shared" si="34"/>
        <v>1.8717277486910995</v>
      </c>
      <c r="L569" s="60">
        <f t="shared" si="35"/>
        <v>-0.48429319371727764</v>
      </c>
    </row>
    <row r="570" spans="1:12" x14ac:dyDescent="0.25">
      <c r="A570" s="57" t="s">
        <v>216</v>
      </c>
      <c r="B570" s="61" t="s">
        <v>57</v>
      </c>
      <c r="C570">
        <v>700</v>
      </c>
      <c r="D570" s="57" t="s">
        <v>49</v>
      </c>
      <c r="E570" s="57">
        <v>44846</v>
      </c>
      <c r="F570" s="62">
        <v>1515</v>
      </c>
      <c r="G570" s="62">
        <v>1398.46</v>
      </c>
      <c r="H570" s="62">
        <v>1605</v>
      </c>
      <c r="I570" s="60">
        <f t="shared" si="32"/>
        <v>1.9978</v>
      </c>
      <c r="J570" s="60">
        <f t="shared" si="33"/>
        <v>206.53999999999996</v>
      </c>
      <c r="K570" s="60">
        <f t="shared" si="34"/>
        <v>2.2928571428571427</v>
      </c>
      <c r="L570" s="60">
        <f t="shared" si="35"/>
        <v>0.29505714285714268</v>
      </c>
    </row>
    <row r="571" spans="1:12" x14ac:dyDescent="0.25">
      <c r="A571" s="57" t="s">
        <v>129</v>
      </c>
      <c r="B571" s="61" t="s">
        <v>57</v>
      </c>
      <c r="C571">
        <v>700</v>
      </c>
      <c r="D571" s="57" t="s">
        <v>49</v>
      </c>
      <c r="E571" s="57">
        <v>44849</v>
      </c>
      <c r="F571" s="62">
        <v>1515</v>
      </c>
      <c r="G571" s="62">
        <v>1325</v>
      </c>
      <c r="H571" s="62">
        <v>1662</v>
      </c>
      <c r="I571" s="60">
        <f t="shared" si="32"/>
        <v>1.8928571428571428</v>
      </c>
      <c r="J571" s="60">
        <f t="shared" si="33"/>
        <v>337</v>
      </c>
      <c r="K571" s="60">
        <f t="shared" si="34"/>
        <v>2.3742857142857141</v>
      </c>
      <c r="L571" s="60">
        <f t="shared" si="35"/>
        <v>0.48142857142857132</v>
      </c>
    </row>
    <row r="572" spans="1:12" x14ac:dyDescent="0.25">
      <c r="A572" s="57" t="s">
        <v>341</v>
      </c>
      <c r="B572" s="61" t="s">
        <v>48</v>
      </c>
      <c r="C572">
        <v>806</v>
      </c>
      <c r="D572" s="57" t="s">
        <v>352</v>
      </c>
      <c r="E572" s="57">
        <v>44849</v>
      </c>
      <c r="F572" s="62">
        <v>1620</v>
      </c>
      <c r="G572" s="62">
        <v>1765</v>
      </c>
      <c r="H572" s="62">
        <v>1794</v>
      </c>
      <c r="I572" s="60">
        <f t="shared" si="32"/>
        <v>2.1898263027295286</v>
      </c>
      <c r="J572" s="60">
        <f t="shared" si="33"/>
        <v>29</v>
      </c>
      <c r="K572" s="60">
        <f t="shared" si="34"/>
        <v>2.225806451612903</v>
      </c>
      <c r="L572" s="60">
        <f t="shared" si="35"/>
        <v>3.5980148883374419E-2</v>
      </c>
    </row>
    <row r="573" spans="1:12" x14ac:dyDescent="0.25">
      <c r="A573" s="57" t="s">
        <v>178</v>
      </c>
      <c r="B573" s="61" t="s">
        <v>82</v>
      </c>
      <c r="C573">
        <v>1112</v>
      </c>
      <c r="D573" s="57" t="s">
        <v>49</v>
      </c>
      <c r="E573" s="57">
        <v>44852</v>
      </c>
      <c r="F573" s="62">
        <v>2125</v>
      </c>
      <c r="G573" s="62">
        <v>1481.73</v>
      </c>
      <c r="H573" s="62">
        <v>2090</v>
      </c>
      <c r="I573" s="60">
        <f t="shared" si="32"/>
        <v>1.3324910071942446</v>
      </c>
      <c r="J573" s="60">
        <f t="shared" si="33"/>
        <v>608.27</v>
      </c>
      <c r="K573" s="60">
        <f t="shared" si="34"/>
        <v>1.8794964028776979</v>
      </c>
      <c r="L573" s="60">
        <f t="shared" si="35"/>
        <v>0.5470053956834533</v>
      </c>
    </row>
    <row r="574" spans="1:12" x14ac:dyDescent="0.25">
      <c r="A574" s="57" t="s">
        <v>291</v>
      </c>
      <c r="B574" s="61" t="s">
        <v>86</v>
      </c>
      <c r="C574">
        <v>810</v>
      </c>
      <c r="D574" s="57" t="s">
        <v>49</v>
      </c>
      <c r="E574" s="57">
        <v>44854</v>
      </c>
      <c r="F574" s="62">
        <v>1580</v>
      </c>
      <c r="G574" s="62">
        <v>1610</v>
      </c>
      <c r="H574" s="62">
        <v>1632.7272727272727</v>
      </c>
      <c r="I574" s="60">
        <f t="shared" si="32"/>
        <v>1.9876543209876543</v>
      </c>
      <c r="J574" s="60">
        <f t="shared" si="33"/>
        <v>22.727272727272748</v>
      </c>
      <c r="K574" s="60">
        <f t="shared" si="34"/>
        <v>2.0157126823793492</v>
      </c>
      <c r="L574" s="60">
        <f t="shared" si="35"/>
        <v>2.805836139169493E-2</v>
      </c>
    </row>
    <row r="575" spans="1:12" x14ac:dyDescent="0.25">
      <c r="A575" s="57" t="s">
        <v>134</v>
      </c>
      <c r="B575" s="61" t="s">
        <v>51</v>
      </c>
      <c r="C575">
        <v>848</v>
      </c>
      <c r="D575" s="57" t="s">
        <v>352</v>
      </c>
      <c r="E575" s="57">
        <v>44860</v>
      </c>
      <c r="F575" s="62">
        <v>1735</v>
      </c>
      <c r="G575" s="62">
        <v>1879</v>
      </c>
      <c r="H575" s="62">
        <v>1917</v>
      </c>
      <c r="I575" s="60">
        <f t="shared" si="32"/>
        <v>2.2158018867924527</v>
      </c>
      <c r="J575" s="60">
        <f t="shared" si="33"/>
        <v>38</v>
      </c>
      <c r="K575" s="60">
        <f t="shared" si="34"/>
        <v>2.2606132075471699</v>
      </c>
      <c r="L575" s="60">
        <f t="shared" si="35"/>
        <v>4.4811320754717165E-2</v>
      </c>
    </row>
    <row r="576" spans="1:12" x14ac:dyDescent="0.25">
      <c r="A576" s="57" t="s">
        <v>344</v>
      </c>
      <c r="B576" s="61" t="s">
        <v>61</v>
      </c>
      <c r="C576">
        <v>820</v>
      </c>
      <c r="D576" s="57" t="s">
        <v>49</v>
      </c>
      <c r="E576" s="57">
        <v>44862</v>
      </c>
      <c r="F576" s="62">
        <v>1660</v>
      </c>
      <c r="G576" s="62">
        <v>1521.67</v>
      </c>
      <c r="H576" s="62">
        <v>1612.7272727272727</v>
      </c>
      <c r="I576" s="60">
        <f t="shared" si="32"/>
        <v>1.8556951219512197</v>
      </c>
      <c r="J576" s="60">
        <f t="shared" si="33"/>
        <v>91.057272727272675</v>
      </c>
      <c r="K576" s="60">
        <f t="shared" si="34"/>
        <v>1.9667405764966741</v>
      </c>
      <c r="L576" s="60">
        <f t="shared" si="35"/>
        <v>0.11104545454545445</v>
      </c>
    </row>
    <row r="577" spans="1:12" x14ac:dyDescent="0.25">
      <c r="A577" s="57" t="s">
        <v>350</v>
      </c>
      <c r="B577" s="61" t="s">
        <v>65</v>
      </c>
      <c r="C577">
        <v>813</v>
      </c>
      <c r="D577" s="57" t="s">
        <v>49</v>
      </c>
      <c r="E577" s="57">
        <v>44865</v>
      </c>
      <c r="F577" s="62">
        <v>1580</v>
      </c>
      <c r="G577" s="62">
        <v>1775</v>
      </c>
      <c r="H577" s="62">
        <v>1582.7272727272727</v>
      </c>
      <c r="I577" s="60">
        <f t="shared" si="32"/>
        <v>2.1832718327183271</v>
      </c>
      <c r="J577" s="60">
        <f t="shared" si="33"/>
        <v>-192.27272727272725</v>
      </c>
      <c r="K577" s="60">
        <f t="shared" si="34"/>
        <v>1.9467740131946774</v>
      </c>
      <c r="L577" s="60">
        <f t="shared" si="35"/>
        <v>-0.23649781952364979</v>
      </c>
    </row>
    <row r="578" spans="1:12" x14ac:dyDescent="0.25">
      <c r="A578" s="57" t="s">
        <v>345</v>
      </c>
      <c r="B578" s="61" t="s">
        <v>59</v>
      </c>
      <c r="C578">
        <v>1115</v>
      </c>
      <c r="D578" s="57" t="s">
        <v>49</v>
      </c>
      <c r="E578" s="57">
        <v>44865</v>
      </c>
      <c r="F578" s="62">
        <v>2135</v>
      </c>
      <c r="G578" s="62">
        <v>2190</v>
      </c>
      <c r="H578" s="62">
        <v>1935</v>
      </c>
      <c r="I578" s="60">
        <f t="shared" ref="I578:I641" si="36">G578/C578</f>
        <v>1.9641255605381165</v>
      </c>
      <c r="J578" s="60">
        <f t="shared" ref="J578:J641" si="37">SUM(H578-G578)</f>
        <v>-255</v>
      </c>
      <c r="K578" s="60">
        <f t="shared" ref="K578:K641" si="38">H578/C578</f>
        <v>1.7354260089686098</v>
      </c>
      <c r="L578" s="60">
        <f t="shared" ref="L578:L641" si="39">K578-I578</f>
        <v>-0.22869955156950672</v>
      </c>
    </row>
    <row r="579" spans="1:12" x14ac:dyDescent="0.25">
      <c r="A579" s="57" t="s">
        <v>340</v>
      </c>
      <c r="B579" s="61" t="s">
        <v>86</v>
      </c>
      <c r="C579">
        <v>810</v>
      </c>
      <c r="D579" s="57" t="s">
        <v>49</v>
      </c>
      <c r="E579" s="57">
        <v>44865</v>
      </c>
      <c r="F579" s="62">
        <v>1580</v>
      </c>
      <c r="G579" s="62">
        <v>1580</v>
      </c>
      <c r="H579" s="62">
        <v>1605</v>
      </c>
      <c r="I579" s="60">
        <f t="shared" si="36"/>
        <v>1.9506172839506173</v>
      </c>
      <c r="J579" s="60">
        <f t="shared" si="37"/>
        <v>25</v>
      </c>
      <c r="K579" s="60">
        <f t="shared" si="38"/>
        <v>1.9814814814814814</v>
      </c>
      <c r="L579" s="60">
        <f t="shared" si="39"/>
        <v>3.0864197530864113E-2</v>
      </c>
    </row>
    <row r="580" spans="1:12" x14ac:dyDescent="0.25">
      <c r="A580" s="57" t="s">
        <v>176</v>
      </c>
      <c r="B580" s="61" t="s">
        <v>48</v>
      </c>
      <c r="C580">
        <v>806</v>
      </c>
      <c r="D580" s="57" t="s">
        <v>49</v>
      </c>
      <c r="E580" s="57">
        <v>44867</v>
      </c>
      <c r="F580" s="62">
        <v>1620</v>
      </c>
      <c r="G580" s="62">
        <v>1620</v>
      </c>
      <c r="H580" s="62">
        <v>1580</v>
      </c>
      <c r="I580" s="60">
        <f t="shared" si="36"/>
        <v>2.0099255583126552</v>
      </c>
      <c r="J580" s="60">
        <f t="shared" si="37"/>
        <v>-40</v>
      </c>
      <c r="K580" s="60">
        <f t="shared" si="38"/>
        <v>1.9602977667493797</v>
      </c>
      <c r="L580" s="60">
        <f t="shared" si="39"/>
        <v>-4.9627791563275458E-2</v>
      </c>
    </row>
    <row r="581" spans="1:12" x14ac:dyDescent="0.25">
      <c r="A581" s="57" t="s">
        <v>54</v>
      </c>
      <c r="B581" s="61" t="s">
        <v>55</v>
      </c>
      <c r="C581">
        <v>764</v>
      </c>
      <c r="D581" s="57" t="s">
        <v>352</v>
      </c>
      <c r="E581" s="57">
        <v>44869</v>
      </c>
      <c r="F581" s="62">
        <v>1585</v>
      </c>
      <c r="G581" s="62">
        <v>1517</v>
      </c>
      <c r="H581" s="62">
        <v>1699</v>
      </c>
      <c r="I581" s="60">
        <f t="shared" si="36"/>
        <v>1.9856020942408377</v>
      </c>
      <c r="J581" s="60">
        <f t="shared" si="37"/>
        <v>182</v>
      </c>
      <c r="K581" s="60">
        <f t="shared" si="38"/>
        <v>2.2238219895287958</v>
      </c>
      <c r="L581" s="60">
        <f t="shared" si="39"/>
        <v>0.23821989528795817</v>
      </c>
    </row>
    <row r="582" spans="1:12" x14ac:dyDescent="0.25">
      <c r="A582" s="57" t="s">
        <v>297</v>
      </c>
      <c r="B582" s="61" t="s">
        <v>86</v>
      </c>
      <c r="C582">
        <v>810</v>
      </c>
      <c r="D582" s="57" t="s">
        <v>49</v>
      </c>
      <c r="E582" s="57">
        <v>44875</v>
      </c>
      <c r="F582" s="62">
        <v>1555</v>
      </c>
      <c r="G582" s="62">
        <v>1570</v>
      </c>
      <c r="H582" s="62">
        <v>1555</v>
      </c>
      <c r="I582" s="60">
        <f t="shared" si="36"/>
        <v>1.9382716049382716</v>
      </c>
      <c r="J582" s="60">
        <f t="shared" si="37"/>
        <v>-15</v>
      </c>
      <c r="K582" s="60">
        <f t="shared" si="38"/>
        <v>1.9197530864197532</v>
      </c>
      <c r="L582" s="60">
        <f t="shared" si="39"/>
        <v>-1.8518518518518379E-2</v>
      </c>
    </row>
    <row r="583" spans="1:12" x14ac:dyDescent="0.25">
      <c r="A583" s="57" t="s">
        <v>136</v>
      </c>
      <c r="B583" s="61" t="s">
        <v>137</v>
      </c>
      <c r="C583">
        <v>1700</v>
      </c>
      <c r="D583" s="57" t="s">
        <v>49</v>
      </c>
      <c r="E583" s="57">
        <v>44879</v>
      </c>
      <c r="F583" s="62">
        <v>2995</v>
      </c>
      <c r="G583" s="62">
        <v>2995</v>
      </c>
      <c r="H583" s="62">
        <v>2625</v>
      </c>
      <c r="I583" s="60">
        <f t="shared" si="36"/>
        <v>1.7617647058823529</v>
      </c>
      <c r="J583" s="60">
        <f t="shared" si="37"/>
        <v>-370</v>
      </c>
      <c r="K583" s="60">
        <f t="shared" si="38"/>
        <v>1.5441176470588236</v>
      </c>
      <c r="L583" s="60">
        <f t="shared" si="39"/>
        <v>-0.2176470588235293</v>
      </c>
    </row>
    <row r="584" spans="1:12" x14ac:dyDescent="0.25">
      <c r="A584" s="57" t="s">
        <v>265</v>
      </c>
      <c r="B584" s="61" t="s">
        <v>59</v>
      </c>
      <c r="C584">
        <v>1115</v>
      </c>
      <c r="D584" s="57" t="s">
        <v>352</v>
      </c>
      <c r="E584" s="57">
        <v>44879</v>
      </c>
      <c r="F584" s="62">
        <v>2165</v>
      </c>
      <c r="G584" s="62">
        <v>1530.38</v>
      </c>
      <c r="H584" s="62">
        <v>1805</v>
      </c>
      <c r="I584" s="60">
        <f t="shared" si="36"/>
        <v>1.3725381165919284</v>
      </c>
      <c r="J584" s="60">
        <f t="shared" si="37"/>
        <v>274.61999999999989</v>
      </c>
      <c r="K584" s="60">
        <f t="shared" si="38"/>
        <v>1.6188340807174888</v>
      </c>
      <c r="L584" s="60">
        <f t="shared" si="39"/>
        <v>0.24629596412556043</v>
      </c>
    </row>
    <row r="585" spans="1:12" x14ac:dyDescent="0.25">
      <c r="A585" s="57" t="s">
        <v>64</v>
      </c>
      <c r="B585" s="61" t="s">
        <v>65</v>
      </c>
      <c r="C585">
        <v>813</v>
      </c>
      <c r="D585" s="57" t="s">
        <v>49</v>
      </c>
      <c r="E585" s="57">
        <v>44880</v>
      </c>
      <c r="F585" s="62">
        <v>1580</v>
      </c>
      <c r="G585" s="62">
        <v>1580</v>
      </c>
      <c r="H585" s="62">
        <v>1600</v>
      </c>
      <c r="I585" s="60">
        <f t="shared" si="36"/>
        <v>1.943419434194342</v>
      </c>
      <c r="J585" s="60">
        <f t="shared" si="37"/>
        <v>20</v>
      </c>
      <c r="K585" s="60">
        <f t="shared" si="38"/>
        <v>1.968019680196802</v>
      </c>
      <c r="L585" s="60">
        <f t="shared" si="39"/>
        <v>2.4600246002459913E-2</v>
      </c>
    </row>
    <row r="586" spans="1:12" x14ac:dyDescent="0.25">
      <c r="A586" s="57" t="s">
        <v>264</v>
      </c>
      <c r="B586" s="61" t="s">
        <v>57</v>
      </c>
      <c r="C586">
        <v>700</v>
      </c>
      <c r="D586" s="57" t="s">
        <v>49</v>
      </c>
      <c r="E586" s="57">
        <v>44882</v>
      </c>
      <c r="F586" s="62">
        <v>1515</v>
      </c>
      <c r="G586" s="62">
        <v>1269.23</v>
      </c>
      <c r="H586" s="62">
        <v>1512.7272727272727</v>
      </c>
      <c r="I586" s="60">
        <f t="shared" si="36"/>
        <v>1.8131857142857144</v>
      </c>
      <c r="J586" s="60">
        <f t="shared" si="37"/>
        <v>243.49727272727273</v>
      </c>
      <c r="K586" s="60">
        <f t="shared" si="38"/>
        <v>2.1610389610389609</v>
      </c>
      <c r="L586" s="60">
        <f t="shared" si="39"/>
        <v>0.34785324675324647</v>
      </c>
    </row>
    <row r="587" spans="1:12" x14ac:dyDescent="0.25">
      <c r="A587" s="57" t="s">
        <v>267</v>
      </c>
      <c r="B587" s="61" t="s">
        <v>59</v>
      </c>
      <c r="C587">
        <v>1115</v>
      </c>
      <c r="D587" s="57" t="s">
        <v>49</v>
      </c>
      <c r="E587" s="57">
        <v>44883</v>
      </c>
      <c r="F587" s="62">
        <v>2135</v>
      </c>
      <c r="G587" s="62">
        <v>2184</v>
      </c>
      <c r="H587" s="62">
        <v>1955</v>
      </c>
      <c r="I587" s="60">
        <f t="shared" si="36"/>
        <v>1.9587443946188341</v>
      </c>
      <c r="J587" s="60">
        <f t="shared" si="37"/>
        <v>-229</v>
      </c>
      <c r="K587" s="60">
        <f t="shared" si="38"/>
        <v>1.7533632286995515</v>
      </c>
      <c r="L587" s="60">
        <f t="shared" si="39"/>
        <v>-0.20538116591928257</v>
      </c>
    </row>
    <row r="588" spans="1:12" x14ac:dyDescent="0.25">
      <c r="A588" s="57" t="s">
        <v>144</v>
      </c>
      <c r="B588" s="61" t="s">
        <v>145</v>
      </c>
      <c r="C588">
        <v>1146</v>
      </c>
      <c r="D588" s="57" t="s">
        <v>49</v>
      </c>
      <c r="E588" s="57">
        <v>44883</v>
      </c>
      <c r="F588" s="62">
        <v>2150</v>
      </c>
      <c r="G588" s="62">
        <v>1953</v>
      </c>
      <c r="H588" s="62">
        <v>1955</v>
      </c>
      <c r="I588" s="60">
        <f t="shared" si="36"/>
        <v>1.7041884816753927</v>
      </c>
      <c r="J588" s="60">
        <f t="shared" si="37"/>
        <v>2</v>
      </c>
      <c r="K588" s="60">
        <f t="shared" si="38"/>
        <v>1.705933682373473</v>
      </c>
      <c r="L588" s="60">
        <f t="shared" si="39"/>
        <v>1.7452006980802626E-3</v>
      </c>
    </row>
    <row r="589" spans="1:12" x14ac:dyDescent="0.25">
      <c r="A589" s="57" t="s">
        <v>161</v>
      </c>
      <c r="B589" s="61" t="s">
        <v>137</v>
      </c>
      <c r="C589">
        <v>1700</v>
      </c>
      <c r="D589" s="57" t="s">
        <v>49</v>
      </c>
      <c r="E589" s="57">
        <v>44886</v>
      </c>
      <c r="F589" s="62">
        <v>2995</v>
      </c>
      <c r="G589" s="62">
        <v>2630</v>
      </c>
      <c r="H589" s="62">
        <v>2532.5</v>
      </c>
      <c r="I589" s="60">
        <f t="shared" si="36"/>
        <v>1.5470588235294118</v>
      </c>
      <c r="J589" s="60">
        <f t="shared" si="37"/>
        <v>-97.5</v>
      </c>
      <c r="K589" s="60">
        <f t="shared" si="38"/>
        <v>1.4897058823529412</v>
      </c>
      <c r="L589" s="60">
        <f t="shared" si="39"/>
        <v>-5.7352941176470607E-2</v>
      </c>
    </row>
    <row r="590" spans="1:12" x14ac:dyDescent="0.25">
      <c r="A590" s="57" t="s">
        <v>312</v>
      </c>
      <c r="B590" s="61" t="s">
        <v>57</v>
      </c>
      <c r="C590">
        <v>700</v>
      </c>
      <c r="D590" s="57" t="s">
        <v>49</v>
      </c>
      <c r="E590" s="57">
        <v>44894</v>
      </c>
      <c r="F590" s="62">
        <v>1515</v>
      </c>
      <c r="G590" s="62">
        <v>1338.46</v>
      </c>
      <c r="H590" s="62">
        <v>1535</v>
      </c>
      <c r="I590" s="60">
        <f t="shared" si="36"/>
        <v>1.9120857142857144</v>
      </c>
      <c r="J590" s="60">
        <f t="shared" si="37"/>
        <v>196.53999999999996</v>
      </c>
      <c r="K590" s="60">
        <f t="shared" si="38"/>
        <v>2.1928571428571431</v>
      </c>
      <c r="L590" s="60">
        <f t="shared" si="39"/>
        <v>0.28077142857142867</v>
      </c>
    </row>
    <row r="591" spans="1:12" x14ac:dyDescent="0.25">
      <c r="A591" s="57" t="s">
        <v>219</v>
      </c>
      <c r="B591" s="61" t="s">
        <v>145</v>
      </c>
      <c r="C591">
        <v>1146</v>
      </c>
      <c r="D591" s="57" t="s">
        <v>49</v>
      </c>
      <c r="E591" s="57">
        <v>44896</v>
      </c>
      <c r="F591" s="62">
        <v>2180</v>
      </c>
      <c r="G591" s="62">
        <v>1508.27</v>
      </c>
      <c r="H591" s="62">
        <v>2005</v>
      </c>
      <c r="I591" s="60">
        <f t="shared" si="36"/>
        <v>1.3161169284467713</v>
      </c>
      <c r="J591" s="60">
        <f t="shared" si="37"/>
        <v>496.73</v>
      </c>
      <c r="K591" s="60">
        <f t="shared" si="38"/>
        <v>1.74956369982548</v>
      </c>
      <c r="L591" s="60">
        <f t="shared" si="39"/>
        <v>0.43344677137870868</v>
      </c>
    </row>
    <row r="592" spans="1:12" x14ac:dyDescent="0.25">
      <c r="A592" s="57" t="s">
        <v>319</v>
      </c>
      <c r="B592" s="61" t="s">
        <v>320</v>
      </c>
      <c r="C592">
        <v>950</v>
      </c>
      <c r="D592" s="57" t="s">
        <v>49</v>
      </c>
      <c r="E592" s="57">
        <v>44896</v>
      </c>
      <c r="F592" s="62">
        <v>1795</v>
      </c>
      <c r="G592" s="62">
        <v>1656.92</v>
      </c>
      <c r="H592" s="62">
        <v>1675</v>
      </c>
      <c r="I592" s="60">
        <f t="shared" si="36"/>
        <v>1.7441263157894737</v>
      </c>
      <c r="J592" s="60">
        <f t="shared" si="37"/>
        <v>18.079999999999927</v>
      </c>
      <c r="K592" s="60">
        <f t="shared" si="38"/>
        <v>1.763157894736842</v>
      </c>
      <c r="L592" s="60">
        <f t="shared" si="39"/>
        <v>1.9031578947368288E-2</v>
      </c>
    </row>
    <row r="593" spans="1:12" x14ac:dyDescent="0.25">
      <c r="A593" s="57" t="s">
        <v>325</v>
      </c>
      <c r="B593" s="61" t="s">
        <v>86</v>
      </c>
      <c r="C593">
        <v>810</v>
      </c>
      <c r="D593" s="57" t="s">
        <v>49</v>
      </c>
      <c r="E593" s="57">
        <v>44897</v>
      </c>
      <c r="F593" s="62">
        <v>1555</v>
      </c>
      <c r="G593" s="62">
        <v>1435.38</v>
      </c>
      <c r="H593" s="62">
        <v>1555</v>
      </c>
      <c r="I593" s="60">
        <f t="shared" si="36"/>
        <v>1.7720740740740741</v>
      </c>
      <c r="J593" s="60">
        <f t="shared" si="37"/>
        <v>119.61999999999989</v>
      </c>
      <c r="K593" s="60">
        <f t="shared" si="38"/>
        <v>1.9197530864197532</v>
      </c>
      <c r="L593" s="60">
        <f t="shared" si="39"/>
        <v>0.14767901234567904</v>
      </c>
    </row>
    <row r="594" spans="1:12" x14ac:dyDescent="0.25">
      <c r="A594" s="57" t="s">
        <v>290</v>
      </c>
      <c r="B594" s="61" t="s">
        <v>65</v>
      </c>
      <c r="C594">
        <v>813</v>
      </c>
      <c r="D594" s="57" t="s">
        <v>49</v>
      </c>
      <c r="E594" s="57">
        <v>44904</v>
      </c>
      <c r="F594" s="62">
        <v>1580</v>
      </c>
      <c r="G594" s="62">
        <v>1785</v>
      </c>
      <c r="H594" s="62">
        <v>1590</v>
      </c>
      <c r="I594" s="60">
        <f t="shared" si="36"/>
        <v>2.195571955719557</v>
      </c>
      <c r="J594" s="60">
        <f t="shared" si="37"/>
        <v>-195</v>
      </c>
      <c r="K594" s="60">
        <f t="shared" si="38"/>
        <v>1.9557195571955719</v>
      </c>
      <c r="L594" s="60">
        <f t="shared" si="39"/>
        <v>-0.2398523985239851</v>
      </c>
    </row>
    <row r="595" spans="1:12" x14ac:dyDescent="0.25">
      <c r="A595" s="57" t="s">
        <v>289</v>
      </c>
      <c r="B595" s="61" t="s">
        <v>57</v>
      </c>
      <c r="C595">
        <v>700</v>
      </c>
      <c r="D595" s="57" t="s">
        <v>49</v>
      </c>
      <c r="E595" s="57">
        <v>44904</v>
      </c>
      <c r="F595" s="62">
        <v>1515</v>
      </c>
      <c r="G595" s="62">
        <v>1500</v>
      </c>
      <c r="H595" s="62">
        <v>1515</v>
      </c>
      <c r="I595" s="60">
        <f t="shared" si="36"/>
        <v>2.1428571428571428</v>
      </c>
      <c r="J595" s="60">
        <f t="shared" si="37"/>
        <v>15</v>
      </c>
      <c r="K595" s="60">
        <f t="shared" si="38"/>
        <v>2.1642857142857141</v>
      </c>
      <c r="L595" s="60">
        <f t="shared" si="39"/>
        <v>2.1428571428571352E-2</v>
      </c>
    </row>
    <row r="596" spans="1:12" x14ac:dyDescent="0.25">
      <c r="A596" s="57" t="s">
        <v>76</v>
      </c>
      <c r="B596" s="61" t="s">
        <v>74</v>
      </c>
      <c r="C596">
        <v>1169</v>
      </c>
      <c r="D596" s="57" t="s">
        <v>49</v>
      </c>
      <c r="E596" s="57">
        <v>44904</v>
      </c>
      <c r="F596" s="62">
        <v>2240</v>
      </c>
      <c r="G596" s="62">
        <v>2280</v>
      </c>
      <c r="H596" s="62">
        <v>2115</v>
      </c>
      <c r="I596" s="60">
        <f t="shared" si="36"/>
        <v>1.9503849443969203</v>
      </c>
      <c r="J596" s="60">
        <f t="shared" si="37"/>
        <v>-165</v>
      </c>
      <c r="K596" s="60">
        <f t="shared" si="38"/>
        <v>1.8092386655260906</v>
      </c>
      <c r="L596" s="60">
        <f t="shared" si="39"/>
        <v>-0.14114627887082976</v>
      </c>
    </row>
    <row r="597" spans="1:12" x14ac:dyDescent="0.25">
      <c r="A597" s="57" t="s">
        <v>351</v>
      </c>
      <c r="B597" s="61" t="s">
        <v>48</v>
      </c>
      <c r="C597">
        <v>806</v>
      </c>
      <c r="D597" s="57" t="s">
        <v>49</v>
      </c>
      <c r="E597" s="57">
        <v>44908</v>
      </c>
      <c r="F597" s="62">
        <v>1620</v>
      </c>
      <c r="G597" s="62">
        <v>1915</v>
      </c>
      <c r="H597" s="62">
        <v>1625</v>
      </c>
      <c r="I597" s="60">
        <f t="shared" si="36"/>
        <v>2.3759305210918114</v>
      </c>
      <c r="J597" s="60">
        <f t="shared" si="37"/>
        <v>-290</v>
      </c>
      <c r="K597" s="60">
        <f t="shared" si="38"/>
        <v>2.0161290322580645</v>
      </c>
      <c r="L597" s="60">
        <f t="shared" si="39"/>
        <v>-0.35980148883374685</v>
      </c>
    </row>
    <row r="598" spans="1:12" x14ac:dyDescent="0.25">
      <c r="A598" s="57" t="s">
        <v>83</v>
      </c>
      <c r="B598" s="61" t="s">
        <v>55</v>
      </c>
      <c r="C598">
        <v>764</v>
      </c>
      <c r="D598" s="57" t="s">
        <v>49</v>
      </c>
      <c r="E598" s="57">
        <v>44911</v>
      </c>
      <c r="F598" s="62">
        <v>1585</v>
      </c>
      <c r="G598" s="62">
        <v>1625</v>
      </c>
      <c r="H598" s="62">
        <v>1550</v>
      </c>
      <c r="I598" s="60">
        <f t="shared" si="36"/>
        <v>2.1269633507853403</v>
      </c>
      <c r="J598" s="60">
        <f t="shared" si="37"/>
        <v>-75</v>
      </c>
      <c r="K598" s="60">
        <f t="shared" si="38"/>
        <v>2.0287958115183247</v>
      </c>
      <c r="L598" s="60">
        <f t="shared" si="39"/>
        <v>-9.8167539267015602E-2</v>
      </c>
    </row>
    <row r="599" spans="1:12" x14ac:dyDescent="0.25">
      <c r="A599" s="57" t="s">
        <v>349</v>
      </c>
      <c r="B599" s="61" t="s">
        <v>137</v>
      </c>
      <c r="C599">
        <v>1700</v>
      </c>
      <c r="D599" s="57" t="s">
        <v>49</v>
      </c>
      <c r="E599" s="57">
        <v>44911</v>
      </c>
      <c r="F599" s="62">
        <v>2995</v>
      </c>
      <c r="G599" s="62">
        <v>2995</v>
      </c>
      <c r="H599" s="62">
        <v>2620</v>
      </c>
      <c r="I599" s="60">
        <f t="shared" si="36"/>
        <v>1.7617647058823529</v>
      </c>
      <c r="J599" s="60">
        <f t="shared" si="37"/>
        <v>-375</v>
      </c>
      <c r="K599" s="60">
        <f t="shared" si="38"/>
        <v>1.5411764705882354</v>
      </c>
      <c r="L599" s="60">
        <f t="shared" si="39"/>
        <v>-0.22058823529411753</v>
      </c>
    </row>
    <row r="600" spans="1:12" x14ac:dyDescent="0.25">
      <c r="A600" s="57" t="s">
        <v>53</v>
      </c>
      <c r="B600" s="61" t="s">
        <v>48</v>
      </c>
      <c r="C600">
        <v>806</v>
      </c>
      <c r="D600" s="57" t="s">
        <v>352</v>
      </c>
      <c r="E600" s="57">
        <v>44916</v>
      </c>
      <c r="F600" s="62">
        <v>1620</v>
      </c>
      <c r="G600" s="62">
        <v>1562</v>
      </c>
      <c r="H600" s="62">
        <v>1654</v>
      </c>
      <c r="I600" s="60">
        <f t="shared" si="36"/>
        <v>1.9379652605459057</v>
      </c>
      <c r="J600" s="60">
        <f t="shared" si="37"/>
        <v>92</v>
      </c>
      <c r="K600" s="60">
        <f t="shared" si="38"/>
        <v>2.0521091811414394</v>
      </c>
      <c r="L600" s="60">
        <f t="shared" si="39"/>
        <v>0.11414392059553369</v>
      </c>
    </row>
    <row r="601" spans="1:12" x14ac:dyDescent="0.25">
      <c r="A601" s="57" t="s">
        <v>321</v>
      </c>
      <c r="B601" s="61" t="s">
        <v>153</v>
      </c>
      <c r="C601">
        <v>696</v>
      </c>
      <c r="D601" s="57" t="s">
        <v>49</v>
      </c>
      <c r="E601" s="57">
        <v>44917</v>
      </c>
      <c r="F601" s="62">
        <v>1450</v>
      </c>
      <c r="G601" s="62">
        <v>1338.46</v>
      </c>
      <c r="H601" s="62">
        <v>1545</v>
      </c>
      <c r="I601" s="60">
        <f t="shared" si="36"/>
        <v>1.9230747126436782</v>
      </c>
      <c r="J601" s="60">
        <f t="shared" si="37"/>
        <v>206.53999999999996</v>
      </c>
      <c r="K601" s="60">
        <f t="shared" si="38"/>
        <v>2.2198275862068964</v>
      </c>
      <c r="L601" s="60">
        <f t="shared" si="39"/>
        <v>0.29675287356321811</v>
      </c>
    </row>
    <row r="602" spans="1:12" x14ac:dyDescent="0.25">
      <c r="A602" s="57" t="s">
        <v>120</v>
      </c>
      <c r="B602" s="61" t="s">
        <v>51</v>
      </c>
      <c r="C602">
        <v>848</v>
      </c>
      <c r="D602" s="57" t="s">
        <v>49</v>
      </c>
      <c r="E602" s="57">
        <v>44925</v>
      </c>
      <c r="F602" s="62">
        <v>1735</v>
      </c>
      <c r="G602" s="62">
        <v>1735</v>
      </c>
      <c r="H602" s="62">
        <v>1640</v>
      </c>
      <c r="I602" s="60">
        <f t="shared" si="36"/>
        <v>2.045990566037736</v>
      </c>
      <c r="J602" s="60">
        <f t="shared" si="37"/>
        <v>-95</v>
      </c>
      <c r="K602" s="60">
        <f t="shared" si="38"/>
        <v>1.9339622641509433</v>
      </c>
      <c r="L602" s="60">
        <f t="shared" si="39"/>
        <v>-0.11202830188679269</v>
      </c>
    </row>
    <row r="603" spans="1:12" x14ac:dyDescent="0.25">
      <c r="A603" s="57" t="s">
        <v>87</v>
      </c>
      <c r="B603" s="61" t="s">
        <v>82</v>
      </c>
      <c r="C603">
        <v>1112</v>
      </c>
      <c r="D603" s="57" t="s">
        <v>352</v>
      </c>
      <c r="E603" s="57">
        <v>44933</v>
      </c>
      <c r="F603" s="62">
        <v>2125</v>
      </c>
      <c r="G603" s="62">
        <v>2091</v>
      </c>
      <c r="H603" s="62">
        <v>2112</v>
      </c>
      <c r="I603" s="60">
        <f t="shared" si="36"/>
        <v>1.8803956834532374</v>
      </c>
      <c r="J603" s="60">
        <f t="shared" si="37"/>
        <v>21</v>
      </c>
      <c r="K603" s="60">
        <f t="shared" si="38"/>
        <v>1.8992805755395683</v>
      </c>
      <c r="L603" s="60">
        <f t="shared" si="39"/>
        <v>1.8884892086330929E-2</v>
      </c>
    </row>
    <row r="604" spans="1:12" x14ac:dyDescent="0.25">
      <c r="A604" s="57" t="s">
        <v>58</v>
      </c>
      <c r="B604" s="61" t="s">
        <v>59</v>
      </c>
      <c r="C604">
        <v>1115</v>
      </c>
      <c r="D604" s="57" t="s">
        <v>49</v>
      </c>
      <c r="E604" s="57">
        <v>44933</v>
      </c>
      <c r="F604" s="62">
        <v>2135</v>
      </c>
      <c r="G604" s="62">
        <v>1898</v>
      </c>
      <c r="H604" s="62">
        <v>2182</v>
      </c>
      <c r="I604" s="60">
        <f t="shared" si="36"/>
        <v>1.7022421524663678</v>
      </c>
      <c r="J604" s="60">
        <f t="shared" si="37"/>
        <v>284</v>
      </c>
      <c r="K604" s="60">
        <f t="shared" si="38"/>
        <v>1.95695067264574</v>
      </c>
      <c r="L604" s="60">
        <f t="shared" si="39"/>
        <v>0.25470852017937218</v>
      </c>
    </row>
    <row r="605" spans="1:12" x14ac:dyDescent="0.25">
      <c r="A605" s="57" t="s">
        <v>60</v>
      </c>
      <c r="B605" s="61" t="s">
        <v>61</v>
      </c>
      <c r="C605">
        <v>820</v>
      </c>
      <c r="D605" s="57" t="s">
        <v>352</v>
      </c>
      <c r="E605" s="57">
        <v>44936</v>
      </c>
      <c r="F605" s="62">
        <v>1645</v>
      </c>
      <c r="G605" s="62">
        <v>1855</v>
      </c>
      <c r="H605" s="62">
        <v>1874</v>
      </c>
      <c r="I605" s="60">
        <f t="shared" si="36"/>
        <v>2.2621951219512195</v>
      </c>
      <c r="J605" s="60">
        <f t="shared" si="37"/>
        <v>19</v>
      </c>
      <c r="K605" s="60">
        <f t="shared" si="38"/>
        <v>2.2853658536585364</v>
      </c>
      <c r="L605" s="60">
        <f t="shared" si="39"/>
        <v>2.3170731707316872E-2</v>
      </c>
    </row>
    <row r="606" spans="1:12" x14ac:dyDescent="0.25">
      <c r="A606" s="57" t="s">
        <v>164</v>
      </c>
      <c r="B606" s="61" t="s">
        <v>57</v>
      </c>
      <c r="C606">
        <v>700</v>
      </c>
      <c r="D606" s="57" t="s">
        <v>49</v>
      </c>
      <c r="E606" s="57">
        <v>44943</v>
      </c>
      <c r="F606" s="62">
        <v>1515</v>
      </c>
      <c r="G606" s="62">
        <v>1676</v>
      </c>
      <c r="H606" s="62">
        <v>1520</v>
      </c>
      <c r="I606" s="60">
        <f t="shared" si="36"/>
        <v>2.3942857142857141</v>
      </c>
      <c r="J606" s="60">
        <f t="shared" si="37"/>
        <v>-156</v>
      </c>
      <c r="K606" s="60">
        <f t="shared" si="38"/>
        <v>2.1714285714285713</v>
      </c>
      <c r="L606" s="60">
        <f t="shared" si="39"/>
        <v>-0.22285714285714286</v>
      </c>
    </row>
    <row r="607" spans="1:12" x14ac:dyDescent="0.25">
      <c r="A607" s="57" t="s">
        <v>111</v>
      </c>
      <c r="B607" s="61" t="s">
        <v>61</v>
      </c>
      <c r="C607">
        <v>820</v>
      </c>
      <c r="D607" s="57" t="s">
        <v>49</v>
      </c>
      <c r="E607" s="57">
        <v>44944</v>
      </c>
      <c r="F607" s="62">
        <v>1645</v>
      </c>
      <c r="G607" s="62">
        <v>1720</v>
      </c>
      <c r="H607" s="62">
        <v>1600</v>
      </c>
      <c r="I607" s="60">
        <f t="shared" si="36"/>
        <v>2.0975609756097562</v>
      </c>
      <c r="J607" s="60">
        <f t="shared" si="37"/>
        <v>-120</v>
      </c>
      <c r="K607" s="60">
        <f t="shared" si="38"/>
        <v>1.9512195121951219</v>
      </c>
      <c r="L607" s="60">
        <f t="shared" si="39"/>
        <v>-0.14634146341463428</v>
      </c>
    </row>
    <row r="608" spans="1:12" x14ac:dyDescent="0.25">
      <c r="A608" s="57" t="s">
        <v>66</v>
      </c>
      <c r="B608" s="61" t="s">
        <v>48</v>
      </c>
      <c r="C608">
        <v>806</v>
      </c>
      <c r="D608" s="57" t="s">
        <v>352</v>
      </c>
      <c r="E608" s="57">
        <v>44946</v>
      </c>
      <c r="F608" s="62">
        <v>1620</v>
      </c>
      <c r="G608" s="62">
        <v>1528</v>
      </c>
      <c r="H608" s="62">
        <v>1590</v>
      </c>
      <c r="I608" s="60">
        <f t="shared" si="36"/>
        <v>1.8957816377171215</v>
      </c>
      <c r="J608" s="60">
        <f t="shared" si="37"/>
        <v>62</v>
      </c>
      <c r="K608" s="60">
        <f t="shared" si="38"/>
        <v>1.9727047146401986</v>
      </c>
      <c r="L608" s="60">
        <f t="shared" si="39"/>
        <v>7.6923076923077094E-2</v>
      </c>
    </row>
    <row r="609" spans="1:12" x14ac:dyDescent="0.25">
      <c r="A609" s="57" t="s">
        <v>270</v>
      </c>
      <c r="B609" s="61" t="s">
        <v>48</v>
      </c>
      <c r="C609">
        <v>806</v>
      </c>
      <c r="D609" s="57" t="s">
        <v>352</v>
      </c>
      <c r="E609" s="57">
        <v>44950</v>
      </c>
      <c r="F609" s="62">
        <v>1620</v>
      </c>
      <c r="G609" s="62">
        <v>1725</v>
      </c>
      <c r="H609" s="62">
        <v>1764</v>
      </c>
      <c r="I609" s="60">
        <f t="shared" si="36"/>
        <v>2.1401985111662531</v>
      </c>
      <c r="J609" s="60">
        <f t="shared" si="37"/>
        <v>39</v>
      </c>
      <c r="K609" s="60">
        <f t="shared" si="38"/>
        <v>2.1885856079404467</v>
      </c>
      <c r="L609" s="60">
        <f t="shared" si="39"/>
        <v>4.8387096774193505E-2</v>
      </c>
    </row>
    <row r="610" spans="1:12" x14ac:dyDescent="0.25">
      <c r="A610" s="57" t="s">
        <v>67</v>
      </c>
      <c r="B610" s="61" t="s">
        <v>51</v>
      </c>
      <c r="C610">
        <v>848</v>
      </c>
      <c r="D610" s="57" t="s">
        <v>352</v>
      </c>
      <c r="E610" s="57">
        <v>44951</v>
      </c>
      <c r="F610" s="62">
        <v>1765</v>
      </c>
      <c r="G610" s="62">
        <v>1633</v>
      </c>
      <c r="H610" s="62">
        <v>1666</v>
      </c>
      <c r="I610" s="60">
        <f t="shared" si="36"/>
        <v>1.9257075471698113</v>
      </c>
      <c r="J610" s="60">
        <f t="shared" si="37"/>
        <v>33</v>
      </c>
      <c r="K610" s="60">
        <f t="shared" si="38"/>
        <v>1.9646226415094339</v>
      </c>
      <c r="L610" s="60">
        <f t="shared" si="39"/>
        <v>3.8915094339622591E-2</v>
      </c>
    </row>
    <row r="611" spans="1:12" x14ac:dyDescent="0.25">
      <c r="A611" s="57" t="s">
        <v>273</v>
      </c>
      <c r="B611" s="61" t="s">
        <v>57</v>
      </c>
      <c r="C611">
        <v>700</v>
      </c>
      <c r="D611" s="57" t="s">
        <v>352</v>
      </c>
      <c r="E611" s="57">
        <v>44952</v>
      </c>
      <c r="F611" s="62">
        <v>1515</v>
      </c>
      <c r="G611" s="62">
        <v>1540</v>
      </c>
      <c r="H611" s="62">
        <v>1555</v>
      </c>
      <c r="I611" s="60">
        <f t="shared" si="36"/>
        <v>2.2000000000000002</v>
      </c>
      <c r="J611" s="60">
        <f t="shared" si="37"/>
        <v>15</v>
      </c>
      <c r="K611" s="60">
        <f t="shared" si="38"/>
        <v>2.2214285714285715</v>
      </c>
      <c r="L611" s="60">
        <f t="shared" si="39"/>
        <v>2.1428571428571352E-2</v>
      </c>
    </row>
    <row r="612" spans="1:12" x14ac:dyDescent="0.25">
      <c r="A612" s="57" t="s">
        <v>170</v>
      </c>
      <c r="B612" s="61" t="s">
        <v>65</v>
      </c>
      <c r="C612">
        <v>813</v>
      </c>
      <c r="D612" s="57" t="s">
        <v>49</v>
      </c>
      <c r="E612" s="57">
        <v>44953</v>
      </c>
      <c r="F612" s="62">
        <v>1580</v>
      </c>
      <c r="G612" s="62">
        <v>1545</v>
      </c>
      <c r="H612" s="62">
        <v>1580</v>
      </c>
      <c r="I612" s="60">
        <f t="shared" si="36"/>
        <v>1.9003690036900369</v>
      </c>
      <c r="J612" s="60">
        <f t="shared" si="37"/>
        <v>35</v>
      </c>
      <c r="K612" s="60">
        <f t="shared" si="38"/>
        <v>1.943419434194342</v>
      </c>
      <c r="L612" s="60">
        <f t="shared" si="39"/>
        <v>4.3050430504305126E-2</v>
      </c>
    </row>
    <row r="613" spans="1:12" x14ac:dyDescent="0.25">
      <c r="A613" s="57" t="s">
        <v>307</v>
      </c>
      <c r="B613" s="61" t="s">
        <v>57</v>
      </c>
      <c r="C613">
        <v>700</v>
      </c>
      <c r="D613" s="57" t="s">
        <v>49</v>
      </c>
      <c r="E613" s="57">
        <v>44953</v>
      </c>
      <c r="F613" s="62">
        <v>1515</v>
      </c>
      <c r="G613" s="62">
        <v>1398.46</v>
      </c>
      <c r="H613" s="62">
        <v>1520</v>
      </c>
      <c r="I613" s="60">
        <f t="shared" si="36"/>
        <v>1.9978</v>
      </c>
      <c r="J613" s="60">
        <f t="shared" si="37"/>
        <v>121.53999999999996</v>
      </c>
      <c r="K613" s="60">
        <f t="shared" si="38"/>
        <v>2.1714285714285713</v>
      </c>
      <c r="L613" s="60">
        <f t="shared" si="39"/>
        <v>0.17362857142857124</v>
      </c>
    </row>
    <row r="614" spans="1:12" x14ac:dyDescent="0.25">
      <c r="A614" s="57" t="s">
        <v>159</v>
      </c>
      <c r="B614" s="61" t="s">
        <v>59</v>
      </c>
      <c r="C614">
        <v>1115</v>
      </c>
      <c r="D614" s="57" t="s">
        <v>49</v>
      </c>
      <c r="E614" s="57">
        <v>44957</v>
      </c>
      <c r="F614" s="62">
        <v>2290</v>
      </c>
      <c r="G614" s="62">
        <v>2290</v>
      </c>
      <c r="H614" s="62">
        <v>2155</v>
      </c>
      <c r="I614" s="60">
        <f t="shared" si="36"/>
        <v>2.0538116591928253</v>
      </c>
      <c r="J614" s="60">
        <f t="shared" si="37"/>
        <v>-135</v>
      </c>
      <c r="K614" s="60">
        <f t="shared" si="38"/>
        <v>1.9327354260089686</v>
      </c>
      <c r="L614" s="60">
        <f t="shared" si="39"/>
        <v>-0.12107623318385663</v>
      </c>
    </row>
    <row r="615" spans="1:12" x14ac:dyDescent="0.25">
      <c r="A615" s="57" t="s">
        <v>72</v>
      </c>
      <c r="B615" s="61" t="s">
        <v>59</v>
      </c>
      <c r="C615">
        <v>1115</v>
      </c>
      <c r="D615" s="57" t="s">
        <v>49</v>
      </c>
      <c r="E615" s="57">
        <v>44959</v>
      </c>
      <c r="F615" s="62">
        <v>2165</v>
      </c>
      <c r="G615" s="62">
        <v>1936</v>
      </c>
      <c r="H615" s="62">
        <v>2010</v>
      </c>
      <c r="I615" s="60">
        <f t="shared" si="36"/>
        <v>1.7363228699551569</v>
      </c>
      <c r="J615" s="60">
        <f t="shared" si="37"/>
        <v>74</v>
      </c>
      <c r="K615" s="60">
        <f t="shared" si="38"/>
        <v>1.8026905829596414</v>
      </c>
      <c r="L615" s="60">
        <f t="shared" si="39"/>
        <v>6.6367713004484408E-2</v>
      </c>
    </row>
    <row r="616" spans="1:12" x14ac:dyDescent="0.25">
      <c r="A616" s="57" t="s">
        <v>70</v>
      </c>
      <c r="B616" s="61" t="s">
        <v>51</v>
      </c>
      <c r="C616">
        <v>848</v>
      </c>
      <c r="D616" s="57" t="s">
        <v>352</v>
      </c>
      <c r="E616" s="57">
        <v>44960</v>
      </c>
      <c r="F616" s="62">
        <v>1735</v>
      </c>
      <c r="G616" s="62">
        <v>1735</v>
      </c>
      <c r="H616" s="62">
        <v>1760</v>
      </c>
      <c r="I616" s="60">
        <f t="shared" si="36"/>
        <v>2.045990566037736</v>
      </c>
      <c r="J616" s="60">
        <f t="shared" si="37"/>
        <v>25</v>
      </c>
      <c r="K616" s="60">
        <f t="shared" si="38"/>
        <v>2.0754716981132075</v>
      </c>
      <c r="L616" s="60">
        <f t="shared" si="39"/>
        <v>2.9481132075471539E-2</v>
      </c>
    </row>
    <row r="617" spans="1:12" x14ac:dyDescent="0.25">
      <c r="A617" s="57" t="s">
        <v>101</v>
      </c>
      <c r="B617" s="61" t="s">
        <v>48</v>
      </c>
      <c r="C617">
        <v>806</v>
      </c>
      <c r="D617" s="57" t="s">
        <v>49</v>
      </c>
      <c r="E617" s="57">
        <v>44960</v>
      </c>
      <c r="F617" s="62">
        <v>1620</v>
      </c>
      <c r="G617" s="62">
        <v>1685</v>
      </c>
      <c r="H617" s="62">
        <v>1600</v>
      </c>
      <c r="I617" s="60">
        <f t="shared" si="36"/>
        <v>2.0905707196029777</v>
      </c>
      <c r="J617" s="60">
        <f t="shared" si="37"/>
        <v>-85</v>
      </c>
      <c r="K617" s="60">
        <f t="shared" si="38"/>
        <v>1.9851116625310175</v>
      </c>
      <c r="L617" s="60">
        <f t="shared" si="39"/>
        <v>-0.10545905707196024</v>
      </c>
    </row>
    <row r="618" spans="1:12" x14ac:dyDescent="0.25">
      <c r="A618" s="57" t="s">
        <v>233</v>
      </c>
      <c r="B618" s="61" t="s">
        <v>153</v>
      </c>
      <c r="C618">
        <v>696</v>
      </c>
      <c r="D618" s="57" t="s">
        <v>49</v>
      </c>
      <c r="E618" s="57">
        <v>44961</v>
      </c>
      <c r="F618" s="62">
        <v>1450</v>
      </c>
      <c r="G618" s="62">
        <v>1485</v>
      </c>
      <c r="H618" s="62">
        <v>1530</v>
      </c>
      <c r="I618" s="60">
        <f t="shared" si="36"/>
        <v>2.1336206896551726</v>
      </c>
      <c r="J618" s="60">
        <f t="shared" si="37"/>
        <v>45</v>
      </c>
      <c r="K618" s="60">
        <f t="shared" si="38"/>
        <v>2.1982758620689653</v>
      </c>
      <c r="L618" s="60">
        <f t="shared" si="39"/>
        <v>6.4655172413792705E-2</v>
      </c>
    </row>
    <row r="619" spans="1:12" x14ac:dyDescent="0.25">
      <c r="A619" s="57" t="s">
        <v>181</v>
      </c>
      <c r="B619" s="61" t="s">
        <v>59</v>
      </c>
      <c r="C619">
        <v>1115</v>
      </c>
      <c r="D619" s="57" t="s">
        <v>49</v>
      </c>
      <c r="E619" s="57">
        <v>44964</v>
      </c>
      <c r="F619" s="62">
        <v>2135</v>
      </c>
      <c r="G619" s="62">
        <v>3052</v>
      </c>
      <c r="H619" s="62">
        <v>1955</v>
      </c>
      <c r="I619" s="60">
        <f t="shared" si="36"/>
        <v>2.7372197309417041</v>
      </c>
      <c r="J619" s="60">
        <f t="shared" si="37"/>
        <v>-1097</v>
      </c>
      <c r="K619" s="60">
        <f t="shared" si="38"/>
        <v>1.7533632286995515</v>
      </c>
      <c r="L619" s="60">
        <f t="shared" si="39"/>
        <v>-0.9838565022421526</v>
      </c>
    </row>
    <row r="620" spans="1:12" x14ac:dyDescent="0.25">
      <c r="A620" s="57" t="s">
        <v>115</v>
      </c>
      <c r="B620" s="61" t="s">
        <v>57</v>
      </c>
      <c r="C620">
        <v>700</v>
      </c>
      <c r="D620" s="57" t="s">
        <v>352</v>
      </c>
      <c r="E620" s="57">
        <v>44964</v>
      </c>
      <c r="F620" s="62">
        <v>1465</v>
      </c>
      <c r="G620" s="62">
        <v>1275</v>
      </c>
      <c r="H620" s="62">
        <v>1570</v>
      </c>
      <c r="I620" s="60">
        <f t="shared" si="36"/>
        <v>1.8214285714285714</v>
      </c>
      <c r="J620" s="60">
        <f t="shared" si="37"/>
        <v>295</v>
      </c>
      <c r="K620" s="60">
        <f t="shared" si="38"/>
        <v>2.2428571428571429</v>
      </c>
      <c r="L620" s="60">
        <f t="shared" si="39"/>
        <v>0.42142857142857149</v>
      </c>
    </row>
    <row r="621" spans="1:12" x14ac:dyDescent="0.25">
      <c r="A621" s="57" t="s">
        <v>217</v>
      </c>
      <c r="B621" s="61" t="s">
        <v>86</v>
      </c>
      <c r="C621">
        <v>810</v>
      </c>
      <c r="D621" s="57" t="s">
        <v>49</v>
      </c>
      <c r="E621" s="57">
        <v>44965</v>
      </c>
      <c r="F621" s="62">
        <v>1555</v>
      </c>
      <c r="G621" s="62">
        <v>1570</v>
      </c>
      <c r="H621" s="62">
        <v>1555</v>
      </c>
      <c r="I621" s="60">
        <f t="shared" si="36"/>
        <v>1.9382716049382716</v>
      </c>
      <c r="J621" s="60">
        <f t="shared" si="37"/>
        <v>-15</v>
      </c>
      <c r="K621" s="60">
        <f t="shared" si="38"/>
        <v>1.9197530864197532</v>
      </c>
      <c r="L621" s="60">
        <f t="shared" si="39"/>
        <v>-1.8518518518518379E-2</v>
      </c>
    </row>
    <row r="622" spans="1:12" x14ac:dyDescent="0.25">
      <c r="A622" s="57" t="s">
        <v>154</v>
      </c>
      <c r="B622" s="61" t="s">
        <v>59</v>
      </c>
      <c r="C622">
        <v>1115</v>
      </c>
      <c r="D622" s="57" t="s">
        <v>352</v>
      </c>
      <c r="E622" s="57">
        <v>44966</v>
      </c>
      <c r="F622" s="62">
        <v>2135</v>
      </c>
      <c r="G622" s="62">
        <v>1898</v>
      </c>
      <c r="H622" s="62">
        <v>2126</v>
      </c>
      <c r="I622" s="60">
        <f t="shared" si="36"/>
        <v>1.7022421524663678</v>
      </c>
      <c r="J622" s="60">
        <f t="shared" si="37"/>
        <v>228</v>
      </c>
      <c r="K622" s="60">
        <f t="shared" si="38"/>
        <v>1.9067264573991032</v>
      </c>
      <c r="L622" s="60">
        <f t="shared" si="39"/>
        <v>0.20448430493273539</v>
      </c>
    </row>
    <row r="623" spans="1:12" x14ac:dyDescent="0.25">
      <c r="A623" s="57" t="s">
        <v>174</v>
      </c>
      <c r="B623" s="61" t="s">
        <v>59</v>
      </c>
      <c r="C623">
        <v>1115</v>
      </c>
      <c r="D623" s="57" t="s">
        <v>49</v>
      </c>
      <c r="E623" s="57">
        <v>44966</v>
      </c>
      <c r="F623" s="62">
        <v>2135</v>
      </c>
      <c r="G623" s="62">
        <v>1970.77</v>
      </c>
      <c r="H623" s="62">
        <v>2000</v>
      </c>
      <c r="I623" s="60">
        <f t="shared" si="36"/>
        <v>1.7675067264573991</v>
      </c>
      <c r="J623" s="60">
        <f t="shared" si="37"/>
        <v>29.230000000000018</v>
      </c>
      <c r="K623" s="60">
        <f t="shared" si="38"/>
        <v>1.7937219730941705</v>
      </c>
      <c r="L623" s="60">
        <f t="shared" si="39"/>
        <v>2.6215246636771328E-2</v>
      </c>
    </row>
    <row r="624" spans="1:12" x14ac:dyDescent="0.25">
      <c r="A624" s="57" t="s">
        <v>207</v>
      </c>
      <c r="B624" s="61" t="s">
        <v>74</v>
      </c>
      <c r="C624">
        <v>1169</v>
      </c>
      <c r="D624" s="57" t="s">
        <v>49</v>
      </c>
      <c r="E624" s="57">
        <v>44967</v>
      </c>
      <c r="F624" s="62">
        <v>2220</v>
      </c>
      <c r="G624" s="62">
        <v>2045</v>
      </c>
      <c r="H624" s="62">
        <v>2085</v>
      </c>
      <c r="I624" s="60">
        <f t="shared" si="36"/>
        <v>1.7493584260051327</v>
      </c>
      <c r="J624" s="60">
        <f t="shared" si="37"/>
        <v>40</v>
      </c>
      <c r="K624" s="60">
        <f t="shared" si="38"/>
        <v>1.7835757057313943</v>
      </c>
      <c r="L624" s="60">
        <f t="shared" si="39"/>
        <v>3.4217279726261651E-2</v>
      </c>
    </row>
    <row r="625" spans="1:12" x14ac:dyDescent="0.25">
      <c r="A625" s="57" t="s">
        <v>77</v>
      </c>
      <c r="B625" s="61" t="s">
        <v>65</v>
      </c>
      <c r="C625">
        <v>813</v>
      </c>
      <c r="D625" s="57" t="s">
        <v>352</v>
      </c>
      <c r="E625" s="57">
        <v>44968</v>
      </c>
      <c r="F625" s="62">
        <v>1580</v>
      </c>
      <c r="G625" s="62">
        <v>1542</v>
      </c>
      <c r="H625" s="62">
        <v>1580</v>
      </c>
      <c r="I625" s="60">
        <f t="shared" si="36"/>
        <v>1.896678966789668</v>
      </c>
      <c r="J625" s="60">
        <f t="shared" si="37"/>
        <v>38</v>
      </c>
      <c r="K625" s="60">
        <f t="shared" si="38"/>
        <v>1.943419434194342</v>
      </c>
      <c r="L625" s="60">
        <f t="shared" si="39"/>
        <v>4.674046740467408E-2</v>
      </c>
    </row>
    <row r="626" spans="1:12" x14ac:dyDescent="0.25">
      <c r="A626" s="57" t="s">
        <v>250</v>
      </c>
      <c r="B626" s="61" t="s">
        <v>65</v>
      </c>
      <c r="C626">
        <v>813</v>
      </c>
      <c r="D626" s="57" t="s">
        <v>352</v>
      </c>
      <c r="E626" s="57">
        <v>44970</v>
      </c>
      <c r="F626" s="62">
        <v>1580</v>
      </c>
      <c r="G626" s="62">
        <v>1655</v>
      </c>
      <c r="H626" s="62">
        <v>1672</v>
      </c>
      <c r="I626" s="60">
        <f t="shared" si="36"/>
        <v>2.0356703567035672</v>
      </c>
      <c r="J626" s="60">
        <f t="shared" si="37"/>
        <v>17</v>
      </c>
      <c r="K626" s="60">
        <f t="shared" si="38"/>
        <v>2.0565805658056582</v>
      </c>
      <c r="L626" s="60">
        <f t="shared" si="39"/>
        <v>2.091020910209096E-2</v>
      </c>
    </row>
    <row r="627" spans="1:12" x14ac:dyDescent="0.25">
      <c r="A627" s="57" t="s">
        <v>119</v>
      </c>
      <c r="B627" s="61" t="s">
        <v>48</v>
      </c>
      <c r="C627">
        <v>806</v>
      </c>
      <c r="D627" s="57" t="s">
        <v>49</v>
      </c>
      <c r="E627" s="57">
        <v>44971</v>
      </c>
      <c r="F627" s="62">
        <v>1620</v>
      </c>
      <c r="G627" s="62">
        <v>1535</v>
      </c>
      <c r="H627" s="62">
        <v>1720</v>
      </c>
      <c r="I627" s="60">
        <f t="shared" si="36"/>
        <v>1.9044665012406947</v>
      </c>
      <c r="J627" s="60">
        <f t="shared" si="37"/>
        <v>185</v>
      </c>
      <c r="K627" s="60">
        <f t="shared" si="38"/>
        <v>2.1339950372208438</v>
      </c>
      <c r="L627" s="60">
        <f t="shared" si="39"/>
        <v>0.22952853598014911</v>
      </c>
    </row>
    <row r="628" spans="1:12" x14ac:dyDescent="0.25">
      <c r="A628" s="57" t="s">
        <v>318</v>
      </c>
      <c r="B628" s="61" t="s">
        <v>57</v>
      </c>
      <c r="C628">
        <v>700</v>
      </c>
      <c r="D628" s="57" t="s">
        <v>352</v>
      </c>
      <c r="E628" s="57">
        <v>44974</v>
      </c>
      <c r="F628" s="62">
        <v>1515</v>
      </c>
      <c r="G628" s="62">
        <v>1555</v>
      </c>
      <c r="H628" s="62">
        <v>1571</v>
      </c>
      <c r="I628" s="60">
        <f t="shared" si="36"/>
        <v>2.2214285714285715</v>
      </c>
      <c r="J628" s="60">
        <f t="shared" si="37"/>
        <v>16</v>
      </c>
      <c r="K628" s="60">
        <f t="shared" si="38"/>
        <v>2.2442857142857142</v>
      </c>
      <c r="L628" s="60">
        <f t="shared" si="39"/>
        <v>2.2857142857142687E-2</v>
      </c>
    </row>
    <row r="629" spans="1:12" x14ac:dyDescent="0.25">
      <c r="A629" s="57" t="s">
        <v>56</v>
      </c>
      <c r="B629" s="61" t="s">
        <v>57</v>
      </c>
      <c r="C629">
        <v>700</v>
      </c>
      <c r="D629" s="57" t="s">
        <v>49</v>
      </c>
      <c r="E629" s="57">
        <v>44977</v>
      </c>
      <c r="F629" s="62">
        <v>1515</v>
      </c>
      <c r="G629" s="62">
        <v>1506</v>
      </c>
      <c r="H629" s="62">
        <v>1550</v>
      </c>
      <c r="I629" s="60">
        <f t="shared" si="36"/>
        <v>2.1514285714285712</v>
      </c>
      <c r="J629" s="60">
        <f t="shared" si="37"/>
        <v>44</v>
      </c>
      <c r="K629" s="60">
        <f t="shared" si="38"/>
        <v>2.2142857142857144</v>
      </c>
      <c r="L629" s="60">
        <f t="shared" si="39"/>
        <v>6.2857142857143167E-2</v>
      </c>
    </row>
    <row r="630" spans="1:12" x14ac:dyDescent="0.25">
      <c r="A630" s="57" t="s">
        <v>85</v>
      </c>
      <c r="B630" s="61" t="s">
        <v>86</v>
      </c>
      <c r="C630">
        <v>810</v>
      </c>
      <c r="D630" s="57" t="s">
        <v>352</v>
      </c>
      <c r="E630" s="57">
        <v>44978</v>
      </c>
      <c r="F630" s="62">
        <v>1555</v>
      </c>
      <c r="G630" s="62">
        <v>1640</v>
      </c>
      <c r="H630" s="62">
        <v>1691</v>
      </c>
      <c r="I630" s="60">
        <f t="shared" si="36"/>
        <v>2.0246913580246915</v>
      </c>
      <c r="J630" s="60">
        <f t="shared" si="37"/>
        <v>51</v>
      </c>
      <c r="K630" s="60">
        <f t="shared" si="38"/>
        <v>2.0876543209876544</v>
      </c>
      <c r="L630" s="60">
        <f t="shared" si="39"/>
        <v>6.2962962962962887E-2</v>
      </c>
    </row>
    <row r="631" spans="1:12" x14ac:dyDescent="0.25">
      <c r="A631" s="57" t="s">
        <v>81</v>
      </c>
      <c r="B631" s="61" t="s">
        <v>82</v>
      </c>
      <c r="C631">
        <v>1112</v>
      </c>
      <c r="D631" s="57" t="s">
        <v>352</v>
      </c>
      <c r="E631" s="57">
        <v>44980</v>
      </c>
      <c r="F631" s="62">
        <v>2145</v>
      </c>
      <c r="G631" s="62">
        <v>1973</v>
      </c>
      <c r="H631" s="62">
        <v>2083</v>
      </c>
      <c r="I631" s="60">
        <f t="shared" si="36"/>
        <v>1.7742805755395683</v>
      </c>
      <c r="J631" s="60">
        <f t="shared" si="37"/>
        <v>110</v>
      </c>
      <c r="K631" s="60">
        <f t="shared" si="38"/>
        <v>1.8732014388489209</v>
      </c>
      <c r="L631" s="60">
        <f t="shared" si="39"/>
        <v>9.8920863309352569E-2</v>
      </c>
    </row>
    <row r="632" spans="1:12" x14ac:dyDescent="0.25">
      <c r="A632" s="57" t="s">
        <v>175</v>
      </c>
      <c r="B632" s="61" t="s">
        <v>65</v>
      </c>
      <c r="C632">
        <v>813</v>
      </c>
      <c r="D632" s="57" t="s">
        <v>49</v>
      </c>
      <c r="E632" s="57">
        <v>44980</v>
      </c>
      <c r="F632" s="62">
        <v>1580</v>
      </c>
      <c r="G632" s="62">
        <v>1575</v>
      </c>
      <c r="H632" s="62">
        <v>1595</v>
      </c>
      <c r="I632" s="60">
        <f t="shared" si="36"/>
        <v>1.9372693726937269</v>
      </c>
      <c r="J632" s="60">
        <f t="shared" si="37"/>
        <v>20</v>
      </c>
      <c r="K632" s="60">
        <f t="shared" si="38"/>
        <v>1.961869618696187</v>
      </c>
      <c r="L632" s="60">
        <f t="shared" si="39"/>
        <v>2.4600246002460135E-2</v>
      </c>
    </row>
    <row r="633" spans="1:12" x14ac:dyDescent="0.25">
      <c r="A633" s="57" t="s">
        <v>100</v>
      </c>
      <c r="B633" s="61" t="s">
        <v>65</v>
      </c>
      <c r="C633">
        <v>813</v>
      </c>
      <c r="D633" s="57" t="s">
        <v>49</v>
      </c>
      <c r="E633" s="57">
        <v>44981</v>
      </c>
      <c r="F633" s="62">
        <v>1580</v>
      </c>
      <c r="G633" s="62">
        <v>1547</v>
      </c>
      <c r="H633" s="62">
        <v>1620</v>
      </c>
      <c r="I633" s="60">
        <f t="shared" si="36"/>
        <v>1.9028290282902829</v>
      </c>
      <c r="J633" s="60">
        <f t="shared" si="37"/>
        <v>73</v>
      </c>
      <c r="K633" s="60">
        <f t="shared" si="38"/>
        <v>1.9926199261992621</v>
      </c>
      <c r="L633" s="60">
        <f t="shared" si="39"/>
        <v>8.9790897908979206E-2</v>
      </c>
    </row>
    <row r="634" spans="1:12" x14ac:dyDescent="0.25">
      <c r="A634" s="57" t="s">
        <v>52</v>
      </c>
      <c r="B634" s="61" t="s">
        <v>51</v>
      </c>
      <c r="C634">
        <v>848</v>
      </c>
      <c r="D634" s="57" t="s">
        <v>352</v>
      </c>
      <c r="E634" s="57">
        <v>44981</v>
      </c>
      <c r="F634" s="62">
        <v>1735</v>
      </c>
      <c r="G634" s="62">
        <v>1770</v>
      </c>
      <c r="H634" s="62">
        <v>1788</v>
      </c>
      <c r="I634" s="60">
        <f t="shared" si="36"/>
        <v>2.0872641509433962</v>
      </c>
      <c r="J634" s="60">
        <f t="shared" si="37"/>
        <v>18</v>
      </c>
      <c r="K634" s="60">
        <f t="shared" si="38"/>
        <v>2.108490566037736</v>
      </c>
      <c r="L634" s="60">
        <f t="shared" si="39"/>
        <v>2.1226415094339757E-2</v>
      </c>
    </row>
    <row r="635" spans="1:12" x14ac:dyDescent="0.25">
      <c r="A635" s="57" t="s">
        <v>202</v>
      </c>
      <c r="B635" s="61" t="s">
        <v>151</v>
      </c>
      <c r="C635">
        <v>1141</v>
      </c>
      <c r="D635" s="57" t="s">
        <v>352</v>
      </c>
      <c r="E635" s="57">
        <v>44981</v>
      </c>
      <c r="F635" s="62">
        <v>2150</v>
      </c>
      <c r="G635" s="62">
        <v>2280</v>
      </c>
      <c r="H635" s="62">
        <v>2330</v>
      </c>
      <c r="I635" s="60">
        <f t="shared" si="36"/>
        <v>1.9982471516213847</v>
      </c>
      <c r="J635" s="60">
        <f t="shared" si="37"/>
        <v>50</v>
      </c>
      <c r="K635" s="60">
        <f t="shared" si="38"/>
        <v>2.0420683610867658</v>
      </c>
      <c r="L635" s="60">
        <f t="shared" si="39"/>
        <v>4.382120946538115E-2</v>
      </c>
    </row>
    <row r="636" spans="1:12" x14ac:dyDescent="0.25">
      <c r="A636" s="57" t="s">
        <v>172</v>
      </c>
      <c r="B636" s="61" t="s">
        <v>145</v>
      </c>
      <c r="C636">
        <v>1146</v>
      </c>
      <c r="D636" s="57" t="s">
        <v>49</v>
      </c>
      <c r="E636" s="57">
        <v>44984</v>
      </c>
      <c r="F636" s="62">
        <v>2180</v>
      </c>
      <c r="G636" s="62">
        <v>1990</v>
      </c>
      <c r="H636" s="62">
        <v>1980</v>
      </c>
      <c r="I636" s="60">
        <f t="shared" si="36"/>
        <v>1.7364746945898779</v>
      </c>
      <c r="J636" s="60">
        <f t="shared" si="37"/>
        <v>-10</v>
      </c>
      <c r="K636" s="60">
        <f t="shared" si="38"/>
        <v>1.7277486910994764</v>
      </c>
      <c r="L636" s="60">
        <f t="shared" si="39"/>
        <v>-8.7260034904015349E-3</v>
      </c>
    </row>
    <row r="637" spans="1:12" x14ac:dyDescent="0.25">
      <c r="A637" s="57" t="s">
        <v>93</v>
      </c>
      <c r="B637" s="61" t="s">
        <v>65</v>
      </c>
      <c r="C637">
        <v>813</v>
      </c>
      <c r="D637" s="57" t="s">
        <v>352</v>
      </c>
      <c r="E637" s="57">
        <v>44985</v>
      </c>
      <c r="F637" s="62">
        <v>1580</v>
      </c>
      <c r="G637" s="62">
        <v>1547</v>
      </c>
      <c r="H637" s="62">
        <v>1629</v>
      </c>
      <c r="I637" s="60">
        <f t="shared" si="36"/>
        <v>1.9028290282902829</v>
      </c>
      <c r="J637" s="60">
        <f t="shared" si="37"/>
        <v>82</v>
      </c>
      <c r="K637" s="60">
        <f t="shared" si="38"/>
        <v>2.0036900369003692</v>
      </c>
      <c r="L637" s="60">
        <f t="shared" si="39"/>
        <v>0.10086100861008629</v>
      </c>
    </row>
    <row r="638" spans="1:12" x14ac:dyDescent="0.25">
      <c r="A638" s="57" t="s">
        <v>68</v>
      </c>
      <c r="B638" s="61" t="s">
        <v>61</v>
      </c>
      <c r="C638">
        <v>820</v>
      </c>
      <c r="D638" s="57" t="s">
        <v>352</v>
      </c>
      <c r="E638" s="57">
        <v>44985</v>
      </c>
      <c r="F638" s="62">
        <v>1615</v>
      </c>
      <c r="G638" s="62">
        <v>1680</v>
      </c>
      <c r="H638" s="62">
        <v>1714</v>
      </c>
      <c r="I638" s="60">
        <f t="shared" si="36"/>
        <v>2.0487804878048781</v>
      </c>
      <c r="J638" s="60">
        <f t="shared" si="37"/>
        <v>34</v>
      </c>
      <c r="K638" s="60">
        <f t="shared" si="38"/>
        <v>2.0902439024390245</v>
      </c>
      <c r="L638" s="60">
        <f t="shared" si="39"/>
        <v>4.1463414634146378E-2</v>
      </c>
    </row>
    <row r="639" spans="1:12" x14ac:dyDescent="0.25">
      <c r="A639" s="57" t="s">
        <v>173</v>
      </c>
      <c r="B639" s="61" t="s">
        <v>59</v>
      </c>
      <c r="C639">
        <v>1115</v>
      </c>
      <c r="D639" s="57" t="s">
        <v>49</v>
      </c>
      <c r="E639" s="57">
        <v>44985</v>
      </c>
      <c r="F639" s="62">
        <v>2135</v>
      </c>
      <c r="G639" s="62">
        <v>1960</v>
      </c>
      <c r="H639" s="62">
        <v>1955</v>
      </c>
      <c r="I639" s="60">
        <f t="shared" si="36"/>
        <v>1.757847533632287</v>
      </c>
      <c r="J639" s="60">
        <f t="shared" si="37"/>
        <v>-5</v>
      </c>
      <c r="K639" s="60">
        <f t="shared" si="38"/>
        <v>1.7533632286995515</v>
      </c>
      <c r="L639" s="60">
        <f t="shared" si="39"/>
        <v>-4.484304932735439E-3</v>
      </c>
    </row>
    <row r="640" spans="1:12" x14ac:dyDescent="0.25">
      <c r="A640" s="57" t="s">
        <v>69</v>
      </c>
      <c r="B640" s="61" t="s">
        <v>61</v>
      </c>
      <c r="C640">
        <v>820</v>
      </c>
      <c r="D640" s="57" t="s">
        <v>49</v>
      </c>
      <c r="E640" s="57">
        <v>44985</v>
      </c>
      <c r="F640" s="62">
        <v>1615</v>
      </c>
      <c r="G640" s="62">
        <v>1540</v>
      </c>
      <c r="H640" s="62">
        <v>1615</v>
      </c>
      <c r="I640" s="60">
        <f t="shared" si="36"/>
        <v>1.8780487804878048</v>
      </c>
      <c r="J640" s="60">
        <f t="shared" si="37"/>
        <v>75</v>
      </c>
      <c r="K640" s="60">
        <f t="shared" si="38"/>
        <v>1.9695121951219512</v>
      </c>
      <c r="L640" s="60">
        <f t="shared" si="39"/>
        <v>9.1463414634146423E-2</v>
      </c>
    </row>
    <row r="641" spans="1:12" x14ac:dyDescent="0.25">
      <c r="A641" s="57" t="s">
        <v>197</v>
      </c>
      <c r="B641" s="61" t="s">
        <v>153</v>
      </c>
      <c r="C641">
        <v>696</v>
      </c>
      <c r="D641" s="57" t="s">
        <v>352</v>
      </c>
      <c r="E641" s="57">
        <v>44986</v>
      </c>
      <c r="F641" s="62">
        <v>1450</v>
      </c>
      <c r="G641" s="62">
        <v>1480</v>
      </c>
      <c r="H641" s="62">
        <v>1586</v>
      </c>
      <c r="I641" s="60">
        <f t="shared" si="36"/>
        <v>2.1264367816091956</v>
      </c>
      <c r="J641" s="60">
        <f t="shared" si="37"/>
        <v>106</v>
      </c>
      <c r="K641" s="60">
        <f t="shared" si="38"/>
        <v>2.2787356321839081</v>
      </c>
      <c r="L641" s="60">
        <f t="shared" si="39"/>
        <v>0.15229885057471249</v>
      </c>
    </row>
    <row r="642" spans="1:12" x14ac:dyDescent="0.25">
      <c r="A642" s="57" t="s">
        <v>296</v>
      </c>
      <c r="B642" s="61" t="s">
        <v>59</v>
      </c>
      <c r="C642">
        <v>1115</v>
      </c>
      <c r="D642" s="57" t="s">
        <v>49</v>
      </c>
      <c r="E642" s="57">
        <v>44988</v>
      </c>
      <c r="F642" s="62">
        <v>2165</v>
      </c>
      <c r="G642" s="62">
        <v>2079.04</v>
      </c>
      <c r="H642" s="62">
        <v>2030</v>
      </c>
      <c r="I642" s="60">
        <f t="shared" ref="I642:I705" si="40">G642/C642</f>
        <v>1.8646098654708521</v>
      </c>
      <c r="J642" s="60">
        <f t="shared" ref="J642:J705" si="41">SUM(H642-G642)</f>
        <v>-49.039999999999964</v>
      </c>
      <c r="K642" s="60">
        <f t="shared" ref="K642:K705" si="42">H642/C642</f>
        <v>1.8206278026905829</v>
      </c>
      <c r="L642" s="60">
        <f t="shared" ref="L642:L705" si="43">K642-I642</f>
        <v>-4.3982062780269171E-2</v>
      </c>
    </row>
    <row r="643" spans="1:12" x14ac:dyDescent="0.25">
      <c r="A643" s="57" t="s">
        <v>317</v>
      </c>
      <c r="B643" s="61" t="s">
        <v>74</v>
      </c>
      <c r="C643">
        <v>1169</v>
      </c>
      <c r="D643" s="57" t="s">
        <v>352</v>
      </c>
      <c r="E643" s="57">
        <v>44989</v>
      </c>
      <c r="F643" s="62">
        <v>2220</v>
      </c>
      <c r="G643" s="62">
        <v>2225</v>
      </c>
      <c r="H643" s="62">
        <v>2247</v>
      </c>
      <c r="I643" s="60">
        <f t="shared" si="40"/>
        <v>1.9033361847733106</v>
      </c>
      <c r="J643" s="60">
        <f t="shared" si="41"/>
        <v>22</v>
      </c>
      <c r="K643" s="60">
        <f t="shared" si="42"/>
        <v>1.9221556886227544</v>
      </c>
      <c r="L643" s="60">
        <f t="shared" si="43"/>
        <v>1.8819503849443864E-2</v>
      </c>
    </row>
    <row r="644" spans="1:12" x14ac:dyDescent="0.25">
      <c r="A644" s="57" t="s">
        <v>97</v>
      </c>
      <c r="B644" s="61" t="s">
        <v>61</v>
      </c>
      <c r="C644">
        <v>820</v>
      </c>
      <c r="D644" s="57" t="s">
        <v>352</v>
      </c>
      <c r="E644" s="57">
        <v>44993</v>
      </c>
      <c r="F644" s="62">
        <v>1660</v>
      </c>
      <c r="G644" s="62">
        <v>1835</v>
      </c>
      <c r="H644" s="62">
        <v>1853</v>
      </c>
      <c r="I644" s="60">
        <f t="shared" si="40"/>
        <v>2.2378048780487805</v>
      </c>
      <c r="J644" s="60">
        <f t="shared" si="41"/>
        <v>18</v>
      </c>
      <c r="K644" s="60">
        <f t="shared" si="42"/>
        <v>2.2597560975609756</v>
      </c>
      <c r="L644" s="60">
        <f t="shared" si="43"/>
        <v>2.1951219512195141E-2</v>
      </c>
    </row>
    <row r="645" spans="1:12" x14ac:dyDescent="0.25">
      <c r="A645" s="57" t="s">
        <v>103</v>
      </c>
      <c r="B645" s="61" t="s">
        <v>65</v>
      </c>
      <c r="C645">
        <v>813</v>
      </c>
      <c r="D645" s="57" t="s">
        <v>49</v>
      </c>
      <c r="E645" s="57">
        <v>44993</v>
      </c>
      <c r="F645" s="62">
        <v>1580</v>
      </c>
      <c r="G645" s="62">
        <v>1685</v>
      </c>
      <c r="H645" s="62">
        <v>1715</v>
      </c>
      <c r="I645" s="60">
        <f t="shared" si="40"/>
        <v>2.0725707257072572</v>
      </c>
      <c r="J645" s="60">
        <f t="shared" si="41"/>
        <v>30</v>
      </c>
      <c r="K645" s="60">
        <f t="shared" si="42"/>
        <v>2.1094710947109472</v>
      </c>
      <c r="L645" s="60">
        <f t="shared" si="43"/>
        <v>3.6900369003689981E-2</v>
      </c>
    </row>
    <row r="646" spans="1:12" x14ac:dyDescent="0.25">
      <c r="A646" s="57" t="s">
        <v>237</v>
      </c>
      <c r="B646" s="61" t="s">
        <v>59</v>
      </c>
      <c r="C646">
        <v>1115</v>
      </c>
      <c r="D646" s="57" t="s">
        <v>49</v>
      </c>
      <c r="E646" s="57">
        <v>44993</v>
      </c>
      <c r="F646" s="62">
        <v>2135</v>
      </c>
      <c r="G646" s="62">
        <v>2045</v>
      </c>
      <c r="H646" s="62">
        <v>1865</v>
      </c>
      <c r="I646" s="60">
        <f t="shared" si="40"/>
        <v>1.8340807174887892</v>
      </c>
      <c r="J646" s="60">
        <f t="shared" si="41"/>
        <v>-180</v>
      </c>
      <c r="K646" s="60">
        <f t="shared" si="42"/>
        <v>1.6726457399103138</v>
      </c>
      <c r="L646" s="60">
        <f t="shared" si="43"/>
        <v>-0.16143497757847536</v>
      </c>
    </row>
    <row r="647" spans="1:12" x14ac:dyDescent="0.25">
      <c r="A647" s="57" t="s">
        <v>184</v>
      </c>
      <c r="B647" s="61" t="s">
        <v>74</v>
      </c>
      <c r="C647">
        <v>1169</v>
      </c>
      <c r="D647" s="57" t="s">
        <v>49</v>
      </c>
      <c r="E647" s="57">
        <v>44994</v>
      </c>
      <c r="F647" s="62">
        <v>2240</v>
      </c>
      <c r="G647" s="62">
        <v>2065</v>
      </c>
      <c r="H647" s="62">
        <v>1990</v>
      </c>
      <c r="I647" s="60">
        <f t="shared" si="40"/>
        <v>1.7664670658682635</v>
      </c>
      <c r="J647" s="60">
        <f t="shared" si="41"/>
        <v>-75</v>
      </c>
      <c r="K647" s="60">
        <f t="shared" si="42"/>
        <v>1.7023096663815227</v>
      </c>
      <c r="L647" s="60">
        <f t="shared" si="43"/>
        <v>-6.4157399486740818E-2</v>
      </c>
    </row>
    <row r="648" spans="1:12" x14ac:dyDescent="0.25">
      <c r="A648" s="57" t="s">
        <v>343</v>
      </c>
      <c r="B648" s="61" t="s">
        <v>59</v>
      </c>
      <c r="C648">
        <v>1115</v>
      </c>
      <c r="D648" s="57" t="s">
        <v>49</v>
      </c>
      <c r="E648" s="57">
        <v>44995</v>
      </c>
      <c r="F648" s="62">
        <v>2135</v>
      </c>
      <c r="G648" s="62">
        <v>2270</v>
      </c>
      <c r="H648" s="62">
        <v>1865</v>
      </c>
      <c r="I648" s="60">
        <f t="shared" si="40"/>
        <v>2.0358744394618835</v>
      </c>
      <c r="J648" s="60">
        <f t="shared" si="41"/>
        <v>-405</v>
      </c>
      <c r="K648" s="60">
        <f t="shared" si="42"/>
        <v>1.6726457399103138</v>
      </c>
      <c r="L648" s="60">
        <f t="shared" si="43"/>
        <v>-0.36322869955156967</v>
      </c>
    </row>
    <row r="649" spans="1:12" x14ac:dyDescent="0.25">
      <c r="A649" s="57" t="s">
        <v>210</v>
      </c>
      <c r="B649" s="61" t="s">
        <v>151</v>
      </c>
      <c r="C649">
        <v>1141</v>
      </c>
      <c r="D649" s="57" t="s">
        <v>49</v>
      </c>
      <c r="E649" s="57">
        <v>45001</v>
      </c>
      <c r="F649" s="62">
        <v>2150</v>
      </c>
      <c r="G649" s="62">
        <v>2220</v>
      </c>
      <c r="H649" s="62">
        <v>2185</v>
      </c>
      <c r="I649" s="60">
        <f t="shared" si="40"/>
        <v>1.9456617002629273</v>
      </c>
      <c r="J649" s="60">
        <f t="shared" si="41"/>
        <v>-35</v>
      </c>
      <c r="K649" s="60">
        <f t="shared" si="42"/>
        <v>1.9149868536371604</v>
      </c>
      <c r="L649" s="60">
        <f t="shared" si="43"/>
        <v>-3.0674846625766916E-2</v>
      </c>
    </row>
    <row r="650" spans="1:12" x14ac:dyDescent="0.25">
      <c r="A650" s="57" t="s">
        <v>128</v>
      </c>
      <c r="B650" s="61" t="s">
        <v>86</v>
      </c>
      <c r="C650">
        <v>810</v>
      </c>
      <c r="D650" s="57" t="s">
        <v>352</v>
      </c>
      <c r="E650" s="57">
        <v>45001</v>
      </c>
      <c r="F650" s="62">
        <v>1580</v>
      </c>
      <c r="G650" s="62">
        <v>1380</v>
      </c>
      <c r="H650" s="62">
        <v>1595</v>
      </c>
      <c r="I650" s="60">
        <f t="shared" si="40"/>
        <v>1.7037037037037037</v>
      </c>
      <c r="J650" s="60">
        <f t="shared" si="41"/>
        <v>215</v>
      </c>
      <c r="K650" s="60">
        <f t="shared" si="42"/>
        <v>1.9691358024691359</v>
      </c>
      <c r="L650" s="60">
        <f t="shared" si="43"/>
        <v>0.26543209876543217</v>
      </c>
    </row>
    <row r="651" spans="1:12" x14ac:dyDescent="0.25">
      <c r="A651" s="57" t="s">
        <v>212</v>
      </c>
      <c r="B651" s="61" t="s">
        <v>61</v>
      </c>
      <c r="C651">
        <v>820</v>
      </c>
      <c r="D651" s="57" t="s">
        <v>352</v>
      </c>
      <c r="E651" s="57">
        <v>45002</v>
      </c>
      <c r="F651" s="62">
        <v>1615</v>
      </c>
      <c r="G651" s="62">
        <v>1645</v>
      </c>
      <c r="H651" s="62">
        <v>1678</v>
      </c>
      <c r="I651" s="60">
        <f t="shared" si="40"/>
        <v>2.0060975609756095</v>
      </c>
      <c r="J651" s="60">
        <f t="shared" si="41"/>
        <v>33</v>
      </c>
      <c r="K651" s="60">
        <f t="shared" si="42"/>
        <v>2.0463414634146342</v>
      </c>
      <c r="L651" s="60">
        <f t="shared" si="43"/>
        <v>4.0243902439024648E-2</v>
      </c>
    </row>
    <row r="652" spans="1:12" x14ac:dyDescent="0.25">
      <c r="A652" s="57" t="s">
        <v>215</v>
      </c>
      <c r="B652" s="61" t="s">
        <v>61</v>
      </c>
      <c r="C652">
        <v>820</v>
      </c>
      <c r="D652" s="57" t="s">
        <v>352</v>
      </c>
      <c r="E652" s="57">
        <v>45004</v>
      </c>
      <c r="F652" s="62">
        <v>1740</v>
      </c>
      <c r="G652" s="62">
        <v>1702</v>
      </c>
      <c r="H652" s="62">
        <v>1831</v>
      </c>
      <c r="I652" s="60">
        <f t="shared" si="40"/>
        <v>2.075609756097561</v>
      </c>
      <c r="J652" s="60">
        <f t="shared" si="41"/>
        <v>129</v>
      </c>
      <c r="K652" s="60">
        <f t="shared" si="42"/>
        <v>2.2329268292682927</v>
      </c>
      <c r="L652" s="60">
        <f t="shared" si="43"/>
        <v>0.15731707317073162</v>
      </c>
    </row>
    <row r="653" spans="1:12" x14ac:dyDescent="0.25">
      <c r="A653" s="57" t="s">
        <v>218</v>
      </c>
      <c r="B653" s="61" t="s">
        <v>48</v>
      </c>
      <c r="C653">
        <v>806</v>
      </c>
      <c r="D653" s="57" t="s">
        <v>352</v>
      </c>
      <c r="E653" s="57">
        <v>45006</v>
      </c>
      <c r="F653" s="62">
        <v>1620</v>
      </c>
      <c r="G653" s="62">
        <v>1633</v>
      </c>
      <c r="H653" s="62">
        <v>2082</v>
      </c>
      <c r="I653" s="60">
        <f t="shared" si="40"/>
        <v>2.0260545905707197</v>
      </c>
      <c r="J653" s="60">
        <f t="shared" si="41"/>
        <v>449</v>
      </c>
      <c r="K653" s="60">
        <f t="shared" si="42"/>
        <v>2.5831265508684864</v>
      </c>
      <c r="L653" s="60">
        <f t="shared" si="43"/>
        <v>0.55707196029776673</v>
      </c>
    </row>
    <row r="654" spans="1:12" x14ac:dyDescent="0.25">
      <c r="A654" s="57" t="s">
        <v>196</v>
      </c>
      <c r="B654" s="61" t="s">
        <v>57</v>
      </c>
      <c r="C654">
        <v>700</v>
      </c>
      <c r="D654" s="57" t="s">
        <v>352</v>
      </c>
      <c r="E654" s="57">
        <v>45006</v>
      </c>
      <c r="F654" s="62">
        <v>1560</v>
      </c>
      <c r="G654" s="62">
        <v>1576</v>
      </c>
      <c r="H654" s="62">
        <v>1580</v>
      </c>
      <c r="I654" s="60">
        <f t="shared" si="40"/>
        <v>2.2514285714285713</v>
      </c>
      <c r="J654" s="60">
        <f t="shared" si="41"/>
        <v>4</v>
      </c>
      <c r="K654" s="60">
        <f t="shared" si="42"/>
        <v>2.2571428571428571</v>
      </c>
      <c r="L654" s="60">
        <f t="shared" si="43"/>
        <v>5.7142857142857828E-3</v>
      </c>
    </row>
    <row r="655" spans="1:12" x14ac:dyDescent="0.25">
      <c r="A655" s="57" t="s">
        <v>227</v>
      </c>
      <c r="B655" s="61" t="s">
        <v>59</v>
      </c>
      <c r="C655">
        <v>1115</v>
      </c>
      <c r="D655" s="57" t="s">
        <v>352</v>
      </c>
      <c r="E655" s="57">
        <v>45006</v>
      </c>
      <c r="F655" s="62">
        <v>2165</v>
      </c>
      <c r="G655" s="62">
        <v>1605.58</v>
      </c>
      <c r="H655" s="62">
        <v>2015</v>
      </c>
      <c r="I655" s="60">
        <f t="shared" si="40"/>
        <v>1.4399820627802691</v>
      </c>
      <c r="J655" s="60">
        <f t="shared" si="41"/>
        <v>409.42000000000007</v>
      </c>
      <c r="K655" s="60">
        <f t="shared" si="42"/>
        <v>1.8071748878923768</v>
      </c>
      <c r="L655" s="60">
        <f t="shared" si="43"/>
        <v>0.36719282511210771</v>
      </c>
    </row>
    <row r="656" spans="1:12" x14ac:dyDescent="0.25">
      <c r="A656" s="57" t="s">
        <v>200</v>
      </c>
      <c r="B656" s="61" t="s">
        <v>145</v>
      </c>
      <c r="C656">
        <v>1146</v>
      </c>
      <c r="D656" s="57" t="s">
        <v>352</v>
      </c>
      <c r="E656" s="57">
        <v>45006</v>
      </c>
      <c r="F656" s="62">
        <v>2180</v>
      </c>
      <c r="G656" s="62">
        <v>1574.62</v>
      </c>
      <c r="H656" s="62">
        <v>1993</v>
      </c>
      <c r="I656" s="60">
        <f t="shared" si="40"/>
        <v>1.3740139616055846</v>
      </c>
      <c r="J656" s="60">
        <f t="shared" si="41"/>
        <v>418.38000000000011</v>
      </c>
      <c r="K656" s="60">
        <f t="shared" si="42"/>
        <v>1.7390924956369982</v>
      </c>
      <c r="L656" s="60">
        <f t="shared" si="43"/>
        <v>0.36507853403141355</v>
      </c>
    </row>
    <row r="657" spans="1:12" x14ac:dyDescent="0.25">
      <c r="A657" s="57" t="s">
        <v>62</v>
      </c>
      <c r="B657" s="61" t="s">
        <v>59</v>
      </c>
      <c r="C657">
        <v>1115</v>
      </c>
      <c r="D657" s="57" t="s">
        <v>49</v>
      </c>
      <c r="E657" s="57">
        <v>45009</v>
      </c>
      <c r="F657" s="62">
        <v>2135</v>
      </c>
      <c r="G657" s="62">
        <v>2135</v>
      </c>
      <c r="H657" s="62">
        <v>1985</v>
      </c>
      <c r="I657" s="60">
        <f t="shared" si="40"/>
        <v>1.9147982062780269</v>
      </c>
      <c r="J657" s="60">
        <f t="shared" si="41"/>
        <v>-150</v>
      </c>
      <c r="K657" s="60">
        <f t="shared" si="42"/>
        <v>1.7802690582959642</v>
      </c>
      <c r="L657" s="60">
        <f t="shared" si="43"/>
        <v>-0.13452914798206272</v>
      </c>
    </row>
    <row r="658" spans="1:12" x14ac:dyDescent="0.25">
      <c r="A658" s="57" t="s">
        <v>94</v>
      </c>
      <c r="B658" s="61" t="s">
        <v>59</v>
      </c>
      <c r="C658">
        <v>1115</v>
      </c>
      <c r="D658" s="57" t="s">
        <v>49</v>
      </c>
      <c r="E658" s="57">
        <v>45009</v>
      </c>
      <c r="F658" s="62">
        <v>2135</v>
      </c>
      <c r="G658" s="62">
        <v>2145</v>
      </c>
      <c r="H658" s="62">
        <v>1985</v>
      </c>
      <c r="I658" s="60">
        <f t="shared" si="40"/>
        <v>1.9237668161434978</v>
      </c>
      <c r="J658" s="60">
        <f t="shared" si="41"/>
        <v>-160</v>
      </c>
      <c r="K658" s="60">
        <f t="shared" si="42"/>
        <v>1.7802690582959642</v>
      </c>
      <c r="L658" s="60">
        <f t="shared" si="43"/>
        <v>-0.1434977578475336</v>
      </c>
    </row>
    <row r="659" spans="1:12" x14ac:dyDescent="0.25">
      <c r="A659" s="57" t="s">
        <v>109</v>
      </c>
      <c r="B659" s="61" t="s">
        <v>74</v>
      </c>
      <c r="C659">
        <v>1169</v>
      </c>
      <c r="D659" s="57" t="s">
        <v>352</v>
      </c>
      <c r="E659" s="57">
        <v>45010</v>
      </c>
      <c r="F659" s="62">
        <v>2195</v>
      </c>
      <c r="G659" s="62">
        <v>1954</v>
      </c>
      <c r="H659" s="62">
        <v>1974</v>
      </c>
      <c r="I659" s="60">
        <f t="shared" si="40"/>
        <v>1.6715141146278871</v>
      </c>
      <c r="J659" s="60">
        <f t="shared" si="41"/>
        <v>20</v>
      </c>
      <c r="K659" s="60">
        <f t="shared" si="42"/>
        <v>1.688622754491018</v>
      </c>
      <c r="L659" s="60">
        <f t="shared" si="43"/>
        <v>1.7108639863130826E-2</v>
      </c>
    </row>
    <row r="660" spans="1:12" x14ac:dyDescent="0.25">
      <c r="A660" s="57" t="s">
        <v>91</v>
      </c>
      <c r="B660" s="61" t="s">
        <v>59</v>
      </c>
      <c r="C660">
        <v>1115</v>
      </c>
      <c r="D660" s="57" t="s">
        <v>49</v>
      </c>
      <c r="E660" s="57">
        <v>45012</v>
      </c>
      <c r="F660" s="62">
        <v>2135</v>
      </c>
      <c r="G660" s="62">
        <v>2145</v>
      </c>
      <c r="H660" s="62">
        <v>1865</v>
      </c>
      <c r="I660" s="60">
        <f t="shared" si="40"/>
        <v>1.9237668161434978</v>
      </c>
      <c r="J660" s="60">
        <f t="shared" si="41"/>
        <v>-280</v>
      </c>
      <c r="K660" s="60">
        <f t="shared" si="42"/>
        <v>1.6726457399103138</v>
      </c>
      <c r="L660" s="60">
        <f t="shared" si="43"/>
        <v>-0.25112107623318392</v>
      </c>
    </row>
    <row r="661" spans="1:12" x14ac:dyDescent="0.25">
      <c r="A661" s="57" t="s">
        <v>114</v>
      </c>
      <c r="B661" s="61" t="s">
        <v>86</v>
      </c>
      <c r="C661">
        <v>810</v>
      </c>
      <c r="D661" s="57" t="s">
        <v>352</v>
      </c>
      <c r="E661" s="57">
        <v>45013</v>
      </c>
      <c r="F661" s="62">
        <v>1580</v>
      </c>
      <c r="G661" s="62">
        <v>1597</v>
      </c>
      <c r="H661" s="62">
        <v>1707</v>
      </c>
      <c r="I661" s="60">
        <f t="shared" si="40"/>
        <v>1.971604938271605</v>
      </c>
      <c r="J661" s="60">
        <f t="shared" si="41"/>
        <v>110</v>
      </c>
      <c r="K661" s="60">
        <f t="shared" si="42"/>
        <v>2.1074074074074076</v>
      </c>
      <c r="L661" s="60">
        <f t="shared" si="43"/>
        <v>0.13580246913580263</v>
      </c>
    </row>
    <row r="662" spans="1:12" x14ac:dyDescent="0.25">
      <c r="A662" s="57" t="s">
        <v>108</v>
      </c>
      <c r="B662" s="61" t="s">
        <v>82</v>
      </c>
      <c r="C662">
        <v>1112</v>
      </c>
      <c r="D662" s="57" t="s">
        <v>352</v>
      </c>
      <c r="E662" s="57">
        <v>45014</v>
      </c>
      <c r="F662" s="62">
        <v>2145</v>
      </c>
      <c r="G662" s="62">
        <v>1925</v>
      </c>
      <c r="H662" s="62">
        <v>2105</v>
      </c>
      <c r="I662" s="60">
        <f t="shared" si="40"/>
        <v>1.7311151079136691</v>
      </c>
      <c r="J662" s="60">
        <f t="shared" si="41"/>
        <v>180</v>
      </c>
      <c r="K662" s="60">
        <f t="shared" si="42"/>
        <v>1.8929856115107915</v>
      </c>
      <c r="L662" s="60">
        <f t="shared" si="43"/>
        <v>0.16187050359712241</v>
      </c>
    </row>
    <row r="663" spans="1:12" x14ac:dyDescent="0.25">
      <c r="A663" s="57" t="s">
        <v>106</v>
      </c>
      <c r="B663" s="61" t="s">
        <v>51</v>
      </c>
      <c r="C663">
        <v>848</v>
      </c>
      <c r="D663" s="57" t="s">
        <v>352</v>
      </c>
      <c r="E663" s="57">
        <v>45014</v>
      </c>
      <c r="F663" s="62">
        <v>1735</v>
      </c>
      <c r="G663" s="62">
        <v>1602</v>
      </c>
      <c r="H663" s="62">
        <v>1676</v>
      </c>
      <c r="I663" s="60">
        <f t="shared" si="40"/>
        <v>1.8891509433962264</v>
      </c>
      <c r="J663" s="60">
        <f t="shared" si="41"/>
        <v>74</v>
      </c>
      <c r="K663" s="60">
        <f t="shared" si="42"/>
        <v>1.9764150943396226</v>
      </c>
      <c r="L663" s="60">
        <f t="shared" si="43"/>
        <v>8.7264150943396235E-2</v>
      </c>
    </row>
    <row r="664" spans="1:12" x14ac:dyDescent="0.25">
      <c r="A664" s="57" t="s">
        <v>110</v>
      </c>
      <c r="B664" s="61" t="s">
        <v>59</v>
      </c>
      <c r="C664">
        <v>1115</v>
      </c>
      <c r="D664" s="57" t="s">
        <v>352</v>
      </c>
      <c r="E664" s="57">
        <v>45014</v>
      </c>
      <c r="F664" s="62">
        <v>2135</v>
      </c>
      <c r="G664" s="62">
        <v>1825</v>
      </c>
      <c r="H664" s="62">
        <v>1864</v>
      </c>
      <c r="I664" s="60">
        <f t="shared" si="40"/>
        <v>1.6367713004484306</v>
      </c>
      <c r="J664" s="60">
        <f t="shared" si="41"/>
        <v>39</v>
      </c>
      <c r="K664" s="60">
        <f t="shared" si="42"/>
        <v>1.6717488789237669</v>
      </c>
      <c r="L664" s="60">
        <f t="shared" si="43"/>
        <v>3.4977578475336335E-2</v>
      </c>
    </row>
    <row r="665" spans="1:12" x14ac:dyDescent="0.25">
      <c r="A665" s="57" t="s">
        <v>95</v>
      </c>
      <c r="B665" s="61" t="s">
        <v>82</v>
      </c>
      <c r="C665">
        <v>1112</v>
      </c>
      <c r="D665" s="57" t="s">
        <v>49</v>
      </c>
      <c r="E665" s="57">
        <v>45014</v>
      </c>
      <c r="F665" s="62">
        <v>2125</v>
      </c>
      <c r="G665" s="62">
        <v>2110</v>
      </c>
      <c r="H665" s="62">
        <v>1975</v>
      </c>
      <c r="I665" s="60">
        <f t="shared" si="40"/>
        <v>1.8974820143884892</v>
      </c>
      <c r="J665" s="60">
        <f t="shared" si="41"/>
        <v>-135</v>
      </c>
      <c r="K665" s="60">
        <f t="shared" si="42"/>
        <v>1.7760791366906474</v>
      </c>
      <c r="L665" s="60">
        <f t="shared" si="43"/>
        <v>-0.12140287769784175</v>
      </c>
    </row>
    <row r="666" spans="1:12" x14ac:dyDescent="0.25">
      <c r="A666" s="57" t="s">
        <v>84</v>
      </c>
      <c r="B666" s="61" t="s">
        <v>57</v>
      </c>
      <c r="C666">
        <v>700</v>
      </c>
      <c r="D666" s="57" t="s">
        <v>49</v>
      </c>
      <c r="E666" s="57">
        <v>45014</v>
      </c>
      <c r="F666" s="62">
        <v>1515</v>
      </c>
      <c r="G666" s="62">
        <v>1585</v>
      </c>
      <c r="H666" s="62">
        <v>1520</v>
      </c>
      <c r="I666" s="60">
        <f t="shared" si="40"/>
        <v>2.2642857142857142</v>
      </c>
      <c r="J666" s="60">
        <f t="shared" si="41"/>
        <v>-65</v>
      </c>
      <c r="K666" s="60">
        <f t="shared" si="42"/>
        <v>2.1714285714285713</v>
      </c>
      <c r="L666" s="60">
        <f t="shared" si="43"/>
        <v>-9.2857142857142971E-2</v>
      </c>
    </row>
    <row r="667" spans="1:12" x14ac:dyDescent="0.25">
      <c r="A667" s="57" t="s">
        <v>201</v>
      </c>
      <c r="B667" s="61" t="s">
        <v>59</v>
      </c>
      <c r="C667">
        <v>1115</v>
      </c>
      <c r="D667" s="57" t="s">
        <v>352</v>
      </c>
      <c r="E667" s="57">
        <v>45015</v>
      </c>
      <c r="F667" s="62">
        <v>2135</v>
      </c>
      <c r="G667" s="62">
        <v>1960</v>
      </c>
      <c r="H667" s="62">
        <v>2117</v>
      </c>
      <c r="I667" s="60">
        <f t="shared" si="40"/>
        <v>1.757847533632287</v>
      </c>
      <c r="J667" s="60">
        <f t="shared" si="41"/>
        <v>157</v>
      </c>
      <c r="K667" s="60">
        <f t="shared" si="42"/>
        <v>1.8986547085201795</v>
      </c>
      <c r="L667" s="60">
        <f t="shared" si="43"/>
        <v>0.14080717488789252</v>
      </c>
    </row>
    <row r="668" spans="1:12" x14ac:dyDescent="0.25">
      <c r="A668" s="57" t="s">
        <v>75</v>
      </c>
      <c r="B668" s="61" t="s">
        <v>55</v>
      </c>
      <c r="C668">
        <v>764</v>
      </c>
      <c r="D668" s="57" t="s">
        <v>49</v>
      </c>
      <c r="E668" s="57">
        <v>45016</v>
      </c>
      <c r="F668" s="62">
        <v>1615</v>
      </c>
      <c r="G668" s="62">
        <v>1790</v>
      </c>
      <c r="H668" s="62">
        <v>1565</v>
      </c>
      <c r="I668" s="60">
        <f t="shared" si="40"/>
        <v>2.342931937172775</v>
      </c>
      <c r="J668" s="60">
        <f t="shared" si="41"/>
        <v>-225</v>
      </c>
      <c r="K668" s="60">
        <f t="shared" si="42"/>
        <v>2.0484293193717278</v>
      </c>
      <c r="L668" s="60">
        <f t="shared" si="43"/>
        <v>-0.29450261780104725</v>
      </c>
    </row>
    <row r="669" spans="1:12" x14ac:dyDescent="0.25">
      <c r="A669" s="57" t="s">
        <v>338</v>
      </c>
      <c r="B669" s="61" t="s">
        <v>48</v>
      </c>
      <c r="C669">
        <v>806</v>
      </c>
      <c r="D669" s="57" t="s">
        <v>49</v>
      </c>
      <c r="E669" s="57">
        <v>45016</v>
      </c>
      <c r="F669" s="62">
        <v>1620</v>
      </c>
      <c r="G669" s="62">
        <v>1646</v>
      </c>
      <c r="H669" s="62">
        <v>1545</v>
      </c>
      <c r="I669" s="60">
        <f t="shared" si="40"/>
        <v>2.0421836228287842</v>
      </c>
      <c r="J669" s="60">
        <f t="shared" si="41"/>
        <v>-101</v>
      </c>
      <c r="K669" s="60">
        <f t="shared" si="42"/>
        <v>1.9168734491315136</v>
      </c>
      <c r="L669" s="60">
        <f t="shared" si="43"/>
        <v>-0.1253101736972706</v>
      </c>
    </row>
    <row r="670" spans="1:12" x14ac:dyDescent="0.25">
      <c r="A670" s="57" t="s">
        <v>195</v>
      </c>
      <c r="B670" s="61" t="s">
        <v>48</v>
      </c>
      <c r="C670">
        <v>806</v>
      </c>
      <c r="D670" s="57" t="s">
        <v>49</v>
      </c>
      <c r="E670" s="57">
        <v>45016</v>
      </c>
      <c r="F670" s="62">
        <v>1620</v>
      </c>
      <c r="G670" s="62">
        <v>1745</v>
      </c>
      <c r="H670" s="62">
        <v>1560</v>
      </c>
      <c r="I670" s="60">
        <f t="shared" si="40"/>
        <v>2.1650124069478909</v>
      </c>
      <c r="J670" s="60">
        <f t="shared" si="41"/>
        <v>-185</v>
      </c>
      <c r="K670" s="60">
        <f t="shared" si="42"/>
        <v>1.935483870967742</v>
      </c>
      <c r="L670" s="60">
        <f t="shared" si="43"/>
        <v>-0.22952853598014888</v>
      </c>
    </row>
    <row r="671" spans="1:12" x14ac:dyDescent="0.25">
      <c r="A671" s="57" t="s">
        <v>107</v>
      </c>
      <c r="B671" s="61" t="s">
        <v>48</v>
      </c>
      <c r="C671">
        <v>806</v>
      </c>
      <c r="D671" s="57" t="s">
        <v>352</v>
      </c>
      <c r="E671" s="57">
        <v>45016</v>
      </c>
      <c r="F671" s="62">
        <v>1620</v>
      </c>
      <c r="G671" s="62">
        <v>1573</v>
      </c>
      <c r="H671" s="62">
        <v>1610</v>
      </c>
      <c r="I671" s="60">
        <f t="shared" si="40"/>
        <v>1.9516129032258065</v>
      </c>
      <c r="J671" s="60">
        <f t="shared" si="41"/>
        <v>37</v>
      </c>
      <c r="K671" s="60">
        <f t="shared" si="42"/>
        <v>1.9975186104218363</v>
      </c>
      <c r="L671" s="60">
        <f t="shared" si="43"/>
        <v>4.5905707196029821E-2</v>
      </c>
    </row>
    <row r="672" spans="1:12" x14ac:dyDescent="0.25">
      <c r="A672" s="57" t="s">
        <v>224</v>
      </c>
      <c r="B672" s="61" t="s">
        <v>137</v>
      </c>
      <c r="C672">
        <v>1700</v>
      </c>
      <c r="D672" s="57" t="s">
        <v>49</v>
      </c>
      <c r="E672" s="57">
        <v>45021</v>
      </c>
      <c r="F672" s="62">
        <v>2995</v>
      </c>
      <c r="G672" s="62">
        <v>2460</v>
      </c>
      <c r="H672" s="62">
        <v>2455</v>
      </c>
      <c r="I672" s="60">
        <f t="shared" si="40"/>
        <v>1.4470588235294117</v>
      </c>
      <c r="J672" s="60">
        <f t="shared" si="41"/>
        <v>-5</v>
      </c>
      <c r="K672" s="60">
        <f t="shared" si="42"/>
        <v>1.4441176470588235</v>
      </c>
      <c r="L672" s="60">
        <f t="shared" si="43"/>
        <v>-2.9411764705882248E-3</v>
      </c>
    </row>
    <row r="673" spans="1:12" x14ac:dyDescent="0.25">
      <c r="A673" s="57" t="s">
        <v>282</v>
      </c>
      <c r="B673" s="61" t="s">
        <v>57</v>
      </c>
      <c r="C673">
        <v>700</v>
      </c>
      <c r="D673" s="57" t="s">
        <v>49</v>
      </c>
      <c r="E673" s="57">
        <v>45021</v>
      </c>
      <c r="F673" s="62">
        <v>1515</v>
      </c>
      <c r="G673" s="62">
        <v>1610</v>
      </c>
      <c r="H673" s="62">
        <v>1485</v>
      </c>
      <c r="I673" s="60">
        <f t="shared" si="40"/>
        <v>2.2999999999999998</v>
      </c>
      <c r="J673" s="60">
        <f t="shared" si="41"/>
        <v>-125</v>
      </c>
      <c r="K673" s="60">
        <f t="shared" si="42"/>
        <v>2.1214285714285714</v>
      </c>
      <c r="L673" s="60">
        <f t="shared" si="43"/>
        <v>-0.17857142857142838</v>
      </c>
    </row>
    <row r="674" spans="1:12" x14ac:dyDescent="0.25">
      <c r="A674" s="57" t="s">
        <v>269</v>
      </c>
      <c r="B674" s="61" t="s">
        <v>59</v>
      </c>
      <c r="C674">
        <v>1115</v>
      </c>
      <c r="D674" s="57" t="s">
        <v>352</v>
      </c>
      <c r="E674" s="57">
        <v>45021</v>
      </c>
      <c r="F674" s="62">
        <v>2165</v>
      </c>
      <c r="G674" s="62">
        <v>1744.62</v>
      </c>
      <c r="H674" s="62">
        <v>2015</v>
      </c>
      <c r="I674" s="60">
        <f t="shared" si="40"/>
        <v>1.5646816143497757</v>
      </c>
      <c r="J674" s="60">
        <f t="shared" si="41"/>
        <v>270.38000000000011</v>
      </c>
      <c r="K674" s="60">
        <f t="shared" si="42"/>
        <v>1.8071748878923768</v>
      </c>
      <c r="L674" s="60">
        <f t="shared" si="43"/>
        <v>0.24249327354260108</v>
      </c>
    </row>
    <row r="675" spans="1:12" x14ac:dyDescent="0.25">
      <c r="A675" s="57" t="s">
        <v>191</v>
      </c>
      <c r="B675" s="61" t="s">
        <v>74</v>
      </c>
      <c r="C675">
        <v>1169</v>
      </c>
      <c r="D675" s="57" t="s">
        <v>352</v>
      </c>
      <c r="E675" s="57">
        <v>45021</v>
      </c>
      <c r="F675" s="62">
        <v>2240</v>
      </c>
      <c r="G675" s="62">
        <v>1627.69</v>
      </c>
      <c r="H675" s="62">
        <v>2193</v>
      </c>
      <c r="I675" s="60">
        <f t="shared" si="40"/>
        <v>1.3923781009409752</v>
      </c>
      <c r="J675" s="60">
        <f t="shared" si="41"/>
        <v>565.30999999999995</v>
      </c>
      <c r="K675" s="60">
        <f t="shared" si="42"/>
        <v>1.8759623609923011</v>
      </c>
      <c r="L675" s="60">
        <f t="shared" si="43"/>
        <v>0.48358426005132582</v>
      </c>
    </row>
    <row r="676" spans="1:12" x14ac:dyDescent="0.25">
      <c r="A676" s="57" t="s">
        <v>260</v>
      </c>
      <c r="B676" s="61" t="s">
        <v>86</v>
      </c>
      <c r="C676">
        <v>810</v>
      </c>
      <c r="D676" s="57" t="s">
        <v>352</v>
      </c>
      <c r="E676" s="57">
        <v>45021</v>
      </c>
      <c r="F676" s="62">
        <v>1580</v>
      </c>
      <c r="G676" s="62">
        <v>1296.92</v>
      </c>
      <c r="H676" s="62">
        <v>1575</v>
      </c>
      <c r="I676" s="60">
        <f t="shared" si="40"/>
        <v>1.6011358024691358</v>
      </c>
      <c r="J676" s="60">
        <f t="shared" si="41"/>
        <v>278.07999999999993</v>
      </c>
      <c r="K676" s="60">
        <f t="shared" si="42"/>
        <v>1.9444444444444444</v>
      </c>
      <c r="L676" s="60">
        <f t="shared" si="43"/>
        <v>0.34330864197530864</v>
      </c>
    </row>
    <row r="677" spans="1:12" x14ac:dyDescent="0.25">
      <c r="A677" s="57" t="s">
        <v>295</v>
      </c>
      <c r="B677" s="61" t="s">
        <v>57</v>
      </c>
      <c r="C677">
        <v>700</v>
      </c>
      <c r="D677" s="57" t="s">
        <v>352</v>
      </c>
      <c r="E677" s="57">
        <v>45021</v>
      </c>
      <c r="F677" s="62">
        <v>1515</v>
      </c>
      <c r="G677" s="62">
        <v>1284.49</v>
      </c>
      <c r="H677" s="62">
        <v>1495</v>
      </c>
      <c r="I677" s="60">
        <f t="shared" si="40"/>
        <v>1.8349857142857142</v>
      </c>
      <c r="J677" s="60">
        <f t="shared" si="41"/>
        <v>210.51</v>
      </c>
      <c r="K677" s="60">
        <f t="shared" si="42"/>
        <v>2.1357142857142857</v>
      </c>
      <c r="L677" s="60">
        <f t="shared" si="43"/>
        <v>0.30072857142857146</v>
      </c>
    </row>
    <row r="678" spans="1:12" x14ac:dyDescent="0.25">
      <c r="A678" s="57" t="s">
        <v>232</v>
      </c>
      <c r="B678" s="61" t="s">
        <v>151</v>
      </c>
      <c r="C678">
        <v>1141</v>
      </c>
      <c r="D678" s="57" t="s">
        <v>352</v>
      </c>
      <c r="E678" s="57">
        <v>45023</v>
      </c>
      <c r="F678" s="62">
        <v>2150</v>
      </c>
      <c r="G678" s="62">
        <v>2110</v>
      </c>
      <c r="H678" s="62">
        <v>2131</v>
      </c>
      <c r="I678" s="60">
        <f t="shared" si="40"/>
        <v>1.8492550394390885</v>
      </c>
      <c r="J678" s="60">
        <f t="shared" si="41"/>
        <v>21</v>
      </c>
      <c r="K678" s="60">
        <f t="shared" si="42"/>
        <v>1.8676599474145485</v>
      </c>
      <c r="L678" s="60">
        <f t="shared" si="43"/>
        <v>1.8404907975460016E-2</v>
      </c>
    </row>
    <row r="679" spans="1:12" x14ac:dyDescent="0.25">
      <c r="A679" s="57" t="s">
        <v>205</v>
      </c>
      <c r="B679" s="61" t="s">
        <v>59</v>
      </c>
      <c r="C679">
        <v>1115</v>
      </c>
      <c r="D679" s="57" t="s">
        <v>352</v>
      </c>
      <c r="E679" s="57">
        <v>45023</v>
      </c>
      <c r="F679" s="62">
        <v>2135</v>
      </c>
      <c r="G679" s="62">
        <v>1960</v>
      </c>
      <c r="H679" s="62">
        <v>1980</v>
      </c>
      <c r="I679" s="60">
        <f t="shared" si="40"/>
        <v>1.757847533632287</v>
      </c>
      <c r="J679" s="60">
        <f t="shared" si="41"/>
        <v>20</v>
      </c>
      <c r="K679" s="60">
        <f t="shared" si="42"/>
        <v>1.7757847533632287</v>
      </c>
      <c r="L679" s="60">
        <f t="shared" si="43"/>
        <v>1.7937219730941756E-2</v>
      </c>
    </row>
    <row r="680" spans="1:12" x14ac:dyDescent="0.25">
      <c r="A680" s="57" t="s">
        <v>231</v>
      </c>
      <c r="B680" s="61" t="s">
        <v>57</v>
      </c>
      <c r="C680">
        <v>700</v>
      </c>
      <c r="D680" s="57" t="s">
        <v>49</v>
      </c>
      <c r="E680" s="57">
        <v>45023</v>
      </c>
      <c r="F680" s="62">
        <v>1515</v>
      </c>
      <c r="G680" s="62">
        <v>1590</v>
      </c>
      <c r="H680" s="62">
        <v>1515</v>
      </c>
      <c r="I680" s="60">
        <f t="shared" si="40"/>
        <v>2.2714285714285714</v>
      </c>
      <c r="J680" s="60">
        <f t="shared" si="41"/>
        <v>-75</v>
      </c>
      <c r="K680" s="60">
        <f t="shared" si="42"/>
        <v>2.1642857142857141</v>
      </c>
      <c r="L680" s="60">
        <f t="shared" si="43"/>
        <v>-0.10714285714285721</v>
      </c>
    </row>
    <row r="681" spans="1:12" x14ac:dyDescent="0.25">
      <c r="A681" s="57" t="s">
        <v>92</v>
      </c>
      <c r="B681" s="61" t="s">
        <v>51</v>
      </c>
      <c r="C681">
        <v>848</v>
      </c>
      <c r="D681" s="57" t="s">
        <v>352</v>
      </c>
      <c r="E681" s="57">
        <v>45024</v>
      </c>
      <c r="F681" s="62">
        <v>1735</v>
      </c>
      <c r="G681" s="62">
        <v>1760</v>
      </c>
      <c r="H681" s="62">
        <v>1778</v>
      </c>
      <c r="I681" s="60">
        <f t="shared" si="40"/>
        <v>2.0754716981132075</v>
      </c>
      <c r="J681" s="60">
        <f t="shared" si="41"/>
        <v>18</v>
      </c>
      <c r="K681" s="60">
        <f t="shared" si="42"/>
        <v>2.0966981132075473</v>
      </c>
      <c r="L681" s="60">
        <f t="shared" si="43"/>
        <v>2.1226415094339757E-2</v>
      </c>
    </row>
    <row r="682" spans="1:12" x14ac:dyDescent="0.25">
      <c r="A682" s="57" t="s">
        <v>335</v>
      </c>
      <c r="B682" s="61" t="s">
        <v>61</v>
      </c>
      <c r="C682">
        <v>820</v>
      </c>
      <c r="D682" s="57" t="s">
        <v>352</v>
      </c>
      <c r="E682" s="57">
        <v>45027</v>
      </c>
      <c r="F682" s="62">
        <v>1615</v>
      </c>
      <c r="G682" s="62">
        <v>1575</v>
      </c>
      <c r="H682" s="62">
        <v>1607</v>
      </c>
      <c r="I682" s="60">
        <f t="shared" si="40"/>
        <v>1.9207317073170731</v>
      </c>
      <c r="J682" s="60">
        <f t="shared" si="41"/>
        <v>32</v>
      </c>
      <c r="K682" s="60">
        <f t="shared" si="42"/>
        <v>1.9597560975609756</v>
      </c>
      <c r="L682" s="60">
        <f t="shared" si="43"/>
        <v>3.9024390243902474E-2</v>
      </c>
    </row>
    <row r="683" spans="1:12" x14ac:dyDescent="0.25">
      <c r="A683" s="57" t="s">
        <v>287</v>
      </c>
      <c r="B683" s="61" t="s">
        <v>59</v>
      </c>
      <c r="C683">
        <v>1115</v>
      </c>
      <c r="D683" s="57" t="s">
        <v>352</v>
      </c>
      <c r="E683" s="57">
        <v>45029</v>
      </c>
      <c r="F683" s="62">
        <v>2135</v>
      </c>
      <c r="G683" s="62">
        <v>1995</v>
      </c>
      <c r="H683" s="62">
        <v>2051</v>
      </c>
      <c r="I683" s="60">
        <f t="shared" si="40"/>
        <v>1.789237668161435</v>
      </c>
      <c r="J683" s="60">
        <f t="shared" si="41"/>
        <v>56</v>
      </c>
      <c r="K683" s="60">
        <f t="shared" si="42"/>
        <v>1.8394618834080718</v>
      </c>
      <c r="L683" s="60">
        <f t="shared" si="43"/>
        <v>5.0224215246636783E-2</v>
      </c>
    </row>
    <row r="684" spans="1:12" x14ac:dyDescent="0.25">
      <c r="A684" s="57" t="s">
        <v>328</v>
      </c>
      <c r="B684" s="61" t="s">
        <v>86</v>
      </c>
      <c r="C684">
        <v>810</v>
      </c>
      <c r="D684" s="57" t="s">
        <v>49</v>
      </c>
      <c r="E684" s="57">
        <v>45029</v>
      </c>
      <c r="F684" s="62">
        <v>1580</v>
      </c>
      <c r="G684" s="62">
        <v>1680</v>
      </c>
      <c r="H684" s="62">
        <v>1590</v>
      </c>
      <c r="I684" s="60">
        <f t="shared" si="40"/>
        <v>2.074074074074074</v>
      </c>
      <c r="J684" s="60">
        <f t="shared" si="41"/>
        <v>-90</v>
      </c>
      <c r="K684" s="60">
        <f t="shared" si="42"/>
        <v>1.962962962962963</v>
      </c>
      <c r="L684" s="60">
        <f t="shared" si="43"/>
        <v>-0.11111111111111094</v>
      </c>
    </row>
    <row r="685" spans="1:12" x14ac:dyDescent="0.25">
      <c r="A685" s="57" t="s">
        <v>112</v>
      </c>
      <c r="B685" s="61" t="s">
        <v>74</v>
      </c>
      <c r="C685">
        <v>1169</v>
      </c>
      <c r="D685" s="57" t="s">
        <v>49</v>
      </c>
      <c r="E685" s="57">
        <v>45030</v>
      </c>
      <c r="F685" s="62">
        <v>2240</v>
      </c>
      <c r="G685" s="62">
        <v>2005</v>
      </c>
      <c r="H685" s="62">
        <v>2095</v>
      </c>
      <c r="I685" s="60">
        <f t="shared" si="40"/>
        <v>1.7151411462788708</v>
      </c>
      <c r="J685" s="60">
        <f t="shared" si="41"/>
        <v>90</v>
      </c>
      <c r="K685" s="60">
        <f t="shared" si="42"/>
        <v>1.7921300256629598</v>
      </c>
      <c r="L685" s="60">
        <f t="shared" si="43"/>
        <v>7.6988879384088937E-2</v>
      </c>
    </row>
    <row r="686" spans="1:12" x14ac:dyDescent="0.25">
      <c r="A686" s="57" t="s">
        <v>240</v>
      </c>
      <c r="B686" s="61" t="s">
        <v>145</v>
      </c>
      <c r="C686">
        <v>1146</v>
      </c>
      <c r="D686" s="57" t="s">
        <v>49</v>
      </c>
      <c r="E686" s="57">
        <v>45030</v>
      </c>
      <c r="F686" s="62">
        <v>2180</v>
      </c>
      <c r="G686" s="62">
        <v>2050</v>
      </c>
      <c r="H686" s="62">
        <v>2041</v>
      </c>
      <c r="I686" s="60">
        <f t="shared" si="40"/>
        <v>1.7888307155322862</v>
      </c>
      <c r="J686" s="60">
        <f t="shared" si="41"/>
        <v>-9</v>
      </c>
      <c r="K686" s="60">
        <f t="shared" si="42"/>
        <v>1.7809773123909249</v>
      </c>
      <c r="L686" s="60">
        <f t="shared" si="43"/>
        <v>-7.8534031413612926E-3</v>
      </c>
    </row>
    <row r="687" spans="1:12" x14ac:dyDescent="0.25">
      <c r="A687" s="57" t="s">
        <v>79</v>
      </c>
      <c r="B687" s="61" t="s">
        <v>55</v>
      </c>
      <c r="C687">
        <v>764</v>
      </c>
      <c r="D687" s="57" t="s">
        <v>352</v>
      </c>
      <c r="E687" s="57">
        <v>45031</v>
      </c>
      <c r="F687" s="62">
        <v>1615</v>
      </c>
      <c r="G687" s="62">
        <v>1820</v>
      </c>
      <c r="H687" s="62">
        <v>1865</v>
      </c>
      <c r="I687" s="60">
        <f t="shared" si="40"/>
        <v>2.3821989528795813</v>
      </c>
      <c r="J687" s="60">
        <f t="shared" si="41"/>
        <v>45</v>
      </c>
      <c r="K687" s="60">
        <f t="shared" si="42"/>
        <v>2.4410994764397906</v>
      </c>
      <c r="L687" s="60">
        <f t="shared" si="43"/>
        <v>5.8900523560209361E-2</v>
      </c>
    </row>
    <row r="688" spans="1:12" x14ac:dyDescent="0.25">
      <c r="A688" s="57" t="s">
        <v>102</v>
      </c>
      <c r="B688" s="61" t="s">
        <v>86</v>
      </c>
      <c r="C688">
        <v>810</v>
      </c>
      <c r="D688" s="57" t="s">
        <v>352</v>
      </c>
      <c r="E688" s="57">
        <v>45034</v>
      </c>
      <c r="F688" s="62">
        <v>1505</v>
      </c>
      <c r="G688" s="62">
        <v>1585</v>
      </c>
      <c r="H688" s="62">
        <v>1601</v>
      </c>
      <c r="I688" s="60">
        <f t="shared" si="40"/>
        <v>1.9567901234567902</v>
      </c>
      <c r="J688" s="60">
        <f t="shared" si="41"/>
        <v>16</v>
      </c>
      <c r="K688" s="60">
        <f t="shared" si="42"/>
        <v>1.9765432098765432</v>
      </c>
      <c r="L688" s="60">
        <f t="shared" si="43"/>
        <v>1.9753086419753041E-2</v>
      </c>
    </row>
    <row r="689" spans="1:12" x14ac:dyDescent="0.25">
      <c r="A689" s="57" t="s">
        <v>123</v>
      </c>
      <c r="B689" s="61" t="s">
        <v>57</v>
      </c>
      <c r="C689">
        <v>700</v>
      </c>
      <c r="D689" s="57" t="s">
        <v>352</v>
      </c>
      <c r="E689" s="57">
        <v>45035</v>
      </c>
      <c r="F689" s="62">
        <v>1515</v>
      </c>
      <c r="G689" s="62">
        <v>1478</v>
      </c>
      <c r="H689" s="62">
        <v>1537</v>
      </c>
      <c r="I689" s="60">
        <f t="shared" si="40"/>
        <v>2.1114285714285712</v>
      </c>
      <c r="J689" s="60">
        <f t="shared" si="41"/>
        <v>59</v>
      </c>
      <c r="K689" s="60">
        <f t="shared" si="42"/>
        <v>2.1957142857142857</v>
      </c>
      <c r="L689" s="60">
        <f t="shared" si="43"/>
        <v>8.4285714285714519E-2</v>
      </c>
    </row>
    <row r="690" spans="1:12" x14ac:dyDescent="0.25">
      <c r="A690" s="57" t="s">
        <v>63</v>
      </c>
      <c r="B690" s="61" t="s">
        <v>57</v>
      </c>
      <c r="C690">
        <v>700</v>
      </c>
      <c r="D690" s="57" t="s">
        <v>49</v>
      </c>
      <c r="E690" s="57">
        <v>45036</v>
      </c>
      <c r="F690" s="62">
        <v>1560</v>
      </c>
      <c r="G690" s="62">
        <v>1670</v>
      </c>
      <c r="H690" s="62">
        <v>1555</v>
      </c>
      <c r="I690" s="60">
        <f t="shared" si="40"/>
        <v>2.3857142857142857</v>
      </c>
      <c r="J690" s="60">
        <f t="shared" si="41"/>
        <v>-115</v>
      </c>
      <c r="K690" s="60">
        <f t="shared" si="42"/>
        <v>2.2214285714285715</v>
      </c>
      <c r="L690" s="60">
        <f t="shared" si="43"/>
        <v>-0.16428571428571415</v>
      </c>
    </row>
    <row r="691" spans="1:12" x14ac:dyDescent="0.25">
      <c r="A691" s="57" t="s">
        <v>241</v>
      </c>
      <c r="B691" s="61" t="s">
        <v>59</v>
      </c>
      <c r="C691">
        <v>1115</v>
      </c>
      <c r="D691" s="57" t="s">
        <v>49</v>
      </c>
      <c r="E691" s="57">
        <v>45037</v>
      </c>
      <c r="F691" s="62">
        <v>2165</v>
      </c>
      <c r="G691" s="62">
        <v>1871</v>
      </c>
      <c r="H691" s="62">
        <v>2020</v>
      </c>
      <c r="I691" s="60">
        <f t="shared" si="40"/>
        <v>1.6780269058295965</v>
      </c>
      <c r="J691" s="60">
        <f t="shared" si="41"/>
        <v>149</v>
      </c>
      <c r="K691" s="60">
        <f t="shared" si="42"/>
        <v>1.811659192825112</v>
      </c>
      <c r="L691" s="60">
        <f t="shared" si="43"/>
        <v>0.13363228699551555</v>
      </c>
    </row>
    <row r="692" spans="1:12" x14ac:dyDescent="0.25">
      <c r="A692" s="57" t="s">
        <v>271</v>
      </c>
      <c r="B692" s="61" t="s">
        <v>51</v>
      </c>
      <c r="C692">
        <v>848</v>
      </c>
      <c r="D692" s="57" t="s">
        <v>352</v>
      </c>
      <c r="E692" s="57">
        <v>45038</v>
      </c>
      <c r="F692" s="62">
        <v>1765</v>
      </c>
      <c r="G692" s="62">
        <v>1740</v>
      </c>
      <c r="H692" s="62">
        <v>1757</v>
      </c>
      <c r="I692" s="60">
        <f t="shared" si="40"/>
        <v>2.0518867924528301</v>
      </c>
      <c r="J692" s="60">
        <f t="shared" si="41"/>
        <v>17</v>
      </c>
      <c r="K692" s="60">
        <f t="shared" si="42"/>
        <v>2.0719339622641511</v>
      </c>
      <c r="L692" s="60">
        <f t="shared" si="43"/>
        <v>2.0047169811320931E-2</v>
      </c>
    </row>
    <row r="693" spans="1:12" x14ac:dyDescent="0.25">
      <c r="A693" s="57" t="s">
        <v>98</v>
      </c>
      <c r="B693" s="61" t="s">
        <v>82</v>
      </c>
      <c r="C693">
        <v>1112</v>
      </c>
      <c r="D693" s="57" t="s">
        <v>49</v>
      </c>
      <c r="E693" s="57">
        <v>45040</v>
      </c>
      <c r="F693" s="62">
        <v>2125</v>
      </c>
      <c r="G693" s="62">
        <v>1848</v>
      </c>
      <c r="H693" s="62">
        <v>1855</v>
      </c>
      <c r="I693" s="60">
        <f t="shared" si="40"/>
        <v>1.6618705035971224</v>
      </c>
      <c r="J693" s="60">
        <f t="shared" si="41"/>
        <v>7</v>
      </c>
      <c r="K693" s="60">
        <f t="shared" si="42"/>
        <v>1.6681654676258992</v>
      </c>
      <c r="L693" s="60">
        <f t="shared" si="43"/>
        <v>6.2949640287768283E-3</v>
      </c>
    </row>
    <row r="694" spans="1:12" x14ac:dyDescent="0.25">
      <c r="A694" s="57" t="s">
        <v>131</v>
      </c>
      <c r="B694" s="61" t="s">
        <v>82</v>
      </c>
      <c r="C694">
        <v>1112</v>
      </c>
      <c r="D694" s="57" t="s">
        <v>352</v>
      </c>
      <c r="E694" s="57">
        <v>45042</v>
      </c>
      <c r="F694" s="62">
        <v>2125</v>
      </c>
      <c r="G694" s="62">
        <v>1904</v>
      </c>
      <c r="H694" s="62">
        <v>1945</v>
      </c>
      <c r="I694" s="60">
        <f t="shared" si="40"/>
        <v>1.7122302158273381</v>
      </c>
      <c r="J694" s="60">
        <f t="shared" si="41"/>
        <v>41</v>
      </c>
      <c r="K694" s="60">
        <f t="shared" si="42"/>
        <v>1.7491007194244603</v>
      </c>
      <c r="L694" s="60">
        <f t="shared" si="43"/>
        <v>3.6870503597122184E-2</v>
      </c>
    </row>
    <row r="695" spans="1:12" x14ac:dyDescent="0.25">
      <c r="A695" s="57" t="s">
        <v>88</v>
      </c>
      <c r="B695" s="61" t="s">
        <v>82</v>
      </c>
      <c r="C695">
        <v>1112</v>
      </c>
      <c r="D695" s="57" t="s">
        <v>49</v>
      </c>
      <c r="E695" s="57">
        <v>45042</v>
      </c>
      <c r="F695" s="62">
        <v>2145</v>
      </c>
      <c r="G695" s="62">
        <v>2145</v>
      </c>
      <c r="H695" s="62">
        <v>1875</v>
      </c>
      <c r="I695" s="60">
        <f t="shared" si="40"/>
        <v>1.9289568345323742</v>
      </c>
      <c r="J695" s="60">
        <f t="shared" si="41"/>
        <v>-270</v>
      </c>
      <c r="K695" s="60">
        <f t="shared" si="42"/>
        <v>1.6861510791366907</v>
      </c>
      <c r="L695" s="60">
        <f t="shared" si="43"/>
        <v>-0.2428057553956835</v>
      </c>
    </row>
    <row r="696" spans="1:12" x14ac:dyDescent="0.25">
      <c r="A696" s="57" t="s">
        <v>117</v>
      </c>
      <c r="B696" s="61" t="s">
        <v>74</v>
      </c>
      <c r="C696">
        <v>1169</v>
      </c>
      <c r="D696" s="57" t="s">
        <v>49</v>
      </c>
      <c r="E696" s="57">
        <v>45044</v>
      </c>
      <c r="F696" s="62">
        <v>2240</v>
      </c>
      <c r="G696" s="62">
        <v>2280</v>
      </c>
      <c r="H696" s="62">
        <v>2360</v>
      </c>
      <c r="I696" s="60">
        <f t="shared" si="40"/>
        <v>1.9503849443969203</v>
      </c>
      <c r="J696" s="60">
        <f t="shared" si="41"/>
        <v>80</v>
      </c>
      <c r="K696" s="60">
        <f t="shared" si="42"/>
        <v>2.0188195038494441</v>
      </c>
      <c r="L696" s="60">
        <f t="shared" si="43"/>
        <v>6.8434559452523747E-2</v>
      </c>
    </row>
    <row r="697" spans="1:12" x14ac:dyDescent="0.25">
      <c r="A697" s="57" t="s">
        <v>80</v>
      </c>
      <c r="B697" s="61" t="s">
        <v>74</v>
      </c>
      <c r="C697">
        <v>1169</v>
      </c>
      <c r="D697" s="57" t="s">
        <v>352</v>
      </c>
      <c r="E697" s="57">
        <v>45046</v>
      </c>
      <c r="F697" s="62">
        <v>2195</v>
      </c>
      <c r="G697" s="62">
        <v>2241</v>
      </c>
      <c r="H697" s="62">
        <v>2263</v>
      </c>
      <c r="I697" s="60">
        <f t="shared" si="40"/>
        <v>1.9170230966638153</v>
      </c>
      <c r="J697" s="60">
        <f t="shared" si="41"/>
        <v>22</v>
      </c>
      <c r="K697" s="60">
        <f t="shared" si="42"/>
        <v>1.9358426005132592</v>
      </c>
      <c r="L697" s="60">
        <f t="shared" si="43"/>
        <v>1.8819503849443864E-2</v>
      </c>
    </row>
    <row r="698" spans="1:12" x14ac:dyDescent="0.25">
      <c r="A698" s="57" t="s">
        <v>124</v>
      </c>
      <c r="B698" s="61" t="s">
        <v>65</v>
      </c>
      <c r="C698">
        <v>813</v>
      </c>
      <c r="D698" s="57" t="s">
        <v>49</v>
      </c>
      <c r="E698" s="57">
        <v>45047</v>
      </c>
      <c r="F698" s="62">
        <v>1580</v>
      </c>
      <c r="G698" s="62">
        <v>1517</v>
      </c>
      <c r="H698" s="62">
        <v>1585</v>
      </c>
      <c r="I698" s="60">
        <f t="shared" si="40"/>
        <v>1.8659286592865929</v>
      </c>
      <c r="J698" s="60">
        <f t="shared" si="41"/>
        <v>68</v>
      </c>
      <c r="K698" s="60">
        <f t="shared" si="42"/>
        <v>1.949569495694957</v>
      </c>
      <c r="L698" s="60">
        <f t="shared" si="43"/>
        <v>8.3640836408364061E-2</v>
      </c>
    </row>
    <row r="699" spans="1:12" x14ac:dyDescent="0.25">
      <c r="A699" s="57" t="s">
        <v>140</v>
      </c>
      <c r="B699" s="61" t="s">
        <v>74</v>
      </c>
      <c r="C699">
        <v>1169</v>
      </c>
      <c r="D699" s="57" t="s">
        <v>352</v>
      </c>
      <c r="E699" s="57">
        <v>45048</v>
      </c>
      <c r="F699" s="62">
        <v>2240</v>
      </c>
      <c r="G699" s="62">
        <v>2054</v>
      </c>
      <c r="H699" s="62">
        <v>2075</v>
      </c>
      <c r="I699" s="60">
        <f t="shared" si="40"/>
        <v>1.7570573139435415</v>
      </c>
      <c r="J699" s="60">
        <f t="shared" si="41"/>
        <v>21</v>
      </c>
      <c r="K699" s="60">
        <f t="shared" si="42"/>
        <v>1.7750213857998289</v>
      </c>
      <c r="L699" s="60">
        <f t="shared" si="43"/>
        <v>1.7964071856287456E-2</v>
      </c>
    </row>
    <row r="700" spans="1:12" x14ac:dyDescent="0.25">
      <c r="A700" s="57" t="s">
        <v>247</v>
      </c>
      <c r="B700" s="61" t="s">
        <v>57</v>
      </c>
      <c r="C700">
        <v>700</v>
      </c>
      <c r="D700" s="57" t="s">
        <v>49</v>
      </c>
      <c r="E700" s="57">
        <v>45048</v>
      </c>
      <c r="F700" s="62">
        <v>1515</v>
      </c>
      <c r="G700" s="62">
        <v>1490</v>
      </c>
      <c r="H700" s="62">
        <v>1555</v>
      </c>
      <c r="I700" s="60">
        <f t="shared" si="40"/>
        <v>2.1285714285714286</v>
      </c>
      <c r="J700" s="60">
        <f t="shared" si="41"/>
        <v>65</v>
      </c>
      <c r="K700" s="60">
        <f t="shared" si="42"/>
        <v>2.2214285714285715</v>
      </c>
      <c r="L700" s="60">
        <f t="shared" si="43"/>
        <v>9.2857142857142971E-2</v>
      </c>
    </row>
    <row r="701" spans="1:12" x14ac:dyDescent="0.25">
      <c r="A701" s="57" t="s">
        <v>138</v>
      </c>
      <c r="B701" s="61" t="s">
        <v>86</v>
      </c>
      <c r="C701">
        <v>810</v>
      </c>
      <c r="D701" s="57" t="s">
        <v>352</v>
      </c>
      <c r="E701" s="57">
        <v>45049</v>
      </c>
      <c r="F701" s="62">
        <v>1580</v>
      </c>
      <c r="G701" s="62">
        <v>1610</v>
      </c>
      <c r="H701" s="62">
        <v>1710</v>
      </c>
      <c r="I701" s="60">
        <f t="shared" si="40"/>
        <v>1.9876543209876543</v>
      </c>
      <c r="J701" s="60">
        <f t="shared" si="41"/>
        <v>100</v>
      </c>
      <c r="K701" s="60">
        <f t="shared" si="42"/>
        <v>2.1111111111111112</v>
      </c>
      <c r="L701" s="60">
        <f t="shared" si="43"/>
        <v>0.12345679012345689</v>
      </c>
    </row>
    <row r="702" spans="1:12" x14ac:dyDescent="0.25">
      <c r="A702" s="57" t="s">
        <v>47</v>
      </c>
      <c r="B702" s="61" t="s">
        <v>48</v>
      </c>
      <c r="C702">
        <v>806</v>
      </c>
      <c r="D702" s="57" t="s">
        <v>352</v>
      </c>
      <c r="E702" s="57">
        <v>45049</v>
      </c>
      <c r="F702" s="62">
        <v>1620</v>
      </c>
      <c r="G702" s="62">
        <v>1639</v>
      </c>
      <c r="H702" s="62">
        <v>1692</v>
      </c>
      <c r="I702" s="60">
        <f t="shared" si="40"/>
        <v>2.033498759305211</v>
      </c>
      <c r="J702" s="60">
        <f t="shared" si="41"/>
        <v>53</v>
      </c>
      <c r="K702" s="60">
        <f t="shared" si="42"/>
        <v>2.0992555831265509</v>
      </c>
      <c r="L702" s="60">
        <f t="shared" si="43"/>
        <v>6.575682382133996E-2</v>
      </c>
    </row>
    <row r="703" spans="1:12" x14ac:dyDescent="0.25">
      <c r="A703" s="57" t="s">
        <v>135</v>
      </c>
      <c r="B703" s="61" t="s">
        <v>86</v>
      </c>
      <c r="C703">
        <v>810</v>
      </c>
      <c r="D703" s="57" t="s">
        <v>49</v>
      </c>
      <c r="E703" s="57">
        <v>45050</v>
      </c>
      <c r="F703" s="62">
        <v>1600</v>
      </c>
      <c r="G703" s="62">
        <v>1624</v>
      </c>
      <c r="H703" s="62">
        <v>1585</v>
      </c>
      <c r="I703" s="60">
        <f t="shared" si="40"/>
        <v>2.0049382716049382</v>
      </c>
      <c r="J703" s="60">
        <f t="shared" si="41"/>
        <v>-39</v>
      </c>
      <c r="K703" s="60">
        <f t="shared" si="42"/>
        <v>1.9567901234567902</v>
      </c>
      <c r="L703" s="60">
        <f t="shared" si="43"/>
        <v>-4.8148148148148051E-2</v>
      </c>
    </row>
    <row r="704" spans="1:12" x14ac:dyDescent="0.25">
      <c r="A704" s="57" t="s">
        <v>330</v>
      </c>
      <c r="B704" s="61" t="s">
        <v>320</v>
      </c>
      <c r="C704">
        <v>950</v>
      </c>
      <c r="D704" s="57" t="s">
        <v>49</v>
      </c>
      <c r="E704" s="57">
        <v>45050</v>
      </c>
      <c r="F704" s="62">
        <v>1795</v>
      </c>
      <c r="G704" s="62">
        <v>1813</v>
      </c>
      <c r="H704" s="62">
        <v>1675</v>
      </c>
      <c r="I704" s="60">
        <f t="shared" si="40"/>
        <v>1.908421052631579</v>
      </c>
      <c r="J704" s="60">
        <f t="shared" si="41"/>
        <v>-138</v>
      </c>
      <c r="K704" s="60">
        <f t="shared" si="42"/>
        <v>1.763157894736842</v>
      </c>
      <c r="L704" s="60">
        <f t="shared" si="43"/>
        <v>-0.14526315789473698</v>
      </c>
    </row>
    <row r="705" spans="1:12" x14ac:dyDescent="0.25">
      <c r="A705" s="57" t="s">
        <v>262</v>
      </c>
      <c r="B705" s="61" t="s">
        <v>59</v>
      </c>
      <c r="C705">
        <v>1115</v>
      </c>
      <c r="D705" s="57" t="s">
        <v>352</v>
      </c>
      <c r="E705" s="57">
        <v>45055</v>
      </c>
      <c r="F705" s="62">
        <v>2165</v>
      </c>
      <c r="G705" s="62">
        <v>2030</v>
      </c>
      <c r="H705" s="62">
        <v>2215</v>
      </c>
      <c r="I705" s="60">
        <f t="shared" si="40"/>
        <v>1.8206278026905829</v>
      </c>
      <c r="J705" s="60">
        <f t="shared" si="41"/>
        <v>185</v>
      </c>
      <c r="K705" s="60">
        <f t="shared" si="42"/>
        <v>1.9865470852017937</v>
      </c>
      <c r="L705" s="60">
        <f t="shared" si="43"/>
        <v>0.1659192825112108</v>
      </c>
    </row>
    <row r="706" spans="1:12" x14ac:dyDescent="0.25">
      <c r="A706" s="57" t="s">
        <v>236</v>
      </c>
      <c r="B706" s="61" t="s">
        <v>57</v>
      </c>
      <c r="C706">
        <v>700</v>
      </c>
      <c r="D706" s="57" t="s">
        <v>49</v>
      </c>
      <c r="E706" s="57">
        <v>45056</v>
      </c>
      <c r="F706" s="62">
        <v>1515</v>
      </c>
      <c r="G706" s="62">
        <v>1269.23</v>
      </c>
      <c r="H706" s="62">
        <v>1500</v>
      </c>
      <c r="I706" s="60">
        <f t="shared" ref="I706:I769" si="44">G706/C706</f>
        <v>1.8131857142857144</v>
      </c>
      <c r="J706" s="60">
        <f t="shared" ref="J706:J769" si="45">SUM(H706-G706)</f>
        <v>230.76999999999998</v>
      </c>
      <c r="K706" s="60">
        <f t="shared" ref="K706:K769" si="46">H706/C706</f>
        <v>2.1428571428571428</v>
      </c>
      <c r="L706" s="60">
        <f t="shared" ref="L706:L769" si="47">K706-I706</f>
        <v>0.32967142857142839</v>
      </c>
    </row>
    <row r="707" spans="1:12" x14ac:dyDescent="0.25">
      <c r="A707" s="57" t="s">
        <v>157</v>
      </c>
      <c r="B707" s="61" t="s">
        <v>65</v>
      </c>
      <c r="C707">
        <v>813</v>
      </c>
      <c r="D707" s="57" t="s">
        <v>352</v>
      </c>
      <c r="E707" s="57">
        <v>45058</v>
      </c>
      <c r="F707" s="62">
        <v>1580</v>
      </c>
      <c r="G707" s="62">
        <v>1593</v>
      </c>
      <c r="H707" s="62">
        <v>1691</v>
      </c>
      <c r="I707" s="60">
        <f t="shared" si="44"/>
        <v>1.9594095940959411</v>
      </c>
      <c r="J707" s="60">
        <f t="shared" si="45"/>
        <v>98</v>
      </c>
      <c r="K707" s="60">
        <f t="shared" si="46"/>
        <v>2.0799507995079951</v>
      </c>
      <c r="L707" s="60">
        <f t="shared" si="47"/>
        <v>0.12054120541205404</v>
      </c>
    </row>
    <row r="708" spans="1:12" x14ac:dyDescent="0.25">
      <c r="A708" s="57" t="s">
        <v>347</v>
      </c>
      <c r="B708" s="61" t="s">
        <v>48</v>
      </c>
      <c r="C708">
        <v>806</v>
      </c>
      <c r="D708" s="57" t="s">
        <v>49</v>
      </c>
      <c r="E708" s="57">
        <v>45058</v>
      </c>
      <c r="F708" s="62">
        <v>1620</v>
      </c>
      <c r="G708" s="62">
        <v>1895</v>
      </c>
      <c r="H708" s="62">
        <v>1596</v>
      </c>
      <c r="I708" s="60">
        <f t="shared" si="44"/>
        <v>2.3511166253101736</v>
      </c>
      <c r="J708" s="60">
        <f t="shared" si="45"/>
        <v>-299</v>
      </c>
      <c r="K708" s="60">
        <f t="shared" si="46"/>
        <v>1.9801488833746899</v>
      </c>
      <c r="L708" s="60">
        <f t="shared" si="47"/>
        <v>-0.37096774193548376</v>
      </c>
    </row>
    <row r="709" spans="1:12" x14ac:dyDescent="0.25">
      <c r="A709" s="57" t="s">
        <v>150</v>
      </c>
      <c r="B709" s="61" t="s">
        <v>151</v>
      </c>
      <c r="C709">
        <v>1141</v>
      </c>
      <c r="D709" s="57" t="s">
        <v>352</v>
      </c>
      <c r="E709" s="57">
        <v>45062</v>
      </c>
      <c r="F709" s="62">
        <v>2150</v>
      </c>
      <c r="G709" s="62">
        <v>2515</v>
      </c>
      <c r="H709" s="62">
        <v>2540</v>
      </c>
      <c r="I709" s="60">
        <f t="shared" si="44"/>
        <v>2.2042068361086766</v>
      </c>
      <c r="J709" s="60">
        <f t="shared" si="45"/>
        <v>25</v>
      </c>
      <c r="K709" s="60">
        <f t="shared" si="46"/>
        <v>2.2261174408413673</v>
      </c>
      <c r="L709" s="60">
        <f t="shared" si="47"/>
        <v>2.1910604732690686E-2</v>
      </c>
    </row>
    <row r="710" spans="1:12" x14ac:dyDescent="0.25">
      <c r="A710" s="57" t="s">
        <v>165</v>
      </c>
      <c r="B710" s="61" t="s">
        <v>59</v>
      </c>
      <c r="C710">
        <v>1115</v>
      </c>
      <c r="D710" s="57" t="s">
        <v>352</v>
      </c>
      <c r="E710" s="57">
        <v>45062</v>
      </c>
      <c r="F710" s="62">
        <v>2135</v>
      </c>
      <c r="G710" s="62">
        <v>1982</v>
      </c>
      <c r="H710" s="62">
        <v>2002</v>
      </c>
      <c r="I710" s="60">
        <f t="shared" si="44"/>
        <v>1.7775784753363228</v>
      </c>
      <c r="J710" s="60">
        <f t="shared" si="45"/>
        <v>20</v>
      </c>
      <c r="K710" s="60">
        <f t="shared" si="46"/>
        <v>1.7955156950672646</v>
      </c>
      <c r="L710" s="60">
        <f t="shared" si="47"/>
        <v>1.7937219730941756E-2</v>
      </c>
    </row>
    <row r="711" spans="1:12" x14ac:dyDescent="0.25">
      <c r="A711" s="57" t="s">
        <v>158</v>
      </c>
      <c r="B711" s="61" t="s">
        <v>57</v>
      </c>
      <c r="C711">
        <v>700</v>
      </c>
      <c r="D711" s="57" t="s">
        <v>352</v>
      </c>
      <c r="E711" s="57">
        <v>45063</v>
      </c>
      <c r="F711" s="62">
        <v>1515</v>
      </c>
      <c r="G711" s="62">
        <v>1484</v>
      </c>
      <c r="H711" s="62">
        <v>1571</v>
      </c>
      <c r="I711" s="60">
        <f t="shared" si="44"/>
        <v>2.12</v>
      </c>
      <c r="J711" s="60">
        <f t="shared" si="45"/>
        <v>87</v>
      </c>
      <c r="K711" s="60">
        <f t="shared" si="46"/>
        <v>2.2442857142857142</v>
      </c>
      <c r="L711" s="60">
        <f t="shared" si="47"/>
        <v>0.12428571428571411</v>
      </c>
    </row>
    <row r="712" spans="1:12" x14ac:dyDescent="0.25">
      <c r="A712" s="57" t="s">
        <v>132</v>
      </c>
      <c r="B712" s="61" t="s">
        <v>82</v>
      </c>
      <c r="C712">
        <v>1112</v>
      </c>
      <c r="D712" s="57" t="s">
        <v>49</v>
      </c>
      <c r="E712" s="57">
        <v>45065</v>
      </c>
      <c r="F712" s="62">
        <v>2145</v>
      </c>
      <c r="G712" s="62">
        <v>1871</v>
      </c>
      <c r="H712" s="62">
        <v>1875</v>
      </c>
      <c r="I712" s="60">
        <f t="shared" si="44"/>
        <v>1.6825539568345325</v>
      </c>
      <c r="J712" s="60">
        <f t="shared" si="45"/>
        <v>4</v>
      </c>
      <c r="K712" s="60">
        <f t="shared" si="46"/>
        <v>1.6861510791366907</v>
      </c>
      <c r="L712" s="60">
        <f t="shared" si="47"/>
        <v>3.597122302158251E-3</v>
      </c>
    </row>
    <row r="713" spans="1:12" x14ac:dyDescent="0.25">
      <c r="A713" s="57" t="s">
        <v>142</v>
      </c>
      <c r="B713" s="61" t="s">
        <v>57</v>
      </c>
      <c r="C713">
        <v>700</v>
      </c>
      <c r="D713" s="57" t="s">
        <v>352</v>
      </c>
      <c r="E713" s="57">
        <v>45066</v>
      </c>
      <c r="F713" s="62">
        <v>1465</v>
      </c>
      <c r="G713" s="62">
        <v>1680</v>
      </c>
      <c r="H713" s="62">
        <v>1697</v>
      </c>
      <c r="I713" s="60">
        <f t="shared" si="44"/>
        <v>2.4</v>
      </c>
      <c r="J713" s="60">
        <f t="shared" si="45"/>
        <v>17</v>
      </c>
      <c r="K713" s="60">
        <f t="shared" si="46"/>
        <v>2.4242857142857144</v>
      </c>
      <c r="L713" s="60">
        <f t="shared" si="47"/>
        <v>2.4285714285714466E-2</v>
      </c>
    </row>
    <row r="714" spans="1:12" x14ac:dyDescent="0.25">
      <c r="A714" s="57" t="s">
        <v>118</v>
      </c>
      <c r="B714" s="61" t="s">
        <v>59</v>
      </c>
      <c r="C714">
        <v>1115</v>
      </c>
      <c r="D714" s="57" t="s">
        <v>49</v>
      </c>
      <c r="E714" s="57">
        <v>45068</v>
      </c>
      <c r="F714" s="62">
        <v>2135</v>
      </c>
      <c r="G714" s="62">
        <v>2180</v>
      </c>
      <c r="H714" s="62">
        <v>2075</v>
      </c>
      <c r="I714" s="60">
        <f t="shared" si="44"/>
        <v>1.9551569506726458</v>
      </c>
      <c r="J714" s="60">
        <f t="shared" si="45"/>
        <v>-105</v>
      </c>
      <c r="K714" s="60">
        <f t="shared" si="46"/>
        <v>1.8609865470852018</v>
      </c>
      <c r="L714" s="60">
        <f t="shared" si="47"/>
        <v>-9.4170403587443996E-2</v>
      </c>
    </row>
    <row r="715" spans="1:12" x14ac:dyDescent="0.25">
      <c r="A715" s="57" t="s">
        <v>155</v>
      </c>
      <c r="B715" s="61" t="s">
        <v>57</v>
      </c>
      <c r="C715">
        <v>700</v>
      </c>
      <c r="D715" s="57" t="s">
        <v>352</v>
      </c>
      <c r="E715" s="57">
        <v>45076</v>
      </c>
      <c r="F715" s="62">
        <v>1515</v>
      </c>
      <c r="G715" s="62">
        <v>1610</v>
      </c>
      <c r="H715" s="62">
        <v>1646</v>
      </c>
      <c r="I715" s="60">
        <f t="shared" si="44"/>
        <v>2.2999999999999998</v>
      </c>
      <c r="J715" s="60">
        <f t="shared" si="45"/>
        <v>36</v>
      </c>
      <c r="K715" s="60">
        <f t="shared" si="46"/>
        <v>2.3514285714285714</v>
      </c>
      <c r="L715" s="60">
        <f t="shared" si="47"/>
        <v>5.1428571428571601E-2</v>
      </c>
    </row>
    <row r="716" spans="1:12" x14ac:dyDescent="0.25">
      <c r="A716" s="57" t="s">
        <v>133</v>
      </c>
      <c r="B716" s="61" t="s">
        <v>86</v>
      </c>
      <c r="C716">
        <v>810</v>
      </c>
      <c r="D716" s="57" t="s">
        <v>49</v>
      </c>
      <c r="E716" s="57">
        <v>45076</v>
      </c>
      <c r="F716" s="62">
        <v>1555</v>
      </c>
      <c r="G716" s="62">
        <v>1514</v>
      </c>
      <c r="H716" s="62">
        <v>1575</v>
      </c>
      <c r="I716" s="60">
        <f t="shared" si="44"/>
        <v>1.8691358024691358</v>
      </c>
      <c r="J716" s="60">
        <f t="shared" si="45"/>
        <v>61</v>
      </c>
      <c r="K716" s="60">
        <f t="shared" si="46"/>
        <v>1.9444444444444444</v>
      </c>
      <c r="L716" s="60">
        <f t="shared" si="47"/>
        <v>7.5308641975308621E-2</v>
      </c>
    </row>
    <row r="717" spans="1:12" x14ac:dyDescent="0.25">
      <c r="A717" s="57" t="s">
        <v>326</v>
      </c>
      <c r="B717" s="61" t="s">
        <v>61</v>
      </c>
      <c r="C717">
        <v>820</v>
      </c>
      <c r="D717" s="57" t="s">
        <v>352</v>
      </c>
      <c r="E717" s="57">
        <v>45076</v>
      </c>
      <c r="F717" s="62">
        <v>1660</v>
      </c>
      <c r="G717" s="62">
        <v>1722</v>
      </c>
      <c r="H717" s="62">
        <v>1610</v>
      </c>
      <c r="I717" s="60">
        <f t="shared" si="44"/>
        <v>2.1</v>
      </c>
      <c r="J717" s="60">
        <f t="shared" si="45"/>
        <v>-112</v>
      </c>
      <c r="K717" s="60">
        <f t="shared" si="46"/>
        <v>1.9634146341463414</v>
      </c>
      <c r="L717" s="60">
        <f t="shared" si="47"/>
        <v>-0.13658536585365866</v>
      </c>
    </row>
    <row r="718" spans="1:12" x14ac:dyDescent="0.25">
      <c r="A718" s="57" t="s">
        <v>179</v>
      </c>
      <c r="B718" s="61" t="s">
        <v>86</v>
      </c>
      <c r="C718">
        <v>810</v>
      </c>
      <c r="D718" s="57" t="s">
        <v>352</v>
      </c>
      <c r="E718" s="57">
        <v>45077</v>
      </c>
      <c r="F718" s="62">
        <v>1555</v>
      </c>
      <c r="G718" s="62">
        <v>1577</v>
      </c>
      <c r="H718" s="62">
        <v>1667</v>
      </c>
      <c r="I718" s="60">
        <f t="shared" si="44"/>
        <v>1.9469135802469135</v>
      </c>
      <c r="J718" s="60">
        <f t="shared" si="45"/>
        <v>90</v>
      </c>
      <c r="K718" s="60">
        <f t="shared" si="46"/>
        <v>2.0580246913580247</v>
      </c>
      <c r="L718" s="60">
        <f t="shared" si="47"/>
        <v>0.11111111111111116</v>
      </c>
    </row>
    <row r="719" spans="1:12" x14ac:dyDescent="0.25">
      <c r="A719" s="57" t="s">
        <v>180</v>
      </c>
      <c r="B719" s="61" t="s">
        <v>65</v>
      </c>
      <c r="C719">
        <v>813</v>
      </c>
      <c r="D719" s="57" t="s">
        <v>352</v>
      </c>
      <c r="E719" s="57">
        <v>45077</v>
      </c>
      <c r="F719" s="62">
        <v>1580</v>
      </c>
      <c r="G719" s="62">
        <v>1618</v>
      </c>
      <c r="H719" s="62">
        <v>1696</v>
      </c>
      <c r="I719" s="60">
        <f t="shared" si="44"/>
        <v>1.9901599015990159</v>
      </c>
      <c r="J719" s="60">
        <f t="shared" si="45"/>
        <v>78</v>
      </c>
      <c r="K719" s="60">
        <f t="shared" si="46"/>
        <v>2.0861008610086103</v>
      </c>
      <c r="L719" s="60">
        <f t="shared" si="47"/>
        <v>9.5940959409594351E-2</v>
      </c>
    </row>
    <row r="720" spans="1:12" x14ac:dyDescent="0.25">
      <c r="A720" s="57" t="s">
        <v>166</v>
      </c>
      <c r="B720" s="61" t="s">
        <v>151</v>
      </c>
      <c r="C720">
        <v>1141</v>
      </c>
      <c r="D720" s="57" t="s">
        <v>49</v>
      </c>
      <c r="E720" s="57">
        <v>45078</v>
      </c>
      <c r="F720" s="62">
        <v>2150</v>
      </c>
      <c r="G720" s="62">
        <v>2128</v>
      </c>
      <c r="H720" s="62">
        <v>2210</v>
      </c>
      <c r="I720" s="60">
        <f t="shared" si="44"/>
        <v>1.8650306748466257</v>
      </c>
      <c r="J720" s="60">
        <f t="shared" si="45"/>
        <v>82</v>
      </c>
      <c r="K720" s="60">
        <f t="shared" si="46"/>
        <v>1.9368974583698511</v>
      </c>
      <c r="L720" s="60">
        <f t="shared" si="47"/>
        <v>7.1866783523225397E-2</v>
      </c>
    </row>
    <row r="721" spans="1:12" x14ac:dyDescent="0.25">
      <c r="A721" s="57" t="s">
        <v>177</v>
      </c>
      <c r="B721" s="61" t="s">
        <v>86</v>
      </c>
      <c r="C721">
        <v>810</v>
      </c>
      <c r="D721" s="57" t="s">
        <v>49</v>
      </c>
      <c r="E721" s="57">
        <v>45079</v>
      </c>
      <c r="F721" s="62">
        <v>1555</v>
      </c>
      <c r="G721" s="62">
        <v>1604</v>
      </c>
      <c r="H721" s="62">
        <v>1580</v>
      </c>
      <c r="I721" s="60">
        <f t="shared" si="44"/>
        <v>1.980246913580247</v>
      </c>
      <c r="J721" s="60">
        <f t="shared" si="45"/>
        <v>-24</v>
      </c>
      <c r="K721" s="60">
        <f t="shared" si="46"/>
        <v>1.9506172839506173</v>
      </c>
      <c r="L721" s="60">
        <f t="shared" si="47"/>
        <v>-2.9629629629629672E-2</v>
      </c>
    </row>
    <row r="722" spans="1:12" x14ac:dyDescent="0.25">
      <c r="A722" s="57" t="s">
        <v>160</v>
      </c>
      <c r="B722" s="61" t="s">
        <v>145</v>
      </c>
      <c r="C722">
        <v>1146</v>
      </c>
      <c r="D722" s="57" t="s">
        <v>352</v>
      </c>
      <c r="E722" s="57">
        <v>45079</v>
      </c>
      <c r="F722" s="62">
        <v>2150</v>
      </c>
      <c r="G722" s="62">
        <v>2404</v>
      </c>
      <c r="H722" s="62">
        <v>2030</v>
      </c>
      <c r="I722" s="60">
        <f t="shared" si="44"/>
        <v>2.0977312390924956</v>
      </c>
      <c r="J722" s="60">
        <f t="shared" si="45"/>
        <v>-374</v>
      </c>
      <c r="K722" s="60">
        <f t="shared" si="46"/>
        <v>1.7713787085514834</v>
      </c>
      <c r="L722" s="60">
        <f t="shared" si="47"/>
        <v>-0.32635253054101221</v>
      </c>
    </row>
    <row r="723" spans="1:12" x14ac:dyDescent="0.25">
      <c r="A723" s="57" t="s">
        <v>126</v>
      </c>
      <c r="B723" s="61" t="s">
        <v>86</v>
      </c>
      <c r="C723">
        <v>810</v>
      </c>
      <c r="D723" s="57" t="s">
        <v>352</v>
      </c>
      <c r="E723" s="57">
        <v>45081</v>
      </c>
      <c r="F723" s="62">
        <v>1580</v>
      </c>
      <c r="G723" s="62">
        <v>1725</v>
      </c>
      <c r="H723" s="62">
        <v>1725</v>
      </c>
      <c r="I723" s="60">
        <f t="shared" si="44"/>
        <v>2.1296296296296298</v>
      </c>
      <c r="J723" s="60">
        <f t="shared" si="45"/>
        <v>0</v>
      </c>
      <c r="K723" s="60">
        <f t="shared" si="46"/>
        <v>2.1296296296296298</v>
      </c>
      <c r="L723" s="60">
        <f t="shared" si="47"/>
        <v>0</v>
      </c>
    </row>
    <row r="724" spans="1:12" x14ac:dyDescent="0.25">
      <c r="A724" s="57" t="s">
        <v>194</v>
      </c>
      <c r="B724" s="61" t="s">
        <v>151</v>
      </c>
      <c r="C724">
        <v>1141</v>
      </c>
      <c r="D724" s="57" t="s">
        <v>352</v>
      </c>
      <c r="E724" s="57">
        <v>45084</v>
      </c>
      <c r="F724" s="62">
        <v>2150</v>
      </c>
      <c r="G724" s="62">
        <v>2303</v>
      </c>
      <c r="H724" s="62">
        <v>2303</v>
      </c>
      <c r="I724" s="60">
        <f t="shared" si="44"/>
        <v>2.01840490797546</v>
      </c>
      <c r="J724" s="60">
        <f t="shared" si="45"/>
        <v>0</v>
      </c>
      <c r="K724" s="60">
        <f t="shared" si="46"/>
        <v>2.01840490797546</v>
      </c>
      <c r="L724" s="60">
        <f t="shared" si="47"/>
        <v>0</v>
      </c>
    </row>
    <row r="725" spans="1:12" x14ac:dyDescent="0.25">
      <c r="A725" s="57" t="s">
        <v>189</v>
      </c>
      <c r="B725" s="61" t="s">
        <v>86</v>
      </c>
      <c r="C725">
        <v>810</v>
      </c>
      <c r="D725" s="57" t="s">
        <v>352</v>
      </c>
      <c r="E725" s="57">
        <v>45084</v>
      </c>
      <c r="F725" s="62">
        <v>1580</v>
      </c>
      <c r="G725" s="62">
        <v>1600</v>
      </c>
      <c r="H725" s="62">
        <v>1600</v>
      </c>
      <c r="I725" s="60">
        <f t="shared" si="44"/>
        <v>1.9753086419753085</v>
      </c>
      <c r="J725" s="60">
        <f t="shared" si="45"/>
        <v>0</v>
      </c>
      <c r="K725" s="60">
        <f t="shared" si="46"/>
        <v>1.9753086419753085</v>
      </c>
      <c r="L725" s="60">
        <f t="shared" si="47"/>
        <v>0</v>
      </c>
    </row>
    <row r="726" spans="1:12" x14ac:dyDescent="0.25">
      <c r="A726" s="57" t="s">
        <v>105</v>
      </c>
      <c r="B726" s="61" t="s">
        <v>65</v>
      </c>
      <c r="C726">
        <v>813</v>
      </c>
      <c r="D726" s="57" t="s">
        <v>49</v>
      </c>
      <c r="E726" s="57">
        <v>45086</v>
      </c>
      <c r="F726" s="62">
        <v>1580</v>
      </c>
      <c r="G726" s="62">
        <v>1645</v>
      </c>
      <c r="H726" s="62">
        <v>1555</v>
      </c>
      <c r="I726" s="60">
        <f t="shared" si="44"/>
        <v>2.0233702337023369</v>
      </c>
      <c r="J726" s="60">
        <f t="shared" si="45"/>
        <v>-90</v>
      </c>
      <c r="K726" s="60">
        <f t="shared" si="46"/>
        <v>1.912669126691267</v>
      </c>
      <c r="L726" s="60">
        <f t="shared" si="47"/>
        <v>-0.11070110701106994</v>
      </c>
    </row>
    <row r="727" spans="1:12" x14ac:dyDescent="0.25">
      <c r="A727" s="57" t="s">
        <v>198</v>
      </c>
      <c r="B727" s="61" t="s">
        <v>59</v>
      </c>
      <c r="C727">
        <v>1115</v>
      </c>
      <c r="D727" s="57" t="s">
        <v>352</v>
      </c>
      <c r="E727" s="57">
        <v>45091</v>
      </c>
      <c r="F727" s="62">
        <v>2135</v>
      </c>
      <c r="G727" s="62">
        <v>1986</v>
      </c>
      <c r="H727" s="62">
        <v>1986</v>
      </c>
      <c r="I727" s="60">
        <f t="shared" si="44"/>
        <v>1.7811659192825111</v>
      </c>
      <c r="J727" s="60">
        <f t="shared" si="45"/>
        <v>0</v>
      </c>
      <c r="K727" s="60">
        <f t="shared" si="46"/>
        <v>1.7811659192825111</v>
      </c>
      <c r="L727" s="60">
        <f t="shared" si="47"/>
        <v>0</v>
      </c>
    </row>
    <row r="728" spans="1:12" x14ac:dyDescent="0.25">
      <c r="A728" s="57" t="s">
        <v>208</v>
      </c>
      <c r="B728" s="61" t="s">
        <v>48</v>
      </c>
      <c r="C728">
        <v>806</v>
      </c>
      <c r="D728" s="57" t="s">
        <v>352</v>
      </c>
      <c r="E728" s="57">
        <v>45091</v>
      </c>
      <c r="F728" s="62">
        <v>1620</v>
      </c>
      <c r="G728" s="62">
        <v>1646</v>
      </c>
      <c r="H728" s="62">
        <v>1646</v>
      </c>
      <c r="I728" s="60">
        <f t="shared" si="44"/>
        <v>2.0421836228287842</v>
      </c>
      <c r="J728" s="60">
        <f t="shared" si="45"/>
        <v>0</v>
      </c>
      <c r="K728" s="60">
        <f t="shared" si="46"/>
        <v>2.0421836228287842</v>
      </c>
      <c r="L728" s="60">
        <f t="shared" si="47"/>
        <v>0</v>
      </c>
    </row>
    <row r="729" spans="1:12" x14ac:dyDescent="0.25">
      <c r="A729" s="57" t="s">
        <v>214</v>
      </c>
      <c r="B729" s="61" t="s">
        <v>145</v>
      </c>
      <c r="C729">
        <v>1146</v>
      </c>
      <c r="D729" s="57" t="s">
        <v>352</v>
      </c>
      <c r="E729" s="57">
        <v>45094</v>
      </c>
      <c r="F729" s="62">
        <v>2180</v>
      </c>
      <c r="G729" s="62">
        <v>2079</v>
      </c>
      <c r="H729" s="62">
        <v>2079</v>
      </c>
      <c r="I729" s="60">
        <f t="shared" si="44"/>
        <v>1.8141361256544504</v>
      </c>
      <c r="J729" s="60">
        <f t="shared" si="45"/>
        <v>0</v>
      </c>
      <c r="K729" s="60">
        <f t="shared" si="46"/>
        <v>1.8141361256544504</v>
      </c>
      <c r="L729" s="60">
        <f t="shared" si="47"/>
        <v>0</v>
      </c>
    </row>
    <row r="730" spans="1:12" x14ac:dyDescent="0.25">
      <c r="A730" s="57" t="s">
        <v>121</v>
      </c>
      <c r="B730" s="61" t="s">
        <v>86</v>
      </c>
      <c r="C730">
        <v>810</v>
      </c>
      <c r="D730" s="57" t="s">
        <v>352</v>
      </c>
      <c r="E730" s="57">
        <v>45098</v>
      </c>
      <c r="F730" s="62">
        <v>1555</v>
      </c>
      <c r="G730" s="62">
        <v>1650</v>
      </c>
      <c r="H730" s="62">
        <v>1681</v>
      </c>
      <c r="I730" s="60">
        <f t="shared" si="44"/>
        <v>2.0370370370370372</v>
      </c>
      <c r="J730" s="60">
        <f t="shared" si="45"/>
        <v>31</v>
      </c>
      <c r="K730" s="60">
        <f t="shared" si="46"/>
        <v>2.0753086419753086</v>
      </c>
      <c r="L730" s="60">
        <f t="shared" si="47"/>
        <v>3.827160493827142E-2</v>
      </c>
    </row>
    <row r="731" spans="1:12" x14ac:dyDescent="0.25">
      <c r="A731" s="57" t="s">
        <v>225</v>
      </c>
      <c r="B731" s="61" t="s">
        <v>86</v>
      </c>
      <c r="C731">
        <v>810</v>
      </c>
      <c r="D731" s="57" t="s">
        <v>352</v>
      </c>
      <c r="E731" s="57">
        <v>45098</v>
      </c>
      <c r="F731" s="62">
        <v>1555</v>
      </c>
      <c r="G731" s="62">
        <v>1545</v>
      </c>
      <c r="H731" s="62">
        <v>1589</v>
      </c>
      <c r="I731" s="60">
        <f t="shared" si="44"/>
        <v>1.9074074074074074</v>
      </c>
      <c r="J731" s="60">
        <f t="shared" si="45"/>
        <v>44</v>
      </c>
      <c r="K731" s="60">
        <f t="shared" si="46"/>
        <v>1.9617283950617284</v>
      </c>
      <c r="L731" s="60">
        <f t="shared" si="47"/>
        <v>5.4320987654320918E-2</v>
      </c>
    </row>
    <row r="732" spans="1:12" x14ac:dyDescent="0.25">
      <c r="A732" s="57" t="s">
        <v>229</v>
      </c>
      <c r="B732" s="61" t="s">
        <v>153</v>
      </c>
      <c r="C732">
        <v>696</v>
      </c>
      <c r="D732" s="57" t="s">
        <v>352</v>
      </c>
      <c r="E732" s="57">
        <v>45101</v>
      </c>
      <c r="F732" s="62">
        <v>1450</v>
      </c>
      <c r="G732" s="62">
        <v>1521</v>
      </c>
      <c r="H732" s="62">
        <v>1521</v>
      </c>
      <c r="I732" s="60">
        <f t="shared" si="44"/>
        <v>2.1853448275862069</v>
      </c>
      <c r="J732" s="60">
        <f t="shared" si="45"/>
        <v>0</v>
      </c>
      <c r="K732" s="60">
        <f t="shared" si="46"/>
        <v>2.1853448275862069</v>
      </c>
      <c r="L732" s="60">
        <f t="shared" si="47"/>
        <v>0</v>
      </c>
    </row>
    <row r="733" spans="1:12" x14ac:dyDescent="0.25">
      <c r="A733" s="57" t="s">
        <v>127</v>
      </c>
      <c r="B733" s="61" t="s">
        <v>48</v>
      </c>
      <c r="C733">
        <v>806</v>
      </c>
      <c r="D733" s="57" t="s">
        <v>352</v>
      </c>
      <c r="E733" s="57">
        <v>45105</v>
      </c>
      <c r="F733" s="62">
        <v>1620</v>
      </c>
      <c r="G733" s="62">
        <v>1575</v>
      </c>
      <c r="H733" s="62">
        <v>1575</v>
      </c>
      <c r="I733" s="60">
        <f t="shared" si="44"/>
        <v>1.9540942928039702</v>
      </c>
      <c r="J733" s="60">
        <f t="shared" si="45"/>
        <v>0</v>
      </c>
      <c r="K733" s="60">
        <f t="shared" si="46"/>
        <v>1.9540942928039702</v>
      </c>
      <c r="L733" s="60">
        <f t="shared" si="47"/>
        <v>0</v>
      </c>
    </row>
    <row r="734" spans="1:12" x14ac:dyDescent="0.25">
      <c r="A734" s="57" t="s">
        <v>246</v>
      </c>
      <c r="B734" s="61" t="s">
        <v>145</v>
      </c>
      <c r="C734">
        <v>1146</v>
      </c>
      <c r="D734" s="57" t="s">
        <v>352</v>
      </c>
      <c r="E734" s="57">
        <v>45112</v>
      </c>
      <c r="F734" s="62">
        <v>2150</v>
      </c>
      <c r="G734" s="62">
        <v>2010</v>
      </c>
      <c r="H734" s="62">
        <v>2069</v>
      </c>
      <c r="I734" s="60">
        <f t="shared" si="44"/>
        <v>1.7539267015706805</v>
      </c>
      <c r="J734" s="60">
        <f t="shared" si="45"/>
        <v>59</v>
      </c>
      <c r="K734" s="60">
        <f t="shared" si="46"/>
        <v>1.8054101221640488</v>
      </c>
      <c r="L734" s="60">
        <f t="shared" si="47"/>
        <v>5.1483420593368301E-2</v>
      </c>
    </row>
    <row r="735" spans="1:12" x14ac:dyDescent="0.25">
      <c r="A735" s="57" t="s">
        <v>71</v>
      </c>
      <c r="B735" s="61" t="s">
        <v>55</v>
      </c>
      <c r="C735">
        <v>764</v>
      </c>
      <c r="D735" s="57" t="s">
        <v>352</v>
      </c>
      <c r="E735" s="57">
        <v>45112</v>
      </c>
      <c r="F735" s="62">
        <v>1585</v>
      </c>
      <c r="G735" s="62">
        <v>1600</v>
      </c>
      <c r="H735" s="62">
        <v>1600</v>
      </c>
      <c r="I735" s="60">
        <f t="shared" si="44"/>
        <v>2.0942408376963351</v>
      </c>
      <c r="J735" s="60">
        <f t="shared" si="45"/>
        <v>0</v>
      </c>
      <c r="K735" s="60">
        <f t="shared" si="46"/>
        <v>2.0942408376963351</v>
      </c>
      <c r="L735" s="60">
        <f t="shared" si="47"/>
        <v>0</v>
      </c>
    </row>
    <row r="736" spans="1:12" x14ac:dyDescent="0.25">
      <c r="A736" s="57" t="s">
        <v>253</v>
      </c>
      <c r="B736" s="61" t="s">
        <v>48</v>
      </c>
      <c r="C736">
        <v>806</v>
      </c>
      <c r="D736" s="57" t="s">
        <v>352</v>
      </c>
      <c r="E736" s="57">
        <v>45112</v>
      </c>
      <c r="F736" s="62">
        <v>1620</v>
      </c>
      <c r="G736" s="62">
        <v>1562</v>
      </c>
      <c r="H736" s="62">
        <v>1562</v>
      </c>
      <c r="I736" s="60">
        <f t="shared" si="44"/>
        <v>1.9379652605459057</v>
      </c>
      <c r="J736" s="60">
        <f t="shared" si="45"/>
        <v>0</v>
      </c>
      <c r="K736" s="60">
        <f t="shared" si="46"/>
        <v>1.9379652605459057</v>
      </c>
      <c r="L736" s="60">
        <f t="shared" si="47"/>
        <v>0</v>
      </c>
    </row>
    <row r="737" spans="1:12" x14ac:dyDescent="0.25">
      <c r="A737" s="57" t="s">
        <v>234</v>
      </c>
      <c r="B737" s="61" t="s">
        <v>151</v>
      </c>
      <c r="C737">
        <v>1141</v>
      </c>
      <c r="D737" s="57" t="s">
        <v>352</v>
      </c>
      <c r="E737" s="57">
        <v>45113</v>
      </c>
      <c r="F737" s="62">
        <v>2150</v>
      </c>
      <c r="G737" s="62">
        <v>2080</v>
      </c>
      <c r="H737" s="62">
        <v>2184</v>
      </c>
      <c r="I737" s="60">
        <f t="shared" si="44"/>
        <v>1.8229623137598598</v>
      </c>
      <c r="J737" s="60">
        <f t="shared" si="45"/>
        <v>104</v>
      </c>
      <c r="K737" s="60">
        <f t="shared" si="46"/>
        <v>1.9141104294478528</v>
      </c>
      <c r="L737" s="60">
        <f t="shared" si="47"/>
        <v>9.114811568799297E-2</v>
      </c>
    </row>
    <row r="738" spans="1:12" x14ac:dyDescent="0.25">
      <c r="A738" s="57" t="s">
        <v>286</v>
      </c>
      <c r="B738" s="61" t="s">
        <v>86</v>
      </c>
      <c r="C738">
        <v>810</v>
      </c>
      <c r="D738" s="57" t="s">
        <v>352</v>
      </c>
      <c r="E738" s="57">
        <v>45114</v>
      </c>
      <c r="F738" s="62">
        <v>1580</v>
      </c>
      <c r="G738" s="62">
        <v>1570</v>
      </c>
      <c r="H738" s="62">
        <v>1601</v>
      </c>
      <c r="I738" s="60">
        <f t="shared" si="44"/>
        <v>1.9382716049382716</v>
      </c>
      <c r="J738" s="60">
        <f t="shared" si="45"/>
        <v>31</v>
      </c>
      <c r="K738" s="60">
        <f t="shared" si="46"/>
        <v>1.9765432098765432</v>
      </c>
      <c r="L738" s="60">
        <f t="shared" si="47"/>
        <v>3.8271604938271642E-2</v>
      </c>
    </row>
    <row r="739" spans="1:12" x14ac:dyDescent="0.25">
      <c r="A739" s="57" t="s">
        <v>259</v>
      </c>
      <c r="B739" s="61" t="s">
        <v>57</v>
      </c>
      <c r="C739">
        <v>700</v>
      </c>
      <c r="D739" s="57" t="s">
        <v>352</v>
      </c>
      <c r="E739" s="57">
        <v>45114</v>
      </c>
      <c r="F739" s="62">
        <v>1515</v>
      </c>
      <c r="G739" s="62">
        <v>1319</v>
      </c>
      <c r="H739" s="62">
        <v>1444</v>
      </c>
      <c r="I739" s="60">
        <f t="shared" si="44"/>
        <v>1.8842857142857143</v>
      </c>
      <c r="J739" s="60">
        <f t="shared" si="45"/>
        <v>125</v>
      </c>
      <c r="K739" s="60">
        <f t="shared" si="46"/>
        <v>2.0628571428571427</v>
      </c>
      <c r="L739" s="60">
        <f t="shared" si="47"/>
        <v>0.17857142857142838</v>
      </c>
    </row>
    <row r="740" spans="1:12" x14ac:dyDescent="0.25">
      <c r="A740" s="57" t="s">
        <v>258</v>
      </c>
      <c r="B740" s="61" t="s">
        <v>151</v>
      </c>
      <c r="C740">
        <v>1141</v>
      </c>
      <c r="D740" s="57" t="s">
        <v>352</v>
      </c>
      <c r="E740" s="57">
        <v>45114</v>
      </c>
      <c r="F740" s="62">
        <v>2150</v>
      </c>
      <c r="G740" s="62">
        <v>2158</v>
      </c>
      <c r="H740" s="62">
        <v>2205</v>
      </c>
      <c r="I740" s="60">
        <f t="shared" si="44"/>
        <v>1.8913234005258546</v>
      </c>
      <c r="J740" s="60">
        <f t="shared" si="45"/>
        <v>47</v>
      </c>
      <c r="K740" s="60">
        <f t="shared" si="46"/>
        <v>1.9325153374233128</v>
      </c>
      <c r="L740" s="60">
        <f t="shared" si="47"/>
        <v>4.1191936897458259E-2</v>
      </c>
    </row>
    <row r="741" spans="1:12" x14ac:dyDescent="0.25">
      <c r="A741" s="57" t="s">
        <v>324</v>
      </c>
      <c r="B741" s="61" t="s">
        <v>86</v>
      </c>
      <c r="C741">
        <v>810</v>
      </c>
      <c r="D741" s="57" t="s">
        <v>352</v>
      </c>
      <c r="E741" s="57">
        <v>45117</v>
      </c>
      <c r="F741" s="62">
        <v>1580</v>
      </c>
      <c r="G741" s="62">
        <v>1675</v>
      </c>
      <c r="H741" s="62">
        <v>1675</v>
      </c>
      <c r="I741" s="60">
        <f t="shared" si="44"/>
        <v>2.0679012345679011</v>
      </c>
      <c r="J741" s="60">
        <f t="shared" si="45"/>
        <v>0</v>
      </c>
      <c r="K741" s="60">
        <f t="shared" si="46"/>
        <v>2.0679012345679011</v>
      </c>
      <c r="L741" s="60">
        <f t="shared" si="47"/>
        <v>0</v>
      </c>
    </row>
    <row r="742" spans="1:12" x14ac:dyDescent="0.25">
      <c r="A742" s="57" t="s">
        <v>268</v>
      </c>
      <c r="B742" s="61" t="s">
        <v>82</v>
      </c>
      <c r="C742">
        <v>1112</v>
      </c>
      <c r="D742" s="57" t="s">
        <v>352</v>
      </c>
      <c r="E742" s="57">
        <v>45117</v>
      </c>
      <c r="F742" s="62">
        <v>2125</v>
      </c>
      <c r="G742" s="62">
        <v>1990</v>
      </c>
      <c r="H742" s="62">
        <v>2044</v>
      </c>
      <c r="I742" s="60">
        <f t="shared" si="44"/>
        <v>1.789568345323741</v>
      </c>
      <c r="J742" s="60">
        <f t="shared" si="45"/>
        <v>54</v>
      </c>
      <c r="K742" s="60">
        <f t="shared" si="46"/>
        <v>1.8381294964028776</v>
      </c>
      <c r="L742" s="60">
        <f t="shared" si="47"/>
        <v>4.8561151079136611E-2</v>
      </c>
    </row>
    <row r="743" spans="1:12" x14ac:dyDescent="0.25">
      <c r="A743" s="57" t="s">
        <v>251</v>
      </c>
      <c r="B743" s="61" t="s">
        <v>151</v>
      </c>
      <c r="C743">
        <v>1141</v>
      </c>
      <c r="D743" s="57" t="s">
        <v>352</v>
      </c>
      <c r="E743" s="57">
        <v>45118</v>
      </c>
      <c r="F743" s="62">
        <v>2150</v>
      </c>
      <c r="G743" s="62">
        <v>2100</v>
      </c>
      <c r="H743" s="62">
        <v>2199</v>
      </c>
      <c r="I743" s="60">
        <f t="shared" si="44"/>
        <v>1.8404907975460123</v>
      </c>
      <c r="J743" s="60">
        <f t="shared" si="45"/>
        <v>99</v>
      </c>
      <c r="K743" s="60">
        <f t="shared" si="46"/>
        <v>1.927256792287467</v>
      </c>
      <c r="L743" s="60">
        <f t="shared" si="47"/>
        <v>8.6765994741454744E-2</v>
      </c>
    </row>
    <row r="744" spans="1:12" x14ac:dyDescent="0.25">
      <c r="A744" s="57" t="s">
        <v>89</v>
      </c>
      <c r="B744" s="61" t="s">
        <v>55</v>
      </c>
      <c r="C744">
        <v>764</v>
      </c>
      <c r="D744" s="57" t="s">
        <v>352</v>
      </c>
      <c r="E744" s="57">
        <v>45118</v>
      </c>
      <c r="F744" s="62">
        <v>1585</v>
      </c>
      <c r="G744" s="62">
        <v>1515</v>
      </c>
      <c r="H744" s="62">
        <v>1545</v>
      </c>
      <c r="I744" s="60">
        <f t="shared" si="44"/>
        <v>1.9829842931937174</v>
      </c>
      <c r="J744" s="60">
        <f t="shared" si="45"/>
        <v>30</v>
      </c>
      <c r="K744" s="60">
        <f t="shared" si="46"/>
        <v>2.0222513089005236</v>
      </c>
      <c r="L744" s="60">
        <f t="shared" si="47"/>
        <v>3.9267015706806241E-2</v>
      </c>
    </row>
    <row r="745" spans="1:12" x14ac:dyDescent="0.25">
      <c r="A745" s="57" t="s">
        <v>306</v>
      </c>
      <c r="B745" s="61" t="s">
        <v>57</v>
      </c>
      <c r="C745">
        <v>700</v>
      </c>
      <c r="D745" s="57" t="s">
        <v>352</v>
      </c>
      <c r="E745" s="57">
        <v>45123</v>
      </c>
      <c r="F745" s="62">
        <v>1515</v>
      </c>
      <c r="G745" s="62">
        <v>1492</v>
      </c>
      <c r="H745" s="62">
        <v>1522</v>
      </c>
      <c r="I745" s="60">
        <f t="shared" si="44"/>
        <v>2.1314285714285712</v>
      </c>
      <c r="J745" s="60">
        <f t="shared" si="45"/>
        <v>30</v>
      </c>
      <c r="K745" s="60">
        <f t="shared" si="46"/>
        <v>2.1742857142857144</v>
      </c>
      <c r="L745" s="60">
        <f t="shared" si="47"/>
        <v>4.2857142857143149E-2</v>
      </c>
    </row>
    <row r="746" spans="1:12" x14ac:dyDescent="0.25">
      <c r="A746" s="57" t="s">
        <v>257</v>
      </c>
      <c r="B746" s="61" t="s">
        <v>86</v>
      </c>
      <c r="C746">
        <v>810</v>
      </c>
      <c r="D746" s="57" t="s">
        <v>352</v>
      </c>
      <c r="E746" s="57">
        <v>45125</v>
      </c>
      <c r="F746" s="62">
        <v>1555</v>
      </c>
      <c r="G746" s="62">
        <v>1555</v>
      </c>
      <c r="H746" s="62">
        <v>1555</v>
      </c>
      <c r="I746" s="60">
        <f t="shared" si="44"/>
        <v>1.9197530864197532</v>
      </c>
      <c r="J746" s="60">
        <f t="shared" si="45"/>
        <v>0</v>
      </c>
      <c r="K746" s="60">
        <f t="shared" si="46"/>
        <v>1.9197530864197532</v>
      </c>
      <c r="L746" s="60">
        <f t="shared" si="47"/>
        <v>0</v>
      </c>
    </row>
    <row r="747" spans="1:12" x14ac:dyDescent="0.25">
      <c r="A747" s="57" t="s">
        <v>277</v>
      </c>
      <c r="B747" s="61" t="s">
        <v>145</v>
      </c>
      <c r="C747">
        <v>1146</v>
      </c>
      <c r="D747" s="57" t="s">
        <v>352</v>
      </c>
      <c r="E747" s="57">
        <v>45126</v>
      </c>
      <c r="F747" s="62">
        <v>2180</v>
      </c>
      <c r="G747" s="62">
        <v>2040</v>
      </c>
      <c r="H747" s="62">
        <v>2099</v>
      </c>
      <c r="I747" s="60">
        <f t="shared" si="44"/>
        <v>1.7801047120418849</v>
      </c>
      <c r="J747" s="60">
        <f t="shared" si="45"/>
        <v>59</v>
      </c>
      <c r="K747" s="60">
        <f t="shared" si="46"/>
        <v>1.831588132635253</v>
      </c>
      <c r="L747" s="60">
        <f t="shared" si="47"/>
        <v>5.1483420593368079E-2</v>
      </c>
    </row>
    <row r="748" spans="1:12" x14ac:dyDescent="0.25">
      <c r="A748" s="57" t="s">
        <v>278</v>
      </c>
      <c r="B748" s="61" t="s">
        <v>86</v>
      </c>
      <c r="C748">
        <v>810</v>
      </c>
      <c r="D748" s="57" t="s">
        <v>352</v>
      </c>
      <c r="E748" s="57">
        <v>45126</v>
      </c>
      <c r="F748" s="62">
        <v>1580</v>
      </c>
      <c r="G748" s="62">
        <v>1546</v>
      </c>
      <c r="H748" s="62">
        <v>1577</v>
      </c>
      <c r="I748" s="60">
        <f t="shared" si="44"/>
        <v>1.9086419753086419</v>
      </c>
      <c r="J748" s="60">
        <f t="shared" si="45"/>
        <v>31</v>
      </c>
      <c r="K748" s="60">
        <f t="shared" si="46"/>
        <v>1.9469135802469135</v>
      </c>
      <c r="L748" s="60">
        <f t="shared" si="47"/>
        <v>3.8271604938271642E-2</v>
      </c>
    </row>
    <row r="749" spans="1:12" x14ac:dyDescent="0.25">
      <c r="A749" s="57" t="s">
        <v>283</v>
      </c>
      <c r="B749" s="61" t="s">
        <v>57</v>
      </c>
      <c r="C749">
        <v>700</v>
      </c>
      <c r="D749" s="57" t="s">
        <v>352</v>
      </c>
      <c r="E749" s="57">
        <v>45126</v>
      </c>
      <c r="F749" s="62">
        <v>1515</v>
      </c>
      <c r="G749" s="62">
        <v>1513</v>
      </c>
      <c r="H749" s="62">
        <v>1513</v>
      </c>
      <c r="I749" s="60">
        <f t="shared" si="44"/>
        <v>2.1614285714285715</v>
      </c>
      <c r="J749" s="60">
        <f t="shared" si="45"/>
        <v>0</v>
      </c>
      <c r="K749" s="60">
        <f t="shared" si="46"/>
        <v>2.1614285714285715</v>
      </c>
      <c r="L749" s="60">
        <f t="shared" si="47"/>
        <v>0</v>
      </c>
    </row>
    <row r="750" spans="1:12" x14ac:dyDescent="0.25">
      <c r="A750" s="57" t="s">
        <v>167</v>
      </c>
      <c r="B750" s="61" t="s">
        <v>59</v>
      </c>
      <c r="C750">
        <v>1115</v>
      </c>
      <c r="D750" s="57" t="s">
        <v>49</v>
      </c>
      <c r="E750" s="57">
        <v>45132</v>
      </c>
      <c r="F750" s="62">
        <v>2290</v>
      </c>
      <c r="G750" s="62">
        <v>2080</v>
      </c>
      <c r="H750" s="62">
        <v>2240</v>
      </c>
      <c r="I750" s="60">
        <f t="shared" si="44"/>
        <v>1.8654708520179373</v>
      </c>
      <c r="J750" s="60">
        <f t="shared" si="45"/>
        <v>160</v>
      </c>
      <c r="K750" s="60">
        <f t="shared" si="46"/>
        <v>2.0089686098654709</v>
      </c>
      <c r="L750" s="60">
        <f t="shared" si="47"/>
        <v>0.1434977578475336</v>
      </c>
    </row>
    <row r="751" spans="1:12" x14ac:dyDescent="0.25">
      <c r="A751" s="57" t="s">
        <v>78</v>
      </c>
      <c r="B751" s="61" t="s">
        <v>59</v>
      </c>
      <c r="C751">
        <v>1115</v>
      </c>
      <c r="D751" s="57" t="s">
        <v>352</v>
      </c>
      <c r="E751" s="57">
        <v>45132</v>
      </c>
      <c r="F751" s="62">
        <v>2135</v>
      </c>
      <c r="G751" s="62">
        <v>1950</v>
      </c>
      <c r="H751" s="62">
        <v>2049</v>
      </c>
      <c r="I751" s="60">
        <f t="shared" si="44"/>
        <v>1.7488789237668161</v>
      </c>
      <c r="J751" s="60">
        <f t="shared" si="45"/>
        <v>99</v>
      </c>
      <c r="K751" s="60">
        <f t="shared" si="46"/>
        <v>1.8376681614349777</v>
      </c>
      <c r="L751" s="60">
        <f t="shared" si="47"/>
        <v>8.8789237668161602E-2</v>
      </c>
    </row>
    <row r="752" spans="1:12" x14ac:dyDescent="0.25">
      <c r="A752" s="57" t="s">
        <v>186</v>
      </c>
      <c r="B752" s="61" t="s">
        <v>137</v>
      </c>
      <c r="C752">
        <v>1700</v>
      </c>
      <c r="D752" s="57" t="s">
        <v>49</v>
      </c>
      <c r="E752" s="57">
        <v>45151</v>
      </c>
      <c r="F752" s="62">
        <v>2995</v>
      </c>
      <c r="G752" s="62">
        <v>2630</v>
      </c>
      <c r="H752" s="62">
        <v>2510</v>
      </c>
      <c r="I752" s="60">
        <f t="shared" si="44"/>
        <v>1.5470588235294118</v>
      </c>
      <c r="J752" s="60">
        <f t="shared" si="45"/>
        <v>-120</v>
      </c>
      <c r="K752" s="60">
        <f t="shared" si="46"/>
        <v>1.4764705882352942</v>
      </c>
      <c r="L752" s="60">
        <f t="shared" si="47"/>
        <v>-7.0588235294117618E-2</v>
      </c>
    </row>
    <row r="753" spans="1:12" x14ac:dyDescent="0.25">
      <c r="A753" s="61">
        <v>2265</v>
      </c>
      <c r="B753" s="65" t="s">
        <v>65</v>
      </c>
      <c r="C753">
        <v>813</v>
      </c>
      <c r="D753" s="57" t="s">
        <v>49</v>
      </c>
      <c r="E753" s="57">
        <v>60523</v>
      </c>
      <c r="F753" s="62">
        <v>1580</v>
      </c>
      <c r="G753" s="62">
        <v>1390</v>
      </c>
      <c r="H753" s="62">
        <v>1615</v>
      </c>
      <c r="I753" s="60">
        <f t="shared" si="44"/>
        <v>1.7097170971709716</v>
      </c>
      <c r="J753" s="60">
        <f t="shared" si="45"/>
        <v>225</v>
      </c>
      <c r="K753" s="60">
        <f t="shared" si="46"/>
        <v>1.9864698646986469</v>
      </c>
      <c r="L753" s="60">
        <f t="shared" si="47"/>
        <v>0.2767527675276753</v>
      </c>
    </row>
    <row r="754" spans="1:12" x14ac:dyDescent="0.25">
      <c r="A754" s="61">
        <v>5310</v>
      </c>
      <c r="B754" s="61" t="s">
        <v>153</v>
      </c>
      <c r="C754">
        <v>813</v>
      </c>
      <c r="D754" s="57" t="s">
        <v>49</v>
      </c>
      <c r="E754" s="57">
        <v>60923</v>
      </c>
      <c r="F754" s="62">
        <v>1480</v>
      </c>
      <c r="G754" s="62">
        <v>1547</v>
      </c>
      <c r="H754" s="62">
        <v>1460</v>
      </c>
      <c r="I754" s="60">
        <f t="shared" si="44"/>
        <v>1.9028290282902829</v>
      </c>
      <c r="J754" s="60">
        <f t="shared" si="45"/>
        <v>-87</v>
      </c>
      <c r="K754" s="60">
        <f t="shared" si="46"/>
        <v>1.7958179581795819</v>
      </c>
      <c r="L754" s="60">
        <f t="shared" si="47"/>
        <v>-0.10701107011070099</v>
      </c>
    </row>
    <row r="755" spans="1:12" x14ac:dyDescent="0.25">
      <c r="A755" s="61">
        <v>5110</v>
      </c>
      <c r="B755" s="61" t="s">
        <v>153</v>
      </c>
      <c r="C755">
        <v>813</v>
      </c>
      <c r="D755" s="57" t="s">
        <v>49</v>
      </c>
      <c r="E755" s="57">
        <v>60923</v>
      </c>
      <c r="F755" s="62">
        <v>1480</v>
      </c>
      <c r="G755" s="62">
        <v>1735</v>
      </c>
      <c r="H755" s="62">
        <v>1473</v>
      </c>
      <c r="I755" s="60">
        <f t="shared" si="44"/>
        <v>2.1340713407134073</v>
      </c>
      <c r="J755" s="60">
        <f t="shared" si="45"/>
        <v>-262</v>
      </c>
      <c r="K755" s="60">
        <f t="shared" si="46"/>
        <v>1.8118081180811809</v>
      </c>
      <c r="L755" s="60">
        <f t="shared" si="47"/>
        <v>-0.3222632226322264</v>
      </c>
    </row>
    <row r="756" spans="1:12" x14ac:dyDescent="0.25">
      <c r="A756" s="61">
        <v>2360</v>
      </c>
      <c r="B756" s="61" t="s">
        <v>74</v>
      </c>
      <c r="C756">
        <v>1169</v>
      </c>
      <c r="D756" s="57" t="s">
        <v>352</v>
      </c>
      <c r="E756" s="57">
        <v>62123</v>
      </c>
      <c r="F756" s="62">
        <v>2240</v>
      </c>
      <c r="G756" s="62">
        <v>2045</v>
      </c>
      <c r="H756" s="62">
        <v>2097</v>
      </c>
      <c r="I756" s="60">
        <f t="shared" si="44"/>
        <v>1.7493584260051327</v>
      </c>
      <c r="J756" s="60">
        <f t="shared" si="45"/>
        <v>52</v>
      </c>
      <c r="K756" s="60">
        <f t="shared" si="46"/>
        <v>1.7938408896492728</v>
      </c>
      <c r="L756" s="60">
        <f t="shared" si="47"/>
        <v>4.4482463644140102E-2</v>
      </c>
    </row>
    <row r="757" spans="1:12" x14ac:dyDescent="0.25">
      <c r="A757" s="61">
        <v>2244</v>
      </c>
      <c r="B757" s="61" t="s">
        <v>57</v>
      </c>
      <c r="C757">
        <v>700</v>
      </c>
      <c r="D757" s="57" t="s">
        <v>352</v>
      </c>
      <c r="E757" s="57">
        <v>62923</v>
      </c>
      <c r="F757" s="62">
        <v>1515</v>
      </c>
      <c r="G757" s="62">
        <v>1515</v>
      </c>
      <c r="H757" s="62">
        <v>1515</v>
      </c>
      <c r="I757" s="60">
        <f t="shared" si="44"/>
        <v>2.1642857142857141</v>
      </c>
      <c r="J757" s="60">
        <f t="shared" si="45"/>
        <v>0</v>
      </c>
      <c r="K757" s="60">
        <f t="shared" si="46"/>
        <v>2.1642857142857141</v>
      </c>
      <c r="L757" s="60">
        <f t="shared" si="47"/>
        <v>0</v>
      </c>
    </row>
    <row r="758" spans="1:12" x14ac:dyDescent="0.25">
      <c r="A758" s="61">
        <v>5101</v>
      </c>
      <c r="B758" s="61" t="s">
        <v>151</v>
      </c>
      <c r="C758">
        <v>1141</v>
      </c>
      <c r="D758" s="57" t="s">
        <v>352</v>
      </c>
      <c r="E758" s="57">
        <v>60723</v>
      </c>
      <c r="F758" s="62">
        <v>2150</v>
      </c>
      <c r="G758" s="62">
        <v>2150</v>
      </c>
      <c r="H758" s="62">
        <v>2303</v>
      </c>
      <c r="I758" s="60">
        <f t="shared" si="44"/>
        <v>1.8843120070113935</v>
      </c>
      <c r="J758" s="60">
        <f t="shared" si="45"/>
        <v>153</v>
      </c>
      <c r="K758" s="60">
        <f t="shared" si="46"/>
        <v>2.01840490797546</v>
      </c>
      <c r="L758" s="60">
        <f t="shared" si="47"/>
        <v>0.13409290096406656</v>
      </c>
    </row>
    <row r="759" spans="1:12" x14ac:dyDescent="0.25">
      <c r="A759" s="61">
        <v>2348</v>
      </c>
      <c r="B759" s="61" t="s">
        <v>86</v>
      </c>
      <c r="C759">
        <v>810</v>
      </c>
      <c r="D759" s="57" t="s">
        <v>352</v>
      </c>
      <c r="E759" s="57">
        <v>60723</v>
      </c>
      <c r="F759" s="62">
        <v>1580</v>
      </c>
      <c r="G759" s="62">
        <v>1580</v>
      </c>
      <c r="H759" s="62">
        <v>1600</v>
      </c>
      <c r="I759" s="60">
        <f t="shared" si="44"/>
        <v>1.9506172839506173</v>
      </c>
      <c r="J759" s="60">
        <f t="shared" si="45"/>
        <v>20</v>
      </c>
      <c r="K759" s="60">
        <f t="shared" si="46"/>
        <v>1.9753086419753085</v>
      </c>
      <c r="L759" s="60">
        <f t="shared" si="47"/>
        <v>2.4691358024691246E-2</v>
      </c>
    </row>
    <row r="760" spans="1:12" x14ac:dyDescent="0.25">
      <c r="A760" s="61">
        <v>2201</v>
      </c>
      <c r="B760" s="61" t="s">
        <v>65</v>
      </c>
      <c r="C760">
        <v>813</v>
      </c>
      <c r="D760" s="57" t="s">
        <v>49</v>
      </c>
      <c r="E760" s="57">
        <v>60923</v>
      </c>
      <c r="F760" s="62">
        <v>1580</v>
      </c>
      <c r="G760" s="62">
        <v>1580</v>
      </c>
      <c r="H760" s="62">
        <v>1555</v>
      </c>
      <c r="I760" s="60">
        <f t="shared" si="44"/>
        <v>1.943419434194342</v>
      </c>
      <c r="J760" s="60">
        <f t="shared" si="45"/>
        <v>-25</v>
      </c>
      <c r="K760" s="60">
        <f t="shared" si="46"/>
        <v>1.912669126691267</v>
      </c>
      <c r="L760" s="60">
        <f t="shared" si="47"/>
        <v>-3.0750307503075058E-2</v>
      </c>
    </row>
    <row r="761" spans="1:12" x14ac:dyDescent="0.25">
      <c r="A761" s="61">
        <v>2331</v>
      </c>
      <c r="B761" s="61" t="s">
        <v>65</v>
      </c>
      <c r="C761">
        <v>813</v>
      </c>
      <c r="D761" s="57" t="s">
        <v>353</v>
      </c>
      <c r="E761" s="57">
        <v>61323</v>
      </c>
      <c r="F761" s="62">
        <v>1580</v>
      </c>
      <c r="G761" s="62">
        <v>1580</v>
      </c>
      <c r="H761" s="62">
        <v>1555</v>
      </c>
      <c r="I761" s="60">
        <f t="shared" si="44"/>
        <v>1.943419434194342</v>
      </c>
      <c r="J761" s="60">
        <f t="shared" si="45"/>
        <v>-25</v>
      </c>
      <c r="K761" s="60">
        <f t="shared" si="46"/>
        <v>1.912669126691267</v>
      </c>
      <c r="L761" s="60">
        <f t="shared" si="47"/>
        <v>-3.0750307503075058E-2</v>
      </c>
    </row>
    <row r="762" spans="1:12" x14ac:dyDescent="0.25">
      <c r="A762" s="61">
        <v>2354</v>
      </c>
      <c r="B762" s="61" t="s">
        <v>59</v>
      </c>
      <c r="C762">
        <v>1115</v>
      </c>
      <c r="D762" s="57" t="s">
        <v>352</v>
      </c>
      <c r="E762" s="57">
        <v>61423</v>
      </c>
      <c r="F762" s="62">
        <v>2135</v>
      </c>
      <c r="G762" s="62">
        <v>1986</v>
      </c>
      <c r="H762" s="62">
        <v>1986</v>
      </c>
      <c r="I762" s="60">
        <f t="shared" si="44"/>
        <v>1.7811659192825111</v>
      </c>
      <c r="J762" s="60">
        <f t="shared" si="45"/>
        <v>0</v>
      </c>
      <c r="K762" s="60">
        <f t="shared" si="46"/>
        <v>1.7811659192825111</v>
      </c>
      <c r="L762" s="60">
        <f t="shared" si="47"/>
        <v>0</v>
      </c>
    </row>
    <row r="763" spans="1:12" x14ac:dyDescent="0.25">
      <c r="A763" s="61">
        <v>2243</v>
      </c>
      <c r="B763" s="61" t="s">
        <v>48</v>
      </c>
      <c r="C763">
        <v>806</v>
      </c>
      <c r="D763" s="57" t="s">
        <v>352</v>
      </c>
      <c r="E763" s="57">
        <v>61423</v>
      </c>
      <c r="F763" s="62">
        <v>1620</v>
      </c>
      <c r="G763" s="62">
        <v>1620</v>
      </c>
      <c r="H763" s="62">
        <v>1646</v>
      </c>
      <c r="I763" s="60">
        <f t="shared" si="44"/>
        <v>2.0099255583126552</v>
      </c>
      <c r="J763" s="60">
        <f t="shared" si="45"/>
        <v>26</v>
      </c>
      <c r="K763" s="60">
        <f t="shared" si="46"/>
        <v>2.0421836228287842</v>
      </c>
      <c r="L763" s="60">
        <f t="shared" si="47"/>
        <v>3.2258064516129004E-2</v>
      </c>
    </row>
    <row r="764" spans="1:12" x14ac:dyDescent="0.25">
      <c r="A764" s="61">
        <v>2352</v>
      </c>
      <c r="B764" s="61" t="s">
        <v>86</v>
      </c>
      <c r="C764">
        <v>810</v>
      </c>
      <c r="D764" s="57" t="s">
        <v>49</v>
      </c>
      <c r="E764" s="57">
        <v>61623</v>
      </c>
      <c r="F764" s="62">
        <v>1580</v>
      </c>
      <c r="G764" s="62">
        <v>1580</v>
      </c>
      <c r="H764" s="62">
        <v>1518</v>
      </c>
      <c r="I764" s="60">
        <f t="shared" si="44"/>
        <v>1.9506172839506173</v>
      </c>
      <c r="J764" s="60">
        <f t="shared" si="45"/>
        <v>-62</v>
      </c>
      <c r="K764" s="60">
        <f t="shared" si="46"/>
        <v>1.874074074074074</v>
      </c>
      <c r="L764" s="60">
        <f t="shared" si="47"/>
        <v>-7.6543209876543283E-2</v>
      </c>
    </row>
    <row r="765" spans="1:12" x14ac:dyDescent="0.25">
      <c r="A765" s="61">
        <v>2341</v>
      </c>
      <c r="B765" s="61" t="s">
        <v>86</v>
      </c>
      <c r="C765">
        <v>810</v>
      </c>
      <c r="D765" s="57" t="s">
        <v>352</v>
      </c>
      <c r="E765" s="57">
        <v>62123</v>
      </c>
      <c r="F765" s="62">
        <v>1555</v>
      </c>
      <c r="G765" s="62">
        <v>1545</v>
      </c>
      <c r="H765" s="62">
        <v>1589</v>
      </c>
      <c r="I765" s="60">
        <f t="shared" si="44"/>
        <v>1.9074074074074074</v>
      </c>
      <c r="J765" s="60">
        <f t="shared" si="45"/>
        <v>44</v>
      </c>
      <c r="K765" s="60">
        <f t="shared" si="46"/>
        <v>1.9617283950617284</v>
      </c>
      <c r="L765" s="60">
        <f t="shared" si="47"/>
        <v>5.4320987654320918E-2</v>
      </c>
    </row>
    <row r="766" spans="1:12" x14ac:dyDescent="0.25">
      <c r="A766" s="61">
        <v>2351</v>
      </c>
      <c r="B766" s="61" t="s">
        <v>51</v>
      </c>
      <c r="C766">
        <v>848</v>
      </c>
      <c r="D766" s="57" t="s">
        <v>49</v>
      </c>
      <c r="E766" s="57">
        <v>61323</v>
      </c>
      <c r="F766" s="62">
        <v>1735</v>
      </c>
      <c r="G766" s="62">
        <v>1605</v>
      </c>
      <c r="H766" s="62">
        <v>1565</v>
      </c>
      <c r="I766" s="60">
        <f t="shared" si="44"/>
        <v>1.8926886792452831</v>
      </c>
      <c r="J766" s="60">
        <f t="shared" si="45"/>
        <v>-40</v>
      </c>
      <c r="K766" s="60">
        <f t="shared" si="46"/>
        <v>1.8455188679245282</v>
      </c>
      <c r="L766" s="60">
        <f t="shared" si="47"/>
        <v>-4.7169811320754818E-2</v>
      </c>
    </row>
    <row r="767" spans="1:12" x14ac:dyDescent="0.25">
      <c r="A767" s="61">
        <v>2139</v>
      </c>
      <c r="B767" s="61" t="s">
        <v>51</v>
      </c>
      <c r="C767">
        <v>848</v>
      </c>
      <c r="D767" s="57" t="s">
        <v>49</v>
      </c>
      <c r="E767" s="57">
        <v>62223</v>
      </c>
      <c r="F767" s="62">
        <v>1735</v>
      </c>
      <c r="G767" s="62">
        <v>1917</v>
      </c>
      <c r="H767" s="62">
        <v>1620</v>
      </c>
      <c r="I767" s="60">
        <f t="shared" si="44"/>
        <v>2.2606132075471699</v>
      </c>
      <c r="J767" s="60">
        <f t="shared" si="45"/>
        <v>-297</v>
      </c>
      <c r="K767" s="60">
        <f t="shared" si="46"/>
        <v>1.9103773584905661</v>
      </c>
      <c r="L767" s="60">
        <f t="shared" si="47"/>
        <v>-0.35023584905660377</v>
      </c>
    </row>
    <row r="768" spans="1:12" x14ac:dyDescent="0.25">
      <c r="A768" s="61">
        <v>2118</v>
      </c>
      <c r="B768" s="61" t="s">
        <v>86</v>
      </c>
      <c r="C768">
        <v>810</v>
      </c>
      <c r="D768" s="57" t="s">
        <v>49</v>
      </c>
      <c r="E768" s="57">
        <v>62323</v>
      </c>
      <c r="F768" s="62">
        <v>1505</v>
      </c>
      <c r="G768" s="62">
        <v>1582</v>
      </c>
      <c r="H768" s="62">
        <v>1450</v>
      </c>
      <c r="I768" s="60">
        <f t="shared" si="44"/>
        <v>1.9530864197530864</v>
      </c>
      <c r="J768" s="60">
        <f t="shared" si="45"/>
        <v>-132</v>
      </c>
      <c r="K768" s="60">
        <f t="shared" si="46"/>
        <v>1.7901234567901234</v>
      </c>
      <c r="L768" s="60">
        <f t="shared" si="47"/>
        <v>-0.16296296296296298</v>
      </c>
    </row>
    <row r="769" spans="1:12" x14ac:dyDescent="0.25">
      <c r="A769" s="61">
        <v>4308</v>
      </c>
      <c r="B769" s="61" t="s">
        <v>57</v>
      </c>
      <c r="C769">
        <v>700</v>
      </c>
      <c r="D769" s="57" t="s">
        <v>49</v>
      </c>
      <c r="E769" s="57">
        <v>62323</v>
      </c>
      <c r="F769" s="62">
        <v>1515</v>
      </c>
      <c r="G769" s="62">
        <v>1535</v>
      </c>
      <c r="H769" s="62">
        <v>1448</v>
      </c>
      <c r="I769" s="60">
        <f t="shared" si="44"/>
        <v>2.1928571428571431</v>
      </c>
      <c r="J769" s="60">
        <f t="shared" si="45"/>
        <v>-87</v>
      </c>
      <c r="K769" s="60">
        <f t="shared" si="46"/>
        <v>2.0685714285714285</v>
      </c>
      <c r="L769" s="60">
        <f t="shared" si="47"/>
        <v>-0.12428571428571455</v>
      </c>
    </row>
    <row r="770" spans="1:12" x14ac:dyDescent="0.25">
      <c r="A770" s="61">
        <v>2353</v>
      </c>
      <c r="B770" s="61" t="s">
        <v>57</v>
      </c>
      <c r="C770">
        <v>696</v>
      </c>
      <c r="D770" s="57" t="s">
        <v>352</v>
      </c>
      <c r="E770" s="66">
        <v>45101</v>
      </c>
      <c r="F770" s="62">
        <v>1450</v>
      </c>
      <c r="G770" s="62">
        <v>1521</v>
      </c>
      <c r="H770" s="62">
        <v>1521</v>
      </c>
      <c r="I770" s="60">
        <f t="shared" ref="I770:I833" si="48">G770/C770</f>
        <v>2.1853448275862069</v>
      </c>
      <c r="J770" s="60">
        <f t="shared" ref="J770:J833" si="49">SUM(H770-G770)</f>
        <v>0</v>
      </c>
      <c r="K770" s="60">
        <f t="shared" ref="K770:K833" si="50">H770/C770</f>
        <v>2.1853448275862069</v>
      </c>
      <c r="L770" s="60">
        <f t="shared" ref="L770:L833" si="51">K770-I770</f>
        <v>0</v>
      </c>
    </row>
    <row r="771" spans="1:12" x14ac:dyDescent="0.25">
      <c r="A771" s="61">
        <v>5204</v>
      </c>
      <c r="B771" s="61" t="s">
        <v>59</v>
      </c>
      <c r="C771">
        <v>1115</v>
      </c>
      <c r="D771" s="57" t="s">
        <v>49</v>
      </c>
      <c r="E771" s="66">
        <v>45103</v>
      </c>
      <c r="F771" s="62">
        <v>2165</v>
      </c>
      <c r="G771" s="62">
        <v>1960</v>
      </c>
      <c r="H771" s="62">
        <v>1815</v>
      </c>
      <c r="I771" s="60">
        <f t="shared" si="48"/>
        <v>1.757847533632287</v>
      </c>
      <c r="J771" s="60">
        <f t="shared" si="49"/>
        <v>-145</v>
      </c>
      <c r="K771" s="60">
        <f t="shared" si="50"/>
        <v>1.6278026905829597</v>
      </c>
      <c r="L771" s="60">
        <f t="shared" si="51"/>
        <v>-0.13004484304932729</v>
      </c>
    </row>
    <row r="772" spans="1:12" x14ac:dyDescent="0.25">
      <c r="A772" s="61">
        <v>4202</v>
      </c>
      <c r="B772" s="61" t="s">
        <v>151</v>
      </c>
      <c r="C772">
        <v>1141</v>
      </c>
      <c r="D772" s="57" t="s">
        <v>352</v>
      </c>
      <c r="E772" s="66">
        <v>45103</v>
      </c>
      <c r="F772" s="62">
        <v>2150</v>
      </c>
      <c r="G772" s="62">
        <v>2160</v>
      </c>
      <c r="H772" s="62">
        <v>2160</v>
      </c>
      <c r="I772" s="60">
        <f t="shared" si="48"/>
        <v>1.8930762489044697</v>
      </c>
      <c r="J772" s="60">
        <f t="shared" si="49"/>
        <v>0</v>
      </c>
      <c r="K772" s="60">
        <f t="shared" si="50"/>
        <v>1.8930762489044697</v>
      </c>
      <c r="L772" s="60">
        <f t="shared" si="51"/>
        <v>0</v>
      </c>
    </row>
    <row r="773" spans="1:12" x14ac:dyDescent="0.25">
      <c r="A773" s="61">
        <v>2259</v>
      </c>
      <c r="B773" s="61" t="s">
        <v>48</v>
      </c>
      <c r="C773">
        <v>806</v>
      </c>
      <c r="D773" s="57" t="s">
        <v>352</v>
      </c>
      <c r="E773" s="66">
        <v>45103</v>
      </c>
      <c r="F773" s="62">
        <v>2150</v>
      </c>
      <c r="G773" s="62">
        <v>1575</v>
      </c>
      <c r="H773" s="62">
        <v>1575</v>
      </c>
      <c r="I773" s="60">
        <f t="shared" si="48"/>
        <v>1.9540942928039702</v>
      </c>
      <c r="J773" s="60">
        <f t="shared" si="49"/>
        <v>0</v>
      </c>
      <c r="K773" s="60">
        <f t="shared" si="50"/>
        <v>1.9540942928039702</v>
      </c>
      <c r="L773" s="60">
        <f t="shared" si="51"/>
        <v>0</v>
      </c>
    </row>
    <row r="774" spans="1:12" x14ac:dyDescent="0.25">
      <c r="A774" s="61">
        <v>2143</v>
      </c>
      <c r="B774" s="61" t="s">
        <v>48</v>
      </c>
      <c r="C774">
        <v>806</v>
      </c>
      <c r="D774" s="57" t="s">
        <v>49</v>
      </c>
      <c r="E774" s="66">
        <v>45105</v>
      </c>
      <c r="F774" s="62">
        <v>1620</v>
      </c>
      <c r="G774" s="62">
        <v>1794</v>
      </c>
      <c r="H774" s="62">
        <v>1508</v>
      </c>
      <c r="I774" s="60">
        <f t="shared" si="48"/>
        <v>2.225806451612903</v>
      </c>
      <c r="J774" s="60">
        <f t="shared" si="49"/>
        <v>-286</v>
      </c>
      <c r="K774" s="60">
        <f t="shared" si="50"/>
        <v>1.8709677419354838</v>
      </c>
      <c r="L774" s="60">
        <f t="shared" si="51"/>
        <v>-0.35483870967741926</v>
      </c>
    </row>
    <row r="775" spans="1:12" x14ac:dyDescent="0.25">
      <c r="A775" s="61">
        <v>2160</v>
      </c>
      <c r="B775" s="61" t="s">
        <v>74</v>
      </c>
      <c r="C775">
        <v>1169</v>
      </c>
      <c r="D775" s="57" t="s">
        <v>49</v>
      </c>
      <c r="E775" s="66">
        <v>45105</v>
      </c>
      <c r="F775" s="62">
        <v>2240</v>
      </c>
      <c r="G775" s="62">
        <v>2069</v>
      </c>
      <c r="H775" s="62">
        <v>2085</v>
      </c>
      <c r="I775" s="60">
        <f t="shared" si="48"/>
        <v>1.7698887938408896</v>
      </c>
      <c r="J775" s="60">
        <f t="shared" si="49"/>
        <v>16</v>
      </c>
      <c r="K775" s="60">
        <f t="shared" si="50"/>
        <v>1.7835757057313943</v>
      </c>
      <c r="L775" s="60">
        <f t="shared" si="51"/>
        <v>1.3686911890504749E-2</v>
      </c>
    </row>
    <row r="776" spans="1:12" x14ac:dyDescent="0.25">
      <c r="A776" s="61">
        <v>2366</v>
      </c>
      <c r="B776" s="61" t="s">
        <v>82</v>
      </c>
      <c r="C776">
        <v>1112</v>
      </c>
      <c r="D776" s="57" t="s">
        <v>49</v>
      </c>
      <c r="E776" s="66">
        <v>45107</v>
      </c>
      <c r="F776" s="62">
        <v>2145</v>
      </c>
      <c r="G776" s="62">
        <v>2075</v>
      </c>
      <c r="H776" s="62">
        <v>1795</v>
      </c>
      <c r="I776" s="60">
        <f t="shared" si="48"/>
        <v>1.8660071942446044</v>
      </c>
      <c r="J776" s="60">
        <f t="shared" si="49"/>
        <v>-280</v>
      </c>
      <c r="K776" s="60">
        <f t="shared" si="50"/>
        <v>1.6142086330935252</v>
      </c>
      <c r="L776" s="60">
        <f t="shared" si="51"/>
        <v>-0.25179856115107913</v>
      </c>
    </row>
    <row r="777" spans="1:12" x14ac:dyDescent="0.25">
      <c r="A777" s="61">
        <v>2154</v>
      </c>
      <c r="B777" s="61" t="s">
        <v>48</v>
      </c>
      <c r="C777">
        <v>806</v>
      </c>
      <c r="D777" s="57" t="s">
        <v>49</v>
      </c>
      <c r="E777" s="66">
        <v>45107</v>
      </c>
      <c r="F777" s="62">
        <v>1620</v>
      </c>
      <c r="G777" s="62">
        <v>2082</v>
      </c>
      <c r="H777" s="62">
        <v>1545</v>
      </c>
      <c r="I777" s="60">
        <f t="shared" si="48"/>
        <v>2.5831265508684864</v>
      </c>
      <c r="J777" s="60">
        <f t="shared" si="49"/>
        <v>-537</v>
      </c>
      <c r="K777" s="60">
        <f t="shared" si="50"/>
        <v>1.9168734491315136</v>
      </c>
      <c r="L777" s="60">
        <f t="shared" si="51"/>
        <v>-0.66625310173697283</v>
      </c>
    </row>
    <row r="778" spans="1:12" x14ac:dyDescent="0.25">
      <c r="A778" s="61">
        <v>2310</v>
      </c>
      <c r="B778" s="61" t="s">
        <v>57</v>
      </c>
      <c r="C778">
        <v>700</v>
      </c>
      <c r="D778" s="57" t="s">
        <v>49</v>
      </c>
      <c r="E778" s="66">
        <v>45107</v>
      </c>
      <c r="F778" s="62">
        <v>1560</v>
      </c>
      <c r="G778" s="62">
        <v>1534</v>
      </c>
      <c r="H778" s="62">
        <v>1480</v>
      </c>
      <c r="I778" s="60">
        <f t="shared" si="48"/>
        <v>2.1914285714285713</v>
      </c>
      <c r="J778" s="60">
        <f t="shared" si="49"/>
        <v>-54</v>
      </c>
      <c r="K778" s="60">
        <f t="shared" si="50"/>
        <v>2.1142857142857143</v>
      </c>
      <c r="L778" s="60">
        <f t="shared" si="51"/>
        <v>-7.7142857142856958E-2</v>
      </c>
    </row>
    <row r="779" spans="1:12" x14ac:dyDescent="0.25">
      <c r="A779" s="61">
        <v>2122</v>
      </c>
      <c r="B779" s="61" t="s">
        <v>86</v>
      </c>
      <c r="C779">
        <v>810</v>
      </c>
      <c r="D779" s="57" t="s">
        <v>49</v>
      </c>
      <c r="E779" s="66">
        <v>45107</v>
      </c>
      <c r="F779" s="62">
        <v>1600</v>
      </c>
      <c r="G779" s="62">
        <v>1725</v>
      </c>
      <c r="H779" s="62">
        <v>1575</v>
      </c>
      <c r="I779" s="60">
        <f t="shared" si="48"/>
        <v>2.1296296296296298</v>
      </c>
      <c r="J779" s="60">
        <f t="shared" si="49"/>
        <v>-150</v>
      </c>
      <c r="K779" s="60">
        <f t="shared" si="50"/>
        <v>1.9444444444444444</v>
      </c>
      <c r="L779" s="60">
        <f t="shared" si="51"/>
        <v>-0.18518518518518534</v>
      </c>
    </row>
    <row r="780" spans="1:12" x14ac:dyDescent="0.25">
      <c r="A780" s="61">
        <v>2254</v>
      </c>
      <c r="B780" s="61" t="s">
        <v>48</v>
      </c>
      <c r="C780">
        <v>806</v>
      </c>
      <c r="D780" s="57" t="s">
        <v>352</v>
      </c>
      <c r="E780" s="66">
        <v>45108</v>
      </c>
      <c r="F780" s="62">
        <v>1620</v>
      </c>
      <c r="G780" s="62">
        <v>1855</v>
      </c>
      <c r="H780" s="62">
        <v>1855</v>
      </c>
      <c r="I780" s="60">
        <f t="shared" si="48"/>
        <v>2.3014888337468982</v>
      </c>
      <c r="J780" s="60">
        <f t="shared" si="49"/>
        <v>0</v>
      </c>
      <c r="K780" s="60">
        <f t="shared" si="50"/>
        <v>2.3014888337468982</v>
      </c>
      <c r="L780" s="60">
        <f t="shared" si="51"/>
        <v>0</v>
      </c>
    </row>
    <row r="781" spans="1:12" x14ac:dyDescent="0.25">
      <c r="A781" s="61">
        <v>2107</v>
      </c>
      <c r="B781" s="61" t="s">
        <v>55</v>
      </c>
      <c r="C781">
        <v>806</v>
      </c>
      <c r="D781" s="57" t="s">
        <v>352</v>
      </c>
      <c r="E781" s="67">
        <v>45112</v>
      </c>
      <c r="F781" s="62">
        <v>1585</v>
      </c>
      <c r="G781" s="62">
        <v>1600</v>
      </c>
      <c r="H781" s="62">
        <v>1600</v>
      </c>
      <c r="I781" s="60">
        <f t="shared" si="48"/>
        <v>1.9851116625310175</v>
      </c>
      <c r="J781" s="60">
        <f t="shared" si="49"/>
        <v>0</v>
      </c>
      <c r="K781" s="60">
        <f t="shared" si="50"/>
        <v>1.9851116625310175</v>
      </c>
      <c r="L781" s="60">
        <f t="shared" si="51"/>
        <v>0</v>
      </c>
    </row>
    <row r="782" spans="1:12" x14ac:dyDescent="0.25">
      <c r="A782" s="61">
        <v>2247</v>
      </c>
      <c r="B782" s="61" t="s">
        <v>48</v>
      </c>
      <c r="C782">
        <v>806</v>
      </c>
      <c r="D782" s="57" t="s">
        <v>352</v>
      </c>
      <c r="E782" s="67">
        <v>45112</v>
      </c>
      <c r="F782" s="62">
        <v>1620</v>
      </c>
      <c r="G782" s="62">
        <v>1562</v>
      </c>
      <c r="H782" s="62">
        <v>1562</v>
      </c>
      <c r="I782" s="60">
        <f t="shared" si="48"/>
        <v>1.9379652605459057</v>
      </c>
      <c r="J782" s="60">
        <f t="shared" si="49"/>
        <v>0</v>
      </c>
      <c r="K782" s="60">
        <f t="shared" si="50"/>
        <v>1.9379652605459057</v>
      </c>
      <c r="L782" s="60">
        <f t="shared" si="51"/>
        <v>0</v>
      </c>
    </row>
    <row r="783" spans="1:12" x14ac:dyDescent="0.25">
      <c r="A783" s="61">
        <v>4212</v>
      </c>
      <c r="B783" s="61" t="s">
        <v>145</v>
      </c>
      <c r="C783">
        <v>1169</v>
      </c>
      <c r="D783" s="57" t="s">
        <v>352</v>
      </c>
      <c r="E783" s="67">
        <v>45112</v>
      </c>
      <c r="F783" s="62">
        <v>2150</v>
      </c>
      <c r="G783" s="62">
        <v>2010</v>
      </c>
      <c r="H783" s="62">
        <v>2069</v>
      </c>
      <c r="I783" s="60">
        <f t="shared" si="48"/>
        <v>1.7194183062446535</v>
      </c>
      <c r="J783" s="60">
        <f t="shared" si="49"/>
        <v>59</v>
      </c>
      <c r="K783" s="60">
        <f t="shared" si="50"/>
        <v>1.7698887938408896</v>
      </c>
      <c r="L783" s="60">
        <f t="shared" si="51"/>
        <v>5.0470487596236069E-2</v>
      </c>
    </row>
    <row r="784" spans="1:12" x14ac:dyDescent="0.25">
      <c r="A784" s="61">
        <v>5115</v>
      </c>
      <c r="B784" s="61" t="s">
        <v>151</v>
      </c>
      <c r="C784">
        <v>1141</v>
      </c>
      <c r="D784" s="57" t="s">
        <v>352</v>
      </c>
      <c r="E784" s="67">
        <v>45113</v>
      </c>
      <c r="F784" s="62">
        <v>2150</v>
      </c>
      <c r="G784" s="62">
        <v>2080</v>
      </c>
      <c r="H784" s="62">
        <v>2184</v>
      </c>
      <c r="I784" s="60">
        <f t="shared" si="48"/>
        <v>1.8229623137598598</v>
      </c>
      <c r="J784" s="60">
        <f t="shared" si="49"/>
        <v>104</v>
      </c>
      <c r="K784" s="60">
        <f t="shared" si="50"/>
        <v>1.9141104294478528</v>
      </c>
      <c r="L784" s="60">
        <f t="shared" si="51"/>
        <v>9.114811568799297E-2</v>
      </c>
    </row>
    <row r="785" spans="1:12" x14ac:dyDescent="0.25">
      <c r="A785" s="61">
        <v>2152</v>
      </c>
      <c r="B785" s="61" t="s">
        <v>86</v>
      </c>
      <c r="C785">
        <v>810</v>
      </c>
      <c r="D785" s="57" t="s">
        <v>352</v>
      </c>
      <c r="E785" s="67">
        <v>45114</v>
      </c>
      <c r="F785" s="62">
        <v>1580</v>
      </c>
      <c r="G785" s="62">
        <v>1570</v>
      </c>
      <c r="H785" s="62">
        <v>1601</v>
      </c>
      <c r="I785" s="60">
        <f t="shared" si="48"/>
        <v>1.9382716049382716</v>
      </c>
      <c r="J785" s="60">
        <f t="shared" si="49"/>
        <v>31</v>
      </c>
      <c r="K785" s="60">
        <f t="shared" si="50"/>
        <v>1.9765432098765432</v>
      </c>
      <c r="L785" s="60">
        <f t="shared" si="51"/>
        <v>3.8271604938271642E-2</v>
      </c>
    </row>
    <row r="786" spans="1:12" x14ac:dyDescent="0.25">
      <c r="A786" s="61">
        <v>2261</v>
      </c>
      <c r="B786" s="61" t="s">
        <v>57</v>
      </c>
      <c r="C786">
        <v>700</v>
      </c>
      <c r="D786" s="57" t="s">
        <v>352</v>
      </c>
      <c r="E786" s="67">
        <v>45114</v>
      </c>
      <c r="F786" s="62">
        <v>1515</v>
      </c>
      <c r="G786" s="62">
        <v>1319</v>
      </c>
      <c r="H786" s="62">
        <v>1444</v>
      </c>
      <c r="I786" s="60">
        <f t="shared" si="48"/>
        <v>1.8842857142857143</v>
      </c>
      <c r="J786" s="60">
        <f t="shared" si="49"/>
        <v>125</v>
      </c>
      <c r="K786" s="60">
        <f t="shared" si="50"/>
        <v>2.0628571428571427</v>
      </c>
      <c r="L786" s="60">
        <f t="shared" si="51"/>
        <v>0.17857142857142838</v>
      </c>
    </row>
    <row r="787" spans="1:12" x14ac:dyDescent="0.25">
      <c r="A787" s="61">
        <v>2322</v>
      </c>
      <c r="B787" s="61" t="s">
        <v>86</v>
      </c>
      <c r="C787">
        <v>810</v>
      </c>
      <c r="D787" s="57" t="s">
        <v>49</v>
      </c>
      <c r="E787" s="67">
        <v>45114</v>
      </c>
      <c r="F787" s="62">
        <v>1600</v>
      </c>
      <c r="G787" s="62">
        <v>1648</v>
      </c>
      <c r="H787" s="62">
        <v>1535</v>
      </c>
      <c r="I787" s="60">
        <f t="shared" si="48"/>
        <v>2.0345679012345679</v>
      </c>
      <c r="J787" s="60">
        <f t="shared" si="49"/>
        <v>-113</v>
      </c>
      <c r="K787" s="60">
        <f t="shared" si="50"/>
        <v>1.8950617283950617</v>
      </c>
      <c r="L787" s="60">
        <f t="shared" si="51"/>
        <v>-0.13950617283950617</v>
      </c>
    </row>
    <row r="788" spans="1:12" x14ac:dyDescent="0.25">
      <c r="A788" s="61">
        <v>5315</v>
      </c>
      <c r="B788" s="61" t="s">
        <v>151</v>
      </c>
      <c r="C788">
        <v>1141</v>
      </c>
      <c r="D788" s="57" t="s">
        <v>352</v>
      </c>
      <c r="E788" s="67">
        <v>45114</v>
      </c>
      <c r="F788" s="62">
        <v>2150</v>
      </c>
      <c r="G788" s="62">
        <v>2158</v>
      </c>
      <c r="H788" s="62">
        <v>2205</v>
      </c>
      <c r="I788" s="60">
        <f t="shared" si="48"/>
        <v>1.8913234005258546</v>
      </c>
      <c r="J788" s="60">
        <f t="shared" si="49"/>
        <v>47</v>
      </c>
      <c r="K788" s="60">
        <f t="shared" si="50"/>
        <v>1.9325153374233128</v>
      </c>
      <c r="L788" s="60">
        <f t="shared" si="51"/>
        <v>4.1191936897458259E-2</v>
      </c>
    </row>
    <row r="789" spans="1:12" x14ac:dyDescent="0.25">
      <c r="A789" s="61">
        <v>2158</v>
      </c>
      <c r="B789" s="61" t="s">
        <v>82</v>
      </c>
      <c r="C789">
        <v>1112</v>
      </c>
      <c r="D789" s="57" t="s">
        <v>352</v>
      </c>
      <c r="E789" s="67">
        <v>45117</v>
      </c>
      <c r="F789" s="62">
        <v>2125</v>
      </c>
      <c r="G789" s="62">
        <v>1990</v>
      </c>
      <c r="H789" s="62">
        <v>2044</v>
      </c>
      <c r="I789" s="60">
        <f t="shared" si="48"/>
        <v>1.789568345323741</v>
      </c>
      <c r="J789" s="60">
        <f t="shared" si="49"/>
        <v>54</v>
      </c>
      <c r="K789" s="60">
        <f t="shared" si="50"/>
        <v>1.8381294964028776</v>
      </c>
      <c r="L789" s="60">
        <f t="shared" si="51"/>
        <v>4.8561151079136611E-2</v>
      </c>
    </row>
    <row r="790" spans="1:12" x14ac:dyDescent="0.25">
      <c r="A790" s="61">
        <v>2252</v>
      </c>
      <c r="B790" s="61" t="s">
        <v>86</v>
      </c>
      <c r="C790">
        <v>810</v>
      </c>
      <c r="D790" s="57" t="s">
        <v>352</v>
      </c>
      <c r="E790" s="67">
        <v>45117</v>
      </c>
      <c r="F790" s="62">
        <v>1580</v>
      </c>
      <c r="G790" s="62">
        <v>1675</v>
      </c>
      <c r="H790" s="62">
        <v>1675</v>
      </c>
      <c r="I790" s="60">
        <f t="shared" si="48"/>
        <v>2.0679012345679011</v>
      </c>
      <c r="J790" s="60">
        <f t="shared" si="49"/>
        <v>0</v>
      </c>
      <c r="K790" s="60">
        <f t="shared" si="50"/>
        <v>2.0679012345679011</v>
      </c>
      <c r="L790" s="60">
        <f t="shared" si="51"/>
        <v>0</v>
      </c>
    </row>
    <row r="791" spans="1:12" x14ac:dyDescent="0.25">
      <c r="A791" s="61">
        <v>2328</v>
      </c>
      <c r="B791" s="61" t="s">
        <v>74</v>
      </c>
      <c r="C791">
        <v>1169</v>
      </c>
      <c r="D791" s="57" t="s">
        <v>49</v>
      </c>
      <c r="E791" s="67">
        <v>45117</v>
      </c>
      <c r="F791" s="62">
        <v>2195</v>
      </c>
      <c r="G791" s="62">
        <v>2120</v>
      </c>
      <c r="H791" s="62">
        <v>1860</v>
      </c>
      <c r="I791" s="60">
        <f t="shared" si="48"/>
        <v>1.8135158254918733</v>
      </c>
      <c r="J791" s="60">
        <f t="shared" si="49"/>
        <v>-260</v>
      </c>
      <c r="K791" s="60">
        <f t="shared" si="50"/>
        <v>1.5911035072711719</v>
      </c>
      <c r="L791" s="60">
        <f t="shared" si="51"/>
        <v>-0.2224123182207014</v>
      </c>
    </row>
    <row r="792" spans="1:12" x14ac:dyDescent="0.25">
      <c r="A792" s="61">
        <v>5111</v>
      </c>
      <c r="B792" s="61" t="s">
        <v>57</v>
      </c>
      <c r="C792">
        <v>700</v>
      </c>
      <c r="D792" s="57" t="s">
        <v>49</v>
      </c>
      <c r="E792" s="67">
        <v>45117</v>
      </c>
      <c r="F792" s="62">
        <v>1515</v>
      </c>
      <c r="G792" s="62">
        <v>1484</v>
      </c>
      <c r="H792" s="62">
        <v>1435</v>
      </c>
      <c r="I792" s="60">
        <f t="shared" si="48"/>
        <v>2.12</v>
      </c>
      <c r="J792" s="60">
        <f t="shared" si="49"/>
        <v>-49</v>
      </c>
      <c r="K792" s="60">
        <f t="shared" si="50"/>
        <v>2.0499999999999998</v>
      </c>
      <c r="L792" s="60">
        <f t="shared" si="51"/>
        <v>-7.0000000000000284E-2</v>
      </c>
    </row>
    <row r="793" spans="1:12" x14ac:dyDescent="0.25">
      <c r="A793" s="61">
        <v>2116</v>
      </c>
      <c r="B793" s="61" t="s">
        <v>55</v>
      </c>
      <c r="C793">
        <v>806</v>
      </c>
      <c r="D793" s="57" t="s">
        <v>352</v>
      </c>
      <c r="E793" s="67">
        <v>45118</v>
      </c>
      <c r="F793" s="62">
        <v>1585</v>
      </c>
      <c r="G793" s="62">
        <v>1515</v>
      </c>
      <c r="H793" s="62">
        <v>1545</v>
      </c>
      <c r="I793" s="60">
        <f t="shared" si="48"/>
        <v>1.879652605459057</v>
      </c>
      <c r="J793" s="60">
        <f t="shared" si="49"/>
        <v>30</v>
      </c>
      <c r="K793" s="60">
        <f t="shared" si="50"/>
        <v>1.9168734491315136</v>
      </c>
      <c r="L793" s="60">
        <f t="shared" si="51"/>
        <v>3.7220843672456594E-2</v>
      </c>
    </row>
    <row r="794" spans="1:12" x14ac:dyDescent="0.25">
      <c r="A794" s="61">
        <v>5215</v>
      </c>
      <c r="B794" s="61" t="s">
        <v>151</v>
      </c>
      <c r="C794">
        <v>1141</v>
      </c>
      <c r="D794" s="57" t="s">
        <v>352</v>
      </c>
      <c r="E794" s="67">
        <v>45118</v>
      </c>
      <c r="F794" s="62">
        <v>2150</v>
      </c>
      <c r="G794" s="62">
        <v>2100</v>
      </c>
      <c r="H794" s="62">
        <v>2199</v>
      </c>
      <c r="I794" s="60">
        <f t="shared" si="48"/>
        <v>1.8404907975460123</v>
      </c>
      <c r="J794" s="60">
        <f t="shared" si="49"/>
        <v>99</v>
      </c>
      <c r="K794" s="60">
        <f t="shared" si="50"/>
        <v>1.927256792287467</v>
      </c>
      <c r="L794" s="60">
        <f t="shared" si="51"/>
        <v>8.6765994741454744E-2</v>
      </c>
    </row>
    <row r="795" spans="1:12" x14ac:dyDescent="0.25">
      <c r="A795" s="61">
        <v>2133</v>
      </c>
      <c r="B795" s="61" t="s">
        <v>65</v>
      </c>
      <c r="C795">
        <v>813</v>
      </c>
      <c r="D795" s="57" t="s">
        <v>49</v>
      </c>
      <c r="E795" s="67">
        <v>45119</v>
      </c>
      <c r="F795" s="62">
        <v>1580</v>
      </c>
      <c r="G795" s="62">
        <v>1535</v>
      </c>
      <c r="H795" s="62">
        <v>1576</v>
      </c>
      <c r="I795" s="60">
        <f t="shared" si="48"/>
        <v>1.8880688806888068</v>
      </c>
      <c r="J795" s="60">
        <f t="shared" si="49"/>
        <v>41</v>
      </c>
      <c r="K795" s="60">
        <f t="shared" si="50"/>
        <v>1.9384993849938499</v>
      </c>
      <c r="L795" s="60">
        <f t="shared" si="51"/>
        <v>5.0430504305043033E-2</v>
      </c>
    </row>
    <row r="796" spans="1:12" x14ac:dyDescent="0.25">
      <c r="A796" s="61">
        <v>2142</v>
      </c>
      <c r="B796" s="61" t="s">
        <v>74</v>
      </c>
      <c r="C796">
        <v>1169</v>
      </c>
      <c r="D796" s="57" t="s">
        <v>352</v>
      </c>
      <c r="E796" s="67">
        <v>45119</v>
      </c>
      <c r="F796" s="62">
        <v>2220</v>
      </c>
      <c r="G796" s="62">
        <v>2062</v>
      </c>
      <c r="H796" s="62">
        <v>2137</v>
      </c>
      <c r="I796" s="60">
        <f t="shared" si="48"/>
        <v>1.7639007698887939</v>
      </c>
      <c r="J796" s="60">
        <f t="shared" si="49"/>
        <v>75</v>
      </c>
      <c r="K796" s="60">
        <f t="shared" si="50"/>
        <v>1.8280581693755347</v>
      </c>
      <c r="L796" s="60">
        <f t="shared" si="51"/>
        <v>6.4157399486740818E-2</v>
      </c>
    </row>
    <row r="797" spans="1:12" x14ac:dyDescent="0.25">
      <c r="A797" s="61">
        <v>4304</v>
      </c>
      <c r="B797" s="61" t="s">
        <v>59</v>
      </c>
      <c r="C797">
        <v>1115</v>
      </c>
      <c r="D797" s="57" t="s">
        <v>49</v>
      </c>
      <c r="E797" s="67">
        <v>45119</v>
      </c>
      <c r="F797" s="62">
        <v>2135</v>
      </c>
      <c r="G797" s="62">
        <v>1925</v>
      </c>
      <c r="H797" s="62">
        <v>1865</v>
      </c>
      <c r="I797" s="60">
        <f t="shared" si="48"/>
        <v>1.7264573991031391</v>
      </c>
      <c r="J797" s="60">
        <f t="shared" si="49"/>
        <v>-60</v>
      </c>
      <c r="K797" s="60">
        <f t="shared" si="50"/>
        <v>1.6726457399103138</v>
      </c>
      <c r="L797" s="60">
        <f t="shared" si="51"/>
        <v>-5.3811659192825267E-2</v>
      </c>
    </row>
    <row r="798" spans="1:12" x14ac:dyDescent="0.25">
      <c r="A798" s="61">
        <v>2346</v>
      </c>
      <c r="B798" s="61" t="s">
        <v>74</v>
      </c>
      <c r="C798">
        <v>1169</v>
      </c>
      <c r="D798" s="57" t="s">
        <v>49</v>
      </c>
      <c r="E798" s="67">
        <v>45120</v>
      </c>
      <c r="F798" s="62">
        <v>2220</v>
      </c>
      <c r="G798" s="62">
        <v>2300</v>
      </c>
      <c r="H798" s="62">
        <v>1835</v>
      </c>
      <c r="I798" s="60">
        <f t="shared" si="48"/>
        <v>1.9674935842600514</v>
      </c>
      <c r="J798" s="60">
        <f t="shared" si="49"/>
        <v>-465</v>
      </c>
      <c r="K798" s="60">
        <f t="shared" si="50"/>
        <v>1.5697177074422584</v>
      </c>
      <c r="L798" s="60">
        <f t="shared" si="51"/>
        <v>-0.39777587681779303</v>
      </c>
    </row>
    <row r="799" spans="1:12" x14ac:dyDescent="0.25">
      <c r="A799" s="61">
        <v>4306</v>
      </c>
      <c r="B799" s="61" t="s">
        <v>57</v>
      </c>
      <c r="C799">
        <v>700</v>
      </c>
      <c r="D799" s="57" t="s">
        <v>49</v>
      </c>
      <c r="E799" s="67">
        <v>45120</v>
      </c>
      <c r="F799" s="62">
        <v>1515</v>
      </c>
      <c r="G799" s="62">
        <v>1513</v>
      </c>
      <c r="H799" s="62">
        <v>1500</v>
      </c>
      <c r="I799" s="60">
        <f t="shared" si="48"/>
        <v>2.1614285714285715</v>
      </c>
      <c r="J799" s="60">
        <f t="shared" si="49"/>
        <v>-13</v>
      </c>
      <c r="K799" s="60">
        <f t="shared" si="50"/>
        <v>2.1428571428571428</v>
      </c>
      <c r="L799" s="60">
        <f t="shared" si="51"/>
        <v>-1.8571428571428683E-2</v>
      </c>
    </row>
    <row r="800" spans="1:12" x14ac:dyDescent="0.25">
      <c r="A800" s="61">
        <v>2134</v>
      </c>
      <c r="B800" s="61" t="s">
        <v>86</v>
      </c>
      <c r="C800">
        <v>810</v>
      </c>
      <c r="D800" s="57" t="s">
        <v>49</v>
      </c>
      <c r="E800" s="67">
        <v>45121</v>
      </c>
      <c r="F800" s="62">
        <v>1580</v>
      </c>
      <c r="G800" s="62">
        <v>1570</v>
      </c>
      <c r="H800" s="62">
        <v>1540</v>
      </c>
      <c r="I800" s="60">
        <f t="shared" si="48"/>
        <v>1.9382716049382716</v>
      </c>
      <c r="J800" s="60">
        <f t="shared" si="49"/>
        <v>-30</v>
      </c>
      <c r="K800" s="60">
        <f t="shared" si="50"/>
        <v>1.9012345679012346</v>
      </c>
      <c r="L800" s="60">
        <f t="shared" si="51"/>
        <v>-3.7037037037036979E-2</v>
      </c>
    </row>
    <row r="801" spans="1:12" x14ac:dyDescent="0.25">
      <c r="A801" s="61">
        <v>2151</v>
      </c>
      <c r="B801" s="61" t="s">
        <v>51</v>
      </c>
      <c r="C801">
        <v>848</v>
      </c>
      <c r="D801" s="57" t="s">
        <v>49</v>
      </c>
      <c r="E801" s="67">
        <v>45121</v>
      </c>
      <c r="F801" s="62">
        <v>1735</v>
      </c>
      <c r="G801" s="62">
        <v>1590</v>
      </c>
      <c r="H801" s="62">
        <v>1580</v>
      </c>
      <c r="I801" s="60">
        <f t="shared" si="48"/>
        <v>1.875</v>
      </c>
      <c r="J801" s="60">
        <f t="shared" si="49"/>
        <v>-10</v>
      </c>
      <c r="K801" s="60">
        <f t="shared" si="50"/>
        <v>1.8632075471698113</v>
      </c>
      <c r="L801" s="60">
        <f t="shared" si="51"/>
        <v>-1.1792452830188704E-2</v>
      </c>
    </row>
    <row r="802" spans="1:12" x14ac:dyDescent="0.25">
      <c r="A802" s="61">
        <v>2210</v>
      </c>
      <c r="B802" s="61" t="s">
        <v>57</v>
      </c>
      <c r="C802">
        <v>700</v>
      </c>
      <c r="D802" s="57" t="s">
        <v>49</v>
      </c>
      <c r="E802" s="67">
        <v>45121</v>
      </c>
      <c r="F802" s="62">
        <v>1560</v>
      </c>
      <c r="G802" s="62">
        <v>1560</v>
      </c>
      <c r="H802" s="62">
        <v>1579</v>
      </c>
      <c r="I802" s="60">
        <f t="shared" si="48"/>
        <v>2.2285714285714286</v>
      </c>
      <c r="J802" s="60">
        <f t="shared" si="49"/>
        <v>19</v>
      </c>
      <c r="K802" s="60">
        <f t="shared" si="50"/>
        <v>2.2557142857142858</v>
      </c>
      <c r="L802" s="60">
        <f t="shared" si="51"/>
        <v>2.7142857142857135E-2</v>
      </c>
    </row>
    <row r="803" spans="1:12" x14ac:dyDescent="0.25">
      <c r="A803" s="61">
        <v>2242</v>
      </c>
      <c r="B803" s="61" t="s">
        <v>74</v>
      </c>
      <c r="C803">
        <v>1169</v>
      </c>
      <c r="D803" s="57" t="s">
        <v>352</v>
      </c>
      <c r="E803" s="67">
        <v>45122</v>
      </c>
      <c r="F803" s="62">
        <v>2220</v>
      </c>
      <c r="G803" s="62">
        <v>2090</v>
      </c>
      <c r="H803" s="62">
        <v>2115</v>
      </c>
      <c r="I803" s="60">
        <f t="shared" si="48"/>
        <v>1.7878528656971771</v>
      </c>
      <c r="J803" s="60">
        <f t="shared" si="49"/>
        <v>25</v>
      </c>
      <c r="K803" s="60">
        <f t="shared" si="50"/>
        <v>1.8092386655260906</v>
      </c>
      <c r="L803" s="60">
        <f t="shared" si="51"/>
        <v>2.1385799828913532E-2</v>
      </c>
    </row>
    <row r="804" spans="1:12" x14ac:dyDescent="0.25">
      <c r="A804" s="61">
        <v>4209</v>
      </c>
      <c r="B804" s="61" t="s">
        <v>151</v>
      </c>
      <c r="C804">
        <v>1141</v>
      </c>
      <c r="D804" s="57" t="s">
        <v>352</v>
      </c>
      <c r="E804" s="67">
        <v>45122</v>
      </c>
      <c r="F804" s="62">
        <v>2150</v>
      </c>
      <c r="G804" s="62">
        <v>2040</v>
      </c>
      <c r="H804" s="62">
        <v>2142</v>
      </c>
      <c r="I804" s="60">
        <f t="shared" si="48"/>
        <v>1.7879053461875547</v>
      </c>
      <c r="J804" s="60">
        <f t="shared" si="49"/>
        <v>102</v>
      </c>
      <c r="K804" s="60">
        <f t="shared" si="50"/>
        <v>1.8773006134969326</v>
      </c>
      <c r="L804" s="60">
        <f t="shared" si="51"/>
        <v>8.9395267309377857E-2</v>
      </c>
    </row>
    <row r="805" spans="1:12" x14ac:dyDescent="0.25">
      <c r="A805" s="61">
        <v>5209</v>
      </c>
      <c r="B805" s="61" t="s">
        <v>57</v>
      </c>
      <c r="C805">
        <v>700</v>
      </c>
      <c r="D805" s="57" t="s">
        <v>352</v>
      </c>
      <c r="E805" s="67">
        <v>45123</v>
      </c>
      <c r="F805" s="62">
        <v>1515</v>
      </c>
      <c r="G805" s="62">
        <v>1522</v>
      </c>
      <c r="H805" s="62">
        <v>1492</v>
      </c>
      <c r="I805" s="60">
        <f t="shared" si="48"/>
        <v>2.1742857142857144</v>
      </c>
      <c r="J805" s="60">
        <f t="shared" si="49"/>
        <v>-30</v>
      </c>
      <c r="K805" s="60">
        <f t="shared" si="50"/>
        <v>2.1314285714285712</v>
      </c>
      <c r="L805" s="60">
        <f t="shared" si="51"/>
        <v>-4.2857142857143149E-2</v>
      </c>
    </row>
    <row r="806" spans="1:12" x14ac:dyDescent="0.25">
      <c r="A806" s="61">
        <v>2138</v>
      </c>
      <c r="B806" s="61" t="s">
        <v>86</v>
      </c>
      <c r="C806">
        <v>810</v>
      </c>
      <c r="D806" s="57" t="s">
        <v>49</v>
      </c>
      <c r="E806" s="67">
        <v>45124</v>
      </c>
      <c r="F806" s="62">
        <v>1555</v>
      </c>
      <c r="G806" s="62">
        <v>1555</v>
      </c>
      <c r="H806" s="62">
        <v>1490</v>
      </c>
      <c r="I806" s="60">
        <f t="shared" si="48"/>
        <v>1.9197530864197532</v>
      </c>
      <c r="J806" s="60">
        <f t="shared" si="49"/>
        <v>-65</v>
      </c>
      <c r="K806" s="60">
        <f t="shared" si="50"/>
        <v>1.8395061728395061</v>
      </c>
      <c r="L806" s="60">
        <f t="shared" si="51"/>
        <v>-8.0246913580247048E-2</v>
      </c>
    </row>
    <row r="807" spans="1:12" x14ac:dyDescent="0.25">
      <c r="A807" s="61">
        <v>2230</v>
      </c>
      <c r="B807" s="61" t="s">
        <v>48</v>
      </c>
      <c r="C807">
        <v>806</v>
      </c>
      <c r="D807" s="57" t="s">
        <v>49</v>
      </c>
      <c r="E807" s="67">
        <v>45124</v>
      </c>
      <c r="F807" s="62">
        <v>1620</v>
      </c>
      <c r="G807" s="62">
        <v>1640</v>
      </c>
      <c r="H807" s="62">
        <v>1540</v>
      </c>
      <c r="I807" s="60">
        <f t="shared" si="48"/>
        <v>2.0347394540942929</v>
      </c>
      <c r="J807" s="60">
        <f t="shared" si="49"/>
        <v>-100</v>
      </c>
      <c r="K807" s="60">
        <f t="shared" si="50"/>
        <v>1.9106699751861043</v>
      </c>
      <c r="L807" s="60">
        <f t="shared" si="51"/>
        <v>-0.12406947890818865</v>
      </c>
    </row>
    <row r="808" spans="1:12" x14ac:dyDescent="0.25">
      <c r="A808" s="61">
        <v>2313</v>
      </c>
      <c r="B808" s="61" t="s">
        <v>59</v>
      </c>
      <c r="C808">
        <v>1115</v>
      </c>
      <c r="D808" s="57" t="s">
        <v>49</v>
      </c>
      <c r="E808" s="67">
        <v>45124</v>
      </c>
      <c r="F808" s="62">
        <v>2165</v>
      </c>
      <c r="G808" s="62">
        <v>2270</v>
      </c>
      <c r="H808" s="62">
        <v>1945</v>
      </c>
      <c r="I808" s="60">
        <f t="shared" si="48"/>
        <v>2.0358744394618835</v>
      </c>
      <c r="J808" s="60">
        <f t="shared" si="49"/>
        <v>-325</v>
      </c>
      <c r="K808" s="60">
        <f t="shared" si="50"/>
        <v>1.7443946188340806</v>
      </c>
      <c r="L808" s="60">
        <f t="shared" si="51"/>
        <v>-0.29147982062780287</v>
      </c>
    </row>
    <row r="809" spans="1:12" x14ac:dyDescent="0.25">
      <c r="A809" s="61">
        <v>2327</v>
      </c>
      <c r="B809" s="61" t="s">
        <v>57</v>
      </c>
      <c r="C809">
        <v>700</v>
      </c>
      <c r="D809" s="57" t="s">
        <v>49</v>
      </c>
      <c r="E809" s="67">
        <v>45124</v>
      </c>
      <c r="F809" s="62">
        <v>1515</v>
      </c>
      <c r="G809" s="62">
        <v>1662</v>
      </c>
      <c r="H809" s="62">
        <v>1435</v>
      </c>
      <c r="I809" s="60">
        <f t="shared" si="48"/>
        <v>2.3742857142857141</v>
      </c>
      <c r="J809" s="60">
        <f t="shared" si="49"/>
        <v>-227</v>
      </c>
      <c r="K809" s="60">
        <f t="shared" si="50"/>
        <v>2.0499999999999998</v>
      </c>
      <c r="L809" s="60">
        <f t="shared" si="51"/>
        <v>-0.32428571428571429</v>
      </c>
    </row>
    <row r="810" spans="1:12" x14ac:dyDescent="0.25">
      <c r="A810" s="61">
        <v>4103</v>
      </c>
      <c r="B810" s="61" t="s">
        <v>59</v>
      </c>
      <c r="C810">
        <v>1115</v>
      </c>
      <c r="D810" s="57" t="s">
        <v>49</v>
      </c>
      <c r="E810" s="67">
        <v>45124</v>
      </c>
      <c r="F810" s="62">
        <v>2290</v>
      </c>
      <c r="G810" s="62">
        <v>2080</v>
      </c>
      <c r="H810" s="62">
        <v>2240</v>
      </c>
      <c r="I810" s="60">
        <f t="shared" si="48"/>
        <v>1.8654708520179373</v>
      </c>
      <c r="J810" s="60">
        <f t="shared" si="49"/>
        <v>160</v>
      </c>
      <c r="K810" s="60">
        <f t="shared" si="50"/>
        <v>2.0089686098654709</v>
      </c>
      <c r="L810" s="60">
        <f t="shared" si="51"/>
        <v>0.1434977578475336</v>
      </c>
    </row>
    <row r="811" spans="1:12" x14ac:dyDescent="0.25">
      <c r="A811" s="61">
        <v>5308</v>
      </c>
      <c r="B811" s="61" t="s">
        <v>59</v>
      </c>
      <c r="C811">
        <v>1115</v>
      </c>
      <c r="D811" s="57" t="s">
        <v>49</v>
      </c>
      <c r="E811" s="67">
        <v>45124</v>
      </c>
      <c r="F811" s="62">
        <v>2165</v>
      </c>
      <c r="G811" s="62">
        <v>2120</v>
      </c>
      <c r="H811" s="62">
        <v>1833</v>
      </c>
      <c r="I811" s="60">
        <f t="shared" si="48"/>
        <v>1.9013452914798206</v>
      </c>
      <c r="J811" s="60">
        <f t="shared" si="49"/>
        <v>-287</v>
      </c>
      <c r="K811" s="60">
        <f t="shared" si="50"/>
        <v>1.6439461883408071</v>
      </c>
      <c r="L811" s="60">
        <f t="shared" si="51"/>
        <v>-0.25739910313901349</v>
      </c>
    </row>
    <row r="812" spans="1:12" x14ac:dyDescent="0.25">
      <c r="A812" s="61">
        <v>2350</v>
      </c>
      <c r="B812" s="61" t="s">
        <v>86</v>
      </c>
      <c r="C812">
        <v>810</v>
      </c>
      <c r="D812" s="57" t="s">
        <v>352</v>
      </c>
      <c r="E812" s="67">
        <v>45125</v>
      </c>
      <c r="F812" s="62">
        <v>1555</v>
      </c>
      <c r="G812" s="62">
        <v>1555</v>
      </c>
      <c r="H812" s="62">
        <v>1555</v>
      </c>
      <c r="I812" s="60">
        <f t="shared" si="48"/>
        <v>1.9197530864197532</v>
      </c>
      <c r="J812" s="60">
        <f t="shared" si="49"/>
        <v>0</v>
      </c>
      <c r="K812" s="60">
        <f t="shared" si="50"/>
        <v>1.9197530864197532</v>
      </c>
      <c r="L812" s="60">
        <f t="shared" si="51"/>
        <v>0</v>
      </c>
    </row>
    <row r="813" spans="1:12" x14ac:dyDescent="0.25">
      <c r="A813" s="61">
        <v>2336</v>
      </c>
      <c r="B813" s="61" t="s">
        <v>86</v>
      </c>
      <c r="C813">
        <v>810</v>
      </c>
      <c r="D813" s="57" t="s">
        <v>352</v>
      </c>
      <c r="E813" s="67">
        <v>45126</v>
      </c>
      <c r="F813" s="62">
        <v>1580</v>
      </c>
      <c r="G813" s="62">
        <v>1580</v>
      </c>
      <c r="H813" s="62">
        <v>1577</v>
      </c>
      <c r="I813" s="60">
        <f t="shared" si="48"/>
        <v>1.9506172839506173</v>
      </c>
      <c r="J813" s="60">
        <f t="shared" si="49"/>
        <v>-3</v>
      </c>
      <c r="K813" s="60">
        <f t="shared" si="50"/>
        <v>1.9469135802469135</v>
      </c>
      <c r="L813" s="60">
        <f t="shared" si="51"/>
        <v>-3.7037037037037646E-3</v>
      </c>
    </row>
    <row r="814" spans="1:12" x14ac:dyDescent="0.25">
      <c r="A814" s="61">
        <v>5202</v>
      </c>
      <c r="B814" s="61" t="s">
        <v>145</v>
      </c>
      <c r="C814">
        <v>1169</v>
      </c>
      <c r="D814" s="57" t="s">
        <v>352</v>
      </c>
      <c r="E814" s="67">
        <v>45126</v>
      </c>
      <c r="F814" s="62">
        <v>2180</v>
      </c>
      <c r="G814" s="62">
        <v>2180</v>
      </c>
      <c r="H814" s="62">
        <v>2099</v>
      </c>
      <c r="I814" s="60">
        <f t="shared" si="48"/>
        <v>1.864841745081266</v>
      </c>
      <c r="J814" s="60">
        <f t="shared" si="49"/>
        <v>-81</v>
      </c>
      <c r="K814" s="60">
        <f t="shared" si="50"/>
        <v>1.7955517536355861</v>
      </c>
      <c r="L814" s="60">
        <f t="shared" si="51"/>
        <v>-6.9289991445679933E-2</v>
      </c>
    </row>
    <row r="815" spans="1:12" x14ac:dyDescent="0.25">
      <c r="A815" s="61">
        <v>5207</v>
      </c>
      <c r="B815" s="61" t="s">
        <v>57</v>
      </c>
      <c r="C815">
        <v>700</v>
      </c>
      <c r="D815" s="57" t="s">
        <v>352</v>
      </c>
      <c r="E815" s="67">
        <v>45126</v>
      </c>
      <c r="F815" s="62">
        <v>1515</v>
      </c>
      <c r="G815" s="62">
        <v>1515</v>
      </c>
      <c r="H815" s="62">
        <v>1513</v>
      </c>
      <c r="I815" s="60">
        <f t="shared" si="48"/>
        <v>2.1642857142857141</v>
      </c>
      <c r="J815" s="60">
        <f t="shared" si="49"/>
        <v>-2</v>
      </c>
      <c r="K815" s="60">
        <f t="shared" si="50"/>
        <v>2.1614285714285715</v>
      </c>
      <c r="L815" s="60">
        <f t="shared" si="51"/>
        <v>-2.8571428571426694E-3</v>
      </c>
    </row>
    <row r="816" spans="1:12" x14ac:dyDescent="0.25">
      <c r="A816" s="61">
        <v>2337</v>
      </c>
      <c r="B816" s="61" t="s">
        <v>153</v>
      </c>
      <c r="C816">
        <v>813</v>
      </c>
      <c r="D816" s="57" t="s">
        <v>49</v>
      </c>
      <c r="E816" s="67">
        <v>45128</v>
      </c>
      <c r="F816" s="62">
        <v>1450</v>
      </c>
      <c r="G816" s="62">
        <v>1536</v>
      </c>
      <c r="H816" s="62">
        <v>1560</v>
      </c>
      <c r="I816" s="60">
        <f t="shared" si="48"/>
        <v>1.8892988929889298</v>
      </c>
      <c r="J816" s="60">
        <f t="shared" si="49"/>
        <v>24</v>
      </c>
      <c r="K816" s="60">
        <f t="shared" si="50"/>
        <v>1.9188191881918819</v>
      </c>
      <c r="L816" s="60">
        <f t="shared" si="51"/>
        <v>2.9520295202952074E-2</v>
      </c>
    </row>
    <row r="817" spans="1:12" x14ac:dyDescent="0.25">
      <c r="A817" s="61">
        <v>4107</v>
      </c>
      <c r="B817" s="61" t="s">
        <v>59</v>
      </c>
      <c r="C817">
        <v>1115</v>
      </c>
      <c r="D817" s="57" t="s">
        <v>49</v>
      </c>
      <c r="E817" s="67">
        <v>45128</v>
      </c>
      <c r="F817" s="62">
        <v>2260</v>
      </c>
      <c r="G817" s="62">
        <v>2075</v>
      </c>
      <c r="H817" s="62">
        <v>2185</v>
      </c>
      <c r="I817" s="60">
        <f t="shared" si="48"/>
        <v>1.8609865470852018</v>
      </c>
      <c r="J817" s="60">
        <f t="shared" si="49"/>
        <v>110</v>
      </c>
      <c r="K817" s="60">
        <f t="shared" si="50"/>
        <v>1.9596412556053813</v>
      </c>
      <c r="L817" s="60">
        <f t="shared" si="51"/>
        <v>9.8654708520179435E-2</v>
      </c>
    </row>
    <row r="818" spans="1:12" x14ac:dyDescent="0.25">
      <c r="A818" s="61">
        <v>2325</v>
      </c>
      <c r="B818" s="61" t="s">
        <v>59</v>
      </c>
      <c r="C818">
        <v>1115</v>
      </c>
      <c r="D818" s="57" t="s">
        <v>352</v>
      </c>
      <c r="E818" s="67">
        <v>45132</v>
      </c>
      <c r="F818" s="62">
        <v>2135</v>
      </c>
      <c r="G818" s="62">
        <v>1950</v>
      </c>
      <c r="H818" s="62">
        <v>2049</v>
      </c>
      <c r="I818" s="60">
        <f t="shared" si="48"/>
        <v>1.7488789237668161</v>
      </c>
      <c r="J818" s="60">
        <f t="shared" si="49"/>
        <v>99</v>
      </c>
      <c r="K818" s="60">
        <f t="shared" si="50"/>
        <v>1.8376681614349777</v>
      </c>
      <c r="L818" s="60">
        <f t="shared" si="51"/>
        <v>8.8789237668161602E-2</v>
      </c>
    </row>
    <row r="819" spans="1:12" x14ac:dyDescent="0.25">
      <c r="A819" s="61">
        <v>5214</v>
      </c>
      <c r="B819" s="61" t="s">
        <v>145</v>
      </c>
      <c r="C819">
        <v>1146</v>
      </c>
      <c r="D819" s="57" t="s">
        <v>49</v>
      </c>
      <c r="E819" s="67">
        <v>45132</v>
      </c>
      <c r="F819" s="62">
        <v>2180</v>
      </c>
      <c r="G819" s="62">
        <v>2009</v>
      </c>
      <c r="H819" s="62">
        <v>1780</v>
      </c>
      <c r="I819" s="60">
        <f t="shared" si="48"/>
        <v>1.7530541012216405</v>
      </c>
      <c r="J819" s="60">
        <f t="shared" si="49"/>
        <v>-229</v>
      </c>
      <c r="K819" s="60">
        <f t="shared" si="50"/>
        <v>1.5532286212914486</v>
      </c>
      <c r="L819" s="60">
        <f t="shared" si="51"/>
        <v>-0.19982547993019195</v>
      </c>
    </row>
    <row r="820" spans="1:12" x14ac:dyDescent="0.25">
      <c r="A820" s="61">
        <v>2235</v>
      </c>
      <c r="B820" s="61" t="s">
        <v>48</v>
      </c>
      <c r="C820">
        <v>806</v>
      </c>
      <c r="D820" s="57" t="s">
        <v>49</v>
      </c>
      <c r="E820" s="67">
        <v>45132</v>
      </c>
      <c r="F820" s="62">
        <v>1620</v>
      </c>
      <c r="G820" s="62">
        <v>1577</v>
      </c>
      <c r="H820" s="62">
        <v>1540</v>
      </c>
      <c r="I820" s="60">
        <f t="shared" si="48"/>
        <v>1.9565756823821341</v>
      </c>
      <c r="J820" s="60">
        <f t="shared" si="49"/>
        <v>-37</v>
      </c>
      <c r="K820" s="60">
        <f t="shared" si="50"/>
        <v>1.9106699751861043</v>
      </c>
      <c r="L820" s="60">
        <f t="shared" si="51"/>
        <v>-4.5905707196029821E-2</v>
      </c>
    </row>
    <row r="821" spans="1:12" x14ac:dyDescent="0.25">
      <c r="A821" s="61">
        <v>5112</v>
      </c>
      <c r="B821" s="61" t="s">
        <v>59</v>
      </c>
      <c r="C821">
        <v>1115</v>
      </c>
      <c r="D821" s="57" t="s">
        <v>49</v>
      </c>
      <c r="E821" s="67">
        <v>45132</v>
      </c>
      <c r="F821" s="62">
        <v>2165</v>
      </c>
      <c r="G821" s="62">
        <v>1946</v>
      </c>
      <c r="H821" s="62">
        <v>1820</v>
      </c>
      <c r="I821" s="60">
        <f t="shared" si="48"/>
        <v>1.7452914798206278</v>
      </c>
      <c r="J821" s="60">
        <f t="shared" si="49"/>
        <v>-126</v>
      </c>
      <c r="K821" s="60">
        <f t="shared" si="50"/>
        <v>1.6322869955156951</v>
      </c>
      <c r="L821" s="60">
        <f t="shared" si="51"/>
        <v>-0.11300448430493271</v>
      </c>
    </row>
    <row r="822" spans="1:12" x14ac:dyDescent="0.25">
      <c r="A822" s="61">
        <v>2318</v>
      </c>
      <c r="B822" s="61" t="s">
        <v>86</v>
      </c>
      <c r="C822">
        <v>810</v>
      </c>
      <c r="D822" s="57" t="s">
        <v>49</v>
      </c>
      <c r="E822" s="67">
        <v>45133</v>
      </c>
      <c r="F822" s="62">
        <v>1555</v>
      </c>
      <c r="G822" s="62">
        <v>1612</v>
      </c>
      <c r="H822" s="62">
        <v>1490</v>
      </c>
      <c r="I822" s="60">
        <f t="shared" si="48"/>
        <v>1.9901234567901234</v>
      </c>
      <c r="J822" s="60">
        <f t="shared" si="49"/>
        <v>-122</v>
      </c>
      <c r="K822" s="60">
        <f t="shared" si="50"/>
        <v>1.8395061728395061</v>
      </c>
      <c r="L822" s="60">
        <f t="shared" si="51"/>
        <v>-0.15061728395061724</v>
      </c>
    </row>
    <row r="823" spans="1:12" x14ac:dyDescent="0.25">
      <c r="A823" s="61">
        <v>2102</v>
      </c>
      <c r="B823" s="61" t="s">
        <v>86</v>
      </c>
      <c r="C823">
        <v>810</v>
      </c>
      <c r="D823" s="57" t="s">
        <v>49</v>
      </c>
      <c r="E823" s="67">
        <v>45133</v>
      </c>
      <c r="F823" s="62">
        <v>1600</v>
      </c>
      <c r="G823" s="62">
        <v>1600</v>
      </c>
      <c r="H823" s="62">
        <v>1570</v>
      </c>
      <c r="I823" s="60">
        <f t="shared" si="48"/>
        <v>1.9753086419753085</v>
      </c>
      <c r="J823" s="60">
        <f t="shared" si="49"/>
        <v>-30</v>
      </c>
      <c r="K823" s="60">
        <f t="shared" si="50"/>
        <v>1.9382716049382716</v>
      </c>
      <c r="L823" s="60">
        <f t="shared" si="51"/>
        <v>-3.7037037037036979E-2</v>
      </c>
    </row>
    <row r="824" spans="1:12" x14ac:dyDescent="0.25">
      <c r="A824" s="61">
        <v>2355</v>
      </c>
      <c r="B824" s="61" t="s">
        <v>65</v>
      </c>
      <c r="C824">
        <v>813</v>
      </c>
      <c r="D824" s="57" t="s">
        <v>49</v>
      </c>
      <c r="E824" s="67">
        <v>45134</v>
      </c>
      <c r="F824" s="62">
        <v>1685</v>
      </c>
      <c r="G824" s="62">
        <v>1580</v>
      </c>
      <c r="H824" s="62">
        <v>1541</v>
      </c>
      <c r="I824" s="60">
        <f t="shared" si="48"/>
        <v>1.943419434194342</v>
      </c>
      <c r="J824" s="60">
        <f t="shared" si="49"/>
        <v>-39</v>
      </c>
      <c r="K824" s="60">
        <f t="shared" si="50"/>
        <v>1.895448954489545</v>
      </c>
      <c r="L824" s="60">
        <f t="shared" si="51"/>
        <v>-4.7970479704797064E-2</v>
      </c>
    </row>
    <row r="825" spans="1:12" x14ac:dyDescent="0.25">
      <c r="A825" s="61">
        <v>2342</v>
      </c>
      <c r="B825" s="61" t="s">
        <v>74</v>
      </c>
      <c r="C825">
        <v>1169</v>
      </c>
      <c r="D825" s="57" t="s">
        <v>49</v>
      </c>
      <c r="E825" s="67">
        <v>45135</v>
      </c>
      <c r="F825" s="62">
        <v>1927</v>
      </c>
      <c r="G825" s="62">
        <v>2220</v>
      </c>
      <c r="H825" s="62">
        <v>2130</v>
      </c>
      <c r="I825" s="60">
        <f t="shared" si="48"/>
        <v>1.8990590248075279</v>
      </c>
      <c r="J825" s="60">
        <f t="shared" si="49"/>
        <v>-90</v>
      </c>
      <c r="K825" s="60">
        <f t="shared" si="50"/>
        <v>1.8220701454234389</v>
      </c>
      <c r="L825" s="60">
        <f t="shared" si="51"/>
        <v>-7.6988879384088937E-2</v>
      </c>
    </row>
    <row r="826" spans="1:12" x14ac:dyDescent="0.25">
      <c r="A826" s="61">
        <v>2216</v>
      </c>
      <c r="B826" s="61" t="s">
        <v>55</v>
      </c>
      <c r="C826">
        <v>806</v>
      </c>
      <c r="D826" s="57" t="s">
        <v>49</v>
      </c>
      <c r="E826" s="67">
        <v>45135</v>
      </c>
      <c r="F826" s="62">
        <v>1699</v>
      </c>
      <c r="G826" s="62">
        <v>1585</v>
      </c>
      <c r="H826" s="62">
        <v>1577</v>
      </c>
      <c r="I826" s="60">
        <f t="shared" si="48"/>
        <v>1.966501240694789</v>
      </c>
      <c r="J826" s="60">
        <f t="shared" si="49"/>
        <v>-8</v>
      </c>
      <c r="K826" s="60">
        <f t="shared" si="50"/>
        <v>1.9565756823821341</v>
      </c>
      <c r="L826" s="60">
        <f t="shared" si="51"/>
        <v>-9.9255583126549585E-3</v>
      </c>
    </row>
    <row r="827" spans="1:12" x14ac:dyDescent="0.25">
      <c r="A827" s="61">
        <v>2141</v>
      </c>
      <c r="B827" s="61" t="s">
        <v>86</v>
      </c>
      <c r="C827">
        <v>810</v>
      </c>
      <c r="D827" s="57" t="s">
        <v>49</v>
      </c>
      <c r="E827" s="67">
        <v>45139</v>
      </c>
      <c r="F827" s="62">
        <v>1555</v>
      </c>
      <c r="G827" s="62">
        <v>1640</v>
      </c>
      <c r="H827" s="62">
        <v>1545</v>
      </c>
      <c r="I827" s="60">
        <f t="shared" si="48"/>
        <v>2.0246913580246915</v>
      </c>
      <c r="J827" s="60">
        <f t="shared" si="49"/>
        <v>-95</v>
      </c>
      <c r="K827" s="60">
        <f t="shared" si="50"/>
        <v>1.9074074074074074</v>
      </c>
      <c r="L827" s="60">
        <f t="shared" si="51"/>
        <v>-0.11728395061728403</v>
      </c>
    </row>
    <row r="828" spans="1:12" x14ac:dyDescent="0.25">
      <c r="A828" s="61">
        <v>5302</v>
      </c>
      <c r="B828" s="61" t="s">
        <v>145</v>
      </c>
      <c r="C828">
        <v>1146</v>
      </c>
      <c r="D828" s="57" t="s">
        <v>49</v>
      </c>
      <c r="E828" s="67">
        <v>45142</v>
      </c>
      <c r="F828" s="62">
        <v>2180</v>
      </c>
      <c r="G828" s="62">
        <v>2005</v>
      </c>
      <c r="H828" s="62">
        <v>2006</v>
      </c>
      <c r="I828" s="60">
        <f t="shared" si="48"/>
        <v>1.74956369982548</v>
      </c>
      <c r="J828" s="60">
        <f t="shared" si="49"/>
        <v>1</v>
      </c>
      <c r="K828" s="60">
        <f t="shared" si="50"/>
        <v>1.75043630017452</v>
      </c>
      <c r="L828" s="60">
        <f t="shared" si="51"/>
        <v>8.7260034904002026E-4</v>
      </c>
    </row>
    <row r="829" spans="1:12" x14ac:dyDescent="0.25">
      <c r="A829" s="61">
        <v>2209</v>
      </c>
      <c r="B829" s="61" t="s">
        <v>61</v>
      </c>
      <c r="C829">
        <v>820</v>
      </c>
      <c r="D829" s="57" t="s">
        <v>49</v>
      </c>
      <c r="E829" s="67">
        <v>45143</v>
      </c>
      <c r="F829" s="62">
        <v>1615</v>
      </c>
      <c r="G829" s="62">
        <v>1910</v>
      </c>
      <c r="H829" s="62">
        <v>1525</v>
      </c>
      <c r="I829" s="60">
        <f t="shared" si="48"/>
        <v>2.3292682926829267</v>
      </c>
      <c r="J829" s="60">
        <f t="shared" si="49"/>
        <v>-385</v>
      </c>
      <c r="K829" s="60">
        <f t="shared" si="50"/>
        <v>1.8597560975609757</v>
      </c>
      <c r="L829" s="60">
        <f t="shared" si="51"/>
        <v>-0.46951219512195097</v>
      </c>
    </row>
    <row r="830" spans="1:12" x14ac:dyDescent="0.25">
      <c r="A830" s="61">
        <v>1103</v>
      </c>
      <c r="B830" s="61" t="s">
        <v>137</v>
      </c>
      <c r="C830">
        <v>1700</v>
      </c>
      <c r="D830" s="57" t="s">
        <v>49</v>
      </c>
      <c r="E830" s="67">
        <v>45139</v>
      </c>
      <c r="F830" s="62">
        <v>2995</v>
      </c>
      <c r="G830" s="62">
        <v>2818</v>
      </c>
      <c r="H830" s="62">
        <v>2750</v>
      </c>
      <c r="I830" s="60">
        <f t="shared" si="48"/>
        <v>1.6576470588235295</v>
      </c>
      <c r="J830" s="60">
        <f t="shared" si="49"/>
        <v>-68</v>
      </c>
      <c r="K830" s="60">
        <f t="shared" si="50"/>
        <v>1.6176470588235294</v>
      </c>
      <c r="L830" s="60">
        <f t="shared" si="51"/>
        <v>-4.0000000000000036E-2</v>
      </c>
    </row>
    <row r="831" spans="1:12" x14ac:dyDescent="0.25">
      <c r="A831" s="61">
        <v>5306</v>
      </c>
      <c r="B831" s="61" t="s">
        <v>59</v>
      </c>
      <c r="C831">
        <v>1115</v>
      </c>
      <c r="D831" s="57" t="s">
        <v>49</v>
      </c>
      <c r="E831" s="67">
        <v>45139</v>
      </c>
      <c r="F831" s="62">
        <v>2165</v>
      </c>
      <c r="G831" s="62">
        <v>2030</v>
      </c>
      <c r="H831" s="62">
        <v>1795</v>
      </c>
      <c r="I831" s="60">
        <f t="shared" si="48"/>
        <v>1.8206278026905829</v>
      </c>
      <c r="J831" s="60">
        <f t="shared" si="49"/>
        <v>-235</v>
      </c>
      <c r="K831" s="60">
        <f t="shared" si="50"/>
        <v>1.6098654708520179</v>
      </c>
      <c r="L831" s="60">
        <f t="shared" si="51"/>
        <v>-0.21076233183856496</v>
      </c>
    </row>
    <row r="832" spans="1:12" x14ac:dyDescent="0.25">
      <c r="A832" s="61">
        <v>2125</v>
      </c>
      <c r="B832" s="61" t="s">
        <v>48</v>
      </c>
      <c r="C832">
        <v>806</v>
      </c>
      <c r="D832" s="57" t="s">
        <v>49</v>
      </c>
      <c r="E832" s="67">
        <v>45146</v>
      </c>
      <c r="F832" s="62">
        <v>1620</v>
      </c>
      <c r="G832" s="62">
        <v>1565</v>
      </c>
      <c r="H832" s="62">
        <v>1555</v>
      </c>
      <c r="I832" s="60">
        <f t="shared" si="48"/>
        <v>1.9416873449131513</v>
      </c>
      <c r="J832" s="60">
        <f t="shared" si="49"/>
        <v>-10</v>
      </c>
      <c r="K832" s="60">
        <f t="shared" si="50"/>
        <v>1.9292803970223324</v>
      </c>
      <c r="L832" s="60">
        <f t="shared" si="51"/>
        <v>-1.2406947890818865E-2</v>
      </c>
    </row>
    <row r="833" spans="1:12" x14ac:dyDescent="0.25">
      <c r="A833" s="61">
        <v>2117</v>
      </c>
      <c r="B833" s="61" t="s">
        <v>51</v>
      </c>
      <c r="C833">
        <v>848</v>
      </c>
      <c r="D833" s="57" t="s">
        <v>49</v>
      </c>
      <c r="E833" s="67">
        <v>45147</v>
      </c>
      <c r="F833" s="62">
        <v>1735</v>
      </c>
      <c r="G833" s="62">
        <v>1755</v>
      </c>
      <c r="H833" s="62">
        <v>1685</v>
      </c>
      <c r="I833" s="60">
        <f t="shared" si="48"/>
        <v>2.0695754716981134</v>
      </c>
      <c r="J833" s="60">
        <f t="shared" si="49"/>
        <v>-70</v>
      </c>
      <c r="K833" s="60">
        <f t="shared" si="50"/>
        <v>1.9870283018867925</v>
      </c>
      <c r="L833" s="60">
        <f t="shared" si="51"/>
        <v>-8.2547169811320931E-2</v>
      </c>
    </row>
    <row r="834" spans="1:12" x14ac:dyDescent="0.25">
      <c r="A834" s="61">
        <v>2121</v>
      </c>
      <c r="B834" s="61" t="s">
        <v>65</v>
      </c>
      <c r="C834">
        <v>813</v>
      </c>
      <c r="D834" s="57" t="s">
        <v>49</v>
      </c>
      <c r="E834" s="67">
        <v>45147</v>
      </c>
      <c r="F834" s="62">
        <v>1580</v>
      </c>
      <c r="G834" s="62">
        <v>1579</v>
      </c>
      <c r="H834" s="62">
        <v>1580</v>
      </c>
      <c r="I834" s="60">
        <f t="shared" ref="I834:I903" si="52">G834/C834</f>
        <v>1.9421894218942188</v>
      </c>
      <c r="J834" s="60">
        <f t="shared" ref="J834:J903" si="53">SUM(H834-G834)</f>
        <v>1</v>
      </c>
      <c r="K834" s="60">
        <f t="shared" ref="K834:K903" si="54">H834/C834</f>
        <v>1.943419434194342</v>
      </c>
      <c r="L834" s="60">
        <f t="shared" ref="L834:L903" si="55">K834-I834</f>
        <v>1.2300123001232066E-3</v>
      </c>
    </row>
    <row r="835" spans="1:12" x14ac:dyDescent="0.25">
      <c r="A835" s="61">
        <v>2144</v>
      </c>
      <c r="B835" s="61" t="s">
        <v>57</v>
      </c>
      <c r="C835">
        <v>700</v>
      </c>
      <c r="D835" s="57" t="s">
        <v>49</v>
      </c>
      <c r="E835" s="67">
        <v>45148</v>
      </c>
      <c r="F835" s="62">
        <v>1515</v>
      </c>
      <c r="G835" s="62">
        <v>1889</v>
      </c>
      <c r="H835" s="62">
        <v>1480</v>
      </c>
      <c r="I835" s="60">
        <f t="shared" si="52"/>
        <v>2.6985714285714284</v>
      </c>
      <c r="J835" s="60">
        <f t="shared" si="53"/>
        <v>-409</v>
      </c>
      <c r="K835" s="60">
        <f t="shared" si="54"/>
        <v>2.1142857142857143</v>
      </c>
      <c r="L835" s="60">
        <f t="shared" si="55"/>
        <v>-0.58428571428571408</v>
      </c>
    </row>
    <row r="836" spans="1:12" x14ac:dyDescent="0.25">
      <c r="A836" s="61">
        <v>4309</v>
      </c>
      <c r="B836" s="61" t="s">
        <v>151</v>
      </c>
      <c r="C836">
        <v>0</v>
      </c>
      <c r="D836" s="57" t="s">
        <v>49</v>
      </c>
      <c r="E836" s="67">
        <v>45149</v>
      </c>
      <c r="F836" s="62">
        <v>2150</v>
      </c>
      <c r="G836" s="62">
        <v>2321</v>
      </c>
      <c r="H836" s="62">
        <v>1935</v>
      </c>
      <c r="I836" s="60" t="e">
        <f t="shared" si="52"/>
        <v>#DIV/0!</v>
      </c>
      <c r="J836" s="60">
        <f t="shared" si="53"/>
        <v>-386</v>
      </c>
      <c r="K836" s="60" t="e">
        <f t="shared" si="54"/>
        <v>#DIV/0!</v>
      </c>
      <c r="L836" s="60" t="e">
        <f t="shared" si="55"/>
        <v>#DIV/0!</v>
      </c>
    </row>
    <row r="837" spans="1:12" x14ac:dyDescent="0.25">
      <c r="A837" s="61">
        <v>4301</v>
      </c>
      <c r="B837" s="61" t="s">
        <v>59</v>
      </c>
      <c r="C837">
        <v>1115</v>
      </c>
      <c r="D837" s="57" t="s">
        <v>49</v>
      </c>
      <c r="E837" s="67">
        <v>45149</v>
      </c>
      <c r="F837" s="62">
        <v>2165</v>
      </c>
      <c r="G837" s="62">
        <v>1955</v>
      </c>
      <c r="H837" s="62">
        <v>1823</v>
      </c>
      <c r="I837" s="60">
        <f t="shared" si="52"/>
        <v>1.7533632286995515</v>
      </c>
      <c r="J837" s="60">
        <f t="shared" si="53"/>
        <v>-132</v>
      </c>
      <c r="K837" s="60">
        <f t="shared" si="54"/>
        <v>1.6349775784753364</v>
      </c>
      <c r="L837" s="60">
        <f t="shared" si="55"/>
        <v>-0.1183856502242151</v>
      </c>
    </row>
    <row r="838" spans="1:12" x14ac:dyDescent="0.25">
      <c r="A838" s="61">
        <v>4113</v>
      </c>
      <c r="B838" s="61" t="s">
        <v>145</v>
      </c>
      <c r="C838">
        <v>1146</v>
      </c>
      <c r="D838" s="57" t="s">
        <v>352</v>
      </c>
      <c r="E838" s="67">
        <v>45150</v>
      </c>
      <c r="F838" s="62">
        <v>2180</v>
      </c>
      <c r="G838" s="62">
        <v>2145</v>
      </c>
      <c r="H838" s="62">
        <v>2170</v>
      </c>
      <c r="I838" s="60">
        <f t="shared" si="52"/>
        <v>1.8717277486910995</v>
      </c>
      <c r="J838" s="60">
        <f t="shared" si="53"/>
        <v>25</v>
      </c>
      <c r="K838" s="60">
        <f t="shared" si="54"/>
        <v>1.8935427574171029</v>
      </c>
      <c r="L838" s="60">
        <f t="shared" si="55"/>
        <v>2.1815008726003393E-2</v>
      </c>
    </row>
    <row r="839" spans="1:12" x14ac:dyDescent="0.25">
      <c r="A839" s="61">
        <v>2248</v>
      </c>
      <c r="B839" s="61" t="s">
        <v>86</v>
      </c>
      <c r="C839">
        <v>810</v>
      </c>
      <c r="D839" s="57" t="s">
        <v>352</v>
      </c>
      <c r="E839" s="67">
        <v>45150</v>
      </c>
      <c r="F839" s="62">
        <v>1580</v>
      </c>
      <c r="G839" s="62">
        <v>1575</v>
      </c>
      <c r="H839" s="62">
        <v>1575</v>
      </c>
      <c r="I839" s="60">
        <f t="shared" si="52"/>
        <v>1.9444444444444444</v>
      </c>
      <c r="J839" s="60">
        <f t="shared" si="53"/>
        <v>0</v>
      </c>
      <c r="K839" s="60">
        <f t="shared" si="54"/>
        <v>1.9444444444444444</v>
      </c>
      <c r="L839" s="60">
        <f t="shared" si="55"/>
        <v>0</v>
      </c>
    </row>
    <row r="840" spans="1:12" x14ac:dyDescent="0.25">
      <c r="A840" s="61">
        <v>5104</v>
      </c>
      <c r="B840" s="61" t="s">
        <v>59</v>
      </c>
      <c r="C840">
        <v>1115</v>
      </c>
      <c r="D840" s="57" t="s">
        <v>352</v>
      </c>
      <c r="E840" s="67">
        <v>45150</v>
      </c>
      <c r="F840" s="62">
        <v>2165</v>
      </c>
      <c r="G840" s="62">
        <v>2222</v>
      </c>
      <c r="H840" s="62">
        <v>2222</v>
      </c>
      <c r="I840" s="60">
        <f t="shared" si="52"/>
        <v>1.9928251121076233</v>
      </c>
      <c r="J840" s="60">
        <f t="shared" si="53"/>
        <v>0</v>
      </c>
      <c r="K840" s="60">
        <f t="shared" si="54"/>
        <v>1.9928251121076233</v>
      </c>
      <c r="L840" s="60">
        <f t="shared" si="55"/>
        <v>0</v>
      </c>
    </row>
    <row r="841" spans="1:12" x14ac:dyDescent="0.25">
      <c r="A841" s="61">
        <v>1107</v>
      </c>
      <c r="B841" s="61" t="s">
        <v>137</v>
      </c>
      <c r="C841">
        <v>1700</v>
      </c>
      <c r="D841" s="57" t="s">
        <v>49</v>
      </c>
      <c r="E841" s="67">
        <v>45151</v>
      </c>
      <c r="F841" s="62">
        <v>2995</v>
      </c>
      <c r="G841" s="62">
        <v>2630</v>
      </c>
      <c r="H841" s="62">
        <v>2510</v>
      </c>
      <c r="I841" s="60">
        <f t="shared" si="52"/>
        <v>1.5470588235294118</v>
      </c>
      <c r="J841" s="60">
        <f t="shared" si="53"/>
        <v>-120</v>
      </c>
      <c r="K841" s="60">
        <f t="shared" si="54"/>
        <v>1.4764705882352942</v>
      </c>
      <c r="L841" s="60">
        <f t="shared" si="55"/>
        <v>-7.0588235294117618E-2</v>
      </c>
    </row>
    <row r="842" spans="1:12" x14ac:dyDescent="0.25">
      <c r="A842" s="61">
        <v>1102</v>
      </c>
      <c r="B842" s="61" t="s">
        <v>137</v>
      </c>
      <c r="C842">
        <v>1700</v>
      </c>
      <c r="D842" s="57" t="s">
        <v>352</v>
      </c>
      <c r="E842" s="67">
        <v>45152</v>
      </c>
      <c r="F842" s="62">
        <v>2995</v>
      </c>
      <c r="G842" s="62">
        <v>2425</v>
      </c>
      <c r="H842" s="62">
        <v>2546</v>
      </c>
      <c r="I842" s="60">
        <f t="shared" si="52"/>
        <v>1.4264705882352942</v>
      </c>
      <c r="J842" s="60">
        <f t="shared" si="53"/>
        <v>121</v>
      </c>
      <c r="K842" s="60">
        <f t="shared" si="54"/>
        <v>1.4976470588235293</v>
      </c>
      <c r="L842" s="60">
        <f t="shared" si="55"/>
        <v>7.1176470588235174E-2</v>
      </c>
    </row>
    <row r="843" spans="1:12" x14ac:dyDescent="0.25">
      <c r="A843" s="61">
        <v>2258</v>
      </c>
      <c r="B843" s="61" t="s">
        <v>82</v>
      </c>
      <c r="C843">
        <v>1112</v>
      </c>
      <c r="D843" s="57" t="s">
        <v>49</v>
      </c>
      <c r="E843" s="67">
        <v>45154</v>
      </c>
      <c r="F843" s="62">
        <v>2125</v>
      </c>
      <c r="G843" s="62">
        <v>2090</v>
      </c>
      <c r="H843" s="62">
        <v>2005</v>
      </c>
      <c r="I843" s="60">
        <f t="shared" si="52"/>
        <v>1.8794964028776979</v>
      </c>
      <c r="J843" s="60">
        <f t="shared" si="53"/>
        <v>-85</v>
      </c>
      <c r="K843" s="60">
        <f t="shared" si="54"/>
        <v>1.8030575539568345</v>
      </c>
      <c r="L843" s="60">
        <f t="shared" si="55"/>
        <v>-7.6438848920863389E-2</v>
      </c>
    </row>
    <row r="844" spans="1:12" x14ac:dyDescent="0.25">
      <c r="A844" s="61">
        <v>2340</v>
      </c>
      <c r="B844" s="61" t="s">
        <v>86</v>
      </c>
      <c r="C844">
        <v>810</v>
      </c>
      <c r="D844" s="57" t="s">
        <v>49</v>
      </c>
      <c r="E844" s="67">
        <v>45156</v>
      </c>
      <c r="F844" s="62">
        <v>1580</v>
      </c>
      <c r="G844" s="62">
        <v>1568</v>
      </c>
      <c r="H844" s="62">
        <v>1555</v>
      </c>
      <c r="I844" s="60">
        <f t="shared" si="52"/>
        <v>1.9358024691358025</v>
      </c>
      <c r="J844" s="60">
        <f t="shared" si="53"/>
        <v>-13</v>
      </c>
      <c r="K844" s="60">
        <f t="shared" si="54"/>
        <v>1.9197530864197532</v>
      </c>
      <c r="L844" s="60">
        <f t="shared" si="55"/>
        <v>-1.6049382716049276E-2</v>
      </c>
    </row>
    <row r="845" spans="1:12" x14ac:dyDescent="0.25">
      <c r="A845" s="61">
        <v>2225</v>
      </c>
      <c r="B845" s="61" t="s">
        <v>48</v>
      </c>
      <c r="C845">
        <v>806</v>
      </c>
      <c r="D845" s="57" t="s">
        <v>49</v>
      </c>
      <c r="E845" s="67">
        <v>45156</v>
      </c>
      <c r="F845" s="62">
        <v>1620</v>
      </c>
      <c r="G845" s="62">
        <v>1720</v>
      </c>
      <c r="H845" s="62">
        <v>1555</v>
      </c>
      <c r="I845" s="60">
        <f t="shared" si="52"/>
        <v>2.1339950372208438</v>
      </c>
      <c r="J845" s="60">
        <f t="shared" si="53"/>
        <v>-165</v>
      </c>
      <c r="K845" s="60">
        <f t="shared" si="54"/>
        <v>1.9292803970223324</v>
      </c>
      <c r="L845" s="60">
        <f t="shared" si="55"/>
        <v>-0.20471464019851138</v>
      </c>
    </row>
    <row r="846" spans="1:12" x14ac:dyDescent="0.25">
      <c r="A846" s="61">
        <v>2223</v>
      </c>
      <c r="B846" s="61" t="s">
        <v>57</v>
      </c>
      <c r="C846">
        <v>700</v>
      </c>
      <c r="D846" s="57" t="s">
        <v>49</v>
      </c>
      <c r="E846" s="67">
        <v>45158</v>
      </c>
      <c r="F846" s="62">
        <v>1580</v>
      </c>
      <c r="G846" s="62">
        <v>1620</v>
      </c>
      <c r="H846" s="62">
        <v>1630</v>
      </c>
      <c r="I846" s="60">
        <f t="shared" si="52"/>
        <v>2.3142857142857145</v>
      </c>
      <c r="J846" s="60">
        <f t="shared" si="53"/>
        <v>10</v>
      </c>
      <c r="K846" s="60">
        <f t="shared" si="54"/>
        <v>2.3285714285714287</v>
      </c>
      <c r="L846" s="60">
        <f t="shared" si="55"/>
        <v>1.4285714285714235E-2</v>
      </c>
    </row>
    <row r="847" spans="1:12" x14ac:dyDescent="0.25">
      <c r="A847" s="61">
        <v>2202</v>
      </c>
      <c r="B847" s="61" t="s">
        <v>86</v>
      </c>
      <c r="C847">
        <v>810</v>
      </c>
      <c r="D847" s="57" t="s">
        <v>352</v>
      </c>
      <c r="E847" s="67">
        <v>45158</v>
      </c>
      <c r="F847" s="62">
        <v>1600</v>
      </c>
      <c r="G847" s="62">
        <v>1697</v>
      </c>
      <c r="H847" s="62">
        <v>1697</v>
      </c>
      <c r="I847" s="60">
        <f t="shared" si="52"/>
        <v>2.0950617283950619</v>
      </c>
      <c r="J847" s="60">
        <f t="shared" si="53"/>
        <v>0</v>
      </c>
      <c r="K847" s="60">
        <f t="shared" si="54"/>
        <v>2.0950617283950619</v>
      </c>
      <c r="L847" s="60">
        <f t="shared" si="55"/>
        <v>0</v>
      </c>
    </row>
    <row r="848" spans="1:12" x14ac:dyDescent="0.25">
      <c r="A848" s="61">
        <v>4204</v>
      </c>
      <c r="B848" s="61" t="s">
        <v>59</v>
      </c>
      <c r="C848">
        <v>1115</v>
      </c>
      <c r="D848" s="57" t="s">
        <v>49</v>
      </c>
      <c r="E848" s="67">
        <v>45159</v>
      </c>
      <c r="F848" s="62">
        <v>2135</v>
      </c>
      <c r="G848" s="62">
        <v>2035</v>
      </c>
      <c r="H848" s="62">
        <v>2135</v>
      </c>
      <c r="I848" s="60">
        <f t="shared" si="52"/>
        <v>1.8251121076233183</v>
      </c>
      <c r="J848" s="60">
        <f t="shared" si="53"/>
        <v>100</v>
      </c>
      <c r="K848" s="60">
        <f t="shared" si="54"/>
        <v>1.9147982062780269</v>
      </c>
      <c r="L848" s="60">
        <f t="shared" si="55"/>
        <v>8.9686098654708557E-2</v>
      </c>
    </row>
    <row r="849" spans="1:12" x14ac:dyDescent="0.25">
      <c r="A849" s="61">
        <v>5108</v>
      </c>
      <c r="B849" s="61" t="s">
        <v>59</v>
      </c>
      <c r="C849">
        <v>1115</v>
      </c>
      <c r="D849" s="57" t="s">
        <v>352</v>
      </c>
      <c r="E849" s="67">
        <v>45160</v>
      </c>
      <c r="F849" s="62">
        <v>2165</v>
      </c>
      <c r="G849" s="62">
        <v>2021</v>
      </c>
      <c r="H849" s="62">
        <v>2097</v>
      </c>
      <c r="I849" s="60">
        <f t="shared" si="52"/>
        <v>1.8125560538116592</v>
      </c>
      <c r="J849" s="60">
        <f t="shared" si="53"/>
        <v>76</v>
      </c>
      <c r="K849" s="60">
        <f t="shared" si="54"/>
        <v>1.8807174887892377</v>
      </c>
      <c r="L849" s="60">
        <f t="shared" si="55"/>
        <v>6.8161434977578539E-2</v>
      </c>
    </row>
    <row r="850" spans="1:12" x14ac:dyDescent="0.25">
      <c r="A850" s="61">
        <v>2164</v>
      </c>
      <c r="B850" s="61" t="s">
        <v>48</v>
      </c>
      <c r="C850">
        <v>806</v>
      </c>
      <c r="D850" s="57" t="s">
        <v>49</v>
      </c>
      <c r="E850" s="67">
        <v>45164</v>
      </c>
      <c r="F850" s="62">
        <v>1620</v>
      </c>
      <c r="G850" s="62">
        <v>1636</v>
      </c>
      <c r="H850" s="62">
        <v>1485</v>
      </c>
      <c r="I850" s="60">
        <f t="shared" si="52"/>
        <v>2.0297766749379651</v>
      </c>
      <c r="J850" s="60">
        <f t="shared" si="53"/>
        <v>-151</v>
      </c>
      <c r="K850" s="60">
        <f t="shared" si="54"/>
        <v>1.8424317617866004</v>
      </c>
      <c r="L850" s="60">
        <f t="shared" si="55"/>
        <v>-0.1873449131513647</v>
      </c>
    </row>
    <row r="851" spans="1:12" x14ac:dyDescent="0.25">
      <c r="A851" s="61">
        <v>2222</v>
      </c>
      <c r="B851" s="61" t="s">
        <v>86</v>
      </c>
      <c r="C851">
        <v>810</v>
      </c>
      <c r="D851" s="57" t="s">
        <v>352</v>
      </c>
      <c r="E851" s="67">
        <v>45167</v>
      </c>
      <c r="F851" s="62">
        <v>1600</v>
      </c>
      <c r="G851" s="62">
        <v>1648</v>
      </c>
      <c r="H851" s="62">
        <v>1675</v>
      </c>
      <c r="I851" s="60">
        <f t="shared" si="52"/>
        <v>2.0345679012345679</v>
      </c>
      <c r="J851" s="60">
        <f t="shared" si="53"/>
        <v>27</v>
      </c>
      <c r="K851" s="60">
        <f t="shared" si="54"/>
        <v>2.0679012345679011</v>
      </c>
      <c r="L851" s="60">
        <f t="shared" si="55"/>
        <v>3.3333333333333215E-2</v>
      </c>
    </row>
    <row r="852" spans="1:12" x14ac:dyDescent="0.25">
      <c r="A852" s="61">
        <v>4213</v>
      </c>
      <c r="B852" s="61" t="s">
        <v>145</v>
      </c>
      <c r="C852">
        <v>1146</v>
      </c>
      <c r="D852" s="57" t="s">
        <v>49</v>
      </c>
      <c r="E852" s="67">
        <v>45167</v>
      </c>
      <c r="F852" s="62">
        <v>2180</v>
      </c>
      <c r="G852" s="62">
        <v>2070</v>
      </c>
      <c r="H852" s="62">
        <v>1780</v>
      </c>
      <c r="I852" s="60">
        <f t="shared" si="52"/>
        <v>1.8062827225130891</v>
      </c>
      <c r="J852" s="60">
        <f t="shared" si="53"/>
        <v>-290</v>
      </c>
      <c r="K852" s="60">
        <f t="shared" si="54"/>
        <v>1.5532286212914486</v>
      </c>
      <c r="L852" s="60">
        <f t="shared" si="55"/>
        <v>-0.25305410122164052</v>
      </c>
    </row>
    <row r="853" spans="1:12" x14ac:dyDescent="0.25">
      <c r="A853" s="61">
        <v>2157</v>
      </c>
      <c r="B853" s="61" t="s">
        <v>65</v>
      </c>
      <c r="C853">
        <v>813</v>
      </c>
      <c r="D853" s="57" t="s">
        <v>49</v>
      </c>
      <c r="E853" s="67">
        <v>45168</v>
      </c>
      <c r="F853" s="62">
        <v>1580</v>
      </c>
      <c r="G853" s="62">
        <v>1550</v>
      </c>
      <c r="H853" s="62">
        <v>1565</v>
      </c>
      <c r="I853" s="60">
        <f t="shared" si="52"/>
        <v>1.9065190651906518</v>
      </c>
      <c r="J853" s="60">
        <f t="shared" si="53"/>
        <v>15</v>
      </c>
      <c r="K853" s="60">
        <f t="shared" si="54"/>
        <v>1.9249692496924968</v>
      </c>
      <c r="L853" s="60">
        <f t="shared" si="55"/>
        <v>1.8450184501844991E-2</v>
      </c>
    </row>
    <row r="854" spans="1:12" x14ac:dyDescent="0.25">
      <c r="A854" s="61">
        <v>2205</v>
      </c>
      <c r="B854" s="61" t="s">
        <v>57</v>
      </c>
      <c r="C854">
        <v>700</v>
      </c>
      <c r="D854" s="57" t="s">
        <v>49</v>
      </c>
      <c r="E854" s="67">
        <v>45168</v>
      </c>
      <c r="F854" s="62">
        <v>1465</v>
      </c>
      <c r="G854" s="62">
        <v>1844</v>
      </c>
      <c r="H854" s="62">
        <v>1450</v>
      </c>
      <c r="I854" s="60">
        <f t="shared" si="52"/>
        <v>2.6342857142857143</v>
      </c>
      <c r="J854" s="60">
        <f t="shared" si="53"/>
        <v>-394</v>
      </c>
      <c r="K854" s="60">
        <f t="shared" si="54"/>
        <v>2.0714285714285716</v>
      </c>
      <c r="L854" s="60">
        <f t="shared" si="55"/>
        <v>-0.56285714285714272</v>
      </c>
    </row>
    <row r="855" spans="1:12" x14ac:dyDescent="0.25">
      <c r="A855" s="61">
        <v>5203</v>
      </c>
      <c r="B855" s="61" t="s">
        <v>59</v>
      </c>
      <c r="C855">
        <v>1115</v>
      </c>
      <c r="D855" s="57" t="s">
        <v>352</v>
      </c>
      <c r="E855" s="67">
        <v>45169</v>
      </c>
      <c r="F855" s="62">
        <v>2135</v>
      </c>
      <c r="G855" s="62">
        <v>1965</v>
      </c>
      <c r="H855" s="62">
        <v>2063</v>
      </c>
      <c r="I855" s="60">
        <f t="shared" si="52"/>
        <v>1.7623318385650224</v>
      </c>
      <c r="J855" s="60">
        <f t="shared" si="53"/>
        <v>98</v>
      </c>
      <c r="K855" s="60">
        <f t="shared" si="54"/>
        <v>1.8502242152466368</v>
      </c>
      <c r="L855" s="60">
        <f t="shared" si="55"/>
        <v>8.7892376681614426E-2</v>
      </c>
    </row>
    <row r="856" spans="1:12" x14ac:dyDescent="0.25">
      <c r="A856" s="61">
        <v>4203</v>
      </c>
      <c r="B856" s="61" t="s">
        <v>59</v>
      </c>
      <c r="C856">
        <v>1115</v>
      </c>
      <c r="D856" s="57" t="s">
        <v>49</v>
      </c>
      <c r="E856" s="67">
        <v>45169</v>
      </c>
      <c r="F856" s="62">
        <v>2165</v>
      </c>
      <c r="G856" s="62">
        <v>2070</v>
      </c>
      <c r="H856" s="62">
        <v>1765</v>
      </c>
      <c r="I856" s="60">
        <f t="shared" si="52"/>
        <v>1.8565022421524664</v>
      </c>
      <c r="J856" s="60">
        <f t="shared" si="53"/>
        <v>-305</v>
      </c>
      <c r="K856" s="60">
        <f t="shared" si="54"/>
        <v>1.5829596412556053</v>
      </c>
      <c r="L856" s="60">
        <f t="shared" si="55"/>
        <v>-0.27354260089686111</v>
      </c>
    </row>
    <row r="857" spans="1:12" x14ac:dyDescent="0.25">
      <c r="A857" s="61">
        <v>5211</v>
      </c>
      <c r="B857" s="61" t="s">
        <v>57</v>
      </c>
      <c r="C857">
        <v>700</v>
      </c>
      <c r="D857" s="57" t="s">
        <v>352</v>
      </c>
      <c r="E857" s="67">
        <v>45171</v>
      </c>
      <c r="F857" s="62">
        <v>1515</v>
      </c>
      <c r="G857" s="62">
        <v>1582</v>
      </c>
      <c r="H857" s="62">
        <v>1614</v>
      </c>
      <c r="I857" s="60">
        <f>G857/C857</f>
        <v>2.2599999999999998</v>
      </c>
      <c r="J857" s="60">
        <f>SUM(H857-G857)</f>
        <v>32</v>
      </c>
      <c r="K857" s="60">
        <f>H857/C857</f>
        <v>2.3057142857142856</v>
      </c>
      <c r="L857" s="60">
        <f t="shared" si="55"/>
        <v>4.5714285714285818E-2</v>
      </c>
    </row>
    <row r="858" spans="1:12" x14ac:dyDescent="0.25">
      <c r="A858" s="61">
        <v>4108</v>
      </c>
      <c r="B858" s="61" t="s">
        <v>57</v>
      </c>
      <c r="C858">
        <v>700</v>
      </c>
      <c r="D858" s="57" t="s">
        <v>352</v>
      </c>
      <c r="E858" s="67">
        <v>45173</v>
      </c>
      <c r="F858" s="62">
        <v>1515</v>
      </c>
      <c r="G858" s="62">
        <v>1515</v>
      </c>
      <c r="H858" s="62">
        <v>1589</v>
      </c>
      <c r="I858" s="60">
        <f t="shared" si="52"/>
        <v>2.1642857142857141</v>
      </c>
      <c r="J858" s="60">
        <f t="shared" si="53"/>
        <v>74</v>
      </c>
      <c r="K858" s="60">
        <f t="shared" si="54"/>
        <v>2.27</v>
      </c>
      <c r="L858" s="60">
        <f t="shared" si="55"/>
        <v>0.10571428571428587</v>
      </c>
    </row>
    <row r="859" spans="1:12" x14ac:dyDescent="0.25">
      <c r="A859" s="61">
        <v>2256</v>
      </c>
      <c r="B859" s="61" t="s">
        <v>86</v>
      </c>
      <c r="C859">
        <v>810</v>
      </c>
      <c r="D859" s="57" t="s">
        <v>49</v>
      </c>
      <c r="E859" s="67">
        <v>45174</v>
      </c>
      <c r="F859" s="62">
        <v>1580</v>
      </c>
      <c r="G859" s="62">
        <v>1565</v>
      </c>
      <c r="H859" s="62">
        <v>1590</v>
      </c>
      <c r="I859" s="60">
        <f t="shared" si="52"/>
        <v>1.9320987654320987</v>
      </c>
      <c r="J859" s="60">
        <f t="shared" si="53"/>
        <v>25</v>
      </c>
      <c r="K859" s="60">
        <f t="shared" si="54"/>
        <v>1.962962962962963</v>
      </c>
      <c r="L859" s="60">
        <f t="shared" si="55"/>
        <v>3.0864197530864335E-2</v>
      </c>
    </row>
    <row r="860" spans="1:12" x14ac:dyDescent="0.25">
      <c r="A860" s="61">
        <v>2237</v>
      </c>
      <c r="B860" s="61" t="s">
        <v>153</v>
      </c>
      <c r="C860">
        <v>695</v>
      </c>
      <c r="D860" s="57" t="s">
        <v>49</v>
      </c>
      <c r="E860" s="67">
        <v>45174</v>
      </c>
      <c r="F860" s="62">
        <v>1450</v>
      </c>
      <c r="G860" s="62">
        <v>1480</v>
      </c>
      <c r="H860" s="62">
        <v>1450</v>
      </c>
      <c r="I860" s="60">
        <f t="shared" si="52"/>
        <v>2.1294964028776979</v>
      </c>
      <c r="J860" s="60">
        <f t="shared" si="53"/>
        <v>-30</v>
      </c>
      <c r="K860" s="60">
        <f t="shared" si="54"/>
        <v>2.0863309352517985</v>
      </c>
      <c r="L860" s="60">
        <f t="shared" si="55"/>
        <v>-4.3165467625899456E-2</v>
      </c>
    </row>
    <row r="861" spans="1:12" x14ac:dyDescent="0.25">
      <c r="A861" s="61">
        <v>2241</v>
      </c>
      <c r="B861" s="61" t="s">
        <v>86</v>
      </c>
      <c r="C861">
        <v>810</v>
      </c>
      <c r="D861" s="57" t="s">
        <v>49</v>
      </c>
      <c r="E861" s="67">
        <v>45177</v>
      </c>
      <c r="F861" s="62">
        <v>1555</v>
      </c>
      <c r="G861" s="62">
        <v>1570</v>
      </c>
      <c r="H861" s="62">
        <v>1710</v>
      </c>
      <c r="I861" s="60">
        <f t="shared" si="52"/>
        <v>1.9382716049382716</v>
      </c>
      <c r="J861" s="60">
        <f t="shared" si="53"/>
        <v>140</v>
      </c>
      <c r="K861" s="60">
        <f t="shared" si="54"/>
        <v>2.1111111111111112</v>
      </c>
      <c r="L861" s="60">
        <f t="shared" si="55"/>
        <v>0.17283950617283961</v>
      </c>
    </row>
    <row r="862" spans="1:12" x14ac:dyDescent="0.25">
      <c r="A862" s="61">
        <v>5107</v>
      </c>
      <c r="B862" s="61" t="s">
        <v>57</v>
      </c>
      <c r="C862">
        <v>700</v>
      </c>
      <c r="D862" s="57" t="s">
        <v>352</v>
      </c>
      <c r="E862" s="67">
        <v>45178</v>
      </c>
      <c r="F862" s="62">
        <v>1515</v>
      </c>
      <c r="G862" s="62">
        <v>1515</v>
      </c>
      <c r="H862" s="62">
        <v>1580</v>
      </c>
      <c r="I862" s="60">
        <f t="shared" si="52"/>
        <v>2.1642857142857141</v>
      </c>
      <c r="J862" s="60">
        <f t="shared" si="53"/>
        <v>65</v>
      </c>
      <c r="K862" s="60">
        <f t="shared" si="54"/>
        <v>2.2571428571428571</v>
      </c>
      <c r="L862" s="60">
        <f t="shared" si="55"/>
        <v>9.2857142857142971E-2</v>
      </c>
    </row>
    <row r="863" spans="1:12" x14ac:dyDescent="0.25">
      <c r="A863" s="61">
        <v>2250</v>
      </c>
      <c r="B863" s="61" t="s">
        <v>86</v>
      </c>
      <c r="C863">
        <v>810</v>
      </c>
      <c r="D863" s="57" t="s">
        <v>49</v>
      </c>
      <c r="E863" s="67">
        <v>45180</v>
      </c>
      <c r="F863" s="62">
        <v>1555</v>
      </c>
      <c r="G863" s="62">
        <v>1555</v>
      </c>
      <c r="H863" s="62">
        <v>1600</v>
      </c>
      <c r="I863" s="60">
        <f t="shared" si="52"/>
        <v>1.9197530864197532</v>
      </c>
      <c r="J863" s="60">
        <f t="shared" si="53"/>
        <v>45</v>
      </c>
      <c r="K863" s="60">
        <f t="shared" si="54"/>
        <v>1.9753086419753085</v>
      </c>
      <c r="L863" s="60">
        <f t="shared" si="55"/>
        <v>5.5555555555555358E-2</v>
      </c>
    </row>
    <row r="864" spans="1:12" x14ac:dyDescent="0.25">
      <c r="A864" s="61">
        <v>1106</v>
      </c>
      <c r="B864" s="61" t="s">
        <v>137</v>
      </c>
      <c r="C864">
        <v>1700</v>
      </c>
      <c r="D864" s="57" t="s">
        <v>352</v>
      </c>
      <c r="E864" s="67">
        <v>45181</v>
      </c>
      <c r="F864" s="62">
        <v>2995</v>
      </c>
      <c r="G864" s="62">
        <v>2745</v>
      </c>
      <c r="H864" s="62">
        <v>2887</v>
      </c>
      <c r="I864" s="60">
        <f t="shared" si="52"/>
        <v>1.6147058823529412</v>
      </c>
      <c r="J864" s="60">
        <f t="shared" si="53"/>
        <v>142</v>
      </c>
      <c r="K864" s="60">
        <f t="shared" si="54"/>
        <v>1.6982352941176471</v>
      </c>
      <c r="L864" s="60">
        <f t="shared" si="55"/>
        <v>8.3529411764705852E-2</v>
      </c>
    </row>
    <row r="865" spans="1:12" x14ac:dyDescent="0.25">
      <c r="A865" s="61">
        <v>5205</v>
      </c>
      <c r="B865" s="61" t="s">
        <v>57</v>
      </c>
      <c r="C865">
        <v>700</v>
      </c>
      <c r="D865" s="57" t="s">
        <v>49</v>
      </c>
      <c r="E865" s="67">
        <v>45184</v>
      </c>
      <c r="F865" s="62">
        <v>1515</v>
      </c>
      <c r="G865" s="62">
        <v>1515</v>
      </c>
      <c r="H865" s="62">
        <v>1435</v>
      </c>
      <c r="I865" s="60">
        <f t="shared" si="52"/>
        <v>2.1642857142857141</v>
      </c>
      <c r="J865" s="60">
        <f t="shared" si="53"/>
        <v>-80</v>
      </c>
      <c r="K865" s="60">
        <f t="shared" si="54"/>
        <v>2.0499999999999998</v>
      </c>
      <c r="L865" s="60">
        <f t="shared" si="55"/>
        <v>-0.11428571428571432</v>
      </c>
    </row>
    <row r="866" spans="1:12" x14ac:dyDescent="0.25">
      <c r="A866" s="61">
        <v>2110</v>
      </c>
      <c r="B866" s="61" t="s">
        <v>57</v>
      </c>
      <c r="C866">
        <v>700</v>
      </c>
      <c r="D866" s="57" t="s">
        <v>49</v>
      </c>
      <c r="E866" s="67">
        <v>45184</v>
      </c>
      <c r="F866" s="62">
        <v>1560</v>
      </c>
      <c r="G866" s="62">
        <v>1623</v>
      </c>
      <c r="H866" s="62">
        <v>1495</v>
      </c>
      <c r="I866" s="60">
        <f t="shared" si="52"/>
        <v>2.3185714285714285</v>
      </c>
      <c r="J866" s="60">
        <f t="shared" si="53"/>
        <v>-128</v>
      </c>
      <c r="K866" s="60">
        <f t="shared" si="54"/>
        <v>2.1357142857142857</v>
      </c>
      <c r="L866" s="60">
        <f t="shared" si="55"/>
        <v>-0.18285714285714283</v>
      </c>
    </row>
    <row r="867" spans="1:12" x14ac:dyDescent="0.25">
      <c r="A867" s="61">
        <v>1101</v>
      </c>
      <c r="B867" s="61" t="s">
        <v>137</v>
      </c>
      <c r="C867">
        <v>1700</v>
      </c>
      <c r="D867" s="57" t="s">
        <v>352</v>
      </c>
      <c r="E867" s="67">
        <v>45190</v>
      </c>
      <c r="F867" s="62">
        <v>2995</v>
      </c>
      <c r="G867" s="62">
        <v>2570</v>
      </c>
      <c r="H867" s="62">
        <v>2824</v>
      </c>
      <c r="I867" s="60">
        <f t="shared" si="52"/>
        <v>1.5117647058823529</v>
      </c>
      <c r="J867" s="60">
        <f t="shared" si="53"/>
        <v>254</v>
      </c>
      <c r="K867" s="60">
        <f t="shared" si="54"/>
        <v>1.6611764705882353</v>
      </c>
      <c r="L867" s="60">
        <f t="shared" si="55"/>
        <v>0.14941176470588236</v>
      </c>
    </row>
    <row r="868" spans="1:12" x14ac:dyDescent="0.25">
      <c r="A868" s="61">
        <v>2123</v>
      </c>
      <c r="B868" s="61" t="s">
        <v>65</v>
      </c>
      <c r="C868">
        <v>813</v>
      </c>
      <c r="D868" s="57" t="s">
        <v>49</v>
      </c>
      <c r="E868" s="67">
        <v>45190</v>
      </c>
      <c r="F868" s="62">
        <v>1580</v>
      </c>
      <c r="G868" s="62">
        <v>1623</v>
      </c>
      <c r="H868" s="62">
        <v>1575</v>
      </c>
      <c r="I868" s="60">
        <f t="shared" si="52"/>
        <v>1.996309963099631</v>
      </c>
      <c r="J868" s="60">
        <f t="shared" si="53"/>
        <v>-48</v>
      </c>
      <c r="K868" s="60">
        <f t="shared" si="54"/>
        <v>1.9372693726937269</v>
      </c>
      <c r="L868" s="60">
        <f t="shared" si="55"/>
        <v>-5.9040590405904148E-2</v>
      </c>
    </row>
    <row r="869" spans="1:12" x14ac:dyDescent="0.25">
      <c r="A869" s="61">
        <v>2135</v>
      </c>
      <c r="B869" s="61" t="s">
        <v>48</v>
      </c>
      <c r="C869">
        <v>806</v>
      </c>
      <c r="D869" s="57" t="s">
        <v>49</v>
      </c>
      <c r="E869" s="67">
        <v>45190</v>
      </c>
      <c r="F869" s="62">
        <v>1620</v>
      </c>
      <c r="G869" s="62">
        <v>1580</v>
      </c>
      <c r="H869" s="62">
        <v>1525</v>
      </c>
      <c r="I869" s="60">
        <f t="shared" si="52"/>
        <v>1.9602977667493797</v>
      </c>
      <c r="J869" s="60">
        <f t="shared" si="53"/>
        <v>-55</v>
      </c>
      <c r="K869" s="60">
        <f t="shared" si="54"/>
        <v>1.8920595533498759</v>
      </c>
      <c r="L869" s="60">
        <f t="shared" si="55"/>
        <v>-6.8238213399503866E-2</v>
      </c>
    </row>
    <row r="870" spans="1:12" x14ac:dyDescent="0.25">
      <c r="A870" s="61">
        <v>2114</v>
      </c>
      <c r="B870" s="61" t="s">
        <v>61</v>
      </c>
      <c r="C870">
        <v>820</v>
      </c>
      <c r="D870" s="57" t="s">
        <v>352</v>
      </c>
      <c r="E870" s="67">
        <v>45197</v>
      </c>
      <c r="F870" s="62">
        <v>1660</v>
      </c>
      <c r="G870" s="62">
        <v>1613</v>
      </c>
      <c r="H870" s="62">
        <v>1718</v>
      </c>
      <c r="I870" s="60">
        <f t="shared" si="52"/>
        <v>1.9670731707317073</v>
      </c>
      <c r="J870" s="60">
        <f t="shared" si="53"/>
        <v>105</v>
      </c>
      <c r="K870" s="60">
        <f t="shared" si="54"/>
        <v>2.0951219512195123</v>
      </c>
      <c r="L870" s="60">
        <f t="shared" si="55"/>
        <v>0.12804878048780499</v>
      </c>
    </row>
    <row r="871" spans="1:12" x14ac:dyDescent="0.25">
      <c r="A871" s="61">
        <v>5210</v>
      </c>
      <c r="B871" s="61" t="s">
        <v>153</v>
      </c>
      <c r="C871">
        <v>696</v>
      </c>
      <c r="D871" s="57" t="s">
        <v>49</v>
      </c>
      <c r="E871" s="67">
        <v>45197</v>
      </c>
      <c r="F871" s="62">
        <v>1480</v>
      </c>
      <c r="G871" s="62">
        <v>1554</v>
      </c>
      <c r="H871" s="62">
        <v>1485</v>
      </c>
      <c r="I871" s="60">
        <f t="shared" si="52"/>
        <v>2.2327586206896552</v>
      </c>
      <c r="J871" s="60">
        <f t="shared" si="53"/>
        <v>-69</v>
      </c>
      <c r="K871" s="60">
        <f t="shared" si="54"/>
        <v>2.1336206896551726</v>
      </c>
      <c r="L871" s="60">
        <f t="shared" si="55"/>
        <v>-9.9137931034482651E-2</v>
      </c>
    </row>
    <row r="872" spans="1:12" x14ac:dyDescent="0.25">
      <c r="A872" s="61">
        <v>2236</v>
      </c>
      <c r="B872" s="61" t="s">
        <v>86</v>
      </c>
      <c r="C872">
        <v>810</v>
      </c>
      <c r="D872" s="57" t="s">
        <v>49</v>
      </c>
      <c r="E872" s="67">
        <v>45196</v>
      </c>
      <c r="F872" s="62">
        <v>1580</v>
      </c>
      <c r="G872" s="62">
        <v>1605</v>
      </c>
      <c r="H872" s="62">
        <v>1515</v>
      </c>
      <c r="I872" s="60">
        <f t="shared" si="52"/>
        <v>1.9814814814814814</v>
      </c>
      <c r="J872" s="60">
        <f t="shared" si="53"/>
        <v>-90</v>
      </c>
      <c r="K872" s="60">
        <f t="shared" si="54"/>
        <v>1.8703703703703705</v>
      </c>
      <c r="L872" s="60">
        <f t="shared" si="55"/>
        <v>-0.11111111111111094</v>
      </c>
    </row>
    <row r="873" spans="1:12" x14ac:dyDescent="0.25">
      <c r="A873" s="61">
        <v>2156</v>
      </c>
      <c r="B873" s="61" t="s">
        <v>86</v>
      </c>
      <c r="C873">
        <v>810</v>
      </c>
      <c r="D873" s="57" t="s">
        <v>49</v>
      </c>
      <c r="E873" s="67">
        <v>45199</v>
      </c>
      <c r="F873" s="62">
        <v>1580</v>
      </c>
      <c r="G873" s="62">
        <v>1616</v>
      </c>
      <c r="H873" s="62">
        <v>1500</v>
      </c>
      <c r="I873" s="60">
        <f t="shared" si="52"/>
        <v>1.9950617283950618</v>
      </c>
      <c r="J873" s="60">
        <f t="shared" si="53"/>
        <v>-116</v>
      </c>
      <c r="K873" s="60">
        <f t="shared" si="54"/>
        <v>1.8518518518518519</v>
      </c>
      <c r="L873" s="60">
        <f t="shared" si="55"/>
        <v>-0.14320987654320994</v>
      </c>
    </row>
    <row r="874" spans="1:12" x14ac:dyDescent="0.25">
      <c r="A874" s="61">
        <v>2345</v>
      </c>
      <c r="B874" s="61" t="s">
        <v>57</v>
      </c>
      <c r="C874">
        <v>700</v>
      </c>
      <c r="D874" s="57" t="s">
        <v>49</v>
      </c>
      <c r="E874" s="67">
        <v>45199</v>
      </c>
      <c r="F874" s="62">
        <v>1515</v>
      </c>
      <c r="G874" s="62">
        <v>1530</v>
      </c>
      <c r="H874" s="62">
        <v>1460</v>
      </c>
      <c r="I874" s="60">
        <f t="shared" si="52"/>
        <v>2.1857142857142855</v>
      </c>
      <c r="J874" s="60">
        <f t="shared" si="53"/>
        <v>-70</v>
      </c>
      <c r="K874" s="60">
        <f t="shared" si="54"/>
        <v>2.0857142857142859</v>
      </c>
      <c r="L874" s="60">
        <f t="shared" si="55"/>
        <v>-9.9999999999999645E-2</v>
      </c>
    </row>
    <row r="875" spans="1:12" x14ac:dyDescent="0.25">
      <c r="A875" s="61">
        <v>2155</v>
      </c>
      <c r="B875" s="61" t="s">
        <v>65</v>
      </c>
      <c r="C875">
        <v>813</v>
      </c>
      <c r="D875" s="57" t="s">
        <v>352</v>
      </c>
      <c r="E875" s="67">
        <v>45200</v>
      </c>
      <c r="F875" s="62">
        <v>1580</v>
      </c>
      <c r="G875" s="62">
        <v>1610</v>
      </c>
      <c r="H875" s="62">
        <v>1658</v>
      </c>
      <c r="I875" s="60">
        <f t="shared" si="52"/>
        <v>1.980319803198032</v>
      </c>
      <c r="J875" s="60">
        <f t="shared" si="53"/>
        <v>48</v>
      </c>
      <c r="K875" s="60">
        <f t="shared" si="54"/>
        <v>2.039360393603936</v>
      </c>
      <c r="L875" s="60">
        <f t="shared" si="55"/>
        <v>5.9040590405903925E-2</v>
      </c>
    </row>
    <row r="876" spans="1:12" x14ac:dyDescent="0.25">
      <c r="A876" s="61">
        <v>2359</v>
      </c>
      <c r="B876" s="61" t="s">
        <v>59</v>
      </c>
      <c r="C876">
        <v>1115</v>
      </c>
      <c r="D876" s="57" t="s">
        <v>49</v>
      </c>
      <c r="E876" s="67">
        <v>45201</v>
      </c>
      <c r="F876" s="62">
        <v>2135</v>
      </c>
      <c r="G876" s="62">
        <v>1955</v>
      </c>
      <c r="H876" s="62">
        <v>2000</v>
      </c>
      <c r="I876" s="60">
        <f t="shared" si="52"/>
        <v>1.7533632286995515</v>
      </c>
      <c r="J876" s="60">
        <f t="shared" si="53"/>
        <v>45</v>
      </c>
      <c r="K876" s="60">
        <f t="shared" si="54"/>
        <v>1.7937219730941705</v>
      </c>
      <c r="L876" s="60">
        <f t="shared" si="55"/>
        <v>4.0358744394618951E-2</v>
      </c>
    </row>
    <row r="877" spans="1:12" x14ac:dyDescent="0.25">
      <c r="A877" s="61">
        <v>4106</v>
      </c>
      <c r="B877" s="61" t="s">
        <v>57</v>
      </c>
      <c r="C877">
        <v>700</v>
      </c>
      <c r="D877" s="57" t="s">
        <v>49</v>
      </c>
      <c r="E877" s="67">
        <v>45201</v>
      </c>
      <c r="F877" s="62">
        <v>1515</v>
      </c>
      <c r="G877" s="62">
        <v>1513</v>
      </c>
      <c r="H877" s="62">
        <v>1541</v>
      </c>
      <c r="I877" s="60">
        <f t="shared" si="52"/>
        <v>2.1614285714285715</v>
      </c>
      <c r="J877" s="60">
        <f t="shared" si="53"/>
        <v>28</v>
      </c>
      <c r="K877" s="60">
        <f t="shared" si="54"/>
        <v>2.2014285714285715</v>
      </c>
      <c r="L877" s="60">
        <f t="shared" si="55"/>
        <v>4.0000000000000036E-2</v>
      </c>
    </row>
    <row r="878" spans="1:12" x14ac:dyDescent="0.25">
      <c r="A878" s="61">
        <v>2251</v>
      </c>
      <c r="B878" s="61" t="s">
        <v>51</v>
      </c>
      <c r="C878">
        <v>848</v>
      </c>
      <c r="D878" s="57" t="s">
        <v>49</v>
      </c>
      <c r="E878" s="67">
        <v>45201</v>
      </c>
      <c r="F878" s="62">
        <v>1735</v>
      </c>
      <c r="G878" s="62">
        <v>1752</v>
      </c>
      <c r="H878" s="62">
        <v>1565</v>
      </c>
      <c r="I878" s="60">
        <f t="shared" si="52"/>
        <v>2.0660377358490565</v>
      </c>
      <c r="J878" s="60">
        <f t="shared" si="53"/>
        <v>-187</v>
      </c>
      <c r="K878" s="60">
        <f t="shared" si="54"/>
        <v>1.8455188679245282</v>
      </c>
      <c r="L878" s="60">
        <f t="shared" si="55"/>
        <v>-0.22051886792452824</v>
      </c>
    </row>
    <row r="879" spans="1:12" x14ac:dyDescent="0.25">
      <c r="A879" s="61">
        <v>2324</v>
      </c>
      <c r="B879" s="61" t="s">
        <v>82</v>
      </c>
      <c r="C879">
        <v>1112</v>
      </c>
      <c r="D879" s="57" t="s">
        <v>49</v>
      </c>
      <c r="E879" s="67">
        <v>45202</v>
      </c>
      <c r="F879" s="62">
        <v>2145</v>
      </c>
      <c r="G879" s="62">
        <v>2083</v>
      </c>
      <c r="H879" s="62">
        <v>1880</v>
      </c>
      <c r="I879" s="60">
        <f t="shared" si="52"/>
        <v>1.8732014388489209</v>
      </c>
      <c r="J879" s="60">
        <f t="shared" si="53"/>
        <v>-203</v>
      </c>
      <c r="K879" s="60">
        <f t="shared" si="54"/>
        <v>1.6906474820143884</v>
      </c>
      <c r="L879" s="60">
        <f t="shared" si="55"/>
        <v>-0.18255395683453246</v>
      </c>
    </row>
    <row r="880" spans="1:12" x14ac:dyDescent="0.25">
      <c r="A880" s="61">
        <v>2145</v>
      </c>
      <c r="B880" s="61" t="s">
        <v>57</v>
      </c>
      <c r="C880">
        <v>700</v>
      </c>
      <c r="D880" s="57" t="s">
        <v>49</v>
      </c>
      <c r="E880" s="67">
        <v>45205</v>
      </c>
      <c r="F880" s="62">
        <v>1515</v>
      </c>
      <c r="G880" s="62">
        <v>1755</v>
      </c>
      <c r="H880" s="62">
        <v>1471</v>
      </c>
      <c r="I880" s="60">
        <f t="shared" si="52"/>
        <v>2.5071428571428571</v>
      </c>
      <c r="J880" s="60">
        <f t="shared" si="53"/>
        <v>-284</v>
      </c>
      <c r="K880" s="60">
        <f t="shared" si="54"/>
        <v>2.1014285714285714</v>
      </c>
      <c r="L880" s="60">
        <f t="shared" si="55"/>
        <v>-0.40571428571428569</v>
      </c>
    </row>
    <row r="881" spans="1:12" x14ac:dyDescent="0.25">
      <c r="A881" s="61">
        <v>2257</v>
      </c>
      <c r="B881" s="61" t="s">
        <v>65</v>
      </c>
      <c r="C881">
        <v>813</v>
      </c>
      <c r="D881" s="57" t="s">
        <v>49</v>
      </c>
      <c r="E881" s="67">
        <v>45206</v>
      </c>
      <c r="F881" s="62">
        <v>1515</v>
      </c>
      <c r="G881" s="62">
        <v>1795</v>
      </c>
      <c r="H881" s="62">
        <v>1471</v>
      </c>
      <c r="I881" s="60">
        <f t="shared" si="52"/>
        <v>2.2078720787207873</v>
      </c>
      <c r="J881" s="60">
        <f t="shared" si="53"/>
        <v>-324</v>
      </c>
      <c r="K881" s="60">
        <f t="shared" si="54"/>
        <v>1.8093480934809347</v>
      </c>
      <c r="L881" s="60">
        <f t="shared" si="55"/>
        <v>-0.39852398523985255</v>
      </c>
    </row>
    <row r="882" spans="1:12" x14ac:dyDescent="0.25">
      <c r="A882" s="61">
        <v>2308</v>
      </c>
      <c r="B882" s="61" t="s">
        <v>61</v>
      </c>
      <c r="C882">
        <v>820</v>
      </c>
      <c r="D882" s="57" t="s">
        <v>352</v>
      </c>
      <c r="E882" s="67">
        <v>45206</v>
      </c>
      <c r="F882" s="62">
        <v>1660</v>
      </c>
      <c r="G882" s="62">
        <v>1680</v>
      </c>
      <c r="H882" s="62">
        <v>1680</v>
      </c>
      <c r="I882" s="60">
        <f t="shared" si="52"/>
        <v>2.0487804878048781</v>
      </c>
      <c r="J882" s="60">
        <f t="shared" si="53"/>
        <v>0</v>
      </c>
      <c r="K882" s="60">
        <f t="shared" si="54"/>
        <v>2.0487804878048781</v>
      </c>
      <c r="L882" s="60">
        <f t="shared" si="55"/>
        <v>0</v>
      </c>
    </row>
    <row r="883" spans="1:12" x14ac:dyDescent="0.25">
      <c r="A883" s="61">
        <v>2312</v>
      </c>
      <c r="B883" s="61" t="s">
        <v>57</v>
      </c>
      <c r="C883">
        <v>700</v>
      </c>
      <c r="D883" s="57" t="s">
        <v>49</v>
      </c>
      <c r="E883" s="67">
        <v>45208</v>
      </c>
      <c r="F883" s="62">
        <v>1560</v>
      </c>
      <c r="G883" s="62">
        <v>1576</v>
      </c>
      <c r="H883" s="62">
        <v>1540</v>
      </c>
      <c r="I883" s="60">
        <f t="shared" si="52"/>
        <v>2.2514285714285713</v>
      </c>
      <c r="J883" s="60">
        <f t="shared" si="53"/>
        <v>-36</v>
      </c>
      <c r="K883" s="60">
        <f t="shared" si="54"/>
        <v>2.2000000000000002</v>
      </c>
      <c r="L883" s="60">
        <f t="shared" si="55"/>
        <v>-5.1428571428571157E-2</v>
      </c>
    </row>
    <row r="884" spans="1:12" x14ac:dyDescent="0.25">
      <c r="A884" s="61">
        <v>2240</v>
      </c>
      <c r="B884" s="61" t="s">
        <v>86</v>
      </c>
      <c r="C884">
        <v>810</v>
      </c>
      <c r="D884" s="57" t="s">
        <v>49</v>
      </c>
      <c r="E884" s="67">
        <v>45209</v>
      </c>
      <c r="F884" s="62">
        <v>1580</v>
      </c>
      <c r="G884" s="62">
        <v>1626</v>
      </c>
      <c r="H884" s="62">
        <v>1649</v>
      </c>
      <c r="I884" s="60">
        <f t="shared" si="52"/>
        <v>2.0074074074074075</v>
      </c>
      <c r="J884" s="60">
        <f t="shared" si="53"/>
        <v>23</v>
      </c>
      <c r="K884" s="60">
        <f t="shared" si="54"/>
        <v>2.0358024691358025</v>
      </c>
      <c r="L884" s="60">
        <f t="shared" si="55"/>
        <v>2.839506172839501E-2</v>
      </c>
    </row>
    <row r="885" spans="1:12" x14ac:dyDescent="0.25">
      <c r="A885" s="61">
        <v>2126</v>
      </c>
      <c r="B885" s="61" t="s">
        <v>74</v>
      </c>
      <c r="C885">
        <v>1169</v>
      </c>
      <c r="D885" s="57" t="s">
        <v>49</v>
      </c>
      <c r="E885" s="67">
        <v>45214</v>
      </c>
      <c r="F885" s="62">
        <v>2240</v>
      </c>
      <c r="G885" s="62">
        <v>2115</v>
      </c>
      <c r="H885" s="62">
        <v>2240</v>
      </c>
      <c r="I885" s="60">
        <f t="shared" si="52"/>
        <v>1.8092386655260906</v>
      </c>
      <c r="J885" s="60">
        <f t="shared" si="53"/>
        <v>125</v>
      </c>
      <c r="K885" s="60">
        <f t="shared" si="54"/>
        <v>1.9161676646706587</v>
      </c>
      <c r="L885" s="60">
        <f t="shared" si="55"/>
        <v>0.1069289991445681</v>
      </c>
    </row>
    <row r="886" spans="1:12" x14ac:dyDescent="0.25">
      <c r="A886" s="61" t="s">
        <v>264</v>
      </c>
      <c r="B886" s="61" t="s">
        <v>57</v>
      </c>
      <c r="C886">
        <v>700</v>
      </c>
      <c r="D886" s="57" t="s">
        <v>352</v>
      </c>
      <c r="E886" s="67">
        <v>45216</v>
      </c>
      <c r="F886" s="62">
        <v>1515</v>
      </c>
      <c r="G886" s="62">
        <v>1540</v>
      </c>
      <c r="H886" s="62">
        <v>1571</v>
      </c>
      <c r="I886" s="60">
        <f t="shared" si="52"/>
        <v>2.2000000000000002</v>
      </c>
      <c r="J886" s="60">
        <f t="shared" si="53"/>
        <v>31</v>
      </c>
      <c r="K886" s="60">
        <f t="shared" si="54"/>
        <v>2.2442857142857142</v>
      </c>
      <c r="L886" s="60">
        <f t="shared" si="55"/>
        <v>4.428571428571404E-2</v>
      </c>
    </row>
    <row r="887" spans="1:12" x14ac:dyDescent="0.25">
      <c r="A887" s="61" t="s">
        <v>130</v>
      </c>
      <c r="B887" s="61" t="s">
        <v>59</v>
      </c>
      <c r="C887">
        <v>1115</v>
      </c>
      <c r="D887" s="57" t="s">
        <v>49</v>
      </c>
      <c r="E887" s="67">
        <v>45217</v>
      </c>
      <c r="F887" s="62">
        <v>2135</v>
      </c>
      <c r="G887" s="62">
        <v>1856</v>
      </c>
      <c r="H887" s="62">
        <v>1870</v>
      </c>
      <c r="I887" s="60">
        <f t="shared" si="52"/>
        <v>1.6645739910313901</v>
      </c>
      <c r="J887" s="60">
        <f t="shared" si="53"/>
        <v>14</v>
      </c>
      <c r="K887" s="60">
        <f t="shared" si="54"/>
        <v>1.6771300448430493</v>
      </c>
      <c r="L887" s="60">
        <f t="shared" si="55"/>
        <v>1.255605381165914E-2</v>
      </c>
    </row>
    <row r="888" spans="1:12" x14ac:dyDescent="0.25">
      <c r="A888" s="61" t="s">
        <v>282</v>
      </c>
      <c r="B888" s="61" t="s">
        <v>57</v>
      </c>
      <c r="C888">
        <v>700</v>
      </c>
      <c r="D888" s="57" t="s">
        <v>49</v>
      </c>
      <c r="E888" s="67">
        <v>45217</v>
      </c>
      <c r="F888" s="62">
        <v>1515</v>
      </c>
      <c r="G888" s="62">
        <v>1485</v>
      </c>
      <c r="H888" s="62">
        <v>1550</v>
      </c>
      <c r="I888" s="60">
        <f t="shared" si="52"/>
        <v>2.1214285714285714</v>
      </c>
      <c r="J888" s="60">
        <f t="shared" si="53"/>
        <v>65</v>
      </c>
      <c r="K888" s="60">
        <f t="shared" si="54"/>
        <v>2.2142857142857144</v>
      </c>
      <c r="L888" s="60">
        <f t="shared" si="55"/>
        <v>9.2857142857142971E-2</v>
      </c>
    </row>
    <row r="889" spans="1:12" x14ac:dyDescent="0.25">
      <c r="A889" s="61" t="s">
        <v>157</v>
      </c>
      <c r="B889" s="61" t="s">
        <v>86</v>
      </c>
      <c r="C889">
        <v>810</v>
      </c>
      <c r="D889" s="57" t="s">
        <v>49</v>
      </c>
      <c r="E889" s="67">
        <v>45219</v>
      </c>
      <c r="F889" s="62">
        <v>1580</v>
      </c>
      <c r="G889" s="62">
        <v>1691</v>
      </c>
      <c r="H889" s="62">
        <v>1595</v>
      </c>
      <c r="I889" s="60">
        <f t="shared" si="52"/>
        <v>2.0876543209876544</v>
      </c>
      <c r="J889" s="60">
        <f t="shared" si="53"/>
        <v>-96</v>
      </c>
      <c r="K889" s="60">
        <f t="shared" si="54"/>
        <v>1.9691358024691359</v>
      </c>
      <c r="L889" s="60">
        <f t="shared" si="55"/>
        <v>-0.11851851851851847</v>
      </c>
    </row>
    <row r="890" spans="1:12" x14ac:dyDescent="0.25">
      <c r="A890" s="61" t="s">
        <v>126</v>
      </c>
      <c r="B890" s="61" t="s">
        <v>86</v>
      </c>
      <c r="C890">
        <v>810</v>
      </c>
      <c r="D890" s="57" t="s">
        <v>49</v>
      </c>
      <c r="E890" s="67">
        <v>45222</v>
      </c>
      <c r="F890" s="62">
        <v>1580</v>
      </c>
      <c r="G890" s="62">
        <v>1725</v>
      </c>
      <c r="H890" s="62">
        <v>1535</v>
      </c>
      <c r="I890" s="60">
        <f t="shared" si="52"/>
        <v>2.1296296296296298</v>
      </c>
      <c r="J890" s="60">
        <f t="shared" si="53"/>
        <v>-190</v>
      </c>
      <c r="K890" s="60">
        <f t="shared" si="54"/>
        <v>1.8950617283950617</v>
      </c>
      <c r="L890" s="60">
        <f t="shared" si="55"/>
        <v>-0.23456790123456805</v>
      </c>
    </row>
    <row r="891" spans="1:12" x14ac:dyDescent="0.25">
      <c r="A891" s="61" t="s">
        <v>202</v>
      </c>
      <c r="B891" s="61" t="s">
        <v>151</v>
      </c>
      <c r="C891">
        <v>1141</v>
      </c>
      <c r="D891" s="57" t="s">
        <v>352</v>
      </c>
      <c r="E891" s="67">
        <v>45223</v>
      </c>
      <c r="F891" s="62">
        <v>2150</v>
      </c>
      <c r="G891" s="62">
        <v>2330</v>
      </c>
      <c r="H891" s="62">
        <v>2330</v>
      </c>
      <c r="I891" s="60">
        <f t="shared" si="52"/>
        <v>2.0420683610867658</v>
      </c>
      <c r="J891" s="60">
        <f t="shared" si="53"/>
        <v>0</v>
      </c>
      <c r="K891" s="60">
        <f t="shared" si="54"/>
        <v>2.0420683610867658</v>
      </c>
      <c r="L891" s="60">
        <f t="shared" si="55"/>
        <v>0</v>
      </c>
    </row>
    <row r="892" spans="1:12" x14ac:dyDescent="0.25">
      <c r="A892" s="61" t="s">
        <v>291</v>
      </c>
      <c r="B892" s="61" t="s">
        <v>86</v>
      </c>
      <c r="C892">
        <v>810</v>
      </c>
      <c r="D892" s="57" t="s">
        <v>49</v>
      </c>
      <c r="E892" s="67">
        <v>45232</v>
      </c>
      <c r="F892" s="62">
        <v>1580</v>
      </c>
      <c r="G892" s="62">
        <v>1660</v>
      </c>
      <c r="H892" s="62">
        <v>1560</v>
      </c>
      <c r="I892" s="60">
        <f t="shared" si="52"/>
        <v>2.0493827160493829</v>
      </c>
      <c r="J892" s="60">
        <f t="shared" si="53"/>
        <v>-100</v>
      </c>
      <c r="K892" s="60">
        <f t="shared" si="54"/>
        <v>1.9259259259259258</v>
      </c>
      <c r="L892" s="60">
        <f t="shared" si="55"/>
        <v>-0.12345679012345712</v>
      </c>
    </row>
    <row r="893" spans="1:12" x14ac:dyDescent="0.25">
      <c r="A893" s="61" t="s">
        <v>111</v>
      </c>
      <c r="B893" s="61" t="s">
        <v>61</v>
      </c>
      <c r="C893">
        <v>820</v>
      </c>
      <c r="D893" s="57" t="s">
        <v>49</v>
      </c>
      <c r="E893" s="67">
        <v>45232</v>
      </c>
      <c r="F893" s="62">
        <v>1645</v>
      </c>
      <c r="G893" s="62">
        <v>1600</v>
      </c>
      <c r="H893" s="62">
        <v>1615</v>
      </c>
      <c r="I893" s="60">
        <f t="shared" si="52"/>
        <v>1.9512195121951219</v>
      </c>
      <c r="J893" s="60">
        <f t="shared" si="53"/>
        <v>15</v>
      </c>
      <c r="K893" s="60">
        <f t="shared" si="54"/>
        <v>1.9695121951219512</v>
      </c>
      <c r="L893" s="60">
        <f t="shared" si="55"/>
        <v>1.8292682926829285E-2</v>
      </c>
    </row>
    <row r="894" spans="1:12" x14ac:dyDescent="0.25">
      <c r="A894" s="61" t="s">
        <v>72</v>
      </c>
      <c r="B894" s="61" t="s">
        <v>59</v>
      </c>
      <c r="C894">
        <v>1115</v>
      </c>
      <c r="D894" s="57" t="s">
        <v>49</v>
      </c>
      <c r="E894" s="67">
        <v>45231</v>
      </c>
      <c r="F894" s="62">
        <v>2165</v>
      </c>
      <c r="G894" s="62">
        <v>2010</v>
      </c>
      <c r="H894" s="62">
        <v>1770</v>
      </c>
      <c r="I894" s="60">
        <f t="shared" si="52"/>
        <v>1.8026905829596414</v>
      </c>
      <c r="J894" s="60">
        <f t="shared" si="53"/>
        <v>-240</v>
      </c>
      <c r="K894" s="60">
        <f t="shared" si="54"/>
        <v>1.5874439461883407</v>
      </c>
      <c r="L894" s="60">
        <f t="shared" si="55"/>
        <v>-0.21524663677130063</v>
      </c>
    </row>
    <row r="895" spans="1:12" x14ac:dyDescent="0.25">
      <c r="A895" s="61" t="s">
        <v>303</v>
      </c>
      <c r="B895" s="61" t="s">
        <v>57</v>
      </c>
      <c r="C895">
        <v>700</v>
      </c>
      <c r="D895" s="57" t="s">
        <v>49</v>
      </c>
      <c r="E895" s="67">
        <v>45229</v>
      </c>
      <c r="F895" s="62">
        <v>1515</v>
      </c>
      <c r="G895" s="62">
        <v>1515</v>
      </c>
      <c r="H895" s="62">
        <v>1515</v>
      </c>
      <c r="I895" s="60">
        <f t="shared" si="52"/>
        <v>2.1642857142857141</v>
      </c>
      <c r="J895" s="60">
        <f t="shared" si="53"/>
        <v>0</v>
      </c>
      <c r="K895" s="60">
        <f t="shared" si="54"/>
        <v>2.1642857142857141</v>
      </c>
      <c r="L895" s="60">
        <f t="shared" si="55"/>
        <v>0</v>
      </c>
    </row>
    <row r="896" spans="1:12" x14ac:dyDescent="0.25">
      <c r="A896" s="61" t="s">
        <v>84</v>
      </c>
      <c r="B896" s="61" t="s">
        <v>57</v>
      </c>
      <c r="C896">
        <v>700</v>
      </c>
      <c r="D896" s="57" t="s">
        <v>49</v>
      </c>
      <c r="E896" s="67">
        <v>45233</v>
      </c>
      <c r="F896" s="62">
        <v>1515</v>
      </c>
      <c r="G896" s="62">
        <v>1559</v>
      </c>
      <c r="H896" s="62">
        <v>1505</v>
      </c>
      <c r="I896" s="60">
        <f t="shared" si="52"/>
        <v>2.2271428571428573</v>
      </c>
      <c r="J896" s="60">
        <f t="shared" si="53"/>
        <v>-54</v>
      </c>
      <c r="K896" s="60">
        <f t="shared" si="54"/>
        <v>2.15</v>
      </c>
      <c r="L896" s="60">
        <f t="shared" si="55"/>
        <v>-7.7142857142857402E-2</v>
      </c>
    </row>
    <row r="897" spans="1:12" x14ac:dyDescent="0.25">
      <c r="A897" s="61" t="s">
        <v>110</v>
      </c>
      <c r="B897" s="61" t="s">
        <v>59</v>
      </c>
      <c r="C897">
        <v>1115</v>
      </c>
      <c r="D897" s="57" t="s">
        <v>49</v>
      </c>
      <c r="E897" s="67">
        <v>45237</v>
      </c>
      <c r="F897" s="62">
        <v>2135</v>
      </c>
      <c r="G897" s="62">
        <v>1864</v>
      </c>
      <c r="H897" s="62">
        <v>1795</v>
      </c>
      <c r="I897" s="60">
        <f t="shared" si="52"/>
        <v>1.6717488789237669</v>
      </c>
      <c r="J897" s="60">
        <f t="shared" si="53"/>
        <v>-69</v>
      </c>
      <c r="K897" s="60">
        <f t="shared" si="54"/>
        <v>1.6098654708520179</v>
      </c>
      <c r="L897" s="60">
        <f t="shared" si="55"/>
        <v>-6.1883408071748969E-2</v>
      </c>
    </row>
    <row r="898" spans="1:12" x14ac:dyDescent="0.25">
      <c r="A898" s="61" t="s">
        <v>290</v>
      </c>
      <c r="B898" s="61" t="s">
        <v>65</v>
      </c>
      <c r="C898">
        <v>813</v>
      </c>
      <c r="D898" s="57" t="s">
        <v>49</v>
      </c>
      <c r="E898" s="67">
        <v>45237</v>
      </c>
      <c r="F898" s="62">
        <v>1580</v>
      </c>
      <c r="G898" s="62">
        <v>1590</v>
      </c>
      <c r="H898" s="62">
        <v>1530</v>
      </c>
      <c r="I898" s="60">
        <f t="shared" si="52"/>
        <v>1.9557195571955719</v>
      </c>
      <c r="J898" s="60">
        <f t="shared" si="53"/>
        <v>-60</v>
      </c>
      <c r="K898" s="60">
        <f t="shared" si="54"/>
        <v>1.8819188191881919</v>
      </c>
      <c r="L898" s="60">
        <f t="shared" si="55"/>
        <v>-7.3800738007379962E-2</v>
      </c>
    </row>
    <row r="899" spans="1:12" x14ac:dyDescent="0.25">
      <c r="A899" s="61">
        <v>4303</v>
      </c>
      <c r="B899" s="61" t="s">
        <v>59</v>
      </c>
      <c r="C899">
        <v>1115</v>
      </c>
      <c r="D899" s="57" t="s">
        <v>49</v>
      </c>
      <c r="E899" s="67">
        <v>45246</v>
      </c>
      <c r="F899" s="62">
        <v>2165</v>
      </c>
      <c r="G899" s="62">
        <v>2020</v>
      </c>
      <c r="H899" s="62">
        <v>1790</v>
      </c>
      <c r="I899" s="60">
        <f t="shared" si="52"/>
        <v>1.811659192825112</v>
      </c>
      <c r="J899" s="60">
        <f t="shared" si="53"/>
        <v>-230</v>
      </c>
      <c r="K899" s="60">
        <f t="shared" si="54"/>
        <v>1.6053811659192825</v>
      </c>
      <c r="L899" s="60">
        <f t="shared" si="55"/>
        <v>-0.20627802690582953</v>
      </c>
    </row>
    <row r="900" spans="1:12" x14ac:dyDescent="0.25">
      <c r="A900" s="61">
        <v>4311</v>
      </c>
      <c r="B900" s="61" t="s">
        <v>59</v>
      </c>
      <c r="C900">
        <v>1115</v>
      </c>
      <c r="D900" s="57" t="s">
        <v>49</v>
      </c>
      <c r="E900" s="67">
        <v>45246</v>
      </c>
      <c r="F900" s="62">
        <v>2135</v>
      </c>
      <c r="G900" s="62">
        <v>2191</v>
      </c>
      <c r="H900" s="62">
        <v>1770</v>
      </c>
      <c r="I900" s="60">
        <f t="shared" si="52"/>
        <v>1.9650224215246637</v>
      </c>
      <c r="J900" s="60">
        <f t="shared" si="53"/>
        <v>-421</v>
      </c>
      <c r="K900" s="60">
        <f t="shared" si="54"/>
        <v>1.5874439461883407</v>
      </c>
      <c r="L900" s="60">
        <f t="shared" si="55"/>
        <v>-0.37757847533632294</v>
      </c>
    </row>
    <row r="901" spans="1:12" x14ac:dyDescent="0.25">
      <c r="A901" s="61">
        <v>5212</v>
      </c>
      <c r="B901" s="61" t="s">
        <v>59</v>
      </c>
      <c r="C901">
        <v>1115</v>
      </c>
      <c r="D901" s="57" t="s">
        <v>49</v>
      </c>
      <c r="E901" s="67">
        <v>45247</v>
      </c>
      <c r="F901" s="62">
        <v>2165</v>
      </c>
      <c r="G901" s="62">
        <v>1805</v>
      </c>
      <c r="H901" s="62">
        <v>1855</v>
      </c>
      <c r="I901" s="60">
        <f t="shared" si="52"/>
        <v>1.6188340807174888</v>
      </c>
      <c r="J901" s="60">
        <f t="shared" si="53"/>
        <v>50</v>
      </c>
      <c r="K901" s="60">
        <f t="shared" si="54"/>
        <v>1.663677130044843</v>
      </c>
      <c r="L901" s="60">
        <f t="shared" si="55"/>
        <v>4.4843049327354167E-2</v>
      </c>
    </row>
    <row r="902" spans="1:12" x14ac:dyDescent="0.25">
      <c r="A902" s="61">
        <v>5303</v>
      </c>
      <c r="B902" s="61" t="s">
        <v>59</v>
      </c>
      <c r="C902">
        <v>1115</v>
      </c>
      <c r="D902" s="57" t="s">
        <v>49</v>
      </c>
      <c r="E902" s="67">
        <v>45250</v>
      </c>
      <c r="F902" s="62">
        <v>2135</v>
      </c>
      <c r="G902" s="62">
        <v>2100</v>
      </c>
      <c r="H902" s="62">
        <v>1720</v>
      </c>
      <c r="I902" s="60">
        <f t="shared" si="52"/>
        <v>1.883408071748879</v>
      </c>
      <c r="J902" s="60">
        <f t="shared" si="53"/>
        <v>-380</v>
      </c>
      <c r="K902" s="60">
        <f t="shared" si="54"/>
        <v>1.5426008968609866</v>
      </c>
      <c r="L902" s="60">
        <f t="shared" si="55"/>
        <v>-0.34080717488789247</v>
      </c>
    </row>
    <row r="903" spans="1:12" x14ac:dyDescent="0.25">
      <c r="A903" s="61">
        <v>5304</v>
      </c>
      <c r="B903" s="61" t="s">
        <v>59</v>
      </c>
      <c r="C903">
        <v>1115</v>
      </c>
      <c r="D903" s="57" t="s">
        <v>49</v>
      </c>
      <c r="E903" s="67">
        <v>45260</v>
      </c>
      <c r="F903" s="62">
        <v>2165</v>
      </c>
      <c r="G903" s="62">
        <v>2187</v>
      </c>
      <c r="H903" s="62">
        <v>1780</v>
      </c>
      <c r="I903" s="60">
        <f t="shared" si="52"/>
        <v>1.9614349775784754</v>
      </c>
      <c r="J903" s="60">
        <f t="shared" si="53"/>
        <v>-407</v>
      </c>
      <c r="K903" s="60">
        <f t="shared" si="54"/>
        <v>1.5964125560538116</v>
      </c>
      <c r="L903" s="60">
        <f t="shared" si="55"/>
        <v>-0.3650224215246638</v>
      </c>
    </row>
    <row r="904" spans="1:12" x14ac:dyDescent="0.25">
      <c r="A904" s="61">
        <v>2221</v>
      </c>
      <c r="B904" s="61" t="s">
        <v>65</v>
      </c>
      <c r="C904">
        <v>813</v>
      </c>
      <c r="D904" s="57" t="s">
        <v>352</v>
      </c>
      <c r="E904" s="67">
        <v>45260</v>
      </c>
      <c r="F904" s="62">
        <v>1580</v>
      </c>
      <c r="G904" s="62">
        <v>1600</v>
      </c>
      <c r="H904" s="62">
        <v>1600</v>
      </c>
      <c r="I904" s="60">
        <f t="shared" ref="I904:I967" si="56">G904/C904</f>
        <v>1.968019680196802</v>
      </c>
      <c r="J904" s="60">
        <f t="shared" ref="J904:J967" si="57">SUM(H904-G904)</f>
        <v>0</v>
      </c>
      <c r="K904" s="60">
        <f t="shared" ref="K904:K967" si="58">H904/C904</f>
        <v>1.968019680196802</v>
      </c>
      <c r="L904" s="60">
        <f t="shared" ref="L904:L967" si="59">K904-I904</f>
        <v>0</v>
      </c>
    </row>
    <row r="905" spans="1:12" x14ac:dyDescent="0.25">
      <c r="A905" s="61">
        <v>2233</v>
      </c>
      <c r="B905" s="61" t="s">
        <v>65</v>
      </c>
      <c r="C905">
        <v>813</v>
      </c>
      <c r="D905" s="57" t="s">
        <v>49</v>
      </c>
      <c r="E905" s="67">
        <v>45268</v>
      </c>
      <c r="F905" s="62">
        <v>1580</v>
      </c>
      <c r="G905" s="62">
        <v>1673</v>
      </c>
      <c r="H905" s="62">
        <v>1605</v>
      </c>
      <c r="I905" s="60">
        <f t="shared" si="56"/>
        <v>2.0578105781057809</v>
      </c>
      <c r="J905" s="60">
        <f t="shared" si="57"/>
        <v>-68</v>
      </c>
      <c r="K905" s="60">
        <f t="shared" si="58"/>
        <v>1.9741697416974169</v>
      </c>
      <c r="L905" s="60">
        <f t="shared" si="59"/>
        <v>-8.3640836408364061E-2</v>
      </c>
    </row>
    <row r="906" spans="1:12" x14ac:dyDescent="0.25">
      <c r="A906" s="61">
        <v>1108</v>
      </c>
      <c r="B906" s="61" t="s">
        <v>137</v>
      </c>
      <c r="C906">
        <v>1700</v>
      </c>
      <c r="D906" s="57" t="s">
        <v>49</v>
      </c>
      <c r="E906" s="67">
        <v>45272</v>
      </c>
      <c r="F906" s="62">
        <v>2995</v>
      </c>
      <c r="G906" s="62">
        <v>2625</v>
      </c>
      <c r="H906" s="62">
        <v>2890</v>
      </c>
      <c r="I906" s="60">
        <f t="shared" si="56"/>
        <v>1.5441176470588236</v>
      </c>
      <c r="J906" s="60">
        <f t="shared" si="57"/>
        <v>265</v>
      </c>
      <c r="K906" s="60">
        <f t="shared" si="58"/>
        <v>1.7</v>
      </c>
      <c r="L906" s="60">
        <f t="shared" si="59"/>
        <v>0.15588235294117636</v>
      </c>
    </row>
    <row r="907" spans="1:12" x14ac:dyDescent="0.25">
      <c r="A907" s="61">
        <v>2148</v>
      </c>
      <c r="B907" s="61" t="s">
        <v>86</v>
      </c>
      <c r="C907">
        <v>810</v>
      </c>
      <c r="D907" s="57" t="s">
        <v>352</v>
      </c>
      <c r="E907" s="67">
        <v>45276</v>
      </c>
      <c r="F907" s="62">
        <v>1595</v>
      </c>
      <c r="G907" s="62">
        <v>1595</v>
      </c>
      <c r="H907" s="62">
        <v>1595</v>
      </c>
      <c r="I907" s="60">
        <f t="shared" si="56"/>
        <v>1.9691358024691359</v>
      </c>
      <c r="J907" s="60">
        <f t="shared" si="57"/>
        <v>0</v>
      </c>
      <c r="K907" s="60">
        <f t="shared" si="58"/>
        <v>1.9691358024691359</v>
      </c>
      <c r="L907" s="60">
        <f t="shared" si="59"/>
        <v>0</v>
      </c>
    </row>
    <row r="908" spans="1:12" x14ac:dyDescent="0.25">
      <c r="A908" s="61">
        <v>5103</v>
      </c>
      <c r="B908" s="61" t="s">
        <v>48</v>
      </c>
      <c r="C908">
        <v>806</v>
      </c>
      <c r="D908" s="57" t="s">
        <v>49</v>
      </c>
      <c r="E908" s="67">
        <v>45279</v>
      </c>
      <c r="F908" s="62">
        <v>1620</v>
      </c>
      <c r="G908" s="62">
        <v>1625</v>
      </c>
      <c r="H908" s="62">
        <v>1615</v>
      </c>
      <c r="I908" s="60">
        <f t="shared" si="56"/>
        <v>2.0161290322580645</v>
      </c>
      <c r="J908" s="60">
        <f t="shared" si="57"/>
        <v>-10</v>
      </c>
      <c r="K908" s="60">
        <f t="shared" si="58"/>
        <v>2.0037220843672459</v>
      </c>
      <c r="L908" s="60">
        <f t="shared" si="59"/>
        <v>-1.2406947890818643E-2</v>
      </c>
    </row>
    <row r="909" spans="1:12" x14ac:dyDescent="0.25">
      <c r="A909" s="61">
        <v>2128</v>
      </c>
      <c r="B909" s="61" t="s">
        <v>74</v>
      </c>
      <c r="C909">
        <v>1169</v>
      </c>
      <c r="D909" s="57" t="s">
        <v>49</v>
      </c>
      <c r="E909" s="67">
        <v>45287</v>
      </c>
      <c r="F909" s="62">
        <v>2195</v>
      </c>
      <c r="G909" s="62">
        <v>2263</v>
      </c>
      <c r="H909" s="62">
        <v>1775</v>
      </c>
      <c r="I909" s="60">
        <f t="shared" si="56"/>
        <v>1.9358426005132592</v>
      </c>
      <c r="J909" s="60">
        <f t="shared" si="57"/>
        <v>-488</v>
      </c>
      <c r="K909" s="60">
        <f t="shared" si="58"/>
        <v>1.5183917878528657</v>
      </c>
      <c r="L909" s="60">
        <f t="shared" si="59"/>
        <v>-0.41745081266039352</v>
      </c>
    </row>
    <row r="910" spans="1:12" x14ac:dyDescent="0.25">
      <c r="A910" s="61">
        <v>2230</v>
      </c>
      <c r="B910" s="61" t="s">
        <v>48</v>
      </c>
      <c r="C910">
        <v>806</v>
      </c>
      <c r="D910" s="57" t="s">
        <v>49</v>
      </c>
      <c r="E910" s="67">
        <v>45288</v>
      </c>
      <c r="F910" s="62">
        <v>1620</v>
      </c>
      <c r="G910" s="62">
        <v>1540</v>
      </c>
      <c r="H910" s="62">
        <v>1575</v>
      </c>
      <c r="I910" s="60">
        <f t="shared" si="56"/>
        <v>1.9106699751861043</v>
      </c>
      <c r="J910" s="60">
        <f t="shared" si="57"/>
        <v>35</v>
      </c>
      <c r="K910" s="60">
        <f t="shared" si="58"/>
        <v>1.9540942928039702</v>
      </c>
      <c r="L910" s="60">
        <f t="shared" si="59"/>
        <v>4.3424317617865915E-2</v>
      </c>
    </row>
    <row r="911" spans="1:12" x14ac:dyDescent="0.25">
      <c r="A911" s="61">
        <v>2159</v>
      </c>
      <c r="B911" s="61" t="s">
        <v>48</v>
      </c>
      <c r="C911">
        <v>806</v>
      </c>
      <c r="D911" s="57" t="s">
        <v>49</v>
      </c>
      <c r="E911" s="67">
        <v>45289</v>
      </c>
      <c r="F911" s="62">
        <v>1620</v>
      </c>
      <c r="G911" s="62">
        <v>1764</v>
      </c>
      <c r="H911" s="62">
        <v>1575</v>
      </c>
      <c r="I911" s="60">
        <f t="shared" si="56"/>
        <v>2.1885856079404467</v>
      </c>
      <c r="J911" s="60">
        <f t="shared" si="57"/>
        <v>-189</v>
      </c>
      <c r="K911" s="60">
        <f t="shared" si="58"/>
        <v>1.9540942928039702</v>
      </c>
      <c r="L911" s="60">
        <f t="shared" si="59"/>
        <v>-0.23449131513647647</v>
      </c>
    </row>
    <row r="912" spans="1:12" x14ac:dyDescent="0.25">
      <c r="A912" s="61">
        <v>4111</v>
      </c>
      <c r="B912" s="61" t="s">
        <v>48</v>
      </c>
      <c r="C912">
        <v>806</v>
      </c>
      <c r="D912" s="57" t="s">
        <v>49</v>
      </c>
      <c r="E912" s="67">
        <v>45289</v>
      </c>
      <c r="F912" s="62">
        <v>1620</v>
      </c>
      <c r="G912" s="62">
        <v>1560</v>
      </c>
      <c r="H912" s="62">
        <v>1540</v>
      </c>
      <c r="I912" s="60">
        <f t="shared" si="56"/>
        <v>1.935483870967742</v>
      </c>
      <c r="J912" s="60">
        <f t="shared" si="57"/>
        <v>-20</v>
      </c>
      <c r="K912" s="60">
        <f t="shared" si="58"/>
        <v>1.9106699751861043</v>
      </c>
      <c r="L912" s="60">
        <f t="shared" si="59"/>
        <v>-2.4813895781637729E-2</v>
      </c>
    </row>
    <row r="913" spans="1:12" x14ac:dyDescent="0.25">
      <c r="A913" s="61">
        <v>2347</v>
      </c>
      <c r="B913" s="61" t="s">
        <v>354</v>
      </c>
      <c r="C913">
        <v>950</v>
      </c>
      <c r="D913" s="57" t="s">
        <v>49</v>
      </c>
      <c r="E913" s="67">
        <v>45289</v>
      </c>
      <c r="F913" s="62">
        <v>1795</v>
      </c>
      <c r="G913" s="62">
        <v>1001</v>
      </c>
      <c r="H913" s="62">
        <v>1640</v>
      </c>
      <c r="I913" s="60">
        <f t="shared" si="56"/>
        <v>1.0536842105263158</v>
      </c>
      <c r="J913" s="60">
        <f t="shared" si="57"/>
        <v>639</v>
      </c>
      <c r="K913" s="60">
        <f t="shared" si="58"/>
        <v>1.7263157894736842</v>
      </c>
      <c r="L913" s="60">
        <f t="shared" si="59"/>
        <v>0.67263157894736847</v>
      </c>
    </row>
    <row r="914" spans="1:12" x14ac:dyDescent="0.25">
      <c r="A914" s="61">
        <v>2137</v>
      </c>
      <c r="B914" s="61" t="s">
        <v>153</v>
      </c>
      <c r="C914">
        <v>696</v>
      </c>
      <c r="D914" s="57" t="s">
        <v>352</v>
      </c>
      <c r="E914" s="67">
        <v>45292</v>
      </c>
      <c r="F914" s="62">
        <v>1450</v>
      </c>
      <c r="G914" s="62">
        <v>1586</v>
      </c>
      <c r="H914" s="62">
        <v>1586</v>
      </c>
      <c r="I914" s="60">
        <f t="shared" si="56"/>
        <v>2.2787356321839081</v>
      </c>
      <c r="J914" s="60">
        <f t="shared" si="57"/>
        <v>0</v>
      </c>
      <c r="K914" s="60">
        <f t="shared" si="58"/>
        <v>2.2787356321839081</v>
      </c>
      <c r="L914" s="60">
        <f t="shared" si="59"/>
        <v>0</v>
      </c>
    </row>
    <row r="915" spans="1:12" x14ac:dyDescent="0.25">
      <c r="A915" s="61">
        <v>2334</v>
      </c>
      <c r="B915" s="61" t="s">
        <v>86</v>
      </c>
      <c r="C915">
        <v>810</v>
      </c>
      <c r="D915" s="57" t="s">
        <v>49</v>
      </c>
      <c r="E915" s="67">
        <v>45294</v>
      </c>
      <c r="F915" s="62">
        <v>1580</v>
      </c>
      <c r="G915" s="62">
        <v>1707</v>
      </c>
      <c r="H915" s="62">
        <v>1610</v>
      </c>
      <c r="I915" s="60">
        <f t="shared" si="56"/>
        <v>2.1074074074074076</v>
      </c>
      <c r="J915" s="60">
        <f t="shared" si="57"/>
        <v>-97</v>
      </c>
      <c r="K915" s="60">
        <f t="shared" si="58"/>
        <v>1.9876543209876543</v>
      </c>
      <c r="L915" s="60">
        <f t="shared" si="59"/>
        <v>-0.11975308641975335</v>
      </c>
    </row>
    <row r="916" spans="1:12" x14ac:dyDescent="0.25">
      <c r="A916" s="61">
        <v>4107</v>
      </c>
      <c r="B916" s="61" t="s">
        <v>59</v>
      </c>
      <c r="C916">
        <v>1115</v>
      </c>
      <c r="D916" s="57" t="s">
        <v>49</v>
      </c>
      <c r="E916" s="67">
        <v>45296</v>
      </c>
      <c r="F916" s="62">
        <v>2260</v>
      </c>
      <c r="G916" s="62">
        <v>2185</v>
      </c>
      <c r="H916" s="62">
        <v>1845</v>
      </c>
      <c r="I916" s="60">
        <f t="shared" si="56"/>
        <v>1.9596412556053813</v>
      </c>
      <c r="J916" s="60">
        <f t="shared" si="57"/>
        <v>-340</v>
      </c>
      <c r="K916" s="60">
        <f t="shared" si="58"/>
        <v>1.6547085201793721</v>
      </c>
      <c r="L916" s="60">
        <f t="shared" si="59"/>
        <v>-0.30493273542600918</v>
      </c>
    </row>
    <row r="917" spans="1:12" x14ac:dyDescent="0.25">
      <c r="A917" s="61">
        <v>2229</v>
      </c>
      <c r="B917" s="61" t="s">
        <v>57</v>
      </c>
      <c r="C917">
        <v>700</v>
      </c>
      <c r="D917" s="57" t="s">
        <v>49</v>
      </c>
      <c r="E917" s="67">
        <v>45298</v>
      </c>
      <c r="F917" s="62">
        <v>1515</v>
      </c>
      <c r="G917" s="62">
        <v>1590</v>
      </c>
      <c r="H917" s="62">
        <v>1577</v>
      </c>
      <c r="I917" s="60">
        <f t="shared" si="56"/>
        <v>2.2714285714285714</v>
      </c>
      <c r="J917" s="60">
        <f t="shared" si="57"/>
        <v>-13</v>
      </c>
      <c r="K917" s="60">
        <f t="shared" si="58"/>
        <v>2.2528571428571427</v>
      </c>
      <c r="L917" s="60">
        <f t="shared" si="59"/>
        <v>-1.8571428571428683E-2</v>
      </c>
    </row>
    <row r="918" spans="1:12" x14ac:dyDescent="0.25">
      <c r="A918" s="61">
        <v>2226</v>
      </c>
      <c r="B918" s="61" t="s">
        <v>74</v>
      </c>
      <c r="C918">
        <v>1169</v>
      </c>
      <c r="D918" s="57" t="s">
        <v>49</v>
      </c>
      <c r="E918" s="67">
        <v>45303</v>
      </c>
      <c r="F918" s="62">
        <v>2240</v>
      </c>
      <c r="G918" s="62">
        <v>2019</v>
      </c>
      <c r="H918" s="62">
        <v>1930</v>
      </c>
      <c r="I918" s="60">
        <f t="shared" si="56"/>
        <v>1.7271171941830625</v>
      </c>
      <c r="J918" s="60">
        <f t="shared" si="57"/>
        <v>-89</v>
      </c>
      <c r="K918" s="60">
        <f t="shared" si="58"/>
        <v>1.65098374679213</v>
      </c>
      <c r="L918" s="60">
        <f t="shared" si="59"/>
        <v>-7.6133447390932529E-2</v>
      </c>
    </row>
    <row r="919" spans="1:12" x14ac:dyDescent="0.25">
      <c r="A919" s="61">
        <v>2248</v>
      </c>
      <c r="B919" s="61" t="s">
        <v>86</v>
      </c>
      <c r="C919">
        <v>810</v>
      </c>
      <c r="D919" s="57" t="s">
        <v>49</v>
      </c>
      <c r="E919" s="67">
        <v>45307</v>
      </c>
      <c r="F919" s="62">
        <v>1580</v>
      </c>
      <c r="G919" s="62">
        <v>1575</v>
      </c>
      <c r="H919" s="62">
        <v>1615</v>
      </c>
      <c r="I919" s="60">
        <f t="shared" si="56"/>
        <v>1.9444444444444444</v>
      </c>
      <c r="J919" s="60">
        <f t="shared" si="57"/>
        <v>40</v>
      </c>
      <c r="K919" s="60">
        <f t="shared" si="58"/>
        <v>1.9938271604938271</v>
      </c>
      <c r="L919" s="60">
        <f t="shared" si="59"/>
        <v>4.9382716049382713E-2</v>
      </c>
    </row>
    <row r="920" spans="1:12" x14ac:dyDescent="0.25">
      <c r="A920" s="61">
        <v>2207</v>
      </c>
      <c r="B920" s="61" t="s">
        <v>55</v>
      </c>
      <c r="C920">
        <v>764</v>
      </c>
      <c r="D920" s="57" t="s">
        <v>49</v>
      </c>
      <c r="E920" s="67">
        <v>45308</v>
      </c>
      <c r="F920" s="62">
        <v>1545</v>
      </c>
      <c r="G920" s="62">
        <v>1550</v>
      </c>
      <c r="H920" s="62">
        <v>1545</v>
      </c>
      <c r="I920" s="60">
        <f t="shared" si="56"/>
        <v>2.0287958115183247</v>
      </c>
      <c r="J920" s="60">
        <f t="shared" si="57"/>
        <v>-5</v>
      </c>
      <c r="K920" s="60">
        <f t="shared" si="58"/>
        <v>2.0222513089005236</v>
      </c>
      <c r="L920" s="60">
        <f t="shared" si="59"/>
        <v>-6.5445026178010401E-3</v>
      </c>
    </row>
    <row r="921" spans="1:12" x14ac:dyDescent="0.25">
      <c r="A921" s="61">
        <v>2161</v>
      </c>
      <c r="B921" s="61" t="s">
        <v>57</v>
      </c>
      <c r="C921">
        <v>700</v>
      </c>
      <c r="D921" s="57" t="s">
        <v>49</v>
      </c>
      <c r="E921" s="67">
        <v>45323</v>
      </c>
      <c r="F921" s="62">
        <v>1515</v>
      </c>
      <c r="G921" s="62">
        <v>1555</v>
      </c>
      <c r="H921" s="62">
        <v>1490</v>
      </c>
      <c r="I921" s="60">
        <f t="shared" si="56"/>
        <v>2.2214285714285715</v>
      </c>
      <c r="J921" s="60">
        <f t="shared" si="57"/>
        <v>-65</v>
      </c>
      <c r="K921" s="60">
        <f t="shared" si="58"/>
        <v>2.1285714285714286</v>
      </c>
      <c r="L921" s="60">
        <f t="shared" si="59"/>
        <v>-9.2857142857142971E-2</v>
      </c>
    </row>
    <row r="922" spans="1:12" x14ac:dyDescent="0.25">
      <c r="A922" s="61">
        <v>2162</v>
      </c>
      <c r="B922" s="61" t="s">
        <v>74</v>
      </c>
      <c r="C922">
        <v>1169</v>
      </c>
      <c r="D922" s="57" t="s">
        <v>352</v>
      </c>
      <c r="E922" s="67">
        <v>45324</v>
      </c>
      <c r="F922" s="62">
        <v>2240</v>
      </c>
      <c r="G922" s="62">
        <v>2075</v>
      </c>
      <c r="H922" s="62">
        <v>2075</v>
      </c>
      <c r="I922" s="60">
        <v>5</v>
      </c>
      <c r="J922" s="60">
        <f t="shared" si="57"/>
        <v>0</v>
      </c>
      <c r="K922" s="60">
        <f t="shared" si="58"/>
        <v>1.7750213857998289</v>
      </c>
      <c r="L922" s="60">
        <f t="shared" si="59"/>
        <v>-3.2249786142001708</v>
      </c>
    </row>
    <row r="923" spans="1:12" x14ac:dyDescent="0.25">
      <c r="A923" s="61">
        <v>2130</v>
      </c>
      <c r="B923" s="61" t="s">
        <v>48</v>
      </c>
      <c r="C923">
        <v>806</v>
      </c>
      <c r="D923" s="57" t="s">
        <v>352</v>
      </c>
      <c r="E923" s="67">
        <v>45325</v>
      </c>
      <c r="F923" s="62">
        <v>1620</v>
      </c>
      <c r="G923" s="62">
        <v>1600</v>
      </c>
      <c r="H923" s="62">
        <v>1630</v>
      </c>
      <c r="I923" s="60">
        <f t="shared" si="56"/>
        <v>1.9851116625310175</v>
      </c>
      <c r="J923" s="60">
        <f t="shared" si="57"/>
        <v>30</v>
      </c>
      <c r="K923" s="60">
        <f t="shared" si="58"/>
        <v>2.0223325062034738</v>
      </c>
      <c r="L923" s="60">
        <f t="shared" si="59"/>
        <v>3.7220843672456372E-2</v>
      </c>
    </row>
    <row r="924" spans="1:12" x14ac:dyDescent="0.25">
      <c r="A924" s="61">
        <v>2129</v>
      </c>
      <c r="B924" s="61" t="s">
        <v>57</v>
      </c>
      <c r="C924">
        <v>700</v>
      </c>
      <c r="D924" s="57" t="s">
        <v>49</v>
      </c>
      <c r="E924" s="67">
        <v>45327</v>
      </c>
      <c r="F924" s="62">
        <v>1515</v>
      </c>
      <c r="G924" s="62">
        <v>1530</v>
      </c>
      <c r="H924" s="62">
        <v>1460</v>
      </c>
      <c r="I924" s="60">
        <f t="shared" si="56"/>
        <v>2.1857142857142855</v>
      </c>
      <c r="J924" s="60">
        <f t="shared" si="57"/>
        <v>-70</v>
      </c>
      <c r="K924" s="60">
        <f t="shared" si="58"/>
        <v>2.0857142857142859</v>
      </c>
      <c r="L924" s="60">
        <f t="shared" si="59"/>
        <v>-9.9999999999999645E-2</v>
      </c>
    </row>
    <row r="925" spans="1:12" x14ac:dyDescent="0.25">
      <c r="A925" s="61">
        <v>2127</v>
      </c>
      <c r="B925" s="61" t="s">
        <v>57</v>
      </c>
      <c r="C925">
        <v>700</v>
      </c>
      <c r="D925" s="57" t="s">
        <v>49</v>
      </c>
      <c r="E925" s="67">
        <v>45329</v>
      </c>
      <c r="F925" s="62">
        <v>1435</v>
      </c>
      <c r="G925" s="62">
        <v>1605</v>
      </c>
      <c r="H925" s="62">
        <v>1435</v>
      </c>
      <c r="I925" s="60">
        <f t="shared" si="56"/>
        <v>2.2928571428571427</v>
      </c>
      <c r="J925" s="60">
        <f t="shared" si="57"/>
        <v>-170</v>
      </c>
      <c r="K925" s="60">
        <f t="shared" si="58"/>
        <v>2.0499999999999998</v>
      </c>
      <c r="L925" s="60">
        <f t="shared" si="59"/>
        <v>-0.24285714285714288</v>
      </c>
    </row>
    <row r="926" spans="1:12" x14ac:dyDescent="0.25">
      <c r="A926" s="61">
        <v>2325</v>
      </c>
      <c r="B926" s="61" t="s">
        <v>59</v>
      </c>
      <c r="C926">
        <v>1115</v>
      </c>
      <c r="D926" s="57" t="s">
        <v>49</v>
      </c>
      <c r="E926" s="67">
        <v>45329</v>
      </c>
      <c r="F926" s="62">
        <v>2135</v>
      </c>
      <c r="G926" s="62">
        <v>2049</v>
      </c>
      <c r="H926" s="62">
        <v>1785</v>
      </c>
      <c r="I926" s="60">
        <f t="shared" si="56"/>
        <v>1.8376681614349777</v>
      </c>
      <c r="J926" s="60">
        <f t="shared" si="57"/>
        <v>-264</v>
      </c>
      <c r="K926" s="60">
        <f t="shared" si="58"/>
        <v>1.600896860986547</v>
      </c>
      <c r="L926" s="60">
        <f t="shared" si="59"/>
        <v>-0.23677130044843064</v>
      </c>
    </row>
    <row r="927" spans="1:12" x14ac:dyDescent="0.25">
      <c r="A927" s="61">
        <v>2206</v>
      </c>
      <c r="B927" s="61" t="s">
        <v>51</v>
      </c>
      <c r="C927">
        <v>848</v>
      </c>
      <c r="D927" s="57" t="s">
        <v>49</v>
      </c>
      <c r="E927" s="67">
        <v>45331</v>
      </c>
      <c r="F927" s="62">
        <v>1735</v>
      </c>
      <c r="G927" s="62">
        <v>1575</v>
      </c>
      <c r="H927" s="62">
        <v>1575</v>
      </c>
      <c r="I927" s="60">
        <f t="shared" si="56"/>
        <v>1.8573113207547169</v>
      </c>
      <c r="J927" s="60">
        <f t="shared" si="57"/>
        <v>0</v>
      </c>
      <c r="K927" s="60">
        <f t="shared" si="58"/>
        <v>1.8573113207547169</v>
      </c>
      <c r="L927" s="60">
        <f t="shared" si="59"/>
        <v>0</v>
      </c>
    </row>
    <row r="928" spans="1:12" x14ac:dyDescent="0.25">
      <c r="A928" s="61">
        <v>5113</v>
      </c>
      <c r="B928" s="61" t="s">
        <v>48</v>
      </c>
      <c r="C928">
        <v>806</v>
      </c>
      <c r="D928" s="57" t="s">
        <v>352</v>
      </c>
      <c r="E928" s="67">
        <v>45334</v>
      </c>
      <c r="F928" s="62">
        <v>1620</v>
      </c>
      <c r="G928" s="62">
        <v>1596</v>
      </c>
      <c r="H928" s="62">
        <v>1596</v>
      </c>
      <c r="I928" s="60">
        <f t="shared" si="56"/>
        <v>1.9801488833746899</v>
      </c>
      <c r="J928" s="60">
        <f t="shared" si="57"/>
        <v>0</v>
      </c>
      <c r="K928" s="60">
        <f t="shared" si="58"/>
        <v>1.9801488833746899</v>
      </c>
      <c r="L928" s="60">
        <f t="shared" si="59"/>
        <v>0</v>
      </c>
    </row>
    <row r="929" spans="1:12" x14ac:dyDescent="0.25">
      <c r="A929" s="61">
        <v>2150</v>
      </c>
      <c r="B929" s="61" t="s">
        <v>355</v>
      </c>
      <c r="C929">
        <v>810</v>
      </c>
      <c r="D929" s="57" t="s">
        <v>352</v>
      </c>
      <c r="E929" s="67">
        <v>45341</v>
      </c>
      <c r="F929" s="62">
        <v>1555</v>
      </c>
      <c r="G929" s="62">
        <v>1555</v>
      </c>
      <c r="H929" s="62">
        <v>1586</v>
      </c>
      <c r="I929" s="60">
        <f t="shared" si="56"/>
        <v>1.9197530864197532</v>
      </c>
      <c r="J929" s="60">
        <f t="shared" si="57"/>
        <v>31</v>
      </c>
      <c r="K929" s="60">
        <f t="shared" si="58"/>
        <v>1.9580246913580246</v>
      </c>
      <c r="L929" s="60">
        <f t="shared" si="59"/>
        <v>3.827160493827142E-2</v>
      </c>
    </row>
    <row r="930" spans="1:12" x14ac:dyDescent="0.25">
      <c r="A930" s="61">
        <v>5213</v>
      </c>
      <c r="B930" s="61" t="s">
        <v>59</v>
      </c>
      <c r="C930">
        <v>1115</v>
      </c>
      <c r="D930" s="57" t="s">
        <v>49</v>
      </c>
      <c r="E930" s="67">
        <v>45338</v>
      </c>
      <c r="F930" s="62">
        <v>2135</v>
      </c>
      <c r="G930" s="62">
        <v>1865</v>
      </c>
      <c r="H930" s="62">
        <v>1790</v>
      </c>
      <c r="I930" s="60">
        <f t="shared" si="56"/>
        <v>1.6726457399103138</v>
      </c>
      <c r="J930" s="60">
        <f t="shared" si="57"/>
        <v>-75</v>
      </c>
      <c r="K930" s="60">
        <f t="shared" si="58"/>
        <v>1.6053811659192825</v>
      </c>
      <c r="L930" s="60">
        <f t="shared" si="59"/>
        <v>-6.7264573991031362E-2</v>
      </c>
    </row>
    <row r="931" spans="1:12" x14ac:dyDescent="0.25">
      <c r="A931" s="61">
        <v>4101</v>
      </c>
      <c r="B931" s="61" t="s">
        <v>59</v>
      </c>
      <c r="C931">
        <v>1115</v>
      </c>
      <c r="D931" s="57" t="s">
        <v>49</v>
      </c>
      <c r="E931" s="67">
        <v>45337</v>
      </c>
      <c r="F931" s="62">
        <v>2290</v>
      </c>
      <c r="G931" s="62">
        <v>2155</v>
      </c>
      <c r="H931" s="62">
        <v>1855</v>
      </c>
      <c r="I931" s="60">
        <f t="shared" si="56"/>
        <v>1.9327354260089686</v>
      </c>
      <c r="J931" s="60">
        <f t="shared" si="57"/>
        <v>-300</v>
      </c>
      <c r="K931" s="60">
        <f t="shared" si="58"/>
        <v>1.663677130044843</v>
      </c>
      <c r="L931" s="60">
        <f t="shared" si="59"/>
        <v>-0.26905829596412567</v>
      </c>
    </row>
    <row r="932" spans="1:12" x14ac:dyDescent="0.25">
      <c r="A932" s="61">
        <v>2131</v>
      </c>
      <c r="B932" s="61" t="s">
        <v>65</v>
      </c>
      <c r="C932">
        <v>813</v>
      </c>
      <c r="D932" s="57" t="s">
        <v>49</v>
      </c>
      <c r="E932" s="67">
        <v>45343</v>
      </c>
      <c r="F932" s="62">
        <v>1580</v>
      </c>
      <c r="G932" s="62">
        <v>1580</v>
      </c>
      <c r="H932" s="62">
        <v>1500</v>
      </c>
      <c r="I932" s="60">
        <f t="shared" si="56"/>
        <v>1.943419434194342</v>
      </c>
      <c r="J932" s="60">
        <f t="shared" si="57"/>
        <v>-80</v>
      </c>
      <c r="K932" s="60">
        <f t="shared" si="58"/>
        <v>1.8450184501845019</v>
      </c>
      <c r="L932" s="60">
        <f t="shared" si="59"/>
        <v>-9.8400984009840098E-2</v>
      </c>
    </row>
    <row r="933" spans="1:12" x14ac:dyDescent="0.25">
      <c r="A933" s="61">
        <v>2166</v>
      </c>
      <c r="B933" s="61" t="s">
        <v>82</v>
      </c>
      <c r="C933">
        <v>1112</v>
      </c>
      <c r="D933" s="57" t="s">
        <v>49</v>
      </c>
      <c r="E933" s="67">
        <v>45344</v>
      </c>
      <c r="F933" s="62">
        <v>2145</v>
      </c>
      <c r="G933" s="62">
        <v>2105</v>
      </c>
      <c r="H933" s="62">
        <v>1765</v>
      </c>
      <c r="I933" s="60">
        <f t="shared" si="56"/>
        <v>1.8929856115107915</v>
      </c>
      <c r="J933" s="60">
        <f t="shared" si="57"/>
        <v>-340</v>
      </c>
      <c r="K933" s="60">
        <f t="shared" si="58"/>
        <v>1.5872302158273381</v>
      </c>
      <c r="L933" s="60">
        <f t="shared" si="59"/>
        <v>-0.30575539568345333</v>
      </c>
    </row>
    <row r="934" spans="1:12" x14ac:dyDescent="0.25">
      <c r="A934" s="61">
        <v>4207</v>
      </c>
      <c r="B934" s="61" t="s">
        <v>59</v>
      </c>
      <c r="C934">
        <v>1115</v>
      </c>
      <c r="D934" s="57" t="s">
        <v>49</v>
      </c>
      <c r="E934" s="67">
        <v>45344</v>
      </c>
      <c r="F934" s="62">
        <v>2135</v>
      </c>
      <c r="G934" s="62">
        <v>2000</v>
      </c>
      <c r="H934" s="62">
        <v>1760</v>
      </c>
      <c r="I934" s="60">
        <f t="shared" si="56"/>
        <v>1.7937219730941705</v>
      </c>
      <c r="J934" s="60">
        <f t="shared" si="57"/>
        <v>-240</v>
      </c>
      <c r="K934" s="60">
        <f t="shared" si="58"/>
        <v>1.5784753363228698</v>
      </c>
      <c r="L934" s="60">
        <f t="shared" si="59"/>
        <v>-0.21524663677130063</v>
      </c>
    </row>
    <row r="935" spans="1:12" x14ac:dyDescent="0.25">
      <c r="A935" s="61">
        <v>5202</v>
      </c>
      <c r="B935" s="61" t="s">
        <v>145</v>
      </c>
      <c r="C935">
        <v>1146</v>
      </c>
      <c r="D935" s="57" t="s">
        <v>49</v>
      </c>
      <c r="E935" s="67">
        <v>45344</v>
      </c>
      <c r="F935" s="62">
        <v>2180</v>
      </c>
      <c r="G935" s="62">
        <v>2099</v>
      </c>
      <c r="H935" s="62">
        <v>1865</v>
      </c>
      <c r="I935" s="60">
        <f t="shared" si="56"/>
        <v>1.831588132635253</v>
      </c>
      <c r="J935" s="60">
        <f t="shared" si="57"/>
        <v>-234</v>
      </c>
      <c r="K935" s="60">
        <f t="shared" si="58"/>
        <v>1.6273996509598603</v>
      </c>
      <c r="L935" s="60">
        <f t="shared" si="59"/>
        <v>-0.20418848167539272</v>
      </c>
    </row>
    <row r="936" spans="1:12" x14ac:dyDescent="0.25">
      <c r="A936" s="61">
        <v>2223</v>
      </c>
      <c r="B936" s="61" t="s">
        <v>65</v>
      </c>
      <c r="C936">
        <v>813</v>
      </c>
      <c r="D936" s="57" t="s">
        <v>49</v>
      </c>
      <c r="E936" s="67">
        <v>45344</v>
      </c>
      <c r="F936" s="62">
        <v>1580</v>
      </c>
      <c r="G936" s="62">
        <v>1630</v>
      </c>
      <c r="H936" s="62">
        <v>1495</v>
      </c>
      <c r="I936" s="60">
        <f t="shared" si="56"/>
        <v>2.0049200492004919</v>
      </c>
      <c r="J936" s="60">
        <f t="shared" si="57"/>
        <v>-135</v>
      </c>
      <c r="K936" s="60">
        <f t="shared" si="58"/>
        <v>1.8388683886838868</v>
      </c>
      <c r="L936" s="60">
        <f t="shared" si="59"/>
        <v>-0.16605166051660514</v>
      </c>
    </row>
    <row r="937" spans="1:12" x14ac:dyDescent="0.25">
      <c r="A937" s="61">
        <v>2356</v>
      </c>
      <c r="B937" s="61" t="s">
        <v>86</v>
      </c>
      <c r="C937">
        <v>810</v>
      </c>
      <c r="D937" s="57" t="s">
        <v>49</v>
      </c>
      <c r="E937" s="67">
        <v>45352</v>
      </c>
      <c r="F937" s="62">
        <v>1580</v>
      </c>
      <c r="G937" s="62">
        <v>1575</v>
      </c>
      <c r="H937" s="62">
        <v>1550</v>
      </c>
      <c r="I937" s="60">
        <f t="shared" si="56"/>
        <v>1.9444444444444444</v>
      </c>
      <c r="J937" s="60">
        <f t="shared" si="57"/>
        <v>-25</v>
      </c>
      <c r="K937" s="60">
        <f t="shared" si="58"/>
        <v>1.9135802469135803</v>
      </c>
      <c r="L937" s="60">
        <f t="shared" si="59"/>
        <v>-3.0864197530864113E-2</v>
      </c>
    </row>
    <row r="938" spans="1:12" x14ac:dyDescent="0.25">
      <c r="A938" s="61">
        <v>2133</v>
      </c>
      <c r="B938" s="61" t="s">
        <v>65</v>
      </c>
      <c r="C938">
        <v>813</v>
      </c>
      <c r="D938" s="57" t="s">
        <v>49</v>
      </c>
      <c r="E938" s="67">
        <v>45358</v>
      </c>
      <c r="F938" s="62">
        <v>1580</v>
      </c>
      <c r="G938" s="62">
        <v>1535</v>
      </c>
      <c r="H938" s="62">
        <v>1505</v>
      </c>
      <c r="I938" s="60">
        <f t="shared" si="56"/>
        <v>1.8880688806888068</v>
      </c>
      <c r="J938" s="60">
        <f t="shared" si="57"/>
        <v>-30</v>
      </c>
      <c r="K938" s="60">
        <f t="shared" si="58"/>
        <v>1.8511685116851169</v>
      </c>
      <c r="L938" s="60">
        <f t="shared" si="59"/>
        <v>-3.6900369003689981E-2</v>
      </c>
    </row>
    <row r="939" spans="1:12" x14ac:dyDescent="0.25">
      <c r="A939" s="61">
        <v>2260</v>
      </c>
      <c r="B939" s="61" t="s">
        <v>74</v>
      </c>
      <c r="C939">
        <v>1169</v>
      </c>
      <c r="D939" s="57" t="s">
        <v>49</v>
      </c>
      <c r="E939" s="67">
        <v>45357</v>
      </c>
      <c r="F939" s="62">
        <v>2240</v>
      </c>
      <c r="G939" s="62">
        <v>2193</v>
      </c>
      <c r="H939" s="62">
        <v>1930</v>
      </c>
      <c r="I939" s="60">
        <f t="shared" si="56"/>
        <v>1.8759623609923011</v>
      </c>
      <c r="J939" s="60">
        <f t="shared" si="57"/>
        <v>-263</v>
      </c>
      <c r="K939" s="60">
        <f t="shared" si="58"/>
        <v>1.65098374679213</v>
      </c>
      <c r="L939" s="60">
        <f t="shared" si="59"/>
        <v>-0.22497861420017107</v>
      </c>
    </row>
    <row r="940" spans="1:12" x14ac:dyDescent="0.25">
      <c r="A940" s="61">
        <v>2365</v>
      </c>
      <c r="B940" s="61" t="s">
        <v>65</v>
      </c>
      <c r="C940">
        <v>813</v>
      </c>
      <c r="D940" s="57" t="s">
        <v>49</v>
      </c>
      <c r="E940" s="67">
        <v>45357</v>
      </c>
      <c r="F940" s="62">
        <v>1580</v>
      </c>
      <c r="G940" s="62">
        <v>1696</v>
      </c>
      <c r="H940" s="62">
        <v>1505</v>
      </c>
      <c r="I940" s="60">
        <f t="shared" si="56"/>
        <v>2.0861008610086103</v>
      </c>
      <c r="J940" s="60">
        <f t="shared" si="57"/>
        <v>-191</v>
      </c>
      <c r="K940" s="60">
        <f t="shared" si="58"/>
        <v>1.8511685116851169</v>
      </c>
      <c r="L940" s="60">
        <f t="shared" si="59"/>
        <v>-0.23493234932349338</v>
      </c>
    </row>
    <row r="941" spans="1:12" x14ac:dyDescent="0.25">
      <c r="A941" s="61">
        <v>5106</v>
      </c>
      <c r="B941" s="61" t="s">
        <v>74</v>
      </c>
      <c r="C941">
        <v>1169</v>
      </c>
      <c r="D941" s="57" t="s">
        <v>49</v>
      </c>
      <c r="E941" s="67">
        <v>45359</v>
      </c>
      <c r="F941" s="62">
        <v>2165</v>
      </c>
      <c r="G941" s="62">
        <v>2045</v>
      </c>
      <c r="H941" s="62">
        <v>1755</v>
      </c>
      <c r="I941" s="60">
        <f t="shared" si="56"/>
        <v>1.7493584260051327</v>
      </c>
      <c r="J941" s="60">
        <f t="shared" si="57"/>
        <v>-290</v>
      </c>
      <c r="K941" s="60">
        <f t="shared" si="58"/>
        <v>1.5012831479897348</v>
      </c>
      <c r="L941" s="60">
        <f t="shared" si="59"/>
        <v>-0.24807527801539786</v>
      </c>
    </row>
    <row r="942" spans="1:12" x14ac:dyDescent="0.25">
      <c r="A942" s="61">
        <v>2109</v>
      </c>
      <c r="B942" s="61" t="s">
        <v>61</v>
      </c>
      <c r="C942">
        <v>820</v>
      </c>
      <c r="D942" s="57" t="s">
        <v>49</v>
      </c>
      <c r="E942" s="67">
        <v>45362</v>
      </c>
      <c r="F942" s="62">
        <v>1615</v>
      </c>
      <c r="G942" s="62">
        <v>1615</v>
      </c>
      <c r="H942" s="62">
        <v>1540</v>
      </c>
      <c r="I942" s="60">
        <f t="shared" si="56"/>
        <v>1.9695121951219512</v>
      </c>
      <c r="J942" s="60">
        <f t="shared" si="57"/>
        <v>-75</v>
      </c>
      <c r="K942" s="60">
        <f t="shared" si="58"/>
        <v>1.8780487804878048</v>
      </c>
      <c r="L942" s="60">
        <f t="shared" si="59"/>
        <v>-9.1463414634146423E-2</v>
      </c>
    </row>
    <row r="943" spans="1:12" x14ac:dyDescent="0.25">
      <c r="A943" s="61">
        <v>2151</v>
      </c>
      <c r="B943" s="61" t="s">
        <v>51</v>
      </c>
      <c r="C943">
        <v>848</v>
      </c>
      <c r="D943" s="57" t="s">
        <v>49</v>
      </c>
      <c r="E943" s="67">
        <v>45359</v>
      </c>
      <c r="F943" s="62">
        <v>1735</v>
      </c>
      <c r="G943" s="62">
        <v>1540</v>
      </c>
      <c r="H943" s="62">
        <v>1605</v>
      </c>
      <c r="I943" s="60">
        <f t="shared" si="56"/>
        <v>1.8160377358490567</v>
      </c>
      <c r="J943" s="60">
        <f t="shared" si="57"/>
        <v>65</v>
      </c>
      <c r="K943" s="60">
        <f t="shared" si="58"/>
        <v>1.8926886792452831</v>
      </c>
      <c r="L943" s="60">
        <f t="shared" si="59"/>
        <v>7.6650943396226356E-2</v>
      </c>
    </row>
    <row r="944" spans="1:12" x14ac:dyDescent="0.25">
      <c r="A944" s="61">
        <v>2146</v>
      </c>
      <c r="B944" s="61" t="s">
        <v>74</v>
      </c>
      <c r="C944">
        <v>1169</v>
      </c>
      <c r="D944" s="57" t="s">
        <v>352</v>
      </c>
      <c r="E944" s="67">
        <v>45361</v>
      </c>
      <c r="F944" s="62">
        <v>2220</v>
      </c>
      <c r="G944" s="62">
        <v>2085</v>
      </c>
      <c r="H944" s="62">
        <v>2110</v>
      </c>
      <c r="I944" s="60">
        <f t="shared" si="56"/>
        <v>1.7835757057313943</v>
      </c>
      <c r="J944" s="60">
        <f t="shared" si="57"/>
        <v>25</v>
      </c>
      <c r="K944" s="60">
        <f t="shared" si="58"/>
        <v>1.8049615055603079</v>
      </c>
      <c r="L944" s="60">
        <f t="shared" si="59"/>
        <v>2.1385799828913532E-2</v>
      </c>
    </row>
    <row r="945" spans="1:12" x14ac:dyDescent="0.25">
      <c r="A945" s="61" t="s">
        <v>349</v>
      </c>
      <c r="B945" s="61" t="s">
        <v>137</v>
      </c>
      <c r="C945">
        <v>1700</v>
      </c>
      <c r="D945" s="57" t="s">
        <v>352</v>
      </c>
      <c r="E945" s="67">
        <v>45377</v>
      </c>
      <c r="F945" s="62">
        <v>2995</v>
      </c>
      <c r="G945" s="62">
        <v>2620</v>
      </c>
      <c r="H945" s="62">
        <v>2845</v>
      </c>
      <c r="I945" s="60">
        <f t="shared" si="56"/>
        <v>1.5411764705882354</v>
      </c>
      <c r="J945" s="60">
        <f t="shared" si="57"/>
        <v>225</v>
      </c>
      <c r="K945" s="60">
        <f t="shared" si="58"/>
        <v>1.6735294117647059</v>
      </c>
      <c r="L945" s="60">
        <f t="shared" si="59"/>
        <v>0.13235294117647056</v>
      </c>
    </row>
    <row r="946" spans="1:12" x14ac:dyDescent="0.25">
      <c r="A946" s="61" t="s">
        <v>168</v>
      </c>
      <c r="B946" s="61" t="s">
        <v>65</v>
      </c>
      <c r="C946">
        <v>813</v>
      </c>
      <c r="D946" s="57" t="s">
        <v>352</v>
      </c>
      <c r="E946" s="67">
        <v>45364</v>
      </c>
      <c r="F946" s="62">
        <v>1580</v>
      </c>
      <c r="G946" s="62">
        <v>1555</v>
      </c>
      <c r="H946" s="62">
        <v>1575</v>
      </c>
      <c r="I946" s="60">
        <f t="shared" si="56"/>
        <v>1.912669126691267</v>
      </c>
      <c r="J946" s="60">
        <f t="shared" si="57"/>
        <v>20</v>
      </c>
      <c r="K946" s="60">
        <f t="shared" si="58"/>
        <v>1.9372693726937269</v>
      </c>
      <c r="L946" s="60">
        <f t="shared" si="59"/>
        <v>2.4600246002459913E-2</v>
      </c>
    </row>
    <row r="947" spans="1:12" x14ac:dyDescent="0.25">
      <c r="A947" s="61" t="s">
        <v>214</v>
      </c>
      <c r="B947" s="61" t="s">
        <v>145</v>
      </c>
      <c r="C947">
        <v>1146</v>
      </c>
      <c r="D947" s="57" t="s">
        <v>352</v>
      </c>
      <c r="E947" s="67">
        <v>45368</v>
      </c>
      <c r="F947" s="62">
        <v>2180</v>
      </c>
      <c r="G947" s="62">
        <v>2079</v>
      </c>
      <c r="H947" s="62">
        <v>2101</v>
      </c>
      <c r="I947" s="60">
        <f t="shared" si="56"/>
        <v>1.8141361256544504</v>
      </c>
      <c r="J947" s="60">
        <f t="shared" si="57"/>
        <v>22</v>
      </c>
      <c r="K947" s="60">
        <f t="shared" si="58"/>
        <v>1.8333333333333333</v>
      </c>
      <c r="L947" s="60">
        <f t="shared" si="59"/>
        <v>1.9197207678882888E-2</v>
      </c>
    </row>
    <row r="948" spans="1:12" x14ac:dyDescent="0.25">
      <c r="A948" s="61" t="s">
        <v>203</v>
      </c>
      <c r="B948" s="61" t="s">
        <v>86</v>
      </c>
      <c r="C948">
        <v>810</v>
      </c>
      <c r="D948" s="57" t="s">
        <v>352</v>
      </c>
      <c r="E948" s="67">
        <v>45368</v>
      </c>
      <c r="F948" s="62">
        <v>1555</v>
      </c>
      <c r="G948" s="62">
        <v>1490</v>
      </c>
      <c r="H948" s="62">
        <v>1520</v>
      </c>
      <c r="I948" s="60">
        <f t="shared" si="56"/>
        <v>1.8395061728395061</v>
      </c>
      <c r="J948" s="60">
        <f t="shared" si="57"/>
        <v>30</v>
      </c>
      <c r="K948" s="60">
        <f t="shared" si="58"/>
        <v>1.8765432098765431</v>
      </c>
      <c r="L948" s="60">
        <f t="shared" si="59"/>
        <v>3.7037037037036979E-2</v>
      </c>
    </row>
    <row r="949" spans="1:12" x14ac:dyDescent="0.25">
      <c r="A949" s="61" t="s">
        <v>212</v>
      </c>
      <c r="B949" s="61" t="s">
        <v>61</v>
      </c>
      <c r="C949">
        <v>820</v>
      </c>
      <c r="D949" s="57" t="s">
        <v>49</v>
      </c>
      <c r="E949" s="67">
        <v>45369</v>
      </c>
      <c r="F949" s="62">
        <v>1615</v>
      </c>
      <c r="G949" s="62">
        <v>1678</v>
      </c>
      <c r="H949" s="62">
        <v>1570</v>
      </c>
      <c r="I949" s="60">
        <f t="shared" si="56"/>
        <v>2.0463414634146342</v>
      </c>
      <c r="J949" s="60">
        <f t="shared" si="57"/>
        <v>-108</v>
      </c>
      <c r="K949" s="60">
        <f t="shared" si="58"/>
        <v>1.9146341463414633</v>
      </c>
      <c r="L949" s="60">
        <f t="shared" si="59"/>
        <v>-0.13170731707317085</v>
      </c>
    </row>
    <row r="950" spans="1:12" x14ac:dyDescent="0.25">
      <c r="A950" s="61" t="s">
        <v>90</v>
      </c>
      <c r="B950" s="61" t="s">
        <v>48</v>
      </c>
      <c r="C950">
        <v>806</v>
      </c>
      <c r="D950" s="57" t="s">
        <v>49</v>
      </c>
      <c r="E950" s="67">
        <v>45366</v>
      </c>
      <c r="F950" s="62">
        <v>1620</v>
      </c>
      <c r="G950" s="62">
        <v>1540</v>
      </c>
      <c r="H950" s="62">
        <v>1495</v>
      </c>
      <c r="I950" s="60">
        <f t="shared" si="56"/>
        <v>1.9106699751861043</v>
      </c>
      <c r="J950" s="60">
        <f t="shared" si="57"/>
        <v>-45</v>
      </c>
      <c r="K950" s="60">
        <f t="shared" si="58"/>
        <v>1.8548387096774193</v>
      </c>
      <c r="L950" s="60">
        <f t="shared" si="59"/>
        <v>-5.5831265508685002E-2</v>
      </c>
    </row>
    <row r="951" spans="1:12" x14ac:dyDescent="0.25">
      <c r="A951" s="61" t="s">
        <v>135</v>
      </c>
      <c r="B951" s="61" t="s">
        <v>355</v>
      </c>
      <c r="C951">
        <v>810</v>
      </c>
      <c r="D951" s="57" t="s">
        <v>49</v>
      </c>
      <c r="E951" s="67">
        <v>45370</v>
      </c>
      <c r="F951" s="62">
        <v>1600</v>
      </c>
      <c r="G951" s="62">
        <v>1585</v>
      </c>
      <c r="H951" s="62">
        <v>1525</v>
      </c>
      <c r="I951" s="60">
        <f t="shared" si="56"/>
        <v>1.9567901234567902</v>
      </c>
      <c r="J951" s="60">
        <f t="shared" si="57"/>
        <v>-60</v>
      </c>
      <c r="K951" s="60">
        <f t="shared" si="58"/>
        <v>1.882716049382716</v>
      </c>
      <c r="L951" s="60">
        <f t="shared" si="59"/>
        <v>-7.4074074074074181E-2</v>
      </c>
    </row>
    <row r="952" spans="1:12" x14ac:dyDescent="0.25">
      <c r="A952" s="61" t="s">
        <v>198</v>
      </c>
      <c r="B952" s="61" t="s">
        <v>59</v>
      </c>
      <c r="C952">
        <v>1115</v>
      </c>
      <c r="D952" s="57" t="s">
        <v>49</v>
      </c>
      <c r="E952" s="67">
        <v>45373</v>
      </c>
      <c r="F952" s="62">
        <v>2135</v>
      </c>
      <c r="G952" s="62">
        <v>1986</v>
      </c>
      <c r="H952" s="62">
        <v>1720</v>
      </c>
      <c r="I952" s="60">
        <f t="shared" si="56"/>
        <v>1.7811659192825111</v>
      </c>
      <c r="J952" s="60">
        <f t="shared" si="57"/>
        <v>-266</v>
      </c>
      <c r="K952" s="60">
        <f t="shared" si="58"/>
        <v>1.5426008968609866</v>
      </c>
      <c r="L952" s="60">
        <f t="shared" si="59"/>
        <v>-0.23856502242152455</v>
      </c>
    </row>
    <row r="953" spans="1:12" x14ac:dyDescent="0.25">
      <c r="A953" s="61" t="s">
        <v>215</v>
      </c>
      <c r="B953" s="61" t="s">
        <v>61</v>
      </c>
      <c r="C953">
        <v>820</v>
      </c>
      <c r="D953" s="57" t="s">
        <v>352</v>
      </c>
      <c r="E953" s="67">
        <v>45370</v>
      </c>
      <c r="F953" s="62">
        <v>1740</v>
      </c>
      <c r="G953" s="62">
        <v>1831</v>
      </c>
      <c r="H953" s="62">
        <v>1848</v>
      </c>
      <c r="I953" s="60">
        <f t="shared" si="56"/>
        <v>2.2329268292682927</v>
      </c>
      <c r="J953" s="60">
        <f t="shared" si="57"/>
        <v>17</v>
      </c>
      <c r="K953" s="60">
        <f t="shared" si="58"/>
        <v>2.2536585365853656</v>
      </c>
      <c r="L953" s="60">
        <f t="shared" si="59"/>
        <v>2.0731707317072967E-2</v>
      </c>
    </row>
    <row r="954" spans="1:12" x14ac:dyDescent="0.25">
      <c r="A954" s="61" t="s">
        <v>53</v>
      </c>
      <c r="B954" s="61" t="s">
        <v>48</v>
      </c>
      <c r="C954">
        <v>806</v>
      </c>
      <c r="D954" s="57" t="s">
        <v>352</v>
      </c>
      <c r="E954" s="67">
        <v>45372</v>
      </c>
      <c r="F954" s="62">
        <v>1620</v>
      </c>
      <c r="G954" s="62">
        <v>1654</v>
      </c>
      <c r="H954" s="62">
        <v>1654</v>
      </c>
      <c r="I954" s="60">
        <f t="shared" si="56"/>
        <v>2.0521091811414394</v>
      </c>
      <c r="J954" s="60">
        <f t="shared" si="57"/>
        <v>0</v>
      </c>
      <c r="K954" s="60">
        <f t="shared" si="58"/>
        <v>2.0521091811414394</v>
      </c>
      <c r="L954" s="60">
        <f t="shared" si="59"/>
        <v>0</v>
      </c>
    </row>
    <row r="955" spans="1:12" x14ac:dyDescent="0.25">
      <c r="A955" s="61" t="s">
        <v>261</v>
      </c>
      <c r="B955" s="61" t="s">
        <v>74</v>
      </c>
      <c r="C955">
        <v>1169</v>
      </c>
      <c r="D955" s="57" t="s">
        <v>49</v>
      </c>
      <c r="E955" s="67">
        <v>45377</v>
      </c>
      <c r="F955" s="62">
        <v>2220</v>
      </c>
      <c r="G955" s="62">
        <v>2137</v>
      </c>
      <c r="H955" s="62">
        <v>1945</v>
      </c>
      <c r="I955" s="60">
        <f t="shared" si="56"/>
        <v>1.8280581693755347</v>
      </c>
      <c r="J955" s="60">
        <f t="shared" si="57"/>
        <v>-192</v>
      </c>
      <c r="K955" s="60">
        <f t="shared" si="58"/>
        <v>1.6638152266894781</v>
      </c>
      <c r="L955" s="60">
        <f t="shared" si="59"/>
        <v>-0.16424294268605655</v>
      </c>
    </row>
    <row r="956" spans="1:12" x14ac:dyDescent="0.25">
      <c r="A956" s="61" t="s">
        <v>118</v>
      </c>
      <c r="B956" s="61" t="s">
        <v>59</v>
      </c>
      <c r="C956">
        <v>1115</v>
      </c>
      <c r="D956" s="57" t="s">
        <v>49</v>
      </c>
      <c r="E956" s="67">
        <v>45380</v>
      </c>
      <c r="F956" s="62">
        <v>2135</v>
      </c>
      <c r="G956" s="62">
        <v>2075</v>
      </c>
      <c r="H956" s="62">
        <v>1730</v>
      </c>
      <c r="I956" s="60">
        <f t="shared" si="56"/>
        <v>1.8609865470852018</v>
      </c>
      <c r="J956" s="60">
        <f t="shared" si="57"/>
        <v>-345</v>
      </c>
      <c r="K956" s="60">
        <f t="shared" si="58"/>
        <v>1.5515695067264574</v>
      </c>
      <c r="L956" s="60">
        <f t="shared" si="59"/>
        <v>-0.3094170403587444</v>
      </c>
    </row>
    <row r="957" spans="1:12" x14ac:dyDescent="0.25">
      <c r="A957" s="61" t="s">
        <v>110</v>
      </c>
      <c r="B957" s="61" t="s">
        <v>59</v>
      </c>
      <c r="C957">
        <v>1115</v>
      </c>
      <c r="D957" s="57" t="s">
        <v>49</v>
      </c>
      <c r="E957" s="67">
        <v>45383</v>
      </c>
      <c r="F957" s="62">
        <v>2135</v>
      </c>
      <c r="G957" s="62">
        <v>1795</v>
      </c>
      <c r="H957" s="62">
        <v>1840</v>
      </c>
      <c r="I957" s="60">
        <f t="shared" si="56"/>
        <v>1.6098654708520179</v>
      </c>
      <c r="J957" s="60">
        <f t="shared" si="57"/>
        <v>45</v>
      </c>
      <c r="K957" s="60">
        <f t="shared" si="58"/>
        <v>1.6502242152466369</v>
      </c>
      <c r="L957" s="60">
        <f t="shared" si="59"/>
        <v>4.0358744394618951E-2</v>
      </c>
    </row>
    <row r="958" spans="1:12" x14ac:dyDescent="0.25">
      <c r="A958" s="61" t="s">
        <v>164</v>
      </c>
      <c r="B958" s="61" t="s">
        <v>59</v>
      </c>
      <c r="C958">
        <v>1115</v>
      </c>
      <c r="D958" s="57" t="s">
        <v>49</v>
      </c>
      <c r="E958" s="67">
        <v>45383</v>
      </c>
      <c r="F958" s="62">
        <v>1515</v>
      </c>
      <c r="G958" s="62">
        <v>1520</v>
      </c>
      <c r="H958" s="62">
        <v>1470</v>
      </c>
      <c r="I958" s="60">
        <f t="shared" si="56"/>
        <v>1.3632286995515694</v>
      </c>
      <c r="J958" s="60">
        <f t="shared" si="57"/>
        <v>-50</v>
      </c>
      <c r="K958" s="60">
        <f t="shared" si="58"/>
        <v>1.3183856502242153</v>
      </c>
      <c r="L958" s="60">
        <f t="shared" si="59"/>
        <v>-4.4843049327354167E-2</v>
      </c>
    </row>
    <row r="959" spans="1:12" x14ac:dyDescent="0.25">
      <c r="A959" s="61">
        <v>5302</v>
      </c>
      <c r="B959" s="61" t="s">
        <v>145</v>
      </c>
      <c r="C959">
        <v>1146</v>
      </c>
      <c r="D959" s="57" t="s">
        <v>49</v>
      </c>
      <c r="E959" s="67">
        <v>45380</v>
      </c>
      <c r="F959" s="62">
        <v>2180</v>
      </c>
      <c r="G959" s="62">
        <v>2006</v>
      </c>
      <c r="H959" s="62">
        <v>1790</v>
      </c>
      <c r="I959" s="60">
        <f t="shared" si="56"/>
        <v>1.75043630017452</v>
      </c>
      <c r="J959" s="60">
        <f t="shared" si="57"/>
        <v>-216</v>
      </c>
      <c r="K959" s="60">
        <f t="shared" si="58"/>
        <v>1.5619546247818499</v>
      </c>
      <c r="L959" s="60">
        <f t="shared" si="59"/>
        <v>-0.18848167539267013</v>
      </c>
    </row>
    <row r="960" spans="1:12" x14ac:dyDescent="0.25">
      <c r="A960" s="61">
        <v>2253</v>
      </c>
      <c r="B960" s="61" t="s">
        <v>153</v>
      </c>
      <c r="C960">
        <v>696</v>
      </c>
      <c r="D960" s="57" t="s">
        <v>49</v>
      </c>
      <c r="E960" s="67">
        <v>45380</v>
      </c>
      <c r="F960" s="62">
        <v>1450</v>
      </c>
      <c r="G960" s="62">
        <v>1545</v>
      </c>
      <c r="H960" s="62">
        <v>1470</v>
      </c>
      <c r="I960" s="60">
        <f t="shared" si="56"/>
        <v>2.2198275862068964</v>
      </c>
      <c r="J960" s="60">
        <f t="shared" si="57"/>
        <v>-75</v>
      </c>
      <c r="K960" s="60">
        <f t="shared" si="58"/>
        <v>2.1120689655172415</v>
      </c>
      <c r="L960" s="60">
        <f t="shared" si="59"/>
        <v>-0.1077586206896548</v>
      </c>
    </row>
    <row r="961" spans="1:12" x14ac:dyDescent="0.25">
      <c r="A961" s="61">
        <v>2213</v>
      </c>
      <c r="B961" s="61" t="s">
        <v>59</v>
      </c>
      <c r="C961">
        <v>1115</v>
      </c>
      <c r="D961" s="57" t="s">
        <v>352</v>
      </c>
      <c r="E961" s="67">
        <v>45377</v>
      </c>
      <c r="F961" s="62">
        <v>2135</v>
      </c>
      <c r="G961" s="62">
        <v>1985</v>
      </c>
      <c r="H961" s="62">
        <v>2000</v>
      </c>
      <c r="I961" s="60">
        <f t="shared" si="56"/>
        <v>1.7802690582959642</v>
      </c>
      <c r="J961" s="60">
        <f t="shared" si="57"/>
        <v>15</v>
      </c>
      <c r="K961" s="60">
        <f t="shared" si="58"/>
        <v>1.7937219730941705</v>
      </c>
      <c r="L961" s="60">
        <f t="shared" si="59"/>
        <v>1.3452914798206317E-2</v>
      </c>
    </row>
    <row r="962" spans="1:12" x14ac:dyDescent="0.25">
      <c r="A962" s="61">
        <v>5201</v>
      </c>
      <c r="B962" s="61" t="s">
        <v>151</v>
      </c>
      <c r="C962">
        <v>1141</v>
      </c>
      <c r="D962" s="57" t="s">
        <v>352</v>
      </c>
      <c r="E962" s="67">
        <v>45377</v>
      </c>
      <c r="F962" s="62">
        <v>2150</v>
      </c>
      <c r="G962" s="62">
        <v>2185</v>
      </c>
      <c r="H962" s="62">
        <v>2200</v>
      </c>
      <c r="I962" s="60">
        <f t="shared" si="56"/>
        <v>1.9149868536371604</v>
      </c>
      <c r="J962" s="60">
        <f t="shared" si="57"/>
        <v>15</v>
      </c>
      <c r="K962" s="60">
        <f t="shared" si="58"/>
        <v>1.9281332164767748</v>
      </c>
      <c r="L962" s="60">
        <f t="shared" si="59"/>
        <v>1.3146362839614456E-2</v>
      </c>
    </row>
    <row r="963" spans="1:12" x14ac:dyDescent="0.25">
      <c r="A963" s="61">
        <v>2154</v>
      </c>
      <c r="B963" s="61" t="s">
        <v>48</v>
      </c>
      <c r="C963">
        <v>806</v>
      </c>
      <c r="D963" s="57" t="s">
        <v>352</v>
      </c>
      <c r="E963" s="67">
        <v>45381</v>
      </c>
      <c r="F963" s="62">
        <v>1620</v>
      </c>
      <c r="G963" s="62">
        <v>1545</v>
      </c>
      <c r="H963" s="62">
        <v>1545</v>
      </c>
      <c r="I963" s="60">
        <f t="shared" si="56"/>
        <v>1.9168734491315136</v>
      </c>
      <c r="J963" s="60">
        <f t="shared" si="57"/>
        <v>0</v>
      </c>
      <c r="K963" s="60">
        <f t="shared" si="58"/>
        <v>1.9168734491315136</v>
      </c>
      <c r="L963" s="60">
        <f t="shared" si="59"/>
        <v>0</v>
      </c>
    </row>
    <row r="964" spans="1:12" x14ac:dyDescent="0.25">
      <c r="A964" s="61">
        <v>2211</v>
      </c>
      <c r="B964" s="61" t="s">
        <v>59</v>
      </c>
      <c r="C964">
        <v>1115</v>
      </c>
      <c r="D964" s="57" t="s">
        <v>352</v>
      </c>
      <c r="E964" s="67">
        <v>45378</v>
      </c>
      <c r="F964" s="62">
        <v>2135</v>
      </c>
      <c r="G964" s="62">
        <v>1865</v>
      </c>
      <c r="H964" s="62">
        <v>1885</v>
      </c>
      <c r="I964" s="60">
        <f t="shared" si="56"/>
        <v>1.6726457399103138</v>
      </c>
      <c r="J964" s="60">
        <f t="shared" si="57"/>
        <v>20</v>
      </c>
      <c r="K964" s="60">
        <f t="shared" si="58"/>
        <v>1.6905829596412556</v>
      </c>
      <c r="L964" s="60">
        <f t="shared" si="59"/>
        <v>1.7937219730941756E-2</v>
      </c>
    </row>
    <row r="965" spans="1:12" x14ac:dyDescent="0.25">
      <c r="A965" s="61">
        <v>2316</v>
      </c>
      <c r="B965" s="61" t="s">
        <v>55</v>
      </c>
      <c r="C965">
        <v>764</v>
      </c>
      <c r="D965" s="57" t="s">
        <v>49</v>
      </c>
      <c r="E965" s="67">
        <v>45387</v>
      </c>
      <c r="F965" s="62">
        <v>1615</v>
      </c>
      <c r="G965" s="62">
        <v>1865</v>
      </c>
      <c r="H965" s="62">
        <v>1525</v>
      </c>
      <c r="I965" s="60">
        <f t="shared" si="56"/>
        <v>2.4410994764397906</v>
      </c>
      <c r="J965" s="60">
        <f t="shared" si="57"/>
        <v>-340</v>
      </c>
      <c r="K965" s="60">
        <f t="shared" si="58"/>
        <v>1.9960732984293195</v>
      </c>
      <c r="L965" s="60">
        <f t="shared" si="59"/>
        <v>-0.44502617801047117</v>
      </c>
    </row>
    <row r="966" spans="1:12" x14ac:dyDescent="0.25">
      <c r="A966" s="61">
        <v>2318</v>
      </c>
      <c r="B966" s="61" t="s">
        <v>355</v>
      </c>
      <c r="C966">
        <v>810</v>
      </c>
      <c r="D966" s="57" t="s">
        <v>49</v>
      </c>
      <c r="E966" s="67">
        <v>45387</v>
      </c>
      <c r="F966" s="62">
        <v>1555</v>
      </c>
      <c r="G966" s="62">
        <v>1490</v>
      </c>
      <c r="H966" s="62">
        <v>1534</v>
      </c>
      <c r="I966" s="60">
        <f t="shared" si="56"/>
        <v>1.8395061728395061</v>
      </c>
      <c r="J966" s="60">
        <f t="shared" si="57"/>
        <v>44</v>
      </c>
      <c r="K966" s="60">
        <f t="shared" si="58"/>
        <v>1.8938271604938273</v>
      </c>
      <c r="L966" s="60">
        <f t="shared" si="59"/>
        <v>5.432098765432114E-2</v>
      </c>
    </row>
    <row r="967" spans="1:12" x14ac:dyDescent="0.25">
      <c r="A967" s="61">
        <v>5305</v>
      </c>
      <c r="B967" s="61" t="s">
        <v>57</v>
      </c>
      <c r="C967">
        <v>700</v>
      </c>
      <c r="D967" s="57" t="s">
        <v>49</v>
      </c>
      <c r="E967" s="67">
        <v>45387</v>
      </c>
      <c r="F967" s="62">
        <v>1515</v>
      </c>
      <c r="G967" s="62">
        <v>1520</v>
      </c>
      <c r="H967" s="62">
        <v>1470</v>
      </c>
      <c r="I967" s="60">
        <f t="shared" si="56"/>
        <v>2.1714285714285713</v>
      </c>
      <c r="J967" s="60">
        <f t="shared" si="57"/>
        <v>-50</v>
      </c>
      <c r="K967" s="60">
        <f t="shared" si="58"/>
        <v>2.1</v>
      </c>
      <c r="L967" s="60">
        <f t="shared" si="59"/>
        <v>-7.1428571428571175E-2</v>
      </c>
    </row>
    <row r="968" spans="1:12" x14ac:dyDescent="0.25">
      <c r="A968" s="61">
        <v>2153</v>
      </c>
      <c r="B968" s="61" t="s">
        <v>153</v>
      </c>
      <c r="C968">
        <v>696</v>
      </c>
      <c r="D968" s="57" t="s">
        <v>352</v>
      </c>
      <c r="E968" s="67">
        <v>45386</v>
      </c>
      <c r="F968" s="62">
        <v>1450</v>
      </c>
      <c r="G968" s="62">
        <v>1530</v>
      </c>
      <c r="H968" s="62">
        <v>1530</v>
      </c>
      <c r="I968" s="60">
        <f t="shared" ref="I968:I1031" si="60">G968/C968</f>
        <v>2.1982758620689653</v>
      </c>
      <c r="J968" s="60">
        <f t="shared" ref="J968:J1031" si="61">SUM(H968-G968)</f>
        <v>0</v>
      </c>
      <c r="K968" s="60">
        <f t="shared" ref="K968:K1031" si="62">H968/C968</f>
        <v>2.1982758620689653</v>
      </c>
      <c r="L968" s="60">
        <f t="shared" ref="L968:L1031" si="63">K968-I968</f>
        <v>0</v>
      </c>
    </row>
    <row r="969" spans="1:12" x14ac:dyDescent="0.25">
      <c r="A969" s="61">
        <v>4112</v>
      </c>
      <c r="B969" s="61" t="s">
        <v>145</v>
      </c>
      <c r="C969">
        <v>1146</v>
      </c>
      <c r="D969" s="57" t="s">
        <v>352</v>
      </c>
      <c r="E969" s="67">
        <v>45384</v>
      </c>
      <c r="F969" s="62">
        <v>2150</v>
      </c>
      <c r="G969" s="62">
        <v>2030</v>
      </c>
      <c r="H969" s="62">
        <v>2053</v>
      </c>
      <c r="I969" s="60">
        <f t="shared" si="60"/>
        <v>1.7713787085514834</v>
      </c>
      <c r="J969" s="60">
        <f t="shared" si="61"/>
        <v>23</v>
      </c>
      <c r="K969" s="60">
        <f t="shared" si="62"/>
        <v>1.7914485165794067</v>
      </c>
      <c r="L969" s="60">
        <f t="shared" si="63"/>
        <v>2.0069808027923353E-2</v>
      </c>
    </row>
    <row r="970" spans="1:12" x14ac:dyDescent="0.25">
      <c r="A970" s="61">
        <v>2239</v>
      </c>
      <c r="B970" s="61" t="s">
        <v>51</v>
      </c>
      <c r="C970">
        <v>848</v>
      </c>
      <c r="D970" s="57" t="s">
        <v>49</v>
      </c>
      <c r="E970" s="67">
        <v>45392</v>
      </c>
      <c r="F970" s="62">
        <v>1735</v>
      </c>
      <c r="G970" s="62">
        <v>1640</v>
      </c>
      <c r="H970" s="62">
        <v>1525</v>
      </c>
      <c r="I970" s="60">
        <f t="shared" si="60"/>
        <v>1.9339622641509433</v>
      </c>
      <c r="J970" s="60">
        <f t="shared" si="61"/>
        <v>-115</v>
      </c>
      <c r="K970" s="60">
        <f t="shared" si="62"/>
        <v>1.7983490566037736</v>
      </c>
      <c r="L970" s="60">
        <f t="shared" si="63"/>
        <v>-0.13561320754716966</v>
      </c>
    </row>
    <row r="971" spans="1:12" x14ac:dyDescent="0.25">
      <c r="A971" s="61">
        <v>5307</v>
      </c>
      <c r="B971" s="61" t="s">
        <v>57</v>
      </c>
      <c r="C971">
        <v>700</v>
      </c>
      <c r="D971" s="57" t="s">
        <v>49</v>
      </c>
      <c r="E971" s="67">
        <v>45392</v>
      </c>
      <c r="F971" s="62">
        <v>1515</v>
      </c>
      <c r="G971" s="62">
        <v>1571</v>
      </c>
      <c r="H971" s="62">
        <v>1470</v>
      </c>
      <c r="I971" s="60">
        <f t="shared" si="60"/>
        <v>2.2442857142857142</v>
      </c>
      <c r="J971" s="60">
        <f t="shared" si="61"/>
        <v>-101</v>
      </c>
      <c r="K971" s="60">
        <f t="shared" si="62"/>
        <v>2.1</v>
      </c>
      <c r="L971" s="60">
        <f t="shared" si="63"/>
        <v>-0.14428571428571413</v>
      </c>
    </row>
    <row r="972" spans="1:12" x14ac:dyDescent="0.25">
      <c r="A972" s="61">
        <v>2241</v>
      </c>
      <c r="B972" s="61" t="s">
        <v>355</v>
      </c>
      <c r="C972">
        <v>810</v>
      </c>
      <c r="D972" s="57" t="s">
        <v>49</v>
      </c>
      <c r="E972" s="67">
        <v>45394</v>
      </c>
      <c r="F972" s="62">
        <v>1555</v>
      </c>
      <c r="G972" s="62">
        <v>1710</v>
      </c>
      <c r="H972" s="62">
        <v>1555</v>
      </c>
      <c r="I972" s="60">
        <f t="shared" si="60"/>
        <v>2.1111111111111112</v>
      </c>
      <c r="J972" s="60">
        <f t="shared" si="61"/>
        <v>-155</v>
      </c>
      <c r="K972" s="60">
        <f t="shared" si="62"/>
        <v>1.9197530864197532</v>
      </c>
      <c r="L972" s="60">
        <f t="shared" si="63"/>
        <v>-0.19135802469135799</v>
      </c>
    </row>
    <row r="973" spans="1:12" x14ac:dyDescent="0.25">
      <c r="A973" s="61">
        <v>2103</v>
      </c>
      <c r="B973" s="61" t="s">
        <v>48</v>
      </c>
      <c r="C973">
        <v>806</v>
      </c>
      <c r="D973" s="57" t="s">
        <v>352</v>
      </c>
      <c r="E973" s="67">
        <v>45402</v>
      </c>
      <c r="F973" s="62">
        <v>1620</v>
      </c>
      <c r="G973" s="62">
        <v>1590</v>
      </c>
      <c r="H973" s="62">
        <v>1590</v>
      </c>
      <c r="I973" s="60">
        <f t="shared" si="60"/>
        <v>1.9727047146401986</v>
      </c>
      <c r="J973" s="60">
        <f t="shared" si="61"/>
        <v>0</v>
      </c>
      <c r="K973" s="60">
        <f t="shared" si="62"/>
        <v>1.9727047146401986</v>
      </c>
      <c r="L973" s="60">
        <f t="shared" si="63"/>
        <v>0</v>
      </c>
    </row>
    <row r="974" spans="1:12" x14ac:dyDescent="0.25">
      <c r="A974" s="61">
        <v>2212</v>
      </c>
      <c r="B974" s="61" t="s">
        <v>57</v>
      </c>
      <c r="C974">
        <v>700</v>
      </c>
      <c r="D974" s="57" t="s">
        <v>352</v>
      </c>
      <c r="E974" s="67">
        <v>45402</v>
      </c>
      <c r="F974" s="62">
        <v>1560</v>
      </c>
      <c r="G974" s="62">
        <v>1555</v>
      </c>
      <c r="H974" s="62">
        <v>1555</v>
      </c>
      <c r="I974" s="60">
        <f t="shared" si="60"/>
        <v>2.2214285714285715</v>
      </c>
      <c r="J974" s="60">
        <f t="shared" si="61"/>
        <v>0</v>
      </c>
      <c r="K974" s="60">
        <f t="shared" si="62"/>
        <v>2.2214285714285715</v>
      </c>
      <c r="L974" s="60">
        <f t="shared" si="63"/>
        <v>0</v>
      </c>
    </row>
    <row r="975" spans="1:12" x14ac:dyDescent="0.25">
      <c r="A975" s="61">
        <v>2350</v>
      </c>
      <c r="B975" s="61" t="s">
        <v>86</v>
      </c>
      <c r="C975">
        <v>810</v>
      </c>
      <c r="D975" s="57" t="s">
        <v>352</v>
      </c>
      <c r="E975" s="67">
        <v>45400</v>
      </c>
      <c r="F975" s="62">
        <v>1555</v>
      </c>
      <c r="G975" s="62">
        <v>1555</v>
      </c>
      <c r="H975" s="62">
        <v>1555</v>
      </c>
      <c r="I975" s="60">
        <f t="shared" si="60"/>
        <v>1.9197530864197532</v>
      </c>
      <c r="J975" s="60">
        <f t="shared" si="61"/>
        <v>0</v>
      </c>
      <c r="K975" s="60">
        <f t="shared" si="62"/>
        <v>1.9197530864197532</v>
      </c>
      <c r="L975" s="60">
        <f t="shared" si="63"/>
        <v>0</v>
      </c>
    </row>
    <row r="976" spans="1:12" x14ac:dyDescent="0.25">
      <c r="A976" s="61">
        <v>2328</v>
      </c>
      <c r="B976" s="61" t="s">
        <v>74</v>
      </c>
      <c r="C976">
        <v>1169</v>
      </c>
      <c r="D976" s="57" t="s">
        <v>49</v>
      </c>
      <c r="E976" s="67">
        <v>45398</v>
      </c>
      <c r="F976" s="62">
        <v>2195</v>
      </c>
      <c r="G976" s="62">
        <v>1860</v>
      </c>
      <c r="H976" s="62">
        <v>1820</v>
      </c>
      <c r="I976" s="60">
        <f t="shared" si="60"/>
        <v>1.5911035072711719</v>
      </c>
      <c r="J976" s="60">
        <f t="shared" si="61"/>
        <v>-40</v>
      </c>
      <c r="K976" s="60">
        <f t="shared" si="62"/>
        <v>1.5568862275449102</v>
      </c>
      <c r="L976" s="60">
        <f t="shared" si="63"/>
        <v>-3.4217279726261651E-2</v>
      </c>
    </row>
    <row r="977" spans="1:12" x14ac:dyDescent="0.25">
      <c r="A977" s="61">
        <v>2322</v>
      </c>
      <c r="B977" s="61" t="s">
        <v>86</v>
      </c>
      <c r="C977">
        <v>810</v>
      </c>
      <c r="D977" s="57" t="s">
        <v>49</v>
      </c>
      <c r="E977" s="67">
        <v>45399</v>
      </c>
      <c r="F977" s="62">
        <v>1600</v>
      </c>
      <c r="G977" s="62">
        <v>1535</v>
      </c>
      <c r="H977" s="62">
        <v>1588</v>
      </c>
      <c r="I977" s="60">
        <f t="shared" si="60"/>
        <v>1.8950617283950617</v>
      </c>
      <c r="J977" s="60">
        <f t="shared" si="61"/>
        <v>53</v>
      </c>
      <c r="K977" s="60">
        <f t="shared" si="62"/>
        <v>1.9604938271604939</v>
      </c>
      <c r="L977" s="60">
        <f t="shared" si="63"/>
        <v>6.5432098765432212E-2</v>
      </c>
    </row>
    <row r="978" spans="1:12" x14ac:dyDescent="0.25">
      <c r="A978" s="61">
        <v>4211</v>
      </c>
      <c r="B978" s="61" t="s">
        <v>59</v>
      </c>
      <c r="C978">
        <v>1115</v>
      </c>
      <c r="D978" s="57" t="s">
        <v>49</v>
      </c>
      <c r="E978" s="67">
        <v>45401</v>
      </c>
      <c r="F978" s="62">
        <v>2135</v>
      </c>
      <c r="G978" s="62">
        <v>1980</v>
      </c>
      <c r="H978" s="62">
        <v>1815</v>
      </c>
      <c r="I978" s="60">
        <f t="shared" si="60"/>
        <v>1.7757847533632287</v>
      </c>
      <c r="J978" s="60">
        <f t="shared" si="61"/>
        <v>-165</v>
      </c>
      <c r="K978" s="60">
        <f t="shared" si="62"/>
        <v>1.6278026905829597</v>
      </c>
      <c r="L978" s="60">
        <f t="shared" si="63"/>
        <v>-0.14798206278026904</v>
      </c>
    </row>
    <row r="979" spans="1:12" x14ac:dyDescent="0.25">
      <c r="A979" s="61">
        <v>1101</v>
      </c>
      <c r="B979" s="61" t="s">
        <v>137</v>
      </c>
      <c r="C979">
        <v>1700</v>
      </c>
      <c r="D979" s="57" t="s">
        <v>49</v>
      </c>
      <c r="E979" s="67">
        <v>45408</v>
      </c>
      <c r="F979" s="62">
        <v>2995</v>
      </c>
      <c r="G979" s="62">
        <v>2824</v>
      </c>
      <c r="H979" s="62">
        <v>2813</v>
      </c>
      <c r="I979" s="60">
        <f t="shared" si="60"/>
        <v>1.6611764705882353</v>
      </c>
      <c r="J979" s="60">
        <f t="shared" si="61"/>
        <v>-11</v>
      </c>
      <c r="K979" s="60">
        <f t="shared" si="62"/>
        <v>1.6547058823529412</v>
      </c>
      <c r="L979" s="60">
        <f t="shared" si="63"/>
        <v>-6.4705882352940058E-3</v>
      </c>
    </row>
    <row r="980" spans="1:12" x14ac:dyDescent="0.25">
      <c r="A980" s="61">
        <v>2362</v>
      </c>
      <c r="B980" s="61" t="s">
        <v>74</v>
      </c>
      <c r="C980">
        <v>1169</v>
      </c>
      <c r="D980" s="57" t="s">
        <v>352</v>
      </c>
      <c r="E980" s="67">
        <v>45406</v>
      </c>
      <c r="F980" s="62">
        <v>2240</v>
      </c>
      <c r="G980" s="62">
        <v>2360</v>
      </c>
      <c r="H980" s="62">
        <v>2360</v>
      </c>
      <c r="I980" s="60">
        <f t="shared" si="60"/>
        <v>2.0188195038494441</v>
      </c>
      <c r="J980" s="60">
        <f t="shared" si="61"/>
        <v>0</v>
      </c>
      <c r="K980" s="60">
        <f t="shared" si="62"/>
        <v>2.0188195038494441</v>
      </c>
      <c r="L980" s="60">
        <f t="shared" si="63"/>
        <v>0</v>
      </c>
    </row>
    <row r="981" spans="1:12" x14ac:dyDescent="0.25">
      <c r="A981" s="61">
        <v>2349</v>
      </c>
      <c r="B981" s="61" t="s">
        <v>86</v>
      </c>
      <c r="C981">
        <v>810</v>
      </c>
      <c r="D981" s="57" t="s">
        <v>352</v>
      </c>
      <c r="E981" s="67">
        <v>45383</v>
      </c>
      <c r="F981" s="62">
        <v>1555</v>
      </c>
      <c r="G981" s="62">
        <v>1580</v>
      </c>
      <c r="H981" s="62">
        <v>1975</v>
      </c>
      <c r="I981" s="60">
        <f t="shared" si="60"/>
        <v>1.9506172839506173</v>
      </c>
      <c r="J981" s="60">
        <f t="shared" si="61"/>
        <v>395</v>
      </c>
      <c r="K981" s="60">
        <f t="shared" si="62"/>
        <v>2.4382716049382718</v>
      </c>
      <c r="L981" s="60">
        <f t="shared" si="63"/>
        <v>0.48765432098765449</v>
      </c>
    </row>
    <row r="982" spans="1:12" x14ac:dyDescent="0.25">
      <c r="A982" s="61">
        <v>2102</v>
      </c>
      <c r="B982" s="61" t="s">
        <v>86</v>
      </c>
      <c r="C982">
        <v>810</v>
      </c>
      <c r="D982" s="57" t="s">
        <v>352</v>
      </c>
      <c r="E982" s="67">
        <v>45413</v>
      </c>
      <c r="F982" s="62">
        <v>1600</v>
      </c>
      <c r="G982" s="62">
        <v>1570</v>
      </c>
      <c r="H982" s="62">
        <v>1650</v>
      </c>
      <c r="I982" s="60">
        <f t="shared" si="60"/>
        <v>1.9382716049382716</v>
      </c>
      <c r="J982" s="60">
        <f t="shared" si="61"/>
        <v>80</v>
      </c>
      <c r="K982" s="60">
        <f t="shared" si="62"/>
        <v>2.0370370370370372</v>
      </c>
      <c r="L982" s="60">
        <f t="shared" si="63"/>
        <v>9.8765432098765649E-2</v>
      </c>
    </row>
    <row r="983" spans="1:12" x14ac:dyDescent="0.25">
      <c r="A983" s="61">
        <v>2134</v>
      </c>
      <c r="B983" s="61" t="s">
        <v>86</v>
      </c>
      <c r="C983">
        <v>810</v>
      </c>
      <c r="D983" s="57" t="s">
        <v>352</v>
      </c>
      <c r="E983" s="67">
        <v>45413</v>
      </c>
      <c r="F983" s="62">
        <v>1580</v>
      </c>
      <c r="G983" s="62">
        <v>1580</v>
      </c>
      <c r="H983" s="62">
        <v>1698</v>
      </c>
      <c r="I983" s="60">
        <f t="shared" si="60"/>
        <v>1.9506172839506173</v>
      </c>
      <c r="J983" s="60">
        <f t="shared" si="61"/>
        <v>118</v>
      </c>
      <c r="K983" s="60">
        <f t="shared" si="62"/>
        <v>2.0962962962962961</v>
      </c>
      <c r="L983" s="60">
        <f t="shared" si="63"/>
        <v>0.14567901234567882</v>
      </c>
    </row>
    <row r="984" spans="1:12" x14ac:dyDescent="0.25">
      <c r="A984" s="61">
        <v>5214</v>
      </c>
      <c r="B984" s="61" t="s">
        <v>145</v>
      </c>
      <c r="C984">
        <v>1115</v>
      </c>
      <c r="D984" s="57" t="s">
        <v>49</v>
      </c>
      <c r="E984" s="67">
        <v>45413</v>
      </c>
      <c r="F984" s="62">
        <v>2180</v>
      </c>
      <c r="G984" s="62">
        <v>1780</v>
      </c>
      <c r="H984" s="62">
        <v>1830</v>
      </c>
      <c r="I984" s="60">
        <f t="shared" si="60"/>
        <v>1.5964125560538116</v>
      </c>
      <c r="J984" s="60">
        <f t="shared" si="61"/>
        <v>50</v>
      </c>
      <c r="K984" s="60">
        <f t="shared" si="62"/>
        <v>1.641255605381166</v>
      </c>
      <c r="L984" s="60">
        <f t="shared" si="63"/>
        <v>4.484304932735439E-2</v>
      </c>
    </row>
    <row r="985" spans="1:12" x14ac:dyDescent="0.25">
      <c r="A985" s="61">
        <v>2156</v>
      </c>
      <c r="B985" s="61" t="s">
        <v>86</v>
      </c>
      <c r="C985">
        <v>810</v>
      </c>
      <c r="D985" s="57" t="s">
        <v>49</v>
      </c>
      <c r="E985" s="67">
        <v>45418</v>
      </c>
      <c r="F985" s="62">
        <v>1580</v>
      </c>
      <c r="G985" s="62">
        <v>1500</v>
      </c>
      <c r="H985" s="62">
        <v>1700</v>
      </c>
      <c r="I985" s="60">
        <f t="shared" si="60"/>
        <v>1.8518518518518519</v>
      </c>
      <c r="J985" s="60">
        <f t="shared" si="61"/>
        <v>200</v>
      </c>
      <c r="K985" s="60">
        <f t="shared" si="62"/>
        <v>2.0987654320987654</v>
      </c>
      <c r="L985" s="60">
        <f t="shared" si="63"/>
        <v>0.24691358024691357</v>
      </c>
    </row>
    <row r="986" spans="1:12" x14ac:dyDescent="0.25">
      <c r="A986" s="61">
        <v>4313</v>
      </c>
      <c r="B986" s="61" t="s">
        <v>145</v>
      </c>
      <c r="C986">
        <v>1115</v>
      </c>
      <c r="D986" s="57" t="s">
        <v>49</v>
      </c>
      <c r="E986" s="67">
        <v>45413</v>
      </c>
      <c r="F986" s="62">
        <v>2180</v>
      </c>
      <c r="G986" s="62">
        <v>1980</v>
      </c>
      <c r="H986" s="62">
        <v>1835</v>
      </c>
      <c r="I986" s="60">
        <f t="shared" si="60"/>
        <v>1.7757847533632287</v>
      </c>
      <c r="J986" s="60">
        <f t="shared" si="61"/>
        <v>-145</v>
      </c>
      <c r="K986" s="60">
        <f t="shared" si="62"/>
        <v>1.6457399103139014</v>
      </c>
      <c r="L986" s="60">
        <f t="shared" si="63"/>
        <v>-0.13004484304932729</v>
      </c>
    </row>
    <row r="987" spans="1:12" x14ac:dyDescent="0.25">
      <c r="A987" s="61">
        <v>2144</v>
      </c>
      <c r="B987" s="61" t="s">
        <v>57</v>
      </c>
      <c r="C987">
        <v>700</v>
      </c>
      <c r="D987" s="57" t="s">
        <v>49</v>
      </c>
      <c r="E987" s="67">
        <v>45419</v>
      </c>
      <c r="F987" s="62">
        <v>1515</v>
      </c>
      <c r="G987" s="62">
        <v>1480</v>
      </c>
      <c r="H987" s="62">
        <v>1505</v>
      </c>
      <c r="I987" s="60">
        <f t="shared" si="60"/>
        <v>2.1142857142857143</v>
      </c>
      <c r="J987" s="60">
        <f t="shared" si="61"/>
        <v>25</v>
      </c>
      <c r="K987" s="60">
        <f t="shared" si="62"/>
        <v>2.15</v>
      </c>
      <c r="L987" s="60">
        <f t="shared" si="63"/>
        <v>3.5714285714285587E-2</v>
      </c>
    </row>
    <row r="988" spans="1:12" x14ac:dyDescent="0.25">
      <c r="A988" s="61">
        <v>2164</v>
      </c>
      <c r="B988" s="61" t="s">
        <v>48</v>
      </c>
      <c r="C988">
        <v>806</v>
      </c>
      <c r="D988" s="57" t="s">
        <v>49</v>
      </c>
      <c r="E988" s="67">
        <v>45422</v>
      </c>
      <c r="F988" s="62">
        <v>1620</v>
      </c>
      <c r="G988" s="62">
        <v>1485</v>
      </c>
      <c r="H988" s="62">
        <v>1690</v>
      </c>
      <c r="I988" s="60">
        <f t="shared" si="60"/>
        <v>1.8424317617866004</v>
      </c>
      <c r="J988" s="60">
        <f t="shared" si="61"/>
        <v>205</v>
      </c>
      <c r="K988" s="60">
        <f t="shared" si="62"/>
        <v>2.096774193548387</v>
      </c>
      <c r="L988" s="60">
        <f t="shared" si="63"/>
        <v>0.25434243176178661</v>
      </c>
    </row>
    <row r="989" spans="1:12" x14ac:dyDescent="0.25">
      <c r="A989" s="61">
        <v>2246</v>
      </c>
      <c r="B989" s="61" t="s">
        <v>74</v>
      </c>
      <c r="C989">
        <v>1169</v>
      </c>
      <c r="D989" s="57" t="s">
        <v>49</v>
      </c>
      <c r="E989" s="67">
        <v>45422</v>
      </c>
      <c r="F989" s="62">
        <v>2220</v>
      </c>
      <c r="G989" s="62">
        <v>2247</v>
      </c>
      <c r="H989" s="62">
        <v>1815</v>
      </c>
      <c r="I989" s="60">
        <f t="shared" si="60"/>
        <v>1.9221556886227544</v>
      </c>
      <c r="J989" s="60">
        <f t="shared" si="61"/>
        <v>-432</v>
      </c>
      <c r="K989" s="60">
        <f t="shared" si="62"/>
        <v>1.5526090675791275</v>
      </c>
      <c r="L989" s="60">
        <f t="shared" si="63"/>
        <v>-0.3695466210436269</v>
      </c>
    </row>
    <row r="990" spans="1:12" x14ac:dyDescent="0.25">
      <c r="A990" s="61">
        <v>4210</v>
      </c>
      <c r="B990" s="61" t="s">
        <v>59</v>
      </c>
      <c r="C990">
        <v>1115</v>
      </c>
      <c r="D990" s="57" t="s">
        <v>49</v>
      </c>
      <c r="E990" s="67">
        <v>45425</v>
      </c>
      <c r="F990" s="62">
        <v>2135</v>
      </c>
      <c r="G990" s="62">
        <v>1955</v>
      </c>
      <c r="H990" s="62">
        <v>1745</v>
      </c>
      <c r="I990" s="60">
        <f t="shared" si="60"/>
        <v>1.7533632286995515</v>
      </c>
      <c r="J990" s="60">
        <f t="shared" si="61"/>
        <v>-210</v>
      </c>
      <c r="K990" s="60">
        <f t="shared" si="62"/>
        <v>1.5650224215246638</v>
      </c>
      <c r="L990" s="60">
        <f t="shared" si="63"/>
        <v>-0.18834080717488777</v>
      </c>
    </row>
    <row r="991" spans="1:12" x14ac:dyDescent="0.25">
      <c r="A991" s="61">
        <v>5314</v>
      </c>
      <c r="B991" s="61" t="s">
        <v>145</v>
      </c>
      <c r="C991">
        <v>1146</v>
      </c>
      <c r="D991" s="57" t="s">
        <v>49</v>
      </c>
      <c r="E991" s="67">
        <v>45425</v>
      </c>
      <c r="F991" s="62">
        <v>2180</v>
      </c>
      <c r="G991" s="62">
        <v>2041</v>
      </c>
      <c r="H991" s="62">
        <v>2035</v>
      </c>
      <c r="I991" s="60">
        <f t="shared" si="60"/>
        <v>1.7809773123909249</v>
      </c>
      <c r="J991" s="60">
        <f t="shared" si="61"/>
        <v>-6</v>
      </c>
      <c r="K991" s="60">
        <f t="shared" si="62"/>
        <v>1.7757417102966842</v>
      </c>
      <c r="L991" s="60">
        <f t="shared" si="63"/>
        <v>-5.2356020942407877E-3</v>
      </c>
    </row>
    <row r="992" spans="1:12" x14ac:dyDescent="0.25">
      <c r="A992" s="61">
        <v>2158</v>
      </c>
      <c r="B992" s="61" t="s">
        <v>82</v>
      </c>
      <c r="C992">
        <v>1112</v>
      </c>
      <c r="D992" s="57" t="s">
        <v>49</v>
      </c>
      <c r="E992" s="67">
        <v>45432</v>
      </c>
      <c r="F992" s="62">
        <v>2125</v>
      </c>
      <c r="G992" s="62">
        <v>2044</v>
      </c>
      <c r="H992" s="62">
        <v>1830</v>
      </c>
      <c r="I992" s="60">
        <f t="shared" si="60"/>
        <v>1.8381294964028776</v>
      </c>
      <c r="J992" s="60">
        <f t="shared" si="61"/>
        <v>-214</v>
      </c>
      <c r="K992" s="60">
        <f t="shared" si="62"/>
        <v>1.6456834532374101</v>
      </c>
      <c r="L992" s="60">
        <f t="shared" si="63"/>
        <v>-0.19244604316546754</v>
      </c>
    </row>
    <row r="993" spans="1:12" x14ac:dyDescent="0.25">
      <c r="A993" s="61">
        <v>2335</v>
      </c>
      <c r="B993" s="61" t="s">
        <v>59</v>
      </c>
      <c r="C993">
        <v>1115</v>
      </c>
      <c r="D993" s="57" t="s">
        <v>49</v>
      </c>
      <c r="E993" s="67">
        <v>45432</v>
      </c>
      <c r="F993" s="62">
        <v>2135</v>
      </c>
      <c r="G993" s="62">
        <v>2051</v>
      </c>
      <c r="H993" s="62">
        <v>1765</v>
      </c>
      <c r="I993" s="60">
        <f t="shared" si="60"/>
        <v>1.8394618834080718</v>
      </c>
      <c r="J993" s="60">
        <f t="shared" si="61"/>
        <v>-286</v>
      </c>
      <c r="K993" s="60">
        <f t="shared" si="62"/>
        <v>1.5829596412556053</v>
      </c>
      <c r="L993" s="60">
        <f t="shared" si="63"/>
        <v>-0.25650224215246653</v>
      </c>
    </row>
    <row r="994" spans="1:12" x14ac:dyDescent="0.25">
      <c r="A994" s="61">
        <v>2360</v>
      </c>
      <c r="B994" s="61" t="s">
        <v>74</v>
      </c>
      <c r="C994">
        <v>1169</v>
      </c>
      <c r="D994" s="57" t="s">
        <v>49</v>
      </c>
      <c r="E994" s="67">
        <v>45433</v>
      </c>
      <c r="F994" s="62">
        <v>2240</v>
      </c>
      <c r="G994" s="62">
        <v>2097</v>
      </c>
      <c r="H994" s="62">
        <v>2050</v>
      </c>
      <c r="I994" s="60">
        <f t="shared" si="60"/>
        <v>1.7938408896492728</v>
      </c>
      <c r="J994" s="60">
        <f t="shared" si="61"/>
        <v>-47</v>
      </c>
      <c r="K994" s="60">
        <f t="shared" si="62"/>
        <v>1.7536355859709154</v>
      </c>
      <c r="L994" s="60">
        <f t="shared" si="63"/>
        <v>-4.0205303678357396E-2</v>
      </c>
    </row>
    <row r="995" spans="1:12" x14ac:dyDescent="0.25">
      <c r="A995" s="61">
        <v>2231</v>
      </c>
      <c r="B995" s="61" t="s">
        <v>65</v>
      </c>
      <c r="C995">
        <v>813</v>
      </c>
      <c r="D995" s="57" t="s">
        <v>49</v>
      </c>
      <c r="E995" s="67">
        <v>45436</v>
      </c>
      <c r="F995" s="62">
        <v>1580</v>
      </c>
      <c r="G995" s="62">
        <v>1580</v>
      </c>
      <c r="H995" s="62">
        <v>1715</v>
      </c>
      <c r="I995" s="60">
        <f t="shared" si="60"/>
        <v>1.943419434194342</v>
      </c>
      <c r="J995" s="60">
        <f t="shared" si="61"/>
        <v>135</v>
      </c>
      <c r="K995" s="60">
        <f t="shared" si="62"/>
        <v>2.1094710947109472</v>
      </c>
      <c r="L995" s="60">
        <f t="shared" si="63"/>
        <v>0.16605166051660514</v>
      </c>
    </row>
    <row r="996" spans="1:12" x14ac:dyDescent="0.25">
      <c r="A996" s="61">
        <v>2235</v>
      </c>
      <c r="B996" s="61" t="s">
        <v>48</v>
      </c>
      <c r="C996">
        <v>806</v>
      </c>
      <c r="D996" s="57" t="s">
        <v>352</v>
      </c>
      <c r="E996" s="67">
        <v>45437</v>
      </c>
      <c r="F996" s="62">
        <v>1620</v>
      </c>
      <c r="G996" s="62">
        <v>1540</v>
      </c>
      <c r="H996" s="62">
        <v>1571</v>
      </c>
      <c r="I996" s="60">
        <f t="shared" si="60"/>
        <v>1.9106699751861043</v>
      </c>
      <c r="J996" s="60">
        <f t="shared" si="61"/>
        <v>31</v>
      </c>
      <c r="K996" s="60">
        <f t="shared" si="62"/>
        <v>1.9491315136476426</v>
      </c>
      <c r="L996" s="60">
        <f t="shared" si="63"/>
        <v>3.8461538461538325E-2</v>
      </c>
    </row>
    <row r="997" spans="1:12" x14ac:dyDescent="0.25">
      <c r="A997" s="61">
        <v>2357</v>
      </c>
      <c r="B997" s="61" t="s">
        <v>65</v>
      </c>
      <c r="C997">
        <v>813</v>
      </c>
      <c r="D997" s="57" t="s">
        <v>352</v>
      </c>
      <c r="E997" s="67">
        <v>45435</v>
      </c>
      <c r="F997" s="62">
        <v>1580</v>
      </c>
      <c r="G997" s="62">
        <v>1595</v>
      </c>
      <c r="H997" s="62">
        <v>1595</v>
      </c>
      <c r="I997" s="60">
        <f t="shared" si="60"/>
        <v>1.961869618696187</v>
      </c>
      <c r="J997" s="60">
        <f t="shared" si="61"/>
        <v>0</v>
      </c>
      <c r="K997" s="60">
        <f t="shared" si="62"/>
        <v>1.961869618696187</v>
      </c>
      <c r="L997" s="60">
        <f t="shared" si="63"/>
        <v>0</v>
      </c>
    </row>
    <row r="998" spans="1:12" x14ac:dyDescent="0.25">
      <c r="A998" s="61">
        <v>5108</v>
      </c>
      <c r="B998" s="61" t="s">
        <v>59</v>
      </c>
      <c r="C998">
        <v>1115</v>
      </c>
      <c r="D998" s="57" t="s">
        <v>352</v>
      </c>
      <c r="E998" s="67">
        <v>45434</v>
      </c>
      <c r="F998" s="62">
        <v>2165</v>
      </c>
      <c r="G998" s="62">
        <v>2097</v>
      </c>
      <c r="H998" s="62">
        <v>2097</v>
      </c>
      <c r="I998" s="60">
        <f t="shared" si="60"/>
        <v>1.8807174887892377</v>
      </c>
      <c r="J998" s="60">
        <f t="shared" si="61"/>
        <v>0</v>
      </c>
      <c r="K998" s="60">
        <f t="shared" si="62"/>
        <v>1.8807174887892377</v>
      </c>
      <c r="L998" s="60">
        <f t="shared" si="63"/>
        <v>0</v>
      </c>
    </row>
    <row r="999" spans="1:12" x14ac:dyDescent="0.25">
      <c r="A999" s="61">
        <v>2229</v>
      </c>
      <c r="B999" s="61" t="s">
        <v>57</v>
      </c>
      <c r="C999">
        <v>700</v>
      </c>
      <c r="D999" s="57" t="s">
        <v>49</v>
      </c>
      <c r="E999" s="67">
        <v>45440</v>
      </c>
      <c r="F999" s="62">
        <v>1515</v>
      </c>
      <c r="G999" s="62">
        <v>1592</v>
      </c>
      <c r="H999" s="62">
        <v>1495</v>
      </c>
      <c r="I999" s="60">
        <f t="shared" si="60"/>
        <v>2.2742857142857145</v>
      </c>
      <c r="J999" s="60">
        <f t="shared" si="61"/>
        <v>-97</v>
      </c>
      <c r="K999" s="60">
        <f t="shared" si="62"/>
        <v>2.1357142857142857</v>
      </c>
      <c r="L999" s="60">
        <f t="shared" si="63"/>
        <v>-0.13857142857142879</v>
      </c>
    </row>
    <row r="1000" spans="1:12" x14ac:dyDescent="0.25">
      <c r="A1000" s="61">
        <v>2255</v>
      </c>
      <c r="B1000" s="61" t="s">
        <v>65</v>
      </c>
      <c r="C1000">
        <v>813</v>
      </c>
      <c r="D1000" s="57" t="s">
        <v>49</v>
      </c>
      <c r="E1000" s="67">
        <v>45443</v>
      </c>
      <c r="F1000" s="62">
        <v>1580</v>
      </c>
      <c r="G1000" s="62">
        <v>1672</v>
      </c>
      <c r="H1000" s="62">
        <v>1775</v>
      </c>
      <c r="I1000" s="60">
        <f t="shared" si="60"/>
        <v>2.0565805658056582</v>
      </c>
      <c r="J1000" s="60">
        <f t="shared" si="61"/>
        <v>103</v>
      </c>
      <c r="K1000" s="60">
        <f t="shared" si="62"/>
        <v>2.1832718327183271</v>
      </c>
      <c r="L1000" s="60">
        <f t="shared" si="63"/>
        <v>0.12669126691266897</v>
      </c>
    </row>
    <row r="1001" spans="1:12" x14ac:dyDescent="0.25">
      <c r="A1001" s="61">
        <v>2324</v>
      </c>
      <c r="B1001" s="61" t="s">
        <v>82</v>
      </c>
      <c r="C1001">
        <v>1112</v>
      </c>
      <c r="D1001" s="57" t="s">
        <v>352</v>
      </c>
      <c r="E1001" s="67">
        <v>45446</v>
      </c>
      <c r="F1001" s="62">
        <v>2145</v>
      </c>
      <c r="G1001" s="62">
        <v>1880</v>
      </c>
      <c r="H1001" s="62">
        <v>1899</v>
      </c>
      <c r="I1001" s="60">
        <f t="shared" si="60"/>
        <v>1.6906474820143884</v>
      </c>
      <c r="J1001" s="60">
        <f t="shared" si="61"/>
        <v>19</v>
      </c>
      <c r="K1001" s="60">
        <f t="shared" si="62"/>
        <v>1.7077338129496402</v>
      </c>
      <c r="L1001" s="60">
        <f t="shared" si="63"/>
        <v>1.7086330935251803E-2</v>
      </c>
    </row>
    <row r="1002" spans="1:12" x14ac:dyDescent="0.25">
      <c r="A1002" s="61">
        <v>4110</v>
      </c>
      <c r="B1002" s="61" t="s">
        <v>59</v>
      </c>
      <c r="C1002">
        <v>1115</v>
      </c>
      <c r="D1002" s="57" t="s">
        <v>352</v>
      </c>
      <c r="E1002" s="67">
        <v>45442</v>
      </c>
      <c r="F1002" s="62">
        <v>2135</v>
      </c>
      <c r="G1002" s="62">
        <v>1980</v>
      </c>
      <c r="H1002" s="62">
        <v>2167</v>
      </c>
      <c r="I1002" s="60">
        <f t="shared" si="60"/>
        <v>1.7757847533632287</v>
      </c>
      <c r="J1002" s="60">
        <f t="shared" si="61"/>
        <v>187</v>
      </c>
      <c r="K1002" s="60">
        <f t="shared" si="62"/>
        <v>1.9434977578475336</v>
      </c>
      <c r="L1002" s="60">
        <f t="shared" si="63"/>
        <v>0.16771300448430493</v>
      </c>
    </row>
    <row r="1003" spans="1:12" x14ac:dyDescent="0.25">
      <c r="A1003" s="61">
        <v>4203</v>
      </c>
      <c r="B1003" s="61" t="s">
        <v>59</v>
      </c>
      <c r="C1003">
        <v>1115</v>
      </c>
      <c r="D1003" s="57" t="s">
        <v>352</v>
      </c>
      <c r="E1003" s="67">
        <v>45443</v>
      </c>
      <c r="F1003" s="62">
        <v>2165</v>
      </c>
      <c r="G1003" s="62">
        <v>1765</v>
      </c>
      <c r="H1003" s="62">
        <v>1910</v>
      </c>
      <c r="I1003" s="60">
        <f t="shared" si="60"/>
        <v>1.5829596412556053</v>
      </c>
      <c r="J1003" s="60">
        <f t="shared" si="61"/>
        <v>145</v>
      </c>
      <c r="K1003" s="60">
        <f t="shared" si="62"/>
        <v>1.7130044843049328</v>
      </c>
      <c r="L1003" s="60">
        <f t="shared" si="63"/>
        <v>0.13004484304932751</v>
      </c>
    </row>
    <row r="1004" spans="1:12" x14ac:dyDescent="0.25">
      <c r="A1004" s="61">
        <v>4213</v>
      </c>
      <c r="B1004" s="61" t="s">
        <v>145</v>
      </c>
      <c r="C1004">
        <v>1146</v>
      </c>
      <c r="D1004" s="57" t="s">
        <v>352</v>
      </c>
      <c r="E1004" s="67">
        <v>45441</v>
      </c>
      <c r="F1004" s="62">
        <v>2180</v>
      </c>
      <c r="G1004" s="62">
        <v>1780</v>
      </c>
      <c r="H1004" s="62">
        <v>1943</v>
      </c>
      <c r="I1004" s="60">
        <f t="shared" si="60"/>
        <v>1.5532286212914486</v>
      </c>
      <c r="J1004" s="60">
        <f t="shared" si="61"/>
        <v>163</v>
      </c>
      <c r="K1004" s="60">
        <f t="shared" si="62"/>
        <v>1.6954624781849912</v>
      </c>
      <c r="L1004" s="60">
        <f t="shared" si="63"/>
        <v>0.14223385689354262</v>
      </c>
    </row>
    <row r="1005" spans="1:12" x14ac:dyDescent="0.25">
      <c r="A1005" s="61">
        <v>5208</v>
      </c>
      <c r="B1005" s="61" t="s">
        <v>59</v>
      </c>
      <c r="C1005">
        <v>1115</v>
      </c>
      <c r="D1005" s="57" t="s">
        <v>352</v>
      </c>
      <c r="E1005" s="67">
        <v>45448</v>
      </c>
      <c r="F1005" s="62">
        <v>2165</v>
      </c>
      <c r="G1005" s="62">
        <v>2015</v>
      </c>
      <c r="H1005" s="62">
        <v>2015</v>
      </c>
      <c r="I1005" s="60">
        <f t="shared" si="60"/>
        <v>1.8071748878923768</v>
      </c>
      <c r="J1005" s="60">
        <f t="shared" si="61"/>
        <v>0</v>
      </c>
      <c r="K1005" s="60">
        <f t="shared" si="62"/>
        <v>1.8071748878923768</v>
      </c>
      <c r="L1005" s="60">
        <f t="shared" si="63"/>
        <v>0</v>
      </c>
    </row>
    <row r="1006" spans="1:12" x14ac:dyDescent="0.25">
      <c r="A1006" s="61">
        <v>5203</v>
      </c>
      <c r="B1006" s="61" t="s">
        <v>59</v>
      </c>
      <c r="C1006">
        <v>1115</v>
      </c>
      <c r="D1006" s="57" t="s">
        <v>49</v>
      </c>
      <c r="E1006" s="67">
        <v>45453</v>
      </c>
      <c r="F1006" s="62">
        <v>2135</v>
      </c>
      <c r="G1006" s="62">
        <v>2063</v>
      </c>
      <c r="H1006" s="62">
        <v>1765</v>
      </c>
      <c r="I1006" s="60">
        <f t="shared" si="60"/>
        <v>1.8502242152466368</v>
      </c>
      <c r="J1006" s="60">
        <f t="shared" si="61"/>
        <v>-298</v>
      </c>
      <c r="K1006" s="60">
        <f t="shared" si="62"/>
        <v>1.5829596412556053</v>
      </c>
      <c r="L1006" s="60">
        <f t="shared" si="63"/>
        <v>-0.26726457399103154</v>
      </c>
    </row>
    <row r="1007" spans="1:12" x14ac:dyDescent="0.25">
      <c r="A1007" s="61">
        <v>2327</v>
      </c>
      <c r="B1007" s="61" t="s">
        <v>57</v>
      </c>
      <c r="C1007">
        <v>700</v>
      </c>
      <c r="D1007" s="57" t="s">
        <v>352</v>
      </c>
      <c r="E1007" s="67">
        <v>45460</v>
      </c>
      <c r="F1007" s="62">
        <v>1515</v>
      </c>
      <c r="G1007" s="62">
        <v>1435</v>
      </c>
      <c r="H1007" s="62">
        <v>1492</v>
      </c>
      <c r="I1007" s="60">
        <f t="shared" si="60"/>
        <v>2.0499999999999998</v>
      </c>
      <c r="J1007" s="60">
        <f t="shared" si="61"/>
        <v>57</v>
      </c>
      <c r="K1007" s="60">
        <f t="shared" si="62"/>
        <v>2.1314285714285712</v>
      </c>
      <c r="L1007" s="60">
        <f t="shared" si="63"/>
        <v>8.1428571428571406E-2</v>
      </c>
    </row>
    <row r="1008" spans="1:12" x14ac:dyDescent="0.25">
      <c r="A1008" s="61">
        <v>5206</v>
      </c>
      <c r="B1008" s="61" t="s">
        <v>59</v>
      </c>
      <c r="C1008">
        <v>1115</v>
      </c>
      <c r="D1008" s="57" t="s">
        <v>49</v>
      </c>
      <c r="E1008" s="67">
        <v>45454</v>
      </c>
      <c r="F1008" s="62">
        <v>2165</v>
      </c>
      <c r="G1008" s="62">
        <v>2030</v>
      </c>
      <c r="H1008" s="62">
        <v>1865</v>
      </c>
      <c r="I1008" s="60">
        <f t="shared" si="60"/>
        <v>1.8206278026905829</v>
      </c>
      <c r="J1008" s="60">
        <f t="shared" si="61"/>
        <v>-165</v>
      </c>
      <c r="K1008" s="60">
        <f t="shared" si="62"/>
        <v>1.6726457399103138</v>
      </c>
      <c r="L1008" s="60">
        <f t="shared" si="63"/>
        <v>-0.14798206278026904</v>
      </c>
    </row>
    <row r="1009" spans="1:12" x14ac:dyDescent="0.25">
      <c r="A1009" s="61">
        <v>5110</v>
      </c>
      <c r="B1009" s="61" t="s">
        <v>153</v>
      </c>
      <c r="C1009">
        <v>694</v>
      </c>
      <c r="D1009" s="57" t="s">
        <v>352</v>
      </c>
      <c r="E1009" s="67">
        <v>45452</v>
      </c>
      <c r="F1009" s="62">
        <v>1480</v>
      </c>
      <c r="G1009" s="62">
        <v>1473</v>
      </c>
      <c r="H1009" s="62">
        <v>1525</v>
      </c>
      <c r="I1009" s="60">
        <f t="shared" si="60"/>
        <v>2.1224783861671468</v>
      </c>
      <c r="J1009" s="60">
        <f t="shared" si="61"/>
        <v>52</v>
      </c>
      <c r="K1009" s="60">
        <f t="shared" si="62"/>
        <v>2.1974063400576367</v>
      </c>
      <c r="L1009" s="60">
        <f t="shared" si="63"/>
        <v>7.4927953890489896E-2</v>
      </c>
    </row>
    <row r="1010" spans="1:12" x14ac:dyDescent="0.25">
      <c r="A1010" s="61">
        <v>2351</v>
      </c>
      <c r="B1010" s="61" t="s">
        <v>51</v>
      </c>
      <c r="C1010">
        <v>848</v>
      </c>
      <c r="D1010" s="57" t="s">
        <v>352</v>
      </c>
      <c r="E1010" s="67">
        <v>45456</v>
      </c>
      <c r="F1010" s="62">
        <v>1735</v>
      </c>
      <c r="G1010" s="62">
        <v>1565</v>
      </c>
      <c r="H1010" s="62">
        <v>1622</v>
      </c>
      <c r="I1010" s="60">
        <f t="shared" si="60"/>
        <v>1.8455188679245282</v>
      </c>
      <c r="J1010" s="60">
        <f t="shared" si="61"/>
        <v>57</v>
      </c>
      <c r="K1010" s="60">
        <f t="shared" si="62"/>
        <v>1.9127358490566038</v>
      </c>
      <c r="L1010" s="60">
        <f t="shared" si="63"/>
        <v>6.7216981132075526E-2</v>
      </c>
    </row>
    <row r="1011" spans="1:12" x14ac:dyDescent="0.25">
      <c r="A1011" s="61">
        <v>5205</v>
      </c>
      <c r="B1011" s="61" t="s">
        <v>57</v>
      </c>
      <c r="C1011">
        <v>700</v>
      </c>
      <c r="D1011" s="57" t="s">
        <v>352</v>
      </c>
      <c r="E1011" s="67">
        <v>45458</v>
      </c>
      <c r="F1011" s="62">
        <v>1515</v>
      </c>
      <c r="G1011" s="62">
        <v>1435</v>
      </c>
      <c r="H1011" s="62">
        <v>1497</v>
      </c>
      <c r="I1011" s="60">
        <f t="shared" si="60"/>
        <v>2.0499999999999998</v>
      </c>
      <c r="J1011" s="60">
        <f t="shared" si="61"/>
        <v>62</v>
      </c>
      <c r="K1011" s="60">
        <f t="shared" si="62"/>
        <v>2.1385714285714288</v>
      </c>
      <c r="L1011" s="60">
        <f t="shared" si="63"/>
        <v>8.8571428571428967E-2</v>
      </c>
    </row>
    <row r="1012" spans="1:12" x14ac:dyDescent="0.25">
      <c r="A1012" s="61">
        <v>5310</v>
      </c>
      <c r="B1012" s="61" t="s">
        <v>153</v>
      </c>
      <c r="C1012">
        <v>700</v>
      </c>
      <c r="D1012" s="57" t="s">
        <v>49</v>
      </c>
      <c r="E1012" s="67">
        <v>45463</v>
      </c>
      <c r="F1012" s="62">
        <v>1480</v>
      </c>
      <c r="G1012" s="62">
        <v>1460</v>
      </c>
      <c r="H1012" s="62">
        <v>1655</v>
      </c>
      <c r="I1012" s="60">
        <f t="shared" si="60"/>
        <v>2.0857142857142859</v>
      </c>
      <c r="J1012" s="60">
        <f t="shared" si="61"/>
        <v>195</v>
      </c>
      <c r="K1012" s="60">
        <f t="shared" si="62"/>
        <v>2.3642857142857143</v>
      </c>
      <c r="L1012" s="60">
        <f t="shared" si="63"/>
        <v>0.27857142857142847</v>
      </c>
    </row>
    <row r="1013" spans="1:12" x14ac:dyDescent="0.25">
      <c r="A1013" s="61">
        <v>2304</v>
      </c>
      <c r="B1013" s="61" t="s">
        <v>86</v>
      </c>
      <c r="C1013">
        <v>810</v>
      </c>
      <c r="D1013" s="57" t="s">
        <v>49</v>
      </c>
      <c r="E1013" s="67">
        <v>45461</v>
      </c>
      <c r="F1013" s="62">
        <v>1555</v>
      </c>
      <c r="G1013" s="62">
        <v>1575</v>
      </c>
      <c r="H1013" s="62">
        <v>1675</v>
      </c>
      <c r="I1013" s="60">
        <f t="shared" si="60"/>
        <v>1.9444444444444444</v>
      </c>
      <c r="J1013" s="60">
        <f t="shared" si="61"/>
        <v>100</v>
      </c>
      <c r="K1013" s="60">
        <f t="shared" si="62"/>
        <v>2.0679012345679011</v>
      </c>
      <c r="L1013" s="60">
        <f t="shared" si="63"/>
        <v>0.12345679012345667</v>
      </c>
    </row>
    <row r="1014" spans="1:12" x14ac:dyDescent="0.25">
      <c r="A1014" s="61">
        <v>2112</v>
      </c>
      <c r="B1014" s="61" t="s">
        <v>57</v>
      </c>
      <c r="C1014">
        <v>700</v>
      </c>
      <c r="D1014" s="57" t="s">
        <v>352</v>
      </c>
      <c r="E1014" s="67">
        <v>45464</v>
      </c>
      <c r="F1014" s="62">
        <v>1560</v>
      </c>
      <c r="G1014" s="62">
        <v>1580</v>
      </c>
      <c r="H1014" s="62">
        <v>1661</v>
      </c>
      <c r="I1014" s="60">
        <f t="shared" si="60"/>
        <v>2.2571428571428571</v>
      </c>
      <c r="J1014" s="60">
        <f t="shared" si="61"/>
        <v>81</v>
      </c>
      <c r="K1014" s="60">
        <f t="shared" si="62"/>
        <v>2.3728571428571428</v>
      </c>
      <c r="L1014" s="60">
        <f t="shared" si="63"/>
        <v>0.11571428571428566</v>
      </c>
    </row>
    <row r="1015" spans="1:12" x14ac:dyDescent="0.25">
      <c r="A1015" s="61">
        <v>2118</v>
      </c>
      <c r="B1015" s="61" t="s">
        <v>355</v>
      </c>
      <c r="C1015">
        <v>810</v>
      </c>
      <c r="D1015" s="57" t="s">
        <v>352</v>
      </c>
      <c r="E1015" s="67">
        <v>45466</v>
      </c>
      <c r="F1015" s="62">
        <v>1505</v>
      </c>
      <c r="G1015" s="62">
        <v>1450</v>
      </c>
      <c r="H1015" s="62">
        <v>1499</v>
      </c>
      <c r="I1015" s="60">
        <f t="shared" si="60"/>
        <v>1.7901234567901234</v>
      </c>
      <c r="J1015" s="60">
        <f t="shared" si="61"/>
        <v>49</v>
      </c>
      <c r="K1015" s="60">
        <f t="shared" si="62"/>
        <v>1.8506172839506172</v>
      </c>
      <c r="L1015" s="60">
        <f t="shared" si="63"/>
        <v>6.0493827160493785E-2</v>
      </c>
    </row>
    <row r="1016" spans="1:12" x14ac:dyDescent="0.25">
      <c r="A1016" s="61">
        <v>2123</v>
      </c>
      <c r="B1016" s="61" t="s">
        <v>65</v>
      </c>
      <c r="C1016">
        <v>813</v>
      </c>
      <c r="D1016" s="57" t="s">
        <v>352</v>
      </c>
      <c r="E1016" s="67">
        <v>45465</v>
      </c>
      <c r="F1016" s="62">
        <v>1580</v>
      </c>
      <c r="G1016" s="62">
        <v>1575</v>
      </c>
      <c r="H1016" s="62">
        <v>1969</v>
      </c>
      <c r="I1016" s="60">
        <f t="shared" si="60"/>
        <v>1.9372693726937269</v>
      </c>
      <c r="J1016" s="60">
        <f t="shared" si="61"/>
        <v>394</v>
      </c>
      <c r="K1016" s="60">
        <f t="shared" si="62"/>
        <v>2.4218942189421893</v>
      </c>
      <c r="L1016" s="60">
        <f t="shared" si="63"/>
        <v>0.48462484624846236</v>
      </c>
    </row>
    <row r="1017" spans="1:12" x14ac:dyDescent="0.25">
      <c r="A1017" s="61">
        <v>2341</v>
      </c>
      <c r="B1017" s="61" t="s">
        <v>86</v>
      </c>
      <c r="C1017">
        <v>810</v>
      </c>
      <c r="D1017" s="57" t="s">
        <v>352</v>
      </c>
      <c r="E1017" s="67">
        <v>45464</v>
      </c>
      <c r="F1017" s="62">
        <v>1555</v>
      </c>
      <c r="G1017" s="62">
        <v>1589</v>
      </c>
      <c r="H1017" s="62">
        <v>1652</v>
      </c>
      <c r="I1017" s="60">
        <f t="shared" si="60"/>
        <v>1.9617283950617284</v>
      </c>
      <c r="J1017" s="60">
        <f t="shared" si="61"/>
        <v>63</v>
      </c>
      <c r="K1017" s="60">
        <f t="shared" si="62"/>
        <v>2.0395061728395061</v>
      </c>
      <c r="L1017" s="60">
        <f t="shared" si="63"/>
        <v>7.7777777777777724E-2</v>
      </c>
    </row>
    <row r="1018" spans="1:12" x14ac:dyDescent="0.25">
      <c r="A1018" s="61">
        <v>4308</v>
      </c>
      <c r="B1018" s="61" t="s">
        <v>57</v>
      </c>
      <c r="C1018">
        <v>700</v>
      </c>
      <c r="D1018" s="57" t="s">
        <v>352</v>
      </c>
      <c r="E1018" s="67">
        <v>45466</v>
      </c>
      <c r="F1018" s="62">
        <v>1515</v>
      </c>
      <c r="G1018" s="62">
        <v>1448</v>
      </c>
      <c r="H1018" s="62">
        <v>1585</v>
      </c>
      <c r="I1018" s="60">
        <f t="shared" si="60"/>
        <v>2.0685714285714285</v>
      </c>
      <c r="J1018" s="60">
        <f t="shared" si="61"/>
        <v>137</v>
      </c>
      <c r="K1018" s="60">
        <f t="shared" si="62"/>
        <v>2.2642857142857142</v>
      </c>
      <c r="L1018" s="60">
        <f t="shared" si="63"/>
        <v>0.19571428571428573</v>
      </c>
    </row>
    <row r="1019" spans="1:12" x14ac:dyDescent="0.25">
      <c r="A1019" s="61">
        <v>2228</v>
      </c>
      <c r="B1019" s="61" t="s">
        <v>74</v>
      </c>
      <c r="C1019">
        <v>1169</v>
      </c>
      <c r="D1019" s="57" t="s">
        <v>352</v>
      </c>
      <c r="E1019" s="67">
        <v>45468</v>
      </c>
      <c r="F1019" s="62">
        <v>2195</v>
      </c>
      <c r="G1019" s="62">
        <v>1974</v>
      </c>
      <c r="H1019" s="62">
        <v>2108</v>
      </c>
      <c r="I1019" s="60">
        <f t="shared" si="60"/>
        <v>1.688622754491018</v>
      </c>
      <c r="J1019" s="60">
        <f t="shared" si="61"/>
        <v>134</v>
      </c>
      <c r="K1019" s="60">
        <f t="shared" si="62"/>
        <v>1.8032506415739948</v>
      </c>
      <c r="L1019" s="60">
        <f t="shared" si="63"/>
        <v>0.11462788708297689</v>
      </c>
    </row>
    <row r="1020" spans="1:12" x14ac:dyDescent="0.25">
      <c r="A1020" s="61">
        <v>2339</v>
      </c>
      <c r="B1020" s="61" t="s">
        <v>51</v>
      </c>
      <c r="C1020">
        <v>848</v>
      </c>
      <c r="D1020" s="57" t="s">
        <v>352</v>
      </c>
      <c r="E1020" s="67">
        <v>45472</v>
      </c>
      <c r="F1020" s="62">
        <v>1735</v>
      </c>
      <c r="G1020" s="62">
        <v>1676</v>
      </c>
      <c r="H1020" s="62">
        <v>1698</v>
      </c>
      <c r="I1020" s="60">
        <f t="shared" si="60"/>
        <v>1.9764150943396226</v>
      </c>
      <c r="J1020" s="60">
        <f t="shared" si="61"/>
        <v>22</v>
      </c>
      <c r="K1020" s="60">
        <f t="shared" si="62"/>
        <v>2.0023584905660377</v>
      </c>
      <c r="L1020" s="60">
        <f t="shared" si="63"/>
        <v>2.5943396226415061E-2</v>
      </c>
    </row>
    <row r="1021" spans="1:12" x14ac:dyDescent="0.25">
      <c r="A1021" s="61">
        <v>2160</v>
      </c>
      <c r="B1021" s="61" t="s">
        <v>74</v>
      </c>
      <c r="C1021">
        <v>1169</v>
      </c>
      <c r="D1021" s="57" t="s">
        <v>352</v>
      </c>
      <c r="E1021" s="67">
        <v>45471</v>
      </c>
      <c r="F1021" s="62">
        <v>2240</v>
      </c>
      <c r="G1021" s="62">
        <v>2085</v>
      </c>
      <c r="H1021" s="62">
        <v>2085</v>
      </c>
      <c r="I1021" s="60">
        <f t="shared" si="60"/>
        <v>1.7835757057313943</v>
      </c>
      <c r="J1021" s="60">
        <f t="shared" si="61"/>
        <v>0</v>
      </c>
      <c r="K1021" s="60">
        <f t="shared" si="62"/>
        <v>1.7835757057313943</v>
      </c>
      <c r="L1021" s="60">
        <f t="shared" si="63"/>
        <v>0</v>
      </c>
    </row>
    <row r="1022" spans="1:12" x14ac:dyDescent="0.25">
      <c r="A1022" s="61">
        <v>2310</v>
      </c>
      <c r="B1022" s="61" t="s">
        <v>57</v>
      </c>
      <c r="C1022">
        <v>700</v>
      </c>
      <c r="D1022" s="57" t="s">
        <v>352</v>
      </c>
      <c r="E1022" s="67">
        <v>45473</v>
      </c>
      <c r="F1022" s="62">
        <v>1560</v>
      </c>
      <c r="G1022" s="62">
        <v>1480</v>
      </c>
      <c r="H1022" s="62">
        <v>1538</v>
      </c>
      <c r="I1022" s="60">
        <f t="shared" si="60"/>
        <v>2.1142857142857143</v>
      </c>
      <c r="J1022" s="60">
        <f t="shared" si="61"/>
        <v>58</v>
      </c>
      <c r="K1022" s="60">
        <f t="shared" si="62"/>
        <v>2.1971428571428571</v>
      </c>
      <c r="L1022" s="60">
        <f t="shared" si="63"/>
        <v>8.285714285714274E-2</v>
      </c>
    </row>
    <row r="1023" spans="1:12" x14ac:dyDescent="0.25">
      <c r="A1023" s="61">
        <v>2244</v>
      </c>
      <c r="B1023" s="61" t="s">
        <v>57</v>
      </c>
      <c r="C1023">
        <v>700</v>
      </c>
      <c r="D1023" s="57" t="s">
        <v>49</v>
      </c>
      <c r="E1023" s="67">
        <v>45478</v>
      </c>
      <c r="F1023" s="62">
        <v>1515</v>
      </c>
      <c r="G1023" s="62">
        <v>1515</v>
      </c>
      <c r="H1023" s="62">
        <v>1355</v>
      </c>
      <c r="I1023" s="60">
        <f t="shared" si="60"/>
        <v>2.1642857142857141</v>
      </c>
      <c r="J1023" s="60">
        <f t="shared" si="61"/>
        <v>-160</v>
      </c>
      <c r="K1023" s="60">
        <f t="shared" si="62"/>
        <v>1.9357142857142857</v>
      </c>
      <c r="L1023" s="60">
        <f t="shared" si="63"/>
        <v>-0.22857142857142843</v>
      </c>
    </row>
    <row r="1024" spans="1:12" x14ac:dyDescent="0.25">
      <c r="A1024" s="61">
        <v>2307</v>
      </c>
      <c r="B1024" s="61" t="s">
        <v>55</v>
      </c>
      <c r="C1024">
        <v>764</v>
      </c>
      <c r="D1024" s="57" t="s">
        <v>49</v>
      </c>
      <c r="E1024" s="67">
        <v>45476</v>
      </c>
      <c r="F1024" s="62">
        <v>1615</v>
      </c>
      <c r="G1024" s="62">
        <v>1565</v>
      </c>
      <c r="H1024" s="62">
        <v>1415</v>
      </c>
      <c r="I1024" s="60">
        <f t="shared" si="60"/>
        <v>2.0484293193717278</v>
      </c>
      <c r="J1024" s="60">
        <f t="shared" si="61"/>
        <v>-150</v>
      </c>
      <c r="K1024" s="60">
        <f t="shared" si="62"/>
        <v>1.8520942408376964</v>
      </c>
      <c r="L1024" s="60">
        <f t="shared" si="63"/>
        <v>-0.19633507853403143</v>
      </c>
    </row>
    <row r="1025" spans="1:12" x14ac:dyDescent="0.25">
      <c r="A1025" s="61">
        <v>4102</v>
      </c>
      <c r="B1025" s="61" t="s">
        <v>151</v>
      </c>
      <c r="C1025">
        <v>1141</v>
      </c>
      <c r="D1025" s="57" t="s">
        <v>49</v>
      </c>
      <c r="E1025" s="67">
        <v>45478</v>
      </c>
      <c r="F1025" s="62">
        <v>2150</v>
      </c>
      <c r="G1025" s="62">
        <v>2210</v>
      </c>
      <c r="H1025" s="62">
        <v>1990</v>
      </c>
      <c r="I1025" s="60">
        <f t="shared" si="60"/>
        <v>1.9368974583698511</v>
      </c>
      <c r="J1025" s="60">
        <f t="shared" si="61"/>
        <v>-220</v>
      </c>
      <c r="K1025" s="60">
        <f t="shared" si="62"/>
        <v>1.7440841367221736</v>
      </c>
      <c r="L1025" s="60">
        <f t="shared" si="63"/>
        <v>-0.1928133216476775</v>
      </c>
    </row>
    <row r="1026" spans="1:12" x14ac:dyDescent="0.25">
      <c r="A1026" s="61">
        <v>4206</v>
      </c>
      <c r="B1026" s="61" t="s">
        <v>57</v>
      </c>
      <c r="C1026">
        <v>700</v>
      </c>
      <c r="D1026" s="57" t="s">
        <v>49</v>
      </c>
      <c r="E1026" s="67">
        <v>45478</v>
      </c>
      <c r="F1026" s="62">
        <v>1515</v>
      </c>
      <c r="G1026" s="62">
        <v>1563</v>
      </c>
      <c r="H1026" s="62">
        <v>1355</v>
      </c>
      <c r="I1026" s="60">
        <f t="shared" si="60"/>
        <v>2.2328571428571427</v>
      </c>
      <c r="J1026" s="60">
        <f t="shared" si="61"/>
        <v>-208</v>
      </c>
      <c r="K1026" s="60">
        <f t="shared" si="62"/>
        <v>1.9357142857142857</v>
      </c>
      <c r="L1026" s="60">
        <f t="shared" si="63"/>
        <v>-0.29714285714285693</v>
      </c>
    </row>
    <row r="1027" spans="1:12" x14ac:dyDescent="0.25">
      <c r="A1027" s="61">
        <v>4302</v>
      </c>
      <c r="B1027" s="61" t="s">
        <v>151</v>
      </c>
      <c r="C1027">
        <v>1141</v>
      </c>
      <c r="D1027" s="57" t="s">
        <v>352</v>
      </c>
      <c r="E1027" s="67">
        <v>45480</v>
      </c>
      <c r="F1027" s="62">
        <v>2150</v>
      </c>
      <c r="G1027" s="62">
        <v>2131</v>
      </c>
      <c r="H1027" s="62">
        <v>2165</v>
      </c>
      <c r="I1027" s="60">
        <f t="shared" si="60"/>
        <v>1.8676599474145485</v>
      </c>
      <c r="J1027" s="60">
        <f t="shared" si="61"/>
        <v>34</v>
      </c>
      <c r="K1027" s="60">
        <f t="shared" si="62"/>
        <v>1.8974583698510079</v>
      </c>
      <c r="L1027" s="60">
        <f t="shared" si="63"/>
        <v>2.979842243645936E-2</v>
      </c>
    </row>
    <row r="1028" spans="1:12" x14ac:dyDescent="0.25">
      <c r="A1028" s="61">
        <v>2161</v>
      </c>
      <c r="B1028" s="61" t="s">
        <v>57</v>
      </c>
      <c r="C1028">
        <v>700</v>
      </c>
      <c r="D1028" s="57" t="s">
        <v>49</v>
      </c>
      <c r="E1028" s="67">
        <v>45488</v>
      </c>
      <c r="F1028" s="62">
        <v>1515</v>
      </c>
      <c r="G1028" s="62">
        <v>1490</v>
      </c>
      <c r="H1028" s="62">
        <v>1360</v>
      </c>
      <c r="I1028" s="60">
        <f t="shared" si="60"/>
        <v>2.1285714285714286</v>
      </c>
      <c r="J1028" s="60">
        <f t="shared" si="61"/>
        <v>-130</v>
      </c>
      <c r="K1028" s="60">
        <f t="shared" si="62"/>
        <v>1.9428571428571428</v>
      </c>
      <c r="L1028" s="60">
        <f t="shared" si="63"/>
        <v>-0.18571428571428572</v>
      </c>
    </row>
    <row r="1029" spans="1:12" x14ac:dyDescent="0.25">
      <c r="A1029" s="61">
        <v>2163</v>
      </c>
      <c r="B1029" s="61" t="s">
        <v>57</v>
      </c>
      <c r="C1029">
        <v>700</v>
      </c>
      <c r="D1029" s="57" t="s">
        <v>49</v>
      </c>
      <c r="E1029" s="67">
        <v>45488</v>
      </c>
      <c r="F1029" s="62">
        <v>1515</v>
      </c>
      <c r="G1029" s="62">
        <v>1495</v>
      </c>
      <c r="H1029" s="62">
        <v>1355</v>
      </c>
      <c r="I1029" s="60">
        <f t="shared" si="60"/>
        <v>2.1357142857142857</v>
      </c>
      <c r="J1029" s="60">
        <f t="shared" si="61"/>
        <v>-140</v>
      </c>
      <c r="K1029" s="60">
        <f t="shared" si="62"/>
        <v>1.9357142857142857</v>
      </c>
      <c r="L1029" s="60">
        <f t="shared" si="63"/>
        <v>-0.19999999999999996</v>
      </c>
    </row>
    <row r="1030" spans="1:12" x14ac:dyDescent="0.25">
      <c r="A1030" s="61">
        <v>2342</v>
      </c>
      <c r="B1030" s="61" t="s">
        <v>74</v>
      </c>
      <c r="C1030">
        <v>1169</v>
      </c>
      <c r="D1030" s="57" t="s">
        <v>49</v>
      </c>
      <c r="E1030" s="67">
        <v>45485</v>
      </c>
      <c r="F1030" s="62">
        <v>2220</v>
      </c>
      <c r="G1030" s="62">
        <v>2183</v>
      </c>
      <c r="H1030" s="62">
        <v>1995</v>
      </c>
      <c r="I1030" s="60">
        <f t="shared" si="60"/>
        <v>1.8674080410607357</v>
      </c>
      <c r="J1030" s="60">
        <f t="shared" si="61"/>
        <v>-188</v>
      </c>
      <c r="K1030" s="60">
        <f t="shared" si="62"/>
        <v>1.7065868263473054</v>
      </c>
      <c r="L1030" s="60">
        <f t="shared" si="63"/>
        <v>-0.16082121471343025</v>
      </c>
    </row>
    <row r="1031" spans="1:12" x14ac:dyDescent="0.25">
      <c r="A1031" s="61">
        <v>2242</v>
      </c>
      <c r="B1031" s="61" t="s">
        <v>74</v>
      </c>
      <c r="C1031">
        <v>1169</v>
      </c>
      <c r="D1031" s="57" t="s">
        <v>356</v>
      </c>
      <c r="E1031" s="67">
        <v>45485</v>
      </c>
      <c r="F1031" s="62">
        <v>2220</v>
      </c>
      <c r="G1031" s="62">
        <v>2115</v>
      </c>
      <c r="H1031" s="62">
        <v>2150</v>
      </c>
      <c r="I1031" s="60">
        <f t="shared" si="60"/>
        <v>1.8092386655260906</v>
      </c>
      <c r="J1031" s="60">
        <f t="shared" si="61"/>
        <v>35</v>
      </c>
      <c r="K1031" s="60">
        <f t="shared" si="62"/>
        <v>1.8391787852865698</v>
      </c>
      <c r="L1031" s="60">
        <f t="shared" si="63"/>
        <v>2.9940119760479167E-2</v>
      </c>
    </row>
    <row r="1032" spans="1:12" x14ac:dyDescent="0.25">
      <c r="A1032" s="61">
        <v>1104</v>
      </c>
      <c r="B1032" s="61" t="s">
        <v>137</v>
      </c>
      <c r="C1032">
        <v>1700</v>
      </c>
      <c r="D1032" s="57" t="s">
        <v>49</v>
      </c>
      <c r="E1032" s="67">
        <v>45483</v>
      </c>
      <c r="F1032" s="62">
        <v>2995</v>
      </c>
      <c r="G1032" s="62">
        <v>2455</v>
      </c>
      <c r="H1032" s="62">
        <v>2695</v>
      </c>
      <c r="I1032" s="60">
        <f t="shared" ref="I1032:I1044" si="64">G1032/C1032</f>
        <v>1.4441176470588235</v>
      </c>
      <c r="J1032" s="60">
        <f t="shared" ref="J1032:J1044" si="65">SUM(H1032-G1032)</f>
        <v>240</v>
      </c>
      <c r="K1032" s="60">
        <f t="shared" ref="K1032:K1044" si="66">H1032/C1032</f>
        <v>1.5852941176470587</v>
      </c>
      <c r="L1032" s="60">
        <f t="shared" ref="L1032:L1044" si="67">K1032-I1032</f>
        <v>0.14117647058823524</v>
      </c>
    </row>
    <row r="1033" spans="1:12" x14ac:dyDescent="0.25">
      <c r="A1033" s="61">
        <v>2264</v>
      </c>
      <c r="B1033" s="61" t="s">
        <v>48</v>
      </c>
      <c r="C1033">
        <v>806</v>
      </c>
      <c r="D1033" s="57" t="s">
        <v>49</v>
      </c>
      <c r="E1033" s="67">
        <v>45488</v>
      </c>
      <c r="F1033" s="62">
        <v>1620</v>
      </c>
      <c r="G1033" s="62">
        <v>1610</v>
      </c>
      <c r="H1033" s="62">
        <v>1405</v>
      </c>
      <c r="I1033" s="60">
        <f t="shared" si="64"/>
        <v>1.9975186104218363</v>
      </c>
      <c r="J1033" s="60">
        <f t="shared" si="65"/>
        <v>-205</v>
      </c>
      <c r="K1033" s="60">
        <f t="shared" si="66"/>
        <v>1.7431761786600497</v>
      </c>
      <c r="L1033" s="60">
        <f t="shared" si="67"/>
        <v>-0.25434243176178661</v>
      </c>
    </row>
    <row r="1034" spans="1:12" x14ac:dyDescent="0.25">
      <c r="A1034" s="61">
        <v>2147</v>
      </c>
      <c r="B1034" s="61" t="s">
        <v>48</v>
      </c>
      <c r="C1034">
        <v>806</v>
      </c>
      <c r="D1034" s="57" t="s">
        <v>49</v>
      </c>
      <c r="E1034" s="67">
        <v>45492</v>
      </c>
      <c r="F1034" s="62">
        <v>1620</v>
      </c>
      <c r="G1034" s="62">
        <v>1545</v>
      </c>
      <c r="H1034" s="62">
        <v>1650</v>
      </c>
      <c r="I1034" s="60">
        <f t="shared" si="64"/>
        <v>1.9168734491315136</v>
      </c>
      <c r="J1034" s="60">
        <f t="shared" si="65"/>
        <v>105</v>
      </c>
      <c r="K1034" s="60">
        <f t="shared" si="66"/>
        <v>2.0471464019851116</v>
      </c>
      <c r="L1034" s="60">
        <f t="shared" si="67"/>
        <v>0.13027295285359797</v>
      </c>
    </row>
    <row r="1035" spans="1:12" x14ac:dyDescent="0.25">
      <c r="A1035" s="61">
        <v>2215</v>
      </c>
      <c r="B1035" s="61" t="s">
        <v>61</v>
      </c>
      <c r="C1035">
        <v>820</v>
      </c>
      <c r="D1035" s="57" t="s">
        <v>353</v>
      </c>
      <c r="E1035" s="67">
        <v>45491</v>
      </c>
      <c r="F1035" s="62">
        <v>1615</v>
      </c>
      <c r="G1035" s="62">
        <v>1714</v>
      </c>
      <c r="H1035" s="62">
        <v>1425</v>
      </c>
      <c r="I1035" s="60">
        <f t="shared" si="64"/>
        <v>2.0902439024390245</v>
      </c>
      <c r="J1035" s="60">
        <f t="shared" si="65"/>
        <v>-289</v>
      </c>
      <c r="K1035" s="60">
        <f t="shared" si="66"/>
        <v>1.7378048780487805</v>
      </c>
      <c r="L1035" s="60">
        <f t="shared" si="67"/>
        <v>-0.35243902439024399</v>
      </c>
    </row>
    <row r="1036" spans="1:12" x14ac:dyDescent="0.25">
      <c r="A1036" s="61">
        <v>2343</v>
      </c>
      <c r="B1036" s="61" t="s">
        <v>354</v>
      </c>
      <c r="C1036">
        <v>950</v>
      </c>
      <c r="D1036" s="57" t="s">
        <v>49</v>
      </c>
      <c r="E1036" s="67">
        <v>45492</v>
      </c>
      <c r="F1036" s="62">
        <v>1795</v>
      </c>
      <c r="G1036" s="62">
        <v>1675</v>
      </c>
      <c r="H1036" s="62">
        <v>1505</v>
      </c>
      <c r="I1036" s="60">
        <f t="shared" si="64"/>
        <v>1.763157894736842</v>
      </c>
      <c r="J1036" s="60">
        <f t="shared" si="65"/>
        <v>-170</v>
      </c>
      <c r="K1036" s="60">
        <f t="shared" si="66"/>
        <v>1.5842105263157895</v>
      </c>
      <c r="L1036" s="60">
        <f t="shared" si="67"/>
        <v>-0.17894736842105252</v>
      </c>
    </row>
    <row r="1037" spans="1:12" x14ac:dyDescent="0.25">
      <c r="A1037" s="61">
        <v>2143</v>
      </c>
      <c r="B1037" s="61" t="s">
        <v>48</v>
      </c>
      <c r="C1037">
        <v>806</v>
      </c>
      <c r="D1037" s="57" t="s">
        <v>49</v>
      </c>
      <c r="E1037" s="67">
        <v>45490</v>
      </c>
      <c r="F1037" s="62">
        <v>1620</v>
      </c>
      <c r="G1037" s="62">
        <v>1550</v>
      </c>
      <c r="H1037" s="62">
        <v>1425</v>
      </c>
      <c r="I1037" s="60">
        <f t="shared" si="64"/>
        <v>1.9230769230769231</v>
      </c>
      <c r="J1037" s="60">
        <f t="shared" si="65"/>
        <v>-125</v>
      </c>
      <c r="K1037" s="60">
        <f t="shared" si="66"/>
        <v>1.7679900744416874</v>
      </c>
      <c r="L1037" s="60">
        <f t="shared" si="67"/>
        <v>-0.1550868486352357</v>
      </c>
    </row>
    <row r="1038" spans="1:12" x14ac:dyDescent="0.25">
      <c r="A1038" s="61">
        <v>2111</v>
      </c>
      <c r="B1038" s="61" t="s">
        <v>59</v>
      </c>
      <c r="C1038">
        <v>1115</v>
      </c>
      <c r="D1038" s="57" t="s">
        <v>352</v>
      </c>
      <c r="E1038" s="67">
        <v>45489</v>
      </c>
      <c r="F1038" s="62">
        <v>2135</v>
      </c>
      <c r="G1038" s="62">
        <v>2002</v>
      </c>
      <c r="H1038" s="62">
        <v>2002</v>
      </c>
      <c r="I1038" s="60">
        <f t="shared" si="64"/>
        <v>1.7955156950672646</v>
      </c>
      <c r="J1038" s="60">
        <f t="shared" si="65"/>
        <v>0</v>
      </c>
      <c r="K1038" s="60">
        <f t="shared" si="66"/>
        <v>1.7955156950672646</v>
      </c>
      <c r="L1038" s="60">
        <f t="shared" si="67"/>
        <v>0</v>
      </c>
    </row>
    <row r="1039" spans="1:12" x14ac:dyDescent="0.25">
      <c r="A1039" s="61">
        <v>2218</v>
      </c>
      <c r="B1039" s="61" t="s">
        <v>86</v>
      </c>
      <c r="C1039">
        <v>810</v>
      </c>
      <c r="D1039" s="57" t="s">
        <v>352</v>
      </c>
      <c r="E1039" s="67">
        <v>45491</v>
      </c>
      <c r="F1039" s="62">
        <v>1505</v>
      </c>
      <c r="G1039" s="62">
        <v>1601</v>
      </c>
      <c r="H1039" s="62">
        <v>1633</v>
      </c>
      <c r="I1039" s="60">
        <f t="shared" si="64"/>
        <v>1.9765432098765432</v>
      </c>
      <c r="J1039" s="60">
        <f t="shared" si="65"/>
        <v>32</v>
      </c>
      <c r="K1039" s="60">
        <f t="shared" si="66"/>
        <v>2.0160493827160493</v>
      </c>
      <c r="L1039" s="60">
        <f t="shared" si="67"/>
        <v>3.9506172839506082E-2</v>
      </c>
    </row>
    <row r="1040" spans="1:12" x14ac:dyDescent="0.25">
      <c r="A1040" s="61">
        <v>2306</v>
      </c>
      <c r="B1040" s="61" t="s">
        <v>51</v>
      </c>
      <c r="C1040">
        <v>848</v>
      </c>
      <c r="D1040" s="57" t="s">
        <v>352</v>
      </c>
      <c r="E1040" s="67">
        <v>45495</v>
      </c>
      <c r="F1040" s="62">
        <v>1765</v>
      </c>
      <c r="G1040" s="62">
        <v>1757</v>
      </c>
      <c r="H1040" s="62">
        <v>1765</v>
      </c>
      <c r="I1040" s="60">
        <f t="shared" si="64"/>
        <v>2.0719339622641511</v>
      </c>
      <c r="J1040" s="60">
        <f t="shared" si="65"/>
        <v>8</v>
      </c>
      <c r="K1040" s="60">
        <f t="shared" si="66"/>
        <v>2.0813679245283021</v>
      </c>
      <c r="L1040" s="60">
        <f t="shared" si="67"/>
        <v>9.4339622641510523E-3</v>
      </c>
    </row>
    <row r="1041" spans="1:12" x14ac:dyDescent="0.25">
      <c r="A1041" s="61">
        <v>2116</v>
      </c>
      <c r="B1041" s="61" t="s">
        <v>55</v>
      </c>
      <c r="C1041">
        <v>950</v>
      </c>
      <c r="D1041" s="57" t="s">
        <v>49</v>
      </c>
      <c r="E1041" s="67">
        <v>45497</v>
      </c>
      <c r="F1041" s="62">
        <v>1585</v>
      </c>
      <c r="G1041" s="62">
        <v>1545</v>
      </c>
      <c r="H1041" s="62">
        <v>1380</v>
      </c>
      <c r="I1041" s="60">
        <f t="shared" si="64"/>
        <v>1.6263157894736842</v>
      </c>
      <c r="J1041" s="60">
        <f t="shared" si="65"/>
        <v>-165</v>
      </c>
      <c r="K1041" s="60">
        <f t="shared" si="66"/>
        <v>1.4526315789473685</v>
      </c>
      <c r="L1041" s="60">
        <f t="shared" si="67"/>
        <v>-0.17368421052631566</v>
      </c>
    </row>
    <row r="1042" spans="1:12" x14ac:dyDescent="0.25">
      <c r="A1042" s="61">
        <v>2333</v>
      </c>
      <c r="B1042" s="61" t="s">
        <v>65</v>
      </c>
      <c r="C1042">
        <v>813</v>
      </c>
      <c r="D1042" s="57" t="s">
        <v>49</v>
      </c>
      <c r="E1042" s="67">
        <v>45499</v>
      </c>
      <c r="F1042" s="62">
        <v>1580</v>
      </c>
      <c r="G1042" s="62">
        <v>1620</v>
      </c>
      <c r="H1042" s="62">
        <v>1415</v>
      </c>
      <c r="I1042" s="60">
        <f t="shared" si="64"/>
        <v>1.9926199261992621</v>
      </c>
      <c r="J1042" s="60">
        <f t="shared" si="65"/>
        <v>-205</v>
      </c>
      <c r="K1042" s="60">
        <f t="shared" si="66"/>
        <v>1.7404674046740467</v>
      </c>
      <c r="L1042" s="60">
        <f t="shared" si="67"/>
        <v>-0.25215252152521539</v>
      </c>
    </row>
    <row r="1043" spans="1:12" x14ac:dyDescent="0.25">
      <c r="A1043" s="61">
        <v>2139</v>
      </c>
      <c r="B1043" s="61" t="s">
        <v>51</v>
      </c>
      <c r="C1043">
        <v>848</v>
      </c>
      <c r="D1043" s="57" t="s">
        <v>49</v>
      </c>
      <c r="E1043" s="67">
        <v>45497</v>
      </c>
      <c r="F1043" s="62">
        <v>1735</v>
      </c>
      <c r="G1043" s="62">
        <v>1741</v>
      </c>
      <c r="H1043" s="62">
        <v>1454</v>
      </c>
      <c r="I1043" s="60">
        <f t="shared" si="64"/>
        <v>2.0530660377358489</v>
      </c>
      <c r="J1043" s="60">
        <f t="shared" si="65"/>
        <v>-287</v>
      </c>
      <c r="K1043" s="60">
        <f t="shared" si="66"/>
        <v>1.7146226415094339</v>
      </c>
      <c r="L1043" s="60">
        <f t="shared" si="67"/>
        <v>-0.33844339622641506</v>
      </c>
    </row>
    <row r="1044" spans="1:12" x14ac:dyDescent="0.25">
      <c r="A1044" s="61">
        <v>2201</v>
      </c>
      <c r="B1044" s="61" t="s">
        <v>65</v>
      </c>
      <c r="C1044">
        <v>813</v>
      </c>
      <c r="D1044" s="57" t="s">
        <v>49</v>
      </c>
      <c r="E1044" s="67">
        <v>45502</v>
      </c>
      <c r="F1044" s="62">
        <v>1580</v>
      </c>
      <c r="G1044" s="62">
        <v>1535</v>
      </c>
      <c r="H1044" s="62">
        <v>1425</v>
      </c>
      <c r="I1044" s="60">
        <f t="shared" si="64"/>
        <v>1.8880688806888068</v>
      </c>
      <c r="J1044" s="60">
        <f t="shared" si="65"/>
        <v>-110</v>
      </c>
      <c r="K1044" s="60">
        <f t="shared" si="66"/>
        <v>1.7527675276752768</v>
      </c>
      <c r="L1044" s="60">
        <f t="shared" si="67"/>
        <v>-0.13530135301353008</v>
      </c>
    </row>
    <row r="1045" spans="1:12" x14ac:dyDescent="0.25">
      <c r="A1045" s="61">
        <v>2332</v>
      </c>
      <c r="B1045" s="61" t="s">
        <v>82</v>
      </c>
      <c r="C1045">
        <v>1112</v>
      </c>
      <c r="D1045" s="57" t="s">
        <v>49</v>
      </c>
      <c r="E1045" s="67">
        <v>45495</v>
      </c>
      <c r="F1045" s="62">
        <v>2125</v>
      </c>
      <c r="G1045" s="62">
        <v>2112</v>
      </c>
      <c r="H1045" s="62">
        <v>1900</v>
      </c>
      <c r="I1045" s="60">
        <f t="shared" ref="I1045:I1052" si="68">G1045/C1045</f>
        <v>1.8992805755395683</v>
      </c>
      <c r="J1045" s="60">
        <f t="shared" ref="J1045:J1052" si="69">SUM(H1045-G1045)</f>
        <v>-212</v>
      </c>
      <c r="K1045" s="60">
        <f t="shared" ref="K1045:K1052" si="70">H1045/C1045</f>
        <v>1.7086330935251799</v>
      </c>
      <c r="L1045" s="60">
        <f t="shared" ref="L1045:L1052" si="71">K1045-I1045</f>
        <v>-0.19064748201438841</v>
      </c>
    </row>
    <row r="1046" spans="1:12" x14ac:dyDescent="0.25">
      <c r="A1046" s="61">
        <v>2224</v>
      </c>
      <c r="B1046" s="61" t="s">
        <v>82</v>
      </c>
      <c r="C1046">
        <v>1112</v>
      </c>
      <c r="D1046" s="57" t="s">
        <v>352</v>
      </c>
      <c r="E1046" s="67">
        <v>45499</v>
      </c>
      <c r="F1046" s="62">
        <v>2145</v>
      </c>
      <c r="G1046" s="62">
        <v>1875</v>
      </c>
      <c r="H1046" s="62">
        <v>1913</v>
      </c>
      <c r="I1046" s="60">
        <f t="shared" si="68"/>
        <v>1.6861510791366907</v>
      </c>
      <c r="J1046" s="60">
        <f t="shared" si="69"/>
        <v>38</v>
      </c>
      <c r="K1046" s="60">
        <f t="shared" si="70"/>
        <v>1.7203237410071943</v>
      </c>
      <c r="L1046" s="60">
        <f t="shared" si="71"/>
        <v>3.4172661870503607E-2</v>
      </c>
    </row>
    <row r="1047" spans="1:12" x14ac:dyDescent="0.25">
      <c r="A1047" s="61">
        <v>2349</v>
      </c>
      <c r="B1047" s="61" t="s">
        <v>86</v>
      </c>
      <c r="C1047">
        <v>810</v>
      </c>
      <c r="D1047" s="57" t="s">
        <v>49</v>
      </c>
      <c r="E1047" s="67">
        <v>45506</v>
      </c>
      <c r="F1047" s="62">
        <v>1555</v>
      </c>
      <c r="G1047" s="62">
        <v>1580</v>
      </c>
      <c r="H1047" s="62">
        <v>1425</v>
      </c>
      <c r="I1047" s="60">
        <f t="shared" si="68"/>
        <v>1.9506172839506173</v>
      </c>
      <c r="J1047" s="60">
        <f t="shared" si="69"/>
        <v>-155</v>
      </c>
      <c r="K1047" s="60">
        <f t="shared" si="70"/>
        <v>1.7592592592592593</v>
      </c>
      <c r="L1047" s="60">
        <f t="shared" si="71"/>
        <v>-0.19135802469135799</v>
      </c>
    </row>
    <row r="1048" spans="1:12" x14ac:dyDescent="0.25">
      <c r="A1048" s="61">
        <v>2366</v>
      </c>
      <c r="B1048" s="61" t="s">
        <v>82</v>
      </c>
      <c r="C1048">
        <v>1112</v>
      </c>
      <c r="D1048" s="57" t="s">
        <v>49</v>
      </c>
      <c r="E1048" s="67">
        <v>45504</v>
      </c>
      <c r="F1048" s="62">
        <v>2145</v>
      </c>
      <c r="G1048" s="62">
        <v>2075</v>
      </c>
      <c r="H1048" s="62">
        <v>1995</v>
      </c>
      <c r="I1048" s="60">
        <f t="shared" si="68"/>
        <v>1.8660071942446044</v>
      </c>
      <c r="J1048" s="60">
        <f t="shared" si="69"/>
        <v>-80</v>
      </c>
      <c r="K1048" s="60">
        <f t="shared" si="70"/>
        <v>1.7940647482014389</v>
      </c>
      <c r="L1048" s="60">
        <f t="shared" si="71"/>
        <v>-7.1942446043165464E-2</v>
      </c>
    </row>
    <row r="1049" spans="1:12" x14ac:dyDescent="0.25">
      <c r="A1049" s="61">
        <v>4201</v>
      </c>
      <c r="B1049" s="61" t="s">
        <v>59</v>
      </c>
      <c r="C1049">
        <v>1115</v>
      </c>
      <c r="D1049" s="57" t="s">
        <v>49</v>
      </c>
      <c r="E1049" s="67">
        <v>45504</v>
      </c>
      <c r="F1049" s="62">
        <v>2165</v>
      </c>
      <c r="G1049" s="62">
        <v>2015</v>
      </c>
      <c r="H1049" s="62">
        <v>2020</v>
      </c>
      <c r="I1049" s="60">
        <f t="shared" si="68"/>
        <v>1.8071748878923768</v>
      </c>
      <c r="J1049" s="60">
        <f t="shared" si="69"/>
        <v>5</v>
      </c>
      <c r="K1049" s="60">
        <f t="shared" si="70"/>
        <v>1.811659192825112</v>
      </c>
      <c r="L1049" s="60">
        <f t="shared" si="71"/>
        <v>4.4843049327352169E-3</v>
      </c>
    </row>
    <row r="1050" spans="1:12" x14ac:dyDescent="0.25">
      <c r="A1050" s="61">
        <v>4202</v>
      </c>
      <c r="B1050" s="61" t="s">
        <v>151</v>
      </c>
      <c r="C1050">
        <v>1141</v>
      </c>
      <c r="D1050" s="57" t="s">
        <v>49</v>
      </c>
      <c r="E1050" s="67">
        <v>45505</v>
      </c>
      <c r="F1050" s="62">
        <v>2150</v>
      </c>
      <c r="G1050" s="62">
        <v>2160</v>
      </c>
      <c r="H1050" s="62">
        <v>2070</v>
      </c>
      <c r="I1050" s="60">
        <f t="shared" si="68"/>
        <v>1.8930762489044697</v>
      </c>
      <c r="J1050" s="60">
        <f t="shared" si="69"/>
        <v>-90</v>
      </c>
      <c r="K1050" s="60">
        <f t="shared" si="70"/>
        <v>1.8141980718667836</v>
      </c>
      <c r="L1050" s="60">
        <f t="shared" si="71"/>
        <v>-7.887817703768607E-2</v>
      </c>
    </row>
    <row r="1051" spans="1:12" x14ac:dyDescent="0.25">
      <c r="A1051" s="61">
        <v>2122</v>
      </c>
      <c r="B1051" s="61" t="s">
        <v>355</v>
      </c>
      <c r="C1051">
        <v>810</v>
      </c>
      <c r="D1051" s="57" t="s">
        <v>49</v>
      </c>
      <c r="E1051" s="67">
        <v>45506</v>
      </c>
      <c r="F1051" s="62">
        <v>1600</v>
      </c>
      <c r="G1051" s="62">
        <v>1575</v>
      </c>
      <c r="H1051" s="62">
        <v>1460</v>
      </c>
      <c r="I1051" s="60">
        <f t="shared" si="68"/>
        <v>1.9444444444444444</v>
      </c>
      <c r="J1051" s="60">
        <f t="shared" si="69"/>
        <v>-115</v>
      </c>
      <c r="K1051" s="60">
        <f t="shared" si="70"/>
        <v>1.8024691358024691</v>
      </c>
      <c r="L1051" s="60">
        <f t="shared" si="71"/>
        <v>-0.14197530864197527</v>
      </c>
    </row>
    <row r="1052" spans="1:12" x14ac:dyDescent="0.25">
      <c r="A1052" s="61">
        <v>2123</v>
      </c>
      <c r="B1052" s="61" t="s">
        <v>65</v>
      </c>
      <c r="C1052">
        <v>813</v>
      </c>
      <c r="D1052" s="57" t="s">
        <v>49</v>
      </c>
      <c r="E1052" s="67">
        <v>45509</v>
      </c>
      <c r="F1052" s="62">
        <v>1580</v>
      </c>
      <c r="G1052" s="62">
        <v>1575</v>
      </c>
      <c r="H1052" s="62">
        <v>1425</v>
      </c>
      <c r="I1052" s="60">
        <f t="shared" si="68"/>
        <v>1.9372693726937269</v>
      </c>
      <c r="J1052" s="60">
        <f t="shared" si="69"/>
        <v>-150</v>
      </c>
      <c r="K1052" s="60">
        <f t="shared" si="70"/>
        <v>1.7527675276752768</v>
      </c>
      <c r="L1052" s="60">
        <f t="shared" si="71"/>
        <v>-0.18450184501845013</v>
      </c>
    </row>
    <row r="1053" spans="1:12" x14ac:dyDescent="0.25">
      <c r="A1053" s="61">
        <v>2202</v>
      </c>
      <c r="B1053" s="61" t="s">
        <v>86</v>
      </c>
      <c r="C1053">
        <v>810</v>
      </c>
      <c r="D1053" s="57" t="s">
        <v>49</v>
      </c>
      <c r="E1053" s="67">
        <v>45508</v>
      </c>
      <c r="F1053" s="62">
        <v>1600</v>
      </c>
      <c r="G1053" s="62">
        <v>1697</v>
      </c>
      <c r="H1053" s="62">
        <v>1460</v>
      </c>
      <c r="I1053" s="60">
        <f t="shared" ref="I1053:I1071" si="72">G1053/C1053</f>
        <v>2.0950617283950619</v>
      </c>
      <c r="J1053" s="60">
        <f t="shared" ref="J1053:J1070" si="73">SUM(H1053-G1053)</f>
        <v>-237</v>
      </c>
      <c r="K1053" s="60">
        <f t="shared" ref="K1053:K1070" si="74">H1053/C1053</f>
        <v>1.8024691358024691</v>
      </c>
      <c r="L1053" s="60">
        <f t="shared" ref="L1053:L1070" si="75">K1053-I1053</f>
        <v>-0.29259259259259274</v>
      </c>
    </row>
    <row r="1054" spans="1:12" x14ac:dyDescent="0.25">
      <c r="A1054" s="61">
        <v>2363</v>
      </c>
      <c r="B1054" s="61" t="s">
        <v>57</v>
      </c>
      <c r="C1054">
        <v>700</v>
      </c>
      <c r="D1054" s="57" t="s">
        <v>49</v>
      </c>
      <c r="E1054" s="67">
        <v>45503</v>
      </c>
      <c r="F1054" s="62">
        <v>1515</v>
      </c>
      <c r="G1054" s="62">
        <v>1500</v>
      </c>
      <c r="H1054" s="62">
        <v>1370</v>
      </c>
      <c r="I1054" s="60">
        <f t="shared" si="72"/>
        <v>2.1428571428571428</v>
      </c>
      <c r="J1054" s="60">
        <f t="shared" si="73"/>
        <v>-130</v>
      </c>
      <c r="K1054" s="60">
        <f t="shared" si="74"/>
        <v>1.9571428571428571</v>
      </c>
      <c r="L1054" s="60">
        <f t="shared" si="75"/>
        <v>-0.18571428571428572</v>
      </c>
    </row>
    <row r="1055" spans="1:12" x14ac:dyDescent="0.25">
      <c r="A1055" s="61">
        <v>5311</v>
      </c>
      <c r="B1055" s="61" t="s">
        <v>57</v>
      </c>
      <c r="C1055">
        <v>700</v>
      </c>
      <c r="D1055" s="57" t="s">
        <v>49</v>
      </c>
      <c r="E1055" s="67">
        <v>45506</v>
      </c>
      <c r="F1055" s="62">
        <v>1515</v>
      </c>
      <c r="G1055" s="62">
        <v>1577</v>
      </c>
      <c r="H1055" s="62">
        <v>1355</v>
      </c>
      <c r="I1055" s="60">
        <f t="shared" si="72"/>
        <v>2.2528571428571427</v>
      </c>
      <c r="J1055" s="60">
        <f t="shared" si="73"/>
        <v>-222</v>
      </c>
      <c r="K1055" s="60">
        <f t="shared" si="74"/>
        <v>1.9357142857142857</v>
      </c>
      <c r="L1055" s="60">
        <f t="shared" si="75"/>
        <v>-0.31714285714285695</v>
      </c>
    </row>
    <row r="1056" spans="1:12" x14ac:dyDescent="0.25">
      <c r="A1056" s="61">
        <v>2220</v>
      </c>
      <c r="B1056" s="61" t="s">
        <v>48</v>
      </c>
      <c r="C1056">
        <v>806</v>
      </c>
      <c r="D1056" s="57" t="s">
        <v>352</v>
      </c>
      <c r="E1056" s="67">
        <v>45507</v>
      </c>
      <c r="F1056" s="62">
        <v>1620</v>
      </c>
      <c r="G1056" s="62">
        <v>1692</v>
      </c>
      <c r="H1056" s="62">
        <v>1709</v>
      </c>
      <c r="I1056" s="60">
        <f t="shared" si="72"/>
        <v>2.0992555831265509</v>
      </c>
      <c r="J1056" s="60">
        <f t="shared" si="73"/>
        <v>17</v>
      </c>
      <c r="K1056" s="60">
        <f t="shared" si="74"/>
        <v>2.1203473945409428</v>
      </c>
      <c r="L1056" s="60">
        <f t="shared" si="75"/>
        <v>2.109181141439187E-2</v>
      </c>
    </row>
    <row r="1057" spans="1:12" x14ac:dyDescent="0.25">
      <c r="A1057" s="61">
        <v>2135</v>
      </c>
      <c r="B1057" s="61" t="s">
        <v>48</v>
      </c>
      <c r="C1057">
        <v>806</v>
      </c>
      <c r="D1057" s="57" t="s">
        <v>49</v>
      </c>
      <c r="E1057" s="67">
        <v>45511</v>
      </c>
      <c r="F1057" s="62">
        <v>1620</v>
      </c>
      <c r="G1057" s="62">
        <v>1664</v>
      </c>
      <c r="H1057" s="62">
        <v>1685</v>
      </c>
      <c r="I1057" s="60">
        <f t="shared" si="72"/>
        <v>2.064516129032258</v>
      </c>
      <c r="J1057" s="60">
        <f t="shared" si="73"/>
        <v>21</v>
      </c>
      <c r="K1057" s="60">
        <f t="shared" si="74"/>
        <v>2.0905707196029777</v>
      </c>
      <c r="L1057" s="60">
        <f t="shared" si="75"/>
        <v>2.6054590570719682E-2</v>
      </c>
    </row>
    <row r="1058" spans="1:12" x14ac:dyDescent="0.25">
      <c r="A1058" s="61">
        <v>2162</v>
      </c>
      <c r="B1058" s="61" t="s">
        <v>74</v>
      </c>
      <c r="C1058">
        <v>1169</v>
      </c>
      <c r="D1058" s="57" t="s">
        <v>49</v>
      </c>
      <c r="E1058" s="67">
        <v>45513</v>
      </c>
      <c r="F1058" s="62">
        <v>2240</v>
      </c>
      <c r="G1058" s="62">
        <v>2075</v>
      </c>
      <c r="H1058" s="62">
        <v>2020</v>
      </c>
      <c r="I1058" s="60">
        <f t="shared" si="72"/>
        <v>1.7750213857998289</v>
      </c>
      <c r="J1058" s="60">
        <f t="shared" si="73"/>
        <v>-55</v>
      </c>
      <c r="K1058" s="60">
        <f t="shared" si="74"/>
        <v>1.7279726261762189</v>
      </c>
      <c r="L1058" s="60">
        <f t="shared" si="75"/>
        <v>-4.7048759623609993E-2</v>
      </c>
    </row>
    <row r="1059" spans="1:12" x14ac:dyDescent="0.25">
      <c r="A1059" s="61">
        <v>2140</v>
      </c>
      <c r="B1059" s="61" t="s">
        <v>86</v>
      </c>
      <c r="C1059">
        <v>810</v>
      </c>
      <c r="D1059" s="57" t="s">
        <v>49</v>
      </c>
      <c r="E1059" s="67">
        <v>45513</v>
      </c>
      <c r="F1059" s="62">
        <v>1580</v>
      </c>
      <c r="G1059" s="62">
        <v>1710</v>
      </c>
      <c r="H1059" s="62">
        <v>1440</v>
      </c>
      <c r="I1059" s="60">
        <f t="shared" si="72"/>
        <v>2.1111111111111112</v>
      </c>
      <c r="J1059" s="60">
        <f t="shared" si="73"/>
        <v>-270</v>
      </c>
      <c r="K1059" s="60">
        <f t="shared" si="74"/>
        <v>1.7777777777777777</v>
      </c>
      <c r="L1059" s="60">
        <f t="shared" si="75"/>
        <v>-0.33333333333333348</v>
      </c>
    </row>
    <row r="1060" spans="1:12" x14ac:dyDescent="0.25">
      <c r="A1060" s="61">
        <v>2301</v>
      </c>
      <c r="B1060" s="61" t="s">
        <v>65</v>
      </c>
      <c r="C1060">
        <v>813</v>
      </c>
      <c r="D1060" s="57" t="s">
        <v>49</v>
      </c>
      <c r="E1060" s="67">
        <v>45513</v>
      </c>
      <c r="F1060" s="62">
        <v>1580</v>
      </c>
      <c r="G1060" s="62">
        <v>1585</v>
      </c>
      <c r="H1060" s="62">
        <v>1420</v>
      </c>
      <c r="I1060" s="60">
        <f t="shared" si="72"/>
        <v>1.949569495694957</v>
      </c>
      <c r="J1060" s="60">
        <f t="shared" si="73"/>
        <v>-165</v>
      </c>
      <c r="K1060" s="60">
        <f t="shared" si="74"/>
        <v>1.7466174661746618</v>
      </c>
      <c r="L1060" s="60">
        <f t="shared" si="75"/>
        <v>-0.20295202952029512</v>
      </c>
    </row>
    <row r="1061" spans="1:12" x14ac:dyDescent="0.25">
      <c r="A1061" s="61">
        <v>2312</v>
      </c>
      <c r="B1061" s="61" t="s">
        <v>57</v>
      </c>
      <c r="C1061">
        <v>700</v>
      </c>
      <c r="D1061" s="57" t="s">
        <v>352</v>
      </c>
      <c r="E1061" s="67">
        <v>45513</v>
      </c>
      <c r="F1061" s="62">
        <v>1560</v>
      </c>
      <c r="G1061" s="62">
        <v>1540</v>
      </c>
      <c r="H1061" s="62">
        <v>1571</v>
      </c>
      <c r="I1061" s="60">
        <f t="shared" si="72"/>
        <v>2.2000000000000002</v>
      </c>
      <c r="J1061" s="60">
        <f t="shared" si="73"/>
        <v>31</v>
      </c>
      <c r="K1061" s="60">
        <f t="shared" si="74"/>
        <v>2.2442857142857142</v>
      </c>
      <c r="L1061" s="60">
        <f t="shared" si="75"/>
        <v>4.428571428571404E-2</v>
      </c>
    </row>
    <row r="1062" spans="1:12" x14ac:dyDescent="0.25">
      <c r="A1062" s="61">
        <v>2126</v>
      </c>
      <c r="B1062" s="61" t="s">
        <v>74</v>
      </c>
      <c r="C1062">
        <v>1169</v>
      </c>
      <c r="D1062" s="57" t="s">
        <v>352</v>
      </c>
      <c r="E1062" s="67">
        <v>45519</v>
      </c>
      <c r="F1062" s="62">
        <v>2240</v>
      </c>
      <c r="G1062" s="62">
        <v>2240</v>
      </c>
      <c r="H1062" s="62">
        <v>2287</v>
      </c>
      <c r="I1062" s="60">
        <f t="shared" si="72"/>
        <v>1.9161676646706587</v>
      </c>
      <c r="J1062" s="60">
        <f t="shared" si="73"/>
        <v>47</v>
      </c>
      <c r="K1062" s="60">
        <f t="shared" si="74"/>
        <v>1.9563729683490163</v>
      </c>
      <c r="L1062" s="60">
        <f t="shared" si="75"/>
        <v>4.0205303678357618E-2</v>
      </c>
    </row>
    <row r="1063" spans="1:12" x14ac:dyDescent="0.25">
      <c r="A1063" s="61">
        <v>2225</v>
      </c>
      <c r="B1063" s="61" t="s">
        <v>48</v>
      </c>
      <c r="C1063">
        <v>806</v>
      </c>
      <c r="D1063" s="57" t="s">
        <v>352</v>
      </c>
      <c r="E1063" s="67">
        <v>45522</v>
      </c>
      <c r="F1063" s="62">
        <v>1620</v>
      </c>
      <c r="G1063" s="62">
        <v>1555</v>
      </c>
      <c r="H1063" s="62">
        <v>1665</v>
      </c>
      <c r="I1063" s="60">
        <f t="shared" si="72"/>
        <v>1.9292803970223324</v>
      </c>
      <c r="J1063" s="60">
        <f t="shared" si="73"/>
        <v>110</v>
      </c>
      <c r="K1063" s="60">
        <f t="shared" si="74"/>
        <v>2.06575682382134</v>
      </c>
      <c r="L1063" s="60">
        <f t="shared" si="75"/>
        <v>0.13647642679900751</v>
      </c>
    </row>
    <row r="1064" spans="1:12" x14ac:dyDescent="0.25">
      <c r="A1064" s="61">
        <v>2329</v>
      </c>
      <c r="B1064" s="61" t="s">
        <v>57</v>
      </c>
      <c r="C1064">
        <v>700</v>
      </c>
      <c r="D1064" s="57" t="s">
        <v>352</v>
      </c>
      <c r="E1064" s="67">
        <v>45521</v>
      </c>
      <c r="F1064" s="62">
        <v>1515</v>
      </c>
      <c r="G1064" s="62">
        <v>1571</v>
      </c>
      <c r="H1064" s="62">
        <v>1602</v>
      </c>
      <c r="I1064" s="60">
        <f t="shared" si="72"/>
        <v>2.2442857142857142</v>
      </c>
      <c r="J1064" s="60">
        <f t="shared" si="73"/>
        <v>31</v>
      </c>
      <c r="K1064" s="60">
        <f t="shared" si="74"/>
        <v>2.2885714285714287</v>
      </c>
      <c r="L1064" s="60">
        <f t="shared" si="75"/>
        <v>4.4285714285714484E-2</v>
      </c>
    </row>
    <row r="1065" spans="1:12" x14ac:dyDescent="0.25">
      <c r="A1065" s="61">
        <v>5105</v>
      </c>
      <c r="B1065" s="61" t="s">
        <v>57</v>
      </c>
      <c r="C1065">
        <v>700</v>
      </c>
      <c r="D1065" s="57" t="s">
        <v>352</v>
      </c>
      <c r="E1065" s="67">
        <v>45522</v>
      </c>
      <c r="F1065" s="62">
        <v>1515</v>
      </c>
      <c r="G1065" s="62">
        <v>1550</v>
      </c>
      <c r="H1065" s="62">
        <v>1581</v>
      </c>
      <c r="I1065" s="60">
        <f t="shared" si="72"/>
        <v>2.2142857142857144</v>
      </c>
      <c r="J1065" s="60">
        <f t="shared" si="73"/>
        <v>31</v>
      </c>
      <c r="K1065" s="60">
        <f t="shared" si="74"/>
        <v>2.2585714285714285</v>
      </c>
      <c r="L1065" s="60">
        <f t="shared" si="75"/>
        <v>4.428571428571404E-2</v>
      </c>
    </row>
    <row r="1066" spans="1:12" x14ac:dyDescent="0.25">
      <c r="A1066" s="61" t="s">
        <v>301</v>
      </c>
      <c r="B1066" s="61" t="s">
        <v>57</v>
      </c>
      <c r="C1066">
        <v>700</v>
      </c>
      <c r="D1066" s="57" t="s">
        <v>49</v>
      </c>
      <c r="E1066" s="67">
        <v>45530</v>
      </c>
      <c r="F1066" s="62">
        <v>1560</v>
      </c>
      <c r="G1066" s="62">
        <v>1495</v>
      </c>
      <c r="H1066" s="62">
        <v>1520</v>
      </c>
      <c r="I1066" s="60">
        <f t="shared" si="72"/>
        <v>2.1357142857142857</v>
      </c>
      <c r="J1066" s="60">
        <f t="shared" si="73"/>
        <v>25</v>
      </c>
      <c r="K1066" s="60">
        <f t="shared" si="74"/>
        <v>2.1714285714285713</v>
      </c>
      <c r="L1066" s="60">
        <f t="shared" si="75"/>
        <v>3.5714285714285587E-2</v>
      </c>
    </row>
    <row r="1067" spans="1:12" x14ac:dyDescent="0.25">
      <c r="A1067" s="61">
        <v>2117</v>
      </c>
      <c r="B1067" s="61" t="s">
        <v>387</v>
      </c>
      <c r="C1067">
        <v>848</v>
      </c>
      <c r="D1067" s="57" t="s">
        <v>49</v>
      </c>
      <c r="E1067" s="67">
        <v>45527</v>
      </c>
      <c r="F1067" s="62">
        <v>1735</v>
      </c>
      <c r="G1067" s="62">
        <v>1685</v>
      </c>
      <c r="H1067" s="62">
        <v>1479</v>
      </c>
      <c r="I1067" s="60">
        <f t="shared" si="72"/>
        <v>1.9870283018867925</v>
      </c>
      <c r="J1067" s="60">
        <f t="shared" si="73"/>
        <v>-206</v>
      </c>
      <c r="K1067" s="60">
        <f t="shared" si="74"/>
        <v>1.7441037735849056</v>
      </c>
      <c r="L1067" s="60">
        <f t="shared" si="75"/>
        <v>-0.24292452830188682</v>
      </c>
    </row>
    <row r="1068" spans="1:12" x14ac:dyDescent="0.25">
      <c r="A1068" s="61">
        <v>2121</v>
      </c>
      <c r="B1068" s="61" t="s">
        <v>65</v>
      </c>
      <c r="C1068">
        <v>813</v>
      </c>
      <c r="D1068" s="57" t="s">
        <v>49</v>
      </c>
      <c r="E1068" s="67">
        <v>45527</v>
      </c>
      <c r="F1068" s="62">
        <v>1580</v>
      </c>
      <c r="G1068" s="62">
        <v>1580</v>
      </c>
      <c r="H1068" s="62">
        <v>1415</v>
      </c>
      <c r="I1068" s="60">
        <f t="shared" si="72"/>
        <v>1.943419434194342</v>
      </c>
      <c r="J1068" s="60">
        <f t="shared" si="73"/>
        <v>-165</v>
      </c>
      <c r="K1068" s="60">
        <f t="shared" si="74"/>
        <v>1.7404674046740467</v>
      </c>
      <c r="L1068" s="60">
        <f t="shared" si="75"/>
        <v>-0.20295202952029534</v>
      </c>
    </row>
    <row r="1069" spans="1:12" x14ac:dyDescent="0.25">
      <c r="A1069" s="61">
        <v>5111</v>
      </c>
      <c r="B1069" s="61" t="s">
        <v>57</v>
      </c>
      <c r="C1069">
        <v>700</v>
      </c>
      <c r="D1069" s="57" t="s">
        <v>49</v>
      </c>
      <c r="E1069" s="67">
        <v>45527</v>
      </c>
      <c r="F1069" s="62">
        <v>1515</v>
      </c>
      <c r="G1069" s="62">
        <v>1435</v>
      </c>
      <c r="H1069" s="62">
        <v>1382</v>
      </c>
      <c r="I1069" s="60">
        <f t="shared" si="72"/>
        <v>2.0499999999999998</v>
      </c>
      <c r="J1069" s="60">
        <f t="shared" si="73"/>
        <v>-53</v>
      </c>
      <c r="K1069" s="60">
        <f t="shared" si="74"/>
        <v>1.9742857142857142</v>
      </c>
      <c r="L1069" s="60">
        <f t="shared" si="75"/>
        <v>-7.5714285714285623E-2</v>
      </c>
    </row>
    <row r="1070" spans="1:12" x14ac:dyDescent="0.25">
      <c r="A1070" s="61">
        <v>4305</v>
      </c>
      <c r="B1070" s="61" t="s">
        <v>61</v>
      </c>
      <c r="C1070">
        <v>820</v>
      </c>
      <c r="D1070" s="57" t="s">
        <v>352</v>
      </c>
      <c r="E1070" s="67">
        <v>45527</v>
      </c>
      <c r="F1070" s="62">
        <v>1615</v>
      </c>
      <c r="G1070" s="62">
        <v>1607</v>
      </c>
      <c r="H1070" s="62">
        <v>1505</v>
      </c>
      <c r="I1070" s="60">
        <f t="shared" si="72"/>
        <v>1.9597560975609756</v>
      </c>
      <c r="J1070" s="60">
        <f t="shared" si="73"/>
        <v>-102</v>
      </c>
      <c r="K1070" s="60">
        <f t="shared" si="74"/>
        <v>1.8353658536585367</v>
      </c>
      <c r="L1070" s="60">
        <f t="shared" si="75"/>
        <v>-0.12439024390243891</v>
      </c>
    </row>
    <row r="1071" spans="1:12" x14ac:dyDescent="0.25">
      <c r="A1071" s="61">
        <v>2245</v>
      </c>
      <c r="B1071" s="61" t="s">
        <v>57</v>
      </c>
      <c r="C1071">
        <v>700</v>
      </c>
      <c r="D1071" s="57" t="s">
        <v>352</v>
      </c>
      <c r="E1071" s="67">
        <v>45524</v>
      </c>
      <c r="F1071" s="62">
        <v>1465</v>
      </c>
      <c r="G1071" s="62">
        <v>1697</v>
      </c>
      <c r="H1071" s="62">
        <v>1697</v>
      </c>
      <c r="I1071" s="60">
        <f t="shared" si="72"/>
        <v>2.4242857142857144</v>
      </c>
      <c r="J1071" s="60">
        <f t="shared" ref="J1071:J1075" si="76">SUM(H1071-G1071)</f>
        <v>0</v>
      </c>
      <c r="K1071" s="60">
        <f t="shared" ref="K1071:K1075" si="77">H1071/C1071</f>
        <v>2.4242857142857144</v>
      </c>
      <c r="L1071" s="60">
        <f t="shared" ref="L1071:L1075" si="78">K1071-I1071</f>
        <v>0</v>
      </c>
    </row>
    <row r="1072" spans="1:12" x14ac:dyDescent="0.25">
      <c r="A1072" s="61">
        <v>5112</v>
      </c>
      <c r="B1072" s="61" t="s">
        <v>59</v>
      </c>
      <c r="C1072">
        <v>1115</v>
      </c>
      <c r="D1072" s="57" t="s">
        <v>352</v>
      </c>
      <c r="E1072" s="67">
        <v>45529</v>
      </c>
      <c r="F1072" s="62">
        <v>2164</v>
      </c>
      <c r="G1072" s="62">
        <v>1820</v>
      </c>
      <c r="H1072" s="62">
        <v>1929</v>
      </c>
      <c r="I1072" s="60">
        <f t="shared" ref="I1072:I1075" si="79">G1072/C1072</f>
        <v>1.6322869955156951</v>
      </c>
      <c r="J1072" s="60">
        <f t="shared" si="76"/>
        <v>109</v>
      </c>
      <c r="K1072" s="60">
        <f t="shared" si="77"/>
        <v>1.7300448430493274</v>
      </c>
      <c r="L1072" s="60">
        <f t="shared" si="78"/>
        <v>9.7757847533632258E-2</v>
      </c>
    </row>
    <row r="1073" spans="1:12" x14ac:dyDescent="0.25">
      <c r="A1073" s="61">
        <v>2256</v>
      </c>
      <c r="B1073" s="61" t="s">
        <v>355</v>
      </c>
      <c r="C1073">
        <v>810</v>
      </c>
      <c r="D1073" s="57" t="s">
        <v>49</v>
      </c>
      <c r="E1073" s="67">
        <v>45537</v>
      </c>
      <c r="F1073" s="62">
        <v>1580</v>
      </c>
      <c r="G1073" s="62">
        <v>1590</v>
      </c>
      <c r="H1073" s="62">
        <v>1505</v>
      </c>
      <c r="I1073" s="60">
        <f t="shared" si="79"/>
        <v>1.962962962962963</v>
      </c>
      <c r="J1073" s="60">
        <f t="shared" si="76"/>
        <v>-85</v>
      </c>
      <c r="K1073" s="60">
        <f t="shared" si="77"/>
        <v>1.8580246913580247</v>
      </c>
      <c r="L1073" s="60">
        <f t="shared" si="78"/>
        <v>-0.10493827160493829</v>
      </c>
    </row>
    <row r="1074" spans="1:12" x14ac:dyDescent="0.25">
      <c r="A1074" s="61">
        <v>2266</v>
      </c>
      <c r="B1074" s="61" t="s">
        <v>82</v>
      </c>
      <c r="C1074">
        <v>1112</v>
      </c>
      <c r="D1074" s="57" t="s">
        <v>49</v>
      </c>
      <c r="E1074" s="67">
        <v>45537</v>
      </c>
      <c r="F1074" s="62">
        <v>2145</v>
      </c>
      <c r="G1074" s="62">
        <v>1875</v>
      </c>
      <c r="H1074" s="62">
        <v>1955</v>
      </c>
      <c r="I1074" s="60">
        <f t="shared" si="79"/>
        <v>1.6861510791366907</v>
      </c>
      <c r="J1074" s="60">
        <f t="shared" si="76"/>
        <v>80</v>
      </c>
      <c r="K1074" s="60">
        <f t="shared" si="77"/>
        <v>1.7580935251798562</v>
      </c>
      <c r="L1074" s="60">
        <f t="shared" si="78"/>
        <v>7.1942446043165464E-2</v>
      </c>
    </row>
    <row r="1075" spans="1:12" x14ac:dyDescent="0.25">
      <c r="A1075" s="61">
        <v>2340</v>
      </c>
      <c r="B1075" s="61" t="s">
        <v>86</v>
      </c>
      <c r="C1075">
        <v>810</v>
      </c>
      <c r="D1075" s="57" t="s">
        <v>49</v>
      </c>
      <c r="E1075" s="67">
        <v>45534</v>
      </c>
      <c r="F1075" s="62">
        <v>1580</v>
      </c>
      <c r="G1075" s="62">
        <v>1555</v>
      </c>
      <c r="H1075" s="62">
        <v>1490</v>
      </c>
      <c r="I1075" s="60">
        <f t="shared" si="79"/>
        <v>1.9197530864197532</v>
      </c>
      <c r="J1075" s="60">
        <f t="shared" si="76"/>
        <v>-65</v>
      </c>
      <c r="K1075" s="60">
        <f t="shared" si="77"/>
        <v>1.8395061728395061</v>
      </c>
      <c r="L1075" s="60">
        <f t="shared" si="78"/>
        <v>-8.0246913580247048E-2</v>
      </c>
    </row>
    <row r="1076" spans="1:12" x14ac:dyDescent="0.25">
      <c r="A1076" s="61">
        <v>4113</v>
      </c>
      <c r="B1076" s="61" t="s">
        <v>145</v>
      </c>
      <c r="C1076">
        <v>1146</v>
      </c>
      <c r="D1076" s="57" t="s">
        <v>49</v>
      </c>
      <c r="E1076" s="67">
        <v>45533</v>
      </c>
      <c r="F1076" s="62">
        <v>2180</v>
      </c>
      <c r="G1076" s="62">
        <v>2170</v>
      </c>
      <c r="H1076" s="62">
        <v>1865</v>
      </c>
      <c r="I1076" s="60">
        <f t="shared" ref="I1076:I1086" si="80">G1076/C1076</f>
        <v>1.8935427574171029</v>
      </c>
      <c r="J1076" s="60">
        <f t="shared" ref="J1076:J1086" si="81">SUM(H1076-G1076)</f>
        <v>-305</v>
      </c>
      <c r="K1076" s="60">
        <f t="shared" ref="K1076:K1086" si="82">H1076/C1076</f>
        <v>1.6273996509598603</v>
      </c>
      <c r="L1076" s="60">
        <f t="shared" ref="L1076:L1086" si="83">K1076-I1076</f>
        <v>-0.2661431064572426</v>
      </c>
    </row>
    <row r="1077" spans="1:12" x14ac:dyDescent="0.25">
      <c r="A1077" s="61">
        <v>2346</v>
      </c>
      <c r="B1077" s="61" t="s">
        <v>74</v>
      </c>
      <c r="C1077">
        <v>1169</v>
      </c>
      <c r="D1077" s="57" t="s">
        <v>49</v>
      </c>
      <c r="E1077" s="67">
        <v>45533</v>
      </c>
      <c r="F1077" s="62">
        <v>2220</v>
      </c>
      <c r="G1077" s="62">
        <v>1835</v>
      </c>
      <c r="H1077" s="62">
        <v>1880</v>
      </c>
      <c r="I1077" s="60">
        <f t="shared" si="80"/>
        <v>1.5697177074422584</v>
      </c>
      <c r="J1077" s="60">
        <f t="shared" si="81"/>
        <v>45</v>
      </c>
      <c r="K1077" s="60">
        <f t="shared" si="82"/>
        <v>1.6082121471343027</v>
      </c>
      <c r="L1077" s="60">
        <f t="shared" si="83"/>
        <v>3.8494439692044358E-2</v>
      </c>
    </row>
    <row r="1078" spans="1:12" x14ac:dyDescent="0.25">
      <c r="A1078" s="61">
        <v>2105</v>
      </c>
      <c r="B1078" s="61" t="s">
        <v>57</v>
      </c>
      <c r="C1078">
        <v>700</v>
      </c>
      <c r="D1078" s="57" t="s">
        <v>49</v>
      </c>
      <c r="E1078" s="67">
        <v>45534</v>
      </c>
      <c r="F1078" s="62">
        <v>1515</v>
      </c>
      <c r="G1078" s="62">
        <v>1370</v>
      </c>
      <c r="H1078" s="62">
        <v>1448</v>
      </c>
      <c r="I1078" s="60">
        <f t="shared" si="80"/>
        <v>1.9571428571428571</v>
      </c>
      <c r="J1078" s="60">
        <f t="shared" si="81"/>
        <v>78</v>
      </c>
      <c r="K1078" s="60">
        <f t="shared" si="82"/>
        <v>2.0685714285714285</v>
      </c>
      <c r="L1078" s="60">
        <f t="shared" si="83"/>
        <v>0.11142857142857143</v>
      </c>
    </row>
    <row r="1079" spans="1:12" x14ac:dyDescent="0.25">
      <c r="A1079" s="61">
        <v>2149</v>
      </c>
      <c r="B1079" s="61" t="s">
        <v>86</v>
      </c>
      <c r="C1079">
        <v>810</v>
      </c>
      <c r="D1079" s="57" t="s">
        <v>352</v>
      </c>
      <c r="E1079" s="67">
        <v>45535</v>
      </c>
      <c r="F1079" s="62">
        <v>1555</v>
      </c>
      <c r="G1079" s="62">
        <v>1613</v>
      </c>
      <c r="H1079" s="62">
        <v>1700</v>
      </c>
      <c r="I1079" s="60">
        <f t="shared" si="80"/>
        <v>1.991358024691358</v>
      </c>
      <c r="J1079" s="60">
        <f t="shared" si="81"/>
        <v>87</v>
      </c>
      <c r="K1079" s="60">
        <f t="shared" si="82"/>
        <v>2.0987654320987654</v>
      </c>
      <c r="L1079" s="60">
        <f t="shared" si="83"/>
        <v>0.1074074074074074</v>
      </c>
    </row>
    <row r="1080" spans="1:12" x14ac:dyDescent="0.25">
      <c r="A1080" s="61">
        <v>2305</v>
      </c>
      <c r="B1080" s="61" t="s">
        <v>57</v>
      </c>
      <c r="C1080">
        <v>700</v>
      </c>
      <c r="D1080" s="57" t="s">
        <v>352</v>
      </c>
      <c r="E1080" s="67">
        <v>45534</v>
      </c>
      <c r="F1080" s="62">
        <v>1515</v>
      </c>
      <c r="G1080" s="62">
        <v>1646</v>
      </c>
      <c r="H1080" s="62">
        <v>1670</v>
      </c>
      <c r="I1080" s="60">
        <f t="shared" si="80"/>
        <v>2.3514285714285714</v>
      </c>
      <c r="J1080" s="60">
        <f t="shared" si="81"/>
        <v>24</v>
      </c>
      <c r="K1080" s="60">
        <f t="shared" si="82"/>
        <v>2.3857142857142857</v>
      </c>
      <c r="L1080" s="60">
        <f t="shared" si="83"/>
        <v>3.4285714285714253E-2</v>
      </c>
    </row>
    <row r="1081" spans="1:12" x14ac:dyDescent="0.25">
      <c r="A1081" s="61">
        <v>2144</v>
      </c>
      <c r="B1081" s="61" t="s">
        <v>57</v>
      </c>
      <c r="C1081">
        <v>700</v>
      </c>
      <c r="D1081" s="57" t="s">
        <v>49</v>
      </c>
      <c r="E1081" s="67">
        <v>45539</v>
      </c>
      <c r="F1081" s="62">
        <v>1515</v>
      </c>
      <c r="G1081" s="62">
        <v>1505</v>
      </c>
      <c r="H1081" s="62">
        <v>1355</v>
      </c>
      <c r="I1081" s="60">
        <f t="shared" si="80"/>
        <v>2.15</v>
      </c>
      <c r="J1081" s="60">
        <f t="shared" si="81"/>
        <v>-150</v>
      </c>
      <c r="K1081" s="60">
        <f t="shared" si="82"/>
        <v>1.9357142857142857</v>
      </c>
      <c r="L1081" s="60">
        <f t="shared" si="83"/>
        <v>-0.21428571428571419</v>
      </c>
    </row>
    <row r="1082" spans="1:12" x14ac:dyDescent="0.25">
      <c r="A1082" s="61">
        <v>2344</v>
      </c>
      <c r="B1082" s="61" t="s">
        <v>57</v>
      </c>
      <c r="C1082">
        <v>700</v>
      </c>
      <c r="D1082" s="57" t="s">
        <v>49</v>
      </c>
      <c r="E1082" s="67">
        <v>45540</v>
      </c>
      <c r="F1082" s="62">
        <v>1515</v>
      </c>
      <c r="G1082" s="62">
        <v>1515</v>
      </c>
      <c r="H1082" s="62">
        <v>1370</v>
      </c>
      <c r="I1082" s="60">
        <f t="shared" si="80"/>
        <v>2.1642857142857141</v>
      </c>
      <c r="J1082" s="60">
        <f t="shared" si="81"/>
        <v>-145</v>
      </c>
      <c r="K1082" s="60">
        <f t="shared" si="82"/>
        <v>1.9571428571428571</v>
      </c>
      <c r="L1082" s="60">
        <f t="shared" si="83"/>
        <v>-0.20714285714285707</v>
      </c>
    </row>
    <row r="1083" spans="1:12" x14ac:dyDescent="0.25">
      <c r="A1083" s="61">
        <v>4307</v>
      </c>
      <c r="B1083" s="61" t="s">
        <v>59</v>
      </c>
      <c r="C1083">
        <v>1115</v>
      </c>
      <c r="D1083" s="57" t="s">
        <v>49</v>
      </c>
      <c r="E1083" s="67">
        <v>45541</v>
      </c>
      <c r="F1083" s="62">
        <v>2135</v>
      </c>
      <c r="G1083" s="62">
        <v>1955</v>
      </c>
      <c r="H1083" s="62">
        <v>1815</v>
      </c>
      <c r="I1083" s="60">
        <f t="shared" si="80"/>
        <v>1.7533632286995515</v>
      </c>
      <c r="J1083" s="60">
        <f t="shared" si="81"/>
        <v>-140</v>
      </c>
      <c r="K1083" s="60">
        <f t="shared" si="82"/>
        <v>1.6278026905829597</v>
      </c>
      <c r="L1083" s="60">
        <f t="shared" si="83"/>
        <v>-0.12556053811659185</v>
      </c>
    </row>
    <row r="1084" spans="1:12" x14ac:dyDescent="0.25">
      <c r="A1084" s="61">
        <v>2238</v>
      </c>
      <c r="B1084" s="61" t="s">
        <v>355</v>
      </c>
      <c r="C1084">
        <v>810</v>
      </c>
      <c r="D1084" s="57" t="s">
        <v>352</v>
      </c>
      <c r="E1084" s="67">
        <v>45538</v>
      </c>
      <c r="F1084" s="62">
        <v>1555</v>
      </c>
      <c r="G1084" s="62">
        <v>1702</v>
      </c>
      <c r="H1084" s="62">
        <v>1702</v>
      </c>
      <c r="I1084" s="60">
        <f t="shared" si="80"/>
        <v>2.1012345679012348</v>
      </c>
      <c r="J1084" s="60">
        <f t="shared" si="81"/>
        <v>0</v>
      </c>
      <c r="K1084" s="60">
        <f t="shared" si="82"/>
        <v>2.1012345679012348</v>
      </c>
      <c r="L1084" s="60">
        <f t="shared" si="83"/>
        <v>0</v>
      </c>
    </row>
    <row r="1085" spans="1:12" x14ac:dyDescent="0.25">
      <c r="A1085" s="61">
        <v>2348</v>
      </c>
      <c r="B1085" s="61" t="s">
        <v>355</v>
      </c>
      <c r="C1085">
        <v>810</v>
      </c>
      <c r="D1085" s="57" t="s">
        <v>352</v>
      </c>
      <c r="E1085" s="67">
        <v>45542</v>
      </c>
      <c r="F1085" s="62">
        <v>1580</v>
      </c>
      <c r="G1085" s="62">
        <v>1600</v>
      </c>
      <c r="H1085" s="62">
        <v>1645</v>
      </c>
      <c r="I1085" s="60">
        <f t="shared" si="80"/>
        <v>1.9753086419753085</v>
      </c>
      <c r="J1085" s="60">
        <f t="shared" si="81"/>
        <v>45</v>
      </c>
      <c r="K1085" s="60">
        <f t="shared" si="82"/>
        <v>2.0308641975308643</v>
      </c>
      <c r="L1085" s="60">
        <f t="shared" si="83"/>
        <v>5.5555555555555802E-2</v>
      </c>
    </row>
    <row r="1086" spans="1:12" x14ac:dyDescent="0.25">
      <c r="A1086" s="61">
        <v>5101</v>
      </c>
      <c r="B1086" s="61" t="s">
        <v>151</v>
      </c>
      <c r="C1086">
        <v>1141</v>
      </c>
      <c r="D1086" s="57" t="s">
        <v>352</v>
      </c>
      <c r="E1086" s="67">
        <v>45542</v>
      </c>
      <c r="F1086" s="62">
        <v>2150</v>
      </c>
      <c r="G1086" s="62">
        <v>2303</v>
      </c>
      <c r="H1086" s="62">
        <v>2303</v>
      </c>
      <c r="I1086" s="60">
        <f t="shared" si="80"/>
        <v>2.01840490797546</v>
      </c>
      <c r="J1086" s="60">
        <f t="shared" si="81"/>
        <v>0</v>
      </c>
      <c r="K1086" s="60">
        <f t="shared" si="82"/>
        <v>2.01840490797546</v>
      </c>
      <c r="L1086" s="60">
        <f t="shared" si="83"/>
        <v>0</v>
      </c>
    </row>
    <row r="1087" spans="1:12" x14ac:dyDescent="0.25">
      <c r="A1087" s="61">
        <v>5315</v>
      </c>
      <c r="B1087" s="61" t="s">
        <v>151</v>
      </c>
      <c r="C1087">
        <v>1141</v>
      </c>
      <c r="D1087" s="57" t="s">
        <v>352</v>
      </c>
      <c r="E1087" s="67">
        <v>45542</v>
      </c>
      <c r="F1087" s="62">
        <v>2150</v>
      </c>
      <c r="G1087" s="62">
        <v>2205</v>
      </c>
      <c r="H1087" s="62">
        <v>2293</v>
      </c>
      <c r="I1087" s="60">
        <f t="shared" ref="I1087:I1094" si="84">G1087/C1087</f>
        <v>1.9325153374233128</v>
      </c>
      <c r="J1087" s="60">
        <f t="shared" ref="J1087:J1094" si="85">SUM(H1087-G1087)</f>
        <v>88</v>
      </c>
      <c r="K1087" s="60">
        <f t="shared" ref="K1087:K1094" si="86">H1087/C1087</f>
        <v>2.009640666082384</v>
      </c>
      <c r="L1087" s="60">
        <f t="shared" ref="L1087:L1094" si="87">K1087-I1087</f>
        <v>7.712532865907118E-2</v>
      </c>
    </row>
    <row r="1088" spans="1:12" x14ac:dyDescent="0.25">
      <c r="A1088" s="61">
        <v>2161</v>
      </c>
      <c r="B1088" s="61" t="s">
        <v>57</v>
      </c>
      <c r="C1088">
        <v>700</v>
      </c>
      <c r="D1088" s="57" t="s">
        <v>49</v>
      </c>
      <c r="E1088" s="67">
        <v>45545</v>
      </c>
      <c r="F1088" s="62">
        <v>1515</v>
      </c>
      <c r="G1088" s="62">
        <v>1360</v>
      </c>
      <c r="H1088" s="62">
        <v>1545</v>
      </c>
      <c r="I1088" s="60">
        <f t="shared" si="84"/>
        <v>1.9428571428571428</v>
      </c>
      <c r="J1088" s="60">
        <f t="shared" si="85"/>
        <v>185</v>
      </c>
      <c r="K1088" s="60">
        <f t="shared" si="86"/>
        <v>2.2071428571428573</v>
      </c>
      <c r="L1088" s="60">
        <f t="shared" si="87"/>
        <v>0.26428571428571446</v>
      </c>
    </row>
    <row r="1089" spans="1:12" x14ac:dyDescent="0.25">
      <c r="A1089" s="61">
        <v>2230</v>
      </c>
      <c r="B1089" s="61" t="s">
        <v>48</v>
      </c>
      <c r="C1089">
        <v>806</v>
      </c>
      <c r="D1089" s="57" t="s">
        <v>49</v>
      </c>
      <c r="E1089" s="67">
        <v>45548</v>
      </c>
      <c r="F1089" s="62">
        <v>1620</v>
      </c>
      <c r="G1089" s="62">
        <v>1615</v>
      </c>
      <c r="H1089" s="62">
        <v>1430</v>
      </c>
      <c r="I1089" s="60">
        <f t="shared" si="84"/>
        <v>2.0037220843672459</v>
      </c>
      <c r="J1089" s="60">
        <f t="shared" si="85"/>
        <v>-185</v>
      </c>
      <c r="K1089" s="60">
        <f t="shared" si="86"/>
        <v>1.7741935483870968</v>
      </c>
      <c r="L1089" s="60">
        <f t="shared" si="87"/>
        <v>-0.22952853598014911</v>
      </c>
    </row>
    <row r="1090" spans="1:12" x14ac:dyDescent="0.25">
      <c r="A1090" s="61">
        <v>2249</v>
      </c>
      <c r="B1090" s="61" t="s">
        <v>355</v>
      </c>
      <c r="C1090">
        <v>810</v>
      </c>
      <c r="D1090" s="57" t="s">
        <v>49</v>
      </c>
      <c r="E1090" s="67">
        <v>45551</v>
      </c>
      <c r="F1090" s="62">
        <v>1555</v>
      </c>
      <c r="G1090" s="62">
        <v>1695</v>
      </c>
      <c r="H1090" s="62">
        <v>1425</v>
      </c>
      <c r="I1090" s="60">
        <f t="shared" si="84"/>
        <v>2.0925925925925926</v>
      </c>
      <c r="J1090" s="60">
        <f t="shared" si="85"/>
        <v>-270</v>
      </c>
      <c r="K1090" s="60">
        <f t="shared" si="86"/>
        <v>1.7592592592592593</v>
      </c>
      <c r="L1090" s="60">
        <f t="shared" si="87"/>
        <v>-0.33333333333333326</v>
      </c>
    </row>
    <row r="1091" spans="1:12" x14ac:dyDescent="0.25">
      <c r="A1091" s="61">
        <v>4105</v>
      </c>
      <c r="B1091" s="61" t="s">
        <v>61</v>
      </c>
      <c r="C1091">
        <v>820</v>
      </c>
      <c r="D1091" s="57" t="s">
        <v>49</v>
      </c>
      <c r="E1091" s="67">
        <v>45548</v>
      </c>
      <c r="F1091" s="62">
        <v>1740</v>
      </c>
      <c r="G1091" s="62">
        <v>1848</v>
      </c>
      <c r="H1091" s="62">
        <v>1720</v>
      </c>
      <c r="I1091" s="60">
        <f t="shared" si="84"/>
        <v>2.2536585365853656</v>
      </c>
      <c r="J1091" s="60">
        <f t="shared" si="85"/>
        <v>-128</v>
      </c>
      <c r="K1091" s="60">
        <f t="shared" si="86"/>
        <v>2.0975609756097562</v>
      </c>
      <c r="L1091" s="60">
        <f t="shared" si="87"/>
        <v>-0.15609756097560945</v>
      </c>
    </row>
    <row r="1092" spans="1:12" x14ac:dyDescent="0.25">
      <c r="A1092" s="61">
        <v>4108</v>
      </c>
      <c r="B1092" s="61" t="s">
        <v>57</v>
      </c>
      <c r="C1092">
        <v>700</v>
      </c>
      <c r="D1092" s="57" t="s">
        <v>49</v>
      </c>
      <c r="E1092" s="67">
        <v>45545</v>
      </c>
      <c r="F1092" s="62">
        <v>1515</v>
      </c>
      <c r="G1092" s="62">
        <v>1589</v>
      </c>
      <c r="H1092" s="62">
        <v>1550</v>
      </c>
      <c r="I1092" s="60">
        <f t="shared" si="84"/>
        <v>2.27</v>
      </c>
      <c r="J1092" s="60">
        <f t="shared" si="85"/>
        <v>-39</v>
      </c>
      <c r="K1092" s="60">
        <f t="shared" si="86"/>
        <v>2.2142857142857144</v>
      </c>
      <c r="L1092" s="60">
        <f t="shared" si="87"/>
        <v>-5.5714285714285605E-2</v>
      </c>
    </row>
    <row r="1093" spans="1:12" x14ac:dyDescent="0.25">
      <c r="A1093" s="61">
        <v>5306</v>
      </c>
      <c r="B1093" s="61" t="s">
        <v>59</v>
      </c>
      <c r="C1093">
        <v>1115</v>
      </c>
      <c r="D1093" s="57" t="s">
        <v>49</v>
      </c>
      <c r="E1093" s="67">
        <v>45547</v>
      </c>
      <c r="F1093" s="62">
        <v>2165</v>
      </c>
      <c r="G1093" s="62">
        <v>1795</v>
      </c>
      <c r="H1093" s="62">
        <v>1835</v>
      </c>
      <c r="I1093" s="60">
        <f t="shared" si="84"/>
        <v>1.6098654708520179</v>
      </c>
      <c r="J1093" s="60">
        <f t="shared" si="85"/>
        <v>40</v>
      </c>
      <c r="K1093" s="60">
        <f t="shared" si="86"/>
        <v>1.6457399103139014</v>
      </c>
      <c r="L1093" s="60">
        <f t="shared" si="87"/>
        <v>3.5874439461883512E-2</v>
      </c>
    </row>
    <row r="1094" spans="1:12" x14ac:dyDescent="0.25">
      <c r="A1094" s="61">
        <v>2210</v>
      </c>
      <c r="B1094" s="61" t="s">
        <v>57</v>
      </c>
      <c r="C1094">
        <v>700</v>
      </c>
      <c r="D1094" s="57" t="s">
        <v>352</v>
      </c>
      <c r="E1094" s="67">
        <v>45549</v>
      </c>
      <c r="F1094" s="62">
        <v>1560</v>
      </c>
      <c r="G1094" s="62">
        <v>1579</v>
      </c>
      <c r="H1094" s="62">
        <v>1579</v>
      </c>
      <c r="I1094" s="60">
        <f t="shared" si="84"/>
        <v>2.2557142857142858</v>
      </c>
      <c r="J1094" s="60">
        <f t="shared" si="85"/>
        <v>0</v>
      </c>
      <c r="K1094" s="60">
        <f t="shared" si="86"/>
        <v>2.2557142857142858</v>
      </c>
      <c r="L1094" s="60">
        <f t="shared" si="87"/>
        <v>0</v>
      </c>
    </row>
    <row r="1095" spans="1:12" x14ac:dyDescent="0.25">
      <c r="A1095" s="61">
        <v>2243</v>
      </c>
      <c r="B1095" s="61" t="s">
        <v>48</v>
      </c>
      <c r="C1095">
        <v>806</v>
      </c>
      <c r="D1095" s="57" t="s">
        <v>352</v>
      </c>
      <c r="E1095" s="67">
        <v>45549</v>
      </c>
      <c r="F1095" s="62">
        <v>1620</v>
      </c>
      <c r="G1095" s="62">
        <v>1646</v>
      </c>
      <c r="H1095" s="62">
        <v>1646</v>
      </c>
      <c r="I1095" s="60">
        <f t="shared" ref="I1095:I1101" si="88">G1095/C1095</f>
        <v>2.0421836228287842</v>
      </c>
      <c r="J1095" s="60">
        <f t="shared" ref="J1095:J1101" si="89">SUM(H1095-G1095)</f>
        <v>0</v>
      </c>
      <c r="K1095" s="60">
        <f t="shared" ref="K1095:K1101" si="90">H1095/C1095</f>
        <v>2.0421836228287842</v>
      </c>
      <c r="L1095" s="60">
        <f t="shared" ref="L1095:L1101" si="91">K1095-I1095</f>
        <v>0</v>
      </c>
    </row>
    <row r="1096" spans="1:12" x14ac:dyDescent="0.25">
      <c r="A1096" s="61">
        <v>4109</v>
      </c>
      <c r="B1096" s="61" t="s">
        <v>151</v>
      </c>
      <c r="C1096">
        <v>1141</v>
      </c>
      <c r="D1096" s="57" t="s">
        <v>352</v>
      </c>
      <c r="E1096" s="67">
        <v>45547</v>
      </c>
      <c r="F1096" s="62">
        <v>2150</v>
      </c>
      <c r="G1096" s="62">
        <v>2270</v>
      </c>
      <c r="H1096" s="62">
        <v>2270</v>
      </c>
      <c r="I1096" s="60">
        <f t="shared" si="88"/>
        <v>1.9894829097283084</v>
      </c>
      <c r="J1096" s="60">
        <f t="shared" si="89"/>
        <v>0</v>
      </c>
      <c r="K1096" s="60">
        <f t="shared" si="90"/>
        <v>1.9894829097283084</v>
      </c>
      <c r="L1096" s="60">
        <f t="shared" si="91"/>
        <v>0</v>
      </c>
    </row>
    <row r="1097" spans="1:12" x14ac:dyDescent="0.25">
      <c r="A1097" s="61">
        <v>4301</v>
      </c>
      <c r="B1097" s="61" t="s">
        <v>59</v>
      </c>
      <c r="C1097">
        <v>1115</v>
      </c>
      <c r="D1097" s="57" t="s">
        <v>352</v>
      </c>
      <c r="E1097" s="67">
        <v>45546</v>
      </c>
      <c r="F1097" s="62">
        <v>2165</v>
      </c>
      <c r="G1097" s="62">
        <v>1823</v>
      </c>
      <c r="H1097" s="62">
        <v>1901</v>
      </c>
      <c r="I1097" s="60">
        <f t="shared" si="88"/>
        <v>1.6349775784753364</v>
      </c>
      <c r="J1097" s="60">
        <f t="shared" si="89"/>
        <v>78</v>
      </c>
      <c r="K1097" s="60">
        <f t="shared" si="90"/>
        <v>1.7049327354260089</v>
      </c>
      <c r="L1097" s="60">
        <f t="shared" si="91"/>
        <v>6.9955156950672448E-2</v>
      </c>
    </row>
    <row r="1098" spans="1:12" x14ac:dyDescent="0.25">
      <c r="A1098" s="61">
        <v>2232</v>
      </c>
      <c r="B1098" s="61" t="s">
        <v>82</v>
      </c>
      <c r="C1098">
        <v>1112</v>
      </c>
      <c r="D1098" s="57" t="s">
        <v>49</v>
      </c>
      <c r="E1098" s="67">
        <v>45555</v>
      </c>
      <c r="F1098" s="62">
        <v>2125</v>
      </c>
      <c r="G1098" s="62">
        <v>1855</v>
      </c>
      <c r="H1098" s="62">
        <v>1910</v>
      </c>
      <c r="I1098" s="60">
        <f t="shared" si="88"/>
        <v>1.6681654676258992</v>
      </c>
      <c r="J1098" s="60">
        <f t="shared" si="89"/>
        <v>55</v>
      </c>
      <c r="K1098" s="60">
        <f t="shared" si="90"/>
        <v>1.7176258992805755</v>
      </c>
      <c r="L1098" s="60">
        <f t="shared" si="91"/>
        <v>4.9460431654676285E-2</v>
      </c>
    </row>
    <row r="1099" spans="1:12" x14ac:dyDescent="0.25">
      <c r="A1099" s="61">
        <v>5303</v>
      </c>
      <c r="B1099" s="61" t="s">
        <v>59</v>
      </c>
      <c r="C1099">
        <v>1115</v>
      </c>
      <c r="D1099" s="57" t="s">
        <v>352</v>
      </c>
      <c r="E1099" s="67">
        <v>45555</v>
      </c>
      <c r="F1099" s="62">
        <v>2135</v>
      </c>
      <c r="G1099" s="62">
        <v>1720</v>
      </c>
      <c r="H1099" s="62">
        <v>1823</v>
      </c>
      <c r="I1099" s="60">
        <f t="shared" si="88"/>
        <v>1.5426008968609866</v>
      </c>
      <c r="J1099" s="60">
        <f t="shared" si="89"/>
        <v>103</v>
      </c>
      <c r="K1099" s="60">
        <f t="shared" si="90"/>
        <v>1.6349775784753364</v>
      </c>
      <c r="L1099" s="60">
        <f t="shared" si="91"/>
        <v>9.2376681614349865E-2</v>
      </c>
    </row>
    <row r="1100" spans="1:12" x14ac:dyDescent="0.25">
      <c r="A1100" s="61">
        <v>2320</v>
      </c>
      <c r="B1100" s="61" t="s">
        <v>59</v>
      </c>
      <c r="C1100">
        <v>1115</v>
      </c>
      <c r="D1100" s="57" t="s">
        <v>49</v>
      </c>
      <c r="E1100" s="67">
        <v>45562</v>
      </c>
      <c r="F1100" s="62">
        <v>2135</v>
      </c>
      <c r="G1100" s="62">
        <v>2182</v>
      </c>
      <c r="H1100" s="62">
        <v>1820</v>
      </c>
      <c r="I1100" s="60">
        <f t="shared" si="88"/>
        <v>1.95695067264574</v>
      </c>
      <c r="J1100" s="60">
        <f t="shared" si="89"/>
        <v>-362</v>
      </c>
      <c r="K1100" s="60">
        <f t="shared" si="90"/>
        <v>1.6322869955156951</v>
      </c>
      <c r="L1100" s="60">
        <f t="shared" si="91"/>
        <v>-0.32466367713004485</v>
      </c>
    </row>
    <row r="1101" spans="1:12" x14ac:dyDescent="0.25">
      <c r="A1101" s="61">
        <v>5301</v>
      </c>
      <c r="B1101" s="61" t="s">
        <v>151</v>
      </c>
      <c r="C1101">
        <v>1141</v>
      </c>
      <c r="D1101" s="57" t="s">
        <v>49</v>
      </c>
      <c r="E1101" s="67">
        <v>45565</v>
      </c>
      <c r="F1101" s="62">
        <v>2150</v>
      </c>
      <c r="G1101" s="62">
        <v>2330</v>
      </c>
      <c r="H1101" s="62">
        <v>1970</v>
      </c>
      <c r="I1101" s="60">
        <f t="shared" si="88"/>
        <v>2.0420683610867658</v>
      </c>
      <c r="J1101" s="60">
        <f t="shared" si="89"/>
        <v>-360</v>
      </c>
      <c r="K1101" s="60">
        <f t="shared" si="90"/>
        <v>1.7265556529360211</v>
      </c>
      <c r="L1101" s="60">
        <f t="shared" si="91"/>
        <v>-0.31551270815074473</v>
      </c>
    </row>
    <row r="1102" spans="1:12" x14ac:dyDescent="0.25">
      <c r="A1102" s="61">
        <v>2259</v>
      </c>
      <c r="B1102" s="61" t="s">
        <v>48</v>
      </c>
      <c r="C1102">
        <v>806</v>
      </c>
      <c r="D1102" s="57" t="s">
        <v>352</v>
      </c>
      <c r="E1102" s="67">
        <v>45563</v>
      </c>
      <c r="F1102" s="62">
        <v>1620</v>
      </c>
      <c r="G1102" s="62">
        <v>1578</v>
      </c>
      <c r="H1102" s="62">
        <v>1578</v>
      </c>
      <c r="I1102" s="60">
        <f t="shared" ref="I1102:I1121" si="92">G1102/C1102</f>
        <v>1.9578163771712158</v>
      </c>
      <c r="J1102" s="60">
        <f t="shared" ref="J1102:J1121" si="93">SUM(H1102-G1102)</f>
        <v>0</v>
      </c>
      <c r="K1102" s="60">
        <f t="shared" ref="K1102:K1121" si="94">H1102/C1102</f>
        <v>1.9578163771712158</v>
      </c>
      <c r="L1102" s="60">
        <f t="shared" ref="L1102:L1121" si="95">K1102-I1102</f>
        <v>0</v>
      </c>
    </row>
    <row r="1103" spans="1:12" x14ac:dyDescent="0.25">
      <c r="A1103" s="61">
        <v>5210</v>
      </c>
      <c r="B1103" s="61" t="s">
        <v>153</v>
      </c>
      <c r="C1103">
        <v>700</v>
      </c>
      <c r="D1103" s="57" t="s">
        <v>352</v>
      </c>
      <c r="E1103" s="67">
        <v>45563</v>
      </c>
      <c r="F1103" s="62">
        <v>1480</v>
      </c>
      <c r="G1103" s="62">
        <v>1485</v>
      </c>
      <c r="H1103" s="62">
        <v>1485</v>
      </c>
      <c r="I1103" s="60">
        <f t="shared" si="92"/>
        <v>2.1214285714285714</v>
      </c>
      <c r="J1103" s="60">
        <f t="shared" si="93"/>
        <v>0</v>
      </c>
      <c r="K1103" s="60">
        <f t="shared" si="94"/>
        <v>2.1214285714285714</v>
      </c>
      <c r="L1103" s="60">
        <f t="shared" si="95"/>
        <v>0</v>
      </c>
    </row>
    <row r="1104" spans="1:12" x14ac:dyDescent="0.25">
      <c r="A1104" s="61">
        <v>2107</v>
      </c>
      <c r="B1104" s="61" t="s">
        <v>55</v>
      </c>
      <c r="C1104">
        <v>764</v>
      </c>
      <c r="D1104" s="57" t="s">
        <v>352</v>
      </c>
      <c r="E1104" s="67">
        <v>45570</v>
      </c>
      <c r="F1104" s="62">
        <v>1585</v>
      </c>
      <c r="G1104" s="62">
        <v>1600</v>
      </c>
      <c r="H1104" s="62">
        <v>1600</v>
      </c>
      <c r="I1104" s="60">
        <f t="shared" si="92"/>
        <v>2.0942408376963351</v>
      </c>
      <c r="J1104" s="60">
        <f t="shared" si="93"/>
        <v>0</v>
      </c>
      <c r="K1104" s="60">
        <f t="shared" si="94"/>
        <v>2.0942408376963351</v>
      </c>
      <c r="L1104" s="60">
        <f t="shared" si="95"/>
        <v>0</v>
      </c>
    </row>
    <row r="1105" spans="1:12" x14ac:dyDescent="0.25">
      <c r="A1105" s="61">
        <v>2227</v>
      </c>
      <c r="B1105" s="61" t="s">
        <v>57</v>
      </c>
      <c r="C1105">
        <v>700</v>
      </c>
      <c r="D1105" s="57" t="s">
        <v>352</v>
      </c>
      <c r="E1105" s="67">
        <v>45573</v>
      </c>
      <c r="F1105" s="62">
        <v>1515</v>
      </c>
      <c r="G1105" s="62">
        <v>1505</v>
      </c>
      <c r="H1105" s="62">
        <v>1516</v>
      </c>
      <c r="I1105" s="60">
        <f t="shared" si="92"/>
        <v>2.15</v>
      </c>
      <c r="J1105" s="60">
        <f t="shared" si="93"/>
        <v>11</v>
      </c>
      <c r="K1105" s="60">
        <f t="shared" si="94"/>
        <v>2.1657142857142859</v>
      </c>
      <c r="L1105" s="60">
        <f t="shared" si="95"/>
        <v>1.5714285714286014E-2</v>
      </c>
    </row>
    <row r="1106" spans="1:12" x14ac:dyDescent="0.25">
      <c r="A1106" s="61">
        <v>2247</v>
      </c>
      <c r="B1106" s="61" t="s">
        <v>48</v>
      </c>
      <c r="C1106">
        <v>806</v>
      </c>
      <c r="D1106" s="57" t="s">
        <v>352</v>
      </c>
      <c r="E1106" s="67">
        <v>45570</v>
      </c>
      <c r="F1106" s="62">
        <v>1620</v>
      </c>
      <c r="G1106" s="62">
        <v>1562</v>
      </c>
      <c r="H1106" s="62">
        <v>1562</v>
      </c>
      <c r="I1106" s="60">
        <f t="shared" si="92"/>
        <v>1.9379652605459057</v>
      </c>
      <c r="J1106" s="60">
        <f t="shared" si="93"/>
        <v>0</v>
      </c>
      <c r="K1106" s="60">
        <f t="shared" si="94"/>
        <v>1.9379652605459057</v>
      </c>
      <c r="L1106" s="60">
        <f t="shared" si="95"/>
        <v>0</v>
      </c>
    </row>
    <row r="1107" spans="1:12" x14ac:dyDescent="0.25">
      <c r="A1107" s="61">
        <v>2261</v>
      </c>
      <c r="B1107" s="61" t="s">
        <v>57</v>
      </c>
      <c r="C1107">
        <v>700</v>
      </c>
      <c r="D1107" s="57" t="s">
        <v>352</v>
      </c>
      <c r="E1107" s="67">
        <v>45572</v>
      </c>
      <c r="F1107" s="62">
        <v>1515</v>
      </c>
      <c r="G1107" s="62">
        <v>1440</v>
      </c>
      <c r="H1107" s="62">
        <v>1471</v>
      </c>
      <c r="I1107" s="60">
        <f t="shared" si="92"/>
        <v>2.0571428571428569</v>
      </c>
      <c r="J1107" s="60">
        <f t="shared" si="93"/>
        <v>31</v>
      </c>
      <c r="K1107" s="60">
        <f t="shared" si="94"/>
        <v>2.1014285714285714</v>
      </c>
      <c r="L1107" s="60">
        <f t="shared" si="95"/>
        <v>4.4285714285714484E-2</v>
      </c>
    </row>
    <row r="1108" spans="1:12" x14ac:dyDescent="0.25">
      <c r="A1108" s="61">
        <v>2353</v>
      </c>
      <c r="B1108" s="61" t="s">
        <v>153</v>
      </c>
      <c r="C1108">
        <v>696</v>
      </c>
      <c r="D1108" s="57" t="s">
        <v>352</v>
      </c>
      <c r="E1108" s="67">
        <v>45567</v>
      </c>
      <c r="F1108" s="62">
        <v>1450</v>
      </c>
      <c r="G1108" s="62">
        <v>1521</v>
      </c>
      <c r="H1108" s="62">
        <v>1608</v>
      </c>
      <c r="I1108" s="60">
        <f t="shared" si="92"/>
        <v>2.1853448275862069</v>
      </c>
      <c r="J1108" s="60">
        <f t="shared" si="93"/>
        <v>87</v>
      </c>
      <c r="K1108" s="60">
        <f t="shared" si="94"/>
        <v>2.3103448275862069</v>
      </c>
      <c r="L1108" s="60">
        <f t="shared" si="95"/>
        <v>0.125</v>
      </c>
    </row>
    <row r="1109" spans="1:12" x14ac:dyDescent="0.25">
      <c r="A1109" s="61">
        <v>2359</v>
      </c>
      <c r="B1109" s="61" t="s">
        <v>59</v>
      </c>
      <c r="C1109">
        <v>1115</v>
      </c>
      <c r="D1109" s="57" t="s">
        <v>352</v>
      </c>
      <c r="E1109" s="67">
        <v>45567</v>
      </c>
      <c r="F1109" s="62">
        <v>2135</v>
      </c>
      <c r="G1109" s="62">
        <v>2000</v>
      </c>
      <c r="H1109" s="62">
        <v>2030</v>
      </c>
      <c r="I1109" s="60">
        <f t="shared" si="92"/>
        <v>1.7937219730941705</v>
      </c>
      <c r="J1109" s="60">
        <f t="shared" si="93"/>
        <v>30</v>
      </c>
      <c r="K1109" s="60">
        <f t="shared" si="94"/>
        <v>1.8206278026905829</v>
      </c>
      <c r="L1109" s="60">
        <f t="shared" si="95"/>
        <v>2.6905829596412412E-2</v>
      </c>
    </row>
    <row r="1110" spans="1:12" x14ac:dyDescent="0.25">
      <c r="A1110" s="61">
        <v>4212</v>
      </c>
      <c r="B1110" s="61" t="s">
        <v>145</v>
      </c>
      <c r="C1110">
        <v>1146</v>
      </c>
      <c r="D1110" s="57" t="s">
        <v>352</v>
      </c>
      <c r="E1110" s="67">
        <v>45570</v>
      </c>
      <c r="F1110" s="62">
        <v>2150</v>
      </c>
      <c r="G1110" s="62">
        <v>2069</v>
      </c>
      <c r="H1110" s="62">
        <v>2069</v>
      </c>
      <c r="I1110" s="60">
        <f t="shared" si="92"/>
        <v>1.8054101221640488</v>
      </c>
      <c r="J1110" s="60">
        <f t="shared" si="93"/>
        <v>0</v>
      </c>
      <c r="K1110" s="60">
        <f t="shared" si="94"/>
        <v>1.8054101221640488</v>
      </c>
      <c r="L1110" s="60">
        <f t="shared" si="95"/>
        <v>0</v>
      </c>
    </row>
    <row r="1111" spans="1:12" x14ac:dyDescent="0.25">
      <c r="A1111" s="61">
        <v>2125</v>
      </c>
      <c r="B1111" s="61" t="s">
        <v>48</v>
      </c>
      <c r="C1111">
        <v>806</v>
      </c>
      <c r="D1111" s="57" t="s">
        <v>352</v>
      </c>
      <c r="E1111" s="67">
        <v>45566</v>
      </c>
      <c r="F1111" s="62">
        <v>1620</v>
      </c>
      <c r="G1111" s="62">
        <v>1555</v>
      </c>
      <c r="H1111" s="62">
        <v>1602</v>
      </c>
      <c r="I1111" s="60">
        <f t="shared" si="92"/>
        <v>1.9292803970223324</v>
      </c>
      <c r="J1111" s="60">
        <f t="shared" si="93"/>
        <v>47</v>
      </c>
      <c r="K1111" s="60">
        <f t="shared" si="94"/>
        <v>1.9875930521091811</v>
      </c>
      <c r="L1111" s="60">
        <f t="shared" si="95"/>
        <v>5.8312655086848686E-2</v>
      </c>
    </row>
    <row r="1112" spans="1:12" x14ac:dyDescent="0.25">
      <c r="A1112" s="61">
        <v>2216</v>
      </c>
      <c r="B1112" s="61" t="s">
        <v>55</v>
      </c>
      <c r="C1112">
        <v>764</v>
      </c>
      <c r="D1112" s="57" t="s">
        <v>49</v>
      </c>
      <c r="E1112" s="67">
        <v>45569</v>
      </c>
      <c r="F1112" s="62">
        <v>1585</v>
      </c>
      <c r="G1112" s="62">
        <v>1577</v>
      </c>
      <c r="H1112" s="62">
        <v>1440</v>
      </c>
      <c r="I1112" s="60">
        <f t="shared" si="92"/>
        <v>2.0641361256544504</v>
      </c>
      <c r="J1112" s="60">
        <f t="shared" si="93"/>
        <v>-137</v>
      </c>
      <c r="K1112" s="60">
        <f t="shared" si="94"/>
        <v>1.8848167539267016</v>
      </c>
      <c r="L1112" s="60">
        <f t="shared" si="95"/>
        <v>-0.17931937172774881</v>
      </c>
    </row>
    <row r="1113" spans="1:12" x14ac:dyDescent="0.25">
      <c r="A1113" s="61">
        <v>2152</v>
      </c>
      <c r="B1113" s="61" t="s">
        <v>86</v>
      </c>
      <c r="C1113">
        <v>810</v>
      </c>
      <c r="D1113" s="57" t="s">
        <v>49</v>
      </c>
      <c r="E1113" s="67">
        <v>45576</v>
      </c>
      <c r="F1113" s="62">
        <v>1580</v>
      </c>
      <c r="G1113" s="62">
        <v>1601</v>
      </c>
      <c r="H1113" s="62">
        <v>1530</v>
      </c>
      <c r="I1113" s="60">
        <f t="shared" si="92"/>
        <v>1.9765432098765432</v>
      </c>
      <c r="J1113" s="60">
        <f t="shared" si="93"/>
        <v>-71</v>
      </c>
      <c r="K1113" s="60">
        <f t="shared" si="94"/>
        <v>1.8888888888888888</v>
      </c>
      <c r="L1113" s="60">
        <f t="shared" si="95"/>
        <v>-8.7654320987654355E-2</v>
      </c>
    </row>
    <row r="1114" spans="1:12" x14ac:dyDescent="0.25">
      <c r="A1114" s="61">
        <v>2209</v>
      </c>
      <c r="B1114" s="61" t="s">
        <v>61</v>
      </c>
      <c r="C1114">
        <v>820</v>
      </c>
      <c r="D1114" s="57" t="s">
        <v>49</v>
      </c>
      <c r="E1114" s="67">
        <v>45576</v>
      </c>
      <c r="F1114" s="62">
        <v>1615</v>
      </c>
      <c r="G1114" s="62">
        <v>1525</v>
      </c>
      <c r="H1114" s="62">
        <v>1495</v>
      </c>
      <c r="I1114" s="60">
        <f t="shared" si="92"/>
        <v>1.8597560975609757</v>
      </c>
      <c r="J1114" s="60">
        <f t="shared" si="93"/>
        <v>-30</v>
      </c>
      <c r="K1114" s="60">
        <f t="shared" si="94"/>
        <v>1.8231707317073171</v>
      </c>
      <c r="L1114" s="60">
        <f t="shared" si="95"/>
        <v>-3.6585365853658569E-2</v>
      </c>
    </row>
    <row r="1115" spans="1:12" x14ac:dyDescent="0.25">
      <c r="A1115" s="61">
        <v>2311</v>
      </c>
      <c r="B1115" s="61" t="s">
        <v>59</v>
      </c>
      <c r="C1115">
        <v>1115</v>
      </c>
      <c r="D1115" s="57" t="s">
        <v>49</v>
      </c>
      <c r="E1115" s="67">
        <v>45579</v>
      </c>
      <c r="F1115" s="62">
        <v>2165</v>
      </c>
      <c r="G1115" s="62">
        <v>1770</v>
      </c>
      <c r="H1115" s="62">
        <v>1960</v>
      </c>
      <c r="I1115" s="60">
        <f t="shared" si="92"/>
        <v>1.5874439461883407</v>
      </c>
      <c r="J1115" s="60">
        <f t="shared" si="93"/>
        <v>190</v>
      </c>
      <c r="K1115" s="60">
        <f t="shared" si="94"/>
        <v>1.757847533632287</v>
      </c>
      <c r="L1115" s="60">
        <f t="shared" si="95"/>
        <v>0.17040358744394624</v>
      </c>
    </row>
    <row r="1116" spans="1:12" x14ac:dyDescent="0.25">
      <c r="A1116" s="61">
        <v>2227</v>
      </c>
      <c r="B1116" s="61" t="s">
        <v>57</v>
      </c>
      <c r="C1116">
        <v>700</v>
      </c>
      <c r="D1116" s="57" t="s">
        <v>352</v>
      </c>
      <c r="E1116" s="67">
        <v>45573</v>
      </c>
      <c r="F1116" s="62">
        <v>1515</v>
      </c>
      <c r="G1116" s="62">
        <v>1505</v>
      </c>
      <c r="H1116" s="62">
        <v>1516</v>
      </c>
      <c r="I1116" s="60">
        <f t="shared" si="92"/>
        <v>2.15</v>
      </c>
      <c r="J1116" s="60">
        <f t="shared" si="93"/>
        <v>11</v>
      </c>
      <c r="K1116" s="60">
        <f t="shared" si="94"/>
        <v>2.1657142857142859</v>
      </c>
      <c r="L1116" s="60">
        <f t="shared" si="95"/>
        <v>1.5714285714286014E-2</v>
      </c>
    </row>
    <row r="1117" spans="1:12" x14ac:dyDescent="0.25">
      <c r="A1117" s="61">
        <v>2252</v>
      </c>
      <c r="B1117" s="61" t="s">
        <v>86</v>
      </c>
      <c r="C1117">
        <v>810</v>
      </c>
      <c r="D1117" s="57" t="s">
        <v>352</v>
      </c>
      <c r="E1117" s="67">
        <v>45575</v>
      </c>
      <c r="F1117" s="62">
        <v>1580</v>
      </c>
      <c r="G1117" s="62">
        <v>1670</v>
      </c>
      <c r="H1117" s="62">
        <v>1687</v>
      </c>
      <c r="I1117" s="60">
        <f t="shared" si="92"/>
        <v>2.0617283950617282</v>
      </c>
      <c r="J1117" s="60">
        <f t="shared" si="93"/>
        <v>17</v>
      </c>
      <c r="K1117" s="60">
        <f t="shared" si="94"/>
        <v>2.0827160493827162</v>
      </c>
      <c r="L1117" s="60">
        <f t="shared" si="95"/>
        <v>2.0987654320987925E-2</v>
      </c>
    </row>
    <row r="1118" spans="1:12" x14ac:dyDescent="0.25">
      <c r="A1118" s="61">
        <v>2337</v>
      </c>
      <c r="B1118" s="61" t="s">
        <v>153</v>
      </c>
      <c r="C1118">
        <v>696</v>
      </c>
      <c r="D1118" s="57" t="s">
        <v>49</v>
      </c>
      <c r="E1118" s="67">
        <v>45586</v>
      </c>
      <c r="F1118" s="62">
        <v>1450</v>
      </c>
      <c r="G1118" s="62">
        <v>1560</v>
      </c>
      <c r="H1118" s="62">
        <v>1595</v>
      </c>
      <c r="I1118" s="60">
        <f t="shared" si="92"/>
        <v>2.2413793103448274</v>
      </c>
      <c r="J1118" s="60">
        <f t="shared" si="93"/>
        <v>35</v>
      </c>
      <c r="K1118" s="60">
        <f t="shared" si="94"/>
        <v>2.2916666666666665</v>
      </c>
      <c r="L1118" s="60">
        <f t="shared" si="95"/>
        <v>5.0287356321839116E-2</v>
      </c>
    </row>
    <row r="1119" spans="1:12" x14ac:dyDescent="0.25">
      <c r="A1119" s="61">
        <v>5109</v>
      </c>
      <c r="B1119" s="61" t="s">
        <v>57</v>
      </c>
      <c r="C1119">
        <v>700</v>
      </c>
      <c r="D1119" s="57" t="s">
        <v>49</v>
      </c>
      <c r="E1119" s="67">
        <v>45580</v>
      </c>
      <c r="F1119" s="62">
        <v>1515</v>
      </c>
      <c r="G1119" s="62">
        <v>1599</v>
      </c>
      <c r="H1119" s="62">
        <v>1445</v>
      </c>
      <c r="I1119" s="60">
        <f t="shared" si="92"/>
        <v>2.2842857142857143</v>
      </c>
      <c r="J1119" s="60">
        <f t="shared" si="93"/>
        <v>-154</v>
      </c>
      <c r="K1119" s="60">
        <f t="shared" si="94"/>
        <v>2.0642857142857145</v>
      </c>
      <c r="L1119" s="60">
        <f t="shared" si="95"/>
        <v>-0.21999999999999975</v>
      </c>
    </row>
    <row r="1120" spans="1:12" x14ac:dyDescent="0.25">
      <c r="A1120" s="61">
        <v>2258</v>
      </c>
      <c r="B1120" s="61" t="s">
        <v>82</v>
      </c>
      <c r="C1120">
        <v>1112</v>
      </c>
      <c r="D1120" s="57" t="s">
        <v>352</v>
      </c>
      <c r="E1120" s="67">
        <v>45580</v>
      </c>
      <c r="F1120" s="62">
        <v>2125</v>
      </c>
      <c r="G1120" s="62">
        <v>2005</v>
      </c>
      <c r="H1120" s="62">
        <v>2049</v>
      </c>
      <c r="I1120" s="60">
        <f t="shared" si="92"/>
        <v>1.8030575539568345</v>
      </c>
      <c r="J1120" s="60">
        <f t="shared" si="93"/>
        <v>44</v>
      </c>
      <c r="K1120" s="60">
        <f t="shared" si="94"/>
        <v>1.8426258992805755</v>
      </c>
      <c r="L1120" s="60">
        <f t="shared" si="95"/>
        <v>3.9568345323740983E-2</v>
      </c>
    </row>
    <row r="1121" spans="1:12" x14ac:dyDescent="0.25">
      <c r="A1121" s="61">
        <v>2361</v>
      </c>
      <c r="B1121" s="61" t="s">
        <v>57</v>
      </c>
      <c r="C1121">
        <v>700</v>
      </c>
      <c r="D1121" s="57" t="s">
        <v>352</v>
      </c>
      <c r="E1121" s="67">
        <v>45580</v>
      </c>
      <c r="F1121" s="62">
        <v>1515</v>
      </c>
      <c r="G1121" s="62">
        <v>1515</v>
      </c>
      <c r="H1121" s="62">
        <v>1549</v>
      </c>
      <c r="I1121" s="60">
        <f t="shared" si="92"/>
        <v>2.1642857142857141</v>
      </c>
      <c r="J1121" s="60">
        <f t="shared" si="93"/>
        <v>34</v>
      </c>
      <c r="K1121" s="60">
        <f t="shared" si="94"/>
        <v>2.2128571428571431</v>
      </c>
      <c r="L1121" s="60">
        <f t="shared" si="95"/>
        <v>4.8571428571428932E-2</v>
      </c>
    </row>
    <row r="1122" spans="1:12" x14ac:dyDescent="0.25">
      <c r="A1122" s="61">
        <v>4209</v>
      </c>
      <c r="B1122" s="61" t="s">
        <v>151</v>
      </c>
      <c r="C1122">
        <v>1141</v>
      </c>
      <c r="D1122" s="57" t="s">
        <v>352</v>
      </c>
      <c r="E1122" s="67">
        <v>45580</v>
      </c>
      <c r="F1122" s="62">
        <v>2150</v>
      </c>
      <c r="G1122" s="62">
        <v>2142</v>
      </c>
      <c r="H1122" s="62">
        <v>2172</v>
      </c>
      <c r="I1122" s="60">
        <f t="shared" ref="I1122:I1163" si="96">G1122/C1122</f>
        <v>1.8773006134969326</v>
      </c>
      <c r="J1122" s="60">
        <f t="shared" ref="J1122:J1163" si="97">SUM(H1122-G1122)</f>
        <v>30</v>
      </c>
      <c r="K1122" s="60">
        <f t="shared" ref="K1122:K1163" si="98">H1122/C1122</f>
        <v>1.9035933391761612</v>
      </c>
      <c r="L1122" s="60">
        <f t="shared" ref="L1122:L1163" si="99">K1122-I1122</f>
        <v>2.629272567922869E-2</v>
      </c>
    </row>
    <row r="1123" spans="1:12" x14ac:dyDescent="0.25">
      <c r="A1123" s="61">
        <v>5209</v>
      </c>
      <c r="B1123" s="61" t="s">
        <v>57</v>
      </c>
      <c r="C1123">
        <v>700</v>
      </c>
      <c r="D1123" s="57" t="s">
        <v>352</v>
      </c>
      <c r="E1123" s="67">
        <v>45581</v>
      </c>
      <c r="F1123" s="62">
        <v>1515</v>
      </c>
      <c r="G1123" s="62">
        <v>1522</v>
      </c>
      <c r="H1123" s="62">
        <v>1522</v>
      </c>
      <c r="I1123" s="60">
        <f t="shared" si="96"/>
        <v>2.1742857142857144</v>
      </c>
      <c r="J1123" s="60">
        <f t="shared" si="97"/>
        <v>0</v>
      </c>
      <c r="K1123" s="60">
        <f t="shared" si="98"/>
        <v>2.1742857142857144</v>
      </c>
      <c r="L1123" s="60">
        <f t="shared" si="99"/>
        <v>0</v>
      </c>
    </row>
    <row r="1124" spans="1:12" x14ac:dyDescent="0.25">
      <c r="A1124" s="61">
        <v>2336</v>
      </c>
      <c r="B1124" s="61" t="s">
        <v>86</v>
      </c>
      <c r="C1124">
        <v>810</v>
      </c>
      <c r="D1124" s="57" t="s">
        <v>352</v>
      </c>
      <c r="E1124" s="67">
        <v>45584</v>
      </c>
      <c r="F1124" s="62">
        <v>1580</v>
      </c>
      <c r="G1124" s="62">
        <v>1742</v>
      </c>
      <c r="H1124" s="62">
        <v>1971</v>
      </c>
      <c r="I1124" s="60">
        <f t="shared" si="96"/>
        <v>2.1506172839506172</v>
      </c>
      <c r="J1124" s="60">
        <f t="shared" si="97"/>
        <v>229</v>
      </c>
      <c r="K1124" s="60">
        <f t="shared" si="98"/>
        <v>2.4333333333333331</v>
      </c>
      <c r="L1124" s="60">
        <f t="shared" si="99"/>
        <v>0.28271604938271588</v>
      </c>
    </row>
    <row r="1125" spans="1:12" x14ac:dyDescent="0.25">
      <c r="A1125" s="61">
        <v>5103</v>
      </c>
      <c r="B1125" s="61" t="s">
        <v>48</v>
      </c>
      <c r="C1125">
        <v>806</v>
      </c>
      <c r="D1125" s="57" t="s">
        <v>352</v>
      </c>
      <c r="E1125" s="67">
        <v>45584</v>
      </c>
      <c r="F1125" s="62">
        <v>1620</v>
      </c>
      <c r="G1125" s="62">
        <v>1615</v>
      </c>
      <c r="H1125" s="62">
        <v>1640</v>
      </c>
      <c r="I1125" s="60">
        <f t="shared" si="96"/>
        <v>2.0037220843672459</v>
      </c>
      <c r="J1125" s="60">
        <f t="shared" si="97"/>
        <v>25</v>
      </c>
      <c r="K1125" s="60">
        <f t="shared" si="98"/>
        <v>2.0347394540942929</v>
      </c>
      <c r="L1125" s="60">
        <f t="shared" si="99"/>
        <v>3.1017369727047051E-2</v>
      </c>
    </row>
    <row r="1126" spans="1:12" x14ac:dyDescent="0.25">
      <c r="A1126" s="61">
        <v>2165</v>
      </c>
      <c r="B1126" s="61" t="s">
        <v>65</v>
      </c>
      <c r="C1126">
        <v>813</v>
      </c>
      <c r="D1126" s="57" t="s">
        <v>49</v>
      </c>
      <c r="E1126" s="67">
        <v>45590</v>
      </c>
      <c r="F1126" s="62">
        <v>1580</v>
      </c>
      <c r="G1126" s="62">
        <v>1595</v>
      </c>
      <c r="H1126" s="62">
        <v>1665</v>
      </c>
      <c r="I1126" s="60">
        <f t="shared" si="96"/>
        <v>1.961869618696187</v>
      </c>
      <c r="J1126" s="60">
        <f t="shared" si="97"/>
        <v>70</v>
      </c>
      <c r="K1126" s="60">
        <f t="shared" si="98"/>
        <v>2.0479704797047971</v>
      </c>
      <c r="L1126" s="60">
        <f t="shared" si="99"/>
        <v>8.610086100861003E-2</v>
      </c>
    </row>
    <row r="1127" spans="1:12" x14ac:dyDescent="0.25">
      <c r="A1127" s="61">
        <v>2211</v>
      </c>
      <c r="B1127" s="61" t="s">
        <v>59</v>
      </c>
      <c r="C1127">
        <v>1115</v>
      </c>
      <c r="D1127" s="57" t="s">
        <v>352</v>
      </c>
      <c r="E1127" s="67">
        <v>45592</v>
      </c>
      <c r="F1127" s="62">
        <v>2135</v>
      </c>
      <c r="G1127" s="62">
        <v>1923</v>
      </c>
      <c r="H1127" s="62">
        <v>1923</v>
      </c>
      <c r="I1127" s="60">
        <f t="shared" si="96"/>
        <v>1.7246636771300448</v>
      </c>
      <c r="J1127" s="60">
        <f t="shared" si="97"/>
        <v>0</v>
      </c>
      <c r="K1127" s="60">
        <f t="shared" si="98"/>
        <v>1.7246636771300448</v>
      </c>
      <c r="L1127" s="60">
        <f t="shared" si="99"/>
        <v>0</v>
      </c>
    </row>
    <row r="1128" spans="1:12" x14ac:dyDescent="0.25">
      <c r="A1128" s="61">
        <v>4207</v>
      </c>
      <c r="B1128" s="61" t="s">
        <v>59</v>
      </c>
      <c r="C1128">
        <v>1115</v>
      </c>
      <c r="D1128" s="57" t="s">
        <v>352</v>
      </c>
      <c r="E1128" s="67">
        <v>45587</v>
      </c>
      <c r="F1128" s="62">
        <v>2135</v>
      </c>
      <c r="G1128" s="62">
        <v>1760</v>
      </c>
      <c r="H1128" s="62">
        <v>1830</v>
      </c>
      <c r="I1128" s="60">
        <f t="shared" si="96"/>
        <v>1.5784753363228698</v>
      </c>
      <c r="J1128" s="60">
        <f t="shared" si="97"/>
        <v>70</v>
      </c>
      <c r="K1128" s="60">
        <f t="shared" si="98"/>
        <v>1.641255605381166</v>
      </c>
      <c r="L1128" s="60">
        <f t="shared" si="99"/>
        <v>6.2780269058296145E-2</v>
      </c>
    </row>
    <row r="1129" spans="1:12" x14ac:dyDescent="0.25">
      <c r="A1129" s="61">
        <v>5212</v>
      </c>
      <c r="B1129" s="61" t="s">
        <v>59</v>
      </c>
      <c r="C1129">
        <v>1115</v>
      </c>
      <c r="D1129" s="57" t="s">
        <v>352</v>
      </c>
      <c r="E1129" s="67">
        <v>45587</v>
      </c>
      <c r="F1129" s="62">
        <v>2165</v>
      </c>
      <c r="G1129" s="62">
        <v>1918</v>
      </c>
      <c r="H1129" s="62">
        <v>1918</v>
      </c>
      <c r="I1129" s="60">
        <f t="shared" si="96"/>
        <v>1.7201793721973093</v>
      </c>
      <c r="J1129" s="60">
        <f t="shared" si="97"/>
        <v>0</v>
      </c>
      <c r="K1129" s="60">
        <f t="shared" si="98"/>
        <v>1.7201793721973093</v>
      </c>
      <c r="L1129" s="60">
        <f t="shared" si="99"/>
        <v>0</v>
      </c>
    </row>
    <row r="1130" spans="1:12" x14ac:dyDescent="0.25">
      <c r="A1130" s="61">
        <v>2141</v>
      </c>
      <c r="B1130" s="61" t="s">
        <v>355</v>
      </c>
      <c r="C1130">
        <v>810</v>
      </c>
      <c r="D1130" s="57" t="s">
        <v>352</v>
      </c>
      <c r="E1130" s="67">
        <v>45597</v>
      </c>
      <c r="F1130" s="62">
        <v>1555</v>
      </c>
      <c r="G1130" s="62">
        <v>1545</v>
      </c>
      <c r="H1130" s="62">
        <v>1567</v>
      </c>
      <c r="I1130" s="60">
        <f t="shared" si="96"/>
        <v>1.9074074074074074</v>
      </c>
      <c r="J1130" s="60">
        <f t="shared" si="97"/>
        <v>22</v>
      </c>
      <c r="K1130" s="60">
        <f t="shared" si="98"/>
        <v>1.934567901234568</v>
      </c>
      <c r="L1130" s="60">
        <f t="shared" si="99"/>
        <v>2.716049382716057E-2</v>
      </c>
    </row>
    <row r="1131" spans="1:12" x14ac:dyDescent="0.25">
      <c r="A1131" s="61">
        <v>2226</v>
      </c>
      <c r="B1131" s="61" t="s">
        <v>74</v>
      </c>
      <c r="C1131">
        <v>1164</v>
      </c>
      <c r="D1131" s="57" t="s">
        <v>49</v>
      </c>
      <c r="E1131" s="67">
        <v>45594</v>
      </c>
      <c r="F1131" s="62">
        <v>2240</v>
      </c>
      <c r="G1131" s="62">
        <v>1930</v>
      </c>
      <c r="H1131" s="62">
        <v>1940</v>
      </c>
      <c r="I1131" s="60">
        <f t="shared" si="96"/>
        <v>1.6580756013745706</v>
      </c>
      <c r="J1131" s="60">
        <f t="shared" si="97"/>
        <v>10</v>
      </c>
      <c r="K1131" s="60">
        <f t="shared" si="98"/>
        <v>1.6666666666666667</v>
      </c>
      <c r="L1131" s="60">
        <f t="shared" si="99"/>
        <v>8.5910652920961894E-3</v>
      </c>
    </row>
    <row r="1132" spans="1:12" x14ac:dyDescent="0.25">
      <c r="A1132" s="61">
        <v>2257</v>
      </c>
      <c r="B1132" s="61" t="s">
        <v>65</v>
      </c>
      <c r="C1132">
        <v>813</v>
      </c>
      <c r="D1132" s="57" t="s">
        <v>352</v>
      </c>
      <c r="E1132" s="67">
        <v>45603</v>
      </c>
      <c r="F1132" s="62">
        <v>1580</v>
      </c>
      <c r="G1132" s="62">
        <v>1545</v>
      </c>
      <c r="H1132" s="62">
        <v>1575</v>
      </c>
      <c r="I1132" s="60">
        <f t="shared" si="96"/>
        <v>1.9003690036900369</v>
      </c>
      <c r="J1132" s="60">
        <f t="shared" si="97"/>
        <v>30</v>
      </c>
      <c r="K1132" s="60">
        <f t="shared" si="98"/>
        <v>1.9372693726937269</v>
      </c>
      <c r="L1132" s="60">
        <f t="shared" si="99"/>
        <v>3.6900369003689981E-2</v>
      </c>
    </row>
    <row r="1133" spans="1:12" x14ac:dyDescent="0.25">
      <c r="A1133" s="61">
        <v>5107</v>
      </c>
      <c r="B1133" s="61" t="s">
        <v>57</v>
      </c>
      <c r="C1133">
        <v>700</v>
      </c>
      <c r="D1133" s="57" t="s">
        <v>352</v>
      </c>
      <c r="E1133" s="67">
        <v>45605</v>
      </c>
      <c r="F1133" s="62">
        <v>1515</v>
      </c>
      <c r="G1133" s="62">
        <v>1580</v>
      </c>
      <c r="H1133" s="62">
        <v>1647</v>
      </c>
      <c r="I1133" s="60">
        <f t="shared" si="96"/>
        <v>2.2571428571428571</v>
      </c>
      <c r="J1133" s="60">
        <f t="shared" si="97"/>
        <v>67</v>
      </c>
      <c r="K1133" s="60">
        <f t="shared" si="98"/>
        <v>2.3528571428571428</v>
      </c>
      <c r="L1133" s="60">
        <f t="shared" si="99"/>
        <v>9.5714285714285641E-2</v>
      </c>
    </row>
    <row r="1134" spans="1:12" x14ac:dyDescent="0.25">
      <c r="A1134" s="61">
        <v>2157</v>
      </c>
      <c r="B1134" s="61" t="s">
        <v>65</v>
      </c>
      <c r="C1134">
        <v>813</v>
      </c>
      <c r="D1134" s="57" t="s">
        <v>49</v>
      </c>
      <c r="E1134" s="67">
        <v>45601</v>
      </c>
      <c r="F1134" s="62">
        <v>1580</v>
      </c>
      <c r="G1134" s="62">
        <v>1565</v>
      </c>
      <c r="H1134" s="62">
        <v>1675</v>
      </c>
      <c r="I1134" s="60">
        <f t="shared" si="96"/>
        <v>1.9249692496924968</v>
      </c>
      <c r="J1134" s="60">
        <f t="shared" si="97"/>
        <v>110</v>
      </c>
      <c r="K1134" s="60">
        <f t="shared" si="98"/>
        <v>2.0602706027060269</v>
      </c>
      <c r="L1134" s="60">
        <f t="shared" si="99"/>
        <v>0.13530135301353008</v>
      </c>
    </row>
    <row r="1135" spans="1:12" x14ac:dyDescent="0.25">
      <c r="A1135" s="61">
        <v>2233</v>
      </c>
      <c r="B1135" s="61" t="s">
        <v>65</v>
      </c>
      <c r="C1135">
        <v>813</v>
      </c>
      <c r="D1135" s="57" t="s">
        <v>49</v>
      </c>
      <c r="E1135" s="67">
        <v>45603</v>
      </c>
      <c r="F1135" s="62">
        <v>1580</v>
      </c>
      <c r="G1135" s="62">
        <v>1605</v>
      </c>
      <c r="H1135" s="62">
        <v>1565</v>
      </c>
      <c r="I1135" s="60">
        <f t="shared" si="96"/>
        <v>1.9741697416974169</v>
      </c>
      <c r="J1135" s="60">
        <f t="shared" si="97"/>
        <v>-40</v>
      </c>
      <c r="K1135" s="60">
        <f t="shared" si="98"/>
        <v>1.9249692496924968</v>
      </c>
      <c r="L1135" s="60">
        <f t="shared" si="99"/>
        <v>-4.9200492004920049E-2</v>
      </c>
    </row>
    <row r="1136" spans="1:12" x14ac:dyDescent="0.25">
      <c r="A1136" s="61">
        <v>1102</v>
      </c>
      <c r="B1136" s="61" t="s">
        <v>137</v>
      </c>
      <c r="C1136">
        <v>1700</v>
      </c>
      <c r="D1136" s="57" t="s">
        <v>352</v>
      </c>
      <c r="E1136" s="67">
        <v>45610</v>
      </c>
      <c r="F1136" s="62">
        <v>2995</v>
      </c>
      <c r="G1136" s="62">
        <v>2546</v>
      </c>
      <c r="H1136" s="62">
        <v>2735</v>
      </c>
      <c r="I1136" s="60">
        <f t="shared" si="96"/>
        <v>1.4976470588235293</v>
      </c>
      <c r="J1136" s="60">
        <f t="shared" si="97"/>
        <v>189</v>
      </c>
      <c r="K1136" s="60">
        <f t="shared" si="98"/>
        <v>1.6088235294117648</v>
      </c>
      <c r="L1136" s="60">
        <f t="shared" si="99"/>
        <v>0.11117647058823543</v>
      </c>
    </row>
    <row r="1137" spans="1:12" x14ac:dyDescent="0.25">
      <c r="A1137" s="61">
        <v>2136</v>
      </c>
      <c r="B1137" s="61" t="s">
        <v>86</v>
      </c>
      <c r="C1137">
        <v>810</v>
      </c>
      <c r="D1137" s="57" t="s">
        <v>352</v>
      </c>
      <c r="E1137" s="67">
        <v>45608</v>
      </c>
      <c r="F1137" s="62">
        <v>1580</v>
      </c>
      <c r="G1137" s="62">
        <v>1560</v>
      </c>
      <c r="H1137" s="62">
        <v>1586</v>
      </c>
      <c r="I1137" s="60">
        <f t="shared" si="96"/>
        <v>1.9259259259259258</v>
      </c>
      <c r="J1137" s="60">
        <f t="shared" si="97"/>
        <v>26</v>
      </c>
      <c r="K1137" s="60">
        <f t="shared" si="98"/>
        <v>1.9580246913580246</v>
      </c>
      <c r="L1137" s="60">
        <f t="shared" si="99"/>
        <v>3.2098765432098775E-2</v>
      </c>
    </row>
    <row r="1138" spans="1:12" x14ac:dyDescent="0.25">
      <c r="A1138" s="61">
        <v>4104</v>
      </c>
      <c r="B1138" s="61" t="s">
        <v>48</v>
      </c>
      <c r="C1138">
        <v>806</v>
      </c>
      <c r="D1138" s="57" t="s">
        <v>352</v>
      </c>
      <c r="E1138" s="67">
        <v>45614</v>
      </c>
      <c r="F1138" s="62">
        <v>1620</v>
      </c>
      <c r="G1138" s="62">
        <v>1555</v>
      </c>
      <c r="H1138" s="62">
        <v>1574</v>
      </c>
      <c r="I1138" s="60">
        <f t="shared" si="96"/>
        <v>1.9292803970223324</v>
      </c>
      <c r="J1138" s="60">
        <f t="shared" si="97"/>
        <v>19</v>
      </c>
      <c r="K1138" s="60">
        <f t="shared" si="98"/>
        <v>1.9528535980148884</v>
      </c>
      <c r="L1138" s="60">
        <f t="shared" si="99"/>
        <v>2.3573200992555998E-2</v>
      </c>
    </row>
    <row r="1139" spans="1:12" x14ac:dyDescent="0.25">
      <c r="A1139" s="61">
        <v>2133</v>
      </c>
      <c r="B1139" s="61" t="s">
        <v>65</v>
      </c>
      <c r="C1139">
        <v>813</v>
      </c>
      <c r="D1139" s="57" t="s">
        <v>49</v>
      </c>
      <c r="E1139" s="67">
        <v>45611</v>
      </c>
      <c r="F1139" s="62">
        <v>1580</v>
      </c>
      <c r="G1139" s="62">
        <v>1505</v>
      </c>
      <c r="H1139" s="62">
        <v>1580</v>
      </c>
      <c r="I1139" s="60">
        <f t="shared" si="96"/>
        <v>1.8511685116851169</v>
      </c>
      <c r="J1139" s="60">
        <f t="shared" si="97"/>
        <v>75</v>
      </c>
      <c r="K1139" s="60">
        <f t="shared" si="98"/>
        <v>1.943419434194342</v>
      </c>
      <c r="L1139" s="60">
        <f t="shared" si="99"/>
        <v>9.2250922509225175E-2</v>
      </c>
    </row>
    <row r="1140" spans="1:12" x14ac:dyDescent="0.25">
      <c r="A1140" s="61">
        <v>2213</v>
      </c>
      <c r="B1140" s="61" t="s">
        <v>59</v>
      </c>
      <c r="C1140">
        <v>1115</v>
      </c>
      <c r="D1140" s="57" t="s">
        <v>49</v>
      </c>
      <c r="E1140" s="67">
        <v>45618</v>
      </c>
      <c r="F1140" s="62">
        <v>2135</v>
      </c>
      <c r="G1140" s="62">
        <v>2000</v>
      </c>
      <c r="H1140" s="62">
        <v>1695</v>
      </c>
      <c r="I1140" s="60">
        <f t="shared" si="96"/>
        <v>1.7937219730941705</v>
      </c>
      <c r="J1140" s="60">
        <f t="shared" si="97"/>
        <v>-305</v>
      </c>
      <c r="K1140" s="60">
        <f t="shared" si="98"/>
        <v>1.5201793721973094</v>
      </c>
      <c r="L1140" s="60">
        <f t="shared" si="99"/>
        <v>-0.27354260089686111</v>
      </c>
    </row>
    <row r="1141" spans="1:12" x14ac:dyDescent="0.25">
      <c r="A1141" s="61">
        <v>5308</v>
      </c>
      <c r="B1141" s="61" t="s">
        <v>59</v>
      </c>
      <c r="C1141">
        <v>1115</v>
      </c>
      <c r="D1141" s="57" t="s">
        <v>49</v>
      </c>
      <c r="E1141" s="67">
        <v>45616</v>
      </c>
      <c r="F1141" s="62">
        <v>2165</v>
      </c>
      <c r="G1141" s="62">
        <v>1833</v>
      </c>
      <c r="H1141" s="62">
        <v>1745</v>
      </c>
      <c r="I1141" s="60">
        <f t="shared" si="96"/>
        <v>1.6439461883408071</v>
      </c>
      <c r="J1141" s="60">
        <f t="shared" si="97"/>
        <v>-88</v>
      </c>
      <c r="K1141" s="60">
        <f t="shared" si="98"/>
        <v>1.5650224215246638</v>
      </c>
      <c r="L1141" s="60">
        <f t="shared" si="99"/>
        <v>-7.8923766816143326E-2</v>
      </c>
    </row>
    <row r="1142" spans="1:12" x14ac:dyDescent="0.25">
      <c r="A1142" s="61">
        <v>2222</v>
      </c>
      <c r="B1142" s="61" t="s">
        <v>86</v>
      </c>
      <c r="C1142">
        <v>810</v>
      </c>
      <c r="D1142" s="57" t="s">
        <v>352</v>
      </c>
      <c r="E1142" s="67">
        <v>45617</v>
      </c>
      <c r="F1142" s="62">
        <v>1600</v>
      </c>
      <c r="G1142" s="62">
        <v>1675</v>
      </c>
      <c r="H1142" s="62">
        <v>1700</v>
      </c>
      <c r="I1142" s="60">
        <f t="shared" si="96"/>
        <v>2.0679012345679011</v>
      </c>
      <c r="J1142" s="60">
        <f t="shared" si="97"/>
        <v>25</v>
      </c>
      <c r="K1142" s="60">
        <f t="shared" si="98"/>
        <v>2.0987654320987654</v>
      </c>
      <c r="L1142" s="60">
        <f t="shared" si="99"/>
        <v>3.0864197530864335E-2</v>
      </c>
    </row>
    <row r="1143" spans="1:12" x14ac:dyDescent="0.25">
      <c r="A1143" s="61">
        <v>2263</v>
      </c>
      <c r="B1143" s="61" t="s">
        <v>57</v>
      </c>
      <c r="C1143">
        <v>700</v>
      </c>
      <c r="D1143" s="57" t="s">
        <v>352</v>
      </c>
      <c r="E1143" s="67">
        <v>45616</v>
      </c>
      <c r="F1143" s="62">
        <v>1515</v>
      </c>
      <c r="G1143" s="62">
        <v>1490</v>
      </c>
      <c r="H1143" s="62">
        <v>1490</v>
      </c>
      <c r="I1143" s="60">
        <f t="shared" si="96"/>
        <v>2.1285714285714286</v>
      </c>
      <c r="J1143" s="60">
        <f t="shared" si="97"/>
        <v>0</v>
      </c>
      <c r="K1143" s="60">
        <f t="shared" si="98"/>
        <v>2.1285714285714286</v>
      </c>
      <c r="L1143" s="60">
        <f t="shared" si="99"/>
        <v>0</v>
      </c>
    </row>
    <row r="1144" spans="1:12" x14ac:dyDescent="0.25">
      <c r="A1144" s="61">
        <v>4303</v>
      </c>
      <c r="B1144" s="61" t="s">
        <v>59</v>
      </c>
      <c r="C1144">
        <v>1115</v>
      </c>
      <c r="D1144" s="57" t="s">
        <v>352</v>
      </c>
      <c r="E1144" s="67">
        <v>45615</v>
      </c>
      <c r="F1144" s="62">
        <v>2165</v>
      </c>
      <c r="G1144" s="62">
        <v>1790</v>
      </c>
      <c r="H1144" s="62">
        <v>1826</v>
      </c>
      <c r="I1144" s="60">
        <f t="shared" si="96"/>
        <v>1.6053811659192825</v>
      </c>
      <c r="J1144" s="60">
        <f t="shared" si="97"/>
        <v>36</v>
      </c>
      <c r="K1144" s="60">
        <f t="shared" si="98"/>
        <v>1.6376681614349775</v>
      </c>
      <c r="L1144" s="60">
        <f t="shared" si="99"/>
        <v>3.2286995515695027E-2</v>
      </c>
    </row>
    <row r="1145" spans="1:12" x14ac:dyDescent="0.25">
      <c r="A1145" s="61">
        <v>4204</v>
      </c>
      <c r="B1145" s="61" t="s">
        <v>59</v>
      </c>
      <c r="C1145">
        <v>1115</v>
      </c>
      <c r="D1145" s="57" t="s">
        <v>49</v>
      </c>
      <c r="E1145" s="67">
        <v>45628</v>
      </c>
      <c r="F1145" s="62">
        <v>2135</v>
      </c>
      <c r="G1145" s="62">
        <v>2135</v>
      </c>
      <c r="H1145" s="62">
        <v>1730</v>
      </c>
      <c r="I1145" s="60">
        <f t="shared" si="96"/>
        <v>1.9147982062780269</v>
      </c>
      <c r="J1145" s="60">
        <f t="shared" si="97"/>
        <v>-405</v>
      </c>
      <c r="K1145" s="60">
        <f t="shared" si="98"/>
        <v>1.5515695067264574</v>
      </c>
      <c r="L1145" s="60">
        <f t="shared" si="99"/>
        <v>-0.36322869955156944</v>
      </c>
    </row>
    <row r="1146" spans="1:12" x14ac:dyDescent="0.25">
      <c r="A1146" s="61">
        <v>5204</v>
      </c>
      <c r="B1146" s="61" t="s">
        <v>57</v>
      </c>
      <c r="C1146">
        <v>700</v>
      </c>
      <c r="D1146" s="57" t="s">
        <v>352</v>
      </c>
      <c r="E1146" s="67">
        <v>45628</v>
      </c>
      <c r="F1146" s="62">
        <v>2165</v>
      </c>
      <c r="G1146" s="62">
        <v>1815</v>
      </c>
      <c r="H1146" s="62">
        <v>1770</v>
      </c>
      <c r="I1146" s="60">
        <f t="shared" si="96"/>
        <v>2.592857142857143</v>
      </c>
      <c r="J1146" s="60">
        <f t="shared" si="97"/>
        <v>-45</v>
      </c>
      <c r="K1146" s="60">
        <f t="shared" si="98"/>
        <v>2.5285714285714285</v>
      </c>
      <c r="L1146" s="60">
        <f t="shared" si="99"/>
        <v>-6.4285714285714501E-2</v>
      </c>
    </row>
    <row r="1147" spans="1:12" x14ac:dyDescent="0.25">
      <c r="A1147" s="61">
        <v>5211</v>
      </c>
      <c r="B1147" s="61" t="s">
        <v>57</v>
      </c>
      <c r="C1147">
        <v>700</v>
      </c>
      <c r="D1147" s="57" t="s">
        <v>352</v>
      </c>
      <c r="E1147" s="67">
        <v>45628</v>
      </c>
      <c r="F1147" s="62">
        <v>1515</v>
      </c>
      <c r="G1147" s="62">
        <v>1614</v>
      </c>
      <c r="H1147" s="62">
        <v>1634</v>
      </c>
      <c r="I1147" s="60">
        <f t="shared" si="96"/>
        <v>2.3057142857142856</v>
      </c>
      <c r="J1147" s="60">
        <f t="shared" si="97"/>
        <v>20</v>
      </c>
      <c r="K1147" s="60">
        <f t="shared" si="98"/>
        <v>2.3342857142857141</v>
      </c>
      <c r="L1147" s="60">
        <f t="shared" si="99"/>
        <v>2.857142857142847E-2</v>
      </c>
    </row>
    <row r="1148" spans="1:12" x14ac:dyDescent="0.25">
      <c r="A1148" s="61" t="s">
        <v>254</v>
      </c>
      <c r="B1148" s="61" t="s">
        <v>153</v>
      </c>
      <c r="C1148">
        <v>696</v>
      </c>
      <c r="D1148" s="57" t="s">
        <v>352</v>
      </c>
      <c r="E1148" s="67">
        <v>45631</v>
      </c>
      <c r="F1148" s="62">
        <v>1450</v>
      </c>
      <c r="G1148" s="62">
        <v>1485</v>
      </c>
      <c r="H1148" s="62">
        <v>1557</v>
      </c>
      <c r="I1148" s="60">
        <f t="shared" si="96"/>
        <v>2.1336206896551726</v>
      </c>
      <c r="J1148" s="60">
        <f t="shared" si="97"/>
        <v>72</v>
      </c>
      <c r="K1148" s="60">
        <f t="shared" si="98"/>
        <v>2.2370689655172415</v>
      </c>
      <c r="L1148" s="60">
        <f t="shared" si="99"/>
        <v>0.10344827586206895</v>
      </c>
    </row>
    <row r="1149" spans="1:12" x14ac:dyDescent="0.25">
      <c r="A1149" s="61" t="s">
        <v>310</v>
      </c>
      <c r="B1149" s="61" t="s">
        <v>59</v>
      </c>
      <c r="C1149">
        <v>1115</v>
      </c>
      <c r="D1149" s="57" t="s">
        <v>352</v>
      </c>
      <c r="E1149" s="67">
        <v>45629</v>
      </c>
      <c r="F1149" s="62">
        <v>2165</v>
      </c>
      <c r="G1149" s="62">
        <v>1760</v>
      </c>
      <c r="H1149" s="62">
        <v>1816</v>
      </c>
      <c r="I1149" s="60">
        <f t="shared" si="96"/>
        <v>1.5784753363228698</v>
      </c>
      <c r="J1149" s="60">
        <f t="shared" si="97"/>
        <v>56</v>
      </c>
      <c r="K1149" s="60">
        <f t="shared" si="98"/>
        <v>1.6286995515695066</v>
      </c>
      <c r="L1149" s="60">
        <f t="shared" si="99"/>
        <v>5.0224215246636783E-2</v>
      </c>
    </row>
    <row r="1150" spans="1:12" x14ac:dyDescent="0.25">
      <c r="A1150" s="61" t="s">
        <v>83</v>
      </c>
      <c r="B1150" s="61" t="s">
        <v>55</v>
      </c>
      <c r="C1150">
        <v>764</v>
      </c>
      <c r="D1150" s="57" t="s">
        <v>49</v>
      </c>
      <c r="E1150" s="67">
        <v>45637</v>
      </c>
      <c r="F1150" s="62">
        <v>1585</v>
      </c>
      <c r="G1150" s="62">
        <v>1540</v>
      </c>
      <c r="H1150" s="62">
        <v>1555</v>
      </c>
      <c r="I1150" s="60">
        <f t="shared" si="96"/>
        <v>2.0157068062827226</v>
      </c>
      <c r="J1150" s="60">
        <f t="shared" si="97"/>
        <v>15</v>
      </c>
      <c r="K1150" s="60">
        <f t="shared" si="98"/>
        <v>2.0353403141361257</v>
      </c>
      <c r="L1150" s="60">
        <f t="shared" si="99"/>
        <v>1.963350785340312E-2</v>
      </c>
    </row>
    <row r="1151" spans="1:12" x14ac:dyDescent="0.25">
      <c r="A1151" s="61" t="s">
        <v>191</v>
      </c>
      <c r="B1151" s="61" t="s">
        <v>74</v>
      </c>
      <c r="C1151">
        <v>1164</v>
      </c>
      <c r="D1151" s="57" t="s">
        <v>49</v>
      </c>
      <c r="E1151" s="67">
        <v>45639</v>
      </c>
      <c r="F1151" s="62">
        <v>2240</v>
      </c>
      <c r="G1151" s="62">
        <v>1930</v>
      </c>
      <c r="H1151" s="62">
        <v>1880</v>
      </c>
      <c r="I1151" s="60">
        <f t="shared" si="96"/>
        <v>1.6580756013745706</v>
      </c>
      <c r="J1151" s="60">
        <f t="shared" si="97"/>
        <v>-50</v>
      </c>
      <c r="K1151" s="60">
        <f t="shared" si="98"/>
        <v>1.6151202749140894</v>
      </c>
      <c r="L1151" s="60">
        <f t="shared" si="99"/>
        <v>-4.2955326460481169E-2</v>
      </c>
    </row>
    <row r="1152" spans="1:12" x14ac:dyDescent="0.25">
      <c r="A1152" s="61">
        <v>1106</v>
      </c>
      <c r="B1152" s="61" t="s">
        <v>137</v>
      </c>
      <c r="C1152">
        <v>1700</v>
      </c>
      <c r="D1152" s="57" t="s">
        <v>352</v>
      </c>
      <c r="E1152" s="67">
        <v>45638</v>
      </c>
      <c r="F1152" s="62">
        <v>2995</v>
      </c>
      <c r="G1152" s="62">
        <v>2887</v>
      </c>
      <c r="H1152" s="62">
        <v>2887</v>
      </c>
      <c r="I1152" s="60">
        <f t="shared" si="96"/>
        <v>1.6982352941176471</v>
      </c>
      <c r="J1152" s="60">
        <f t="shared" si="97"/>
        <v>0</v>
      </c>
      <c r="K1152" s="60">
        <f t="shared" si="98"/>
        <v>1.6982352941176471</v>
      </c>
      <c r="L1152" s="60">
        <f t="shared" si="99"/>
        <v>0</v>
      </c>
    </row>
    <row r="1153" spans="1:12" x14ac:dyDescent="0.25">
      <c r="A1153" s="61">
        <v>2142</v>
      </c>
      <c r="B1153" s="61" t="s">
        <v>74</v>
      </c>
      <c r="C1153">
        <v>1169</v>
      </c>
      <c r="D1153" s="57" t="s">
        <v>49</v>
      </c>
      <c r="E1153" s="67">
        <v>45649</v>
      </c>
      <c r="F1153" s="62">
        <v>2220</v>
      </c>
      <c r="G1153" s="62">
        <v>1945</v>
      </c>
      <c r="H1153" s="62">
        <v>1815</v>
      </c>
      <c r="I1153" s="60">
        <f t="shared" si="96"/>
        <v>1.6638152266894781</v>
      </c>
      <c r="J1153" s="60">
        <f t="shared" si="97"/>
        <v>-130</v>
      </c>
      <c r="K1153" s="60">
        <f t="shared" si="98"/>
        <v>1.5526090675791275</v>
      </c>
      <c r="L1153" s="60">
        <f t="shared" si="99"/>
        <v>-0.11120615911035059</v>
      </c>
    </row>
    <row r="1154" spans="1:12" x14ac:dyDescent="0.25">
      <c r="A1154" s="61">
        <v>2313</v>
      </c>
      <c r="B1154" s="61" t="s">
        <v>59</v>
      </c>
      <c r="C1154">
        <v>1115</v>
      </c>
      <c r="D1154" s="57" t="s">
        <v>49</v>
      </c>
      <c r="E1154" s="67">
        <v>45644</v>
      </c>
      <c r="F1154" s="62">
        <v>2165</v>
      </c>
      <c r="G1154" s="62">
        <v>1945</v>
      </c>
      <c r="H1154" s="62">
        <v>1775</v>
      </c>
      <c r="I1154" s="60">
        <f t="shared" si="96"/>
        <v>1.7443946188340806</v>
      </c>
      <c r="J1154" s="60">
        <f t="shared" si="97"/>
        <v>-170</v>
      </c>
      <c r="K1154" s="60">
        <f t="shared" si="98"/>
        <v>1.5919282511210762</v>
      </c>
      <c r="L1154" s="60">
        <f t="shared" si="99"/>
        <v>-0.15246636771300448</v>
      </c>
    </row>
    <row r="1155" spans="1:12" x14ac:dyDescent="0.25">
      <c r="A1155" s="61">
        <v>4107</v>
      </c>
      <c r="B1155" s="61" t="s">
        <v>59</v>
      </c>
      <c r="C1155">
        <v>1115</v>
      </c>
      <c r="D1155" s="57" t="s">
        <v>49</v>
      </c>
      <c r="E1155" s="67">
        <v>45646</v>
      </c>
      <c r="F1155" s="62">
        <v>2260</v>
      </c>
      <c r="G1155" s="62">
        <v>1845</v>
      </c>
      <c r="H1155" s="62">
        <v>1909</v>
      </c>
      <c r="I1155" s="60">
        <f t="shared" si="96"/>
        <v>1.6547085201793721</v>
      </c>
      <c r="J1155" s="60">
        <f t="shared" si="97"/>
        <v>64</v>
      </c>
      <c r="K1155" s="60">
        <f t="shared" si="98"/>
        <v>1.7121076233183856</v>
      </c>
      <c r="L1155" s="60">
        <f t="shared" si="99"/>
        <v>5.739910313901353E-2</v>
      </c>
    </row>
    <row r="1156" spans="1:12" x14ac:dyDescent="0.25">
      <c r="A1156" s="61">
        <v>2119</v>
      </c>
      <c r="B1156" s="61" t="s">
        <v>57</v>
      </c>
      <c r="C1156">
        <v>700</v>
      </c>
      <c r="D1156" s="57" t="s">
        <v>352</v>
      </c>
      <c r="E1156" s="67">
        <v>45643</v>
      </c>
      <c r="F1156" s="62">
        <v>1515</v>
      </c>
      <c r="G1156" s="62">
        <v>1565</v>
      </c>
      <c r="H1156" s="62">
        <v>1587</v>
      </c>
      <c r="I1156" s="60">
        <f t="shared" si="96"/>
        <v>2.2357142857142858</v>
      </c>
      <c r="J1156" s="60">
        <f t="shared" si="97"/>
        <v>22</v>
      </c>
      <c r="K1156" s="60">
        <f t="shared" si="98"/>
        <v>2.2671428571428573</v>
      </c>
      <c r="L1156" s="60">
        <f t="shared" si="99"/>
        <v>3.1428571428571583E-2</v>
      </c>
    </row>
    <row r="1157" spans="1:12" x14ac:dyDescent="0.25">
      <c r="A1157" s="61">
        <v>2159</v>
      </c>
      <c r="B1157" s="61" t="s">
        <v>48</v>
      </c>
      <c r="C1157">
        <v>806</v>
      </c>
      <c r="D1157" s="57" t="s">
        <v>352</v>
      </c>
      <c r="E1157" s="67">
        <v>45655</v>
      </c>
      <c r="F1157" s="62">
        <v>1620</v>
      </c>
      <c r="G1157" s="62">
        <v>1575</v>
      </c>
      <c r="H1157" s="62">
        <v>1607</v>
      </c>
      <c r="I1157" s="60">
        <f t="shared" si="96"/>
        <v>1.9540942928039702</v>
      </c>
      <c r="J1157" s="60">
        <f t="shared" si="97"/>
        <v>32</v>
      </c>
      <c r="K1157" s="60">
        <f t="shared" si="98"/>
        <v>1.9937965260545907</v>
      </c>
      <c r="L1157" s="60">
        <f t="shared" si="99"/>
        <v>3.97022332506205E-2</v>
      </c>
    </row>
    <row r="1158" spans="1:12" x14ac:dyDescent="0.25">
      <c r="A1158" s="61">
        <v>2155</v>
      </c>
      <c r="B1158" s="61" t="s">
        <v>65</v>
      </c>
      <c r="C1158">
        <v>813</v>
      </c>
      <c r="D1158" s="57" t="s">
        <v>352</v>
      </c>
      <c r="E1158" s="67">
        <v>45657</v>
      </c>
      <c r="F1158" s="62">
        <v>1580</v>
      </c>
      <c r="G1158" s="62">
        <v>1658</v>
      </c>
      <c r="H1158" s="62">
        <v>1658</v>
      </c>
      <c r="I1158" s="60">
        <f t="shared" si="96"/>
        <v>2.039360393603936</v>
      </c>
      <c r="J1158" s="60">
        <f t="shared" si="97"/>
        <v>0</v>
      </c>
      <c r="K1158" s="60">
        <f t="shared" si="98"/>
        <v>2.039360393603936</v>
      </c>
      <c r="L1158" s="60">
        <f t="shared" si="99"/>
        <v>0</v>
      </c>
    </row>
    <row r="1159" spans="1:12" x14ac:dyDescent="0.25">
      <c r="A1159" s="61">
        <v>2321</v>
      </c>
      <c r="B1159" s="61" t="s">
        <v>65</v>
      </c>
      <c r="C1159">
        <v>813</v>
      </c>
      <c r="D1159" s="57" t="s">
        <v>352</v>
      </c>
      <c r="E1159" s="67">
        <v>45659</v>
      </c>
      <c r="F1159" s="62">
        <v>1580</v>
      </c>
      <c r="G1159" s="62">
        <v>1679</v>
      </c>
      <c r="H1159" s="62">
        <v>1705</v>
      </c>
      <c r="I1159" s="60">
        <f t="shared" si="96"/>
        <v>2.0651906519065188</v>
      </c>
      <c r="J1159" s="60">
        <f t="shared" si="97"/>
        <v>26</v>
      </c>
      <c r="K1159" s="60">
        <f t="shared" si="98"/>
        <v>2.0971709717097169</v>
      </c>
      <c r="L1159" s="60">
        <f t="shared" si="99"/>
        <v>3.1980319803198043E-2</v>
      </c>
    </row>
    <row r="1160" spans="1:12" x14ac:dyDescent="0.25">
      <c r="A1160" s="61">
        <v>4112</v>
      </c>
      <c r="B1160" s="61" t="s">
        <v>145</v>
      </c>
      <c r="C1160">
        <v>1146</v>
      </c>
      <c r="D1160" s="57" t="s">
        <v>352</v>
      </c>
      <c r="E1160" s="67">
        <v>45659</v>
      </c>
      <c r="F1160" s="62">
        <v>2150</v>
      </c>
      <c r="G1160" s="62">
        <v>2053</v>
      </c>
      <c r="H1160" s="62">
        <v>2087</v>
      </c>
      <c r="I1160" s="60">
        <f t="shared" si="96"/>
        <v>1.7914485165794067</v>
      </c>
      <c r="J1160" s="60">
        <f t="shared" si="97"/>
        <v>34</v>
      </c>
      <c r="K1160" s="60">
        <f t="shared" si="98"/>
        <v>1.8211169284467714</v>
      </c>
      <c r="L1160" s="60">
        <f t="shared" si="99"/>
        <v>2.9668411867364686E-2</v>
      </c>
    </row>
    <row r="1161" spans="1:12" x14ac:dyDescent="0.25">
      <c r="A1161" s="61">
        <v>2145</v>
      </c>
      <c r="B1161" s="61" t="s">
        <v>57</v>
      </c>
      <c r="C1161">
        <v>700</v>
      </c>
      <c r="D1161" s="57" t="s">
        <v>352</v>
      </c>
      <c r="E1161" s="67">
        <v>45663</v>
      </c>
      <c r="F1161" s="62">
        <v>1515</v>
      </c>
      <c r="G1161" s="62">
        <v>1470</v>
      </c>
      <c r="H1161" s="62">
        <v>1500</v>
      </c>
      <c r="I1161" s="60">
        <f t="shared" si="96"/>
        <v>2.1</v>
      </c>
      <c r="J1161" s="60">
        <f t="shared" si="97"/>
        <v>30</v>
      </c>
      <c r="K1161" s="60">
        <f t="shared" si="98"/>
        <v>2.1428571428571428</v>
      </c>
      <c r="L1161" s="60">
        <f t="shared" si="99"/>
        <v>4.2857142857142705E-2</v>
      </c>
    </row>
    <row r="1162" spans="1:12" x14ac:dyDescent="0.25">
      <c r="A1162" s="61">
        <v>4103</v>
      </c>
      <c r="B1162" s="61" t="s">
        <v>59</v>
      </c>
      <c r="C1162">
        <v>1115</v>
      </c>
      <c r="D1162" s="57" t="s">
        <v>49</v>
      </c>
      <c r="E1162" s="67">
        <v>45657</v>
      </c>
      <c r="F1162" s="62">
        <v>2290</v>
      </c>
      <c r="G1162" s="62">
        <v>2240</v>
      </c>
      <c r="H1162" s="62">
        <v>1909</v>
      </c>
      <c r="I1162" s="60">
        <f t="shared" si="96"/>
        <v>2.0089686098654709</v>
      </c>
      <c r="J1162" s="60">
        <f t="shared" si="97"/>
        <v>-331</v>
      </c>
      <c r="K1162" s="60">
        <f t="shared" si="98"/>
        <v>1.7121076233183856</v>
      </c>
      <c r="L1162" s="60">
        <f t="shared" si="99"/>
        <v>-0.29686098654708526</v>
      </c>
    </row>
    <row r="1163" spans="1:12" x14ac:dyDescent="0.25">
      <c r="A1163" s="61">
        <v>2315</v>
      </c>
      <c r="B1163" s="61" t="s">
        <v>61</v>
      </c>
      <c r="C1163">
        <v>820</v>
      </c>
      <c r="D1163" s="57" t="s">
        <v>352</v>
      </c>
      <c r="E1163" s="67">
        <v>45667</v>
      </c>
      <c r="F1163" s="62">
        <v>1645</v>
      </c>
      <c r="G1163" s="62">
        <v>1874</v>
      </c>
      <c r="H1163" s="62">
        <v>1874</v>
      </c>
      <c r="I1163" s="60">
        <f t="shared" si="96"/>
        <v>2.2853658536585364</v>
      </c>
      <c r="J1163" s="60">
        <f t="shared" si="97"/>
        <v>0</v>
      </c>
      <c r="K1163" s="60">
        <f t="shared" si="98"/>
        <v>2.2853658536585364</v>
      </c>
      <c r="L1163" s="60">
        <f t="shared" si="99"/>
        <v>0</v>
      </c>
    </row>
    <row r="1164" spans="1:12" x14ac:dyDescent="0.25">
      <c r="A1164" s="61">
        <v>2153</v>
      </c>
      <c r="B1164" s="61" t="s">
        <v>153</v>
      </c>
      <c r="C1164">
        <v>700</v>
      </c>
      <c r="D1164" s="57" t="s">
        <v>49</v>
      </c>
      <c r="E1164" s="67">
        <v>45673</v>
      </c>
      <c r="F1164" s="62">
        <v>1500</v>
      </c>
      <c r="G1164" s="62">
        <v>1530</v>
      </c>
      <c r="H1164" s="62">
        <v>1435</v>
      </c>
      <c r="I1164" s="60">
        <f t="shared" ref="I1164:I1170" si="100">G1164/C1164</f>
        <v>2.1857142857142855</v>
      </c>
      <c r="J1164" s="60">
        <f t="shared" ref="J1164:J1170" si="101">SUM(H1164-G1164)</f>
        <v>-95</v>
      </c>
      <c r="K1164" s="60">
        <f t="shared" ref="K1164:K1170" si="102">H1164/C1164</f>
        <v>2.0499999999999998</v>
      </c>
      <c r="L1164" s="60">
        <f t="shared" ref="L1164:L1170" si="103">K1164-I1164</f>
        <v>-0.13571428571428568</v>
      </c>
    </row>
    <row r="1165" spans="1:12" x14ac:dyDescent="0.25">
      <c r="A1165" s="61">
        <v>2248</v>
      </c>
      <c r="B1165" s="61" t="s">
        <v>355</v>
      </c>
      <c r="C1165">
        <v>810</v>
      </c>
      <c r="D1165" s="57" t="s">
        <v>352</v>
      </c>
      <c r="E1165" s="67">
        <v>45673</v>
      </c>
      <c r="F1165" s="62">
        <v>1630</v>
      </c>
      <c r="G1165" s="62">
        <v>1615</v>
      </c>
      <c r="H1165" s="62">
        <v>1657</v>
      </c>
      <c r="I1165" s="60">
        <f t="shared" si="100"/>
        <v>1.9938271604938271</v>
      </c>
      <c r="J1165" s="60">
        <f t="shared" si="101"/>
        <v>42</v>
      </c>
      <c r="K1165" s="60">
        <f t="shared" si="102"/>
        <v>2.0456790123456789</v>
      </c>
      <c r="L1165" s="60">
        <f t="shared" si="103"/>
        <v>5.1851851851851816E-2</v>
      </c>
    </row>
    <row r="1166" spans="1:12" x14ac:dyDescent="0.25">
      <c r="A1166" s="61">
        <v>5309</v>
      </c>
      <c r="B1166" s="61" t="s">
        <v>57</v>
      </c>
      <c r="C1166">
        <v>700</v>
      </c>
      <c r="D1166" s="57" t="s">
        <v>352</v>
      </c>
      <c r="E1166" s="67">
        <v>45683</v>
      </c>
      <c r="F1166" s="62">
        <v>1565</v>
      </c>
      <c r="G1166" s="62">
        <v>1558</v>
      </c>
      <c r="H1166" s="62">
        <v>1575</v>
      </c>
      <c r="I1166" s="60">
        <f t="shared" si="100"/>
        <v>2.2257142857142855</v>
      </c>
      <c r="J1166" s="60">
        <f t="shared" si="101"/>
        <v>17</v>
      </c>
      <c r="K1166" s="60">
        <f t="shared" si="102"/>
        <v>2.25</v>
      </c>
      <c r="L1166" s="60">
        <f t="shared" si="103"/>
        <v>2.4285714285714466E-2</v>
      </c>
    </row>
    <row r="1167" spans="1:12" x14ac:dyDescent="0.25">
      <c r="A1167" s="61">
        <v>2102</v>
      </c>
      <c r="B1167" s="61" t="s">
        <v>355</v>
      </c>
      <c r="C1167">
        <v>810</v>
      </c>
      <c r="D1167" s="57" t="s">
        <v>352</v>
      </c>
      <c r="E1167" s="67">
        <v>45689</v>
      </c>
      <c r="F1167" s="62">
        <v>1650</v>
      </c>
      <c r="G1167" s="62">
        <v>1650</v>
      </c>
      <c r="H1167" s="62">
        <v>1682</v>
      </c>
      <c r="I1167" s="60">
        <f t="shared" si="100"/>
        <v>2.0370370370370372</v>
      </c>
      <c r="J1167" s="60">
        <f t="shared" si="101"/>
        <v>32</v>
      </c>
      <c r="K1167" s="60">
        <f t="shared" si="102"/>
        <v>2.0765432098765433</v>
      </c>
      <c r="L1167" s="60">
        <f t="shared" si="103"/>
        <v>3.9506172839506082E-2</v>
      </c>
    </row>
    <row r="1168" spans="1:12" x14ac:dyDescent="0.25">
      <c r="A1168" s="61">
        <v>2130</v>
      </c>
      <c r="B1168" s="61" t="s">
        <v>48</v>
      </c>
      <c r="C1168">
        <v>806</v>
      </c>
      <c r="D1168" s="57" t="s">
        <v>352</v>
      </c>
      <c r="E1168" s="67">
        <v>45691</v>
      </c>
      <c r="F1168" s="62">
        <v>1670</v>
      </c>
      <c r="G1168" s="62">
        <v>1630</v>
      </c>
      <c r="H1168" s="62">
        <v>1671</v>
      </c>
      <c r="I1168" s="60">
        <f t="shared" si="100"/>
        <v>2.0223325062034738</v>
      </c>
      <c r="J1168" s="60">
        <f t="shared" si="101"/>
        <v>41</v>
      </c>
      <c r="K1168" s="60">
        <f t="shared" si="102"/>
        <v>2.0732009925558312</v>
      </c>
      <c r="L1168" s="60">
        <f t="shared" si="103"/>
        <v>5.0868486352357412E-2</v>
      </c>
    </row>
    <row r="1169" spans="1:12" x14ac:dyDescent="0.25">
      <c r="A1169" s="61" t="s">
        <v>327</v>
      </c>
      <c r="B1169" s="61" t="s">
        <v>86</v>
      </c>
      <c r="C1169">
        <v>810</v>
      </c>
      <c r="D1169" s="57" t="s">
        <v>49</v>
      </c>
      <c r="E1169" s="67">
        <v>45695</v>
      </c>
      <c r="F1169" s="62">
        <v>1630</v>
      </c>
      <c r="G1169" s="62">
        <v>1700</v>
      </c>
      <c r="H1169" s="62">
        <v>1510</v>
      </c>
      <c r="I1169" s="60">
        <f t="shared" si="100"/>
        <v>2.0987654320987654</v>
      </c>
      <c r="J1169" s="60">
        <f t="shared" si="101"/>
        <v>-190</v>
      </c>
      <c r="K1169" s="60">
        <f t="shared" si="102"/>
        <v>1.8641975308641976</v>
      </c>
      <c r="L1169" s="60">
        <f t="shared" si="103"/>
        <v>-0.23456790123456783</v>
      </c>
    </row>
    <row r="1170" spans="1:12" x14ac:dyDescent="0.25">
      <c r="A1170" s="61" t="s">
        <v>99</v>
      </c>
      <c r="B1170" s="61" t="s">
        <v>57</v>
      </c>
      <c r="C1170">
        <v>700</v>
      </c>
      <c r="D1170" s="57" t="s">
        <v>49</v>
      </c>
      <c r="E1170" s="67">
        <v>45702</v>
      </c>
      <c r="F1170" s="62">
        <v>1515</v>
      </c>
      <c r="G1170" s="62">
        <v>1450</v>
      </c>
      <c r="H1170" s="62">
        <v>1340</v>
      </c>
      <c r="I1170" s="60">
        <f t="shared" si="100"/>
        <v>2.0714285714285716</v>
      </c>
      <c r="J1170" s="60">
        <f t="shared" si="101"/>
        <v>-110</v>
      </c>
      <c r="K1170" s="60">
        <f t="shared" si="102"/>
        <v>1.9142857142857144</v>
      </c>
      <c r="L1170" s="60">
        <f t="shared" si="103"/>
        <v>-0.15714285714285725</v>
      </c>
    </row>
    <row r="1171" spans="1:12" x14ac:dyDescent="0.25">
      <c r="A1171" s="61" t="s">
        <v>319</v>
      </c>
      <c r="B1171" s="61" t="s">
        <v>354</v>
      </c>
      <c r="C1171">
        <v>950</v>
      </c>
      <c r="D1171" s="57" t="s">
        <v>353</v>
      </c>
      <c r="E1171" s="67">
        <v>45692</v>
      </c>
      <c r="F1171" s="62">
        <v>1845</v>
      </c>
      <c r="G1171" s="62">
        <v>1640</v>
      </c>
      <c r="H1171" s="62">
        <v>1690</v>
      </c>
      <c r="I1171" s="60">
        <f t="shared" ref="I1171:I1184" si="104">G1171/C1171</f>
        <v>1.7263157894736842</v>
      </c>
      <c r="J1171" s="60">
        <f t="shared" ref="J1171:J1184" si="105">SUM(H1171-G1171)</f>
        <v>50</v>
      </c>
      <c r="K1171" s="60">
        <f t="shared" ref="K1171:K1184" si="106">H1171/C1171</f>
        <v>1.7789473684210526</v>
      </c>
      <c r="L1171" s="60">
        <f t="shared" ref="L1171:L1184" si="107">K1171-I1171</f>
        <v>5.2631578947368363E-2</v>
      </c>
    </row>
    <row r="1172" spans="1:12" x14ac:dyDescent="0.25">
      <c r="A1172" s="61" t="s">
        <v>277</v>
      </c>
      <c r="B1172" s="61" t="s">
        <v>145</v>
      </c>
      <c r="C1172">
        <v>1146</v>
      </c>
      <c r="D1172" s="57" t="s">
        <v>49</v>
      </c>
      <c r="E1172" s="67">
        <v>45699</v>
      </c>
      <c r="F1172" s="62">
        <v>2230</v>
      </c>
      <c r="G1172" s="62">
        <v>1865</v>
      </c>
      <c r="H1172" s="62">
        <v>2065</v>
      </c>
      <c r="I1172" s="60">
        <f t="shared" si="104"/>
        <v>1.6273996509598603</v>
      </c>
      <c r="J1172" s="60">
        <f t="shared" si="105"/>
        <v>200</v>
      </c>
      <c r="K1172" s="60">
        <f t="shared" si="106"/>
        <v>1.8019197207678883</v>
      </c>
      <c r="L1172" s="60">
        <f t="shared" si="107"/>
        <v>0.17452006980802803</v>
      </c>
    </row>
    <row r="1173" spans="1:12" x14ac:dyDescent="0.25">
      <c r="A1173" s="61" t="s">
        <v>136</v>
      </c>
      <c r="B1173" s="61" t="s">
        <v>137</v>
      </c>
      <c r="C1173">
        <v>1700</v>
      </c>
      <c r="D1173" s="57" t="s">
        <v>352</v>
      </c>
      <c r="E1173" s="67">
        <v>45700</v>
      </c>
      <c r="F1173" s="62">
        <v>3045</v>
      </c>
      <c r="G1173" s="62">
        <v>2500</v>
      </c>
      <c r="H1173" s="62">
        <v>2890</v>
      </c>
      <c r="I1173" s="60">
        <f t="shared" si="104"/>
        <v>1.4705882352941178</v>
      </c>
      <c r="J1173" s="60">
        <f t="shared" si="105"/>
        <v>390</v>
      </c>
      <c r="K1173" s="60">
        <f t="shared" si="106"/>
        <v>1.7</v>
      </c>
      <c r="L1173" s="60">
        <f t="shared" si="107"/>
        <v>0.2294117647058822</v>
      </c>
    </row>
    <row r="1174" spans="1:12" x14ac:dyDescent="0.25">
      <c r="A1174" s="61" t="s">
        <v>290</v>
      </c>
      <c r="B1174" s="61" t="s">
        <v>65</v>
      </c>
      <c r="C1174">
        <v>813</v>
      </c>
      <c r="D1174" s="57" t="s">
        <v>352</v>
      </c>
      <c r="E1174" s="67">
        <v>45695</v>
      </c>
      <c r="F1174" s="62">
        <v>1630</v>
      </c>
      <c r="G1174" s="62">
        <v>1530</v>
      </c>
      <c r="H1174" s="62">
        <v>1561</v>
      </c>
      <c r="I1174" s="60">
        <f t="shared" si="104"/>
        <v>1.8819188191881919</v>
      </c>
      <c r="J1174" s="60">
        <f t="shared" si="105"/>
        <v>31</v>
      </c>
      <c r="K1174" s="60">
        <f t="shared" si="106"/>
        <v>1.9200492004920049</v>
      </c>
      <c r="L1174" s="60">
        <f t="shared" si="107"/>
        <v>3.8130381303812966E-2</v>
      </c>
    </row>
    <row r="1175" spans="1:12" x14ac:dyDescent="0.25">
      <c r="A1175" s="61" t="s">
        <v>128</v>
      </c>
      <c r="B1175" s="61" t="s">
        <v>86</v>
      </c>
      <c r="C1175">
        <v>810</v>
      </c>
      <c r="D1175" s="57" t="s">
        <v>352</v>
      </c>
      <c r="E1175" s="67">
        <v>45704</v>
      </c>
      <c r="F1175" s="62">
        <v>1630</v>
      </c>
      <c r="G1175" s="62">
        <v>1595</v>
      </c>
      <c r="H1175" s="62">
        <v>1616</v>
      </c>
      <c r="I1175" s="60">
        <f t="shared" si="104"/>
        <v>1.9691358024691359</v>
      </c>
      <c r="J1175" s="60">
        <f t="shared" si="105"/>
        <v>21</v>
      </c>
      <c r="K1175" s="60">
        <f t="shared" si="106"/>
        <v>1.9950617283950618</v>
      </c>
      <c r="L1175" s="60">
        <f t="shared" si="107"/>
        <v>2.5925925925925908E-2</v>
      </c>
    </row>
    <row r="1176" spans="1:12" x14ac:dyDescent="0.25">
      <c r="A1176" s="61" t="s">
        <v>317</v>
      </c>
      <c r="B1176" s="61" t="s">
        <v>74</v>
      </c>
      <c r="C1176">
        <v>1169</v>
      </c>
      <c r="D1176" s="57" t="s">
        <v>352</v>
      </c>
      <c r="E1176" s="67">
        <v>45698</v>
      </c>
      <c r="F1176" s="62">
        <v>2270</v>
      </c>
      <c r="G1176" s="62">
        <v>1815</v>
      </c>
      <c r="H1176" s="62">
        <v>1851</v>
      </c>
      <c r="I1176" s="60">
        <f t="shared" si="104"/>
        <v>1.5526090675791275</v>
      </c>
      <c r="J1176" s="60">
        <f t="shared" si="105"/>
        <v>36</v>
      </c>
      <c r="K1176" s="60">
        <f t="shared" si="106"/>
        <v>1.5834046193327631</v>
      </c>
      <c r="L1176" s="60">
        <f t="shared" si="107"/>
        <v>3.0795551753635575E-2</v>
      </c>
    </row>
    <row r="1177" spans="1:12" x14ac:dyDescent="0.25">
      <c r="A1177" s="61" t="s">
        <v>111</v>
      </c>
      <c r="B1177" s="61" t="s">
        <v>61</v>
      </c>
      <c r="C1177">
        <v>820</v>
      </c>
      <c r="D1177" s="57" t="s">
        <v>352</v>
      </c>
      <c r="E1177" s="67">
        <v>45695</v>
      </c>
      <c r="F1177" s="62">
        <v>1695</v>
      </c>
      <c r="G1177" s="62">
        <v>1615</v>
      </c>
      <c r="H1177" s="62">
        <v>1632</v>
      </c>
      <c r="I1177" s="60">
        <f t="shared" si="104"/>
        <v>1.9695121951219512</v>
      </c>
      <c r="J1177" s="60">
        <f t="shared" si="105"/>
        <v>17</v>
      </c>
      <c r="K1177" s="60">
        <f t="shared" si="106"/>
        <v>1.9902439024390244</v>
      </c>
      <c r="L1177" s="60">
        <f t="shared" si="107"/>
        <v>2.0731707317073189E-2</v>
      </c>
    </row>
    <row r="1178" spans="1:12" x14ac:dyDescent="0.25">
      <c r="A1178" s="61" t="s">
        <v>154</v>
      </c>
      <c r="B1178" s="61" t="s">
        <v>59</v>
      </c>
      <c r="C1178">
        <v>1115</v>
      </c>
      <c r="D1178" s="57" t="s">
        <v>352</v>
      </c>
      <c r="E1178" s="67">
        <v>45697</v>
      </c>
      <c r="F1178" s="62">
        <v>2185</v>
      </c>
      <c r="G1178" s="62">
        <v>2126</v>
      </c>
      <c r="H1178" s="62">
        <v>2126</v>
      </c>
      <c r="I1178" s="60">
        <f t="shared" si="104"/>
        <v>1.9067264573991032</v>
      </c>
      <c r="J1178" s="60">
        <f t="shared" si="105"/>
        <v>0</v>
      </c>
      <c r="K1178" s="60">
        <f t="shared" si="106"/>
        <v>1.9067264573991032</v>
      </c>
      <c r="L1178" s="60">
        <f t="shared" si="107"/>
        <v>0</v>
      </c>
    </row>
    <row r="1179" spans="1:12" x14ac:dyDescent="0.25">
      <c r="A1179" s="61">
        <v>4309</v>
      </c>
      <c r="B1179" s="61" t="s">
        <v>151</v>
      </c>
      <c r="C1179">
        <v>1141</v>
      </c>
      <c r="D1179" s="57" t="s">
        <v>352</v>
      </c>
      <c r="E1179" s="67">
        <v>45699</v>
      </c>
      <c r="F1179" s="62">
        <v>2200</v>
      </c>
      <c r="G1179" s="62">
        <v>2057</v>
      </c>
      <c r="H1179" s="62">
        <v>2120</v>
      </c>
      <c r="I1179" s="60">
        <f t="shared" si="104"/>
        <v>1.8028045574057845</v>
      </c>
      <c r="J1179" s="60">
        <f t="shared" si="105"/>
        <v>63</v>
      </c>
      <c r="K1179" s="60">
        <f t="shared" si="106"/>
        <v>1.8580192813321648</v>
      </c>
      <c r="L1179" s="60">
        <f t="shared" si="107"/>
        <v>5.5214723926380271E-2</v>
      </c>
    </row>
    <row r="1180" spans="1:12" x14ac:dyDescent="0.25">
      <c r="A1180" s="61">
        <v>2244</v>
      </c>
      <c r="B1180" s="61" t="s">
        <v>57</v>
      </c>
      <c r="C1180">
        <v>700</v>
      </c>
      <c r="D1180" s="57" t="s">
        <v>49</v>
      </c>
      <c r="E1180" s="67">
        <v>45709</v>
      </c>
      <c r="F1180" s="62">
        <v>1565</v>
      </c>
      <c r="G1180" s="62">
        <v>1355</v>
      </c>
      <c r="H1180" s="62">
        <v>1395</v>
      </c>
      <c r="I1180" s="60">
        <f t="shared" si="104"/>
        <v>1.9357142857142857</v>
      </c>
      <c r="J1180" s="60">
        <f t="shared" si="105"/>
        <v>40</v>
      </c>
      <c r="K1180" s="60">
        <f t="shared" si="106"/>
        <v>1.9928571428571429</v>
      </c>
      <c r="L1180" s="60">
        <f t="shared" si="107"/>
        <v>5.7142857142857162E-2</v>
      </c>
    </row>
    <row r="1181" spans="1:12" x14ac:dyDescent="0.25">
      <c r="A1181" s="61">
        <v>2322</v>
      </c>
      <c r="B1181" s="61" t="s">
        <v>355</v>
      </c>
      <c r="C1181">
        <v>810</v>
      </c>
      <c r="D1181" s="57" t="s">
        <v>49</v>
      </c>
      <c r="E1181" s="67">
        <v>45708</v>
      </c>
      <c r="F1181" s="62">
        <v>1650</v>
      </c>
      <c r="G1181" s="62">
        <v>1588</v>
      </c>
      <c r="H1181" s="62">
        <v>1495</v>
      </c>
      <c r="I1181" s="60">
        <f t="shared" si="104"/>
        <v>1.9604938271604939</v>
      </c>
      <c r="J1181" s="60">
        <f t="shared" si="105"/>
        <v>-93</v>
      </c>
      <c r="K1181" s="60">
        <f t="shared" si="106"/>
        <v>1.845679012345679</v>
      </c>
      <c r="L1181" s="60">
        <f t="shared" si="107"/>
        <v>-0.11481481481481493</v>
      </c>
    </row>
    <row r="1182" spans="1:12" x14ac:dyDescent="0.25">
      <c r="A1182" s="61">
        <v>4208</v>
      </c>
      <c r="B1182" s="61" t="s">
        <v>57</v>
      </c>
      <c r="C1182">
        <v>700</v>
      </c>
      <c r="D1182" s="57" t="s">
        <v>49</v>
      </c>
      <c r="E1182" s="67">
        <v>45709</v>
      </c>
      <c r="F1182" s="62">
        <v>1565</v>
      </c>
      <c r="G1182" s="62">
        <v>1520</v>
      </c>
      <c r="H1182" s="62">
        <v>1400</v>
      </c>
      <c r="I1182" s="60">
        <f t="shared" si="104"/>
        <v>2.1714285714285713</v>
      </c>
      <c r="J1182" s="60">
        <f t="shared" si="105"/>
        <v>-120</v>
      </c>
      <c r="K1182" s="60">
        <f t="shared" si="106"/>
        <v>2</v>
      </c>
      <c r="L1182" s="60">
        <f t="shared" si="107"/>
        <v>-0.17142857142857126</v>
      </c>
    </row>
    <row r="1183" spans="1:12" x14ac:dyDescent="0.25">
      <c r="A1183" s="61">
        <v>5205</v>
      </c>
      <c r="B1183" s="61" t="s">
        <v>57</v>
      </c>
      <c r="C1183">
        <v>700</v>
      </c>
      <c r="D1183" s="57" t="s">
        <v>49</v>
      </c>
      <c r="E1183" s="67">
        <v>45709</v>
      </c>
      <c r="F1183" s="62">
        <v>1565</v>
      </c>
      <c r="G1183" s="62">
        <v>1490</v>
      </c>
      <c r="H1183" s="62">
        <v>1390</v>
      </c>
      <c r="I1183" s="60">
        <f t="shared" si="104"/>
        <v>2.1285714285714286</v>
      </c>
      <c r="J1183" s="60">
        <f t="shared" si="105"/>
        <v>-100</v>
      </c>
      <c r="K1183" s="60">
        <f t="shared" si="106"/>
        <v>1.9857142857142858</v>
      </c>
      <c r="L1183" s="60">
        <f t="shared" si="107"/>
        <v>-0.14285714285714279</v>
      </c>
    </row>
    <row r="1184" spans="1:12" x14ac:dyDescent="0.25">
      <c r="A1184" s="61">
        <v>2114</v>
      </c>
      <c r="B1184" s="61" t="s">
        <v>61</v>
      </c>
      <c r="C1184">
        <v>820</v>
      </c>
      <c r="D1184" s="57" t="s">
        <v>49</v>
      </c>
      <c r="E1184" s="67">
        <v>45709</v>
      </c>
      <c r="F1184" s="62">
        <v>1710</v>
      </c>
      <c r="G1184" s="62">
        <v>1718</v>
      </c>
      <c r="H1184" s="62">
        <v>1525</v>
      </c>
      <c r="I1184" s="60">
        <f t="shared" si="104"/>
        <v>2.0951219512195123</v>
      </c>
      <c r="J1184" s="60">
        <f t="shared" si="105"/>
        <v>-193</v>
      </c>
      <c r="K1184" s="60">
        <f t="shared" si="106"/>
        <v>1.8597560975609757</v>
      </c>
      <c r="L1184" s="60">
        <f t="shared" si="107"/>
        <v>-0.23536585365853657</v>
      </c>
    </row>
    <row r="1185" spans="1:12" x14ac:dyDescent="0.25">
      <c r="A1185" s="61">
        <v>2158</v>
      </c>
      <c r="B1185" s="61" t="s">
        <v>82</v>
      </c>
      <c r="C1185">
        <v>1112</v>
      </c>
      <c r="D1185" s="57" t="s">
        <v>352</v>
      </c>
      <c r="E1185" s="67">
        <v>45708</v>
      </c>
      <c r="F1185" s="62">
        <v>2175</v>
      </c>
      <c r="G1185" s="62">
        <v>1820</v>
      </c>
      <c r="H1185" s="62">
        <v>1850</v>
      </c>
      <c r="I1185" s="60">
        <f t="shared" ref="I1185:I1208" si="108">G1185/C1185</f>
        <v>1.6366906474820144</v>
      </c>
      <c r="J1185" s="60">
        <f t="shared" ref="J1185:J1208" si="109">SUM(H1185-G1185)</f>
        <v>30</v>
      </c>
      <c r="K1185" s="60">
        <f t="shared" ref="K1185:K1208" si="110">H1185/C1185</f>
        <v>1.6636690647482015</v>
      </c>
      <c r="L1185" s="60">
        <f t="shared" ref="L1185:L1208" si="111">K1185-I1185</f>
        <v>2.6978417266187105E-2</v>
      </c>
    </row>
    <row r="1186" spans="1:12" x14ac:dyDescent="0.25">
      <c r="A1186" s="61">
        <v>2335</v>
      </c>
      <c r="B1186" s="61" t="s">
        <v>59</v>
      </c>
      <c r="C1186">
        <v>1115</v>
      </c>
      <c r="D1186" s="57" t="s">
        <v>352</v>
      </c>
      <c r="E1186" s="67">
        <v>45708</v>
      </c>
      <c r="F1186" s="62">
        <v>2185</v>
      </c>
      <c r="G1186" s="62">
        <v>1760</v>
      </c>
      <c r="H1186" s="62">
        <v>1798</v>
      </c>
      <c r="I1186" s="60">
        <f t="shared" si="108"/>
        <v>1.5784753363228698</v>
      </c>
      <c r="J1186" s="60">
        <f t="shared" si="109"/>
        <v>38</v>
      </c>
      <c r="K1186" s="60">
        <f t="shared" si="110"/>
        <v>1.6125560538116592</v>
      </c>
      <c r="L1186" s="60">
        <f t="shared" si="111"/>
        <v>3.408071748878938E-2</v>
      </c>
    </row>
    <row r="1187" spans="1:12" x14ac:dyDescent="0.25">
      <c r="A1187" s="61">
        <v>4311</v>
      </c>
      <c r="B1187" s="61" t="s">
        <v>59</v>
      </c>
      <c r="C1187">
        <v>1115</v>
      </c>
      <c r="D1187" s="57" t="s">
        <v>49</v>
      </c>
      <c r="E1187" s="67">
        <v>45716</v>
      </c>
      <c r="F1187" s="62">
        <v>2185</v>
      </c>
      <c r="G1187" s="62">
        <v>1770</v>
      </c>
      <c r="H1187" s="62">
        <v>2010</v>
      </c>
      <c r="I1187" s="60">
        <f t="shared" si="108"/>
        <v>1.5874439461883407</v>
      </c>
      <c r="J1187" s="60">
        <f t="shared" si="109"/>
        <v>240</v>
      </c>
      <c r="K1187" s="60">
        <f t="shared" si="110"/>
        <v>1.8026905829596414</v>
      </c>
      <c r="L1187" s="60">
        <f t="shared" si="111"/>
        <v>0.21524663677130063</v>
      </c>
    </row>
    <row r="1188" spans="1:12" x14ac:dyDescent="0.25">
      <c r="A1188" s="61">
        <v>2324</v>
      </c>
      <c r="B1188" s="61" t="s">
        <v>82</v>
      </c>
      <c r="C1188">
        <v>1112</v>
      </c>
      <c r="D1188" s="57" t="s">
        <v>352</v>
      </c>
      <c r="E1188" s="67">
        <v>45719</v>
      </c>
      <c r="F1188" s="62">
        <v>2195</v>
      </c>
      <c r="G1188" s="62">
        <v>1899</v>
      </c>
      <c r="H1188" s="62">
        <v>1937</v>
      </c>
      <c r="I1188" s="60">
        <f t="shared" si="108"/>
        <v>1.7077338129496402</v>
      </c>
      <c r="J1188" s="60">
        <f t="shared" si="109"/>
        <v>38</v>
      </c>
      <c r="K1188" s="60">
        <f t="shared" si="110"/>
        <v>1.7419064748201438</v>
      </c>
      <c r="L1188" s="60">
        <f t="shared" si="111"/>
        <v>3.4172661870503607E-2</v>
      </c>
    </row>
    <row r="1189" spans="1:12" x14ac:dyDescent="0.25">
      <c r="A1189" s="61">
        <v>2221</v>
      </c>
      <c r="B1189" s="61" t="s">
        <v>65</v>
      </c>
      <c r="C1189">
        <v>813</v>
      </c>
      <c r="D1189" s="57" t="s">
        <v>352</v>
      </c>
      <c r="E1189" s="67">
        <v>45716</v>
      </c>
      <c r="F1189" s="62">
        <v>1630</v>
      </c>
      <c r="G1189" s="62">
        <v>1650</v>
      </c>
      <c r="H1189" s="62">
        <v>1650</v>
      </c>
      <c r="I1189" s="60">
        <f t="shared" si="108"/>
        <v>2.0295202952029521</v>
      </c>
      <c r="J1189" s="60">
        <f t="shared" si="109"/>
        <v>0</v>
      </c>
      <c r="K1189" s="60">
        <f t="shared" si="110"/>
        <v>2.0295202952029521</v>
      </c>
      <c r="L1189" s="60">
        <f t="shared" si="111"/>
        <v>0</v>
      </c>
    </row>
    <row r="1190" spans="1:12" x14ac:dyDescent="0.25">
      <c r="A1190" s="61">
        <v>2117</v>
      </c>
      <c r="B1190" s="61" t="s">
        <v>51</v>
      </c>
      <c r="C1190">
        <v>848</v>
      </c>
      <c r="D1190" s="57" t="s">
        <v>49</v>
      </c>
      <c r="E1190" s="67">
        <v>45727</v>
      </c>
      <c r="F1190" s="62">
        <v>1785</v>
      </c>
      <c r="G1190" s="62">
        <v>1479</v>
      </c>
      <c r="H1190" s="62">
        <v>1480</v>
      </c>
      <c r="I1190" s="60">
        <f t="shared" si="108"/>
        <v>1.7441037735849056</v>
      </c>
      <c r="J1190" s="60">
        <f t="shared" si="109"/>
        <v>1</v>
      </c>
      <c r="K1190" s="60">
        <f t="shared" si="110"/>
        <v>1.7452830188679245</v>
      </c>
      <c r="L1190" s="60">
        <f t="shared" si="111"/>
        <v>1.179245283018826E-3</v>
      </c>
    </row>
    <row r="1191" spans="1:12" x14ac:dyDescent="0.25">
      <c r="A1191" s="61">
        <v>2203</v>
      </c>
      <c r="B1191" s="61" t="s">
        <v>48</v>
      </c>
      <c r="C1191">
        <v>806</v>
      </c>
      <c r="D1191" s="57" t="s">
        <v>49</v>
      </c>
      <c r="E1191" s="67">
        <v>45726</v>
      </c>
      <c r="F1191" s="62">
        <v>1670</v>
      </c>
      <c r="G1191" s="62">
        <v>1495</v>
      </c>
      <c r="H1191" s="62">
        <v>1455</v>
      </c>
      <c r="I1191" s="60">
        <f t="shared" si="108"/>
        <v>1.8548387096774193</v>
      </c>
      <c r="J1191" s="60">
        <f t="shared" si="109"/>
        <v>-40</v>
      </c>
      <c r="K1191" s="60">
        <f t="shared" si="110"/>
        <v>1.805210918114144</v>
      </c>
      <c r="L1191" s="60">
        <f t="shared" si="111"/>
        <v>-4.9627791563275236E-2</v>
      </c>
    </row>
    <row r="1192" spans="1:12" x14ac:dyDescent="0.25">
      <c r="A1192" s="61">
        <v>2214</v>
      </c>
      <c r="B1192" s="61" t="s">
        <v>61</v>
      </c>
      <c r="C1192">
        <v>820</v>
      </c>
      <c r="D1192" s="57" t="s">
        <v>49</v>
      </c>
      <c r="E1192" s="67">
        <v>45726</v>
      </c>
      <c r="F1192" s="62">
        <v>1710</v>
      </c>
      <c r="G1192" s="62">
        <v>1774</v>
      </c>
      <c r="H1192" s="62">
        <v>1470</v>
      </c>
      <c r="I1192" s="60">
        <f t="shared" si="108"/>
        <v>2.1634146341463416</v>
      </c>
      <c r="J1192" s="60">
        <f t="shared" si="109"/>
        <v>-304</v>
      </c>
      <c r="K1192" s="60">
        <f t="shared" si="110"/>
        <v>1.7926829268292683</v>
      </c>
      <c r="L1192" s="60">
        <f t="shared" si="111"/>
        <v>-0.37073170731707328</v>
      </c>
    </row>
    <row r="1193" spans="1:12" x14ac:dyDescent="0.25">
      <c r="A1193" s="61">
        <v>2229</v>
      </c>
      <c r="B1193" s="61" t="s">
        <v>57</v>
      </c>
      <c r="C1193">
        <v>700</v>
      </c>
      <c r="D1193" s="57" t="s">
        <v>49</v>
      </c>
      <c r="E1193" s="67">
        <v>45721</v>
      </c>
      <c r="F1193" s="62">
        <v>1565</v>
      </c>
      <c r="G1193" s="62">
        <v>1495</v>
      </c>
      <c r="H1193" s="62">
        <v>1415</v>
      </c>
      <c r="I1193" s="60">
        <f t="shared" si="108"/>
        <v>2.1357142857142857</v>
      </c>
      <c r="J1193" s="60">
        <f t="shared" si="109"/>
        <v>-80</v>
      </c>
      <c r="K1193" s="60">
        <f t="shared" si="110"/>
        <v>2.0214285714285714</v>
      </c>
      <c r="L1193" s="60">
        <f t="shared" si="111"/>
        <v>-0.11428571428571432</v>
      </c>
    </row>
    <row r="1194" spans="1:12" x14ac:dyDescent="0.25">
      <c r="A1194" s="61">
        <v>2349</v>
      </c>
      <c r="B1194" s="61" t="s">
        <v>355</v>
      </c>
      <c r="C1194">
        <v>810</v>
      </c>
      <c r="D1194" s="57" t="s">
        <v>49</v>
      </c>
      <c r="E1194" s="67">
        <v>45723</v>
      </c>
      <c r="F1194" s="62">
        <v>1605</v>
      </c>
      <c r="G1194" s="62">
        <v>1425</v>
      </c>
      <c r="H1194" s="62">
        <v>1440</v>
      </c>
      <c r="I1194" s="60">
        <f t="shared" si="108"/>
        <v>1.7592592592592593</v>
      </c>
      <c r="J1194" s="60">
        <f t="shared" si="109"/>
        <v>15</v>
      </c>
      <c r="K1194" s="60">
        <f t="shared" si="110"/>
        <v>1.7777777777777777</v>
      </c>
      <c r="L1194" s="60">
        <f t="shared" si="111"/>
        <v>1.8518518518518379E-2</v>
      </c>
    </row>
    <row r="1195" spans="1:12" x14ac:dyDescent="0.25">
      <c r="A1195" s="61">
        <v>2355</v>
      </c>
      <c r="B1195" s="61" t="s">
        <v>65</v>
      </c>
      <c r="C1195">
        <v>813</v>
      </c>
      <c r="D1195" s="57" t="s">
        <v>49</v>
      </c>
      <c r="E1195" s="67">
        <v>45730</v>
      </c>
      <c r="F1195" s="62">
        <v>1630</v>
      </c>
      <c r="G1195" s="62">
        <v>1541</v>
      </c>
      <c r="H1195" s="62">
        <v>1460</v>
      </c>
      <c r="I1195" s="60">
        <f t="shared" si="108"/>
        <v>1.895448954489545</v>
      </c>
      <c r="J1195" s="60">
        <f t="shared" si="109"/>
        <v>-81</v>
      </c>
      <c r="K1195" s="60">
        <f t="shared" si="110"/>
        <v>1.7958179581795819</v>
      </c>
      <c r="L1195" s="60">
        <f t="shared" si="111"/>
        <v>-9.9630996309963082E-2</v>
      </c>
    </row>
    <row r="1196" spans="1:12" x14ac:dyDescent="0.25">
      <c r="A1196" s="61">
        <v>4106</v>
      </c>
      <c r="B1196" s="61" t="s">
        <v>57</v>
      </c>
      <c r="C1196">
        <v>700</v>
      </c>
      <c r="D1196" s="57" t="s">
        <v>49</v>
      </c>
      <c r="E1196" s="67">
        <v>45720</v>
      </c>
      <c r="F1196" s="62">
        <v>1565</v>
      </c>
      <c r="G1196" s="62">
        <v>1541</v>
      </c>
      <c r="H1196" s="62">
        <v>1395</v>
      </c>
      <c r="I1196" s="60">
        <f t="shared" si="108"/>
        <v>2.2014285714285715</v>
      </c>
      <c r="J1196" s="60">
        <f t="shared" si="109"/>
        <v>-146</v>
      </c>
      <c r="K1196" s="60">
        <f t="shared" si="110"/>
        <v>1.9928571428571429</v>
      </c>
      <c r="L1196" s="60">
        <f t="shared" si="111"/>
        <v>-0.20857142857142863</v>
      </c>
    </row>
    <row r="1197" spans="1:12" x14ac:dyDescent="0.25">
      <c r="A1197" s="61">
        <v>2103</v>
      </c>
      <c r="B1197" s="61" t="s">
        <v>48</v>
      </c>
      <c r="C1197">
        <v>806</v>
      </c>
      <c r="D1197" s="57" t="s">
        <v>49</v>
      </c>
      <c r="E1197" s="67">
        <v>45728</v>
      </c>
      <c r="F1197" s="62">
        <v>1670</v>
      </c>
      <c r="G1197" s="62">
        <v>1590</v>
      </c>
      <c r="H1197" s="62">
        <v>1445</v>
      </c>
      <c r="I1197" s="60">
        <f t="shared" si="108"/>
        <v>1.9727047146401986</v>
      </c>
      <c r="J1197" s="60">
        <f t="shared" si="109"/>
        <v>-145</v>
      </c>
      <c r="K1197" s="60">
        <f t="shared" si="110"/>
        <v>1.7928039702233252</v>
      </c>
      <c r="L1197" s="60">
        <f t="shared" si="111"/>
        <v>-0.17990074441687343</v>
      </c>
    </row>
    <row r="1198" spans="1:12" x14ac:dyDescent="0.25">
      <c r="A1198" s="61">
        <v>5104</v>
      </c>
      <c r="B1198" s="61" t="s">
        <v>59</v>
      </c>
      <c r="C1198">
        <v>1115</v>
      </c>
      <c r="D1198" s="57" t="s">
        <v>49</v>
      </c>
      <c r="E1198" s="67">
        <v>45723</v>
      </c>
      <c r="F1198" s="62">
        <v>2215</v>
      </c>
      <c r="G1198" s="62">
        <v>2200</v>
      </c>
      <c r="H1198" s="62">
        <v>2045</v>
      </c>
      <c r="I1198" s="60">
        <f t="shared" si="108"/>
        <v>1.9730941704035874</v>
      </c>
      <c r="J1198" s="60">
        <f t="shared" si="109"/>
        <v>-155</v>
      </c>
      <c r="K1198" s="60">
        <f t="shared" si="110"/>
        <v>1.8340807174887892</v>
      </c>
      <c r="L1198" s="60">
        <f t="shared" si="111"/>
        <v>-0.13901345291479816</v>
      </c>
    </row>
    <row r="1199" spans="1:12" x14ac:dyDescent="0.25">
      <c r="A1199" s="61">
        <v>2257</v>
      </c>
      <c r="B1199" s="61" t="s">
        <v>65</v>
      </c>
      <c r="C1199">
        <v>813</v>
      </c>
      <c r="D1199" s="57" t="s">
        <v>49</v>
      </c>
      <c r="E1199" s="67">
        <v>45737</v>
      </c>
      <c r="F1199" s="62">
        <v>1630</v>
      </c>
      <c r="G1199" s="62">
        <v>1575</v>
      </c>
      <c r="H1199" s="62">
        <v>1480</v>
      </c>
      <c r="I1199" s="60">
        <f t="shared" si="108"/>
        <v>1.9372693726937269</v>
      </c>
      <c r="J1199" s="60">
        <f t="shared" si="109"/>
        <v>-95</v>
      </c>
      <c r="K1199" s="60">
        <f t="shared" si="110"/>
        <v>1.8204182041820418</v>
      </c>
      <c r="L1199" s="60">
        <f t="shared" si="111"/>
        <v>-0.11685116851168509</v>
      </c>
    </row>
    <row r="1200" spans="1:12" x14ac:dyDescent="0.25">
      <c r="A1200" s="61">
        <v>2345</v>
      </c>
      <c r="B1200" s="61" t="s">
        <v>57</v>
      </c>
      <c r="C1200">
        <v>700</v>
      </c>
      <c r="D1200" s="57" t="s">
        <v>49</v>
      </c>
      <c r="E1200" s="67">
        <v>45740</v>
      </c>
      <c r="F1200" s="62">
        <v>1565</v>
      </c>
      <c r="G1200" s="62">
        <v>1460</v>
      </c>
      <c r="H1200" s="62">
        <v>1415</v>
      </c>
      <c r="I1200" s="60">
        <f t="shared" si="108"/>
        <v>2.0857142857142859</v>
      </c>
      <c r="J1200" s="60">
        <f t="shared" si="109"/>
        <v>-45</v>
      </c>
      <c r="K1200" s="60">
        <f t="shared" si="110"/>
        <v>2.0214285714285714</v>
      </c>
      <c r="L1200" s="60">
        <f t="shared" si="111"/>
        <v>-6.4285714285714501E-2</v>
      </c>
    </row>
    <row r="1201" spans="1:12" x14ac:dyDescent="0.25">
      <c r="A1201" s="61">
        <v>2304</v>
      </c>
      <c r="B1201" s="61" t="s">
        <v>86</v>
      </c>
      <c r="C1201">
        <v>810</v>
      </c>
      <c r="D1201" s="57" t="s">
        <v>352</v>
      </c>
      <c r="E1201" s="67">
        <v>45734</v>
      </c>
      <c r="F1201" s="62">
        <v>1605</v>
      </c>
      <c r="G1201" s="62">
        <v>1686</v>
      </c>
      <c r="H1201" s="62">
        <v>1685</v>
      </c>
      <c r="I1201" s="60">
        <f t="shared" si="108"/>
        <v>2.0814814814814815</v>
      </c>
      <c r="J1201" s="60">
        <f t="shared" si="109"/>
        <v>-1</v>
      </c>
      <c r="K1201" s="60">
        <f t="shared" si="110"/>
        <v>2.0802469135802468</v>
      </c>
      <c r="L1201" s="60">
        <f t="shared" si="111"/>
        <v>-1.2345679012346622E-3</v>
      </c>
    </row>
    <row r="1202" spans="1:12" x14ac:dyDescent="0.25">
      <c r="A1202" s="61" t="s">
        <v>139</v>
      </c>
      <c r="B1202" s="61" t="s">
        <v>355</v>
      </c>
      <c r="C1202">
        <v>810</v>
      </c>
      <c r="D1202" s="57" t="s">
        <v>49</v>
      </c>
      <c r="E1202" s="67">
        <v>45747</v>
      </c>
      <c r="F1202" s="62">
        <v>1555</v>
      </c>
      <c r="G1202" s="62">
        <v>1499</v>
      </c>
      <c r="H1202" s="62">
        <v>1400</v>
      </c>
      <c r="I1202" s="60">
        <f t="shared" si="108"/>
        <v>1.8506172839506172</v>
      </c>
      <c r="J1202" s="60">
        <f t="shared" si="109"/>
        <v>-99</v>
      </c>
      <c r="K1202" s="60">
        <f t="shared" si="110"/>
        <v>1.728395061728395</v>
      </c>
      <c r="L1202" s="60">
        <f t="shared" si="111"/>
        <v>-0.12222222222222223</v>
      </c>
    </row>
    <row r="1203" spans="1:12" x14ac:dyDescent="0.25">
      <c r="A1203" s="61" t="s">
        <v>96</v>
      </c>
      <c r="B1203" s="61" t="s">
        <v>57</v>
      </c>
      <c r="C1203">
        <v>700</v>
      </c>
      <c r="D1203" s="57" t="s">
        <v>49</v>
      </c>
      <c r="E1203" s="67">
        <v>45744</v>
      </c>
      <c r="F1203" s="62">
        <v>1565</v>
      </c>
      <c r="G1203" s="62">
        <v>1460</v>
      </c>
      <c r="H1203" s="62">
        <v>1420</v>
      </c>
      <c r="I1203" s="60">
        <f t="shared" si="108"/>
        <v>2.0857142857142859</v>
      </c>
      <c r="J1203" s="60">
        <f t="shared" si="109"/>
        <v>-40</v>
      </c>
      <c r="K1203" s="60">
        <f t="shared" si="110"/>
        <v>2.0285714285714285</v>
      </c>
      <c r="L1203" s="60">
        <f t="shared" si="111"/>
        <v>-5.7142857142857384E-2</v>
      </c>
    </row>
    <row r="1204" spans="1:12" x14ac:dyDescent="0.25">
      <c r="A1204" s="61" t="s">
        <v>119</v>
      </c>
      <c r="B1204" s="61" t="s">
        <v>48</v>
      </c>
      <c r="C1204">
        <v>806</v>
      </c>
      <c r="D1204" s="57" t="s">
        <v>49</v>
      </c>
      <c r="E1204" s="67">
        <v>45741</v>
      </c>
      <c r="F1204" s="62">
        <v>1670</v>
      </c>
      <c r="G1204" s="62">
        <v>1665</v>
      </c>
      <c r="H1204" s="62">
        <v>1445</v>
      </c>
      <c r="I1204" s="60">
        <f t="shared" si="108"/>
        <v>2.06575682382134</v>
      </c>
      <c r="J1204" s="60">
        <f t="shared" si="109"/>
        <v>-220</v>
      </c>
      <c r="K1204" s="60">
        <f t="shared" si="110"/>
        <v>1.7928039702233252</v>
      </c>
      <c r="L1204" s="60">
        <f t="shared" si="111"/>
        <v>-0.2729528535980148</v>
      </c>
    </row>
    <row r="1205" spans="1:12" x14ac:dyDescent="0.25">
      <c r="A1205" s="61" t="s">
        <v>238</v>
      </c>
      <c r="B1205" s="61" t="s">
        <v>153</v>
      </c>
      <c r="C1205">
        <v>696</v>
      </c>
      <c r="D1205" s="57" t="s">
        <v>49</v>
      </c>
      <c r="E1205" s="67">
        <v>45747</v>
      </c>
      <c r="F1205" s="62">
        <v>1530</v>
      </c>
      <c r="G1205" s="62">
        <v>1525</v>
      </c>
      <c r="H1205" s="62">
        <v>1445</v>
      </c>
      <c r="I1205" s="60">
        <f t="shared" si="108"/>
        <v>2.1910919540229883</v>
      </c>
      <c r="J1205" s="60">
        <f t="shared" si="109"/>
        <v>-80</v>
      </c>
      <c r="K1205" s="60">
        <f t="shared" si="110"/>
        <v>2.0761494252873565</v>
      </c>
      <c r="L1205" s="60">
        <f t="shared" si="111"/>
        <v>-0.11494252873563182</v>
      </c>
    </row>
    <row r="1206" spans="1:12" x14ac:dyDescent="0.25">
      <c r="A1206" s="61" t="s">
        <v>100</v>
      </c>
      <c r="B1206" s="61" t="s">
        <v>65</v>
      </c>
      <c r="C1206">
        <v>813</v>
      </c>
      <c r="D1206" s="57" t="s">
        <v>49</v>
      </c>
      <c r="E1206" s="67">
        <v>45744</v>
      </c>
      <c r="F1206" s="62">
        <v>1630</v>
      </c>
      <c r="G1206" s="62">
        <v>1415</v>
      </c>
      <c r="H1206" s="62">
        <v>1480</v>
      </c>
      <c r="I1206" s="60">
        <f t="shared" si="108"/>
        <v>1.7404674046740467</v>
      </c>
      <c r="J1206" s="60">
        <f t="shared" si="109"/>
        <v>65</v>
      </c>
      <c r="K1206" s="60">
        <f t="shared" si="110"/>
        <v>1.8204182041820418</v>
      </c>
      <c r="L1206" s="60">
        <f t="shared" si="111"/>
        <v>7.9950799507995107E-2</v>
      </c>
    </row>
    <row r="1207" spans="1:12" x14ac:dyDescent="0.25">
      <c r="A1207" s="61" t="s">
        <v>195</v>
      </c>
      <c r="B1207" s="61" t="s">
        <v>48</v>
      </c>
      <c r="C1207">
        <v>806</v>
      </c>
      <c r="D1207" s="57" t="s">
        <v>352</v>
      </c>
      <c r="E1207" s="67">
        <v>45745</v>
      </c>
      <c r="F1207" s="62">
        <v>1670</v>
      </c>
      <c r="G1207" s="62">
        <v>1540</v>
      </c>
      <c r="H1207" s="62">
        <v>1594</v>
      </c>
      <c r="I1207" s="60">
        <f t="shared" si="108"/>
        <v>1.9106699751861043</v>
      </c>
      <c r="J1207" s="60">
        <f t="shared" si="109"/>
        <v>54</v>
      </c>
      <c r="K1207" s="60">
        <f t="shared" si="110"/>
        <v>1.977667493796526</v>
      </c>
      <c r="L1207" s="60">
        <f t="shared" si="111"/>
        <v>6.6997518610421691E-2</v>
      </c>
    </row>
    <row r="1208" spans="1:12" x14ac:dyDescent="0.25">
      <c r="A1208" s="61" t="s">
        <v>247</v>
      </c>
      <c r="B1208" s="61" t="s">
        <v>57</v>
      </c>
      <c r="C1208">
        <v>700</v>
      </c>
      <c r="D1208" s="57" t="s">
        <v>49</v>
      </c>
      <c r="E1208" s="67">
        <v>45754</v>
      </c>
      <c r="F1208" s="62">
        <v>1565</v>
      </c>
      <c r="G1208" s="62">
        <v>1545</v>
      </c>
      <c r="H1208" s="62">
        <v>1395</v>
      </c>
      <c r="I1208" s="60">
        <f t="shared" si="108"/>
        <v>2.2071428571428573</v>
      </c>
      <c r="J1208" s="60">
        <f t="shared" si="109"/>
        <v>-150</v>
      </c>
      <c r="K1208" s="60">
        <f t="shared" si="110"/>
        <v>1.9928571428571429</v>
      </c>
      <c r="L1208" s="60">
        <f t="shared" si="111"/>
        <v>-0.21428571428571441</v>
      </c>
    </row>
    <row r="1209" spans="1:12" x14ac:dyDescent="0.25">
      <c r="A1209" s="61" t="s">
        <v>340</v>
      </c>
      <c r="B1209" s="61" t="s">
        <v>355</v>
      </c>
      <c r="C1209">
        <v>810</v>
      </c>
      <c r="D1209" s="57" t="s">
        <v>49</v>
      </c>
      <c r="E1209" s="67">
        <v>45750</v>
      </c>
      <c r="F1209" s="62">
        <v>1630</v>
      </c>
      <c r="G1209" s="62">
        <v>1515</v>
      </c>
      <c r="H1209" s="62">
        <v>1500</v>
      </c>
      <c r="I1209" s="60">
        <f t="shared" ref="I1209:I1228" si="112">G1209/C1209</f>
        <v>1.8703703703703705</v>
      </c>
      <c r="J1209" s="60">
        <f t="shared" ref="J1209:J1228" si="113">SUM(H1209-G1209)</f>
        <v>-15</v>
      </c>
      <c r="K1209" s="60">
        <f t="shared" ref="K1209:K1228" si="114">H1209/C1209</f>
        <v>1.8518518518518519</v>
      </c>
      <c r="L1209" s="60">
        <f t="shared" ref="L1209:L1228" si="115">K1209-I1209</f>
        <v>-1.8518518518518601E-2</v>
      </c>
    </row>
    <row r="1210" spans="1:12" x14ac:dyDescent="0.25">
      <c r="A1210" s="61" t="s">
        <v>285</v>
      </c>
      <c r="B1210" s="61" t="s">
        <v>65</v>
      </c>
      <c r="C1210">
        <v>813</v>
      </c>
      <c r="D1210" s="57" t="s">
        <v>49</v>
      </c>
      <c r="E1210" s="67">
        <v>45748</v>
      </c>
      <c r="F1210" s="62">
        <v>1630</v>
      </c>
      <c r="G1210" s="62">
        <v>1495</v>
      </c>
      <c r="H1210" s="62">
        <v>1483</v>
      </c>
      <c r="I1210" s="60">
        <f t="shared" si="112"/>
        <v>1.8388683886838868</v>
      </c>
      <c r="J1210" s="60">
        <f t="shared" si="113"/>
        <v>-12</v>
      </c>
      <c r="K1210" s="60">
        <f t="shared" si="114"/>
        <v>1.8241082410824108</v>
      </c>
      <c r="L1210" s="60">
        <f t="shared" si="115"/>
        <v>-1.4760147601476037E-2</v>
      </c>
    </row>
    <row r="1211" spans="1:12" x14ac:dyDescent="0.25">
      <c r="A1211" s="61" t="s">
        <v>114</v>
      </c>
      <c r="B1211" s="61" t="s">
        <v>86</v>
      </c>
      <c r="C1211">
        <v>810</v>
      </c>
      <c r="D1211" s="57" t="s">
        <v>352</v>
      </c>
      <c r="E1211" s="67">
        <v>45749</v>
      </c>
      <c r="F1211" s="62">
        <v>1630</v>
      </c>
      <c r="G1211" s="62">
        <v>1610</v>
      </c>
      <c r="H1211" s="62">
        <v>1610</v>
      </c>
      <c r="I1211" s="60">
        <f t="shared" si="112"/>
        <v>1.9876543209876543</v>
      </c>
      <c r="J1211" s="60">
        <f t="shared" si="113"/>
        <v>0</v>
      </c>
      <c r="K1211" s="60">
        <f t="shared" si="114"/>
        <v>1.9876543209876543</v>
      </c>
      <c r="L1211" s="60">
        <f t="shared" si="115"/>
        <v>0</v>
      </c>
    </row>
    <row r="1212" spans="1:12" x14ac:dyDescent="0.25">
      <c r="A1212" s="61" t="s">
        <v>69</v>
      </c>
      <c r="B1212" s="61" t="s">
        <v>61</v>
      </c>
      <c r="C1212">
        <v>820</v>
      </c>
      <c r="D1212" s="57" t="s">
        <v>49</v>
      </c>
      <c r="E1212" s="67">
        <v>45758</v>
      </c>
      <c r="F1212" s="62">
        <v>1665</v>
      </c>
      <c r="G1212" s="62">
        <v>1540</v>
      </c>
      <c r="H1212" s="62">
        <v>1490</v>
      </c>
      <c r="I1212" s="60">
        <f t="shared" si="112"/>
        <v>1.8780487804878048</v>
      </c>
      <c r="J1212" s="60">
        <f t="shared" si="113"/>
        <v>-50</v>
      </c>
      <c r="K1212" s="60">
        <f t="shared" si="114"/>
        <v>1.8170731707317074</v>
      </c>
      <c r="L1212" s="60">
        <f t="shared" si="115"/>
        <v>-6.0975609756097393E-2</v>
      </c>
    </row>
    <row r="1213" spans="1:12" x14ac:dyDescent="0.25">
      <c r="A1213" s="61" t="s">
        <v>339</v>
      </c>
      <c r="B1213" s="61" t="s">
        <v>86</v>
      </c>
      <c r="C1213">
        <v>810</v>
      </c>
      <c r="D1213" s="57" t="s">
        <v>49</v>
      </c>
      <c r="E1213" s="67">
        <v>45758</v>
      </c>
      <c r="F1213" s="62">
        <v>1630</v>
      </c>
      <c r="G1213" s="62">
        <v>1659</v>
      </c>
      <c r="H1213" s="62">
        <v>1535</v>
      </c>
      <c r="I1213" s="60">
        <f t="shared" si="112"/>
        <v>2.0481481481481483</v>
      </c>
      <c r="J1213" s="60">
        <f t="shared" si="113"/>
        <v>-124</v>
      </c>
      <c r="K1213" s="60">
        <f t="shared" si="114"/>
        <v>1.8950617283950617</v>
      </c>
      <c r="L1213" s="60">
        <f t="shared" si="115"/>
        <v>-0.15308641975308657</v>
      </c>
    </row>
    <row r="1214" spans="1:12" x14ac:dyDescent="0.25">
      <c r="A1214" s="61" t="s">
        <v>328</v>
      </c>
      <c r="B1214" s="61" t="s">
        <v>86</v>
      </c>
      <c r="C1214">
        <v>810</v>
      </c>
      <c r="D1214" s="57" t="s">
        <v>49</v>
      </c>
      <c r="E1214" s="67">
        <v>45758</v>
      </c>
      <c r="F1214" s="62">
        <v>1630</v>
      </c>
      <c r="G1214" s="62">
        <v>1698</v>
      </c>
      <c r="H1214" s="62">
        <v>1515</v>
      </c>
      <c r="I1214" s="60">
        <f t="shared" si="112"/>
        <v>2.0962962962962961</v>
      </c>
      <c r="J1214" s="60">
        <f t="shared" si="113"/>
        <v>-183</v>
      </c>
      <c r="K1214" s="60">
        <f t="shared" si="114"/>
        <v>1.8703703703703705</v>
      </c>
      <c r="L1214" s="60">
        <f t="shared" si="115"/>
        <v>-0.22592592592592564</v>
      </c>
    </row>
    <row r="1215" spans="1:12" x14ac:dyDescent="0.25">
      <c r="A1215" s="61">
        <v>2308</v>
      </c>
      <c r="B1215" s="61" t="s">
        <v>61</v>
      </c>
      <c r="C1215">
        <v>820</v>
      </c>
      <c r="D1215" s="57" t="s">
        <v>49</v>
      </c>
      <c r="E1215" s="67">
        <v>45761</v>
      </c>
      <c r="F1215" s="62">
        <v>1710</v>
      </c>
      <c r="G1215" s="62">
        <v>1680</v>
      </c>
      <c r="H1215" s="62">
        <v>1565</v>
      </c>
      <c r="I1215" s="60">
        <f t="shared" si="112"/>
        <v>2.0487804878048781</v>
      </c>
      <c r="J1215" s="60">
        <f t="shared" si="113"/>
        <v>-115</v>
      </c>
      <c r="K1215" s="60">
        <f t="shared" si="114"/>
        <v>1.9085365853658536</v>
      </c>
      <c r="L1215" s="60">
        <f t="shared" si="115"/>
        <v>-0.14024390243902451</v>
      </c>
    </row>
    <row r="1216" spans="1:12" x14ac:dyDescent="0.25">
      <c r="A1216" s="61">
        <v>2238</v>
      </c>
      <c r="B1216" s="61" t="s">
        <v>86</v>
      </c>
      <c r="C1216">
        <v>810</v>
      </c>
      <c r="D1216" s="57" t="s">
        <v>352</v>
      </c>
      <c r="E1216" s="67">
        <v>45755</v>
      </c>
      <c r="F1216" s="62">
        <v>1605</v>
      </c>
      <c r="G1216" s="62">
        <v>1702</v>
      </c>
      <c r="H1216" s="62">
        <v>1715</v>
      </c>
      <c r="I1216" s="60">
        <f t="shared" si="112"/>
        <v>2.1012345679012348</v>
      </c>
      <c r="J1216" s="60">
        <f t="shared" si="113"/>
        <v>13</v>
      </c>
      <c r="K1216" s="60">
        <f t="shared" si="114"/>
        <v>2.117283950617284</v>
      </c>
      <c r="L1216" s="60">
        <f t="shared" si="115"/>
        <v>1.6049382716049276E-2</v>
      </c>
    </row>
    <row r="1217" spans="1:12" x14ac:dyDescent="0.25">
      <c r="A1217" s="61">
        <v>2254</v>
      </c>
      <c r="B1217" s="61" t="s">
        <v>48</v>
      </c>
      <c r="C1217">
        <v>806</v>
      </c>
      <c r="D1217" s="57" t="s">
        <v>352</v>
      </c>
      <c r="E1217" s="67">
        <v>45755</v>
      </c>
      <c r="F1217" s="62">
        <v>1670</v>
      </c>
      <c r="G1217" s="62">
        <v>1505</v>
      </c>
      <c r="H1217" s="62">
        <v>1510</v>
      </c>
      <c r="I1217" s="60">
        <f t="shared" si="112"/>
        <v>1.8672456575682381</v>
      </c>
      <c r="J1217" s="60">
        <f t="shared" si="113"/>
        <v>5</v>
      </c>
      <c r="K1217" s="60">
        <f t="shared" si="114"/>
        <v>1.8734491315136477</v>
      </c>
      <c r="L1217" s="60">
        <f t="shared" si="115"/>
        <v>6.2034739454095433E-3</v>
      </c>
    </row>
    <row r="1218" spans="1:12" x14ac:dyDescent="0.25">
      <c r="A1218" s="61">
        <v>2163</v>
      </c>
      <c r="B1218" s="61" t="s">
        <v>57</v>
      </c>
      <c r="C1218">
        <v>700</v>
      </c>
      <c r="D1218" s="57" t="s">
        <v>352</v>
      </c>
      <c r="E1218" s="67">
        <v>45762</v>
      </c>
      <c r="F1218" s="62">
        <v>1565</v>
      </c>
      <c r="G1218" s="62">
        <v>1355</v>
      </c>
      <c r="H1218" s="62">
        <v>1402</v>
      </c>
      <c r="I1218" s="60">
        <f t="shared" si="112"/>
        <v>1.9357142857142857</v>
      </c>
      <c r="J1218" s="60">
        <f t="shared" si="113"/>
        <v>47</v>
      </c>
      <c r="K1218" s="60">
        <f t="shared" si="114"/>
        <v>2.0028571428571427</v>
      </c>
      <c r="L1218" s="60">
        <f t="shared" si="115"/>
        <v>6.7142857142856949E-2</v>
      </c>
    </row>
    <row r="1219" spans="1:12" x14ac:dyDescent="0.25">
      <c r="A1219" s="61">
        <v>2204</v>
      </c>
      <c r="B1219" s="61" t="s">
        <v>86</v>
      </c>
      <c r="C1219">
        <v>810</v>
      </c>
      <c r="D1219" s="57" t="s">
        <v>352</v>
      </c>
      <c r="E1219" s="67">
        <v>45768</v>
      </c>
      <c r="F1219" s="62">
        <v>1605</v>
      </c>
      <c r="G1219" s="62">
        <v>1691</v>
      </c>
      <c r="H1219" s="62">
        <v>1691</v>
      </c>
      <c r="I1219" s="60">
        <f t="shared" si="112"/>
        <v>2.0876543209876544</v>
      </c>
      <c r="J1219" s="60">
        <f t="shared" si="113"/>
        <v>0</v>
      </c>
      <c r="K1219" s="60">
        <f t="shared" si="114"/>
        <v>2.0876543209876544</v>
      </c>
      <c r="L1219" s="60">
        <f t="shared" si="115"/>
        <v>0</v>
      </c>
    </row>
    <row r="1220" spans="1:12" x14ac:dyDescent="0.25">
      <c r="A1220" s="61">
        <v>2108</v>
      </c>
      <c r="B1220" s="61" t="s">
        <v>61</v>
      </c>
      <c r="C1220">
        <v>820</v>
      </c>
      <c r="D1220" s="57" t="s">
        <v>49</v>
      </c>
      <c r="E1220" s="67">
        <v>45770</v>
      </c>
      <c r="F1220" s="62">
        <v>1710</v>
      </c>
      <c r="G1220" s="62">
        <v>1853</v>
      </c>
      <c r="H1220" s="62">
        <v>1580</v>
      </c>
      <c r="I1220" s="60">
        <f t="shared" si="112"/>
        <v>2.2597560975609756</v>
      </c>
      <c r="J1220" s="60">
        <f t="shared" si="113"/>
        <v>-273</v>
      </c>
      <c r="K1220" s="60">
        <f t="shared" si="114"/>
        <v>1.9268292682926829</v>
      </c>
      <c r="L1220" s="60">
        <f t="shared" si="115"/>
        <v>-0.33292682926829276</v>
      </c>
    </row>
    <row r="1221" spans="1:12" x14ac:dyDescent="0.25">
      <c r="A1221" s="61">
        <v>2128</v>
      </c>
      <c r="B1221" s="61" t="s">
        <v>74</v>
      </c>
      <c r="C1221">
        <v>1169</v>
      </c>
      <c r="D1221" s="57" t="s">
        <v>49</v>
      </c>
      <c r="E1221" s="67">
        <v>45772</v>
      </c>
      <c r="F1221" s="62">
        <v>2245</v>
      </c>
      <c r="G1221" s="62">
        <v>1775</v>
      </c>
      <c r="H1221" s="62">
        <v>1810</v>
      </c>
      <c r="I1221" s="60">
        <f t="shared" si="112"/>
        <v>1.5183917878528657</v>
      </c>
      <c r="J1221" s="60">
        <f t="shared" si="113"/>
        <v>35</v>
      </c>
      <c r="K1221" s="60">
        <f t="shared" si="114"/>
        <v>1.5483319076133448</v>
      </c>
      <c r="L1221" s="60">
        <f t="shared" si="115"/>
        <v>2.9940119760479167E-2</v>
      </c>
    </row>
    <row r="1222" spans="1:12" x14ac:dyDescent="0.25">
      <c r="A1222" s="61">
        <v>2150</v>
      </c>
      <c r="B1222" s="61" t="s">
        <v>86</v>
      </c>
      <c r="C1222">
        <v>810</v>
      </c>
      <c r="D1222" s="57" t="s">
        <v>49</v>
      </c>
      <c r="E1222" s="67">
        <v>45772</v>
      </c>
      <c r="F1222" s="62">
        <v>1605</v>
      </c>
      <c r="G1222" s="62">
        <v>1586</v>
      </c>
      <c r="H1222" s="62">
        <v>1450</v>
      </c>
      <c r="I1222" s="60">
        <f t="shared" si="112"/>
        <v>1.9580246913580246</v>
      </c>
      <c r="J1222" s="60">
        <f t="shared" si="113"/>
        <v>-136</v>
      </c>
      <c r="K1222" s="60">
        <f t="shared" si="114"/>
        <v>1.7901234567901234</v>
      </c>
      <c r="L1222" s="60">
        <f t="shared" si="115"/>
        <v>-0.16790123456790118</v>
      </c>
    </row>
    <row r="1223" spans="1:12" x14ac:dyDescent="0.25">
      <c r="A1223" s="61">
        <v>4201</v>
      </c>
      <c r="B1223" s="61" t="s">
        <v>59</v>
      </c>
      <c r="C1223">
        <v>1115</v>
      </c>
      <c r="D1223" s="57" t="s">
        <v>49</v>
      </c>
      <c r="E1223" s="67">
        <v>45772</v>
      </c>
      <c r="F1223" s="62">
        <v>2215</v>
      </c>
      <c r="G1223" s="62">
        <v>2020</v>
      </c>
      <c r="H1223" s="62">
        <v>1765</v>
      </c>
      <c r="I1223" s="60">
        <f t="shared" si="112"/>
        <v>1.811659192825112</v>
      </c>
      <c r="J1223" s="60">
        <f t="shared" si="113"/>
        <v>-255</v>
      </c>
      <c r="K1223" s="60">
        <f t="shared" si="114"/>
        <v>1.5829596412556053</v>
      </c>
      <c r="L1223" s="60">
        <f t="shared" si="115"/>
        <v>-0.22869955156950672</v>
      </c>
    </row>
    <row r="1224" spans="1:12" x14ac:dyDescent="0.25">
      <c r="A1224" s="61">
        <v>5112</v>
      </c>
      <c r="B1224" s="61" t="s">
        <v>59</v>
      </c>
      <c r="C1224">
        <v>1115</v>
      </c>
      <c r="D1224" s="57" t="s">
        <v>352</v>
      </c>
      <c r="E1224" s="67">
        <v>45772</v>
      </c>
      <c r="F1224" s="62">
        <v>2215</v>
      </c>
      <c r="G1224" s="62">
        <v>1929</v>
      </c>
      <c r="H1224" s="62">
        <v>2009</v>
      </c>
      <c r="I1224" s="60">
        <f t="shared" si="112"/>
        <v>1.7300448430493274</v>
      </c>
      <c r="J1224" s="60">
        <f t="shared" si="113"/>
        <v>80</v>
      </c>
      <c r="K1224" s="60">
        <f t="shared" si="114"/>
        <v>1.8017937219730942</v>
      </c>
      <c r="L1224" s="60">
        <f t="shared" si="115"/>
        <v>7.1748878923766801E-2</v>
      </c>
    </row>
    <row r="1225" spans="1:12" x14ac:dyDescent="0.25">
      <c r="A1225" s="61">
        <v>2224</v>
      </c>
      <c r="B1225" s="61" t="s">
        <v>82</v>
      </c>
      <c r="C1225">
        <v>1112</v>
      </c>
      <c r="D1225" s="57" t="s">
        <v>352</v>
      </c>
      <c r="E1225" s="67">
        <v>45768</v>
      </c>
      <c r="F1225" s="62">
        <v>2195</v>
      </c>
      <c r="G1225" s="62">
        <v>2145</v>
      </c>
      <c r="H1225" s="62">
        <v>1990</v>
      </c>
      <c r="I1225" s="60">
        <f t="shared" si="112"/>
        <v>1.9289568345323742</v>
      </c>
      <c r="J1225" s="60">
        <f t="shared" si="113"/>
        <v>-155</v>
      </c>
      <c r="K1225" s="60">
        <f t="shared" si="114"/>
        <v>1.789568345323741</v>
      </c>
      <c r="L1225" s="60">
        <f t="shared" si="115"/>
        <v>-0.13938848920863323</v>
      </c>
    </row>
    <row r="1226" spans="1:12" x14ac:dyDescent="0.25">
      <c r="A1226" s="61">
        <v>2336</v>
      </c>
      <c r="B1226" s="61" t="s">
        <v>86</v>
      </c>
      <c r="C1226">
        <v>810</v>
      </c>
      <c r="D1226" s="57" t="s">
        <v>49</v>
      </c>
      <c r="E1226" s="67">
        <v>45775</v>
      </c>
      <c r="F1226" s="62">
        <v>1630</v>
      </c>
      <c r="G1226" s="62">
        <v>2145</v>
      </c>
      <c r="H1226" s="62">
        <v>1540</v>
      </c>
      <c r="I1226" s="60">
        <f t="shared" si="112"/>
        <v>2.6481481481481484</v>
      </c>
      <c r="J1226" s="60">
        <f t="shared" si="113"/>
        <v>-605</v>
      </c>
      <c r="K1226" s="60">
        <f t="shared" si="114"/>
        <v>1.9012345679012346</v>
      </c>
      <c r="L1226" s="60">
        <f t="shared" si="115"/>
        <v>-0.74691358024691379</v>
      </c>
    </row>
    <row r="1227" spans="1:12" x14ac:dyDescent="0.25">
      <c r="A1227" s="61" t="s">
        <v>95</v>
      </c>
      <c r="B1227" s="61" t="s">
        <v>82</v>
      </c>
      <c r="C1227">
        <v>1112</v>
      </c>
      <c r="D1227" s="57" t="s">
        <v>49</v>
      </c>
      <c r="E1227" s="67">
        <v>45772</v>
      </c>
      <c r="F1227" s="62">
        <v>2175</v>
      </c>
      <c r="G1227" s="62">
        <v>1986</v>
      </c>
      <c r="H1227" s="62">
        <v>1780</v>
      </c>
      <c r="I1227" s="60">
        <f t="shared" si="112"/>
        <v>1.7859712230215827</v>
      </c>
      <c r="J1227" s="60">
        <f t="shared" si="113"/>
        <v>-206</v>
      </c>
      <c r="K1227" s="60">
        <f t="shared" si="114"/>
        <v>1.6007194244604317</v>
      </c>
      <c r="L1227" s="60">
        <f t="shared" si="115"/>
        <v>-0.18525179856115104</v>
      </c>
    </row>
    <row r="1228" spans="1:12" x14ac:dyDescent="0.25">
      <c r="A1228" s="61" t="s">
        <v>209</v>
      </c>
      <c r="B1228" s="61" t="s">
        <v>59</v>
      </c>
      <c r="C1228">
        <v>1115</v>
      </c>
      <c r="D1228" s="57" t="s">
        <v>49</v>
      </c>
      <c r="E1228" s="67">
        <v>45779</v>
      </c>
      <c r="F1228" s="62">
        <v>2310</v>
      </c>
      <c r="G1228" s="62">
        <v>1909</v>
      </c>
      <c r="H1228" s="62">
        <v>1780</v>
      </c>
      <c r="I1228" s="60">
        <f t="shared" si="112"/>
        <v>1.7121076233183856</v>
      </c>
      <c r="J1228" s="60">
        <f t="shared" si="113"/>
        <v>-129</v>
      </c>
      <c r="K1228" s="60">
        <f t="shared" si="114"/>
        <v>1.5964125560538116</v>
      </c>
      <c r="L1228" s="60">
        <f t="shared" si="115"/>
        <v>-0.11569506726457401</v>
      </c>
    </row>
    <row r="1229" spans="1:12" x14ac:dyDescent="0.25">
      <c r="A1229" s="61" t="s">
        <v>73</v>
      </c>
      <c r="B1229" s="61" t="s">
        <v>74</v>
      </c>
      <c r="C1229">
        <v>1169</v>
      </c>
      <c r="D1229" s="57" t="s">
        <v>49</v>
      </c>
      <c r="E1229" s="67">
        <v>45779</v>
      </c>
      <c r="F1229" s="62">
        <v>2245</v>
      </c>
      <c r="G1229" s="62">
        <v>1820</v>
      </c>
      <c r="H1229" s="62">
        <v>1790</v>
      </c>
      <c r="I1229" s="60">
        <f t="shared" ref="I1229:I1242" si="116">G1229/C1229</f>
        <v>1.5568862275449102</v>
      </c>
      <c r="J1229" s="60">
        <f t="shared" ref="J1229:J1242" si="117">SUM(H1229-G1229)</f>
        <v>-30</v>
      </c>
      <c r="K1229" s="60">
        <f t="shared" ref="K1229:K1242" si="118">H1229/C1229</f>
        <v>1.5312232677502138</v>
      </c>
      <c r="L1229" s="60">
        <f t="shared" ref="L1229:L1242" si="119">K1229-I1229</f>
        <v>-2.566295979469646E-2</v>
      </c>
    </row>
    <row r="1230" spans="1:12" x14ac:dyDescent="0.25">
      <c r="A1230" s="61" t="s">
        <v>213</v>
      </c>
      <c r="B1230" s="61" t="s">
        <v>59</v>
      </c>
      <c r="C1230">
        <v>1115</v>
      </c>
      <c r="D1230" s="57" t="s">
        <v>49</v>
      </c>
      <c r="E1230" s="67">
        <v>45777</v>
      </c>
      <c r="F1230" s="62">
        <v>2215</v>
      </c>
      <c r="G1230" s="62">
        <v>1745</v>
      </c>
      <c r="H1230" s="62">
        <v>1765</v>
      </c>
      <c r="I1230" s="60">
        <f t="shared" si="116"/>
        <v>1.5650224215246638</v>
      </c>
      <c r="J1230" s="60">
        <f t="shared" si="117"/>
        <v>20</v>
      </c>
      <c r="K1230" s="60">
        <f t="shared" si="118"/>
        <v>1.5829596412556053</v>
      </c>
      <c r="L1230" s="60">
        <f t="shared" si="119"/>
        <v>1.7937219730941534E-2</v>
      </c>
    </row>
    <row r="1231" spans="1:12" x14ac:dyDescent="0.25">
      <c r="A1231" s="61" t="s">
        <v>229</v>
      </c>
      <c r="B1231" s="61" t="s">
        <v>153</v>
      </c>
      <c r="C1231">
        <v>696</v>
      </c>
      <c r="D1231" s="57" t="s">
        <v>352</v>
      </c>
      <c r="E1231" s="67">
        <v>45779</v>
      </c>
      <c r="F1231" s="62">
        <v>1500</v>
      </c>
      <c r="G1231" s="62">
        <v>1608</v>
      </c>
      <c r="H1231" s="62">
        <v>1636</v>
      </c>
      <c r="I1231" s="60">
        <f t="shared" si="116"/>
        <v>2.3103448275862069</v>
      </c>
      <c r="J1231" s="60">
        <f t="shared" si="117"/>
        <v>28</v>
      </c>
      <c r="K1231" s="60">
        <f t="shared" si="118"/>
        <v>2.3505747126436782</v>
      </c>
      <c r="L1231" s="60">
        <f t="shared" si="119"/>
        <v>4.0229885057471382E-2</v>
      </c>
    </row>
    <row r="1232" spans="1:12" x14ac:dyDescent="0.25">
      <c r="A1232" s="61">
        <v>4312</v>
      </c>
      <c r="B1232" s="61" t="s">
        <v>145</v>
      </c>
      <c r="C1232">
        <v>1146</v>
      </c>
      <c r="D1232" s="57" t="s">
        <v>352</v>
      </c>
      <c r="E1232" s="67">
        <v>45779</v>
      </c>
      <c r="F1232" s="62">
        <v>2200</v>
      </c>
      <c r="G1232" s="62">
        <v>1735</v>
      </c>
      <c r="H1232" s="62">
        <v>1790</v>
      </c>
      <c r="I1232" s="60">
        <f t="shared" si="116"/>
        <v>1.5139616055846423</v>
      </c>
      <c r="J1232" s="60">
        <f t="shared" si="117"/>
        <v>55</v>
      </c>
      <c r="K1232" s="60">
        <f t="shared" si="118"/>
        <v>1.5619546247818499</v>
      </c>
      <c r="L1232" s="60">
        <f t="shared" si="119"/>
        <v>4.7993019197207554E-2</v>
      </c>
    </row>
    <row r="1233" spans="1:12" x14ac:dyDescent="0.25">
      <c r="A1233" s="61" t="s">
        <v>314</v>
      </c>
      <c r="B1233" s="61" t="s">
        <v>74</v>
      </c>
      <c r="C1233">
        <v>1169</v>
      </c>
      <c r="D1233" s="57" t="s">
        <v>49</v>
      </c>
      <c r="E1233" s="67">
        <v>45782</v>
      </c>
      <c r="F1233" s="62">
        <v>2290</v>
      </c>
      <c r="G1233" s="62">
        <v>2085</v>
      </c>
      <c r="H1233" s="62">
        <v>1880</v>
      </c>
      <c r="I1233" s="60">
        <f t="shared" si="116"/>
        <v>1.7835757057313943</v>
      </c>
      <c r="J1233" s="60">
        <f t="shared" si="117"/>
        <v>-205</v>
      </c>
      <c r="K1233" s="60">
        <f t="shared" si="118"/>
        <v>1.6082121471343027</v>
      </c>
      <c r="L1233" s="60">
        <f t="shared" si="119"/>
        <v>-0.17536355859709163</v>
      </c>
    </row>
    <row r="1234" spans="1:12" x14ac:dyDescent="0.25">
      <c r="A1234" s="61" t="s">
        <v>162</v>
      </c>
      <c r="B1234" s="61" t="s">
        <v>74</v>
      </c>
      <c r="C1234">
        <v>1169</v>
      </c>
      <c r="D1234" s="57" t="s">
        <v>49</v>
      </c>
      <c r="E1234" s="67">
        <v>45784</v>
      </c>
      <c r="F1234" s="62">
        <v>2270</v>
      </c>
      <c r="G1234" s="62">
        <v>1995</v>
      </c>
      <c r="H1234" s="62">
        <v>1840</v>
      </c>
      <c r="I1234" s="60">
        <f t="shared" si="116"/>
        <v>1.7065868263473054</v>
      </c>
      <c r="J1234" s="60">
        <f t="shared" si="117"/>
        <v>-155</v>
      </c>
      <c r="K1234" s="60">
        <f t="shared" si="118"/>
        <v>1.5739948674080411</v>
      </c>
      <c r="L1234" s="60">
        <f t="shared" si="119"/>
        <v>-0.13259195893926434</v>
      </c>
    </row>
    <row r="1235" spans="1:12" x14ac:dyDescent="0.25">
      <c r="A1235" s="61" t="s">
        <v>308</v>
      </c>
      <c r="B1235" s="61" t="s">
        <v>48</v>
      </c>
      <c r="C1235">
        <v>806</v>
      </c>
      <c r="D1235" s="57" t="s">
        <v>352</v>
      </c>
      <c r="E1235" s="67">
        <v>45787</v>
      </c>
      <c r="F1235" s="62">
        <v>1670</v>
      </c>
      <c r="G1235" s="62">
        <v>1690</v>
      </c>
      <c r="H1235" s="62">
        <v>1719</v>
      </c>
      <c r="I1235" s="60">
        <f t="shared" si="116"/>
        <v>2.096774193548387</v>
      </c>
      <c r="J1235" s="60">
        <f t="shared" si="117"/>
        <v>29</v>
      </c>
      <c r="K1235" s="60">
        <f t="shared" si="118"/>
        <v>2.1327543424317619</v>
      </c>
      <c r="L1235" s="60">
        <f t="shared" si="119"/>
        <v>3.5980148883374863E-2</v>
      </c>
    </row>
    <row r="1236" spans="1:12" x14ac:dyDescent="0.25">
      <c r="A1236" s="61" t="s">
        <v>84</v>
      </c>
      <c r="B1236" s="61" t="s">
        <v>57</v>
      </c>
      <c r="C1236">
        <v>700</v>
      </c>
      <c r="D1236" s="57" t="s">
        <v>352</v>
      </c>
      <c r="E1236" s="67">
        <v>45785</v>
      </c>
      <c r="F1236" s="62">
        <v>1565</v>
      </c>
      <c r="G1236" s="62">
        <v>1516</v>
      </c>
      <c r="H1236" s="62">
        <v>1541</v>
      </c>
      <c r="I1236" s="60">
        <f t="shared" si="116"/>
        <v>2.1657142857142859</v>
      </c>
      <c r="J1236" s="60">
        <f t="shared" si="117"/>
        <v>25</v>
      </c>
      <c r="K1236" s="60">
        <f t="shared" si="118"/>
        <v>2.2014285714285715</v>
      </c>
      <c r="L1236" s="60">
        <f t="shared" si="119"/>
        <v>3.5714285714285587E-2</v>
      </c>
    </row>
    <row r="1237" spans="1:12" x14ac:dyDescent="0.25">
      <c r="A1237" s="61" t="s">
        <v>118</v>
      </c>
      <c r="B1237" s="61" t="s">
        <v>59</v>
      </c>
      <c r="C1237">
        <v>1115</v>
      </c>
      <c r="D1237" s="57" t="s">
        <v>352</v>
      </c>
      <c r="E1237" s="67">
        <v>45784</v>
      </c>
      <c r="F1237" s="62">
        <v>2185</v>
      </c>
      <c r="G1237" s="62">
        <v>1730</v>
      </c>
      <c r="H1237" s="62">
        <v>1868</v>
      </c>
      <c r="I1237" s="60">
        <f t="shared" si="116"/>
        <v>1.5515695067264574</v>
      </c>
      <c r="J1237" s="60">
        <f t="shared" si="117"/>
        <v>138</v>
      </c>
      <c r="K1237" s="60">
        <f t="shared" si="118"/>
        <v>1.6753363228699552</v>
      </c>
      <c r="L1237" s="60">
        <f t="shared" si="119"/>
        <v>0.12376681614349772</v>
      </c>
    </row>
    <row r="1238" spans="1:12" x14ac:dyDescent="0.25">
      <c r="A1238" s="61" t="s">
        <v>78</v>
      </c>
      <c r="B1238" s="61" t="s">
        <v>59</v>
      </c>
      <c r="C1238">
        <v>1115</v>
      </c>
      <c r="D1238" s="57" t="s">
        <v>352</v>
      </c>
      <c r="E1238" s="67">
        <v>45784</v>
      </c>
      <c r="F1238" s="62">
        <v>2185</v>
      </c>
      <c r="G1238" s="62">
        <v>1785</v>
      </c>
      <c r="H1238" s="62">
        <v>1892</v>
      </c>
      <c r="I1238" s="60">
        <f t="shared" si="116"/>
        <v>1.600896860986547</v>
      </c>
      <c r="J1238" s="60">
        <f t="shared" si="117"/>
        <v>107</v>
      </c>
      <c r="K1238" s="60">
        <f t="shared" si="118"/>
        <v>1.6968609865470852</v>
      </c>
      <c r="L1238" s="60">
        <f t="shared" si="119"/>
        <v>9.5964125560538127E-2</v>
      </c>
    </row>
    <row r="1239" spans="1:12" x14ac:dyDescent="0.25">
      <c r="A1239" s="61" t="s">
        <v>70</v>
      </c>
      <c r="B1239" s="61" t="s">
        <v>51</v>
      </c>
      <c r="C1239">
        <v>848</v>
      </c>
      <c r="D1239" s="57" t="s">
        <v>49</v>
      </c>
      <c r="E1239" s="67">
        <v>45792</v>
      </c>
      <c r="F1239" s="62">
        <v>1785</v>
      </c>
      <c r="G1239" s="62">
        <v>1575</v>
      </c>
      <c r="H1239" s="62">
        <v>1505</v>
      </c>
      <c r="I1239" s="60">
        <f t="shared" si="116"/>
        <v>1.8573113207547169</v>
      </c>
      <c r="J1239" s="60">
        <f t="shared" si="117"/>
        <v>-70</v>
      </c>
      <c r="K1239" s="60">
        <f t="shared" si="118"/>
        <v>1.7747641509433962</v>
      </c>
      <c r="L1239" s="60">
        <f t="shared" si="119"/>
        <v>-8.2547169811320709E-2</v>
      </c>
    </row>
    <row r="1240" spans="1:12" x14ac:dyDescent="0.25">
      <c r="A1240" s="61" t="s">
        <v>201</v>
      </c>
      <c r="B1240" s="61" t="s">
        <v>59</v>
      </c>
      <c r="C1240">
        <v>1115</v>
      </c>
      <c r="D1240" s="57" t="s">
        <v>49</v>
      </c>
      <c r="E1240" s="67">
        <v>45790</v>
      </c>
      <c r="F1240" s="62">
        <v>2185</v>
      </c>
      <c r="G1240" s="62">
        <v>2167</v>
      </c>
      <c r="H1240" s="62">
        <v>1752</v>
      </c>
      <c r="I1240" s="60">
        <f t="shared" si="116"/>
        <v>1.9434977578475336</v>
      </c>
      <c r="J1240" s="60">
        <f t="shared" si="117"/>
        <v>-415</v>
      </c>
      <c r="K1240" s="60">
        <f t="shared" si="118"/>
        <v>1.5713004484304933</v>
      </c>
      <c r="L1240" s="60">
        <f t="shared" si="119"/>
        <v>-0.37219730941704032</v>
      </c>
    </row>
    <row r="1241" spans="1:12" x14ac:dyDescent="0.25">
      <c r="A1241" s="61" t="s">
        <v>193</v>
      </c>
      <c r="B1241" s="61" t="s">
        <v>145</v>
      </c>
      <c r="C1241">
        <v>1146</v>
      </c>
      <c r="D1241" s="57" t="s">
        <v>49</v>
      </c>
      <c r="E1241" s="67">
        <v>45793</v>
      </c>
      <c r="F1241" s="62">
        <v>2230</v>
      </c>
      <c r="G1241" s="62">
        <v>1830</v>
      </c>
      <c r="H1241" s="62">
        <v>1820</v>
      </c>
      <c r="I1241" s="60">
        <f t="shared" si="116"/>
        <v>1.5968586387434556</v>
      </c>
      <c r="J1241" s="60">
        <f t="shared" si="117"/>
        <v>-10</v>
      </c>
      <c r="K1241" s="60">
        <f t="shared" si="118"/>
        <v>1.588132635253054</v>
      </c>
      <c r="L1241" s="60">
        <f t="shared" si="119"/>
        <v>-8.7260034904015349E-3</v>
      </c>
    </row>
    <row r="1242" spans="1:12" x14ac:dyDescent="0.25">
      <c r="A1242" s="61" t="s">
        <v>95</v>
      </c>
      <c r="B1242" s="61" t="s">
        <v>82</v>
      </c>
      <c r="C1242">
        <v>1112</v>
      </c>
      <c r="D1242" s="57" t="s">
        <v>49</v>
      </c>
      <c r="E1242" s="67">
        <v>45792</v>
      </c>
      <c r="F1242" s="62">
        <v>2175</v>
      </c>
      <c r="G1242" s="62">
        <v>1986</v>
      </c>
      <c r="H1242" s="62">
        <v>1755</v>
      </c>
      <c r="I1242" s="60">
        <f t="shared" si="116"/>
        <v>1.7859712230215827</v>
      </c>
      <c r="J1242" s="60">
        <f t="shared" si="117"/>
        <v>-231</v>
      </c>
      <c r="K1242" s="60">
        <f t="shared" si="118"/>
        <v>1.5782374100719425</v>
      </c>
      <c r="L1242" s="60">
        <f t="shared" si="119"/>
        <v>-0.20773381294964022</v>
      </c>
    </row>
    <row r="1243" spans="1:12" x14ac:dyDescent="0.25">
      <c r="A1243" s="61" t="s">
        <v>114</v>
      </c>
      <c r="B1243" s="61" t="s">
        <v>86</v>
      </c>
      <c r="C1243">
        <v>810</v>
      </c>
      <c r="D1243" s="57" t="s">
        <v>49</v>
      </c>
      <c r="E1243" s="67">
        <v>45789</v>
      </c>
      <c r="F1243" s="62">
        <v>1630</v>
      </c>
      <c r="G1243" s="62">
        <v>1610</v>
      </c>
      <c r="H1243" s="62">
        <v>1570</v>
      </c>
      <c r="I1243" s="60">
        <f t="shared" ref="I1243:I1254" si="120">G1243/C1243</f>
        <v>1.9876543209876543</v>
      </c>
      <c r="J1243" s="60">
        <f t="shared" ref="J1243:J1254" si="121">SUM(H1243-G1243)</f>
        <v>-40</v>
      </c>
      <c r="K1243" s="60">
        <f t="shared" ref="K1243:K1254" si="122">H1243/C1243</f>
        <v>1.9382716049382716</v>
      </c>
      <c r="L1243" s="60">
        <f t="shared" ref="L1243:L1254" si="123">K1243-I1243</f>
        <v>-4.9382716049382713E-2</v>
      </c>
    </row>
    <row r="1244" spans="1:12" x14ac:dyDescent="0.25">
      <c r="A1244" s="61" t="s">
        <v>203</v>
      </c>
      <c r="B1244" s="61" t="s">
        <v>86</v>
      </c>
      <c r="C1244">
        <v>810</v>
      </c>
      <c r="D1244" s="57" t="s">
        <v>352</v>
      </c>
      <c r="E1244" s="67">
        <v>45794</v>
      </c>
      <c r="F1244" s="62">
        <v>1605</v>
      </c>
      <c r="G1244" s="62">
        <v>1520</v>
      </c>
      <c r="H1244" s="62">
        <v>1535</v>
      </c>
      <c r="I1244" s="60">
        <f t="shared" si="120"/>
        <v>1.8765432098765431</v>
      </c>
      <c r="J1244" s="60">
        <f t="shared" si="121"/>
        <v>15</v>
      </c>
      <c r="K1244" s="60">
        <f t="shared" si="122"/>
        <v>1.8950617283950617</v>
      </c>
      <c r="L1244" s="60">
        <f t="shared" si="123"/>
        <v>1.8518518518518601E-2</v>
      </c>
    </row>
    <row r="1245" spans="1:12" x14ac:dyDescent="0.25">
      <c r="A1245" s="61" t="s">
        <v>178</v>
      </c>
      <c r="B1245" s="61" t="s">
        <v>82</v>
      </c>
      <c r="C1245">
        <v>1112</v>
      </c>
      <c r="D1245" s="57" t="s">
        <v>352</v>
      </c>
      <c r="E1245" s="67">
        <v>45792</v>
      </c>
      <c r="F1245" s="62">
        <v>2175</v>
      </c>
      <c r="G1245" s="62">
        <v>2049</v>
      </c>
      <c r="H1245" s="62">
        <v>2069</v>
      </c>
      <c r="I1245" s="60">
        <f t="shared" si="120"/>
        <v>1.8426258992805755</v>
      </c>
      <c r="J1245" s="60">
        <f t="shared" si="121"/>
        <v>20</v>
      </c>
      <c r="K1245" s="60">
        <f t="shared" si="122"/>
        <v>1.860611510791367</v>
      </c>
      <c r="L1245" s="60">
        <f t="shared" si="123"/>
        <v>1.7985611510791477E-2</v>
      </c>
    </row>
    <row r="1246" spans="1:12" x14ac:dyDescent="0.25">
      <c r="A1246" s="61" t="s">
        <v>347</v>
      </c>
      <c r="B1246" s="61" t="s">
        <v>48</v>
      </c>
      <c r="C1246">
        <v>806</v>
      </c>
      <c r="D1246" s="57" t="s">
        <v>352</v>
      </c>
      <c r="E1246" s="67">
        <v>45789</v>
      </c>
      <c r="F1246" s="62">
        <v>1670</v>
      </c>
      <c r="G1246" s="62">
        <v>1613</v>
      </c>
      <c r="H1246" s="62">
        <v>1640</v>
      </c>
      <c r="I1246" s="60">
        <f t="shared" si="120"/>
        <v>2.001240694789082</v>
      </c>
      <c r="J1246" s="60">
        <f t="shared" si="121"/>
        <v>27</v>
      </c>
      <c r="K1246" s="60">
        <f t="shared" si="122"/>
        <v>2.0347394540942929</v>
      </c>
      <c r="L1246" s="60">
        <f t="shared" si="123"/>
        <v>3.3498759305210957E-2</v>
      </c>
    </row>
    <row r="1247" spans="1:12" x14ac:dyDescent="0.25">
      <c r="A1247" s="61" t="s">
        <v>63</v>
      </c>
      <c r="B1247" s="61" t="s">
        <v>57</v>
      </c>
      <c r="C1247">
        <v>700</v>
      </c>
      <c r="D1247" s="57" t="s">
        <v>49</v>
      </c>
      <c r="E1247" s="67">
        <v>45800</v>
      </c>
      <c r="F1247" s="62">
        <v>1610</v>
      </c>
      <c r="G1247" s="62">
        <v>1555</v>
      </c>
      <c r="H1247" s="62">
        <v>1497</v>
      </c>
      <c r="I1247" s="60">
        <f t="shared" si="120"/>
        <v>2.2214285714285715</v>
      </c>
      <c r="J1247" s="60">
        <f t="shared" si="121"/>
        <v>-58</v>
      </c>
      <c r="K1247" s="60">
        <f t="shared" si="122"/>
        <v>2.1385714285714288</v>
      </c>
      <c r="L1247" s="60">
        <f t="shared" si="123"/>
        <v>-8.285714285714274E-2</v>
      </c>
    </row>
    <row r="1248" spans="1:12" x14ac:dyDescent="0.25">
      <c r="A1248" s="61" t="s">
        <v>218</v>
      </c>
      <c r="B1248" s="61" t="s">
        <v>48</v>
      </c>
      <c r="C1248">
        <v>806</v>
      </c>
      <c r="D1248" s="57" t="s">
        <v>49</v>
      </c>
      <c r="E1248" s="67">
        <v>45800</v>
      </c>
      <c r="F1248" s="62">
        <v>1670</v>
      </c>
      <c r="G1248" s="62">
        <v>1545</v>
      </c>
      <c r="H1248" s="62">
        <v>1516</v>
      </c>
      <c r="I1248" s="60">
        <f t="shared" si="120"/>
        <v>1.9168734491315136</v>
      </c>
      <c r="J1248" s="60">
        <f t="shared" si="121"/>
        <v>-29</v>
      </c>
      <c r="K1248" s="60">
        <f t="shared" si="122"/>
        <v>1.8808933002481389</v>
      </c>
      <c r="L1248" s="60">
        <f t="shared" si="123"/>
        <v>-3.5980148883374641E-2</v>
      </c>
    </row>
    <row r="1249" spans="1:12" x14ac:dyDescent="0.25">
      <c r="A1249" s="61">
        <v>2317</v>
      </c>
      <c r="B1249" s="61" t="s">
        <v>51</v>
      </c>
      <c r="C1249">
        <v>848</v>
      </c>
      <c r="D1249" s="57" t="s">
        <v>352</v>
      </c>
      <c r="E1249" s="67">
        <v>45802</v>
      </c>
      <c r="F1249" s="62">
        <v>1815</v>
      </c>
      <c r="G1249" s="62">
        <v>1684</v>
      </c>
      <c r="H1249" s="62">
        <v>1704</v>
      </c>
      <c r="I1249" s="60">
        <f t="shared" si="120"/>
        <v>1.9858490566037736</v>
      </c>
      <c r="J1249" s="60">
        <f t="shared" si="121"/>
        <v>20</v>
      </c>
      <c r="K1249" s="60">
        <f t="shared" si="122"/>
        <v>2.0094339622641511</v>
      </c>
      <c r="L1249" s="60">
        <f t="shared" si="123"/>
        <v>2.3584905660377409E-2</v>
      </c>
    </row>
    <row r="1250" spans="1:12" x14ac:dyDescent="0.25">
      <c r="A1250" s="61">
        <v>2341</v>
      </c>
      <c r="B1250" s="61" t="s">
        <v>86</v>
      </c>
      <c r="C1250">
        <v>810</v>
      </c>
      <c r="D1250" s="57" t="s">
        <v>352</v>
      </c>
      <c r="E1250" s="67">
        <v>45798</v>
      </c>
      <c r="F1250" s="62">
        <v>1605</v>
      </c>
      <c r="G1250" s="62">
        <v>1652</v>
      </c>
      <c r="H1250" s="62">
        <v>1671</v>
      </c>
      <c r="I1250" s="60">
        <f t="shared" si="120"/>
        <v>2.0395061728395061</v>
      </c>
      <c r="J1250" s="60">
        <f t="shared" si="121"/>
        <v>19</v>
      </c>
      <c r="K1250" s="60">
        <f t="shared" si="122"/>
        <v>2.0629629629629629</v>
      </c>
      <c r="L1250" s="60">
        <f t="shared" si="123"/>
        <v>2.3456790123456805E-2</v>
      </c>
    </row>
    <row r="1251" spans="1:12" x14ac:dyDescent="0.25">
      <c r="A1251" s="61" t="s">
        <v>62</v>
      </c>
      <c r="B1251" s="61" t="s">
        <v>59</v>
      </c>
      <c r="C1251">
        <v>1115</v>
      </c>
      <c r="D1251" s="57" t="s">
        <v>49</v>
      </c>
      <c r="E1251" s="67">
        <v>45806</v>
      </c>
      <c r="F1251" s="62">
        <v>2185</v>
      </c>
      <c r="G1251" s="62">
        <v>1785</v>
      </c>
      <c r="H1251" s="62">
        <v>1881</v>
      </c>
      <c r="I1251" s="60">
        <f t="shared" si="120"/>
        <v>1.600896860986547</v>
      </c>
      <c r="J1251" s="60">
        <f t="shared" si="121"/>
        <v>96</v>
      </c>
      <c r="K1251" s="60">
        <f t="shared" si="122"/>
        <v>1.6869955156950673</v>
      </c>
      <c r="L1251" s="60">
        <f t="shared" si="123"/>
        <v>8.6098654708520295E-2</v>
      </c>
    </row>
    <row r="1252" spans="1:12" x14ac:dyDescent="0.25">
      <c r="A1252" s="61" t="s">
        <v>102</v>
      </c>
      <c r="B1252" s="61" t="s">
        <v>86</v>
      </c>
      <c r="C1252">
        <v>810</v>
      </c>
      <c r="D1252" s="57" t="s">
        <v>49</v>
      </c>
      <c r="E1252" s="67">
        <v>45804</v>
      </c>
      <c r="F1252" s="62">
        <v>1555</v>
      </c>
      <c r="G1252" s="62">
        <v>1580</v>
      </c>
      <c r="H1252" s="62">
        <v>1425</v>
      </c>
      <c r="I1252" s="60">
        <f t="shared" si="120"/>
        <v>1.9506172839506173</v>
      </c>
      <c r="J1252" s="60">
        <f t="shared" si="121"/>
        <v>-155</v>
      </c>
      <c r="K1252" s="60">
        <f t="shared" si="122"/>
        <v>1.7592592592592593</v>
      </c>
      <c r="L1252" s="60">
        <f t="shared" si="123"/>
        <v>-0.19135802469135799</v>
      </c>
    </row>
    <row r="1253" spans="1:12" x14ac:dyDescent="0.25">
      <c r="A1253" s="61" t="s">
        <v>165</v>
      </c>
      <c r="B1253" s="61" t="s">
        <v>59</v>
      </c>
      <c r="C1253">
        <v>1115</v>
      </c>
      <c r="D1253" s="57" t="s">
        <v>49</v>
      </c>
      <c r="E1253" s="67">
        <v>45807</v>
      </c>
      <c r="F1253" s="62">
        <v>2185</v>
      </c>
      <c r="G1253" s="62">
        <v>2016</v>
      </c>
      <c r="H1253" s="62">
        <v>1803</v>
      </c>
      <c r="I1253" s="60">
        <f t="shared" si="120"/>
        <v>1.8080717488789237</v>
      </c>
      <c r="J1253" s="60">
        <f t="shared" si="121"/>
        <v>-213</v>
      </c>
      <c r="K1253" s="60">
        <f t="shared" si="122"/>
        <v>1.6170403587443947</v>
      </c>
      <c r="L1253" s="60">
        <f t="shared" si="123"/>
        <v>-0.19103139013452908</v>
      </c>
    </row>
    <row r="1254" spans="1:12" x14ac:dyDescent="0.25">
      <c r="A1254" s="61" t="s">
        <v>321</v>
      </c>
      <c r="B1254" s="61" t="s">
        <v>153</v>
      </c>
      <c r="C1254">
        <v>696</v>
      </c>
      <c r="D1254" s="57" t="s">
        <v>352</v>
      </c>
      <c r="E1254" s="67">
        <v>45806</v>
      </c>
      <c r="F1254" s="62">
        <v>1500</v>
      </c>
      <c r="G1254" s="62">
        <v>1470</v>
      </c>
      <c r="H1254" s="62">
        <v>1485</v>
      </c>
      <c r="I1254" s="60">
        <f t="shared" si="120"/>
        <v>2.1120689655172415</v>
      </c>
      <c r="J1254" s="60">
        <f t="shared" si="121"/>
        <v>15</v>
      </c>
      <c r="K1254" s="60">
        <f t="shared" si="122"/>
        <v>2.1336206896551726</v>
      </c>
      <c r="L1254" s="60">
        <f t="shared" si="123"/>
        <v>2.155172413793105E-2</v>
      </c>
    </row>
    <row r="1255" spans="1:12" x14ac:dyDescent="0.25">
      <c r="A1255" s="61" t="s">
        <v>250</v>
      </c>
      <c r="B1255" s="61" t="s">
        <v>65</v>
      </c>
      <c r="C1255">
        <v>813</v>
      </c>
      <c r="D1255" s="57" t="s">
        <v>352</v>
      </c>
      <c r="E1255" s="67">
        <v>45808</v>
      </c>
      <c r="F1255" s="62">
        <v>1630</v>
      </c>
      <c r="G1255" s="62">
        <v>1775</v>
      </c>
      <c r="H1255" s="62">
        <v>1805</v>
      </c>
      <c r="I1255" s="60">
        <f t="shared" ref="I1255:I1262" si="124">G1255/C1255</f>
        <v>2.1832718327183271</v>
      </c>
      <c r="J1255" s="60">
        <f t="shared" ref="J1255:J1262" si="125">SUM(H1255-G1255)</f>
        <v>30</v>
      </c>
      <c r="K1255" s="60">
        <f t="shared" ref="K1255:K1262" si="126">H1255/C1255</f>
        <v>2.2201722017220171</v>
      </c>
      <c r="L1255" s="60">
        <f t="shared" ref="L1255:L1262" si="127">K1255-I1255</f>
        <v>3.6900369003689981E-2</v>
      </c>
    </row>
    <row r="1256" spans="1:12" x14ac:dyDescent="0.25">
      <c r="A1256" s="61" t="s">
        <v>260</v>
      </c>
      <c r="B1256" s="61" t="s">
        <v>86</v>
      </c>
      <c r="C1256">
        <v>810</v>
      </c>
      <c r="D1256" s="57" t="s">
        <v>352</v>
      </c>
      <c r="E1256" s="67">
        <v>45809</v>
      </c>
      <c r="F1256" s="62">
        <v>1630</v>
      </c>
      <c r="G1256" s="62">
        <v>1550</v>
      </c>
      <c r="H1256" s="62">
        <v>1576</v>
      </c>
      <c r="I1256" s="60">
        <f t="shared" si="124"/>
        <v>1.9135802469135803</v>
      </c>
      <c r="J1256" s="60">
        <f t="shared" si="125"/>
        <v>26</v>
      </c>
      <c r="K1256" s="60">
        <f t="shared" si="126"/>
        <v>1.9456790123456791</v>
      </c>
      <c r="L1256" s="60">
        <f t="shared" si="127"/>
        <v>3.2098765432098775E-2</v>
      </c>
    </row>
    <row r="1257" spans="1:12" x14ac:dyDescent="0.25">
      <c r="A1257" s="61" t="s">
        <v>329</v>
      </c>
      <c r="B1257" s="61" t="s">
        <v>153</v>
      </c>
      <c r="C1257" s="57">
        <v>696</v>
      </c>
      <c r="D1257" s="57" t="s">
        <v>352</v>
      </c>
      <c r="E1257" s="67">
        <v>45805</v>
      </c>
      <c r="F1257" s="62">
        <v>1530</v>
      </c>
      <c r="G1257" s="62">
        <v>1485</v>
      </c>
      <c r="H1257" s="62">
        <v>1500</v>
      </c>
      <c r="I1257" s="60">
        <f t="shared" si="124"/>
        <v>2.1336206896551726</v>
      </c>
      <c r="J1257" s="60">
        <f t="shared" si="125"/>
        <v>15</v>
      </c>
      <c r="K1257" s="60">
        <f t="shared" si="126"/>
        <v>2.1551724137931036</v>
      </c>
      <c r="L1257" s="60">
        <f t="shared" si="127"/>
        <v>2.155172413793105E-2</v>
      </c>
    </row>
    <row r="1258" spans="1:12" x14ac:dyDescent="0.25">
      <c r="A1258" s="61">
        <v>4207</v>
      </c>
      <c r="B1258" s="61" t="s">
        <v>59</v>
      </c>
      <c r="C1258" s="57">
        <v>1115</v>
      </c>
      <c r="D1258" s="57" t="s">
        <v>49</v>
      </c>
      <c r="E1258" s="67">
        <v>45813</v>
      </c>
      <c r="F1258" s="62">
        <v>2185</v>
      </c>
      <c r="G1258" s="62">
        <v>1830</v>
      </c>
      <c r="H1258" s="62">
        <v>1820</v>
      </c>
      <c r="I1258" s="60">
        <f t="shared" si="124"/>
        <v>1.641255605381166</v>
      </c>
      <c r="J1258" s="60">
        <f t="shared" si="125"/>
        <v>-10</v>
      </c>
      <c r="K1258" s="60">
        <f t="shared" si="126"/>
        <v>1.6322869955156951</v>
      </c>
      <c r="L1258" s="60">
        <f t="shared" si="127"/>
        <v>-8.9686098654708779E-3</v>
      </c>
    </row>
    <row r="1259" spans="1:12" x14ac:dyDescent="0.25">
      <c r="A1259" s="61">
        <v>2125</v>
      </c>
      <c r="B1259" s="61" t="s">
        <v>48</v>
      </c>
      <c r="C1259" s="57">
        <v>806</v>
      </c>
      <c r="D1259" s="57" t="s">
        <v>49</v>
      </c>
      <c r="E1259" s="67">
        <v>45812</v>
      </c>
      <c r="F1259" s="62">
        <v>1670</v>
      </c>
      <c r="G1259" s="62">
        <v>1602</v>
      </c>
      <c r="H1259" s="62">
        <v>1555</v>
      </c>
      <c r="I1259" s="60">
        <f t="shared" si="124"/>
        <v>1.9875930521091811</v>
      </c>
      <c r="J1259" s="60">
        <f t="shared" si="125"/>
        <v>-47</v>
      </c>
      <c r="K1259" s="60">
        <f t="shared" si="126"/>
        <v>1.9292803970223324</v>
      </c>
      <c r="L1259" s="60">
        <f t="shared" si="127"/>
        <v>-5.8312655086848686E-2</v>
      </c>
    </row>
    <row r="1260" spans="1:12" x14ac:dyDescent="0.25">
      <c r="A1260" s="61">
        <v>2211</v>
      </c>
      <c r="B1260" s="61" t="s">
        <v>59</v>
      </c>
      <c r="C1260" s="57">
        <v>1115</v>
      </c>
      <c r="D1260" s="57" t="s">
        <v>49</v>
      </c>
      <c r="E1260" s="67">
        <v>45810</v>
      </c>
      <c r="F1260" s="62">
        <v>2185</v>
      </c>
      <c r="G1260" s="62">
        <v>1985</v>
      </c>
      <c r="H1260" s="62">
        <v>1755</v>
      </c>
      <c r="I1260" s="60">
        <f t="shared" si="124"/>
        <v>1.7802690582959642</v>
      </c>
      <c r="J1260" s="60">
        <f t="shared" si="125"/>
        <v>-230</v>
      </c>
      <c r="K1260" s="60">
        <f t="shared" si="126"/>
        <v>1.5739910313901346</v>
      </c>
      <c r="L1260" s="60">
        <f t="shared" si="127"/>
        <v>-0.20627802690582953</v>
      </c>
    </row>
    <row r="1261" spans="1:12" x14ac:dyDescent="0.25">
      <c r="A1261" s="61">
        <v>4205</v>
      </c>
      <c r="B1261" s="61" t="s">
        <v>61</v>
      </c>
      <c r="C1261" s="57">
        <v>820</v>
      </c>
      <c r="D1261" s="57" t="s">
        <v>49</v>
      </c>
      <c r="E1261" s="67">
        <v>45810</v>
      </c>
      <c r="F1261" s="62">
        <v>1665</v>
      </c>
      <c r="G1261" s="62">
        <v>1500</v>
      </c>
      <c r="H1261" s="62">
        <v>1505</v>
      </c>
      <c r="I1261" s="60">
        <f t="shared" si="124"/>
        <v>1.8292682926829269</v>
      </c>
      <c r="J1261" s="60">
        <f t="shared" si="125"/>
        <v>5</v>
      </c>
      <c r="K1261" s="60">
        <f t="shared" si="126"/>
        <v>1.8353658536585367</v>
      </c>
      <c r="L1261" s="60">
        <f t="shared" si="127"/>
        <v>6.0975609756097615E-3</v>
      </c>
    </row>
    <row r="1262" spans="1:12" x14ac:dyDescent="0.25">
      <c r="A1262" s="61">
        <v>5301</v>
      </c>
      <c r="B1262" s="61" t="s">
        <v>151</v>
      </c>
      <c r="C1262" s="57">
        <v>1141</v>
      </c>
      <c r="D1262" s="57" t="s">
        <v>49</v>
      </c>
      <c r="E1262" s="67">
        <v>45813</v>
      </c>
      <c r="F1262" s="62">
        <v>2200</v>
      </c>
      <c r="G1262" s="62">
        <v>1970</v>
      </c>
      <c r="H1262" s="62">
        <v>1910</v>
      </c>
      <c r="I1262" s="60">
        <f t="shared" si="124"/>
        <v>1.7265556529360211</v>
      </c>
      <c r="J1262" s="60">
        <f t="shared" si="125"/>
        <v>-60</v>
      </c>
      <c r="K1262" s="60">
        <f t="shared" si="126"/>
        <v>1.6739702015775635</v>
      </c>
      <c r="L1262" s="60">
        <f t="shared" si="127"/>
        <v>-5.2585451358457602E-2</v>
      </c>
    </row>
    <row r="1263" spans="1:12" x14ac:dyDescent="0.25">
      <c r="A1263" s="61">
        <v>2107</v>
      </c>
      <c r="B1263" s="61" t="s">
        <v>55</v>
      </c>
      <c r="C1263" s="57">
        <v>764</v>
      </c>
      <c r="D1263" s="57" t="s">
        <v>352</v>
      </c>
      <c r="E1263" s="67">
        <v>45813</v>
      </c>
      <c r="F1263" s="62">
        <v>1635</v>
      </c>
      <c r="G1263" s="62">
        <v>1600</v>
      </c>
      <c r="H1263" s="62">
        <v>1616</v>
      </c>
      <c r="I1263" s="60">
        <f t="shared" ref="I1263:I1271" si="128">G1263/C1263</f>
        <v>2.0942408376963351</v>
      </c>
      <c r="J1263" s="60">
        <f t="shared" ref="J1263:J1271" si="129">SUM(H1263-G1263)</f>
        <v>16</v>
      </c>
      <c r="K1263" s="60">
        <f t="shared" ref="K1263:K1271" si="130">H1263/C1263</f>
        <v>2.1151832460732982</v>
      </c>
      <c r="L1263" s="60">
        <f t="shared" ref="L1263:L1271" si="131">K1263-I1263</f>
        <v>2.0942408376963151E-2</v>
      </c>
    </row>
    <row r="1264" spans="1:12" x14ac:dyDescent="0.25">
      <c r="A1264" s="61">
        <v>2247</v>
      </c>
      <c r="B1264" s="61" t="s">
        <v>48</v>
      </c>
      <c r="C1264" s="57">
        <v>806</v>
      </c>
      <c r="D1264" s="57" t="s">
        <v>352</v>
      </c>
      <c r="E1264" s="67">
        <v>45813</v>
      </c>
      <c r="F1264" s="62">
        <v>1670</v>
      </c>
      <c r="G1264" s="62">
        <v>1560</v>
      </c>
      <c r="H1264" s="62">
        <v>1578</v>
      </c>
      <c r="I1264" s="60">
        <f t="shared" si="128"/>
        <v>1.935483870967742</v>
      </c>
      <c r="J1264" s="60">
        <f t="shared" si="129"/>
        <v>18</v>
      </c>
      <c r="K1264" s="60">
        <f t="shared" si="130"/>
        <v>1.9578163771712158</v>
      </c>
      <c r="L1264" s="60">
        <f t="shared" si="131"/>
        <v>2.2332506203473823E-2</v>
      </c>
    </row>
    <row r="1265" spans="1:12" x14ac:dyDescent="0.25">
      <c r="A1265" s="61">
        <v>2316</v>
      </c>
      <c r="B1265" s="61" t="s">
        <v>55</v>
      </c>
      <c r="C1265" s="57">
        <v>764</v>
      </c>
      <c r="D1265" s="57" t="s">
        <v>352</v>
      </c>
      <c r="E1265" s="67">
        <v>45813</v>
      </c>
      <c r="F1265" s="62">
        <v>1665</v>
      </c>
      <c r="G1265" s="62">
        <v>1520</v>
      </c>
      <c r="H1265" s="62">
        <v>1555</v>
      </c>
      <c r="I1265" s="60">
        <f t="shared" si="128"/>
        <v>1.9895287958115184</v>
      </c>
      <c r="J1265" s="60">
        <f t="shared" si="129"/>
        <v>35</v>
      </c>
      <c r="K1265" s="60">
        <f t="shared" si="130"/>
        <v>2.0353403141361257</v>
      </c>
      <c r="L1265" s="60">
        <f t="shared" si="131"/>
        <v>4.5811518324607281E-2</v>
      </c>
    </row>
    <row r="1266" spans="1:12" x14ac:dyDescent="0.25">
      <c r="A1266" s="61">
        <v>2365</v>
      </c>
      <c r="B1266" s="61" t="s">
        <v>65</v>
      </c>
      <c r="C1266" s="57">
        <v>813</v>
      </c>
      <c r="D1266" s="57" t="s">
        <v>352</v>
      </c>
      <c r="E1266" s="67">
        <v>45814</v>
      </c>
      <c r="F1266" s="62">
        <v>1630</v>
      </c>
      <c r="G1266" s="62">
        <v>1505</v>
      </c>
      <c r="H1266" s="62">
        <v>1525</v>
      </c>
      <c r="I1266" s="60">
        <f t="shared" si="128"/>
        <v>1.8511685116851169</v>
      </c>
      <c r="J1266" s="60">
        <f t="shared" si="129"/>
        <v>20</v>
      </c>
      <c r="K1266" s="60">
        <f t="shared" si="130"/>
        <v>1.8757687576875768</v>
      </c>
      <c r="L1266" s="60">
        <f t="shared" si="131"/>
        <v>2.4600246002459913E-2</v>
      </c>
    </row>
    <row r="1267" spans="1:12" x14ac:dyDescent="0.25">
      <c r="A1267" s="61">
        <v>4212</v>
      </c>
      <c r="B1267" s="61" t="s">
        <v>145</v>
      </c>
      <c r="C1267" s="57">
        <v>1146</v>
      </c>
      <c r="D1267" s="57" t="s">
        <v>352</v>
      </c>
      <c r="E1267" s="67">
        <v>45813</v>
      </c>
      <c r="F1267" s="62">
        <v>2200</v>
      </c>
      <c r="G1267" s="62">
        <v>2069</v>
      </c>
      <c r="H1267" s="62">
        <v>2105</v>
      </c>
      <c r="I1267" s="60">
        <f t="shared" si="128"/>
        <v>1.8054101221640488</v>
      </c>
      <c r="J1267" s="60">
        <f t="shared" si="129"/>
        <v>36</v>
      </c>
      <c r="K1267" s="60">
        <f t="shared" si="130"/>
        <v>1.8368237347294938</v>
      </c>
      <c r="L1267" s="60">
        <f t="shared" si="131"/>
        <v>3.1413612565444948E-2</v>
      </c>
    </row>
    <row r="1268" spans="1:12" x14ac:dyDescent="0.25">
      <c r="A1268" s="61">
        <v>5305</v>
      </c>
      <c r="B1268" s="61" t="s">
        <v>57</v>
      </c>
      <c r="C1268" s="57">
        <v>700</v>
      </c>
      <c r="D1268" s="57" t="s">
        <v>352</v>
      </c>
      <c r="E1268" s="67">
        <v>45813</v>
      </c>
      <c r="F1268" s="62">
        <v>1565</v>
      </c>
      <c r="G1268" s="62">
        <v>1460</v>
      </c>
      <c r="H1268" s="62">
        <v>1485</v>
      </c>
      <c r="I1268" s="60">
        <f t="shared" si="128"/>
        <v>2.0857142857142859</v>
      </c>
      <c r="J1268" s="60">
        <f t="shared" si="129"/>
        <v>25</v>
      </c>
      <c r="K1268" s="60">
        <f t="shared" si="130"/>
        <v>2.1214285714285714</v>
      </c>
      <c r="L1268" s="60">
        <f t="shared" si="131"/>
        <v>3.5714285714285587E-2</v>
      </c>
    </row>
    <row r="1269" spans="1:12" x14ac:dyDescent="0.25">
      <c r="A1269" s="61">
        <v>2330</v>
      </c>
      <c r="B1269" s="61" t="s">
        <v>59</v>
      </c>
      <c r="C1269" s="57">
        <v>1115</v>
      </c>
      <c r="D1269" s="57" t="s">
        <v>49</v>
      </c>
      <c r="E1269" s="67">
        <v>45817</v>
      </c>
      <c r="F1269" s="62">
        <v>2185</v>
      </c>
      <c r="G1269" s="62">
        <v>1840</v>
      </c>
      <c r="H1269" s="62">
        <v>1755</v>
      </c>
      <c r="I1269" s="60">
        <f t="shared" si="128"/>
        <v>1.6502242152466369</v>
      </c>
      <c r="J1269" s="60">
        <f t="shared" si="129"/>
        <v>-85</v>
      </c>
      <c r="K1269" s="60">
        <f t="shared" si="130"/>
        <v>1.5739910313901346</v>
      </c>
      <c r="L1269" s="60">
        <f t="shared" si="131"/>
        <v>-7.623318385650224E-2</v>
      </c>
    </row>
    <row r="1270" spans="1:12" x14ac:dyDescent="0.25">
      <c r="A1270" s="61">
        <v>2338</v>
      </c>
      <c r="B1270" s="61" t="s">
        <v>86</v>
      </c>
      <c r="C1270" s="57">
        <v>810</v>
      </c>
      <c r="D1270" s="57" t="s">
        <v>49</v>
      </c>
      <c r="E1270" s="67">
        <v>45821</v>
      </c>
      <c r="F1270" s="62">
        <v>1605</v>
      </c>
      <c r="G1270" s="62">
        <v>1681</v>
      </c>
      <c r="H1270" s="62">
        <v>1580</v>
      </c>
      <c r="I1270" s="60">
        <f t="shared" si="128"/>
        <v>2.0753086419753086</v>
      </c>
      <c r="J1270" s="60">
        <f t="shared" si="129"/>
        <v>-101</v>
      </c>
      <c r="K1270" s="60">
        <f t="shared" si="130"/>
        <v>1.9506172839506173</v>
      </c>
      <c r="L1270" s="60">
        <f t="shared" si="131"/>
        <v>-0.12469135802469133</v>
      </c>
    </row>
    <row r="1271" spans="1:12" x14ac:dyDescent="0.25">
      <c r="A1271" s="61">
        <v>5101</v>
      </c>
      <c r="B1271" s="61" t="s">
        <v>151</v>
      </c>
      <c r="C1271" s="57">
        <v>1141</v>
      </c>
      <c r="D1271" s="57" t="s">
        <v>49</v>
      </c>
      <c r="E1271" s="67">
        <v>45821</v>
      </c>
      <c r="F1271" s="62">
        <v>2200</v>
      </c>
      <c r="G1271" s="62">
        <v>2115</v>
      </c>
      <c r="H1271" s="62">
        <v>1880</v>
      </c>
      <c r="I1271" s="60">
        <f t="shared" si="128"/>
        <v>1.8536371603856265</v>
      </c>
      <c r="J1271" s="60">
        <f t="shared" si="129"/>
        <v>-235</v>
      </c>
      <c r="K1271" s="60">
        <f t="shared" si="130"/>
        <v>1.6476774758983348</v>
      </c>
      <c r="L1271" s="60">
        <f t="shared" si="131"/>
        <v>-0.20595968448729174</v>
      </c>
    </row>
    <row r="1272" spans="1:12" x14ac:dyDescent="0.25">
      <c r="A1272" s="61">
        <v>2239</v>
      </c>
      <c r="B1272" s="61" t="s">
        <v>51</v>
      </c>
      <c r="C1272" s="57">
        <v>848</v>
      </c>
      <c r="D1272" s="57" t="s">
        <v>352</v>
      </c>
      <c r="E1272" s="67">
        <v>45818</v>
      </c>
      <c r="F1272" s="62">
        <v>1785</v>
      </c>
      <c r="G1272" s="62">
        <v>1525</v>
      </c>
      <c r="H1272" s="62">
        <v>1540</v>
      </c>
      <c r="I1272" s="60">
        <f t="shared" ref="I1272:I1277" si="132">G1272/C1272</f>
        <v>1.7983490566037736</v>
      </c>
      <c r="J1272" s="60">
        <f t="shared" ref="J1272:J1277" si="133">SUM(H1272-G1272)</f>
        <v>15</v>
      </c>
      <c r="K1272" s="60">
        <f t="shared" ref="K1272:K1277" si="134">H1272/C1272</f>
        <v>1.8160377358490567</v>
      </c>
      <c r="L1272" s="60">
        <f t="shared" ref="L1272:L1277" si="135">K1272-I1272</f>
        <v>1.7688679245283057E-2</v>
      </c>
    </row>
    <row r="1273" spans="1:12" x14ac:dyDescent="0.25">
      <c r="A1273" s="61">
        <v>2331</v>
      </c>
      <c r="B1273" s="61" t="s">
        <v>65</v>
      </c>
      <c r="C1273" s="57">
        <v>813</v>
      </c>
      <c r="D1273" s="57" t="s">
        <v>352</v>
      </c>
      <c r="E1273" s="67">
        <v>45821</v>
      </c>
      <c r="F1273" s="62">
        <v>1630</v>
      </c>
      <c r="G1273" s="62">
        <v>1570</v>
      </c>
      <c r="H1273" s="62">
        <v>1591</v>
      </c>
      <c r="I1273" s="60">
        <f t="shared" si="132"/>
        <v>1.931119311193112</v>
      </c>
      <c r="J1273" s="60">
        <f t="shared" si="133"/>
        <v>21</v>
      </c>
      <c r="K1273" s="60">
        <f t="shared" si="134"/>
        <v>1.9569495694956949</v>
      </c>
      <c r="L1273" s="60">
        <f t="shared" si="135"/>
        <v>2.5830258302582898E-2</v>
      </c>
    </row>
    <row r="1274" spans="1:12" x14ac:dyDescent="0.25">
      <c r="A1274" s="61">
        <v>4109</v>
      </c>
      <c r="B1274" s="61" t="s">
        <v>151</v>
      </c>
      <c r="C1274" s="57">
        <v>1141</v>
      </c>
      <c r="D1274" s="57" t="s">
        <v>352</v>
      </c>
      <c r="E1274" s="67">
        <v>45820</v>
      </c>
      <c r="F1274" s="62">
        <v>2200</v>
      </c>
      <c r="G1274" s="62">
        <v>2270</v>
      </c>
      <c r="H1274" s="62">
        <v>2301</v>
      </c>
      <c r="I1274" s="60">
        <f t="shared" si="132"/>
        <v>1.9894829097283084</v>
      </c>
      <c r="J1274" s="60">
        <f t="shared" si="133"/>
        <v>31</v>
      </c>
      <c r="K1274" s="60">
        <f t="shared" si="134"/>
        <v>2.0166520595968449</v>
      </c>
      <c r="L1274" s="60">
        <f t="shared" si="135"/>
        <v>2.7169149868536469E-2</v>
      </c>
    </row>
    <row r="1275" spans="1:12" x14ac:dyDescent="0.25">
      <c r="A1275" s="61">
        <v>5107</v>
      </c>
      <c r="B1275" s="61" t="s">
        <v>57</v>
      </c>
      <c r="C1275" s="57">
        <v>700</v>
      </c>
      <c r="D1275" s="57" t="s">
        <v>352</v>
      </c>
      <c r="E1275" s="67">
        <v>45817</v>
      </c>
      <c r="F1275" s="62">
        <v>1565</v>
      </c>
      <c r="G1275" s="62">
        <v>1647</v>
      </c>
      <c r="H1275" s="62">
        <v>1669</v>
      </c>
      <c r="I1275" s="60">
        <f t="shared" si="132"/>
        <v>2.3528571428571428</v>
      </c>
      <c r="J1275" s="60">
        <f t="shared" si="133"/>
        <v>22</v>
      </c>
      <c r="K1275" s="60">
        <f t="shared" si="134"/>
        <v>2.3842857142857143</v>
      </c>
      <c r="L1275" s="60">
        <f t="shared" si="135"/>
        <v>3.1428571428571583E-2</v>
      </c>
    </row>
    <row r="1276" spans="1:12" x14ac:dyDescent="0.25">
      <c r="A1276" s="61">
        <v>2131</v>
      </c>
      <c r="B1276" s="61" t="s">
        <v>65</v>
      </c>
      <c r="C1276" s="57">
        <v>813</v>
      </c>
      <c r="D1276" s="57" t="s">
        <v>49</v>
      </c>
      <c r="E1276" s="67">
        <v>45824</v>
      </c>
      <c r="F1276" s="62">
        <v>1630</v>
      </c>
      <c r="G1276" s="62">
        <v>1625</v>
      </c>
      <c r="H1276" s="62">
        <v>1580</v>
      </c>
      <c r="I1276" s="60">
        <f t="shared" si="132"/>
        <v>1.998769987699877</v>
      </c>
      <c r="J1276" s="60">
        <f t="shared" si="133"/>
        <v>-45</v>
      </c>
      <c r="K1276" s="60">
        <f t="shared" si="134"/>
        <v>1.943419434194342</v>
      </c>
      <c r="L1276" s="60">
        <f t="shared" si="135"/>
        <v>-5.5350553505534972E-2</v>
      </c>
    </row>
    <row r="1277" spans="1:12" x14ac:dyDescent="0.25">
      <c r="A1277" s="61">
        <v>2136</v>
      </c>
      <c r="B1277" s="61" t="s">
        <v>355</v>
      </c>
      <c r="C1277" s="57">
        <v>810</v>
      </c>
      <c r="D1277" s="57" t="s">
        <v>49</v>
      </c>
      <c r="E1277" s="67">
        <v>45824</v>
      </c>
      <c r="F1277" s="62">
        <v>1630</v>
      </c>
      <c r="G1277" s="62">
        <v>1586</v>
      </c>
      <c r="H1277" s="62">
        <v>1595</v>
      </c>
      <c r="I1277" s="60">
        <f t="shared" si="132"/>
        <v>1.9580246913580246</v>
      </c>
      <c r="J1277" s="60">
        <f t="shared" si="133"/>
        <v>9</v>
      </c>
      <c r="K1277" s="60">
        <f t="shared" si="134"/>
        <v>1.9691358024691359</v>
      </c>
      <c r="L1277" s="60">
        <f t="shared" si="135"/>
        <v>1.1111111111111294E-2</v>
      </c>
    </row>
    <row r="1278" spans="1:12" x14ac:dyDescent="0.25">
      <c r="A1278" s="61">
        <v>2162</v>
      </c>
      <c r="B1278" s="61" t="s">
        <v>74</v>
      </c>
      <c r="C1278" s="57">
        <v>1169</v>
      </c>
      <c r="D1278" s="57" t="s">
        <v>49</v>
      </c>
      <c r="E1278" s="67">
        <v>45824</v>
      </c>
      <c r="F1278" s="62">
        <v>2290</v>
      </c>
      <c r="G1278" s="62">
        <v>2020</v>
      </c>
      <c r="H1278" s="62">
        <v>1840</v>
      </c>
      <c r="I1278" s="60">
        <f t="shared" ref="I1278:I1286" si="136">G1278/C1278</f>
        <v>1.7279726261762189</v>
      </c>
      <c r="J1278" s="60">
        <f t="shared" ref="J1278:J1286" si="137">SUM(H1278-G1278)</f>
        <v>-180</v>
      </c>
      <c r="K1278" s="60">
        <f t="shared" ref="K1278:K1286" si="138">H1278/C1278</f>
        <v>1.5739948674080411</v>
      </c>
      <c r="L1278" s="60">
        <f t="shared" ref="L1278:L1286" si="139">K1278-I1278</f>
        <v>-0.15397775876817787</v>
      </c>
    </row>
    <row r="1279" spans="1:12" x14ac:dyDescent="0.25">
      <c r="A1279" s="61">
        <v>4101</v>
      </c>
      <c r="B1279" s="61" t="s">
        <v>59</v>
      </c>
      <c r="C1279" s="57">
        <v>1115</v>
      </c>
      <c r="D1279" s="57" t="s">
        <v>49</v>
      </c>
      <c r="E1279" s="67">
        <v>45827</v>
      </c>
      <c r="F1279" s="62">
        <v>2340</v>
      </c>
      <c r="G1279" s="62">
        <v>1855</v>
      </c>
      <c r="H1279" s="62">
        <v>2109</v>
      </c>
      <c r="I1279" s="60">
        <f t="shared" si="136"/>
        <v>1.663677130044843</v>
      </c>
      <c r="J1279" s="60">
        <f t="shared" si="137"/>
        <v>254</v>
      </c>
      <c r="K1279" s="60">
        <f t="shared" si="138"/>
        <v>1.8914798206278027</v>
      </c>
      <c r="L1279" s="60">
        <f t="shared" si="139"/>
        <v>0.22780269058295977</v>
      </c>
    </row>
    <row r="1280" spans="1:12" x14ac:dyDescent="0.25">
      <c r="A1280" s="61">
        <v>4103</v>
      </c>
      <c r="B1280" s="61" t="s">
        <v>59</v>
      </c>
      <c r="C1280" s="57">
        <v>1115</v>
      </c>
      <c r="D1280" s="57" t="s">
        <v>49</v>
      </c>
      <c r="E1280" s="67">
        <v>45827</v>
      </c>
      <c r="F1280" s="62">
        <v>2340</v>
      </c>
      <c r="G1280" s="62">
        <v>1909</v>
      </c>
      <c r="H1280" s="62">
        <v>2085</v>
      </c>
      <c r="I1280" s="60">
        <f t="shared" si="136"/>
        <v>1.7121076233183856</v>
      </c>
      <c r="J1280" s="60">
        <f t="shared" si="137"/>
        <v>176</v>
      </c>
      <c r="K1280" s="60">
        <f t="shared" si="138"/>
        <v>1.8699551569506727</v>
      </c>
      <c r="L1280" s="60">
        <f t="shared" si="139"/>
        <v>0.1578475336322871</v>
      </c>
    </row>
    <row r="1281" spans="1:12" x14ac:dyDescent="0.25">
      <c r="A1281" s="61">
        <v>5302</v>
      </c>
      <c r="B1281" s="61" t="s">
        <v>145</v>
      </c>
      <c r="C1281" s="57">
        <v>1146</v>
      </c>
      <c r="D1281" s="57" t="s">
        <v>49</v>
      </c>
      <c r="E1281" s="67">
        <v>45828</v>
      </c>
      <c r="F1281" s="62">
        <v>2230</v>
      </c>
      <c r="G1281" s="62">
        <v>1790</v>
      </c>
      <c r="H1281" s="62">
        <v>1850</v>
      </c>
      <c r="I1281" s="60">
        <f t="shared" si="136"/>
        <v>1.5619546247818499</v>
      </c>
      <c r="J1281" s="60">
        <f t="shared" si="137"/>
        <v>60</v>
      </c>
      <c r="K1281" s="60">
        <f t="shared" si="138"/>
        <v>1.6143106457242582</v>
      </c>
      <c r="L1281" s="60">
        <f t="shared" si="139"/>
        <v>5.2356020942408321E-2</v>
      </c>
    </row>
    <row r="1282" spans="1:12" x14ac:dyDescent="0.25">
      <c r="A1282" s="61">
        <v>2120</v>
      </c>
      <c r="B1282" s="61" t="s">
        <v>48</v>
      </c>
      <c r="C1282" s="57">
        <v>806</v>
      </c>
      <c r="D1282" s="57" t="s">
        <v>352</v>
      </c>
      <c r="E1282" s="67">
        <v>45829</v>
      </c>
      <c r="F1282" s="62">
        <v>1670</v>
      </c>
      <c r="G1282" s="62">
        <v>1650</v>
      </c>
      <c r="H1282" s="62">
        <v>1671</v>
      </c>
      <c r="I1282" s="60">
        <f t="shared" si="136"/>
        <v>2.0471464019851116</v>
      </c>
      <c r="J1282" s="60">
        <f t="shared" si="137"/>
        <v>21</v>
      </c>
      <c r="K1282" s="60">
        <f t="shared" si="138"/>
        <v>2.0732009925558312</v>
      </c>
      <c r="L1282" s="60">
        <f t="shared" si="139"/>
        <v>2.6054590570719682E-2</v>
      </c>
    </row>
    <row r="1283" spans="1:12" x14ac:dyDescent="0.25">
      <c r="A1283" s="61">
        <v>2350</v>
      </c>
      <c r="B1283" s="61" t="s">
        <v>355</v>
      </c>
      <c r="C1283" s="57">
        <v>810</v>
      </c>
      <c r="D1283" s="57" t="s">
        <v>352</v>
      </c>
      <c r="E1283" s="67">
        <v>45826</v>
      </c>
      <c r="F1283" s="62">
        <v>1605</v>
      </c>
      <c r="G1283" s="62">
        <v>1555</v>
      </c>
      <c r="H1283" s="62">
        <v>1570</v>
      </c>
      <c r="I1283" s="60">
        <f t="shared" si="136"/>
        <v>1.9197530864197532</v>
      </c>
      <c r="J1283" s="60">
        <f t="shared" si="137"/>
        <v>15</v>
      </c>
      <c r="K1283" s="60">
        <f t="shared" si="138"/>
        <v>1.9382716049382716</v>
      </c>
      <c r="L1283" s="60">
        <f t="shared" si="139"/>
        <v>1.8518518518518379E-2</v>
      </c>
    </row>
    <row r="1284" spans="1:12" x14ac:dyDescent="0.25">
      <c r="A1284" s="61">
        <v>2352</v>
      </c>
      <c r="B1284" s="61" t="s">
        <v>355</v>
      </c>
      <c r="C1284" s="57">
        <v>810</v>
      </c>
      <c r="D1284" s="57" t="s">
        <v>352</v>
      </c>
      <c r="E1284" s="67">
        <v>45825</v>
      </c>
      <c r="F1284" s="62">
        <v>1630</v>
      </c>
      <c r="G1284" s="62">
        <v>1656</v>
      </c>
      <c r="H1284" s="62">
        <v>1673</v>
      </c>
      <c r="I1284" s="60">
        <f t="shared" si="136"/>
        <v>2.0444444444444443</v>
      </c>
      <c r="J1284" s="60">
        <f t="shared" si="137"/>
        <v>17</v>
      </c>
      <c r="K1284" s="60">
        <f t="shared" si="138"/>
        <v>2.0654320987654322</v>
      </c>
      <c r="L1284" s="60">
        <f t="shared" si="139"/>
        <v>2.0987654320987925E-2</v>
      </c>
    </row>
    <row r="1285" spans="1:12" x14ac:dyDescent="0.25">
      <c r="A1285" s="61">
        <v>2354</v>
      </c>
      <c r="B1285" s="61" t="s">
        <v>59</v>
      </c>
      <c r="C1285" s="57">
        <v>1115</v>
      </c>
      <c r="D1285" s="57" t="s">
        <v>352</v>
      </c>
      <c r="E1285" s="67">
        <v>45830</v>
      </c>
      <c r="F1285" s="62">
        <v>2185</v>
      </c>
      <c r="G1285" s="62">
        <v>1720</v>
      </c>
      <c r="H1285" s="62">
        <v>1775</v>
      </c>
      <c r="I1285" s="60">
        <f t="shared" si="136"/>
        <v>1.5426008968609866</v>
      </c>
      <c r="J1285" s="60">
        <f t="shared" si="137"/>
        <v>55</v>
      </c>
      <c r="K1285" s="60">
        <f t="shared" si="138"/>
        <v>1.5919282511210762</v>
      </c>
      <c r="L1285" s="60">
        <f t="shared" si="139"/>
        <v>4.9327354260089606E-2</v>
      </c>
    </row>
    <row r="1286" spans="1:12" x14ac:dyDescent="0.25">
      <c r="A1286" s="61">
        <v>5207</v>
      </c>
      <c r="B1286" s="61" t="s">
        <v>57</v>
      </c>
      <c r="C1286" s="57">
        <v>700</v>
      </c>
      <c r="D1286" s="57" t="s">
        <v>352</v>
      </c>
      <c r="E1286" s="67">
        <v>45827</v>
      </c>
      <c r="F1286" s="62">
        <v>1565</v>
      </c>
      <c r="G1286" s="62">
        <v>1513</v>
      </c>
      <c r="H1286" s="62">
        <v>1528</v>
      </c>
      <c r="I1286" s="60">
        <f t="shared" si="136"/>
        <v>2.1614285714285715</v>
      </c>
      <c r="J1286" s="60">
        <f t="shared" si="137"/>
        <v>15</v>
      </c>
      <c r="K1286" s="60">
        <f t="shared" si="138"/>
        <v>2.1828571428571428</v>
      </c>
      <c r="L1286" s="60">
        <f t="shared" si="139"/>
        <v>2.1428571428571352E-2</v>
      </c>
    </row>
    <row r="1287" spans="1:12" x14ac:dyDescent="0.25">
      <c r="A1287" s="61">
        <v>5209</v>
      </c>
      <c r="B1287" s="61" t="s">
        <v>57</v>
      </c>
      <c r="C1287" s="57">
        <v>700</v>
      </c>
      <c r="D1287" s="57" t="s">
        <v>352</v>
      </c>
      <c r="E1287" s="67">
        <v>45824</v>
      </c>
      <c r="F1287" s="62">
        <v>1565</v>
      </c>
      <c r="G1287" s="62">
        <v>1522</v>
      </c>
      <c r="H1287" s="62">
        <v>1537</v>
      </c>
      <c r="I1287" s="60">
        <f t="shared" ref="I1287:I1300" si="140">G1287/C1287</f>
        <v>2.1742857142857144</v>
      </c>
      <c r="J1287" s="60">
        <f t="shared" ref="J1287:J1300" si="141">SUM(H1287-G1287)</f>
        <v>15</v>
      </c>
      <c r="K1287" s="60">
        <f t="shared" ref="K1287:K1300" si="142">H1287/C1287</f>
        <v>2.1957142857142857</v>
      </c>
      <c r="L1287" s="60">
        <f t="shared" ref="L1287:L1300" si="143">K1287-I1287</f>
        <v>2.1428571428571352E-2</v>
      </c>
    </row>
    <row r="1288" spans="1:12" x14ac:dyDescent="0.25">
      <c r="A1288" s="61">
        <v>5303</v>
      </c>
      <c r="B1288" s="61" t="s">
        <v>59</v>
      </c>
      <c r="C1288" s="57">
        <v>1115</v>
      </c>
      <c r="D1288" s="57" t="s">
        <v>352</v>
      </c>
      <c r="E1288" s="67">
        <v>45828</v>
      </c>
      <c r="F1288" s="62">
        <v>2185</v>
      </c>
      <c r="G1288" s="62">
        <v>1830</v>
      </c>
      <c r="H1288" s="62">
        <v>1850</v>
      </c>
      <c r="I1288" s="60">
        <f t="shared" si="140"/>
        <v>1.641255605381166</v>
      </c>
      <c r="J1288" s="60">
        <f t="shared" si="141"/>
        <v>20</v>
      </c>
      <c r="K1288" s="60">
        <f t="shared" si="142"/>
        <v>1.6591928251121075</v>
      </c>
      <c r="L1288" s="60">
        <f t="shared" si="143"/>
        <v>1.7937219730941534E-2</v>
      </c>
    </row>
    <row r="1289" spans="1:12" x14ac:dyDescent="0.25">
      <c r="A1289" s="61">
        <v>1105</v>
      </c>
      <c r="B1289" s="61" t="s">
        <v>137</v>
      </c>
      <c r="C1289" s="57">
        <v>17000</v>
      </c>
      <c r="D1289" s="57" t="s">
        <v>49</v>
      </c>
      <c r="E1289" s="67">
        <v>45835</v>
      </c>
      <c r="F1289" s="62">
        <v>3045</v>
      </c>
      <c r="G1289" s="62">
        <v>2845</v>
      </c>
      <c r="H1289" s="62">
        <v>2885</v>
      </c>
      <c r="I1289" s="60">
        <f t="shared" si="140"/>
        <v>0.16735294117647059</v>
      </c>
      <c r="J1289" s="60">
        <f t="shared" si="141"/>
        <v>40</v>
      </c>
      <c r="K1289" s="60">
        <f t="shared" si="142"/>
        <v>0.16970588235294118</v>
      </c>
      <c r="L1289" s="60">
        <f t="shared" si="143"/>
        <v>2.3529411764705854E-3</v>
      </c>
    </row>
    <row r="1290" spans="1:12" x14ac:dyDescent="0.25">
      <c r="A1290" s="61">
        <v>2360</v>
      </c>
      <c r="B1290" s="61" t="s">
        <v>74</v>
      </c>
      <c r="C1290" s="57">
        <v>1164</v>
      </c>
      <c r="D1290" s="57" t="s">
        <v>49</v>
      </c>
      <c r="E1290" s="67">
        <v>45835</v>
      </c>
      <c r="F1290" s="62">
        <v>2290</v>
      </c>
      <c r="G1290" s="62">
        <v>2050</v>
      </c>
      <c r="H1290" s="62">
        <v>2105</v>
      </c>
      <c r="I1290" s="60">
        <f t="shared" si="140"/>
        <v>1.761168384879725</v>
      </c>
      <c r="J1290" s="60">
        <f t="shared" si="141"/>
        <v>55</v>
      </c>
      <c r="K1290" s="60">
        <f t="shared" si="142"/>
        <v>1.8084192439862543</v>
      </c>
      <c r="L1290" s="60">
        <f t="shared" si="143"/>
        <v>4.7250859106529264E-2</v>
      </c>
    </row>
    <row r="1291" spans="1:12" x14ac:dyDescent="0.25">
      <c r="A1291" s="61">
        <v>4211</v>
      </c>
      <c r="B1291" s="61" t="s">
        <v>59</v>
      </c>
      <c r="C1291" s="57">
        <v>1115</v>
      </c>
      <c r="D1291" s="57" t="s">
        <v>49</v>
      </c>
      <c r="E1291" s="67">
        <v>45833</v>
      </c>
      <c r="F1291" s="62">
        <v>2185</v>
      </c>
      <c r="G1291" s="62">
        <v>1815</v>
      </c>
      <c r="H1291" s="62">
        <v>1950</v>
      </c>
      <c r="I1291" s="60">
        <f t="shared" si="140"/>
        <v>1.6278026905829597</v>
      </c>
      <c r="J1291" s="60">
        <f t="shared" si="141"/>
        <v>135</v>
      </c>
      <c r="K1291" s="60">
        <f t="shared" si="142"/>
        <v>1.7488789237668161</v>
      </c>
      <c r="L1291" s="60">
        <f t="shared" si="143"/>
        <v>0.12107623318385641</v>
      </c>
    </row>
    <row r="1292" spans="1:12" x14ac:dyDescent="0.25">
      <c r="A1292" s="61">
        <v>5201</v>
      </c>
      <c r="B1292" s="61" t="s">
        <v>151</v>
      </c>
      <c r="C1292" s="57">
        <v>1141</v>
      </c>
      <c r="D1292" s="57" t="s">
        <v>352</v>
      </c>
      <c r="E1292" s="67">
        <v>45834</v>
      </c>
      <c r="F1292" s="62">
        <v>2200</v>
      </c>
      <c r="G1292" s="62">
        <v>2200</v>
      </c>
      <c r="H1292" s="62">
        <v>2200</v>
      </c>
      <c r="I1292" s="60">
        <f t="shared" si="140"/>
        <v>1.9281332164767748</v>
      </c>
      <c r="J1292" s="60">
        <f t="shared" si="141"/>
        <v>0</v>
      </c>
      <c r="K1292" s="60">
        <f t="shared" si="142"/>
        <v>1.9281332164767748</v>
      </c>
      <c r="L1292" s="60">
        <f t="shared" si="143"/>
        <v>0</v>
      </c>
    </row>
    <row r="1293" spans="1:12" x14ac:dyDescent="0.25">
      <c r="A1293" s="61">
        <v>2302</v>
      </c>
      <c r="B1293" s="61" t="s">
        <v>86</v>
      </c>
      <c r="C1293" s="57">
        <v>810</v>
      </c>
      <c r="D1293" s="57" t="s">
        <v>49</v>
      </c>
      <c r="E1293" s="67">
        <v>45839</v>
      </c>
      <c r="F1293" s="62">
        <v>1650</v>
      </c>
      <c r="G1293" s="62">
        <v>1525</v>
      </c>
      <c r="H1293" s="62">
        <v>1535</v>
      </c>
      <c r="I1293" s="60">
        <f t="shared" si="140"/>
        <v>1.882716049382716</v>
      </c>
      <c r="J1293" s="60">
        <f t="shared" si="141"/>
        <v>10</v>
      </c>
      <c r="K1293" s="60">
        <f t="shared" si="142"/>
        <v>1.8950617283950617</v>
      </c>
      <c r="L1293" s="60">
        <f t="shared" si="143"/>
        <v>1.2345679012345734E-2</v>
      </c>
    </row>
    <row r="1294" spans="1:12" x14ac:dyDescent="0.25">
      <c r="A1294" s="61">
        <v>2318</v>
      </c>
      <c r="B1294" s="61" t="s">
        <v>86</v>
      </c>
      <c r="C1294" s="57">
        <v>810</v>
      </c>
      <c r="D1294" s="57" t="s">
        <v>49</v>
      </c>
      <c r="E1294" s="67">
        <v>45839</v>
      </c>
      <c r="F1294" s="62">
        <v>1605</v>
      </c>
      <c r="G1294" s="62">
        <v>1534</v>
      </c>
      <c r="H1294" s="62">
        <v>1485</v>
      </c>
      <c r="I1294" s="60">
        <f t="shared" si="140"/>
        <v>1.8938271604938273</v>
      </c>
      <c r="J1294" s="60">
        <f t="shared" si="141"/>
        <v>-49</v>
      </c>
      <c r="K1294" s="60">
        <f t="shared" si="142"/>
        <v>1.8333333333333333</v>
      </c>
      <c r="L1294" s="60">
        <f t="shared" si="143"/>
        <v>-6.0493827160494007E-2</v>
      </c>
    </row>
    <row r="1295" spans="1:12" x14ac:dyDescent="0.25">
      <c r="A1295" s="61">
        <v>1103</v>
      </c>
      <c r="B1295" s="61" t="s">
        <v>137</v>
      </c>
      <c r="C1295" s="57">
        <v>1700</v>
      </c>
      <c r="D1295" s="57" t="s">
        <v>352</v>
      </c>
      <c r="E1295" s="67">
        <v>45840</v>
      </c>
      <c r="F1295" s="62">
        <v>3045</v>
      </c>
      <c r="G1295" s="62">
        <v>2395</v>
      </c>
      <c r="H1295" s="62">
        <v>2475</v>
      </c>
      <c r="I1295" s="60">
        <f t="shared" si="140"/>
        <v>1.4088235294117648</v>
      </c>
      <c r="J1295" s="60">
        <f t="shared" si="141"/>
        <v>80</v>
      </c>
      <c r="K1295" s="60">
        <f t="shared" si="142"/>
        <v>1.4558823529411764</v>
      </c>
      <c r="L1295" s="60">
        <f t="shared" si="143"/>
        <v>4.7058823529411598E-2</v>
      </c>
    </row>
    <row r="1296" spans="1:12" x14ac:dyDescent="0.25">
      <c r="A1296" s="61">
        <v>4206</v>
      </c>
      <c r="B1296" s="61" t="s">
        <v>57</v>
      </c>
      <c r="C1296" s="57">
        <v>700</v>
      </c>
      <c r="D1296" s="57" t="s">
        <v>352</v>
      </c>
      <c r="E1296" s="67">
        <v>45843</v>
      </c>
      <c r="F1296" s="62">
        <v>1565</v>
      </c>
      <c r="G1296" s="62">
        <v>1355</v>
      </c>
      <c r="H1296" s="62">
        <v>1402</v>
      </c>
      <c r="I1296" s="60">
        <f t="shared" si="140"/>
        <v>1.9357142857142857</v>
      </c>
      <c r="J1296" s="60">
        <f t="shared" si="141"/>
        <v>47</v>
      </c>
      <c r="K1296" s="60">
        <f t="shared" si="142"/>
        <v>2.0028571428571427</v>
      </c>
      <c r="L1296" s="60">
        <f t="shared" si="143"/>
        <v>6.7142857142856949E-2</v>
      </c>
    </row>
    <row r="1297" spans="1:12" x14ac:dyDescent="0.25">
      <c r="A1297" s="61">
        <v>4306</v>
      </c>
      <c r="B1297" s="61" t="s">
        <v>57</v>
      </c>
      <c r="C1297" s="57">
        <v>700</v>
      </c>
      <c r="D1297" s="57" t="s">
        <v>352</v>
      </c>
      <c r="E1297" s="67">
        <v>45851</v>
      </c>
      <c r="F1297" s="62">
        <v>1565</v>
      </c>
      <c r="G1297" s="62">
        <v>1350</v>
      </c>
      <c r="H1297" s="62">
        <v>1385</v>
      </c>
      <c r="I1297" s="60">
        <f t="shared" si="140"/>
        <v>1.9285714285714286</v>
      </c>
      <c r="J1297" s="60">
        <f t="shared" si="141"/>
        <v>35</v>
      </c>
      <c r="K1297" s="60">
        <f t="shared" si="142"/>
        <v>1.9785714285714286</v>
      </c>
      <c r="L1297" s="60">
        <f t="shared" si="143"/>
        <v>5.0000000000000044E-2</v>
      </c>
    </row>
    <row r="1298" spans="1:12" x14ac:dyDescent="0.25">
      <c r="A1298" s="61">
        <v>1104</v>
      </c>
      <c r="B1298" s="61" t="s">
        <v>137</v>
      </c>
      <c r="C1298" s="57">
        <v>1700</v>
      </c>
      <c r="D1298" s="57" t="s">
        <v>352</v>
      </c>
      <c r="E1298" s="67">
        <v>45848</v>
      </c>
      <c r="F1298" s="62">
        <v>3045</v>
      </c>
      <c r="G1298" s="62">
        <v>2695</v>
      </c>
      <c r="H1298" s="62">
        <v>2695</v>
      </c>
      <c r="I1298" s="60">
        <f t="shared" si="140"/>
        <v>1.5852941176470587</v>
      </c>
      <c r="J1298" s="60">
        <f t="shared" si="141"/>
        <v>0</v>
      </c>
      <c r="K1298" s="60">
        <f t="shared" si="142"/>
        <v>1.5852941176470587</v>
      </c>
      <c r="L1298" s="60">
        <f t="shared" si="143"/>
        <v>0</v>
      </c>
    </row>
    <row r="1299" spans="1:12" x14ac:dyDescent="0.25">
      <c r="A1299" s="61">
        <v>1107</v>
      </c>
      <c r="B1299" s="61" t="s">
        <v>137</v>
      </c>
      <c r="C1299" s="57">
        <v>1700</v>
      </c>
      <c r="D1299" s="57" t="s">
        <v>352</v>
      </c>
      <c r="E1299" s="67">
        <v>45851</v>
      </c>
      <c r="F1299" s="62">
        <v>3045</v>
      </c>
      <c r="G1299" s="62">
        <v>2650</v>
      </c>
      <c r="H1299" s="62">
        <v>2650</v>
      </c>
      <c r="I1299" s="60">
        <f t="shared" si="140"/>
        <v>1.5588235294117647</v>
      </c>
      <c r="J1299" s="60">
        <f t="shared" si="141"/>
        <v>0</v>
      </c>
      <c r="K1299" s="60">
        <f t="shared" si="142"/>
        <v>1.5588235294117647</v>
      </c>
      <c r="L1299" s="60">
        <f t="shared" si="143"/>
        <v>0</v>
      </c>
    </row>
    <row r="1300" spans="1:12" x14ac:dyDescent="0.25">
      <c r="A1300" s="61">
        <v>5206</v>
      </c>
      <c r="B1300" s="61" t="s">
        <v>59</v>
      </c>
      <c r="C1300" s="57">
        <v>1115</v>
      </c>
      <c r="D1300" s="57" t="s">
        <v>352</v>
      </c>
      <c r="E1300" s="67">
        <v>45849</v>
      </c>
      <c r="F1300" s="62">
        <v>2215</v>
      </c>
      <c r="G1300" s="62">
        <v>1855</v>
      </c>
      <c r="H1300" s="62">
        <v>1886</v>
      </c>
      <c r="I1300" s="60">
        <f t="shared" si="140"/>
        <v>1.663677130044843</v>
      </c>
      <c r="J1300" s="60">
        <f t="shared" si="141"/>
        <v>31</v>
      </c>
      <c r="K1300" s="60">
        <f t="shared" si="142"/>
        <v>1.6914798206278028</v>
      </c>
      <c r="L1300" s="60">
        <f t="shared" si="143"/>
        <v>2.780269058295981E-2</v>
      </c>
    </row>
    <row r="1301" spans="1:12" x14ac:dyDescent="0.25">
      <c r="A1301" s="61">
        <v>2127</v>
      </c>
      <c r="B1301" s="61" t="s">
        <v>57</v>
      </c>
      <c r="C1301" s="57">
        <v>700</v>
      </c>
      <c r="D1301" s="57" t="s">
        <v>49</v>
      </c>
      <c r="E1301" s="67">
        <v>45849</v>
      </c>
      <c r="F1301" s="62">
        <v>1565</v>
      </c>
      <c r="G1301" s="62">
        <v>1435</v>
      </c>
      <c r="H1301" s="62">
        <v>1375</v>
      </c>
      <c r="I1301" s="60">
        <f t="shared" ref="I1301:I1305" si="144">G1301/C1301</f>
        <v>2.0499999999999998</v>
      </c>
      <c r="J1301" s="60">
        <f t="shared" ref="J1301:J1305" si="145">SUM(H1301-G1301)</f>
        <v>-60</v>
      </c>
      <c r="K1301" s="60">
        <f t="shared" ref="K1301:K1305" si="146">H1301/C1301</f>
        <v>1.9642857142857142</v>
      </c>
      <c r="L1301" s="60">
        <f t="shared" ref="L1301:L1305" si="147">K1301-I1301</f>
        <v>-8.5714285714285632E-2</v>
      </c>
    </row>
    <row r="1302" spans="1:12" x14ac:dyDescent="0.25">
      <c r="A1302" s="61">
        <v>2323</v>
      </c>
      <c r="B1302" s="61" t="s">
        <v>65</v>
      </c>
      <c r="C1302" s="57">
        <v>813</v>
      </c>
      <c r="D1302" s="57" t="s">
        <v>49</v>
      </c>
      <c r="E1302" s="67">
        <v>45856</v>
      </c>
      <c r="F1302" s="62">
        <v>1630</v>
      </c>
      <c r="G1302" s="62">
        <v>1730</v>
      </c>
      <c r="H1302" s="62">
        <v>1515</v>
      </c>
      <c r="I1302" s="60">
        <f t="shared" si="144"/>
        <v>2.1279212792127922</v>
      </c>
      <c r="J1302" s="60">
        <f t="shared" si="145"/>
        <v>-215</v>
      </c>
      <c r="K1302" s="60">
        <f t="shared" si="146"/>
        <v>1.8634686346863469</v>
      </c>
      <c r="L1302" s="60">
        <f t="shared" si="147"/>
        <v>-0.26445264452644524</v>
      </c>
    </row>
    <row r="1303" spans="1:12" x14ac:dyDescent="0.25">
      <c r="A1303" s="61">
        <v>2235</v>
      </c>
      <c r="B1303" s="61" t="s">
        <v>48</v>
      </c>
      <c r="C1303" s="57">
        <v>806</v>
      </c>
      <c r="D1303" s="57" t="s">
        <v>49</v>
      </c>
      <c r="E1303" s="67">
        <v>45855</v>
      </c>
      <c r="F1303" s="62">
        <v>1670</v>
      </c>
      <c r="G1303" s="62">
        <v>1571</v>
      </c>
      <c r="H1303" s="62">
        <v>1435</v>
      </c>
      <c r="I1303" s="60">
        <f t="shared" si="144"/>
        <v>1.9491315136476426</v>
      </c>
      <c r="J1303" s="60">
        <f t="shared" si="145"/>
        <v>-136</v>
      </c>
      <c r="K1303" s="60">
        <f t="shared" si="146"/>
        <v>1.7803970223325063</v>
      </c>
      <c r="L1303" s="60">
        <f t="shared" si="147"/>
        <v>-0.16873449131513629</v>
      </c>
    </row>
    <row r="1304" spans="1:12" x14ac:dyDescent="0.25">
      <c r="A1304" s="61">
        <v>5105</v>
      </c>
      <c r="B1304" s="61" t="s">
        <v>57</v>
      </c>
      <c r="C1304" s="57">
        <v>700</v>
      </c>
      <c r="D1304" s="57" t="s">
        <v>49</v>
      </c>
      <c r="E1304" s="67">
        <v>45855</v>
      </c>
      <c r="F1304" s="62">
        <v>1565</v>
      </c>
      <c r="G1304" s="62">
        <v>1581</v>
      </c>
      <c r="H1304" s="62">
        <v>1380</v>
      </c>
      <c r="I1304" s="60">
        <f t="shared" si="144"/>
        <v>2.2585714285714285</v>
      </c>
      <c r="J1304" s="60">
        <f t="shared" si="145"/>
        <v>-201</v>
      </c>
      <c r="K1304" s="60">
        <f t="shared" si="146"/>
        <v>1.9714285714285715</v>
      </c>
      <c r="L1304" s="60">
        <f t="shared" si="147"/>
        <v>-0.28714285714285692</v>
      </c>
    </row>
    <row r="1305" spans="1:12" x14ac:dyDescent="0.25">
      <c r="A1305" s="61">
        <v>2144</v>
      </c>
      <c r="B1305" s="61" t="s">
        <v>57</v>
      </c>
      <c r="C1305" s="57">
        <v>700</v>
      </c>
      <c r="D1305" s="57" t="s">
        <v>352</v>
      </c>
      <c r="E1305" s="67">
        <v>45853</v>
      </c>
      <c r="F1305" s="62">
        <v>1565</v>
      </c>
      <c r="G1305" s="62">
        <v>1355</v>
      </c>
      <c r="H1305" s="62">
        <v>1470</v>
      </c>
      <c r="I1305" s="60">
        <f t="shared" si="144"/>
        <v>1.9357142857142857</v>
      </c>
      <c r="J1305" s="60">
        <f t="shared" si="145"/>
        <v>115</v>
      </c>
      <c r="K1305" s="60">
        <f t="shared" si="146"/>
        <v>2.1</v>
      </c>
      <c r="L1305" s="60">
        <f t="shared" si="147"/>
        <v>0.16428571428571437</v>
      </c>
    </row>
    <row r="1306" spans="1:12" x14ac:dyDescent="0.25">
      <c r="A1306" s="61">
        <v>2264</v>
      </c>
      <c r="B1306" s="61" t="s">
        <v>48</v>
      </c>
      <c r="C1306" s="57">
        <v>806</v>
      </c>
      <c r="D1306" s="57" t="s">
        <v>352</v>
      </c>
      <c r="E1306" s="67">
        <v>45853</v>
      </c>
      <c r="F1306" s="62">
        <v>1670</v>
      </c>
      <c r="G1306" s="62">
        <v>1405</v>
      </c>
      <c r="H1306" s="62">
        <v>1461</v>
      </c>
      <c r="I1306" s="60">
        <f t="shared" ref="I1306:I1314" si="148">G1306/C1306</f>
        <v>1.7431761786600497</v>
      </c>
      <c r="J1306" s="60">
        <f t="shared" ref="J1306:J1314" si="149">SUM(H1306-G1306)</f>
        <v>56</v>
      </c>
      <c r="K1306" s="60">
        <f t="shared" ref="K1306:K1314" si="150">H1306/C1306</f>
        <v>1.8126550868486353</v>
      </c>
      <c r="L1306" s="60">
        <f t="shared" ref="L1306:L1314" si="151">K1306-I1306</f>
        <v>6.9478908188585597E-2</v>
      </c>
    </row>
    <row r="1307" spans="1:12" x14ac:dyDescent="0.25">
      <c r="A1307" s="61">
        <v>2343</v>
      </c>
      <c r="B1307" s="61" t="s">
        <v>354</v>
      </c>
      <c r="C1307" s="57">
        <v>950</v>
      </c>
      <c r="D1307" s="57" t="s">
        <v>352</v>
      </c>
      <c r="E1307" s="67">
        <v>45857</v>
      </c>
      <c r="F1307" s="62">
        <v>1845</v>
      </c>
      <c r="G1307" s="62">
        <v>1505</v>
      </c>
      <c r="H1307" s="62">
        <v>1575</v>
      </c>
      <c r="I1307" s="60">
        <f t="shared" si="148"/>
        <v>1.5842105263157895</v>
      </c>
      <c r="J1307" s="60">
        <f t="shared" si="149"/>
        <v>70</v>
      </c>
      <c r="K1307" s="60">
        <f t="shared" si="150"/>
        <v>1.6578947368421053</v>
      </c>
      <c r="L1307" s="60">
        <f t="shared" si="151"/>
        <v>7.3684210526315796E-2</v>
      </c>
    </row>
    <row r="1308" spans="1:12" x14ac:dyDescent="0.25">
      <c r="A1308" s="61">
        <v>2147</v>
      </c>
      <c r="B1308" s="61" t="s">
        <v>48</v>
      </c>
      <c r="C1308" s="57">
        <v>806</v>
      </c>
      <c r="D1308" s="57" t="s">
        <v>49</v>
      </c>
      <c r="E1308" s="67">
        <v>45869</v>
      </c>
      <c r="F1308" s="62">
        <v>1670</v>
      </c>
      <c r="G1308" s="62">
        <v>1650</v>
      </c>
      <c r="H1308" s="62">
        <v>1430</v>
      </c>
      <c r="I1308" s="60">
        <f t="shared" si="148"/>
        <v>2.0471464019851116</v>
      </c>
      <c r="J1308" s="60">
        <f t="shared" si="149"/>
        <v>-220</v>
      </c>
      <c r="K1308" s="60">
        <f t="shared" si="150"/>
        <v>1.7741935483870968</v>
      </c>
      <c r="L1308" s="60">
        <f t="shared" si="151"/>
        <v>-0.2729528535980148</v>
      </c>
    </row>
    <row r="1309" spans="1:12" x14ac:dyDescent="0.25">
      <c r="A1309" s="61">
        <v>2208</v>
      </c>
      <c r="B1309" s="61" t="s">
        <v>61</v>
      </c>
      <c r="C1309" s="57">
        <v>820</v>
      </c>
      <c r="D1309" s="57" t="s">
        <v>49</v>
      </c>
      <c r="E1309" s="67">
        <v>45868</v>
      </c>
      <c r="F1309" s="62">
        <v>1710</v>
      </c>
      <c r="G1309" s="62">
        <v>1677</v>
      </c>
      <c r="H1309" s="62">
        <v>1480</v>
      </c>
      <c r="I1309" s="60">
        <f t="shared" si="148"/>
        <v>2.045121951219512</v>
      </c>
      <c r="J1309" s="60">
        <f t="shared" si="149"/>
        <v>-197</v>
      </c>
      <c r="K1309" s="60">
        <f t="shared" si="150"/>
        <v>1.8048780487804879</v>
      </c>
      <c r="L1309" s="60">
        <f t="shared" si="151"/>
        <v>-0.24024390243902416</v>
      </c>
    </row>
    <row r="1310" spans="1:12" x14ac:dyDescent="0.25">
      <c r="A1310" s="61">
        <v>2116</v>
      </c>
      <c r="B1310" s="61" t="s">
        <v>55</v>
      </c>
      <c r="C1310" s="57">
        <v>764</v>
      </c>
      <c r="D1310" s="57" t="s">
        <v>49</v>
      </c>
      <c r="E1310" s="67">
        <v>45869</v>
      </c>
      <c r="F1310" s="62">
        <v>1635</v>
      </c>
      <c r="G1310" s="62">
        <v>1380</v>
      </c>
      <c r="H1310" s="62">
        <v>1405</v>
      </c>
      <c r="I1310" s="60">
        <f t="shared" si="148"/>
        <v>1.8062827225130891</v>
      </c>
      <c r="J1310" s="60">
        <f t="shared" si="149"/>
        <v>25</v>
      </c>
      <c r="K1310" s="60">
        <f t="shared" si="150"/>
        <v>1.8390052356020943</v>
      </c>
      <c r="L1310" s="60">
        <f t="shared" si="151"/>
        <v>3.2722513089005201E-2</v>
      </c>
    </row>
    <row r="1311" spans="1:12" x14ac:dyDescent="0.25">
      <c r="A1311" s="61">
        <v>2359</v>
      </c>
      <c r="B1311" s="61" t="s">
        <v>59</v>
      </c>
      <c r="C1311" s="57">
        <v>1115</v>
      </c>
      <c r="D1311" s="57" t="s">
        <v>352</v>
      </c>
      <c r="E1311" s="67">
        <v>45871</v>
      </c>
      <c r="F1311" s="62">
        <v>2185</v>
      </c>
      <c r="G1311" s="62">
        <v>2030</v>
      </c>
      <c r="H1311" s="62">
        <v>2030</v>
      </c>
      <c r="I1311" s="60">
        <f t="shared" si="148"/>
        <v>1.8206278026905829</v>
      </c>
      <c r="J1311" s="60">
        <f t="shared" si="149"/>
        <v>0</v>
      </c>
      <c r="K1311" s="60">
        <f t="shared" si="150"/>
        <v>1.8206278026905829</v>
      </c>
      <c r="L1311" s="60">
        <f t="shared" si="151"/>
        <v>0</v>
      </c>
    </row>
    <row r="1312" spans="1:12" x14ac:dyDescent="0.25">
      <c r="A1312" s="61">
        <v>4202</v>
      </c>
      <c r="B1312" s="61" t="s">
        <v>151</v>
      </c>
      <c r="C1312" s="57">
        <v>1141</v>
      </c>
      <c r="D1312" s="57" t="s">
        <v>352</v>
      </c>
      <c r="E1312" s="67">
        <v>45870</v>
      </c>
      <c r="F1312" s="62">
        <v>2200</v>
      </c>
      <c r="G1312" s="62">
        <v>2070</v>
      </c>
      <c r="H1312" s="62">
        <v>2095</v>
      </c>
      <c r="I1312" s="60">
        <f t="shared" si="148"/>
        <v>1.8141980718667836</v>
      </c>
      <c r="J1312" s="60">
        <f t="shared" si="149"/>
        <v>25</v>
      </c>
      <c r="K1312" s="60">
        <f t="shared" si="150"/>
        <v>1.8361086765994741</v>
      </c>
      <c r="L1312" s="60">
        <f t="shared" si="151"/>
        <v>2.1910604732690464E-2</v>
      </c>
    </row>
    <row r="1313" spans="1:12" x14ac:dyDescent="0.25">
      <c r="A1313" s="61">
        <v>5311</v>
      </c>
      <c r="B1313" s="61" t="s">
        <v>57</v>
      </c>
      <c r="C1313" s="57">
        <v>700</v>
      </c>
      <c r="D1313" s="57" t="s">
        <v>352</v>
      </c>
      <c r="E1313" s="67">
        <v>45871</v>
      </c>
      <c r="F1313" s="62">
        <v>1565</v>
      </c>
      <c r="G1313" s="62">
        <v>1355</v>
      </c>
      <c r="H1313" s="62">
        <v>1391</v>
      </c>
      <c r="I1313" s="60">
        <f t="shared" si="148"/>
        <v>1.9357142857142857</v>
      </c>
      <c r="J1313" s="60">
        <f t="shared" si="149"/>
        <v>36</v>
      </c>
      <c r="K1313" s="60">
        <f t="shared" si="150"/>
        <v>1.9871428571428571</v>
      </c>
      <c r="L1313" s="60">
        <f t="shared" si="151"/>
        <v>5.1428571428571379E-2</v>
      </c>
    </row>
    <row r="1314" spans="1:12" x14ac:dyDescent="0.25">
      <c r="A1314" s="61">
        <v>2217</v>
      </c>
      <c r="B1314" s="61" t="s">
        <v>51</v>
      </c>
      <c r="C1314" s="57">
        <v>848</v>
      </c>
      <c r="D1314" s="57" t="s">
        <v>352</v>
      </c>
      <c r="E1314" s="67">
        <v>45868</v>
      </c>
      <c r="F1314" s="62">
        <v>1785</v>
      </c>
      <c r="G1314" s="62">
        <v>1525</v>
      </c>
      <c r="H1314" s="62">
        <v>1579</v>
      </c>
      <c r="I1314" s="60">
        <f t="shared" si="148"/>
        <v>1.7983490566037736</v>
      </c>
      <c r="J1314" s="60">
        <f t="shared" si="149"/>
        <v>54</v>
      </c>
      <c r="K1314" s="60">
        <f t="shared" si="150"/>
        <v>1.8620283018867925</v>
      </c>
      <c r="L1314" s="60">
        <f t="shared" si="151"/>
        <v>6.3679245283018826E-2</v>
      </c>
    </row>
    <row r="1315" spans="1:12" x14ac:dyDescent="0.25">
      <c r="A1315" s="61">
        <v>2362</v>
      </c>
      <c r="B1315" s="61" t="s">
        <v>74</v>
      </c>
      <c r="C1315" s="57">
        <v>1164</v>
      </c>
      <c r="D1315" s="57" t="s">
        <v>352</v>
      </c>
      <c r="E1315" s="67">
        <v>45866</v>
      </c>
      <c r="F1315" s="62">
        <v>2290</v>
      </c>
      <c r="G1315" s="62">
        <v>2360</v>
      </c>
      <c r="H1315" s="62">
        <v>2360</v>
      </c>
      <c r="I1315" s="60">
        <f t="shared" ref="I1315:I1323" si="152">G1315/C1315</f>
        <v>2.0274914089347078</v>
      </c>
      <c r="J1315" s="60">
        <f t="shared" ref="J1315:J1323" si="153">SUM(H1315-G1315)</f>
        <v>0</v>
      </c>
      <c r="K1315" s="60">
        <f t="shared" ref="K1315:K1323" si="154">H1315/C1315</f>
        <v>2.0274914089347078</v>
      </c>
      <c r="L1315" s="60">
        <f t="shared" ref="L1315:L1323" si="155">K1315-I1315</f>
        <v>0</v>
      </c>
    </row>
    <row r="1316" spans="1:12" x14ac:dyDescent="0.25">
      <c r="A1316" s="61">
        <v>2155</v>
      </c>
      <c r="B1316" s="61" t="s">
        <v>65</v>
      </c>
      <c r="C1316" s="57">
        <v>813</v>
      </c>
      <c r="D1316" s="57" t="s">
        <v>49</v>
      </c>
      <c r="E1316" s="67">
        <v>45876</v>
      </c>
      <c r="F1316" s="62">
        <v>1630</v>
      </c>
      <c r="G1316" s="62">
        <v>1600</v>
      </c>
      <c r="H1316" s="62">
        <v>1435</v>
      </c>
      <c r="I1316" s="60">
        <f t="shared" si="152"/>
        <v>1.968019680196802</v>
      </c>
      <c r="J1316" s="60">
        <f t="shared" si="153"/>
        <v>-165</v>
      </c>
      <c r="K1316" s="60">
        <f t="shared" si="154"/>
        <v>1.7650676506765068</v>
      </c>
      <c r="L1316" s="60">
        <f t="shared" si="155"/>
        <v>-0.20295202952029512</v>
      </c>
    </row>
    <row r="1317" spans="1:12" x14ac:dyDescent="0.25">
      <c r="A1317" s="61">
        <v>2219</v>
      </c>
      <c r="B1317" s="61" t="s">
        <v>57</v>
      </c>
      <c r="C1317" s="57">
        <v>700</v>
      </c>
      <c r="D1317" s="57" t="s">
        <v>49</v>
      </c>
      <c r="E1317" s="67">
        <v>45877</v>
      </c>
      <c r="F1317" s="62">
        <v>1565</v>
      </c>
      <c r="G1317" s="62">
        <v>1490</v>
      </c>
      <c r="H1317" s="62">
        <v>1370</v>
      </c>
      <c r="I1317" s="60">
        <f t="shared" si="152"/>
        <v>2.1285714285714286</v>
      </c>
      <c r="J1317" s="60">
        <f t="shared" si="153"/>
        <v>-120</v>
      </c>
      <c r="K1317" s="60">
        <f t="shared" si="154"/>
        <v>1.9571428571428571</v>
      </c>
      <c r="L1317" s="60">
        <f t="shared" si="155"/>
        <v>-0.17142857142857149</v>
      </c>
    </row>
    <row r="1318" spans="1:12" x14ac:dyDescent="0.25">
      <c r="A1318" s="61">
        <v>2332</v>
      </c>
      <c r="B1318" s="61" t="s">
        <v>82</v>
      </c>
      <c r="C1318" s="57">
        <v>1112</v>
      </c>
      <c r="D1318" s="57" t="s">
        <v>49</v>
      </c>
      <c r="E1318" s="67">
        <v>45877</v>
      </c>
      <c r="F1318" s="62">
        <v>2175</v>
      </c>
      <c r="G1318" s="62">
        <v>1900</v>
      </c>
      <c r="H1318" s="62">
        <v>2015</v>
      </c>
      <c r="I1318" s="60">
        <f t="shared" si="152"/>
        <v>1.7086330935251799</v>
      </c>
      <c r="J1318" s="60">
        <f t="shared" si="153"/>
        <v>115</v>
      </c>
      <c r="K1318" s="60">
        <f t="shared" si="154"/>
        <v>1.8120503597122302</v>
      </c>
      <c r="L1318" s="60">
        <f t="shared" si="155"/>
        <v>0.10341726618705027</v>
      </c>
    </row>
    <row r="1319" spans="1:12" x14ac:dyDescent="0.25">
      <c r="A1319" s="61">
        <v>2314</v>
      </c>
      <c r="B1319" s="61" t="s">
        <v>61</v>
      </c>
      <c r="C1319" s="57">
        <v>820</v>
      </c>
      <c r="D1319" s="57" t="s">
        <v>49</v>
      </c>
      <c r="E1319" s="67">
        <v>45877</v>
      </c>
      <c r="F1319" s="62">
        <v>1710</v>
      </c>
      <c r="G1319" s="62">
        <v>1705</v>
      </c>
      <c r="H1319" s="62">
        <v>1483</v>
      </c>
      <c r="I1319" s="60">
        <f t="shared" si="152"/>
        <v>2.0792682926829267</v>
      </c>
      <c r="J1319" s="60">
        <f t="shared" si="153"/>
        <v>-222</v>
      </c>
      <c r="K1319" s="60">
        <f t="shared" si="154"/>
        <v>1.8085365853658537</v>
      </c>
      <c r="L1319" s="60">
        <f t="shared" si="155"/>
        <v>-0.27073170731707297</v>
      </c>
    </row>
    <row r="1320" spans="1:12" x14ac:dyDescent="0.25">
      <c r="A1320" s="61">
        <v>2265</v>
      </c>
      <c r="B1320" s="61" t="s">
        <v>65</v>
      </c>
      <c r="C1320" s="57">
        <v>813</v>
      </c>
      <c r="D1320" s="57" t="s">
        <v>352</v>
      </c>
      <c r="E1320" s="67">
        <v>45874</v>
      </c>
      <c r="F1320" s="62">
        <v>1630</v>
      </c>
      <c r="G1320" s="62">
        <v>1647</v>
      </c>
      <c r="H1320" s="62">
        <v>1647</v>
      </c>
      <c r="I1320" s="60">
        <f t="shared" si="152"/>
        <v>2.0258302583025829</v>
      </c>
      <c r="J1320" s="60">
        <f t="shared" si="153"/>
        <v>0</v>
      </c>
      <c r="K1320" s="60">
        <f t="shared" si="154"/>
        <v>2.0258302583025829</v>
      </c>
      <c r="L1320" s="60">
        <f t="shared" si="155"/>
        <v>0</v>
      </c>
    </row>
    <row r="1321" spans="1:12" x14ac:dyDescent="0.25">
      <c r="A1321" s="61">
        <v>2312</v>
      </c>
      <c r="B1321" s="61" t="s">
        <v>57</v>
      </c>
      <c r="C1321" s="57">
        <v>700</v>
      </c>
      <c r="D1321" s="57" t="s">
        <v>352</v>
      </c>
      <c r="E1321" s="67">
        <v>45878</v>
      </c>
      <c r="F1321" s="62">
        <v>1610</v>
      </c>
      <c r="G1321" s="62">
        <v>1580</v>
      </c>
      <c r="H1321" s="62">
        <v>1592</v>
      </c>
      <c r="I1321" s="60">
        <f t="shared" si="152"/>
        <v>2.2571428571428571</v>
      </c>
      <c r="J1321" s="60">
        <f t="shared" si="153"/>
        <v>12</v>
      </c>
      <c r="K1321" s="60">
        <f t="shared" si="154"/>
        <v>2.2742857142857145</v>
      </c>
      <c r="L1321" s="60">
        <f t="shared" si="155"/>
        <v>1.7142857142857348E-2</v>
      </c>
    </row>
    <row r="1322" spans="1:12" x14ac:dyDescent="0.25">
      <c r="A1322" s="61">
        <v>4313</v>
      </c>
      <c r="B1322" s="61" t="s">
        <v>145</v>
      </c>
      <c r="C1322" s="57">
        <v>1146</v>
      </c>
      <c r="D1322" s="57" t="s">
        <v>352</v>
      </c>
      <c r="E1322" s="67">
        <v>45874</v>
      </c>
      <c r="F1322" s="62">
        <v>2230</v>
      </c>
      <c r="G1322" s="62">
        <v>1835</v>
      </c>
      <c r="H1322" s="62">
        <v>1940</v>
      </c>
      <c r="I1322" s="60">
        <f t="shared" si="152"/>
        <v>1.6012216404886561</v>
      </c>
      <c r="J1322" s="60">
        <f t="shared" si="153"/>
        <v>105</v>
      </c>
      <c r="K1322" s="60">
        <f t="shared" si="154"/>
        <v>1.6928446771378709</v>
      </c>
      <c r="L1322" s="60">
        <f t="shared" si="155"/>
        <v>9.1623036649214784E-2</v>
      </c>
    </row>
    <row r="1323" spans="1:12" x14ac:dyDescent="0.25">
      <c r="A1323" s="61">
        <v>5115</v>
      </c>
      <c r="B1323" s="61" t="s">
        <v>151</v>
      </c>
      <c r="C1323" s="57">
        <v>1141</v>
      </c>
      <c r="D1323" s="57" t="s">
        <v>352</v>
      </c>
      <c r="E1323" s="67">
        <v>45875</v>
      </c>
      <c r="F1323" s="62">
        <v>2200</v>
      </c>
      <c r="G1323" s="62">
        <v>2215</v>
      </c>
      <c r="H1323" s="62">
        <v>2285</v>
      </c>
      <c r="I1323" s="60">
        <f t="shared" si="152"/>
        <v>1.9412795793163891</v>
      </c>
      <c r="J1323" s="60">
        <f t="shared" si="153"/>
        <v>70</v>
      </c>
      <c r="K1323" s="60">
        <f t="shared" si="154"/>
        <v>2.0026292725679227</v>
      </c>
      <c r="L1323" s="60">
        <f t="shared" si="155"/>
        <v>6.134969325153361E-2</v>
      </c>
    </row>
    <row r="1324" spans="1:12" x14ac:dyDescent="0.25">
      <c r="A1324" s="61">
        <v>2339</v>
      </c>
      <c r="B1324" s="61" t="s">
        <v>51</v>
      </c>
      <c r="C1324" s="57">
        <v>848</v>
      </c>
      <c r="D1324" s="57" t="s">
        <v>49</v>
      </c>
      <c r="E1324" s="67">
        <v>45884</v>
      </c>
      <c r="F1324" s="62">
        <v>1785</v>
      </c>
      <c r="G1324" s="62">
        <v>1620</v>
      </c>
      <c r="H1324" s="62">
        <v>1620</v>
      </c>
      <c r="I1324" s="60">
        <f t="shared" ref="I1324:I1333" si="156">G1324/C1324</f>
        <v>1.9103773584905661</v>
      </c>
      <c r="J1324" s="60">
        <f t="shared" ref="J1324:J1333" si="157">SUM(H1324-G1324)</f>
        <v>0</v>
      </c>
      <c r="K1324" s="60">
        <f t="shared" ref="K1324:K1333" si="158">H1324/C1324</f>
        <v>1.9103773584905661</v>
      </c>
      <c r="L1324" s="60">
        <f t="shared" ref="L1324:L1333" si="159">K1324-I1324</f>
        <v>0</v>
      </c>
    </row>
    <row r="1325" spans="1:12" x14ac:dyDescent="0.25">
      <c r="A1325" s="61">
        <v>4102</v>
      </c>
      <c r="B1325" s="61" t="s">
        <v>151</v>
      </c>
      <c r="C1325" s="57">
        <v>1141</v>
      </c>
      <c r="D1325" s="57" t="s">
        <v>49</v>
      </c>
      <c r="E1325" s="67">
        <v>45880</v>
      </c>
      <c r="F1325" s="62">
        <v>2200</v>
      </c>
      <c r="G1325" s="62">
        <v>1990</v>
      </c>
      <c r="H1325" s="62">
        <v>2285</v>
      </c>
      <c r="I1325" s="60">
        <f t="shared" si="156"/>
        <v>1.7440841367221736</v>
      </c>
      <c r="J1325" s="60">
        <f t="shared" si="157"/>
        <v>295</v>
      </c>
      <c r="K1325" s="60">
        <f t="shared" si="158"/>
        <v>2.0026292725679227</v>
      </c>
      <c r="L1325" s="60">
        <f t="shared" si="159"/>
        <v>0.25854513584574912</v>
      </c>
    </row>
    <row r="1326" spans="1:12" x14ac:dyDescent="0.25">
      <c r="A1326" s="61">
        <v>1108</v>
      </c>
      <c r="B1326" s="61" t="s">
        <v>137</v>
      </c>
      <c r="C1326" s="57">
        <v>1700</v>
      </c>
      <c r="D1326" s="57" t="s">
        <v>49</v>
      </c>
      <c r="E1326" s="67">
        <v>45884</v>
      </c>
      <c r="F1326" s="62">
        <v>3045</v>
      </c>
      <c r="G1326" s="62">
        <v>2890</v>
      </c>
      <c r="H1326" s="62">
        <v>2965</v>
      </c>
      <c r="I1326" s="60">
        <f t="shared" si="156"/>
        <v>1.7</v>
      </c>
      <c r="J1326" s="60">
        <f t="shared" si="157"/>
        <v>75</v>
      </c>
      <c r="K1326" s="60">
        <f t="shared" si="158"/>
        <v>1.7441176470588236</v>
      </c>
      <c r="L1326" s="60">
        <f t="shared" si="159"/>
        <v>4.4117647058823595E-2</v>
      </c>
    </row>
    <row r="1327" spans="1:12" x14ac:dyDescent="0.25">
      <c r="A1327" s="61">
        <v>2243</v>
      </c>
      <c r="B1327" s="61" t="s">
        <v>48</v>
      </c>
      <c r="C1327" s="57">
        <v>806</v>
      </c>
      <c r="D1327" s="57" t="s">
        <v>356</v>
      </c>
      <c r="E1327" s="67">
        <v>45883</v>
      </c>
      <c r="F1327" s="62">
        <v>1600</v>
      </c>
      <c r="G1327" s="62">
        <v>1650</v>
      </c>
      <c r="H1327" s="62">
        <v>1667</v>
      </c>
      <c r="I1327" s="60">
        <f t="shared" si="156"/>
        <v>2.0471464019851116</v>
      </c>
      <c r="J1327" s="60">
        <f t="shared" si="157"/>
        <v>17</v>
      </c>
      <c r="K1327" s="60">
        <f t="shared" si="158"/>
        <v>2.0682382133995039</v>
      </c>
      <c r="L1327" s="60">
        <f t="shared" si="159"/>
        <v>2.1091811414392314E-2</v>
      </c>
    </row>
    <row r="1328" spans="1:12" x14ac:dyDescent="0.25">
      <c r="A1328" s="61">
        <v>2327</v>
      </c>
      <c r="B1328" s="61" t="s">
        <v>57</v>
      </c>
      <c r="C1328" s="57">
        <v>700</v>
      </c>
      <c r="D1328" s="57" t="s">
        <v>352</v>
      </c>
      <c r="E1328" s="67">
        <v>45886</v>
      </c>
      <c r="F1328" s="62">
        <v>1565</v>
      </c>
      <c r="G1328" s="62">
        <v>1492</v>
      </c>
      <c r="H1328" s="62">
        <v>1492</v>
      </c>
      <c r="I1328" s="60">
        <f t="shared" si="156"/>
        <v>2.1314285714285712</v>
      </c>
      <c r="J1328" s="60">
        <f t="shared" si="157"/>
        <v>0</v>
      </c>
      <c r="K1328" s="60">
        <f t="shared" si="158"/>
        <v>2.1314285714285712</v>
      </c>
      <c r="L1328" s="60">
        <f t="shared" si="159"/>
        <v>0</v>
      </c>
    </row>
    <row r="1329" spans="1:12" x14ac:dyDescent="0.25">
      <c r="A1329" s="61">
        <v>2329</v>
      </c>
      <c r="B1329" s="61" t="s">
        <v>57</v>
      </c>
      <c r="C1329" s="57">
        <v>700</v>
      </c>
      <c r="D1329" s="57" t="s">
        <v>352</v>
      </c>
      <c r="E1329" s="67">
        <v>45870</v>
      </c>
      <c r="F1329" s="62">
        <v>1565</v>
      </c>
      <c r="G1329" s="62">
        <v>1602</v>
      </c>
      <c r="H1329" s="62">
        <v>1635</v>
      </c>
      <c r="I1329" s="60">
        <f t="shared" si="156"/>
        <v>2.2885714285714287</v>
      </c>
      <c r="J1329" s="60">
        <f t="shared" si="157"/>
        <v>33</v>
      </c>
      <c r="K1329" s="60">
        <f t="shared" si="158"/>
        <v>2.3357142857142859</v>
      </c>
      <c r="L1329" s="60">
        <f t="shared" si="159"/>
        <v>4.7142857142857153E-2</v>
      </c>
    </row>
    <row r="1330" spans="1:12" x14ac:dyDescent="0.25">
      <c r="A1330" s="61">
        <v>4209</v>
      </c>
      <c r="B1330" s="61" t="s">
        <v>151</v>
      </c>
      <c r="C1330" s="57">
        <v>1141</v>
      </c>
      <c r="D1330" s="57" t="s">
        <v>352</v>
      </c>
      <c r="E1330" s="67">
        <v>45882</v>
      </c>
      <c r="F1330" s="62">
        <v>2200</v>
      </c>
      <c r="G1330" s="62">
        <v>2172</v>
      </c>
      <c r="H1330" s="62">
        <v>2259</v>
      </c>
      <c r="I1330" s="60">
        <f t="shared" si="156"/>
        <v>1.9035933391761612</v>
      </c>
      <c r="J1330" s="60">
        <f t="shared" si="157"/>
        <v>87</v>
      </c>
      <c r="K1330" s="60">
        <f t="shared" si="158"/>
        <v>1.9798422436459246</v>
      </c>
      <c r="L1330" s="60">
        <f t="shared" si="159"/>
        <v>7.6248904469763401E-2</v>
      </c>
    </row>
    <row r="1331" spans="1:12" x14ac:dyDescent="0.25">
      <c r="A1331" s="61">
        <v>4210</v>
      </c>
      <c r="B1331" s="61" t="s">
        <v>59</v>
      </c>
      <c r="C1331" s="57">
        <v>1112</v>
      </c>
      <c r="D1331" s="57" t="s">
        <v>352</v>
      </c>
      <c r="E1331" s="67">
        <v>45882</v>
      </c>
      <c r="F1331" s="62">
        <v>2185</v>
      </c>
      <c r="G1331" s="62">
        <v>1745</v>
      </c>
      <c r="H1331" s="62">
        <v>1826</v>
      </c>
      <c r="I1331" s="60">
        <f t="shared" si="156"/>
        <v>1.5692446043165467</v>
      </c>
      <c r="J1331" s="60">
        <f t="shared" si="157"/>
        <v>81</v>
      </c>
      <c r="K1331" s="60">
        <f t="shared" si="158"/>
        <v>1.6420863309352518</v>
      </c>
      <c r="L1331" s="60">
        <f t="shared" si="159"/>
        <v>7.2841726618705138E-2</v>
      </c>
    </row>
    <row r="1332" spans="1:12" x14ac:dyDescent="0.25">
      <c r="A1332" s="61">
        <v>2135</v>
      </c>
      <c r="B1332" s="61" t="s">
        <v>48</v>
      </c>
      <c r="C1332" s="57">
        <v>806</v>
      </c>
      <c r="D1332" s="57" t="s">
        <v>49</v>
      </c>
      <c r="E1332" s="67">
        <v>45887</v>
      </c>
      <c r="F1332" s="62">
        <v>1670</v>
      </c>
      <c r="G1332" s="62">
        <v>1685</v>
      </c>
      <c r="H1332" s="62">
        <v>1570</v>
      </c>
      <c r="I1332" s="60">
        <f t="shared" si="156"/>
        <v>2.0905707196029777</v>
      </c>
      <c r="J1332" s="60">
        <f t="shared" si="157"/>
        <v>-115</v>
      </c>
      <c r="K1332" s="60">
        <f t="shared" si="158"/>
        <v>1.9478908188585609</v>
      </c>
      <c r="L1332" s="60">
        <f t="shared" si="159"/>
        <v>-0.14267990074441683</v>
      </c>
    </row>
    <row r="1333" spans="1:12" x14ac:dyDescent="0.25">
      <c r="A1333" s="61">
        <v>2210</v>
      </c>
      <c r="B1333" s="61" t="s">
        <v>57</v>
      </c>
      <c r="C1333" s="57">
        <v>700</v>
      </c>
      <c r="D1333" s="57" t="s">
        <v>49</v>
      </c>
      <c r="E1333" s="67">
        <v>45891</v>
      </c>
      <c r="F1333" s="62">
        <v>1610</v>
      </c>
      <c r="G1333" s="62">
        <v>1579</v>
      </c>
      <c r="H1333" s="62">
        <v>1415</v>
      </c>
      <c r="I1333" s="60">
        <f t="shared" si="156"/>
        <v>2.2557142857142858</v>
      </c>
      <c r="J1333" s="60">
        <f t="shared" si="157"/>
        <v>-164</v>
      </c>
      <c r="K1333" s="60">
        <f t="shared" si="158"/>
        <v>2.0214285714285714</v>
      </c>
      <c r="L1333" s="60">
        <f t="shared" si="159"/>
        <v>-0.23428571428571443</v>
      </c>
    </row>
    <row r="1334" spans="1:12" x14ac:dyDescent="0.25">
      <c r="A1334" s="61">
        <v>4308</v>
      </c>
      <c r="B1334" s="61" t="s">
        <v>57</v>
      </c>
      <c r="C1334" s="57">
        <v>700</v>
      </c>
      <c r="D1334" s="57" t="s">
        <v>49</v>
      </c>
      <c r="E1334" s="67">
        <v>45887</v>
      </c>
      <c r="F1334" s="62">
        <v>1610</v>
      </c>
      <c r="G1334" s="62">
        <v>1585</v>
      </c>
      <c r="H1334" s="62">
        <v>1415</v>
      </c>
      <c r="I1334" s="60">
        <f t="shared" ref="I1334:I1349" si="160">G1334/C1334</f>
        <v>2.2642857142857142</v>
      </c>
      <c r="J1334" s="60">
        <f t="shared" ref="J1334:J1349" si="161">SUM(H1334-G1334)</f>
        <v>-170</v>
      </c>
      <c r="K1334" s="60">
        <f t="shared" ref="K1334:K1349" si="162">H1334/C1334</f>
        <v>2.0214285714285714</v>
      </c>
      <c r="L1334" s="60">
        <f t="shared" ref="L1334:L1349" si="163">K1334-I1334</f>
        <v>-0.24285714285714288</v>
      </c>
    </row>
    <row r="1335" spans="1:12" x14ac:dyDescent="0.25">
      <c r="A1335" s="61">
        <v>5215</v>
      </c>
      <c r="B1335" s="61" t="s">
        <v>151</v>
      </c>
      <c r="C1335" s="57">
        <v>1141</v>
      </c>
      <c r="D1335" s="57" t="s">
        <v>49</v>
      </c>
      <c r="E1335" s="67">
        <v>45891</v>
      </c>
      <c r="F1335" s="62">
        <v>2200</v>
      </c>
      <c r="G1335" s="62">
        <v>2255</v>
      </c>
      <c r="H1335" s="62">
        <v>2165</v>
      </c>
      <c r="I1335" s="60">
        <f t="shared" si="160"/>
        <v>1.9763365468886942</v>
      </c>
      <c r="J1335" s="60">
        <f t="shared" si="161"/>
        <v>-90</v>
      </c>
      <c r="K1335" s="60">
        <f t="shared" si="162"/>
        <v>1.8974583698510079</v>
      </c>
      <c r="L1335" s="60">
        <f t="shared" si="163"/>
        <v>-7.8878177037686292E-2</v>
      </c>
    </row>
    <row r="1336" spans="1:12" x14ac:dyDescent="0.25">
      <c r="A1336" s="61">
        <v>2364</v>
      </c>
      <c r="B1336" s="61" t="s">
        <v>59</v>
      </c>
      <c r="C1336" s="57">
        <v>1115</v>
      </c>
      <c r="D1336" s="57" t="s">
        <v>352</v>
      </c>
      <c r="E1336" s="67">
        <v>45887</v>
      </c>
      <c r="F1336" s="62">
        <v>2185</v>
      </c>
      <c r="G1336" s="62">
        <v>1950</v>
      </c>
      <c r="H1336" s="62">
        <v>2000</v>
      </c>
      <c r="I1336" s="60">
        <f t="shared" si="160"/>
        <v>1.7488789237668161</v>
      </c>
      <c r="J1336" s="60">
        <f t="shared" si="161"/>
        <v>50</v>
      </c>
      <c r="K1336" s="60">
        <f t="shared" si="162"/>
        <v>1.7937219730941705</v>
      </c>
      <c r="L1336" s="60">
        <f t="shared" si="163"/>
        <v>4.484304932735439E-2</v>
      </c>
    </row>
    <row r="1337" spans="1:12" x14ac:dyDescent="0.25">
      <c r="A1337" s="61">
        <v>2112</v>
      </c>
      <c r="B1337" s="61" t="s">
        <v>57</v>
      </c>
      <c r="C1337" s="57">
        <v>700</v>
      </c>
      <c r="D1337" s="57" t="s">
        <v>352</v>
      </c>
      <c r="E1337" s="67">
        <v>45890</v>
      </c>
      <c r="F1337" s="62">
        <v>1610</v>
      </c>
      <c r="G1337" s="62">
        <v>1661</v>
      </c>
      <c r="H1337" s="62">
        <v>1661</v>
      </c>
      <c r="I1337" s="60">
        <f t="shared" si="160"/>
        <v>2.3728571428571428</v>
      </c>
      <c r="J1337" s="60">
        <f t="shared" si="161"/>
        <v>0</v>
      </c>
      <c r="K1337" s="60">
        <f t="shared" si="162"/>
        <v>2.3728571428571428</v>
      </c>
      <c r="L1337" s="60">
        <f t="shared" si="163"/>
        <v>0</v>
      </c>
    </row>
    <row r="1338" spans="1:12" x14ac:dyDescent="0.25">
      <c r="A1338" s="61">
        <v>2121</v>
      </c>
      <c r="B1338" s="61" t="s">
        <v>65</v>
      </c>
      <c r="C1338" s="57">
        <v>813</v>
      </c>
      <c r="D1338" s="57" t="s">
        <v>352</v>
      </c>
      <c r="E1338" s="67">
        <v>45892</v>
      </c>
      <c r="F1338" s="62">
        <v>1630</v>
      </c>
      <c r="G1338" s="62">
        <v>1415</v>
      </c>
      <c r="H1338" s="62">
        <v>1448</v>
      </c>
      <c r="I1338" s="60">
        <f t="shared" si="160"/>
        <v>1.7404674046740467</v>
      </c>
      <c r="J1338" s="60">
        <f t="shared" si="161"/>
        <v>33</v>
      </c>
      <c r="K1338" s="60">
        <f t="shared" si="162"/>
        <v>1.7810578105781059</v>
      </c>
      <c r="L1338" s="60">
        <f t="shared" si="163"/>
        <v>4.0590405904059157E-2</v>
      </c>
    </row>
    <row r="1339" spans="1:12" x14ac:dyDescent="0.25">
      <c r="A1339" s="61">
        <v>4305</v>
      </c>
      <c r="B1339" s="61" t="s">
        <v>61</v>
      </c>
      <c r="C1339" s="57">
        <v>820</v>
      </c>
      <c r="D1339" s="57" t="s">
        <v>352</v>
      </c>
      <c r="E1339" s="67">
        <v>45892</v>
      </c>
      <c r="F1339" s="62">
        <v>1665</v>
      </c>
      <c r="G1339" s="62">
        <v>1505</v>
      </c>
      <c r="H1339" s="62">
        <v>1570</v>
      </c>
      <c r="I1339" s="60">
        <f t="shared" si="160"/>
        <v>1.8353658536585367</v>
      </c>
      <c r="J1339" s="60">
        <f t="shared" si="161"/>
        <v>65</v>
      </c>
      <c r="K1339" s="60">
        <f t="shared" si="162"/>
        <v>1.9146341463414633</v>
      </c>
      <c r="L1339" s="60">
        <f t="shared" si="163"/>
        <v>7.9268292682926678E-2</v>
      </c>
    </row>
    <row r="1340" spans="1:12" x14ac:dyDescent="0.25">
      <c r="A1340" s="61">
        <v>5108</v>
      </c>
      <c r="B1340" s="61" t="s">
        <v>59</v>
      </c>
      <c r="C1340" s="57">
        <v>1115</v>
      </c>
      <c r="D1340" s="57" t="s">
        <v>352</v>
      </c>
      <c r="E1340" s="67">
        <v>45891</v>
      </c>
      <c r="F1340" s="62">
        <v>2215</v>
      </c>
      <c r="G1340" s="62">
        <v>2097</v>
      </c>
      <c r="H1340" s="62">
        <v>2097</v>
      </c>
      <c r="I1340" s="60">
        <f t="shared" si="160"/>
        <v>1.8807174887892377</v>
      </c>
      <c r="J1340" s="60">
        <f t="shared" si="161"/>
        <v>0</v>
      </c>
      <c r="K1340" s="60">
        <f t="shared" si="162"/>
        <v>1.8807174887892377</v>
      </c>
      <c r="L1340" s="60">
        <f t="shared" si="163"/>
        <v>0</v>
      </c>
    </row>
    <row r="1341" spans="1:12" x14ac:dyDescent="0.25">
      <c r="A1341" s="61">
        <v>5212</v>
      </c>
      <c r="B1341" s="61" t="s">
        <v>59</v>
      </c>
      <c r="C1341" s="57">
        <v>1115</v>
      </c>
      <c r="D1341" s="57" t="s">
        <v>352</v>
      </c>
      <c r="E1341" s="67">
        <v>45891</v>
      </c>
      <c r="F1341" s="62">
        <v>2215</v>
      </c>
      <c r="G1341" s="62">
        <v>1918</v>
      </c>
      <c r="H1341" s="62">
        <v>1956</v>
      </c>
      <c r="I1341" s="60">
        <f t="shared" si="160"/>
        <v>1.7201793721973093</v>
      </c>
      <c r="J1341" s="60">
        <f t="shared" si="161"/>
        <v>38</v>
      </c>
      <c r="K1341" s="60">
        <f t="shared" si="162"/>
        <v>1.7542600896860987</v>
      </c>
      <c r="L1341" s="60">
        <f t="shared" si="163"/>
        <v>3.408071748878938E-2</v>
      </c>
    </row>
    <row r="1342" spans="1:12" x14ac:dyDescent="0.25">
      <c r="A1342" s="61">
        <v>2122</v>
      </c>
      <c r="B1342" s="61" t="s">
        <v>355</v>
      </c>
      <c r="C1342" s="57">
        <v>810</v>
      </c>
      <c r="D1342" s="57" t="s">
        <v>49</v>
      </c>
      <c r="E1342" s="67">
        <v>45893</v>
      </c>
      <c r="F1342" s="62">
        <v>1650</v>
      </c>
      <c r="G1342" s="62">
        <v>1460</v>
      </c>
      <c r="H1342" s="62">
        <v>1485</v>
      </c>
      <c r="I1342" s="60">
        <f t="shared" si="160"/>
        <v>1.8024691358024691</v>
      </c>
      <c r="J1342" s="60">
        <f t="shared" si="161"/>
        <v>25</v>
      </c>
      <c r="K1342" s="60">
        <f t="shared" si="162"/>
        <v>1.8333333333333333</v>
      </c>
      <c r="L1342" s="60">
        <f t="shared" si="163"/>
        <v>3.0864197530864113E-2</v>
      </c>
    </row>
    <row r="1343" spans="1:12" x14ac:dyDescent="0.25">
      <c r="A1343" s="61">
        <v>1104</v>
      </c>
      <c r="B1343" s="61" t="s">
        <v>137</v>
      </c>
      <c r="C1343" s="57">
        <v>1700</v>
      </c>
      <c r="D1343" s="57" t="s">
        <v>352</v>
      </c>
      <c r="E1343" s="67">
        <v>45895</v>
      </c>
      <c r="F1343" s="62">
        <v>3045</v>
      </c>
      <c r="G1343" s="62">
        <v>2813</v>
      </c>
      <c r="H1343" s="62">
        <v>2813</v>
      </c>
      <c r="I1343" s="60">
        <f t="shared" si="160"/>
        <v>1.6547058823529412</v>
      </c>
      <c r="J1343" s="60">
        <f t="shared" si="161"/>
        <v>0</v>
      </c>
      <c r="K1343" s="60">
        <f t="shared" si="162"/>
        <v>1.6547058823529412</v>
      </c>
      <c r="L1343" s="60">
        <f t="shared" si="163"/>
        <v>0</v>
      </c>
    </row>
    <row r="1344" spans="1:12" x14ac:dyDescent="0.25">
      <c r="A1344" s="61">
        <v>2126</v>
      </c>
      <c r="B1344" s="61" t="s">
        <v>74</v>
      </c>
      <c r="C1344" s="57">
        <v>1164</v>
      </c>
      <c r="D1344" s="57" t="s">
        <v>352</v>
      </c>
      <c r="E1344" s="67">
        <v>45895</v>
      </c>
      <c r="F1344" s="62">
        <v>2290</v>
      </c>
      <c r="G1344" s="62">
        <v>2287</v>
      </c>
      <c r="H1344" s="62">
        <v>2360</v>
      </c>
      <c r="I1344" s="60">
        <f t="shared" si="160"/>
        <v>1.9647766323024054</v>
      </c>
      <c r="J1344" s="60">
        <f t="shared" si="161"/>
        <v>73</v>
      </c>
      <c r="K1344" s="60">
        <f t="shared" si="162"/>
        <v>2.0274914089347078</v>
      </c>
      <c r="L1344" s="60">
        <f t="shared" si="163"/>
        <v>6.2714776632302405E-2</v>
      </c>
    </row>
    <row r="1345" spans="1:12" x14ac:dyDescent="0.25">
      <c r="A1345" s="61">
        <v>2110</v>
      </c>
      <c r="B1345" s="61" t="s">
        <v>57</v>
      </c>
      <c r="C1345" s="57">
        <v>700</v>
      </c>
      <c r="D1345" s="57" t="s">
        <v>352</v>
      </c>
      <c r="E1345" s="67">
        <v>45895</v>
      </c>
      <c r="F1345" s="62">
        <v>1610</v>
      </c>
      <c r="G1345" s="62">
        <v>1520</v>
      </c>
      <c r="H1345" s="62">
        <v>1550</v>
      </c>
      <c r="I1345" s="60">
        <f t="shared" si="160"/>
        <v>2.1714285714285713</v>
      </c>
      <c r="J1345" s="60">
        <f t="shared" si="161"/>
        <v>30</v>
      </c>
      <c r="K1345" s="60">
        <f t="shared" si="162"/>
        <v>2.2142857142857144</v>
      </c>
      <c r="L1345" s="60">
        <f t="shared" si="163"/>
        <v>4.2857142857143149E-2</v>
      </c>
    </row>
    <row r="1346" spans="1:12" x14ac:dyDescent="0.25">
      <c r="A1346" s="61">
        <v>2139</v>
      </c>
      <c r="B1346" s="61" t="s">
        <v>51</v>
      </c>
      <c r="C1346" s="57">
        <v>848</v>
      </c>
      <c r="D1346" s="57" t="s">
        <v>352</v>
      </c>
      <c r="E1346" s="67">
        <v>45895</v>
      </c>
      <c r="F1346" s="62">
        <v>1785</v>
      </c>
      <c r="G1346" s="62">
        <v>1454</v>
      </c>
      <c r="H1346" s="62">
        <v>1526</v>
      </c>
      <c r="I1346" s="60">
        <f t="shared" si="160"/>
        <v>1.7146226415094339</v>
      </c>
      <c r="J1346" s="60">
        <f t="shared" si="161"/>
        <v>72</v>
      </c>
      <c r="K1346" s="60">
        <f t="shared" si="162"/>
        <v>1.7995283018867925</v>
      </c>
      <c r="L1346" s="60">
        <f t="shared" si="163"/>
        <v>8.4905660377358583E-2</v>
      </c>
    </row>
    <row r="1347" spans="1:12" x14ac:dyDescent="0.25">
      <c r="A1347" s="61">
        <v>2252</v>
      </c>
      <c r="B1347" s="61" t="s">
        <v>86</v>
      </c>
      <c r="C1347" s="57">
        <v>810</v>
      </c>
      <c r="D1347" s="57" t="s">
        <v>352</v>
      </c>
      <c r="E1347" s="67">
        <v>45896</v>
      </c>
      <c r="F1347" s="62">
        <v>1630</v>
      </c>
      <c r="G1347" s="62">
        <v>1687</v>
      </c>
      <c r="H1347" s="62">
        <v>1687</v>
      </c>
      <c r="I1347" s="60">
        <f t="shared" si="160"/>
        <v>2.0827160493827162</v>
      </c>
      <c r="J1347" s="60">
        <f t="shared" si="161"/>
        <v>0</v>
      </c>
      <c r="K1347" s="60">
        <f t="shared" si="162"/>
        <v>2.0827160493827162</v>
      </c>
      <c r="L1347" s="60">
        <f t="shared" si="163"/>
        <v>0</v>
      </c>
    </row>
    <row r="1348" spans="1:12" x14ac:dyDescent="0.25">
      <c r="A1348" s="61">
        <v>2259</v>
      </c>
      <c r="B1348" s="61" t="s">
        <v>48</v>
      </c>
      <c r="C1348" s="57">
        <v>806</v>
      </c>
      <c r="D1348" s="57" t="s">
        <v>352</v>
      </c>
      <c r="E1348" s="67">
        <v>45897</v>
      </c>
      <c r="F1348" s="62">
        <v>1670</v>
      </c>
      <c r="G1348" s="62">
        <v>1575</v>
      </c>
      <c r="H1348" s="62">
        <v>1606</v>
      </c>
      <c r="I1348" s="60">
        <f t="shared" si="160"/>
        <v>1.9540942928039702</v>
      </c>
      <c r="J1348" s="60">
        <f t="shared" si="161"/>
        <v>31</v>
      </c>
      <c r="K1348" s="60">
        <f t="shared" si="162"/>
        <v>1.9925558312655087</v>
      </c>
      <c r="L1348" s="60">
        <f t="shared" si="163"/>
        <v>3.8461538461538547E-2</v>
      </c>
    </row>
    <row r="1349" spans="1:12" x14ac:dyDescent="0.25">
      <c r="A1349" s="61">
        <v>4203</v>
      </c>
      <c r="B1349" s="61" t="s">
        <v>59</v>
      </c>
      <c r="C1349" s="57">
        <v>1115</v>
      </c>
      <c r="D1349" s="57" t="s">
        <v>352</v>
      </c>
      <c r="E1349" s="67">
        <v>45900</v>
      </c>
      <c r="F1349" s="62">
        <v>2215</v>
      </c>
      <c r="G1349" s="62">
        <v>1910</v>
      </c>
      <c r="H1349" s="62">
        <v>1953</v>
      </c>
      <c r="I1349" s="60">
        <f t="shared" si="160"/>
        <v>1.7130044843049328</v>
      </c>
      <c r="J1349" s="60">
        <f t="shared" si="161"/>
        <v>43</v>
      </c>
      <c r="K1349" s="60">
        <f t="shared" si="162"/>
        <v>1.7515695067264574</v>
      </c>
      <c r="L1349" s="60">
        <f t="shared" si="163"/>
        <v>3.8565022421524597E-2</v>
      </c>
    </row>
    <row r="1350" spans="1:12" x14ac:dyDescent="0.25">
      <c r="A1350" s="61">
        <v>2307</v>
      </c>
      <c r="B1350" s="61" t="s">
        <v>55</v>
      </c>
      <c r="C1350" s="57">
        <v>764</v>
      </c>
      <c r="D1350" s="57" t="s">
        <v>352</v>
      </c>
      <c r="E1350" s="67">
        <v>45903</v>
      </c>
      <c r="F1350" s="62">
        <v>1665</v>
      </c>
      <c r="G1350" s="62">
        <v>1415</v>
      </c>
      <c r="H1350" s="62">
        <v>1759</v>
      </c>
      <c r="I1350" s="60">
        <f t="shared" ref="I1350:I1361" si="164">G1350/C1350</f>
        <v>1.8520942408376964</v>
      </c>
      <c r="J1350" s="60">
        <f t="shared" ref="J1350:J1361" si="165">SUM(H1350-G1350)</f>
        <v>344</v>
      </c>
      <c r="K1350" s="60">
        <f t="shared" ref="K1350:K1361" si="166">H1350/C1350</f>
        <v>2.3023560209424083</v>
      </c>
      <c r="L1350" s="60">
        <f t="shared" ref="L1350:L1361" si="167">K1350-I1350</f>
        <v>0.45026178010471196</v>
      </c>
    </row>
    <row r="1351" spans="1:12" x14ac:dyDescent="0.25">
      <c r="A1351" s="61">
        <v>2357</v>
      </c>
      <c r="B1351" s="61" t="s">
        <v>65</v>
      </c>
      <c r="C1351" s="57">
        <v>813</v>
      </c>
      <c r="D1351" s="57" t="s">
        <v>49</v>
      </c>
      <c r="E1351" s="67">
        <v>45905</v>
      </c>
      <c r="F1351" s="62">
        <v>1630</v>
      </c>
      <c r="G1351" s="62">
        <v>1595</v>
      </c>
      <c r="H1351" s="62">
        <v>1430</v>
      </c>
      <c r="I1351" s="60">
        <f t="shared" si="164"/>
        <v>1.961869618696187</v>
      </c>
      <c r="J1351" s="60">
        <f t="shared" si="165"/>
        <v>-165</v>
      </c>
      <c r="K1351" s="60">
        <f t="shared" si="166"/>
        <v>1.7589175891758917</v>
      </c>
      <c r="L1351" s="60">
        <f t="shared" si="167"/>
        <v>-0.20295202952029534</v>
      </c>
    </row>
    <row r="1352" spans="1:12" x14ac:dyDescent="0.25">
      <c r="A1352" s="61">
        <v>2344</v>
      </c>
      <c r="B1352" s="61" t="s">
        <v>57</v>
      </c>
      <c r="C1352" s="57">
        <v>700</v>
      </c>
      <c r="D1352" s="57" t="s">
        <v>352</v>
      </c>
      <c r="E1352" s="67">
        <v>45905</v>
      </c>
      <c r="F1352" s="62">
        <v>1565</v>
      </c>
      <c r="G1352" s="62">
        <v>1350</v>
      </c>
      <c r="H1352" s="62">
        <v>1390</v>
      </c>
      <c r="I1352" s="60">
        <f t="shared" si="164"/>
        <v>1.9285714285714286</v>
      </c>
      <c r="J1352" s="60">
        <f t="shared" si="165"/>
        <v>40</v>
      </c>
      <c r="K1352" s="60">
        <f t="shared" si="166"/>
        <v>1.9857142857142858</v>
      </c>
      <c r="L1352" s="60">
        <f t="shared" si="167"/>
        <v>5.7142857142857162E-2</v>
      </c>
    </row>
    <row r="1353" spans="1:12" x14ac:dyDescent="0.25">
      <c r="A1353" s="61">
        <v>5208</v>
      </c>
      <c r="B1353" s="61" t="s">
        <v>59</v>
      </c>
      <c r="C1353" s="57">
        <v>1115</v>
      </c>
      <c r="D1353" s="57" t="s">
        <v>352</v>
      </c>
      <c r="E1353" s="67">
        <v>45905</v>
      </c>
      <c r="F1353" s="62">
        <v>2215</v>
      </c>
      <c r="G1353" s="62">
        <v>2015</v>
      </c>
      <c r="H1353" s="62">
        <v>2040</v>
      </c>
      <c r="I1353" s="60">
        <f t="shared" si="164"/>
        <v>1.8071748878923768</v>
      </c>
      <c r="J1353" s="60">
        <f t="shared" si="165"/>
        <v>25</v>
      </c>
      <c r="K1353" s="60">
        <f t="shared" si="166"/>
        <v>1.8295964125560538</v>
      </c>
      <c r="L1353" s="60">
        <f t="shared" si="167"/>
        <v>2.2421524663676973E-2</v>
      </c>
    </row>
    <row r="1354" spans="1:12" x14ac:dyDescent="0.25">
      <c r="A1354" s="61">
        <v>2261</v>
      </c>
      <c r="B1354" s="61" t="s">
        <v>57</v>
      </c>
      <c r="C1354" s="57">
        <v>700</v>
      </c>
      <c r="D1354" s="57" t="s">
        <v>352</v>
      </c>
      <c r="E1354" s="67">
        <v>45907</v>
      </c>
      <c r="F1354" s="62">
        <v>1565</v>
      </c>
      <c r="G1354" s="62">
        <v>1417</v>
      </c>
      <c r="H1354" s="62">
        <v>1513</v>
      </c>
      <c r="I1354" s="60">
        <f t="shared" si="164"/>
        <v>2.0242857142857145</v>
      </c>
      <c r="J1354" s="60">
        <f t="shared" si="165"/>
        <v>96</v>
      </c>
      <c r="K1354" s="60">
        <f t="shared" si="166"/>
        <v>2.1614285714285715</v>
      </c>
      <c r="L1354" s="60">
        <f t="shared" si="167"/>
        <v>0.13714285714285701</v>
      </c>
    </row>
    <row r="1355" spans="1:12" x14ac:dyDescent="0.25">
      <c r="A1355" s="61">
        <v>2133</v>
      </c>
      <c r="B1355" s="61" t="s">
        <v>65</v>
      </c>
      <c r="C1355" s="57">
        <v>813</v>
      </c>
      <c r="D1355" s="57" t="s">
        <v>49</v>
      </c>
      <c r="E1355" s="67">
        <v>45908</v>
      </c>
      <c r="F1355" s="62">
        <v>1630</v>
      </c>
      <c r="G1355" s="62">
        <v>1580</v>
      </c>
      <c r="H1355" s="62">
        <v>1515</v>
      </c>
      <c r="I1355" s="60">
        <f t="shared" si="164"/>
        <v>1.943419434194342</v>
      </c>
      <c r="J1355" s="60">
        <f t="shared" si="165"/>
        <v>-65</v>
      </c>
      <c r="K1355" s="60">
        <f t="shared" si="166"/>
        <v>1.8634686346863469</v>
      </c>
      <c r="L1355" s="60">
        <f t="shared" si="167"/>
        <v>-7.9950799507995107E-2</v>
      </c>
    </row>
    <row r="1356" spans="1:12" x14ac:dyDescent="0.25">
      <c r="A1356" s="61">
        <v>2301</v>
      </c>
      <c r="B1356" s="61" t="s">
        <v>65</v>
      </c>
      <c r="C1356" s="57">
        <v>813</v>
      </c>
      <c r="D1356" s="57" t="s">
        <v>49</v>
      </c>
      <c r="E1356" s="67">
        <v>45912</v>
      </c>
      <c r="F1356" s="62">
        <v>1630</v>
      </c>
      <c r="G1356" s="62">
        <v>1420</v>
      </c>
      <c r="H1356" s="62">
        <v>1483</v>
      </c>
      <c r="I1356" s="60">
        <f t="shared" si="164"/>
        <v>1.7466174661746618</v>
      </c>
      <c r="J1356" s="60">
        <f t="shared" si="165"/>
        <v>63</v>
      </c>
      <c r="K1356" s="60">
        <f t="shared" si="166"/>
        <v>1.8241082410824108</v>
      </c>
      <c r="L1356" s="60">
        <f t="shared" si="167"/>
        <v>7.7490774907748916E-2</v>
      </c>
    </row>
    <row r="1357" spans="1:12" x14ac:dyDescent="0.25">
      <c r="A1357" s="61">
        <v>4108</v>
      </c>
      <c r="B1357" s="61" t="s">
        <v>57</v>
      </c>
      <c r="C1357" s="57">
        <v>700</v>
      </c>
      <c r="D1357" s="57" t="s">
        <v>352</v>
      </c>
      <c r="E1357" s="67">
        <v>45910</v>
      </c>
      <c r="F1357" s="62">
        <v>1565</v>
      </c>
      <c r="G1357" s="62">
        <v>1550</v>
      </c>
      <c r="H1357" s="62">
        <v>1550</v>
      </c>
      <c r="I1357" s="60">
        <f t="shared" si="164"/>
        <v>2.2142857142857144</v>
      </c>
      <c r="J1357" s="60">
        <f t="shared" si="165"/>
        <v>0</v>
      </c>
      <c r="K1357" s="60">
        <f t="shared" si="166"/>
        <v>2.2142857142857144</v>
      </c>
      <c r="L1357" s="60">
        <f t="shared" si="167"/>
        <v>0</v>
      </c>
    </row>
    <row r="1358" spans="1:12" x14ac:dyDescent="0.25">
      <c r="A1358" s="61">
        <v>4310</v>
      </c>
      <c r="B1358" s="61" t="s">
        <v>59</v>
      </c>
      <c r="C1358" s="57">
        <v>1115</v>
      </c>
      <c r="D1358" s="57" t="s">
        <v>352</v>
      </c>
      <c r="E1358" s="67">
        <v>45909</v>
      </c>
      <c r="F1358" s="62">
        <v>2185</v>
      </c>
      <c r="G1358" s="62">
        <v>2126</v>
      </c>
      <c r="H1358" s="62">
        <v>2126</v>
      </c>
      <c r="I1358" s="60">
        <f t="shared" si="164"/>
        <v>1.9067264573991032</v>
      </c>
      <c r="J1358" s="60">
        <f t="shared" si="165"/>
        <v>0</v>
      </c>
      <c r="K1358" s="60">
        <f t="shared" si="166"/>
        <v>1.9067264573991032</v>
      </c>
      <c r="L1358" s="60">
        <f t="shared" si="167"/>
        <v>0</v>
      </c>
    </row>
    <row r="1359" spans="1:12" x14ac:dyDescent="0.25">
      <c r="A1359" s="61">
        <v>2152</v>
      </c>
      <c r="B1359" s="61" t="s">
        <v>86</v>
      </c>
      <c r="C1359" s="57">
        <v>810</v>
      </c>
      <c r="D1359" s="57" t="s">
        <v>49</v>
      </c>
      <c r="E1359" s="67">
        <v>45918</v>
      </c>
      <c r="F1359" s="62">
        <v>1630</v>
      </c>
      <c r="G1359" s="62">
        <v>1530</v>
      </c>
      <c r="H1359" s="62">
        <v>1565</v>
      </c>
      <c r="I1359" s="60">
        <f t="shared" si="164"/>
        <v>1.8888888888888888</v>
      </c>
      <c r="J1359" s="60">
        <f t="shared" si="165"/>
        <v>35</v>
      </c>
      <c r="K1359" s="60">
        <f t="shared" si="166"/>
        <v>1.9320987654320987</v>
      </c>
      <c r="L1359" s="60">
        <f t="shared" si="167"/>
        <v>4.3209876543209846E-2</v>
      </c>
    </row>
    <row r="1360" spans="1:12" x14ac:dyDescent="0.25">
      <c r="A1360" s="61">
        <v>2143</v>
      </c>
      <c r="B1360" s="61" t="s">
        <v>48</v>
      </c>
      <c r="C1360" s="57">
        <v>806</v>
      </c>
      <c r="D1360" s="57" t="s">
        <v>352</v>
      </c>
      <c r="E1360" s="67">
        <v>45917</v>
      </c>
      <c r="F1360" s="62">
        <v>1670</v>
      </c>
      <c r="G1360" s="62">
        <v>1425</v>
      </c>
      <c r="H1360" s="62">
        <v>1445</v>
      </c>
      <c r="I1360" s="60">
        <f t="shared" si="164"/>
        <v>1.7679900744416874</v>
      </c>
      <c r="J1360" s="60">
        <f t="shared" si="165"/>
        <v>20</v>
      </c>
      <c r="K1360" s="60">
        <f t="shared" si="166"/>
        <v>1.7928039702233252</v>
      </c>
      <c r="L1360" s="60">
        <f t="shared" si="167"/>
        <v>2.4813895781637729E-2</v>
      </c>
    </row>
    <row r="1361" spans="1:12" x14ac:dyDescent="0.25">
      <c r="A1361" s="61">
        <v>2249</v>
      </c>
      <c r="B1361" s="61" t="s">
        <v>86</v>
      </c>
      <c r="C1361" s="57">
        <v>810</v>
      </c>
      <c r="D1361" s="57" t="s">
        <v>352</v>
      </c>
      <c r="E1361" s="67">
        <v>45916</v>
      </c>
      <c r="F1361" s="62">
        <v>1605</v>
      </c>
      <c r="G1361" s="62">
        <v>1425</v>
      </c>
      <c r="H1361" s="62">
        <v>1464</v>
      </c>
      <c r="I1361" s="60">
        <f t="shared" si="164"/>
        <v>1.7592592592592593</v>
      </c>
      <c r="J1361" s="60">
        <f t="shared" si="165"/>
        <v>39</v>
      </c>
      <c r="K1361" s="60">
        <f t="shared" si="166"/>
        <v>1.8074074074074074</v>
      </c>
      <c r="L1361" s="60">
        <f t="shared" si="167"/>
        <v>4.8148148148148051E-2</v>
      </c>
    </row>
    <row r="1362" spans="1:12" x14ac:dyDescent="0.25">
      <c r="A1362" s="61">
        <v>4104</v>
      </c>
      <c r="B1362" s="61" t="s">
        <v>48</v>
      </c>
      <c r="C1362" s="57">
        <v>806</v>
      </c>
      <c r="D1362" s="57" t="s">
        <v>352</v>
      </c>
      <c r="E1362" s="67">
        <v>45918</v>
      </c>
      <c r="F1362" s="62">
        <v>1670</v>
      </c>
      <c r="G1362" s="62">
        <v>1574</v>
      </c>
      <c r="H1362" s="62">
        <v>1600</v>
      </c>
      <c r="I1362" s="60">
        <f t="shared" ref="I1362:I1373" si="168">G1362/C1362</f>
        <v>1.9528535980148884</v>
      </c>
      <c r="J1362" s="60">
        <f t="shared" ref="J1362:J1373" si="169">SUM(H1362-G1362)</f>
        <v>26</v>
      </c>
      <c r="K1362" s="60">
        <f t="shared" ref="K1362:K1373" si="170">H1362/C1362</f>
        <v>1.9851116625310175</v>
      </c>
      <c r="L1362" s="60">
        <f t="shared" ref="L1362:L1373" si="171">K1362-I1362</f>
        <v>3.2258064516129004E-2</v>
      </c>
    </row>
    <row r="1363" spans="1:12" x14ac:dyDescent="0.25">
      <c r="A1363" s="61">
        <v>5109</v>
      </c>
      <c r="B1363" s="61" t="s">
        <v>57</v>
      </c>
      <c r="C1363" s="57">
        <v>700</v>
      </c>
      <c r="D1363" s="57" t="s">
        <v>352</v>
      </c>
      <c r="E1363" s="67">
        <v>45915</v>
      </c>
      <c r="F1363" s="62">
        <v>1565</v>
      </c>
      <c r="G1363" s="62">
        <v>1445</v>
      </c>
      <c r="H1363" s="62">
        <v>1466</v>
      </c>
      <c r="I1363" s="60">
        <f t="shared" si="168"/>
        <v>2.0642857142857145</v>
      </c>
      <c r="J1363" s="60">
        <f t="shared" si="169"/>
        <v>21</v>
      </c>
      <c r="K1363" s="60">
        <f t="shared" si="170"/>
        <v>2.0942857142857143</v>
      </c>
      <c r="L1363" s="60">
        <f t="shared" si="171"/>
        <v>2.9999999999999805E-2</v>
      </c>
    </row>
    <row r="1364" spans="1:12" x14ac:dyDescent="0.25">
      <c r="A1364" s="61">
        <v>2230</v>
      </c>
      <c r="B1364" s="61" t="s">
        <v>48</v>
      </c>
      <c r="C1364" s="57">
        <v>806</v>
      </c>
      <c r="D1364" s="57" t="s">
        <v>49</v>
      </c>
      <c r="E1364" s="67">
        <v>45933</v>
      </c>
      <c r="F1364" s="62">
        <v>1670</v>
      </c>
      <c r="G1364" s="62">
        <v>1430</v>
      </c>
      <c r="H1364" s="62">
        <v>1505</v>
      </c>
      <c r="I1364" s="60">
        <f t="shared" si="168"/>
        <v>1.7741935483870968</v>
      </c>
      <c r="J1364" s="60">
        <f t="shared" si="169"/>
        <v>75</v>
      </c>
      <c r="K1364" s="60">
        <f t="shared" si="170"/>
        <v>1.8672456575682381</v>
      </c>
      <c r="L1364" s="60">
        <f t="shared" si="171"/>
        <v>9.3052109181141374E-2</v>
      </c>
    </row>
    <row r="1365" spans="1:12" x14ac:dyDescent="0.25">
      <c r="A1365" s="61">
        <v>2234</v>
      </c>
      <c r="B1365" s="61" t="s">
        <v>86</v>
      </c>
      <c r="C1365" s="57">
        <v>810</v>
      </c>
      <c r="D1365" s="57" t="s">
        <v>49</v>
      </c>
      <c r="E1365" s="67">
        <v>45933</v>
      </c>
      <c r="F1365" s="62">
        <v>1630</v>
      </c>
      <c r="G1365" s="62">
        <v>1545</v>
      </c>
      <c r="H1365" s="62">
        <v>1530</v>
      </c>
      <c r="I1365" s="60">
        <f t="shared" si="168"/>
        <v>1.9074074074074074</v>
      </c>
      <c r="J1365" s="60">
        <f t="shared" si="169"/>
        <v>-15</v>
      </c>
      <c r="K1365" s="60">
        <f t="shared" si="170"/>
        <v>1.8888888888888888</v>
      </c>
      <c r="L1365" s="60">
        <f t="shared" si="171"/>
        <v>-1.8518518518518601E-2</v>
      </c>
    </row>
    <row r="1366" spans="1:12" x14ac:dyDescent="0.25">
      <c r="A1366" s="61">
        <v>2228</v>
      </c>
      <c r="B1366" s="61" t="s">
        <v>74</v>
      </c>
      <c r="C1366" s="57">
        <v>1164</v>
      </c>
      <c r="D1366" s="57" t="s">
        <v>49</v>
      </c>
      <c r="E1366" s="67">
        <v>45930</v>
      </c>
      <c r="F1366" s="62">
        <v>2245</v>
      </c>
      <c r="G1366" s="62">
        <v>2108</v>
      </c>
      <c r="H1366" s="62">
        <v>2005</v>
      </c>
      <c r="I1366" s="60">
        <f t="shared" si="168"/>
        <v>1.8109965635738832</v>
      </c>
      <c r="J1366" s="60">
        <f t="shared" si="169"/>
        <v>-103</v>
      </c>
      <c r="K1366" s="60">
        <f t="shared" si="170"/>
        <v>1.7225085910652922</v>
      </c>
      <c r="L1366" s="60">
        <f t="shared" si="171"/>
        <v>-8.8487972508590973E-2</v>
      </c>
    </row>
    <row r="1367" spans="1:12" x14ac:dyDescent="0.25">
      <c r="A1367" s="61">
        <v>2123</v>
      </c>
      <c r="B1367" s="61" t="s">
        <v>65</v>
      </c>
      <c r="C1367" s="57">
        <v>813</v>
      </c>
      <c r="D1367" s="57" t="s">
        <v>352</v>
      </c>
      <c r="E1367" s="67">
        <v>45935</v>
      </c>
      <c r="F1367" s="62">
        <v>1630</v>
      </c>
      <c r="G1367" s="62">
        <v>1425</v>
      </c>
      <c r="H1367" s="62">
        <v>1445</v>
      </c>
      <c r="I1367" s="60">
        <f t="shared" si="168"/>
        <v>1.7527675276752768</v>
      </c>
      <c r="J1367" s="60">
        <f t="shared" si="169"/>
        <v>20</v>
      </c>
      <c r="K1367" s="60">
        <f t="shared" si="170"/>
        <v>1.7773677736777367</v>
      </c>
      <c r="L1367" s="60">
        <f t="shared" si="171"/>
        <v>2.4600246002459913E-2</v>
      </c>
    </row>
    <row r="1368" spans="1:12" x14ac:dyDescent="0.25">
      <c r="A1368" s="61">
        <v>2320</v>
      </c>
      <c r="B1368" s="61" t="s">
        <v>59</v>
      </c>
      <c r="C1368" s="57">
        <v>1115</v>
      </c>
      <c r="D1368" s="57" t="s">
        <v>352</v>
      </c>
      <c r="E1368" s="67">
        <v>45927</v>
      </c>
      <c r="F1368" s="62">
        <v>2185</v>
      </c>
      <c r="G1368" s="62">
        <v>1820</v>
      </c>
      <c r="H1368" s="62">
        <v>1876</v>
      </c>
      <c r="I1368" s="60">
        <f t="shared" si="168"/>
        <v>1.6322869955156951</v>
      </c>
      <c r="J1368" s="60">
        <f t="shared" si="169"/>
        <v>56</v>
      </c>
      <c r="K1368" s="60">
        <f t="shared" si="170"/>
        <v>1.6825112107623319</v>
      </c>
      <c r="L1368" s="60">
        <f t="shared" si="171"/>
        <v>5.0224215246636783E-2</v>
      </c>
    </row>
    <row r="1369" spans="1:12" x14ac:dyDescent="0.25">
      <c r="A1369" s="61">
        <v>2202</v>
      </c>
      <c r="B1369" s="61" t="s">
        <v>86</v>
      </c>
      <c r="C1369" s="57">
        <v>810</v>
      </c>
      <c r="D1369" s="57" t="s">
        <v>352</v>
      </c>
      <c r="E1369" s="67">
        <v>45931</v>
      </c>
      <c r="F1369" s="62">
        <v>1650</v>
      </c>
      <c r="G1369" s="62">
        <v>1460</v>
      </c>
      <c r="H1369" s="62">
        <v>1499</v>
      </c>
      <c r="I1369" s="60">
        <f t="shared" si="168"/>
        <v>1.8024691358024691</v>
      </c>
      <c r="J1369" s="60">
        <f t="shared" si="169"/>
        <v>39</v>
      </c>
      <c r="K1369" s="60">
        <f t="shared" si="170"/>
        <v>1.8506172839506172</v>
      </c>
      <c r="L1369" s="60">
        <f t="shared" si="171"/>
        <v>4.8148148148148051E-2</v>
      </c>
    </row>
    <row r="1370" spans="1:12" x14ac:dyDescent="0.25">
      <c r="A1370" s="61">
        <v>2340</v>
      </c>
      <c r="B1370" s="61" t="s">
        <v>86</v>
      </c>
      <c r="C1370" s="57">
        <v>810</v>
      </c>
      <c r="D1370" s="57" t="s">
        <v>352</v>
      </c>
      <c r="E1370" s="67">
        <v>45930</v>
      </c>
      <c r="F1370" s="62">
        <v>1630</v>
      </c>
      <c r="G1370" s="62">
        <v>1490</v>
      </c>
      <c r="H1370" s="62">
        <v>1530</v>
      </c>
      <c r="I1370" s="60">
        <f t="shared" si="168"/>
        <v>1.8395061728395061</v>
      </c>
      <c r="J1370" s="60">
        <f t="shared" si="169"/>
        <v>40</v>
      </c>
      <c r="K1370" s="60">
        <f t="shared" si="170"/>
        <v>1.8888888888888888</v>
      </c>
      <c r="L1370" s="60">
        <f t="shared" si="171"/>
        <v>4.9382716049382713E-2</v>
      </c>
    </row>
    <row r="1371" spans="1:12" x14ac:dyDescent="0.25">
      <c r="A1371" s="61">
        <v>2346</v>
      </c>
      <c r="B1371" s="61" t="s">
        <v>74</v>
      </c>
      <c r="C1371" s="57">
        <v>1164</v>
      </c>
      <c r="D1371" s="57" t="s">
        <v>352</v>
      </c>
      <c r="E1371" s="67">
        <v>45931</v>
      </c>
      <c r="F1371" s="62">
        <v>2270</v>
      </c>
      <c r="G1371" s="62">
        <v>1880</v>
      </c>
      <c r="H1371" s="62">
        <v>1936</v>
      </c>
      <c r="I1371" s="60">
        <f t="shared" si="168"/>
        <v>1.6151202749140894</v>
      </c>
      <c r="J1371" s="60">
        <f t="shared" si="169"/>
        <v>56</v>
      </c>
      <c r="K1371" s="60">
        <f t="shared" si="170"/>
        <v>1.6632302405498283</v>
      </c>
      <c r="L1371" s="60">
        <f t="shared" si="171"/>
        <v>4.8109965635738883E-2</v>
      </c>
    </row>
    <row r="1372" spans="1:12" x14ac:dyDescent="0.25">
      <c r="A1372" s="61">
        <v>4113</v>
      </c>
      <c r="B1372" s="61" t="s">
        <v>145</v>
      </c>
      <c r="C1372" s="57">
        <v>1146</v>
      </c>
      <c r="D1372" s="57" t="s">
        <v>352</v>
      </c>
      <c r="E1372" s="67">
        <v>45929</v>
      </c>
      <c r="F1372" s="62">
        <v>2230</v>
      </c>
      <c r="G1372" s="62">
        <v>1865</v>
      </c>
      <c r="H1372" s="62">
        <v>1902</v>
      </c>
      <c r="I1372" s="60">
        <f t="shared" si="168"/>
        <v>1.6273996509598603</v>
      </c>
      <c r="J1372" s="60">
        <f t="shared" si="169"/>
        <v>37</v>
      </c>
      <c r="K1372" s="60">
        <f t="shared" si="170"/>
        <v>1.6596858638743455</v>
      </c>
      <c r="L1372" s="60">
        <f t="shared" si="171"/>
        <v>3.2286212914485191E-2</v>
      </c>
    </row>
    <row r="1373" spans="1:12" x14ac:dyDescent="0.25">
      <c r="A1373" s="61">
        <v>2266</v>
      </c>
      <c r="B1373" s="61" t="s">
        <v>82</v>
      </c>
      <c r="C1373" s="57">
        <v>1112</v>
      </c>
      <c r="D1373" s="57" t="s">
        <v>49</v>
      </c>
      <c r="E1373" s="67">
        <v>45939</v>
      </c>
      <c r="F1373" s="62">
        <v>2195</v>
      </c>
      <c r="G1373" s="62">
        <v>1955</v>
      </c>
      <c r="H1373" s="62">
        <v>1885</v>
      </c>
      <c r="I1373" s="60">
        <f t="shared" si="168"/>
        <v>1.7580935251798562</v>
      </c>
      <c r="J1373" s="60">
        <f t="shared" si="169"/>
        <v>-70</v>
      </c>
      <c r="K1373" s="60">
        <f t="shared" si="170"/>
        <v>1.6951438848920863</v>
      </c>
      <c r="L1373" s="60">
        <f t="shared" si="171"/>
        <v>-6.2949640287769837E-2</v>
      </c>
    </row>
    <row r="1374" spans="1:12" x14ac:dyDescent="0.25">
      <c r="A1374" s="61">
        <v>4302</v>
      </c>
      <c r="B1374" s="61" t="s">
        <v>151</v>
      </c>
      <c r="C1374" s="57">
        <v>1141</v>
      </c>
      <c r="D1374" s="57" t="s">
        <v>352</v>
      </c>
      <c r="E1374" s="67">
        <v>45937</v>
      </c>
      <c r="F1374" s="62">
        <v>2200</v>
      </c>
      <c r="G1374" s="62">
        <v>2154</v>
      </c>
      <c r="H1374" s="62">
        <v>2183</v>
      </c>
      <c r="I1374" s="60">
        <f t="shared" ref="I1374:I1416" si="172">G1374/C1374</f>
        <v>1.8878177037686241</v>
      </c>
      <c r="J1374" s="60">
        <f t="shared" ref="J1374:J1416" si="173">SUM(H1374-G1374)</f>
        <v>29</v>
      </c>
      <c r="K1374" s="60">
        <f t="shared" ref="K1374:K1416" si="174">H1374/C1374</f>
        <v>1.913234005258545</v>
      </c>
      <c r="L1374" s="60">
        <f t="shared" ref="L1374:L1416" si="175">K1374-I1374</f>
        <v>2.5416301489920912E-2</v>
      </c>
    </row>
    <row r="1375" spans="1:12" x14ac:dyDescent="0.25">
      <c r="A1375" s="61">
        <v>5110</v>
      </c>
      <c r="B1375" s="61" t="s">
        <v>153</v>
      </c>
      <c r="C1375" s="57">
        <v>696</v>
      </c>
      <c r="D1375" s="57" t="s">
        <v>352</v>
      </c>
      <c r="E1375" s="67">
        <v>45939</v>
      </c>
      <c r="F1375" s="62">
        <v>1530</v>
      </c>
      <c r="G1375" s="62">
        <v>1550</v>
      </c>
      <c r="H1375" s="62">
        <v>1550</v>
      </c>
      <c r="I1375" s="60">
        <f t="shared" si="172"/>
        <v>2.2270114942528734</v>
      </c>
      <c r="J1375" s="60">
        <f t="shared" si="173"/>
        <v>0</v>
      </c>
      <c r="K1375" s="60">
        <f t="shared" si="174"/>
        <v>2.2270114942528734</v>
      </c>
      <c r="L1375" s="60">
        <f t="shared" si="175"/>
        <v>0</v>
      </c>
    </row>
    <row r="1376" spans="1:12" x14ac:dyDescent="0.25">
      <c r="A1376" s="61">
        <v>2242</v>
      </c>
      <c r="B1376" s="61" t="s">
        <v>74</v>
      </c>
      <c r="C1376" s="57">
        <v>1164</v>
      </c>
      <c r="D1376" s="57" t="s">
        <v>352</v>
      </c>
      <c r="E1376" s="67">
        <v>45945</v>
      </c>
      <c r="F1376" s="62">
        <v>2270</v>
      </c>
      <c r="G1376" s="62">
        <v>2150</v>
      </c>
      <c r="H1376" s="62">
        <v>2185</v>
      </c>
      <c r="I1376" s="60">
        <f t="shared" si="172"/>
        <v>1.8470790378006874</v>
      </c>
      <c r="J1376" s="60">
        <f t="shared" si="173"/>
        <v>35</v>
      </c>
      <c r="K1376" s="60">
        <f t="shared" si="174"/>
        <v>1.877147766323024</v>
      </c>
      <c r="L1376" s="60">
        <f t="shared" si="175"/>
        <v>3.0068728522336663E-2</v>
      </c>
    </row>
    <row r="1377" spans="1:12" x14ac:dyDescent="0.25">
      <c r="A1377" s="61">
        <v>2358</v>
      </c>
      <c r="B1377" s="61" t="s">
        <v>82</v>
      </c>
      <c r="C1377" s="57">
        <v>1112</v>
      </c>
      <c r="D1377" s="57" t="s">
        <v>352</v>
      </c>
      <c r="E1377" s="67">
        <v>45949</v>
      </c>
      <c r="F1377" s="62">
        <v>2175</v>
      </c>
      <c r="G1377" s="62">
        <v>1984</v>
      </c>
      <c r="H1377" s="62">
        <v>1984</v>
      </c>
      <c r="I1377" s="60">
        <f t="shared" si="172"/>
        <v>1.7841726618705036</v>
      </c>
      <c r="J1377" s="60">
        <f t="shared" si="173"/>
        <v>0</v>
      </c>
      <c r="K1377" s="60">
        <f t="shared" si="174"/>
        <v>1.7841726618705036</v>
      </c>
      <c r="L1377" s="60">
        <f t="shared" si="175"/>
        <v>0</v>
      </c>
    </row>
    <row r="1378" spans="1:12" x14ac:dyDescent="0.25">
      <c r="A1378" s="61">
        <v>2306</v>
      </c>
      <c r="B1378" s="61" t="s">
        <v>51</v>
      </c>
      <c r="C1378" s="57">
        <v>848</v>
      </c>
      <c r="D1378" s="57" t="s">
        <v>352</v>
      </c>
      <c r="E1378" s="67">
        <v>45952</v>
      </c>
      <c r="F1378" s="62">
        <v>1815</v>
      </c>
      <c r="G1378" s="62">
        <v>1765</v>
      </c>
      <c r="H1378" s="62">
        <v>1794</v>
      </c>
      <c r="I1378" s="60">
        <f t="shared" si="172"/>
        <v>2.0813679245283021</v>
      </c>
      <c r="J1378" s="60">
        <f t="shared" si="173"/>
        <v>29</v>
      </c>
      <c r="K1378" s="60">
        <f t="shared" si="174"/>
        <v>2.1155660377358489</v>
      </c>
      <c r="L1378" s="60">
        <f t="shared" si="175"/>
        <v>3.4198113207546843E-2</v>
      </c>
    </row>
    <row r="1379" spans="1:12" x14ac:dyDescent="0.25">
      <c r="A1379" s="61">
        <v>4208</v>
      </c>
      <c r="B1379" s="61" t="s">
        <v>57</v>
      </c>
      <c r="C1379" s="57">
        <v>700</v>
      </c>
      <c r="D1379" s="57" t="s">
        <v>352</v>
      </c>
      <c r="E1379" s="67">
        <v>45951</v>
      </c>
      <c r="F1379" s="62">
        <v>1565</v>
      </c>
      <c r="G1379" s="62">
        <v>1400</v>
      </c>
      <c r="H1379" s="62">
        <v>1444</v>
      </c>
      <c r="I1379" s="60">
        <f t="shared" si="172"/>
        <v>2</v>
      </c>
      <c r="J1379" s="60">
        <f t="shared" si="173"/>
        <v>44</v>
      </c>
      <c r="K1379" s="60">
        <f t="shared" si="174"/>
        <v>2.0628571428571427</v>
      </c>
      <c r="L1379" s="60">
        <f t="shared" si="175"/>
        <v>6.2857142857142723E-2</v>
      </c>
    </row>
    <row r="1380" spans="1:12" x14ac:dyDescent="0.25">
      <c r="A1380" s="61">
        <v>5205</v>
      </c>
      <c r="B1380" s="61" t="s">
        <v>57</v>
      </c>
      <c r="C1380" s="57">
        <v>700</v>
      </c>
      <c r="D1380" s="57" t="s">
        <v>352</v>
      </c>
      <c r="E1380" s="67">
        <v>45951</v>
      </c>
      <c r="F1380" s="62">
        <v>1565</v>
      </c>
      <c r="G1380" s="62">
        <v>1390</v>
      </c>
      <c r="H1380" s="62">
        <v>1414</v>
      </c>
      <c r="I1380" s="60">
        <f t="shared" si="172"/>
        <v>1.9857142857142858</v>
      </c>
      <c r="J1380" s="60">
        <f t="shared" si="173"/>
        <v>24</v>
      </c>
      <c r="K1380" s="60">
        <f t="shared" si="174"/>
        <v>2.02</v>
      </c>
      <c r="L1380" s="60">
        <f t="shared" si="175"/>
        <v>3.4285714285714253E-2</v>
      </c>
    </row>
    <row r="1381" spans="1:12" x14ac:dyDescent="0.25">
      <c r="A1381" s="61">
        <v>2310</v>
      </c>
      <c r="B1381" s="61" t="s">
        <v>57</v>
      </c>
      <c r="C1381" s="57">
        <v>700</v>
      </c>
      <c r="D1381" s="57" t="s">
        <v>49</v>
      </c>
      <c r="E1381" s="67">
        <v>45960</v>
      </c>
      <c r="F1381" s="62">
        <v>1610</v>
      </c>
      <c r="G1381" s="62">
        <v>1550</v>
      </c>
      <c r="H1381" s="62">
        <v>1405</v>
      </c>
      <c r="I1381" s="60">
        <f t="shared" si="172"/>
        <v>2.2142857142857144</v>
      </c>
      <c r="J1381" s="60">
        <f t="shared" si="173"/>
        <v>-145</v>
      </c>
      <c r="K1381" s="60">
        <f t="shared" si="174"/>
        <v>2.0071428571428571</v>
      </c>
      <c r="L1381" s="60">
        <f t="shared" si="175"/>
        <v>-0.2071428571428573</v>
      </c>
    </row>
    <row r="1382" spans="1:12" x14ac:dyDescent="0.25">
      <c r="A1382" s="61">
        <v>2213</v>
      </c>
      <c r="B1382" s="61" t="s">
        <v>59</v>
      </c>
      <c r="C1382" s="57">
        <v>1115</v>
      </c>
      <c r="D1382" s="57" t="s">
        <v>49</v>
      </c>
      <c r="E1382" s="67">
        <v>45961</v>
      </c>
      <c r="F1382" s="62">
        <v>2185</v>
      </c>
      <c r="G1382" s="62">
        <v>1695</v>
      </c>
      <c r="H1382" s="62">
        <v>1755</v>
      </c>
      <c r="I1382" s="60">
        <f t="shared" si="172"/>
        <v>1.5201793721973094</v>
      </c>
      <c r="J1382" s="60">
        <f t="shared" si="173"/>
        <v>60</v>
      </c>
      <c r="K1382" s="60">
        <f t="shared" si="174"/>
        <v>1.5739910313901346</v>
      </c>
      <c r="L1382" s="60">
        <f t="shared" si="175"/>
        <v>5.3811659192825267E-2</v>
      </c>
    </row>
    <row r="1383" spans="1:12" x14ac:dyDescent="0.25">
      <c r="A1383" s="61">
        <v>4105</v>
      </c>
      <c r="B1383" s="61" t="s">
        <v>61</v>
      </c>
      <c r="C1383" s="57">
        <v>820</v>
      </c>
      <c r="D1383" s="57" t="s">
        <v>49</v>
      </c>
      <c r="E1383" s="67">
        <v>45961</v>
      </c>
      <c r="F1383" s="62">
        <v>1705</v>
      </c>
      <c r="G1383" s="62">
        <v>1720</v>
      </c>
      <c r="H1383" s="62">
        <v>1605</v>
      </c>
      <c r="I1383" s="60">
        <f t="shared" si="172"/>
        <v>2.0975609756097562</v>
      </c>
      <c r="J1383" s="60">
        <f t="shared" si="173"/>
        <v>-115</v>
      </c>
      <c r="K1383" s="60">
        <f t="shared" si="174"/>
        <v>1.9573170731707317</v>
      </c>
      <c r="L1383" s="60">
        <f t="shared" si="175"/>
        <v>-0.14024390243902451</v>
      </c>
    </row>
    <row r="1384" spans="1:12" x14ac:dyDescent="0.25">
      <c r="A1384" s="61">
        <v>2118</v>
      </c>
      <c r="B1384" s="61" t="s">
        <v>86</v>
      </c>
      <c r="C1384" s="57">
        <v>810</v>
      </c>
      <c r="D1384" s="57" t="s">
        <v>352</v>
      </c>
      <c r="E1384" s="67">
        <v>45961</v>
      </c>
      <c r="F1384" s="62">
        <v>1555</v>
      </c>
      <c r="G1384" s="62">
        <v>1400</v>
      </c>
      <c r="H1384" s="62">
        <v>1400</v>
      </c>
      <c r="I1384" s="60">
        <f t="shared" si="172"/>
        <v>1.728395061728395</v>
      </c>
      <c r="J1384" s="60">
        <f t="shared" si="173"/>
        <v>0</v>
      </c>
      <c r="K1384" s="60">
        <f t="shared" si="174"/>
        <v>1.728395061728395</v>
      </c>
      <c r="L1384" s="60">
        <f t="shared" si="175"/>
        <v>0</v>
      </c>
    </row>
    <row r="1385" spans="1:12" x14ac:dyDescent="0.25">
      <c r="A1385" s="61">
        <v>2149</v>
      </c>
      <c r="B1385" s="61" t="s">
        <v>86</v>
      </c>
      <c r="C1385" s="57">
        <v>810</v>
      </c>
      <c r="D1385" s="57" t="s">
        <v>352</v>
      </c>
      <c r="E1385" s="67">
        <v>45961</v>
      </c>
      <c r="F1385" s="62">
        <v>1605</v>
      </c>
      <c r="G1385" s="62">
        <v>1700</v>
      </c>
      <c r="H1385" s="62">
        <v>1700</v>
      </c>
      <c r="I1385" s="60">
        <f t="shared" si="172"/>
        <v>2.0987654320987654</v>
      </c>
      <c r="J1385" s="60">
        <f t="shared" si="173"/>
        <v>0</v>
      </c>
      <c r="K1385" s="60">
        <f t="shared" si="174"/>
        <v>2.0987654320987654</v>
      </c>
      <c r="L1385" s="60">
        <f t="shared" si="175"/>
        <v>0</v>
      </c>
    </row>
    <row r="1386" spans="1:12" x14ac:dyDescent="0.25">
      <c r="A1386" s="61">
        <v>2226</v>
      </c>
      <c r="B1386" s="61" t="s">
        <v>74</v>
      </c>
      <c r="C1386" s="57">
        <v>1164</v>
      </c>
      <c r="D1386" s="57" t="s">
        <v>352</v>
      </c>
      <c r="E1386" s="67">
        <v>45959</v>
      </c>
      <c r="F1386" s="62">
        <v>2290</v>
      </c>
      <c r="G1386" s="62">
        <v>1940</v>
      </c>
      <c r="H1386" s="62">
        <v>1978</v>
      </c>
      <c r="I1386" s="60">
        <f t="shared" si="172"/>
        <v>1.6666666666666667</v>
      </c>
      <c r="J1386" s="60">
        <f t="shared" si="173"/>
        <v>38</v>
      </c>
      <c r="K1386" s="60">
        <f t="shared" si="174"/>
        <v>1.6993127147766323</v>
      </c>
      <c r="L1386" s="60">
        <f t="shared" si="175"/>
        <v>3.264604810996552E-2</v>
      </c>
    </row>
    <row r="1387" spans="1:12" x14ac:dyDescent="0.25">
      <c r="A1387" s="61">
        <v>5313</v>
      </c>
      <c r="B1387" s="61" t="s">
        <v>59</v>
      </c>
      <c r="C1387" s="57">
        <v>1115</v>
      </c>
      <c r="D1387" s="57" t="s">
        <v>49</v>
      </c>
      <c r="E1387" s="67">
        <v>45968</v>
      </c>
      <c r="F1387" s="62">
        <v>2185</v>
      </c>
      <c r="G1387" s="62">
        <v>1840</v>
      </c>
      <c r="H1387" s="62">
        <v>1660</v>
      </c>
      <c r="I1387" s="60">
        <f t="shared" si="172"/>
        <v>1.6502242152466369</v>
      </c>
      <c r="J1387" s="60">
        <f t="shared" si="173"/>
        <v>-180</v>
      </c>
      <c r="K1387" s="60">
        <f t="shared" si="174"/>
        <v>1.4887892376681615</v>
      </c>
      <c r="L1387" s="60">
        <f t="shared" si="175"/>
        <v>-0.16143497757847536</v>
      </c>
    </row>
    <row r="1388" spans="1:12" x14ac:dyDescent="0.25">
      <c r="A1388" s="61">
        <v>2157</v>
      </c>
      <c r="B1388" s="61" t="s">
        <v>65</v>
      </c>
      <c r="C1388" s="57">
        <v>813</v>
      </c>
      <c r="D1388" s="57" t="s">
        <v>352</v>
      </c>
      <c r="E1388" s="67">
        <v>45966</v>
      </c>
      <c r="F1388" s="62">
        <v>1630</v>
      </c>
      <c r="G1388" s="62">
        <v>1675</v>
      </c>
      <c r="H1388" s="62">
        <v>1675</v>
      </c>
      <c r="I1388" s="60">
        <f t="shared" si="172"/>
        <v>2.0602706027060269</v>
      </c>
      <c r="J1388" s="60">
        <f t="shared" si="173"/>
        <v>0</v>
      </c>
      <c r="K1388" s="60">
        <f t="shared" si="174"/>
        <v>2.0602706027060269</v>
      </c>
      <c r="L1388" s="60">
        <f t="shared" si="175"/>
        <v>0</v>
      </c>
    </row>
    <row r="1389" spans="1:12" x14ac:dyDescent="0.25">
      <c r="A1389" s="61">
        <v>5315</v>
      </c>
      <c r="B1389" s="61" t="s">
        <v>151</v>
      </c>
      <c r="C1389" s="57">
        <v>1141</v>
      </c>
      <c r="D1389" s="57" t="s">
        <v>352</v>
      </c>
      <c r="E1389" s="67">
        <v>45968</v>
      </c>
      <c r="F1389" s="62">
        <v>2200</v>
      </c>
      <c r="G1389" s="62">
        <v>2293</v>
      </c>
      <c r="H1389" s="62">
        <v>2293</v>
      </c>
      <c r="I1389" s="60">
        <f t="shared" si="172"/>
        <v>2.009640666082384</v>
      </c>
      <c r="J1389" s="60">
        <f t="shared" si="173"/>
        <v>0</v>
      </c>
      <c r="K1389" s="60">
        <f t="shared" si="174"/>
        <v>2.009640666082384</v>
      </c>
      <c r="L1389" s="60">
        <f t="shared" si="175"/>
        <v>0</v>
      </c>
    </row>
    <row r="1390" spans="1:12" x14ac:dyDescent="0.25">
      <c r="A1390" s="61">
        <v>2326</v>
      </c>
      <c r="B1390" s="61" t="s">
        <v>74</v>
      </c>
      <c r="C1390" s="57">
        <v>1164</v>
      </c>
      <c r="D1390" s="57" t="s">
        <v>49</v>
      </c>
      <c r="E1390" s="67">
        <v>45971</v>
      </c>
      <c r="F1390" s="62">
        <v>2290</v>
      </c>
      <c r="G1390" s="62">
        <v>2092</v>
      </c>
      <c r="H1390" s="62">
        <v>1765</v>
      </c>
      <c r="I1390" s="60">
        <f t="shared" si="172"/>
        <v>1.7972508591065293</v>
      </c>
      <c r="J1390" s="60">
        <f t="shared" si="173"/>
        <v>-327</v>
      </c>
      <c r="K1390" s="60">
        <f t="shared" si="174"/>
        <v>1.5163230240549828</v>
      </c>
      <c r="L1390" s="60">
        <f t="shared" si="175"/>
        <v>-0.2809278350515465</v>
      </c>
    </row>
    <row r="1391" spans="1:12" x14ac:dyDescent="0.25">
      <c r="A1391" s="61">
        <v>2361</v>
      </c>
      <c r="B1391" s="61" t="s">
        <v>57</v>
      </c>
      <c r="C1391" s="57">
        <v>700</v>
      </c>
      <c r="D1391" s="57" t="s">
        <v>49</v>
      </c>
      <c r="E1391" s="67">
        <v>45974</v>
      </c>
      <c r="F1391" s="62">
        <v>1565</v>
      </c>
      <c r="G1391" s="62">
        <v>1545</v>
      </c>
      <c r="H1391" s="62">
        <v>1395</v>
      </c>
      <c r="I1391" s="60">
        <f t="shared" si="172"/>
        <v>2.2071428571428573</v>
      </c>
      <c r="J1391" s="60">
        <f t="shared" si="173"/>
        <v>-150</v>
      </c>
      <c r="K1391" s="60">
        <f t="shared" si="174"/>
        <v>1.9928571428571429</v>
      </c>
      <c r="L1391" s="60">
        <f t="shared" si="175"/>
        <v>-0.21428571428571441</v>
      </c>
    </row>
    <row r="1392" spans="1:12" x14ac:dyDescent="0.25">
      <c r="A1392" s="61">
        <v>4112</v>
      </c>
      <c r="B1392" s="61" t="s">
        <v>74</v>
      </c>
      <c r="C1392" s="57">
        <v>1164</v>
      </c>
      <c r="D1392" s="57" t="s">
        <v>49</v>
      </c>
      <c r="E1392" s="67">
        <v>45974</v>
      </c>
      <c r="F1392" s="62">
        <v>2200</v>
      </c>
      <c r="G1392" s="62">
        <v>2576</v>
      </c>
      <c r="H1392" s="62">
        <v>1800</v>
      </c>
      <c r="I1392" s="60">
        <f t="shared" si="172"/>
        <v>2.2130584192439864</v>
      </c>
      <c r="J1392" s="60">
        <f t="shared" si="173"/>
        <v>-776</v>
      </c>
      <c r="K1392" s="60">
        <f t="shared" si="174"/>
        <v>1.5463917525773196</v>
      </c>
      <c r="L1392" s="60">
        <f t="shared" si="175"/>
        <v>-0.66666666666666674</v>
      </c>
    </row>
    <row r="1393" spans="1:12" x14ac:dyDescent="0.25">
      <c r="A1393" s="61">
        <v>2153</v>
      </c>
      <c r="B1393" s="61" t="s">
        <v>153</v>
      </c>
      <c r="C1393" s="57">
        <v>696</v>
      </c>
      <c r="D1393" s="57" t="s">
        <v>352</v>
      </c>
      <c r="E1393" s="67">
        <v>45977</v>
      </c>
      <c r="F1393" s="62">
        <v>1500</v>
      </c>
      <c r="G1393" s="62">
        <v>1455</v>
      </c>
      <c r="H1393" s="62">
        <v>1476</v>
      </c>
      <c r="I1393" s="60">
        <f t="shared" si="172"/>
        <v>2.0905172413793105</v>
      </c>
      <c r="J1393" s="60">
        <f t="shared" si="173"/>
        <v>21</v>
      </c>
      <c r="K1393" s="60">
        <f t="shared" si="174"/>
        <v>2.1206896551724137</v>
      </c>
      <c r="L1393" s="60">
        <f t="shared" si="175"/>
        <v>3.0172413793103203E-2</v>
      </c>
    </row>
    <row r="1394" spans="1:12" x14ac:dyDescent="0.25">
      <c r="A1394" s="61">
        <v>5306</v>
      </c>
      <c r="B1394" s="61" t="s">
        <v>59</v>
      </c>
      <c r="C1394" s="57">
        <v>1115</v>
      </c>
      <c r="D1394" s="57" t="s">
        <v>352</v>
      </c>
      <c r="E1394" s="67">
        <v>45973</v>
      </c>
      <c r="F1394" s="62">
        <v>2215</v>
      </c>
      <c r="G1394" s="62">
        <v>1825</v>
      </c>
      <c r="H1394" s="62">
        <v>1844</v>
      </c>
      <c r="I1394" s="60">
        <f t="shared" si="172"/>
        <v>1.6367713004484306</v>
      </c>
      <c r="J1394" s="60">
        <f t="shared" si="173"/>
        <v>19</v>
      </c>
      <c r="K1394" s="60">
        <f t="shared" si="174"/>
        <v>1.6538116591928251</v>
      </c>
      <c r="L1394" s="60">
        <f t="shared" si="175"/>
        <v>1.7040358744394579E-2</v>
      </c>
    </row>
    <row r="1395" spans="1:12" x14ac:dyDescent="0.25">
      <c r="A1395" s="61">
        <v>5312</v>
      </c>
      <c r="B1395" s="61" t="s">
        <v>59</v>
      </c>
      <c r="C1395" s="57">
        <v>1115</v>
      </c>
      <c r="D1395" s="57" t="s">
        <v>49</v>
      </c>
      <c r="E1395" s="67">
        <v>45971</v>
      </c>
      <c r="F1395" s="62">
        <v>2215</v>
      </c>
      <c r="G1395" s="62">
        <v>2215</v>
      </c>
      <c r="H1395" s="62">
        <v>1765</v>
      </c>
      <c r="I1395" s="60">
        <f t="shared" si="172"/>
        <v>1.9865470852017937</v>
      </c>
      <c r="J1395" s="60">
        <f t="shared" si="173"/>
        <v>-450</v>
      </c>
      <c r="K1395" s="60">
        <f t="shared" si="174"/>
        <v>1.5829596412556053</v>
      </c>
      <c r="L1395" s="60">
        <f t="shared" si="175"/>
        <v>-0.4035874439461884</v>
      </c>
    </row>
    <row r="1396" spans="1:12" x14ac:dyDescent="0.25">
      <c r="A1396" s="61">
        <v>2101</v>
      </c>
      <c r="B1396" s="61" t="s">
        <v>65</v>
      </c>
      <c r="C1396" s="57">
        <v>813</v>
      </c>
      <c r="D1396" s="57" t="s">
        <v>49</v>
      </c>
      <c r="E1396" s="67">
        <v>45987</v>
      </c>
      <c r="F1396" s="62">
        <v>1630</v>
      </c>
      <c r="G1396" s="62">
        <v>1561</v>
      </c>
      <c r="H1396" s="62">
        <v>1565</v>
      </c>
      <c r="I1396" s="60">
        <f t="shared" si="172"/>
        <v>1.9200492004920049</v>
      </c>
      <c r="J1396" s="60">
        <f t="shared" si="173"/>
        <v>4</v>
      </c>
      <c r="K1396" s="60">
        <f t="shared" si="174"/>
        <v>1.9249692496924968</v>
      </c>
      <c r="L1396" s="60">
        <f t="shared" si="175"/>
        <v>4.9200492004919383E-3</v>
      </c>
    </row>
    <row r="1397" spans="1:12" x14ac:dyDescent="0.25">
      <c r="A1397" s="61">
        <v>5314</v>
      </c>
      <c r="B1397" s="61" t="s">
        <v>145</v>
      </c>
      <c r="C1397" s="57">
        <v>1146</v>
      </c>
      <c r="D1397" s="57" t="s">
        <v>49</v>
      </c>
      <c r="E1397" s="67">
        <v>45987</v>
      </c>
      <c r="F1397" s="62">
        <v>2230</v>
      </c>
      <c r="G1397" s="62">
        <v>2035</v>
      </c>
      <c r="H1397" s="62">
        <v>1945</v>
      </c>
      <c r="I1397" s="60">
        <f t="shared" si="172"/>
        <v>1.7757417102966842</v>
      </c>
      <c r="J1397" s="60">
        <f t="shared" si="173"/>
        <v>-90</v>
      </c>
      <c r="K1397" s="60">
        <f t="shared" si="174"/>
        <v>1.6972076788830714</v>
      </c>
      <c r="L1397" s="60">
        <f t="shared" si="175"/>
        <v>-7.8534031413612704E-2</v>
      </c>
    </row>
    <row r="1398" spans="1:12" x14ac:dyDescent="0.25">
      <c r="A1398" s="61">
        <v>2204</v>
      </c>
      <c r="B1398" s="61" t="s">
        <v>355</v>
      </c>
      <c r="C1398" s="57">
        <v>810</v>
      </c>
      <c r="D1398" s="57" t="s">
        <v>352</v>
      </c>
      <c r="E1398" s="67">
        <v>45982</v>
      </c>
      <c r="F1398" s="62">
        <v>1605</v>
      </c>
      <c r="G1398" s="62">
        <v>1691</v>
      </c>
      <c r="H1398" s="62">
        <v>1691</v>
      </c>
      <c r="I1398" s="60">
        <f t="shared" si="172"/>
        <v>2.0876543209876544</v>
      </c>
      <c r="J1398" s="60">
        <f t="shared" si="173"/>
        <v>0</v>
      </c>
      <c r="K1398" s="60">
        <f t="shared" si="174"/>
        <v>2.0876543209876544</v>
      </c>
      <c r="L1398" s="60">
        <f t="shared" si="175"/>
        <v>0</v>
      </c>
    </row>
    <row r="1399" spans="1:12" x14ac:dyDescent="0.25">
      <c r="A1399" s="61">
        <v>2221</v>
      </c>
      <c r="B1399" s="61" t="s">
        <v>65</v>
      </c>
      <c r="C1399" s="57">
        <v>813</v>
      </c>
      <c r="D1399" s="57" t="s">
        <v>352</v>
      </c>
      <c r="E1399" s="67">
        <v>45989</v>
      </c>
      <c r="F1399" s="62">
        <v>1630</v>
      </c>
      <c r="G1399" s="62">
        <v>1650</v>
      </c>
      <c r="H1399" s="62">
        <v>1650</v>
      </c>
      <c r="I1399" s="60">
        <f t="shared" si="172"/>
        <v>2.0295202952029521</v>
      </c>
      <c r="J1399" s="60">
        <f t="shared" si="173"/>
        <v>0</v>
      </c>
      <c r="K1399" s="60">
        <f t="shared" si="174"/>
        <v>2.0295202952029521</v>
      </c>
      <c r="L1399" s="60">
        <f t="shared" si="175"/>
        <v>0</v>
      </c>
    </row>
    <row r="1400" spans="1:12" x14ac:dyDescent="0.25">
      <c r="A1400" s="61">
        <v>2244</v>
      </c>
      <c r="B1400" s="61" t="s">
        <v>57</v>
      </c>
      <c r="C1400" s="57">
        <v>700</v>
      </c>
      <c r="D1400" s="57" t="s">
        <v>352</v>
      </c>
      <c r="E1400" s="67">
        <v>45982</v>
      </c>
      <c r="F1400" s="62">
        <v>1565</v>
      </c>
      <c r="G1400" s="62">
        <v>1395</v>
      </c>
      <c r="H1400" s="62">
        <v>1425</v>
      </c>
      <c r="I1400" s="60">
        <f t="shared" si="172"/>
        <v>1.9928571428571429</v>
      </c>
      <c r="J1400" s="60">
        <f t="shared" si="173"/>
        <v>30</v>
      </c>
      <c r="K1400" s="60">
        <f t="shared" si="174"/>
        <v>2.0357142857142856</v>
      </c>
      <c r="L1400" s="60">
        <f t="shared" si="175"/>
        <v>4.2857142857142705E-2</v>
      </c>
    </row>
    <row r="1401" spans="1:12" x14ac:dyDescent="0.25">
      <c r="A1401" s="61">
        <v>2305</v>
      </c>
      <c r="B1401" s="61" t="s">
        <v>57</v>
      </c>
      <c r="C1401" s="57">
        <v>700</v>
      </c>
      <c r="D1401" s="57" t="s">
        <v>352</v>
      </c>
      <c r="E1401" s="67">
        <v>45991</v>
      </c>
      <c r="F1401" s="62">
        <v>1565</v>
      </c>
      <c r="G1401" s="62">
        <v>1670</v>
      </c>
      <c r="H1401" s="62">
        <v>1670</v>
      </c>
      <c r="I1401" s="60">
        <f t="shared" si="172"/>
        <v>2.3857142857142857</v>
      </c>
      <c r="J1401" s="60">
        <f t="shared" si="173"/>
        <v>0</v>
      </c>
      <c r="K1401" s="60">
        <f t="shared" si="174"/>
        <v>2.3857142857142857</v>
      </c>
      <c r="L1401" s="60">
        <f t="shared" si="175"/>
        <v>0</v>
      </c>
    </row>
    <row r="1402" spans="1:12" x14ac:dyDescent="0.25">
      <c r="A1402" s="61">
        <v>5308</v>
      </c>
      <c r="B1402" s="61" t="s">
        <v>59</v>
      </c>
      <c r="C1402" s="57">
        <v>1115</v>
      </c>
      <c r="D1402" s="57" t="s">
        <v>352</v>
      </c>
      <c r="E1402" s="67">
        <v>45991</v>
      </c>
      <c r="F1402" s="62">
        <v>2215</v>
      </c>
      <c r="G1402" s="62">
        <v>1740</v>
      </c>
      <c r="H1402" s="62">
        <v>1765</v>
      </c>
      <c r="I1402" s="60">
        <f t="shared" si="172"/>
        <v>1.5605381165919283</v>
      </c>
      <c r="J1402" s="60">
        <f t="shared" si="173"/>
        <v>25</v>
      </c>
      <c r="K1402" s="60">
        <f t="shared" si="174"/>
        <v>1.5829596412556053</v>
      </c>
      <c r="L1402" s="60">
        <f t="shared" si="175"/>
        <v>2.2421524663676973E-2</v>
      </c>
    </row>
    <row r="1403" spans="1:12" x14ac:dyDescent="0.25">
      <c r="A1403" s="61">
        <v>2315</v>
      </c>
      <c r="B1403" s="61" t="s">
        <v>61</v>
      </c>
      <c r="C1403" s="57">
        <v>820</v>
      </c>
      <c r="D1403" s="57" t="s">
        <v>49</v>
      </c>
      <c r="E1403" s="67">
        <v>45992</v>
      </c>
      <c r="F1403" s="62">
        <v>1695</v>
      </c>
      <c r="G1403" s="62">
        <v>1874</v>
      </c>
      <c r="H1403" s="62">
        <v>1485</v>
      </c>
      <c r="I1403" s="60">
        <f t="shared" si="172"/>
        <v>2.2853658536585364</v>
      </c>
      <c r="J1403" s="60">
        <f t="shared" si="173"/>
        <v>-389</v>
      </c>
      <c r="K1403" s="60">
        <f t="shared" si="174"/>
        <v>1.8109756097560976</v>
      </c>
      <c r="L1403" s="60">
        <f t="shared" si="175"/>
        <v>-0.47439024390243878</v>
      </c>
    </row>
    <row r="1404" spans="1:12" x14ac:dyDescent="0.25">
      <c r="A1404" s="61">
        <v>2238</v>
      </c>
      <c r="B1404" s="61" t="s">
        <v>355</v>
      </c>
      <c r="C1404" s="57">
        <v>810</v>
      </c>
      <c r="D1404" s="57" t="s">
        <v>49</v>
      </c>
      <c r="E1404" s="67">
        <v>45992</v>
      </c>
      <c r="F1404" s="62">
        <v>1605</v>
      </c>
      <c r="G1404" s="62">
        <v>1715</v>
      </c>
      <c r="H1404" s="62">
        <v>1435</v>
      </c>
      <c r="I1404" s="60">
        <f t="shared" si="172"/>
        <v>2.117283950617284</v>
      </c>
      <c r="J1404" s="60">
        <f t="shared" si="173"/>
        <v>-280</v>
      </c>
      <c r="K1404" s="60">
        <f t="shared" si="174"/>
        <v>1.771604938271605</v>
      </c>
      <c r="L1404" s="60">
        <f t="shared" si="175"/>
        <v>-0.34567901234567899</v>
      </c>
    </row>
    <row r="1405" spans="1:12" x14ac:dyDescent="0.25">
      <c r="A1405" s="61">
        <v>2303</v>
      </c>
      <c r="B1405" s="61" t="s">
        <v>59</v>
      </c>
      <c r="C1405" s="57">
        <v>1115</v>
      </c>
      <c r="D1405" s="57" t="s">
        <v>49</v>
      </c>
      <c r="E1405" s="67">
        <v>45992</v>
      </c>
      <c r="F1405" s="62">
        <v>2185</v>
      </c>
      <c r="G1405" s="62">
        <v>1865</v>
      </c>
      <c r="H1405" s="62">
        <v>1665</v>
      </c>
      <c r="I1405" s="60">
        <f t="shared" si="172"/>
        <v>1.6726457399103138</v>
      </c>
      <c r="J1405" s="60">
        <f t="shared" si="173"/>
        <v>-200</v>
      </c>
      <c r="K1405" s="60">
        <f t="shared" si="174"/>
        <v>1.493273542600897</v>
      </c>
      <c r="L1405" s="60">
        <f t="shared" si="175"/>
        <v>-0.17937219730941689</v>
      </c>
    </row>
    <row r="1406" spans="1:12" x14ac:dyDescent="0.25">
      <c r="A1406" s="61">
        <v>2216</v>
      </c>
      <c r="B1406" s="61" t="s">
        <v>55</v>
      </c>
      <c r="C1406" s="57">
        <v>764</v>
      </c>
      <c r="D1406" s="57" t="s">
        <v>352</v>
      </c>
      <c r="E1406" s="67">
        <v>45995</v>
      </c>
      <c r="F1406" s="62">
        <v>1635</v>
      </c>
      <c r="G1406" s="62">
        <v>1440</v>
      </c>
      <c r="H1406" s="62">
        <v>1465</v>
      </c>
      <c r="I1406" s="60">
        <f t="shared" si="172"/>
        <v>1.8848167539267016</v>
      </c>
      <c r="J1406" s="60">
        <f t="shared" si="173"/>
        <v>25</v>
      </c>
      <c r="K1406" s="60">
        <f t="shared" si="174"/>
        <v>1.9175392670157068</v>
      </c>
      <c r="L1406" s="60">
        <f t="shared" si="175"/>
        <v>3.2722513089005201E-2</v>
      </c>
    </row>
    <row r="1407" spans="1:12" x14ac:dyDescent="0.25">
      <c r="A1407" s="61">
        <v>2237</v>
      </c>
      <c r="B1407" s="61" t="s">
        <v>153</v>
      </c>
      <c r="C1407" s="57">
        <v>696</v>
      </c>
      <c r="D1407" s="57" t="s">
        <v>352</v>
      </c>
      <c r="E1407" s="67">
        <v>45996</v>
      </c>
      <c r="F1407" s="62">
        <v>1500</v>
      </c>
      <c r="G1407" s="62">
        <v>1540</v>
      </c>
      <c r="H1407" s="62">
        <v>1563</v>
      </c>
      <c r="I1407" s="60">
        <f t="shared" si="172"/>
        <v>2.2126436781609193</v>
      </c>
      <c r="J1407" s="60">
        <f t="shared" si="173"/>
        <v>23</v>
      </c>
      <c r="K1407" s="60">
        <f t="shared" si="174"/>
        <v>2.2456896551724137</v>
      </c>
      <c r="L1407" s="60">
        <f t="shared" si="175"/>
        <v>3.3045977011494365E-2</v>
      </c>
    </row>
    <row r="1408" spans="1:12" x14ac:dyDescent="0.25">
      <c r="A1408" s="61">
        <v>2353</v>
      </c>
      <c r="B1408" s="61" t="s">
        <v>153</v>
      </c>
      <c r="C1408" s="57">
        <v>696</v>
      </c>
      <c r="D1408" s="57" t="s">
        <v>352</v>
      </c>
      <c r="E1408" s="67">
        <v>45993</v>
      </c>
      <c r="F1408" s="62">
        <v>1636</v>
      </c>
      <c r="G1408" s="62">
        <v>1636</v>
      </c>
      <c r="H1408" s="62">
        <v>1636</v>
      </c>
      <c r="I1408" s="60">
        <f t="shared" si="172"/>
        <v>2.3505747126436782</v>
      </c>
      <c r="J1408" s="60">
        <f t="shared" si="173"/>
        <v>0</v>
      </c>
      <c r="K1408" s="60">
        <f t="shared" si="174"/>
        <v>2.3505747126436782</v>
      </c>
      <c r="L1408" s="60">
        <f t="shared" si="175"/>
        <v>0</v>
      </c>
    </row>
    <row r="1409" spans="1:12" x14ac:dyDescent="0.25">
      <c r="A1409" s="61">
        <v>5111</v>
      </c>
      <c r="B1409" s="61" t="s">
        <v>57</v>
      </c>
      <c r="C1409" s="57">
        <v>700</v>
      </c>
      <c r="D1409" s="57" t="s">
        <v>352</v>
      </c>
      <c r="E1409" s="67">
        <v>45994</v>
      </c>
      <c r="F1409" s="62">
        <v>1565</v>
      </c>
      <c r="G1409" s="62">
        <v>1382</v>
      </c>
      <c r="H1409" s="62">
        <v>1455</v>
      </c>
      <c r="I1409" s="60">
        <f t="shared" si="172"/>
        <v>1.9742857142857142</v>
      </c>
      <c r="J1409" s="60">
        <f t="shared" si="173"/>
        <v>73</v>
      </c>
      <c r="K1409" s="60">
        <f t="shared" si="174"/>
        <v>2.0785714285714287</v>
      </c>
      <c r="L1409" s="60">
        <f t="shared" si="175"/>
        <v>0.10428571428571454</v>
      </c>
    </row>
    <row r="1410" spans="1:12" x14ac:dyDescent="0.25">
      <c r="A1410" s="61">
        <v>2251</v>
      </c>
      <c r="B1410" s="61" t="s">
        <v>51</v>
      </c>
      <c r="C1410" s="57">
        <v>848</v>
      </c>
      <c r="D1410" s="57" t="s">
        <v>49</v>
      </c>
      <c r="E1410" s="67">
        <v>45999</v>
      </c>
      <c r="F1410" s="62">
        <v>1785</v>
      </c>
      <c r="G1410" s="62">
        <v>1608</v>
      </c>
      <c r="H1410" s="62">
        <v>1430</v>
      </c>
      <c r="I1410" s="60">
        <f t="shared" si="172"/>
        <v>1.8962264150943395</v>
      </c>
      <c r="J1410" s="60">
        <f t="shared" si="173"/>
        <v>-178</v>
      </c>
      <c r="K1410" s="60">
        <f t="shared" si="174"/>
        <v>1.6863207547169812</v>
      </c>
      <c r="L1410" s="60">
        <f t="shared" si="175"/>
        <v>-0.20990566037735836</v>
      </c>
    </row>
    <row r="1411" spans="1:12" x14ac:dyDescent="0.25">
      <c r="A1411" s="61">
        <v>2130</v>
      </c>
      <c r="B1411" s="61" t="s">
        <v>48</v>
      </c>
      <c r="C1411" s="57">
        <v>806</v>
      </c>
      <c r="D1411" s="57" t="s">
        <v>49</v>
      </c>
      <c r="E1411" s="67">
        <v>46003</v>
      </c>
      <c r="F1411" s="62">
        <v>1670</v>
      </c>
      <c r="G1411" s="62">
        <v>1671</v>
      </c>
      <c r="H1411" s="62">
        <v>1509</v>
      </c>
      <c r="I1411" s="60">
        <f t="shared" si="172"/>
        <v>2.0732009925558312</v>
      </c>
      <c r="J1411" s="60">
        <f t="shared" si="173"/>
        <v>-162</v>
      </c>
      <c r="K1411" s="60">
        <f t="shared" si="174"/>
        <v>1.8722084367245657</v>
      </c>
      <c r="L1411" s="60">
        <f t="shared" si="175"/>
        <v>-0.20099255583126552</v>
      </c>
    </row>
    <row r="1412" spans="1:12" x14ac:dyDescent="0.25">
      <c r="A1412" s="61">
        <v>2233</v>
      </c>
      <c r="B1412" s="61" t="s">
        <v>65</v>
      </c>
      <c r="C1412" s="57">
        <v>813</v>
      </c>
      <c r="D1412" s="57" t="s">
        <v>49</v>
      </c>
      <c r="E1412" s="67">
        <v>46002</v>
      </c>
      <c r="F1412" s="62">
        <v>1630</v>
      </c>
      <c r="G1412" s="62">
        <v>1880</v>
      </c>
      <c r="H1412" s="62">
        <v>1510</v>
      </c>
      <c r="I1412" s="60">
        <f t="shared" si="172"/>
        <v>2.3124231242312425</v>
      </c>
      <c r="J1412" s="60">
        <f t="shared" si="173"/>
        <v>-370</v>
      </c>
      <c r="K1412" s="60">
        <f t="shared" si="174"/>
        <v>1.8573185731857318</v>
      </c>
      <c r="L1412" s="60">
        <f t="shared" si="175"/>
        <v>-0.45510455104551073</v>
      </c>
    </row>
    <row r="1413" spans="1:12" x14ac:dyDescent="0.25">
      <c r="A1413" s="61">
        <v>2227</v>
      </c>
      <c r="B1413" s="61" t="s">
        <v>57</v>
      </c>
      <c r="C1413" s="57">
        <v>700</v>
      </c>
      <c r="D1413" s="57" t="s">
        <v>352</v>
      </c>
      <c r="E1413" s="67">
        <v>45999</v>
      </c>
      <c r="F1413" s="62">
        <v>1565</v>
      </c>
      <c r="G1413" s="62">
        <v>1541</v>
      </c>
      <c r="H1413" s="62">
        <v>1541</v>
      </c>
      <c r="I1413" s="60">
        <f t="shared" si="172"/>
        <v>2.2014285714285715</v>
      </c>
      <c r="J1413" s="60">
        <f t="shared" si="173"/>
        <v>0</v>
      </c>
      <c r="K1413" s="60">
        <f t="shared" si="174"/>
        <v>2.2014285714285715</v>
      </c>
      <c r="L1413" s="60">
        <f t="shared" si="175"/>
        <v>0</v>
      </c>
    </row>
    <row r="1414" spans="1:12" x14ac:dyDescent="0.25">
      <c r="A1414" s="61">
        <v>2311</v>
      </c>
      <c r="B1414" s="61" t="s">
        <v>59</v>
      </c>
      <c r="C1414" s="57">
        <v>1115</v>
      </c>
      <c r="D1414" s="57" t="s">
        <v>352</v>
      </c>
      <c r="E1414" s="67">
        <v>46006</v>
      </c>
      <c r="F1414" s="62">
        <v>2215</v>
      </c>
      <c r="G1414" s="62">
        <v>1960</v>
      </c>
      <c r="H1414" s="62">
        <v>1960</v>
      </c>
      <c r="I1414" s="60">
        <f t="shared" si="172"/>
        <v>1.757847533632287</v>
      </c>
      <c r="J1414" s="60">
        <f t="shared" si="173"/>
        <v>0</v>
      </c>
      <c r="K1414" s="60">
        <f t="shared" si="174"/>
        <v>1.757847533632287</v>
      </c>
      <c r="L1414" s="60">
        <f t="shared" si="175"/>
        <v>0</v>
      </c>
    </row>
    <row r="1415" spans="1:12" x14ac:dyDescent="0.25">
      <c r="A1415" s="61">
        <v>5210</v>
      </c>
      <c r="B1415" s="61" t="s">
        <v>153</v>
      </c>
      <c r="C1415" s="57">
        <v>696</v>
      </c>
      <c r="D1415" s="57" t="s">
        <v>352</v>
      </c>
      <c r="E1415" s="67">
        <v>46019</v>
      </c>
      <c r="F1415" s="62">
        <v>1530</v>
      </c>
      <c r="G1415" s="62">
        <v>1480</v>
      </c>
      <c r="H1415" s="62">
        <v>1503</v>
      </c>
      <c r="I1415" s="60">
        <f t="shared" si="172"/>
        <v>2.1264367816091956</v>
      </c>
      <c r="J1415" s="60">
        <f t="shared" si="173"/>
        <v>23</v>
      </c>
      <c r="K1415" s="60">
        <f t="shared" si="174"/>
        <v>2.1594827586206895</v>
      </c>
      <c r="L1415" s="60">
        <f t="shared" si="175"/>
        <v>3.3045977011493921E-2</v>
      </c>
    </row>
    <row r="1416" spans="1:12" x14ac:dyDescent="0.25">
      <c r="A1416" s="61">
        <v>2304</v>
      </c>
      <c r="B1416" s="61" t="s">
        <v>86</v>
      </c>
      <c r="C1416" s="57">
        <v>810</v>
      </c>
      <c r="D1416" s="57" t="s">
        <v>352</v>
      </c>
      <c r="E1416" s="67">
        <v>46009</v>
      </c>
      <c r="F1416" s="62">
        <v>1605</v>
      </c>
      <c r="G1416" s="62">
        <v>1686</v>
      </c>
      <c r="H1416" s="62">
        <v>1686</v>
      </c>
      <c r="I1416" s="60">
        <f t="shared" si="172"/>
        <v>2.0814814814814815</v>
      </c>
      <c r="J1416" s="60">
        <f t="shared" si="173"/>
        <v>0</v>
      </c>
      <c r="K1416" s="60">
        <f t="shared" si="174"/>
        <v>2.0814814814814815</v>
      </c>
      <c r="L1416" s="60">
        <f t="shared" si="175"/>
        <v>0</v>
      </c>
    </row>
    <row r="1417" spans="1:12" x14ac:dyDescent="0.25">
      <c r="A1417" s="61">
        <v>2257</v>
      </c>
      <c r="B1417" s="61" t="s">
        <v>65</v>
      </c>
      <c r="C1417" s="57">
        <v>813</v>
      </c>
      <c r="D1417" s="57" t="s">
        <v>352</v>
      </c>
      <c r="E1417" s="67">
        <v>46012</v>
      </c>
      <c r="F1417" s="62">
        <v>1605</v>
      </c>
      <c r="G1417" s="62">
        <v>1509</v>
      </c>
      <c r="H1417" s="62">
        <v>1509</v>
      </c>
      <c r="I1417" s="60">
        <f t="shared" ref="I1417:I1449" si="176">G1417/C1417</f>
        <v>1.8560885608856088</v>
      </c>
      <c r="J1417" s="60">
        <f t="shared" ref="J1417:J1449" si="177">SUM(H1417-G1417)</f>
        <v>0</v>
      </c>
      <c r="K1417" s="60">
        <f t="shared" ref="K1417:K1449" si="178">H1417/C1417</f>
        <v>1.8560885608856088</v>
      </c>
      <c r="L1417" s="60">
        <f t="shared" ref="L1417:L1449" si="179">K1417-I1417</f>
        <v>0</v>
      </c>
    </row>
    <row r="1418" spans="1:12" x14ac:dyDescent="0.25">
      <c r="A1418" s="61">
        <v>2129</v>
      </c>
      <c r="B1418" s="61" t="s">
        <v>57</v>
      </c>
      <c r="C1418" s="57">
        <v>700</v>
      </c>
      <c r="D1418" s="57" t="s">
        <v>352</v>
      </c>
      <c r="E1418" s="67">
        <v>46019</v>
      </c>
      <c r="F1418" s="62">
        <v>1565</v>
      </c>
      <c r="G1418" s="62">
        <v>1390</v>
      </c>
      <c r="H1418" s="62">
        <v>1422</v>
      </c>
      <c r="I1418" s="60">
        <f t="shared" si="176"/>
        <v>1.9857142857142858</v>
      </c>
      <c r="J1418" s="60">
        <f t="shared" si="177"/>
        <v>32</v>
      </c>
      <c r="K1418" s="60">
        <f t="shared" si="178"/>
        <v>2.0314285714285716</v>
      </c>
      <c r="L1418" s="60">
        <f t="shared" si="179"/>
        <v>4.5714285714285818E-2</v>
      </c>
    </row>
    <row r="1419" spans="1:12" x14ac:dyDescent="0.25">
      <c r="A1419" s="61">
        <v>2155</v>
      </c>
      <c r="B1419" s="61" t="s">
        <v>65</v>
      </c>
      <c r="C1419" s="57">
        <v>813</v>
      </c>
      <c r="D1419" s="57" t="s">
        <v>49</v>
      </c>
      <c r="E1419" s="67">
        <v>46013</v>
      </c>
      <c r="F1419" s="62">
        <v>1630</v>
      </c>
      <c r="G1419" s="62">
        <v>1435</v>
      </c>
      <c r="H1419" s="62">
        <v>1475</v>
      </c>
      <c r="I1419" s="60">
        <f t="shared" si="176"/>
        <v>1.7650676506765068</v>
      </c>
      <c r="J1419" s="60">
        <f t="shared" si="177"/>
        <v>40</v>
      </c>
      <c r="K1419" s="60">
        <f t="shared" si="178"/>
        <v>1.8142681426814269</v>
      </c>
      <c r="L1419" s="60">
        <f t="shared" si="179"/>
        <v>4.9200492004920049E-2</v>
      </c>
    </row>
    <row r="1420" spans="1:12" x14ac:dyDescent="0.25">
      <c r="A1420" s="61">
        <v>2301</v>
      </c>
      <c r="B1420" s="61" t="s">
        <v>65</v>
      </c>
      <c r="C1420" s="57">
        <v>813</v>
      </c>
      <c r="D1420" s="57" t="s">
        <v>49</v>
      </c>
      <c r="E1420" s="67">
        <v>46024</v>
      </c>
      <c r="F1420" s="62">
        <v>1630</v>
      </c>
      <c r="G1420" s="62">
        <v>1483</v>
      </c>
      <c r="H1420" s="62">
        <v>1485</v>
      </c>
      <c r="I1420" s="60">
        <f t="shared" si="176"/>
        <v>1.8241082410824108</v>
      </c>
      <c r="J1420" s="60">
        <f t="shared" si="177"/>
        <v>2</v>
      </c>
      <c r="K1420" s="60">
        <f t="shared" si="178"/>
        <v>1.8265682656826567</v>
      </c>
      <c r="L1420" s="60">
        <f t="shared" si="179"/>
        <v>2.4600246002459691E-3</v>
      </c>
    </row>
    <row r="1421" spans="1:12" x14ac:dyDescent="0.25">
      <c r="A1421" s="61">
        <v>2246</v>
      </c>
      <c r="B1421" s="61" t="s">
        <v>74</v>
      </c>
      <c r="C1421" s="57">
        <v>1164</v>
      </c>
      <c r="D1421" s="57" t="s">
        <v>49</v>
      </c>
      <c r="E1421" s="67">
        <v>46021</v>
      </c>
      <c r="F1421" s="62">
        <v>2270</v>
      </c>
      <c r="G1421" s="62">
        <v>1815</v>
      </c>
      <c r="H1421" s="62">
        <v>1680</v>
      </c>
      <c r="I1421" s="60">
        <f t="shared" si="176"/>
        <v>1.5592783505154639</v>
      </c>
      <c r="J1421" s="60">
        <f t="shared" si="177"/>
        <v>-135</v>
      </c>
      <c r="K1421" s="60">
        <f t="shared" si="178"/>
        <v>1.4432989690721649</v>
      </c>
      <c r="L1421" s="60">
        <f t="shared" si="179"/>
        <v>-0.115979381443299</v>
      </c>
    </row>
    <row r="1422" spans="1:12" x14ac:dyDescent="0.25">
      <c r="A1422" s="61">
        <v>2250</v>
      </c>
      <c r="B1422" s="61" t="s">
        <v>86</v>
      </c>
      <c r="C1422" s="57">
        <v>810</v>
      </c>
      <c r="D1422" s="57" t="s">
        <v>49</v>
      </c>
      <c r="E1422" s="67">
        <v>46024</v>
      </c>
      <c r="F1422" s="62">
        <v>1607</v>
      </c>
      <c r="G1422" s="62">
        <v>1675</v>
      </c>
      <c r="H1422" s="62">
        <v>1407</v>
      </c>
      <c r="I1422" s="60">
        <f t="shared" si="176"/>
        <v>2.0679012345679011</v>
      </c>
      <c r="J1422" s="60">
        <f t="shared" si="177"/>
        <v>-268</v>
      </c>
      <c r="K1422" s="60">
        <f t="shared" si="178"/>
        <v>1.7370370370370369</v>
      </c>
      <c r="L1422" s="60">
        <f t="shared" si="179"/>
        <v>-0.33086419753086416</v>
      </c>
    </row>
    <row r="1423" spans="1:12" x14ac:dyDescent="0.25">
      <c r="A1423" s="61">
        <v>2165</v>
      </c>
      <c r="B1423" s="61" t="s">
        <v>65</v>
      </c>
      <c r="C1423" s="57">
        <v>813</v>
      </c>
      <c r="D1423" s="57" t="s">
        <v>49</v>
      </c>
      <c r="E1423" s="67">
        <v>46023</v>
      </c>
      <c r="F1423" s="62">
        <v>1630</v>
      </c>
      <c r="G1423" s="62">
        <v>1665</v>
      </c>
      <c r="H1423" s="62">
        <v>1485</v>
      </c>
      <c r="I1423" s="60">
        <f t="shared" si="176"/>
        <v>2.0479704797047971</v>
      </c>
      <c r="J1423" s="60">
        <f t="shared" si="177"/>
        <v>-180</v>
      </c>
      <c r="K1423" s="60">
        <f t="shared" si="178"/>
        <v>1.8265682656826567</v>
      </c>
      <c r="L1423" s="60">
        <f t="shared" si="179"/>
        <v>-0.22140221402214033</v>
      </c>
    </row>
    <row r="1424" spans="1:12" x14ac:dyDescent="0.25">
      <c r="A1424" s="61">
        <v>4106</v>
      </c>
      <c r="B1424" s="61" t="s">
        <v>57</v>
      </c>
      <c r="C1424" s="57">
        <v>700</v>
      </c>
      <c r="D1424" s="57" t="s">
        <v>352</v>
      </c>
      <c r="E1424" s="67">
        <v>46022</v>
      </c>
      <c r="F1424" s="62">
        <v>1565</v>
      </c>
      <c r="G1424" s="62">
        <v>1395</v>
      </c>
      <c r="H1424" s="62">
        <v>1420</v>
      </c>
      <c r="I1424" s="60">
        <f t="shared" si="176"/>
        <v>1.9928571428571429</v>
      </c>
      <c r="J1424" s="60">
        <f t="shared" si="177"/>
        <v>25</v>
      </c>
      <c r="K1424" s="60">
        <f t="shared" si="178"/>
        <v>2.0285714285714285</v>
      </c>
      <c r="L1424" s="60">
        <f t="shared" si="179"/>
        <v>3.5714285714285587E-2</v>
      </c>
    </row>
    <row r="1425" spans="1:12" x14ac:dyDescent="0.25">
      <c r="A1425" s="61">
        <v>2115</v>
      </c>
      <c r="B1425" s="61" t="s">
        <v>61</v>
      </c>
      <c r="C1425" s="57">
        <v>820</v>
      </c>
      <c r="D1425" s="57" t="s">
        <v>352</v>
      </c>
      <c r="E1425" s="67">
        <v>46032</v>
      </c>
      <c r="F1425" s="62">
        <v>1665</v>
      </c>
      <c r="G1425" s="62">
        <v>1699</v>
      </c>
      <c r="H1425" s="62">
        <v>1699</v>
      </c>
      <c r="I1425" s="60">
        <f t="shared" si="176"/>
        <v>2.071951219512195</v>
      </c>
      <c r="J1425" s="60">
        <f t="shared" si="177"/>
        <v>0</v>
      </c>
      <c r="K1425" s="60">
        <f t="shared" si="178"/>
        <v>2.071951219512195</v>
      </c>
      <c r="L1425" s="60">
        <f t="shared" si="179"/>
        <v>0</v>
      </c>
    </row>
    <row r="1426" spans="1:12" x14ac:dyDescent="0.25">
      <c r="A1426" s="61">
        <v>2209</v>
      </c>
      <c r="B1426" s="61" t="s">
        <v>61</v>
      </c>
      <c r="C1426" s="57">
        <v>820</v>
      </c>
      <c r="D1426" s="57" t="s">
        <v>352</v>
      </c>
      <c r="E1426" s="67">
        <v>46033</v>
      </c>
      <c r="F1426" s="62">
        <v>1665</v>
      </c>
      <c r="G1426" s="62">
        <v>1475</v>
      </c>
      <c r="H1426" s="62">
        <v>1500</v>
      </c>
      <c r="I1426" s="60">
        <f t="shared" si="176"/>
        <v>1.7987804878048781</v>
      </c>
      <c r="J1426" s="60">
        <f t="shared" si="177"/>
        <v>25</v>
      </c>
      <c r="K1426" s="60">
        <f t="shared" si="178"/>
        <v>1.8292682926829269</v>
      </c>
      <c r="L1426" s="60">
        <f t="shared" si="179"/>
        <v>3.0487804878048808E-2</v>
      </c>
    </row>
    <row r="1427" spans="1:12" x14ac:dyDescent="0.25">
      <c r="A1427" s="61">
        <v>2365</v>
      </c>
      <c r="B1427" s="61" t="s">
        <v>65</v>
      </c>
      <c r="C1427" s="57">
        <v>813</v>
      </c>
      <c r="D1427" s="57" t="s">
        <v>352</v>
      </c>
      <c r="E1427" s="67">
        <v>46028</v>
      </c>
      <c r="F1427" s="62">
        <v>1630</v>
      </c>
      <c r="G1427" s="62">
        <v>1525</v>
      </c>
      <c r="H1427" s="62">
        <v>1563</v>
      </c>
      <c r="I1427" s="60">
        <f t="shared" si="176"/>
        <v>1.8757687576875768</v>
      </c>
      <c r="J1427" s="60">
        <f t="shared" si="177"/>
        <v>38</v>
      </c>
      <c r="K1427" s="60">
        <f t="shared" si="178"/>
        <v>1.9225092250922509</v>
      </c>
      <c r="L1427" s="60">
        <f t="shared" si="179"/>
        <v>4.674046740467408E-2</v>
      </c>
    </row>
    <row r="1428" spans="1:12" x14ac:dyDescent="0.25">
      <c r="A1428" s="61">
        <v>2201</v>
      </c>
      <c r="B1428" s="61" t="s">
        <v>65</v>
      </c>
      <c r="C1428" s="57">
        <v>813</v>
      </c>
      <c r="D1428" s="57" t="s">
        <v>49</v>
      </c>
      <c r="E1428" s="67">
        <v>46031</v>
      </c>
      <c r="F1428" s="62">
        <v>1630</v>
      </c>
      <c r="G1428" s="62">
        <v>1454</v>
      </c>
      <c r="H1428" s="62">
        <v>1475</v>
      </c>
      <c r="I1428" s="60">
        <f t="shared" si="176"/>
        <v>1.7884378843788438</v>
      </c>
      <c r="J1428" s="60">
        <f t="shared" si="177"/>
        <v>21</v>
      </c>
      <c r="K1428" s="60">
        <f t="shared" si="178"/>
        <v>1.8142681426814269</v>
      </c>
      <c r="L1428" s="60">
        <f t="shared" si="179"/>
        <v>2.583025830258312E-2</v>
      </c>
    </row>
    <row r="1429" spans="1:12" x14ac:dyDescent="0.25">
      <c r="A1429" s="61">
        <v>2248</v>
      </c>
      <c r="B1429" s="61" t="s">
        <v>86</v>
      </c>
      <c r="C1429" s="57">
        <v>810</v>
      </c>
      <c r="D1429" s="57" t="s">
        <v>352</v>
      </c>
      <c r="E1429" s="67">
        <v>46038</v>
      </c>
      <c r="F1429" s="62">
        <v>1630</v>
      </c>
      <c r="G1429" s="62">
        <v>1692</v>
      </c>
      <c r="H1429" s="62">
        <v>1692</v>
      </c>
      <c r="I1429" s="60">
        <f t="shared" si="176"/>
        <v>2.088888888888889</v>
      </c>
      <c r="J1429" s="60">
        <f t="shared" si="177"/>
        <v>0</v>
      </c>
      <c r="K1429" s="60">
        <f t="shared" si="178"/>
        <v>2.088888888888889</v>
      </c>
      <c r="L1429" s="60">
        <f t="shared" si="179"/>
        <v>0</v>
      </c>
    </row>
    <row r="1430" spans="1:12" x14ac:dyDescent="0.25">
      <c r="A1430" s="61">
        <v>4304</v>
      </c>
      <c r="B1430" s="61" t="s">
        <v>59</v>
      </c>
      <c r="C1430" s="57">
        <v>1115</v>
      </c>
      <c r="D1430" s="57" t="s">
        <v>352</v>
      </c>
      <c r="E1430" s="67">
        <v>46038</v>
      </c>
      <c r="F1430" s="62">
        <v>2185</v>
      </c>
      <c r="G1430" s="62">
        <v>1865</v>
      </c>
      <c r="H1430" s="62">
        <v>1865</v>
      </c>
      <c r="I1430" s="60">
        <f t="shared" si="176"/>
        <v>1.6726457399103138</v>
      </c>
      <c r="J1430" s="60">
        <f t="shared" si="177"/>
        <v>0</v>
      </c>
      <c r="K1430" s="60">
        <f t="shared" si="178"/>
        <v>1.6726457399103138</v>
      </c>
      <c r="L1430" s="60">
        <f t="shared" si="179"/>
        <v>0</v>
      </c>
    </row>
    <row r="1431" spans="1:12" x14ac:dyDescent="0.25">
      <c r="A1431" s="61">
        <v>2108</v>
      </c>
      <c r="B1431" s="61" t="s">
        <v>61</v>
      </c>
      <c r="C1431" s="57">
        <v>820</v>
      </c>
      <c r="D1431" s="57" t="s">
        <v>49</v>
      </c>
      <c r="E1431" s="67">
        <v>46038</v>
      </c>
      <c r="F1431" s="62">
        <v>1710</v>
      </c>
      <c r="G1431" s="62">
        <v>1580</v>
      </c>
      <c r="H1431" s="62">
        <v>1565</v>
      </c>
      <c r="I1431" s="60">
        <f t="shared" si="176"/>
        <v>1.9268292682926829</v>
      </c>
      <c r="J1431" s="60">
        <f t="shared" si="177"/>
        <v>-15</v>
      </c>
      <c r="K1431" s="60">
        <f t="shared" si="178"/>
        <v>1.9085365853658536</v>
      </c>
      <c r="L1431" s="60">
        <f t="shared" si="179"/>
        <v>-1.8292682926829285E-2</v>
      </c>
    </row>
    <row r="1432" spans="1:12" x14ac:dyDescent="0.25">
      <c r="A1432" s="61">
        <v>2341</v>
      </c>
      <c r="B1432" s="61" t="s">
        <v>355</v>
      </c>
      <c r="C1432" s="57">
        <v>810</v>
      </c>
      <c r="D1432" s="57" t="s">
        <v>352</v>
      </c>
      <c r="E1432" s="67">
        <v>45678</v>
      </c>
      <c r="F1432" s="62">
        <v>1605</v>
      </c>
      <c r="G1432" s="62">
        <v>1712</v>
      </c>
      <c r="H1432" s="62">
        <v>1712</v>
      </c>
      <c r="I1432" s="60">
        <f t="shared" si="176"/>
        <v>2.11358024691358</v>
      </c>
      <c r="J1432" s="60">
        <f t="shared" si="177"/>
        <v>0</v>
      </c>
      <c r="K1432" s="60">
        <f t="shared" si="178"/>
        <v>2.11358024691358</v>
      </c>
      <c r="L1432" s="60">
        <f t="shared" si="179"/>
        <v>0</v>
      </c>
    </row>
    <row r="1433" spans="1:12" x14ac:dyDescent="0.25">
      <c r="A1433" s="61">
        <v>2151</v>
      </c>
      <c r="B1433" s="61" t="s">
        <v>51</v>
      </c>
      <c r="C1433" s="57">
        <v>848</v>
      </c>
      <c r="D1433" s="57" t="s">
        <v>49</v>
      </c>
      <c r="E1433" s="67">
        <v>46052</v>
      </c>
      <c r="F1433" s="62">
        <v>1785</v>
      </c>
      <c r="G1433" s="62">
        <v>1621</v>
      </c>
      <c r="H1433" s="62">
        <v>1522</v>
      </c>
      <c r="I1433" s="60">
        <f t="shared" si="176"/>
        <v>1.9115566037735849</v>
      </c>
      <c r="J1433" s="60">
        <f t="shared" si="177"/>
        <v>-99</v>
      </c>
      <c r="K1433" s="60">
        <f t="shared" si="178"/>
        <v>1.7948113207547169</v>
      </c>
      <c r="L1433" s="60">
        <f t="shared" si="179"/>
        <v>-0.116745283018868</v>
      </c>
    </row>
    <row r="1434" spans="1:12" x14ac:dyDescent="0.25">
      <c r="A1434" s="61">
        <v>2264</v>
      </c>
      <c r="B1434" s="61" t="s">
        <v>48</v>
      </c>
      <c r="C1434" s="57">
        <v>806</v>
      </c>
      <c r="D1434" s="57" t="s">
        <v>49</v>
      </c>
      <c r="E1434" s="67">
        <v>46052</v>
      </c>
      <c r="F1434" s="62">
        <v>1670</v>
      </c>
      <c r="G1434" s="62">
        <v>1461</v>
      </c>
      <c r="H1434" s="62">
        <v>1470</v>
      </c>
      <c r="I1434" s="60">
        <f t="shared" si="176"/>
        <v>1.8126550868486353</v>
      </c>
      <c r="J1434" s="60">
        <f t="shared" si="177"/>
        <v>9</v>
      </c>
      <c r="K1434" s="60">
        <f t="shared" si="178"/>
        <v>1.8238213399503722</v>
      </c>
      <c r="L1434" s="60">
        <f t="shared" si="179"/>
        <v>1.1166253101736912E-2</v>
      </c>
    </row>
    <row r="1435" spans="1:12" x14ac:dyDescent="0.25">
      <c r="A1435" s="61">
        <v>4307</v>
      </c>
      <c r="B1435" s="61" t="s">
        <v>59</v>
      </c>
      <c r="C1435" s="57">
        <v>1115</v>
      </c>
      <c r="D1435" s="57" t="s">
        <v>49</v>
      </c>
      <c r="E1435" s="67">
        <v>46048</v>
      </c>
      <c r="F1435" s="62">
        <v>2185</v>
      </c>
      <c r="G1435" s="62">
        <v>1815</v>
      </c>
      <c r="H1435" s="62">
        <v>1815</v>
      </c>
      <c r="I1435" s="60">
        <f t="shared" si="176"/>
        <v>1.6278026905829597</v>
      </c>
      <c r="J1435" s="60">
        <f t="shared" si="177"/>
        <v>0</v>
      </c>
      <c r="K1435" s="60">
        <f t="shared" si="178"/>
        <v>1.6278026905829597</v>
      </c>
      <c r="L1435" s="60">
        <f t="shared" si="179"/>
        <v>0</v>
      </c>
    </row>
    <row r="1436" spans="1:12" x14ac:dyDescent="0.25">
      <c r="A1436" s="61">
        <v>2228</v>
      </c>
      <c r="B1436" s="61" t="s">
        <v>74</v>
      </c>
      <c r="C1436" s="57">
        <v>1164</v>
      </c>
      <c r="D1436" s="57" t="s">
        <v>49</v>
      </c>
      <c r="E1436" s="67">
        <v>46055</v>
      </c>
      <c r="F1436" s="62">
        <v>2245</v>
      </c>
      <c r="G1436" s="62">
        <v>1800</v>
      </c>
      <c r="H1436" s="62">
        <v>1870</v>
      </c>
      <c r="I1436" s="60">
        <f t="shared" si="176"/>
        <v>1.5463917525773196</v>
      </c>
      <c r="J1436" s="60">
        <f t="shared" si="177"/>
        <v>70</v>
      </c>
      <c r="K1436" s="60">
        <f t="shared" si="178"/>
        <v>1.6065292096219932</v>
      </c>
      <c r="L1436" s="60">
        <f t="shared" si="179"/>
        <v>6.0137457044673548E-2</v>
      </c>
    </row>
    <row r="1437" spans="1:12" x14ac:dyDescent="0.25">
      <c r="A1437" s="61">
        <v>2125</v>
      </c>
      <c r="B1437" s="61" t="s">
        <v>48</v>
      </c>
      <c r="C1437" s="57">
        <v>806</v>
      </c>
      <c r="D1437" s="57" t="s">
        <v>352</v>
      </c>
      <c r="E1437" s="67">
        <v>46057</v>
      </c>
      <c r="F1437" s="62">
        <v>1670</v>
      </c>
      <c r="G1437" s="62">
        <v>1705</v>
      </c>
      <c r="H1437" s="62">
        <v>1705</v>
      </c>
      <c r="I1437" s="60">
        <f t="shared" si="176"/>
        <v>2.1153846153846154</v>
      </c>
      <c r="J1437" s="60">
        <f t="shared" si="177"/>
        <v>0</v>
      </c>
      <c r="K1437" s="60">
        <f t="shared" si="178"/>
        <v>2.1153846153846154</v>
      </c>
      <c r="L1437" s="60">
        <f t="shared" si="179"/>
        <v>0</v>
      </c>
    </row>
    <row r="1438" spans="1:12" x14ac:dyDescent="0.25">
      <c r="A1438" s="61">
        <v>4212</v>
      </c>
      <c r="B1438" s="61" t="s">
        <v>145</v>
      </c>
      <c r="C1438" s="57">
        <v>1146</v>
      </c>
      <c r="D1438" s="57" t="s">
        <v>49</v>
      </c>
      <c r="E1438" s="67">
        <v>46062</v>
      </c>
      <c r="F1438" s="62">
        <v>2200</v>
      </c>
      <c r="G1438" s="62">
        <v>2105</v>
      </c>
      <c r="H1438" s="62">
        <v>1825</v>
      </c>
      <c r="I1438" s="60">
        <f t="shared" si="176"/>
        <v>1.8368237347294938</v>
      </c>
      <c r="J1438" s="60">
        <f t="shared" si="177"/>
        <v>-280</v>
      </c>
      <c r="K1438" s="60">
        <f t="shared" si="178"/>
        <v>1.5924956369982548</v>
      </c>
      <c r="L1438" s="60">
        <f t="shared" si="179"/>
        <v>-0.24432809773123898</v>
      </c>
    </row>
    <row r="1439" spans="1:12" x14ac:dyDescent="0.25">
      <c r="A1439" s="61">
        <v>1102</v>
      </c>
      <c r="B1439" s="61" t="s">
        <v>137</v>
      </c>
      <c r="C1439" s="57">
        <v>1700</v>
      </c>
      <c r="D1439" s="57" t="s">
        <v>352</v>
      </c>
      <c r="E1439" s="67">
        <v>46067</v>
      </c>
      <c r="F1439" s="62">
        <v>3045</v>
      </c>
      <c r="G1439" s="62">
        <v>2735</v>
      </c>
      <c r="H1439" s="62">
        <v>2735</v>
      </c>
      <c r="I1439" s="60">
        <f t="shared" si="176"/>
        <v>1.6088235294117648</v>
      </c>
      <c r="J1439" s="60">
        <f t="shared" si="177"/>
        <v>0</v>
      </c>
      <c r="K1439" s="60">
        <f t="shared" si="178"/>
        <v>1.6088235294117648</v>
      </c>
      <c r="L1439" s="60">
        <f t="shared" si="179"/>
        <v>0</v>
      </c>
    </row>
    <row r="1440" spans="1:12" x14ac:dyDescent="0.25">
      <c r="A1440" s="61">
        <v>2132</v>
      </c>
      <c r="B1440" s="61" t="s">
        <v>82</v>
      </c>
      <c r="C1440" s="57">
        <v>1112</v>
      </c>
      <c r="D1440" s="57" t="s">
        <v>352</v>
      </c>
      <c r="E1440" s="67">
        <v>46068</v>
      </c>
      <c r="F1440" s="62">
        <v>2175</v>
      </c>
      <c r="G1440" s="62">
        <v>1755</v>
      </c>
      <c r="H1440" s="62">
        <v>1800</v>
      </c>
      <c r="I1440" s="60">
        <f t="shared" si="176"/>
        <v>1.5782374100719425</v>
      </c>
      <c r="J1440" s="60">
        <f t="shared" si="177"/>
        <v>45</v>
      </c>
      <c r="K1440" s="60">
        <f t="shared" si="178"/>
        <v>1.6187050359712229</v>
      </c>
      <c r="L1440" s="60">
        <f t="shared" si="179"/>
        <v>4.0467625899280435E-2</v>
      </c>
    </row>
    <row r="1441" spans="1:12" x14ac:dyDescent="0.25">
      <c r="A1441" s="61">
        <v>2263</v>
      </c>
      <c r="B1441" s="61" t="s">
        <v>57</v>
      </c>
      <c r="C1441" s="57">
        <v>700</v>
      </c>
      <c r="D1441" s="57" t="s">
        <v>352</v>
      </c>
      <c r="E1441" s="67">
        <v>46073</v>
      </c>
      <c r="F1441" s="62">
        <v>1565</v>
      </c>
      <c r="G1441" s="62">
        <v>1490</v>
      </c>
      <c r="H1441" s="62">
        <v>1513</v>
      </c>
      <c r="I1441" s="60">
        <f t="shared" si="176"/>
        <v>2.1285714285714286</v>
      </c>
      <c r="J1441" s="60">
        <f t="shared" si="177"/>
        <v>23</v>
      </c>
      <c r="K1441" s="60">
        <f t="shared" si="178"/>
        <v>2.1614285714285715</v>
      </c>
      <c r="L1441" s="60">
        <f t="shared" si="179"/>
        <v>3.2857142857142918E-2</v>
      </c>
    </row>
    <row r="1442" spans="1:12" x14ac:dyDescent="0.25">
      <c r="A1442" s="61">
        <v>4303</v>
      </c>
      <c r="B1442" s="61" t="s">
        <v>59</v>
      </c>
      <c r="C1442" s="57">
        <v>1115</v>
      </c>
      <c r="D1442" s="57" t="s">
        <v>352</v>
      </c>
      <c r="E1442" s="67">
        <v>46072</v>
      </c>
      <c r="F1442" s="62">
        <v>2215</v>
      </c>
      <c r="G1442" s="62">
        <v>1826</v>
      </c>
      <c r="H1442" s="62">
        <v>1826</v>
      </c>
      <c r="I1442" s="60">
        <f t="shared" si="176"/>
        <v>1.6376681614349775</v>
      </c>
      <c r="J1442" s="60">
        <f t="shared" si="177"/>
        <v>0</v>
      </c>
      <c r="K1442" s="60">
        <f t="shared" si="178"/>
        <v>1.6376681614349775</v>
      </c>
      <c r="L1442" s="60">
        <f t="shared" si="179"/>
        <v>0</v>
      </c>
    </row>
    <row r="1443" spans="1:12" x14ac:dyDescent="0.25">
      <c r="A1443" s="61">
        <v>2337</v>
      </c>
      <c r="B1443" s="61" t="s">
        <v>153</v>
      </c>
      <c r="C1443" s="57">
        <v>696</v>
      </c>
      <c r="D1443" s="57" t="s">
        <v>49</v>
      </c>
      <c r="E1443" s="67">
        <v>46078</v>
      </c>
      <c r="F1443" s="62">
        <v>1500</v>
      </c>
      <c r="G1443" s="62">
        <v>1595</v>
      </c>
      <c r="H1443" s="62">
        <v>1353</v>
      </c>
      <c r="I1443" s="60">
        <f t="shared" si="176"/>
        <v>2.2916666666666665</v>
      </c>
      <c r="J1443" s="60">
        <f t="shared" si="177"/>
        <v>-242</v>
      </c>
      <c r="K1443" s="60">
        <f t="shared" si="178"/>
        <v>1.9439655172413792</v>
      </c>
      <c r="L1443" s="60">
        <f t="shared" si="179"/>
        <v>-0.34770114942528729</v>
      </c>
    </row>
    <row r="1444" spans="1:12" x14ac:dyDescent="0.25">
      <c r="A1444" s="61">
        <v>2342</v>
      </c>
      <c r="B1444" s="61" t="s">
        <v>74</v>
      </c>
      <c r="C1444" s="57">
        <v>1164</v>
      </c>
      <c r="D1444" s="57" t="s">
        <v>49</v>
      </c>
      <c r="E1444" s="67">
        <v>46080</v>
      </c>
      <c r="F1444" s="62">
        <v>2270</v>
      </c>
      <c r="G1444" s="62">
        <v>1840</v>
      </c>
      <c r="H1444" s="62">
        <v>1965</v>
      </c>
      <c r="I1444" s="60">
        <f t="shared" si="176"/>
        <v>1.5807560137457044</v>
      </c>
      <c r="J1444" s="60">
        <f t="shared" si="177"/>
        <v>125</v>
      </c>
      <c r="K1444" s="60">
        <f t="shared" si="178"/>
        <v>1.6881443298969072</v>
      </c>
      <c r="L1444" s="60">
        <f t="shared" si="179"/>
        <v>0.10738831615120281</v>
      </c>
    </row>
    <row r="1445" spans="1:12" x14ac:dyDescent="0.25">
      <c r="A1445" s="61">
        <v>2141</v>
      </c>
      <c r="B1445" s="61" t="s">
        <v>355</v>
      </c>
      <c r="C1445" s="57">
        <v>810</v>
      </c>
      <c r="D1445" s="57" t="s">
        <v>49</v>
      </c>
      <c r="E1445" s="67">
        <v>46080</v>
      </c>
      <c r="F1445" s="62">
        <v>1605</v>
      </c>
      <c r="G1445" s="62">
        <v>1567</v>
      </c>
      <c r="H1445" s="62">
        <v>1390</v>
      </c>
      <c r="I1445" s="60">
        <f t="shared" si="176"/>
        <v>1.934567901234568</v>
      </c>
      <c r="J1445" s="60">
        <f t="shared" si="177"/>
        <v>-177</v>
      </c>
      <c r="K1445" s="60">
        <f t="shared" si="178"/>
        <v>1.7160493827160495</v>
      </c>
      <c r="L1445" s="60">
        <f t="shared" si="179"/>
        <v>-0.21851851851851856</v>
      </c>
    </row>
    <row r="1446" spans="1:12" x14ac:dyDescent="0.25">
      <c r="A1446" s="61">
        <v>2307</v>
      </c>
      <c r="B1446" s="61" t="s">
        <v>55</v>
      </c>
      <c r="C1446" s="57">
        <v>764</v>
      </c>
      <c r="D1446" s="57" t="s">
        <v>49</v>
      </c>
      <c r="E1446" s="67">
        <v>46078</v>
      </c>
      <c r="F1446" s="62">
        <v>1665</v>
      </c>
      <c r="G1446" s="62">
        <v>1400</v>
      </c>
      <c r="H1446" s="62">
        <v>1400</v>
      </c>
      <c r="I1446" s="60">
        <f t="shared" si="176"/>
        <v>1.8324607329842932</v>
      </c>
      <c r="J1446" s="60">
        <f t="shared" si="177"/>
        <v>0</v>
      </c>
      <c r="K1446" s="60">
        <f t="shared" si="178"/>
        <v>1.8324607329842932</v>
      </c>
      <c r="L1446" s="60">
        <f t="shared" si="179"/>
        <v>0</v>
      </c>
    </row>
    <row r="1447" spans="1:12" x14ac:dyDescent="0.25">
      <c r="A1447" s="61">
        <v>2140</v>
      </c>
      <c r="B1447" s="61" t="s">
        <v>355</v>
      </c>
      <c r="C1447" s="57">
        <v>810</v>
      </c>
      <c r="D1447" s="57" t="s">
        <v>49</v>
      </c>
      <c r="E1447" s="67">
        <v>46078</v>
      </c>
      <c r="F1447" s="62">
        <v>1630</v>
      </c>
      <c r="G1447" s="62">
        <v>1495</v>
      </c>
      <c r="H1447" s="62">
        <v>1425</v>
      </c>
      <c r="I1447" s="60">
        <f t="shared" si="176"/>
        <v>1.845679012345679</v>
      </c>
      <c r="J1447" s="60">
        <f t="shared" si="177"/>
        <v>-70</v>
      </c>
      <c r="K1447" s="60">
        <f t="shared" si="178"/>
        <v>1.7592592592592593</v>
      </c>
      <c r="L1447" s="60">
        <f t="shared" si="179"/>
        <v>-8.6419753086419693E-2</v>
      </c>
    </row>
    <row r="1448" spans="1:12" x14ac:dyDescent="0.25">
      <c r="A1448" s="61">
        <v>2253</v>
      </c>
      <c r="B1448" s="61" t="s">
        <v>153</v>
      </c>
      <c r="C1448" s="57">
        <v>696</v>
      </c>
      <c r="D1448" s="57" t="s">
        <v>352</v>
      </c>
      <c r="E1448" s="67">
        <v>46081</v>
      </c>
      <c r="F1448" s="62">
        <v>1500</v>
      </c>
      <c r="G1448" s="62">
        <v>1440</v>
      </c>
      <c r="H1448" s="62">
        <v>1485</v>
      </c>
      <c r="I1448" s="60">
        <f t="shared" si="176"/>
        <v>2.0689655172413794</v>
      </c>
      <c r="J1448" s="60">
        <f t="shared" si="177"/>
        <v>45</v>
      </c>
      <c r="K1448" s="60">
        <f t="shared" si="178"/>
        <v>2.1336206896551726</v>
      </c>
      <c r="L1448" s="60">
        <f t="shared" si="179"/>
        <v>6.4655172413793149E-2</v>
      </c>
    </row>
    <row r="1449" spans="1:12" x14ac:dyDescent="0.25">
      <c r="A1449" s="61">
        <v>2122</v>
      </c>
      <c r="B1449" s="61" t="s">
        <v>355</v>
      </c>
      <c r="C1449" s="57">
        <v>810</v>
      </c>
      <c r="D1449" s="57" t="s">
        <v>49</v>
      </c>
      <c r="E1449" s="67">
        <v>46094</v>
      </c>
      <c r="F1449" s="62">
        <v>1650</v>
      </c>
      <c r="G1449" s="62">
        <v>1485</v>
      </c>
      <c r="H1449" s="62">
        <v>1445</v>
      </c>
      <c r="I1449" s="60">
        <f t="shared" si="176"/>
        <v>1.8333333333333333</v>
      </c>
      <c r="J1449" s="60">
        <f t="shared" si="177"/>
        <v>-40</v>
      </c>
      <c r="K1449" s="60">
        <f t="shared" si="178"/>
        <v>1.7839506172839505</v>
      </c>
      <c r="L1449" s="60">
        <f t="shared" si="179"/>
        <v>-4.9382716049382713E-2</v>
      </c>
    </row>
    <row r="1450" spans="1:12" x14ac:dyDescent="0.25">
      <c r="A1450" s="61">
        <v>2229</v>
      </c>
      <c r="B1450" s="61" t="s">
        <v>57</v>
      </c>
      <c r="C1450" s="57">
        <v>700</v>
      </c>
      <c r="D1450" s="57" t="s">
        <v>49</v>
      </c>
      <c r="E1450" s="67">
        <v>46083</v>
      </c>
      <c r="F1450" s="62">
        <v>1565</v>
      </c>
      <c r="G1450" s="62">
        <v>1400</v>
      </c>
      <c r="H1450" s="62">
        <v>1350</v>
      </c>
      <c r="I1450" s="60">
        <f t="shared" ref="I1450:I1467" si="180">G1450/C1450</f>
        <v>2</v>
      </c>
      <c r="J1450" s="60">
        <f t="shared" ref="J1450:J1467" si="181">SUM(H1450-G1450)</f>
        <v>-50</v>
      </c>
      <c r="K1450" s="60">
        <f t="shared" ref="K1450:K1467" si="182">H1450/C1450</f>
        <v>1.9285714285714286</v>
      </c>
      <c r="L1450" s="60">
        <f t="shared" ref="L1450:L1467" si="183">K1450-I1450</f>
        <v>-7.1428571428571397E-2</v>
      </c>
    </row>
    <row r="1451" spans="1:12" x14ac:dyDescent="0.25">
      <c r="A1451" s="61">
        <v>2258</v>
      </c>
      <c r="B1451" s="61" t="s">
        <v>82</v>
      </c>
      <c r="C1451" s="57">
        <v>1112</v>
      </c>
      <c r="D1451" s="57" t="s">
        <v>49</v>
      </c>
      <c r="E1451" s="67">
        <v>46094</v>
      </c>
      <c r="F1451" s="62">
        <v>2175</v>
      </c>
      <c r="G1451" s="62">
        <v>2069</v>
      </c>
      <c r="H1451" s="62">
        <v>1790</v>
      </c>
      <c r="I1451" s="60">
        <f t="shared" si="180"/>
        <v>1.860611510791367</v>
      </c>
      <c r="J1451" s="60">
        <f t="shared" si="181"/>
        <v>-279</v>
      </c>
      <c r="K1451" s="60">
        <f t="shared" si="182"/>
        <v>1.6097122302158273</v>
      </c>
      <c r="L1451" s="60">
        <f t="shared" si="183"/>
        <v>-0.25089928057553967</v>
      </c>
    </row>
    <row r="1452" spans="1:12" x14ac:dyDescent="0.25">
      <c r="A1452" s="61">
        <v>2326</v>
      </c>
      <c r="B1452" s="61" t="s">
        <v>74</v>
      </c>
      <c r="C1452" s="57">
        <v>1164</v>
      </c>
      <c r="D1452" s="57" t="s">
        <v>49</v>
      </c>
      <c r="E1452" s="67">
        <v>46092</v>
      </c>
      <c r="F1452" s="62">
        <v>2290</v>
      </c>
      <c r="G1452" s="62">
        <v>1765</v>
      </c>
      <c r="H1452" s="62">
        <v>1895</v>
      </c>
      <c r="I1452" s="60">
        <f t="shared" si="180"/>
        <v>1.5163230240549828</v>
      </c>
      <c r="J1452" s="60">
        <f t="shared" si="181"/>
        <v>130</v>
      </c>
      <c r="K1452" s="60">
        <f t="shared" si="182"/>
        <v>1.6280068728522337</v>
      </c>
      <c r="L1452" s="60">
        <f t="shared" si="183"/>
        <v>0.11168384879725091</v>
      </c>
    </row>
    <row r="1453" spans="1:12" x14ac:dyDescent="0.25">
      <c r="A1453" s="61">
        <v>2366</v>
      </c>
      <c r="B1453" s="61" t="s">
        <v>82</v>
      </c>
      <c r="C1453" s="57">
        <v>1112</v>
      </c>
      <c r="D1453" s="57" t="s">
        <v>49</v>
      </c>
      <c r="E1453" s="67">
        <v>46092</v>
      </c>
      <c r="F1453" s="62">
        <v>2195</v>
      </c>
      <c r="G1453" s="62">
        <v>2515</v>
      </c>
      <c r="H1453" s="62">
        <v>1800</v>
      </c>
      <c r="I1453" s="60">
        <f t="shared" si="180"/>
        <v>2.2616906474820144</v>
      </c>
      <c r="J1453" s="60">
        <f t="shared" si="181"/>
        <v>-715</v>
      </c>
      <c r="K1453" s="60">
        <f t="shared" si="182"/>
        <v>1.6187050359712229</v>
      </c>
      <c r="L1453" s="60">
        <f t="shared" si="183"/>
        <v>-0.64298561151079148</v>
      </c>
    </row>
    <row r="1454" spans="1:12" x14ac:dyDescent="0.25">
      <c r="A1454" s="61">
        <v>2245</v>
      </c>
      <c r="B1454" s="61" t="s">
        <v>57</v>
      </c>
      <c r="C1454" s="57">
        <v>700</v>
      </c>
      <c r="D1454" s="57" t="s">
        <v>49</v>
      </c>
      <c r="E1454" s="67">
        <v>46087</v>
      </c>
      <c r="F1454" s="62">
        <v>1515</v>
      </c>
      <c r="G1454" s="62">
        <v>1710</v>
      </c>
      <c r="H1454" s="62">
        <v>1325</v>
      </c>
      <c r="I1454" s="60">
        <f t="shared" si="180"/>
        <v>2.4428571428571431</v>
      </c>
      <c r="J1454" s="60">
        <f t="shared" si="181"/>
        <v>-385</v>
      </c>
      <c r="K1454" s="60">
        <f t="shared" si="182"/>
        <v>1.8928571428571428</v>
      </c>
      <c r="L1454" s="60">
        <f t="shared" si="183"/>
        <v>-0.55000000000000027</v>
      </c>
    </row>
    <row r="1455" spans="1:12" x14ac:dyDescent="0.25">
      <c r="A1455" s="61">
        <v>5113</v>
      </c>
      <c r="B1455" s="61" t="s">
        <v>48</v>
      </c>
      <c r="C1455" s="57">
        <v>806</v>
      </c>
      <c r="D1455" s="57" t="s">
        <v>49</v>
      </c>
      <c r="E1455" s="67">
        <v>46083</v>
      </c>
      <c r="F1455" s="62">
        <v>1670</v>
      </c>
      <c r="G1455" s="62">
        <v>1640</v>
      </c>
      <c r="H1455" s="62">
        <v>1375</v>
      </c>
      <c r="I1455" s="60">
        <f t="shared" si="180"/>
        <v>2.0347394540942929</v>
      </c>
      <c r="J1455" s="60">
        <f t="shared" si="181"/>
        <v>-265</v>
      </c>
      <c r="K1455" s="60">
        <f t="shared" si="182"/>
        <v>1.7059553349875931</v>
      </c>
      <c r="L1455" s="60">
        <f t="shared" si="183"/>
        <v>-0.3287841191066998</v>
      </c>
    </row>
    <row r="1456" spans="1:12" x14ac:dyDescent="0.25">
      <c r="A1456" s="61">
        <v>2107</v>
      </c>
      <c r="B1456" s="61" t="s">
        <v>55</v>
      </c>
      <c r="C1456" s="57">
        <v>764</v>
      </c>
      <c r="D1456" s="57" t="s">
        <v>352</v>
      </c>
      <c r="E1456" s="67">
        <v>46086</v>
      </c>
      <c r="F1456" s="62">
        <v>1635</v>
      </c>
      <c r="G1456" s="62">
        <v>1616</v>
      </c>
      <c r="H1456" s="62">
        <v>1616</v>
      </c>
      <c r="I1456" s="60">
        <f t="shared" si="180"/>
        <v>2.1151832460732982</v>
      </c>
      <c r="J1456" s="60">
        <f t="shared" si="181"/>
        <v>0</v>
      </c>
      <c r="K1456" s="60">
        <f t="shared" si="182"/>
        <v>2.1151832460732982</v>
      </c>
      <c r="L1456" s="60">
        <f t="shared" si="183"/>
        <v>0</v>
      </c>
    </row>
    <row r="1457" spans="1:12" x14ac:dyDescent="0.25">
      <c r="A1457" s="61">
        <v>2207</v>
      </c>
      <c r="B1457" s="61" t="s">
        <v>55</v>
      </c>
      <c r="C1457" s="57">
        <v>764</v>
      </c>
      <c r="D1457" s="57" t="s">
        <v>352</v>
      </c>
      <c r="E1457" s="67">
        <v>46092</v>
      </c>
      <c r="F1457" s="62">
        <v>1635</v>
      </c>
      <c r="G1457" s="62">
        <v>1555</v>
      </c>
      <c r="H1457" s="62">
        <v>1555</v>
      </c>
      <c r="I1457" s="60">
        <f t="shared" si="180"/>
        <v>2.0353403141361257</v>
      </c>
      <c r="J1457" s="60">
        <f t="shared" si="181"/>
        <v>0</v>
      </c>
      <c r="K1457" s="60">
        <f t="shared" si="182"/>
        <v>2.0353403141361257</v>
      </c>
      <c r="L1457" s="60">
        <f t="shared" si="183"/>
        <v>0</v>
      </c>
    </row>
    <row r="1458" spans="1:12" x14ac:dyDescent="0.25">
      <c r="A1458" s="61">
        <v>2321</v>
      </c>
      <c r="B1458" s="61" t="s">
        <v>65</v>
      </c>
      <c r="D1458" s="57" t="s">
        <v>352</v>
      </c>
      <c r="E1458" s="67">
        <v>46083</v>
      </c>
      <c r="F1458" s="62">
        <v>1630</v>
      </c>
      <c r="G1458" s="62">
        <v>1751</v>
      </c>
      <c r="H1458" s="62">
        <v>1751</v>
      </c>
      <c r="I1458" s="60" t="e">
        <f t="shared" si="180"/>
        <v>#DIV/0!</v>
      </c>
      <c r="J1458" s="60">
        <f t="shared" si="181"/>
        <v>0</v>
      </c>
      <c r="K1458" s="60" t="e">
        <f t="shared" si="182"/>
        <v>#DIV/0!</v>
      </c>
      <c r="L1458" s="60" t="e">
        <f t="shared" si="183"/>
        <v>#DIV/0!</v>
      </c>
    </row>
    <row r="1459" spans="1:12" x14ac:dyDescent="0.25">
      <c r="A1459" s="61">
        <v>4206</v>
      </c>
      <c r="B1459" s="61" t="s">
        <v>57</v>
      </c>
      <c r="C1459" s="57">
        <v>700</v>
      </c>
      <c r="D1459" s="57" t="s">
        <v>352</v>
      </c>
      <c r="E1459" s="67">
        <v>46086</v>
      </c>
      <c r="F1459" s="62">
        <v>1565</v>
      </c>
      <c r="G1459" s="62">
        <v>1409</v>
      </c>
      <c r="H1459" s="62">
        <v>1409</v>
      </c>
      <c r="I1459" s="60">
        <f t="shared" si="180"/>
        <v>2.0128571428571429</v>
      </c>
      <c r="J1459" s="60">
        <f t="shared" si="181"/>
        <v>0</v>
      </c>
      <c r="K1459" s="60">
        <f t="shared" si="182"/>
        <v>2.0128571428571429</v>
      </c>
      <c r="L1459" s="60">
        <f t="shared" si="183"/>
        <v>0</v>
      </c>
    </row>
    <row r="1460" spans="1:12" x14ac:dyDescent="0.25">
      <c r="A1460" s="61">
        <v>5211</v>
      </c>
      <c r="B1460" s="61" t="s">
        <v>57</v>
      </c>
      <c r="C1460" s="57">
        <v>700</v>
      </c>
      <c r="D1460" s="57" t="s">
        <v>352</v>
      </c>
      <c r="E1460" s="67">
        <v>46083</v>
      </c>
      <c r="F1460" s="62">
        <v>1565</v>
      </c>
      <c r="G1460" s="62">
        <v>1634</v>
      </c>
      <c r="H1460" s="62">
        <v>1634</v>
      </c>
      <c r="I1460" s="60">
        <f t="shared" si="180"/>
        <v>2.3342857142857141</v>
      </c>
      <c r="J1460" s="60">
        <f t="shared" si="181"/>
        <v>0</v>
      </c>
      <c r="K1460" s="60">
        <f t="shared" si="182"/>
        <v>2.3342857142857141</v>
      </c>
      <c r="L1460" s="60">
        <f t="shared" si="183"/>
        <v>0</v>
      </c>
    </row>
    <row r="1461" spans="1:12" x14ac:dyDescent="0.25">
      <c r="A1461" s="61">
        <v>5301</v>
      </c>
      <c r="B1461" s="61" t="s">
        <v>151</v>
      </c>
      <c r="C1461" s="57">
        <v>1141</v>
      </c>
      <c r="D1461" s="57" t="s">
        <v>352</v>
      </c>
      <c r="E1461" s="67">
        <v>46086</v>
      </c>
      <c r="F1461" s="62">
        <v>2200</v>
      </c>
      <c r="G1461" s="62">
        <v>1910</v>
      </c>
      <c r="H1461" s="62">
        <v>1980</v>
      </c>
      <c r="I1461" s="60">
        <f t="shared" si="180"/>
        <v>1.6739702015775635</v>
      </c>
      <c r="J1461" s="60">
        <f t="shared" si="181"/>
        <v>70</v>
      </c>
      <c r="K1461" s="60">
        <f t="shared" si="182"/>
        <v>1.7353198948290973</v>
      </c>
      <c r="L1461" s="60">
        <f t="shared" si="183"/>
        <v>6.1349693251533832E-2</v>
      </c>
    </row>
    <row r="1462" spans="1:12" x14ac:dyDescent="0.25">
      <c r="A1462" s="61">
        <v>5304</v>
      </c>
      <c r="B1462" s="61" t="s">
        <v>59</v>
      </c>
      <c r="C1462" s="57">
        <v>1115</v>
      </c>
      <c r="D1462" s="57" t="s">
        <v>352</v>
      </c>
      <c r="E1462" s="67">
        <v>46084</v>
      </c>
      <c r="F1462" s="62">
        <v>2215</v>
      </c>
      <c r="G1462" s="62">
        <v>1816</v>
      </c>
      <c r="H1462" s="62">
        <v>1816</v>
      </c>
      <c r="I1462" s="60">
        <f t="shared" si="180"/>
        <v>1.6286995515695066</v>
      </c>
      <c r="J1462" s="60">
        <f t="shared" si="181"/>
        <v>0</v>
      </c>
      <c r="K1462" s="60">
        <f t="shared" si="182"/>
        <v>1.6286995515695066</v>
      </c>
      <c r="L1462" s="60">
        <f t="shared" si="183"/>
        <v>0</v>
      </c>
    </row>
    <row r="1463" spans="1:12" x14ac:dyDescent="0.25">
      <c r="A1463" s="61">
        <v>4204</v>
      </c>
      <c r="B1463" s="61" t="s">
        <v>59</v>
      </c>
      <c r="C1463" s="57">
        <v>1115</v>
      </c>
      <c r="D1463" s="57" t="s">
        <v>352</v>
      </c>
      <c r="E1463" s="67">
        <v>46083</v>
      </c>
      <c r="F1463" s="62">
        <v>2185</v>
      </c>
      <c r="G1463" s="62">
        <v>1730</v>
      </c>
      <c r="H1463" s="62">
        <v>1730</v>
      </c>
      <c r="I1463" s="60"/>
      <c r="J1463" s="60">
        <f t="shared" si="181"/>
        <v>0</v>
      </c>
      <c r="K1463" s="60">
        <f t="shared" si="182"/>
        <v>1.5515695067264574</v>
      </c>
      <c r="L1463" s="60">
        <f t="shared" si="183"/>
        <v>1.5515695067264574</v>
      </c>
    </row>
    <row r="1464" spans="1:12" x14ac:dyDescent="0.25">
      <c r="A1464" s="61">
        <v>5209</v>
      </c>
      <c r="B1464" s="61" t="s">
        <v>57</v>
      </c>
      <c r="C1464" s="57">
        <v>700</v>
      </c>
      <c r="D1464" s="57" t="s">
        <v>352</v>
      </c>
      <c r="E1464" s="67">
        <v>46097</v>
      </c>
      <c r="F1464" s="62">
        <v>1565</v>
      </c>
      <c r="G1464" s="62">
        <v>1537</v>
      </c>
      <c r="H1464" s="62">
        <v>1537</v>
      </c>
      <c r="I1464" s="60">
        <f t="shared" si="180"/>
        <v>2.1957142857142857</v>
      </c>
      <c r="J1464" s="60">
        <f t="shared" si="181"/>
        <v>0</v>
      </c>
      <c r="K1464" s="60">
        <f t="shared" si="182"/>
        <v>2.1957142857142857</v>
      </c>
      <c r="L1464" s="60">
        <f t="shared" si="183"/>
        <v>0</v>
      </c>
    </row>
    <row r="1465" spans="1:12" x14ac:dyDescent="0.25">
      <c r="A1465" s="61">
        <v>2119</v>
      </c>
      <c r="B1465" s="61" t="s">
        <v>57</v>
      </c>
      <c r="C1465" s="57">
        <v>700</v>
      </c>
      <c r="D1465" s="57" t="s">
        <v>352</v>
      </c>
      <c r="E1465" s="67">
        <v>46098</v>
      </c>
      <c r="F1465" s="62">
        <v>1565</v>
      </c>
      <c r="G1465" s="62">
        <v>1370</v>
      </c>
      <c r="H1465" s="62">
        <v>1370</v>
      </c>
      <c r="I1465" s="60">
        <f t="shared" si="180"/>
        <v>1.9571428571428571</v>
      </c>
      <c r="J1465" s="60">
        <f t="shared" si="181"/>
        <v>0</v>
      </c>
      <c r="K1465" s="60">
        <f t="shared" si="182"/>
        <v>1.9571428571428571</v>
      </c>
      <c r="L1465" s="60">
        <f t="shared" si="183"/>
        <v>0</v>
      </c>
    </row>
    <row r="1466" spans="1:12" x14ac:dyDescent="0.25">
      <c r="A1466" s="61">
        <v>2149</v>
      </c>
      <c r="B1466" s="61" t="s">
        <v>355</v>
      </c>
      <c r="C1466" s="57">
        <v>810</v>
      </c>
      <c r="D1466" s="57" t="s">
        <v>352</v>
      </c>
      <c r="E1466" s="67">
        <v>46100</v>
      </c>
      <c r="F1466" s="62">
        <v>1605</v>
      </c>
      <c r="G1466" s="62">
        <v>1700</v>
      </c>
      <c r="H1466" s="62">
        <v>1375</v>
      </c>
      <c r="I1466" s="60">
        <f t="shared" si="180"/>
        <v>2.0987654320987654</v>
      </c>
      <c r="J1466" s="60">
        <f t="shared" si="181"/>
        <v>-325</v>
      </c>
      <c r="K1466" s="60">
        <f t="shared" si="182"/>
        <v>1.6975308641975309</v>
      </c>
      <c r="L1466" s="60">
        <f t="shared" si="183"/>
        <v>-0.40123456790123457</v>
      </c>
    </row>
    <row r="1467" spans="1:12" x14ac:dyDescent="0.25">
      <c r="A1467" s="61">
        <v>1105</v>
      </c>
      <c r="B1467" s="61" t="s">
        <v>137</v>
      </c>
      <c r="C1467" s="57">
        <v>1700</v>
      </c>
      <c r="D1467" s="57" t="s">
        <v>49</v>
      </c>
      <c r="E1467" s="67">
        <v>46101</v>
      </c>
      <c r="F1467" s="62">
        <v>3045</v>
      </c>
      <c r="G1467" s="62">
        <v>2885</v>
      </c>
      <c r="H1467" s="62">
        <v>2690</v>
      </c>
      <c r="I1467" s="60">
        <f t="shared" si="180"/>
        <v>1.6970588235294117</v>
      </c>
      <c r="J1467" s="60">
        <f t="shared" si="181"/>
        <v>-195</v>
      </c>
      <c r="K1467" s="60">
        <f t="shared" si="182"/>
        <v>1.5823529411764705</v>
      </c>
      <c r="L1467" s="60">
        <f t="shared" si="183"/>
        <v>-0.11470588235294121</v>
      </c>
    </row>
    <row r="1468" spans="1:12" x14ac:dyDescent="0.25">
      <c r="A1468" s="61">
        <v>5114</v>
      </c>
      <c r="B1468" s="61" t="s">
        <v>145</v>
      </c>
      <c r="C1468" s="57">
        <v>1146</v>
      </c>
      <c r="D1468" s="57" t="s">
        <v>49</v>
      </c>
      <c r="E1468" s="67">
        <v>46105</v>
      </c>
      <c r="F1468" s="62">
        <v>2230</v>
      </c>
      <c r="G1468" s="62">
        <v>2101</v>
      </c>
      <c r="H1468" s="62">
        <v>1820</v>
      </c>
      <c r="I1468" s="60">
        <f t="shared" ref="I1468:I1473" si="184">G1468/C1468</f>
        <v>1.8333333333333333</v>
      </c>
      <c r="J1468" s="60">
        <f t="shared" ref="J1468:J1527" si="185">SUM(H1468-G1468)</f>
        <v>-281</v>
      </c>
      <c r="K1468" s="60">
        <f t="shared" ref="K1468:K1527" si="186">H1468/C1468</f>
        <v>1.588132635253054</v>
      </c>
      <c r="L1468" s="60">
        <f t="shared" ref="L1468:L1527" si="187">K1468-I1468</f>
        <v>-0.24520069808027922</v>
      </c>
    </row>
    <row r="1469" spans="1:12" x14ac:dyDescent="0.25">
      <c r="A1469" s="61">
        <v>5112</v>
      </c>
      <c r="B1469" s="61" t="s">
        <v>59</v>
      </c>
      <c r="C1469" s="57">
        <v>1115</v>
      </c>
      <c r="D1469" s="57" t="s">
        <v>352</v>
      </c>
      <c r="E1469" s="67">
        <v>46106</v>
      </c>
      <c r="F1469" s="62">
        <v>2215</v>
      </c>
      <c r="G1469" s="62">
        <v>2009</v>
      </c>
      <c r="H1469" s="62">
        <v>2009</v>
      </c>
      <c r="I1469" s="60">
        <f t="shared" si="184"/>
        <v>1.8017937219730942</v>
      </c>
      <c r="J1469" s="60">
        <f t="shared" si="185"/>
        <v>0</v>
      </c>
      <c r="K1469" s="60">
        <f t="shared" si="186"/>
        <v>1.8017937219730942</v>
      </c>
      <c r="L1469" s="60">
        <f t="shared" si="187"/>
        <v>0</v>
      </c>
    </row>
    <row r="1470" spans="1:12" x14ac:dyDescent="0.25">
      <c r="A1470" s="61">
        <v>2110</v>
      </c>
      <c r="B1470" s="61" t="s">
        <v>57</v>
      </c>
      <c r="C1470" s="57">
        <v>700</v>
      </c>
      <c r="D1470" s="57" t="s">
        <v>352</v>
      </c>
      <c r="E1470" s="67">
        <v>46107</v>
      </c>
      <c r="F1470" s="62">
        <v>1610</v>
      </c>
      <c r="G1470" s="62">
        <v>1609</v>
      </c>
      <c r="H1470" s="62">
        <v>1609</v>
      </c>
      <c r="I1470" s="60">
        <f t="shared" si="184"/>
        <v>2.2985714285714285</v>
      </c>
      <c r="J1470" s="60">
        <f t="shared" si="185"/>
        <v>0</v>
      </c>
      <c r="K1470" s="60">
        <f t="shared" si="186"/>
        <v>2.2985714285714285</v>
      </c>
      <c r="L1470" s="60">
        <f t="shared" si="187"/>
        <v>0</v>
      </c>
    </row>
    <row r="1471" spans="1:12" x14ac:dyDescent="0.25">
      <c r="A1471" s="61">
        <v>4311</v>
      </c>
      <c r="B1471" s="61" t="s">
        <v>59</v>
      </c>
      <c r="C1471" s="57">
        <v>1115</v>
      </c>
      <c r="D1471" s="57" t="s">
        <v>352</v>
      </c>
      <c r="E1471" s="67">
        <v>46109</v>
      </c>
      <c r="F1471" s="62">
        <v>2185</v>
      </c>
      <c r="G1471" s="62">
        <v>2010</v>
      </c>
      <c r="H1471" s="62">
        <v>2010</v>
      </c>
      <c r="I1471" s="60">
        <f t="shared" si="184"/>
        <v>1.8026905829596414</v>
      </c>
      <c r="J1471" s="60">
        <f t="shared" si="185"/>
        <v>0</v>
      </c>
      <c r="K1471" s="60">
        <f t="shared" si="186"/>
        <v>1.8026905829596414</v>
      </c>
      <c r="L1471" s="60">
        <f t="shared" si="187"/>
        <v>0</v>
      </c>
    </row>
    <row r="1472" spans="1:12" x14ac:dyDescent="0.25">
      <c r="A1472" s="61">
        <v>2159</v>
      </c>
      <c r="B1472" s="61" t="s">
        <v>48</v>
      </c>
      <c r="C1472" s="57">
        <v>806</v>
      </c>
      <c r="D1472" s="57" t="s">
        <v>352</v>
      </c>
      <c r="E1472" s="67">
        <v>46110</v>
      </c>
      <c r="F1472" s="62">
        <v>1670</v>
      </c>
      <c r="G1472" s="62">
        <v>1607</v>
      </c>
      <c r="H1472" s="62">
        <v>1607</v>
      </c>
      <c r="I1472" s="60">
        <f t="shared" si="184"/>
        <v>1.9937965260545907</v>
      </c>
      <c r="J1472" s="60">
        <f t="shared" si="185"/>
        <v>0</v>
      </c>
      <c r="K1472" s="60">
        <f t="shared" si="186"/>
        <v>1.9937965260545907</v>
      </c>
      <c r="L1472" s="60">
        <f t="shared" si="187"/>
        <v>0</v>
      </c>
    </row>
    <row r="1473" spans="1:12" x14ac:dyDescent="0.25">
      <c r="A1473" s="61">
        <v>2348</v>
      </c>
      <c r="B1473" s="61" t="s">
        <v>86</v>
      </c>
      <c r="C1473" s="57">
        <v>810</v>
      </c>
      <c r="D1473" s="57" t="s">
        <v>49</v>
      </c>
      <c r="E1473" s="67">
        <v>46111</v>
      </c>
      <c r="F1473" s="62">
        <v>1630</v>
      </c>
      <c r="G1473" s="62">
        <v>1645</v>
      </c>
      <c r="H1473" s="62">
        <v>1425</v>
      </c>
      <c r="I1473" s="60">
        <f t="shared" si="184"/>
        <v>2.0308641975308643</v>
      </c>
      <c r="J1473" s="60">
        <f t="shared" si="185"/>
        <v>-220</v>
      </c>
      <c r="K1473" s="60">
        <f t="shared" si="186"/>
        <v>1.7592592592592593</v>
      </c>
      <c r="L1473" s="60">
        <f t="shared" si="187"/>
        <v>-0.27160493827160503</v>
      </c>
    </row>
    <row r="1474" spans="1:12" x14ac:dyDescent="0.25">
      <c r="A1474" s="61">
        <v>1103</v>
      </c>
      <c r="B1474" s="61" t="s">
        <v>137</v>
      </c>
      <c r="C1474" s="57">
        <v>1700</v>
      </c>
      <c r="D1474" s="57" t="s">
        <v>352</v>
      </c>
      <c r="E1474" s="67">
        <v>46114</v>
      </c>
      <c r="F1474" s="62">
        <v>3045</v>
      </c>
      <c r="G1474" s="62">
        <v>2425</v>
      </c>
      <c r="H1474" s="62">
        <v>2475</v>
      </c>
      <c r="I1474" s="60">
        <f t="shared" ref="I1474:I1483" si="188">G1474/C1474</f>
        <v>1.4264705882352942</v>
      </c>
      <c r="J1474" s="60">
        <f t="shared" si="185"/>
        <v>50</v>
      </c>
      <c r="K1474" s="60">
        <f t="shared" si="186"/>
        <v>1.4558823529411764</v>
      </c>
      <c r="L1474" s="60">
        <f t="shared" si="187"/>
        <v>2.9411764705882248E-2</v>
      </c>
    </row>
    <row r="1475" spans="1:12" x14ac:dyDescent="0.25">
      <c r="A1475" s="61">
        <v>1106</v>
      </c>
      <c r="B1475" s="61" t="s">
        <v>137</v>
      </c>
      <c r="C1475" s="57">
        <v>1700</v>
      </c>
      <c r="D1475" s="57" t="s">
        <v>352</v>
      </c>
      <c r="E1475" s="67">
        <v>46111</v>
      </c>
      <c r="F1475" s="62">
        <v>3045</v>
      </c>
      <c r="G1475" s="62">
        <v>2887</v>
      </c>
      <c r="H1475" s="62">
        <v>2887</v>
      </c>
      <c r="I1475" s="60">
        <f t="shared" si="188"/>
        <v>1.6982352941176471</v>
      </c>
      <c r="J1475" s="60">
        <f t="shared" si="185"/>
        <v>0</v>
      </c>
      <c r="K1475" s="60">
        <f t="shared" si="186"/>
        <v>1.6982352941176471</v>
      </c>
      <c r="L1475" s="60">
        <f t="shared" si="187"/>
        <v>0</v>
      </c>
    </row>
    <row r="1476" spans="1:12" x14ac:dyDescent="0.25">
      <c r="A1476" s="61">
        <v>2164</v>
      </c>
      <c r="B1476" s="61" t="s">
        <v>48</v>
      </c>
      <c r="C1476" s="57">
        <v>806</v>
      </c>
      <c r="D1476" s="57" t="s">
        <v>49</v>
      </c>
      <c r="E1476" s="67">
        <v>46115</v>
      </c>
      <c r="F1476" s="62">
        <v>1670</v>
      </c>
      <c r="G1476" s="62">
        <v>1690</v>
      </c>
      <c r="H1476" s="62">
        <v>1395</v>
      </c>
      <c r="I1476" s="60">
        <f t="shared" si="188"/>
        <v>2.096774193548387</v>
      </c>
      <c r="J1476" s="60">
        <f t="shared" si="185"/>
        <v>-295</v>
      </c>
      <c r="K1476" s="60">
        <f t="shared" si="186"/>
        <v>1.7307692307692308</v>
      </c>
      <c r="L1476" s="60">
        <f t="shared" si="187"/>
        <v>-0.36600496277915617</v>
      </c>
    </row>
    <row r="1477" spans="1:12" x14ac:dyDescent="0.25">
      <c r="A1477" s="61">
        <v>2109</v>
      </c>
      <c r="B1477" s="61" t="s">
        <v>61</v>
      </c>
      <c r="C1477" s="57">
        <v>820</v>
      </c>
      <c r="D1477" s="57" t="s">
        <v>49</v>
      </c>
      <c r="E1477" s="67">
        <v>46120</v>
      </c>
      <c r="F1477" s="62">
        <v>1665</v>
      </c>
      <c r="G1477" s="62">
        <v>1490</v>
      </c>
      <c r="H1477" s="62">
        <v>1410</v>
      </c>
      <c r="I1477" s="60">
        <f t="shared" si="188"/>
        <v>1.8170731707317074</v>
      </c>
      <c r="J1477" s="60">
        <f t="shared" si="185"/>
        <v>-80</v>
      </c>
      <c r="K1477" s="60">
        <f t="shared" si="186"/>
        <v>1.7195121951219512</v>
      </c>
      <c r="L1477" s="60">
        <f t="shared" si="187"/>
        <v>-9.7560975609756184E-2</v>
      </c>
    </row>
    <row r="1478" spans="1:12" x14ac:dyDescent="0.25">
      <c r="A1478" s="61">
        <v>2134</v>
      </c>
      <c r="B1478" s="61" t="s">
        <v>355</v>
      </c>
      <c r="C1478" s="57">
        <v>810</v>
      </c>
      <c r="D1478" s="57" t="s">
        <v>49</v>
      </c>
      <c r="E1478" s="67">
        <v>46122</v>
      </c>
      <c r="F1478" s="62">
        <v>1630</v>
      </c>
      <c r="G1478" s="62">
        <v>1325</v>
      </c>
      <c r="H1478" s="62">
        <v>1425</v>
      </c>
      <c r="I1478" s="60">
        <f t="shared" si="188"/>
        <v>1.6358024691358024</v>
      </c>
      <c r="J1478" s="60">
        <f t="shared" si="185"/>
        <v>100</v>
      </c>
      <c r="K1478" s="60">
        <f t="shared" si="186"/>
        <v>1.7592592592592593</v>
      </c>
      <c r="L1478" s="60">
        <f t="shared" si="187"/>
        <v>0.12345679012345689</v>
      </c>
    </row>
    <row r="1479" spans="1:12" x14ac:dyDescent="0.25">
      <c r="A1479" s="61">
        <v>5204</v>
      </c>
      <c r="B1479" s="61" t="s">
        <v>59</v>
      </c>
      <c r="C1479" s="57">
        <v>1115</v>
      </c>
      <c r="D1479" s="57" t="s">
        <v>49</v>
      </c>
      <c r="E1479" s="67">
        <v>46118</v>
      </c>
      <c r="F1479" s="62">
        <v>2215</v>
      </c>
      <c r="G1479" s="62">
        <v>1770</v>
      </c>
      <c r="H1479" s="62">
        <v>1825</v>
      </c>
      <c r="I1479" s="60">
        <f t="shared" si="188"/>
        <v>1.5874439461883407</v>
      </c>
      <c r="J1479" s="60">
        <f t="shared" si="185"/>
        <v>55</v>
      </c>
      <c r="K1479" s="60">
        <f t="shared" si="186"/>
        <v>1.6367713004484306</v>
      </c>
      <c r="L1479" s="60">
        <f t="shared" si="187"/>
        <v>4.9327354260089828E-2</v>
      </c>
    </row>
    <row r="1480" spans="1:12" x14ac:dyDescent="0.25">
      <c r="A1480" s="61">
        <v>2205</v>
      </c>
      <c r="B1480" s="61" t="s">
        <v>57</v>
      </c>
      <c r="C1480" s="57">
        <v>700</v>
      </c>
      <c r="D1480" s="57" t="s">
        <v>49</v>
      </c>
      <c r="E1480" s="67">
        <v>46118</v>
      </c>
      <c r="F1480" s="62">
        <v>1565</v>
      </c>
      <c r="G1480" s="62">
        <v>1444</v>
      </c>
      <c r="H1480" s="62">
        <v>1480</v>
      </c>
      <c r="I1480" s="60">
        <f t="shared" si="188"/>
        <v>2.0628571428571427</v>
      </c>
      <c r="J1480" s="60">
        <f t="shared" si="185"/>
        <v>36</v>
      </c>
      <c r="K1480" s="60">
        <f t="shared" si="186"/>
        <v>2.1142857142857143</v>
      </c>
      <c r="L1480" s="60">
        <f t="shared" si="187"/>
        <v>5.1428571428571601E-2</v>
      </c>
    </row>
    <row r="1481" spans="1:12" x14ac:dyDescent="0.25">
      <c r="A1481" s="61">
        <v>2324</v>
      </c>
      <c r="B1481" s="61" t="s">
        <v>82</v>
      </c>
      <c r="C1481" s="57">
        <v>1112</v>
      </c>
      <c r="D1481" s="57" t="s">
        <v>49</v>
      </c>
      <c r="E1481" s="67">
        <v>46122</v>
      </c>
      <c r="F1481" s="62">
        <v>2195</v>
      </c>
      <c r="G1481" s="62">
        <v>1835</v>
      </c>
      <c r="H1481" s="62">
        <v>1835</v>
      </c>
      <c r="I1481" s="60">
        <f t="shared" si="188"/>
        <v>1.650179856115108</v>
      </c>
      <c r="J1481" s="60">
        <f t="shared" si="185"/>
        <v>0</v>
      </c>
      <c r="K1481" s="60">
        <f t="shared" si="186"/>
        <v>1.650179856115108</v>
      </c>
      <c r="L1481" s="60">
        <f t="shared" si="187"/>
        <v>0</v>
      </c>
    </row>
    <row r="1482" spans="1:12" x14ac:dyDescent="0.25">
      <c r="A1482" s="61">
        <v>2363</v>
      </c>
      <c r="B1482" s="61" t="s">
        <v>57</v>
      </c>
      <c r="C1482" s="57">
        <v>700</v>
      </c>
      <c r="D1482" s="57" t="s">
        <v>49</v>
      </c>
      <c r="E1482" s="67">
        <v>46118</v>
      </c>
      <c r="F1482" s="62">
        <v>1565</v>
      </c>
      <c r="G1482" s="62">
        <v>1345</v>
      </c>
      <c r="H1482" s="62">
        <v>1345</v>
      </c>
      <c r="I1482" s="60">
        <f t="shared" si="188"/>
        <v>1.9214285714285715</v>
      </c>
      <c r="J1482" s="60">
        <f t="shared" si="185"/>
        <v>0</v>
      </c>
      <c r="K1482" s="60">
        <f t="shared" si="186"/>
        <v>1.9214285714285715</v>
      </c>
      <c r="L1482" s="60">
        <f t="shared" si="187"/>
        <v>0</v>
      </c>
    </row>
    <row r="1483" spans="1:12" x14ac:dyDescent="0.25">
      <c r="A1483" s="61">
        <v>2222</v>
      </c>
      <c r="B1483" s="61" t="s">
        <v>355</v>
      </c>
      <c r="C1483" s="57">
        <v>810</v>
      </c>
      <c r="D1483" s="57" t="s">
        <v>49</v>
      </c>
      <c r="E1483" s="67">
        <v>46122</v>
      </c>
      <c r="F1483" s="62">
        <v>1650</v>
      </c>
      <c r="G1483" s="62">
        <v>1648</v>
      </c>
      <c r="H1483" s="62">
        <v>1434</v>
      </c>
      <c r="I1483" s="60">
        <f t="shared" si="188"/>
        <v>2.0345679012345679</v>
      </c>
      <c r="J1483" s="60">
        <f t="shared" si="185"/>
        <v>-214</v>
      </c>
      <c r="K1483" s="60">
        <f t="shared" si="186"/>
        <v>1.7703703703703704</v>
      </c>
      <c r="L1483" s="60">
        <f t="shared" si="187"/>
        <v>-0.26419753086419751</v>
      </c>
    </row>
    <row r="1484" spans="1:12" x14ac:dyDescent="0.25">
      <c r="A1484" s="61">
        <v>4301</v>
      </c>
      <c r="B1484" s="61" t="s">
        <v>59</v>
      </c>
      <c r="C1484" s="57">
        <v>1115</v>
      </c>
      <c r="D1484" s="57" t="s">
        <v>352</v>
      </c>
      <c r="E1484" s="67">
        <v>46123</v>
      </c>
      <c r="F1484" s="62">
        <v>2215</v>
      </c>
      <c r="G1484" s="62">
        <v>1943</v>
      </c>
      <c r="H1484" s="62">
        <v>1964</v>
      </c>
      <c r="I1484" s="60">
        <f t="shared" ref="I1484:I1493" si="189">G1484/C1484</f>
        <v>1.7426008968609865</v>
      </c>
      <c r="J1484" s="60">
        <f t="shared" si="185"/>
        <v>21</v>
      </c>
      <c r="K1484" s="60">
        <f t="shared" si="186"/>
        <v>1.7614349775784754</v>
      </c>
      <c r="L1484" s="60">
        <f t="shared" si="187"/>
        <v>1.8834080717488932E-2</v>
      </c>
    </row>
    <row r="1485" spans="1:12" x14ac:dyDescent="0.25">
      <c r="A1485" s="61">
        <v>4310</v>
      </c>
      <c r="B1485" s="61" t="s">
        <v>59</v>
      </c>
      <c r="C1485" s="57">
        <v>1115</v>
      </c>
      <c r="D1485" s="57" t="s">
        <v>352</v>
      </c>
      <c r="E1485" s="67">
        <v>46121</v>
      </c>
      <c r="F1485" s="62">
        <v>2485</v>
      </c>
      <c r="G1485" s="62">
        <v>2359</v>
      </c>
      <c r="H1485" s="62">
        <v>2445</v>
      </c>
      <c r="I1485" s="60">
        <f t="shared" si="189"/>
        <v>2.115695067264574</v>
      </c>
      <c r="J1485" s="60">
        <f t="shared" si="185"/>
        <v>86</v>
      </c>
      <c r="K1485" s="60">
        <f t="shared" si="186"/>
        <v>2.1928251121076232</v>
      </c>
      <c r="L1485" s="60">
        <f t="shared" si="187"/>
        <v>7.7130044843049195E-2</v>
      </c>
    </row>
    <row r="1486" spans="1:12" x14ac:dyDescent="0.25">
      <c r="A1486" s="61">
        <v>5202</v>
      </c>
      <c r="B1486" s="61" t="s">
        <v>145</v>
      </c>
      <c r="C1486" s="57">
        <v>1146</v>
      </c>
      <c r="D1486" s="57" t="s">
        <v>352</v>
      </c>
      <c r="E1486" s="67">
        <v>46123</v>
      </c>
      <c r="F1486" s="62">
        <v>2230</v>
      </c>
      <c r="G1486" s="62">
        <v>2065</v>
      </c>
      <c r="H1486" s="62">
        <v>2082</v>
      </c>
      <c r="I1486" s="60">
        <f t="shared" si="189"/>
        <v>1.8019197207678883</v>
      </c>
      <c r="J1486" s="60">
        <f t="shared" si="185"/>
        <v>17</v>
      </c>
      <c r="K1486" s="60">
        <f t="shared" si="186"/>
        <v>1.8167539267015707</v>
      </c>
      <c r="L1486" s="60">
        <f t="shared" si="187"/>
        <v>1.4834205933682343E-2</v>
      </c>
    </row>
    <row r="1487" spans="1:12" x14ac:dyDescent="0.25">
      <c r="A1487" s="61">
        <v>2265</v>
      </c>
      <c r="B1487" s="61" t="s">
        <v>65</v>
      </c>
      <c r="C1487" s="57">
        <v>813</v>
      </c>
      <c r="D1487" s="57" t="s">
        <v>49</v>
      </c>
      <c r="E1487" s="67">
        <v>46127</v>
      </c>
      <c r="F1487" s="62">
        <v>1630</v>
      </c>
      <c r="G1487" s="62">
        <v>1647</v>
      </c>
      <c r="H1487" s="62">
        <v>1445</v>
      </c>
      <c r="I1487" s="60">
        <f t="shared" si="189"/>
        <v>2.0258302583025829</v>
      </c>
      <c r="J1487" s="60">
        <f t="shared" si="185"/>
        <v>-202</v>
      </c>
      <c r="K1487" s="60">
        <f t="shared" si="186"/>
        <v>1.7773677736777367</v>
      </c>
      <c r="L1487" s="60">
        <f t="shared" si="187"/>
        <v>-0.24846248462484621</v>
      </c>
    </row>
    <row r="1488" spans="1:12" x14ac:dyDescent="0.25">
      <c r="A1488" s="61">
        <v>2215</v>
      </c>
      <c r="B1488" s="61" t="s">
        <v>61</v>
      </c>
      <c r="C1488" s="57">
        <v>820</v>
      </c>
      <c r="D1488" s="57" t="s">
        <v>49</v>
      </c>
      <c r="E1488" s="67">
        <v>46125</v>
      </c>
      <c r="F1488" s="62">
        <v>1665</v>
      </c>
      <c r="G1488" s="62">
        <v>1425</v>
      </c>
      <c r="H1488" s="62">
        <v>1450</v>
      </c>
      <c r="I1488" s="60">
        <f t="shared" si="189"/>
        <v>1.7378048780487805</v>
      </c>
      <c r="J1488" s="60">
        <f t="shared" si="185"/>
        <v>25</v>
      </c>
      <c r="K1488" s="60">
        <f t="shared" si="186"/>
        <v>1.7682926829268293</v>
      </c>
      <c r="L1488" s="60">
        <f t="shared" si="187"/>
        <v>3.0487804878048808E-2</v>
      </c>
    </row>
    <row r="1489" spans="1:12" x14ac:dyDescent="0.25">
      <c r="A1489" s="61">
        <v>2249</v>
      </c>
      <c r="B1489" s="61" t="s">
        <v>355</v>
      </c>
      <c r="C1489" s="57">
        <v>810</v>
      </c>
      <c r="D1489" s="57" t="s">
        <v>49</v>
      </c>
      <c r="E1489" s="67">
        <v>46125</v>
      </c>
      <c r="F1489" s="62">
        <v>1605</v>
      </c>
      <c r="G1489" s="62">
        <v>1464</v>
      </c>
      <c r="H1489" s="62">
        <v>1445</v>
      </c>
      <c r="I1489" s="60">
        <f t="shared" si="189"/>
        <v>1.8074074074074074</v>
      </c>
      <c r="J1489" s="60">
        <f t="shared" si="185"/>
        <v>-19</v>
      </c>
      <c r="K1489" s="60">
        <f t="shared" si="186"/>
        <v>1.7839506172839505</v>
      </c>
      <c r="L1489" s="60">
        <f t="shared" si="187"/>
        <v>-2.3456790123456805E-2</v>
      </c>
    </row>
    <row r="1490" spans="1:12" x14ac:dyDescent="0.25">
      <c r="A1490" s="61">
        <v>2327</v>
      </c>
      <c r="B1490" s="61" t="s">
        <v>57</v>
      </c>
      <c r="C1490" s="57">
        <v>700</v>
      </c>
      <c r="D1490" s="57" t="s">
        <v>352</v>
      </c>
      <c r="E1490" s="67">
        <v>46129</v>
      </c>
      <c r="F1490" s="62">
        <v>1565</v>
      </c>
      <c r="G1490" s="62">
        <v>1492</v>
      </c>
      <c r="H1490" s="62">
        <v>1492</v>
      </c>
      <c r="I1490" s="60">
        <f t="shared" si="189"/>
        <v>2.1314285714285712</v>
      </c>
      <c r="J1490" s="60">
        <f t="shared" si="185"/>
        <v>0</v>
      </c>
      <c r="K1490" s="60">
        <f t="shared" si="186"/>
        <v>2.1314285714285712</v>
      </c>
      <c r="L1490" s="60">
        <f t="shared" si="187"/>
        <v>0</v>
      </c>
    </row>
    <row r="1491" spans="1:12" x14ac:dyDescent="0.25">
      <c r="A1491" s="61">
        <v>2166</v>
      </c>
      <c r="B1491" s="61" t="s">
        <v>82</v>
      </c>
      <c r="C1491" s="57">
        <v>1112</v>
      </c>
      <c r="D1491" s="57" t="s">
        <v>49</v>
      </c>
      <c r="E1491" s="67">
        <v>46134</v>
      </c>
      <c r="F1491" s="62">
        <v>2195</v>
      </c>
      <c r="G1491" s="62">
        <v>2062</v>
      </c>
      <c r="H1491" s="62">
        <v>1800</v>
      </c>
      <c r="I1491" s="60">
        <f t="shared" si="189"/>
        <v>1.8543165467625899</v>
      </c>
      <c r="J1491" s="60">
        <f t="shared" si="185"/>
        <v>-262</v>
      </c>
      <c r="K1491" s="60">
        <f t="shared" si="186"/>
        <v>1.6187050359712229</v>
      </c>
      <c r="L1491" s="60">
        <f t="shared" si="187"/>
        <v>-0.235611510791367</v>
      </c>
    </row>
    <row r="1492" spans="1:12" x14ac:dyDescent="0.25">
      <c r="A1492" s="61">
        <v>2203</v>
      </c>
      <c r="B1492" s="61" t="s">
        <v>48</v>
      </c>
      <c r="C1492" s="57">
        <v>806</v>
      </c>
      <c r="D1492" s="57" t="s">
        <v>49</v>
      </c>
      <c r="E1492" s="67">
        <v>46133</v>
      </c>
      <c r="F1492" s="62">
        <v>1670</v>
      </c>
      <c r="G1492" s="62">
        <v>1455</v>
      </c>
      <c r="H1492" s="62">
        <v>1395</v>
      </c>
      <c r="I1492" s="60">
        <f t="shared" si="189"/>
        <v>1.805210918114144</v>
      </c>
      <c r="J1492" s="60">
        <f t="shared" si="185"/>
        <v>-60</v>
      </c>
      <c r="K1492" s="60">
        <f t="shared" si="186"/>
        <v>1.7307692307692308</v>
      </c>
      <c r="L1492" s="60">
        <f t="shared" si="187"/>
        <v>-7.4441687344913188E-2</v>
      </c>
    </row>
    <row r="1493" spans="1:12" x14ac:dyDescent="0.25">
      <c r="A1493" s="61">
        <v>5108</v>
      </c>
      <c r="B1493" s="61" t="s">
        <v>59</v>
      </c>
      <c r="C1493" s="57">
        <v>1115</v>
      </c>
      <c r="D1493" s="57" t="s">
        <v>352</v>
      </c>
      <c r="E1493" s="67">
        <v>46134</v>
      </c>
      <c r="F1493" s="62">
        <v>2215</v>
      </c>
      <c r="G1493" s="62">
        <v>2097</v>
      </c>
      <c r="H1493" s="62">
        <v>2097</v>
      </c>
      <c r="I1493" s="60">
        <f t="shared" si="189"/>
        <v>1.8807174887892377</v>
      </c>
      <c r="J1493" s="60">
        <f t="shared" si="185"/>
        <v>0</v>
      </c>
      <c r="K1493" s="60">
        <f t="shared" si="186"/>
        <v>1.8807174887892377</v>
      </c>
      <c r="L1493" s="60">
        <f t="shared" si="187"/>
        <v>0</v>
      </c>
    </row>
    <row r="1494" spans="1:12" x14ac:dyDescent="0.25">
      <c r="A1494" s="61">
        <v>5309</v>
      </c>
      <c r="B1494" s="61" t="s">
        <v>57</v>
      </c>
      <c r="C1494" s="57">
        <v>700</v>
      </c>
      <c r="D1494" s="57" t="s">
        <v>352</v>
      </c>
      <c r="E1494" s="67">
        <v>46138</v>
      </c>
      <c r="F1494" s="62">
        <v>1565</v>
      </c>
      <c r="G1494" s="62">
        <v>1575</v>
      </c>
      <c r="H1494" s="62">
        <v>1657</v>
      </c>
      <c r="I1494" s="60">
        <f t="shared" ref="I1494:I1503" si="190">G1494/C1494</f>
        <v>2.25</v>
      </c>
      <c r="J1494" s="60">
        <f t="shared" si="185"/>
        <v>82</v>
      </c>
      <c r="K1494" s="60">
        <f t="shared" si="186"/>
        <v>2.367142857142857</v>
      </c>
      <c r="L1494" s="60">
        <f t="shared" si="187"/>
        <v>0.11714285714285699</v>
      </c>
    </row>
    <row r="1495" spans="1:12" x14ac:dyDescent="0.25">
      <c r="A1495" s="61">
        <v>2114</v>
      </c>
      <c r="B1495" s="61" t="s">
        <v>61</v>
      </c>
      <c r="C1495" s="57">
        <v>820</v>
      </c>
      <c r="D1495" s="57" t="s">
        <v>49</v>
      </c>
      <c r="E1495" s="67">
        <v>46143</v>
      </c>
      <c r="F1495" s="62">
        <v>1710</v>
      </c>
      <c r="G1495" s="62">
        <v>1525</v>
      </c>
      <c r="H1495" s="62">
        <v>1620</v>
      </c>
      <c r="I1495" s="60">
        <f t="shared" si="190"/>
        <v>1.8597560975609757</v>
      </c>
      <c r="J1495" s="60">
        <f t="shared" si="185"/>
        <v>95</v>
      </c>
      <c r="K1495" s="60">
        <f t="shared" si="186"/>
        <v>1.975609756097561</v>
      </c>
      <c r="L1495" s="60">
        <f t="shared" si="187"/>
        <v>0.11585365853658525</v>
      </c>
    </row>
    <row r="1496" spans="1:12" x14ac:dyDescent="0.25">
      <c r="A1496" s="61">
        <v>5104</v>
      </c>
      <c r="B1496" s="61" t="s">
        <v>59</v>
      </c>
      <c r="C1496" s="57">
        <v>1115</v>
      </c>
      <c r="D1496" s="57" t="s">
        <v>49</v>
      </c>
      <c r="E1496" s="67">
        <v>46139</v>
      </c>
      <c r="F1496" s="62">
        <v>2215</v>
      </c>
      <c r="G1496" s="62">
        <v>2045</v>
      </c>
      <c r="H1496" s="62">
        <v>1820</v>
      </c>
      <c r="I1496" s="60">
        <f t="shared" si="190"/>
        <v>1.8340807174887892</v>
      </c>
      <c r="J1496" s="60">
        <f t="shared" si="185"/>
        <v>-225</v>
      </c>
      <c r="K1496" s="60">
        <f t="shared" si="186"/>
        <v>1.6322869955156951</v>
      </c>
      <c r="L1496" s="60">
        <f t="shared" si="187"/>
        <v>-0.20179372197309409</v>
      </c>
    </row>
    <row r="1497" spans="1:12" x14ac:dyDescent="0.25">
      <c r="A1497" s="61">
        <v>5103</v>
      </c>
      <c r="B1497" s="61" t="s">
        <v>48</v>
      </c>
      <c r="C1497" s="57">
        <v>806</v>
      </c>
      <c r="D1497" s="57" t="s">
        <v>49</v>
      </c>
      <c r="E1497" s="67">
        <v>46143</v>
      </c>
      <c r="F1497" s="62">
        <v>1670</v>
      </c>
      <c r="G1497" s="62">
        <v>1425</v>
      </c>
      <c r="H1497" s="62">
        <v>1480</v>
      </c>
      <c r="I1497" s="60">
        <f t="shared" si="190"/>
        <v>1.7679900744416874</v>
      </c>
      <c r="J1497" s="60">
        <f t="shared" si="185"/>
        <v>55</v>
      </c>
      <c r="K1497" s="60">
        <f t="shared" si="186"/>
        <v>1.8362282878411911</v>
      </c>
      <c r="L1497" s="60">
        <f t="shared" si="187"/>
        <v>6.8238213399503644E-2</v>
      </c>
    </row>
    <row r="1498" spans="1:12" x14ac:dyDescent="0.25">
      <c r="A1498" s="61">
        <v>2102</v>
      </c>
      <c r="B1498" s="61" t="s">
        <v>355</v>
      </c>
      <c r="C1498" s="57">
        <v>810</v>
      </c>
      <c r="D1498" s="57" t="s">
        <v>352</v>
      </c>
      <c r="E1498" s="67">
        <v>46139</v>
      </c>
      <c r="F1498" s="62">
        <v>1650</v>
      </c>
      <c r="G1498" s="62">
        <v>1682</v>
      </c>
      <c r="H1498" s="62">
        <v>1715</v>
      </c>
      <c r="I1498" s="60">
        <f t="shared" si="190"/>
        <v>2.0765432098765433</v>
      </c>
      <c r="J1498" s="60">
        <f t="shared" si="185"/>
        <v>33</v>
      </c>
      <c r="K1498" s="60">
        <f t="shared" si="186"/>
        <v>2.117283950617284</v>
      </c>
      <c r="L1498" s="60">
        <f t="shared" si="187"/>
        <v>4.0740740740740744E-2</v>
      </c>
    </row>
    <row r="1499" spans="1:12" x14ac:dyDescent="0.25">
      <c r="A1499" s="61">
        <v>4111</v>
      </c>
      <c r="B1499" s="61" t="s">
        <v>48</v>
      </c>
      <c r="C1499" s="57">
        <v>806</v>
      </c>
      <c r="D1499" s="57" t="s">
        <v>352</v>
      </c>
      <c r="E1499" s="67">
        <v>46141</v>
      </c>
      <c r="F1499" s="62">
        <v>1670</v>
      </c>
      <c r="G1499" s="62">
        <v>1594</v>
      </c>
      <c r="H1499" s="62">
        <v>1594</v>
      </c>
      <c r="I1499" s="60">
        <f t="shared" si="190"/>
        <v>1.977667493796526</v>
      </c>
      <c r="J1499" s="60">
        <f t="shared" si="185"/>
        <v>0</v>
      </c>
      <c r="K1499" s="60">
        <f t="shared" si="186"/>
        <v>1.977667493796526</v>
      </c>
      <c r="L1499" s="60">
        <f t="shared" si="187"/>
        <v>0</v>
      </c>
    </row>
    <row r="1500" spans="1:12" x14ac:dyDescent="0.25">
      <c r="A1500" s="61">
        <v>2212</v>
      </c>
      <c r="B1500" s="61" t="s">
        <v>57</v>
      </c>
      <c r="C1500" s="57">
        <v>700</v>
      </c>
      <c r="D1500" s="57" t="s">
        <v>49</v>
      </c>
      <c r="E1500" s="67">
        <v>46150</v>
      </c>
      <c r="F1500" s="62">
        <v>1610</v>
      </c>
      <c r="G1500" s="62">
        <v>1497</v>
      </c>
      <c r="H1500" s="62">
        <v>1500</v>
      </c>
      <c r="I1500" s="60">
        <f t="shared" si="190"/>
        <v>2.1385714285714288</v>
      </c>
      <c r="J1500" s="60">
        <f t="shared" si="185"/>
        <v>3</v>
      </c>
      <c r="K1500" s="60">
        <f t="shared" si="186"/>
        <v>2.1428571428571428</v>
      </c>
      <c r="L1500" s="60">
        <f t="shared" si="187"/>
        <v>4.285714285714004E-3</v>
      </c>
    </row>
    <row r="1501" spans="1:12" x14ac:dyDescent="0.25">
      <c r="A1501" s="61">
        <v>2336</v>
      </c>
      <c r="B1501" s="61" t="s">
        <v>355</v>
      </c>
      <c r="C1501" s="57">
        <v>810</v>
      </c>
      <c r="D1501" s="57" t="s">
        <v>49</v>
      </c>
      <c r="E1501" s="67">
        <v>46146</v>
      </c>
      <c r="F1501" s="62">
        <v>1630</v>
      </c>
      <c r="G1501" s="62">
        <v>1540</v>
      </c>
      <c r="H1501" s="62">
        <v>1425</v>
      </c>
      <c r="I1501" s="60">
        <f t="shared" si="190"/>
        <v>1.9012345679012346</v>
      </c>
      <c r="J1501" s="60">
        <f t="shared" si="185"/>
        <v>-115</v>
      </c>
      <c r="K1501" s="60">
        <f t="shared" si="186"/>
        <v>1.7592592592592593</v>
      </c>
      <c r="L1501" s="60">
        <f t="shared" si="187"/>
        <v>-0.14197530864197527</v>
      </c>
    </row>
    <row r="1502" spans="1:12" x14ac:dyDescent="0.25">
      <c r="A1502" s="61">
        <v>2145</v>
      </c>
      <c r="B1502" s="61" t="s">
        <v>57</v>
      </c>
      <c r="C1502" s="57">
        <v>700</v>
      </c>
      <c r="D1502" s="57" t="s">
        <v>49</v>
      </c>
      <c r="E1502" s="67">
        <v>46149</v>
      </c>
      <c r="F1502" s="62">
        <v>1565</v>
      </c>
      <c r="G1502" s="62">
        <v>1500</v>
      </c>
      <c r="H1502" s="62">
        <v>1385</v>
      </c>
      <c r="I1502" s="60">
        <f t="shared" si="190"/>
        <v>2.1428571428571428</v>
      </c>
      <c r="J1502" s="60">
        <f t="shared" si="185"/>
        <v>-115</v>
      </c>
      <c r="K1502" s="60">
        <f t="shared" si="186"/>
        <v>1.9785714285714286</v>
      </c>
      <c r="L1502" s="60">
        <f t="shared" si="187"/>
        <v>-0.16428571428571415</v>
      </c>
    </row>
    <row r="1503" spans="1:12" x14ac:dyDescent="0.25">
      <c r="A1503" s="61">
        <v>2302</v>
      </c>
      <c r="B1503" s="61" t="s">
        <v>355</v>
      </c>
      <c r="C1503" s="57">
        <v>810</v>
      </c>
      <c r="D1503" s="57" t="s">
        <v>49</v>
      </c>
      <c r="E1503" s="67">
        <v>46146</v>
      </c>
      <c r="F1503" s="62">
        <v>1650</v>
      </c>
      <c r="G1503" s="62">
        <v>1535</v>
      </c>
      <c r="H1503" s="62">
        <v>1530</v>
      </c>
      <c r="I1503" s="60">
        <f t="shared" si="190"/>
        <v>1.8950617283950617</v>
      </c>
      <c r="J1503" s="60">
        <f t="shared" si="185"/>
        <v>-5</v>
      </c>
      <c r="K1503" s="60">
        <f t="shared" si="186"/>
        <v>1.8888888888888888</v>
      </c>
      <c r="L1503" s="60">
        <f t="shared" si="187"/>
        <v>-6.1728395061728669E-3</v>
      </c>
    </row>
    <row r="1504" spans="1:12" x14ac:dyDescent="0.25">
      <c r="A1504" s="61">
        <v>2160</v>
      </c>
      <c r="B1504" s="61" t="s">
        <v>74</v>
      </c>
      <c r="C1504" s="57">
        <v>1164</v>
      </c>
      <c r="D1504" s="57" t="s">
        <v>352</v>
      </c>
      <c r="E1504" s="67">
        <v>46147</v>
      </c>
      <c r="F1504" s="62">
        <v>2290</v>
      </c>
      <c r="G1504" s="62">
        <v>1880</v>
      </c>
      <c r="H1504" s="62">
        <v>1880</v>
      </c>
      <c r="I1504" s="60">
        <f t="shared" ref="I1504:I1513" si="191">G1504/C1504</f>
        <v>1.6151202749140894</v>
      </c>
      <c r="J1504" s="60">
        <f t="shared" si="185"/>
        <v>0</v>
      </c>
      <c r="K1504" s="60">
        <f t="shared" si="186"/>
        <v>1.6151202749140894</v>
      </c>
      <c r="L1504" s="60">
        <f t="shared" si="187"/>
        <v>0</v>
      </c>
    </row>
    <row r="1505" spans="1:12" x14ac:dyDescent="0.25">
      <c r="A1505" s="61">
        <v>2309</v>
      </c>
      <c r="B1505" s="61" t="s">
        <v>61</v>
      </c>
      <c r="C1505" s="57">
        <v>820</v>
      </c>
      <c r="D1505" s="57" t="s">
        <v>352</v>
      </c>
      <c r="E1505" s="67">
        <v>46149</v>
      </c>
      <c r="F1505" s="62">
        <v>1695</v>
      </c>
      <c r="G1505" s="62">
        <v>1632</v>
      </c>
      <c r="H1505" s="62">
        <v>1632</v>
      </c>
      <c r="I1505" s="60">
        <f t="shared" si="191"/>
        <v>1.9902439024390244</v>
      </c>
      <c r="J1505" s="60">
        <f t="shared" si="185"/>
        <v>0</v>
      </c>
      <c r="K1505" s="60">
        <f t="shared" si="186"/>
        <v>1.9902439024390244</v>
      </c>
      <c r="L1505" s="60">
        <f t="shared" si="187"/>
        <v>0</v>
      </c>
    </row>
    <row r="1506" spans="1:12" x14ac:dyDescent="0.25">
      <c r="A1506" s="61">
        <v>2347</v>
      </c>
      <c r="B1506" s="61" t="s">
        <v>354</v>
      </c>
      <c r="C1506" s="57">
        <v>950</v>
      </c>
      <c r="D1506" s="57" t="s">
        <v>352</v>
      </c>
      <c r="E1506" s="67">
        <v>46146</v>
      </c>
      <c r="F1506" s="62">
        <v>1845</v>
      </c>
      <c r="G1506" s="62">
        <v>1690</v>
      </c>
      <c r="H1506" s="62">
        <v>1690</v>
      </c>
      <c r="I1506" s="60">
        <f t="shared" si="191"/>
        <v>1.7789473684210526</v>
      </c>
      <c r="J1506" s="60">
        <f t="shared" si="185"/>
        <v>0</v>
      </c>
      <c r="K1506" s="60">
        <f t="shared" si="186"/>
        <v>1.7789473684210526</v>
      </c>
      <c r="L1506" s="60">
        <f t="shared" si="187"/>
        <v>0</v>
      </c>
    </row>
    <row r="1507" spans="1:12" x14ac:dyDescent="0.25">
      <c r="A1507" s="61">
        <v>5115</v>
      </c>
      <c r="B1507" s="61" t="s">
        <v>151</v>
      </c>
      <c r="C1507" s="57">
        <v>1141</v>
      </c>
      <c r="D1507" s="57" t="s">
        <v>352</v>
      </c>
      <c r="E1507" s="67">
        <v>46148</v>
      </c>
      <c r="F1507" s="62">
        <v>2200</v>
      </c>
      <c r="G1507" s="62">
        <v>2285</v>
      </c>
      <c r="H1507" s="62">
        <v>2285</v>
      </c>
      <c r="I1507" s="60">
        <f t="shared" si="191"/>
        <v>2.0026292725679227</v>
      </c>
      <c r="J1507" s="60">
        <f t="shared" si="185"/>
        <v>0</v>
      </c>
      <c r="K1507" s="60">
        <f t="shared" si="186"/>
        <v>2.0026292725679227</v>
      </c>
      <c r="L1507" s="60">
        <f t="shared" si="187"/>
        <v>0</v>
      </c>
    </row>
    <row r="1508" spans="1:12" x14ac:dyDescent="0.25">
      <c r="A1508" s="61">
        <v>2234</v>
      </c>
      <c r="B1508" s="61" t="s">
        <v>355</v>
      </c>
      <c r="C1508" s="57">
        <v>810</v>
      </c>
      <c r="D1508" s="57" t="s">
        <v>49</v>
      </c>
      <c r="E1508" s="67">
        <v>46153</v>
      </c>
      <c r="F1508" s="62">
        <v>1630</v>
      </c>
      <c r="G1508" s="62">
        <v>1430</v>
      </c>
      <c r="H1508" s="62">
        <v>1375</v>
      </c>
      <c r="I1508" s="60">
        <f t="shared" si="191"/>
        <v>1.7654320987654322</v>
      </c>
      <c r="J1508" s="60">
        <f t="shared" si="185"/>
        <v>-55</v>
      </c>
      <c r="K1508" s="60">
        <f t="shared" si="186"/>
        <v>1.6975308641975309</v>
      </c>
      <c r="L1508" s="60">
        <f t="shared" si="187"/>
        <v>-6.7901234567901314E-2</v>
      </c>
    </row>
    <row r="1509" spans="1:12" x14ac:dyDescent="0.25">
      <c r="A1509" s="61">
        <v>2325</v>
      </c>
      <c r="B1509" s="61" t="s">
        <v>59</v>
      </c>
      <c r="C1509" s="57">
        <v>1115</v>
      </c>
      <c r="D1509" s="57" t="s">
        <v>49</v>
      </c>
      <c r="E1509" s="67">
        <v>46153</v>
      </c>
      <c r="F1509" s="62">
        <v>2185</v>
      </c>
      <c r="G1509" s="62">
        <v>1892</v>
      </c>
      <c r="H1509" s="62">
        <v>1795</v>
      </c>
      <c r="I1509" s="60">
        <f t="shared" si="191"/>
        <v>1.6968609865470852</v>
      </c>
      <c r="J1509" s="60">
        <f t="shared" si="185"/>
        <v>-97</v>
      </c>
      <c r="K1509" s="60">
        <f t="shared" si="186"/>
        <v>1.6098654708520179</v>
      </c>
      <c r="L1509" s="60">
        <f t="shared" si="187"/>
        <v>-8.6995515695067249E-2</v>
      </c>
    </row>
    <row r="1510" spans="1:12" x14ac:dyDescent="0.25">
      <c r="A1510" s="61">
        <v>2311</v>
      </c>
      <c r="B1510" s="61" t="s">
        <v>59</v>
      </c>
      <c r="C1510" s="57">
        <v>1115</v>
      </c>
      <c r="D1510" s="57" t="s">
        <v>49</v>
      </c>
      <c r="E1510" s="67">
        <v>46153</v>
      </c>
      <c r="F1510" s="62">
        <v>2215</v>
      </c>
      <c r="G1510" s="62">
        <v>1960</v>
      </c>
      <c r="H1510" s="62">
        <v>1828</v>
      </c>
      <c r="I1510" s="60">
        <f t="shared" si="191"/>
        <v>1.757847533632287</v>
      </c>
      <c r="J1510" s="60">
        <f t="shared" si="185"/>
        <v>-132</v>
      </c>
      <c r="K1510" s="60">
        <f t="shared" si="186"/>
        <v>1.6394618834080716</v>
      </c>
      <c r="L1510" s="60">
        <f t="shared" si="187"/>
        <v>-0.11838565022421532</v>
      </c>
    </row>
    <row r="1511" spans="1:12" x14ac:dyDescent="0.25">
      <c r="A1511" s="61">
        <v>4102</v>
      </c>
      <c r="B1511" s="61" t="s">
        <v>151</v>
      </c>
      <c r="C1511" s="57">
        <v>1141</v>
      </c>
      <c r="D1511" s="57" t="s">
        <v>49</v>
      </c>
      <c r="E1511" s="67">
        <v>46157</v>
      </c>
      <c r="F1511" s="62">
        <v>2200</v>
      </c>
      <c r="G1511" s="62">
        <v>2285</v>
      </c>
      <c r="H1511" s="62">
        <v>2083</v>
      </c>
      <c r="I1511" s="60">
        <f t="shared" si="191"/>
        <v>2.0026292725679227</v>
      </c>
      <c r="J1511" s="60">
        <f t="shared" si="185"/>
        <v>-202</v>
      </c>
      <c r="K1511" s="60">
        <f t="shared" si="186"/>
        <v>1.8255915863277827</v>
      </c>
      <c r="L1511" s="60">
        <f t="shared" si="187"/>
        <v>-0.17703768624013994</v>
      </c>
    </row>
    <row r="1512" spans="1:12" x14ac:dyDescent="0.25">
      <c r="A1512" s="61">
        <v>4309</v>
      </c>
      <c r="B1512" s="61" t="s">
        <v>151</v>
      </c>
      <c r="C1512" s="57">
        <v>1141</v>
      </c>
      <c r="D1512" s="57" t="s">
        <v>352</v>
      </c>
      <c r="E1512" s="67">
        <v>46153</v>
      </c>
      <c r="F1512" s="62">
        <v>2200</v>
      </c>
      <c r="G1512" s="62">
        <v>2120</v>
      </c>
      <c r="H1512" s="62">
        <v>2120</v>
      </c>
      <c r="I1512" s="60">
        <f t="shared" si="191"/>
        <v>1.8580192813321648</v>
      </c>
      <c r="J1512" s="60">
        <f t="shared" si="185"/>
        <v>0</v>
      </c>
      <c r="K1512" s="60">
        <f t="shared" si="186"/>
        <v>1.8580192813321648</v>
      </c>
      <c r="L1512" s="60">
        <f t="shared" si="187"/>
        <v>0</v>
      </c>
    </row>
    <row r="1513" spans="1:12" x14ac:dyDescent="0.25">
      <c r="A1513" s="61">
        <v>2156</v>
      </c>
      <c r="B1513" s="61" t="s">
        <v>355</v>
      </c>
      <c r="C1513" s="57">
        <v>810</v>
      </c>
      <c r="D1513" s="57" t="s">
        <v>49</v>
      </c>
      <c r="E1513" s="67">
        <v>46160</v>
      </c>
      <c r="F1513" s="62">
        <v>1630</v>
      </c>
      <c r="G1513" s="62">
        <v>1510</v>
      </c>
      <c r="H1513" s="62">
        <v>1495</v>
      </c>
      <c r="I1513" s="60">
        <f t="shared" si="191"/>
        <v>1.8641975308641976</v>
      </c>
      <c r="J1513" s="60">
        <f t="shared" si="185"/>
        <v>-15</v>
      </c>
      <c r="K1513" s="60">
        <f t="shared" si="186"/>
        <v>1.845679012345679</v>
      </c>
      <c r="L1513" s="60">
        <f t="shared" si="187"/>
        <v>-1.8518518518518601E-2</v>
      </c>
    </row>
    <row r="1514" spans="1:12" x14ac:dyDescent="0.25">
      <c r="A1514" s="61">
        <v>2154</v>
      </c>
      <c r="B1514" s="61" t="s">
        <v>48</v>
      </c>
      <c r="C1514" s="57">
        <v>806</v>
      </c>
      <c r="D1514" s="57" t="s">
        <v>49</v>
      </c>
      <c r="E1514" s="67">
        <v>46161</v>
      </c>
      <c r="F1514" s="62">
        <v>1670</v>
      </c>
      <c r="G1514" s="62">
        <v>1545</v>
      </c>
      <c r="H1514" s="62">
        <v>1480</v>
      </c>
      <c r="I1514" s="60">
        <f t="shared" ref="I1514:I1522" si="192">G1514/C1514</f>
        <v>1.9168734491315136</v>
      </c>
      <c r="J1514" s="60">
        <f t="shared" si="185"/>
        <v>-65</v>
      </c>
      <c r="K1514" s="60">
        <f t="shared" si="186"/>
        <v>1.8362282878411911</v>
      </c>
      <c r="L1514" s="60">
        <f t="shared" si="187"/>
        <v>-8.0645161290322509E-2</v>
      </c>
    </row>
    <row r="1515" spans="1:12" x14ac:dyDescent="0.25">
      <c r="A1515" s="61">
        <v>2362</v>
      </c>
      <c r="B1515" s="61" t="s">
        <v>74</v>
      </c>
      <c r="C1515" s="57">
        <v>1164</v>
      </c>
      <c r="D1515" s="57" t="s">
        <v>49</v>
      </c>
      <c r="E1515" s="67">
        <v>46164</v>
      </c>
      <c r="F1515" s="62">
        <v>2290</v>
      </c>
      <c r="G1515" s="62">
        <v>2360</v>
      </c>
      <c r="H1515" s="62">
        <v>1930</v>
      </c>
      <c r="I1515" s="60">
        <f t="shared" si="192"/>
        <v>2.0274914089347078</v>
      </c>
      <c r="J1515" s="60">
        <f t="shared" si="185"/>
        <v>-430</v>
      </c>
      <c r="K1515" s="60">
        <f t="shared" si="186"/>
        <v>1.6580756013745706</v>
      </c>
      <c r="L1515" s="60">
        <f t="shared" si="187"/>
        <v>-0.36941580756013725</v>
      </c>
    </row>
    <row r="1516" spans="1:12" x14ac:dyDescent="0.25">
      <c r="A1516" s="61">
        <v>5212</v>
      </c>
      <c r="B1516" s="61" t="s">
        <v>59</v>
      </c>
      <c r="C1516" s="57">
        <v>1115</v>
      </c>
      <c r="D1516" s="57" t="s">
        <v>49</v>
      </c>
      <c r="E1516" s="67">
        <v>46162</v>
      </c>
      <c r="F1516" s="62">
        <v>2215</v>
      </c>
      <c r="G1516" s="62">
        <v>1956</v>
      </c>
      <c r="H1516" s="62">
        <v>1880</v>
      </c>
      <c r="I1516" s="60">
        <f t="shared" si="192"/>
        <v>1.7542600896860987</v>
      </c>
      <c r="J1516" s="60">
        <f t="shared" si="185"/>
        <v>-76</v>
      </c>
      <c r="K1516" s="60">
        <f t="shared" si="186"/>
        <v>1.6860986547085202</v>
      </c>
      <c r="L1516" s="60">
        <f t="shared" si="187"/>
        <v>-6.8161434977578539E-2</v>
      </c>
    </row>
    <row r="1517" spans="1:12" x14ac:dyDescent="0.25">
      <c r="A1517" s="61">
        <v>2121</v>
      </c>
      <c r="B1517" s="61" t="s">
        <v>65</v>
      </c>
      <c r="C1517" s="57">
        <v>813</v>
      </c>
      <c r="D1517" s="57" t="s">
        <v>352</v>
      </c>
      <c r="E1517" s="67">
        <v>46165</v>
      </c>
      <c r="F1517" s="62">
        <v>1630</v>
      </c>
      <c r="G1517" s="62">
        <v>1448</v>
      </c>
      <c r="H1517" s="62">
        <v>1470</v>
      </c>
      <c r="I1517" s="60">
        <f t="shared" si="192"/>
        <v>1.7810578105781059</v>
      </c>
      <c r="J1517" s="60">
        <f t="shared" si="185"/>
        <v>22</v>
      </c>
      <c r="K1517" s="60">
        <f t="shared" si="186"/>
        <v>1.8081180811808117</v>
      </c>
      <c r="L1517" s="60">
        <f t="shared" si="187"/>
        <v>2.7060270602705883E-2</v>
      </c>
    </row>
    <row r="1518" spans="1:12" x14ac:dyDescent="0.25">
      <c r="A1518" s="61">
        <v>2158</v>
      </c>
      <c r="B1518" s="61" t="s">
        <v>82</v>
      </c>
      <c r="C1518" s="57">
        <v>1112</v>
      </c>
      <c r="D1518" s="57" t="s">
        <v>352</v>
      </c>
      <c r="E1518" s="67">
        <v>46162</v>
      </c>
      <c r="F1518" s="62">
        <v>2175</v>
      </c>
      <c r="G1518" s="62">
        <v>1850</v>
      </c>
      <c r="H1518" s="62">
        <v>2128</v>
      </c>
      <c r="I1518" s="60">
        <f t="shared" si="192"/>
        <v>1.6636690647482015</v>
      </c>
      <c r="J1518" s="60">
        <f t="shared" si="185"/>
        <v>278</v>
      </c>
      <c r="K1518" s="60">
        <f t="shared" si="186"/>
        <v>1.9136690647482015</v>
      </c>
      <c r="L1518" s="60">
        <f t="shared" si="187"/>
        <v>0.25</v>
      </c>
    </row>
    <row r="1519" spans="1:12" x14ac:dyDescent="0.25">
      <c r="A1519" s="61">
        <v>2335</v>
      </c>
      <c r="B1519" s="61" t="s">
        <v>59</v>
      </c>
      <c r="C1519" s="57">
        <v>1115</v>
      </c>
      <c r="D1519" s="57" t="s">
        <v>352</v>
      </c>
      <c r="E1519" s="67">
        <v>46162</v>
      </c>
      <c r="F1519" s="62">
        <v>2185</v>
      </c>
      <c r="G1519" s="62">
        <v>1798</v>
      </c>
      <c r="H1519" s="62">
        <v>1798</v>
      </c>
      <c r="I1519" s="60">
        <f t="shared" si="192"/>
        <v>1.6125560538116592</v>
      </c>
      <c r="J1519" s="60">
        <f t="shared" si="185"/>
        <v>0</v>
      </c>
      <c r="K1519" s="60">
        <f t="shared" si="186"/>
        <v>1.6125560538116592</v>
      </c>
      <c r="L1519" s="60">
        <f t="shared" si="187"/>
        <v>0</v>
      </c>
    </row>
    <row r="1520" spans="1:12" x14ac:dyDescent="0.25">
      <c r="I1520" s="60" t="e">
        <f t="shared" si="192"/>
        <v>#DIV/0!</v>
      </c>
      <c r="J1520" s="60">
        <f t="shared" si="185"/>
        <v>0</v>
      </c>
      <c r="K1520" s="60" t="e">
        <f t="shared" si="186"/>
        <v>#DIV/0!</v>
      </c>
      <c r="L1520" s="60" t="e">
        <f t="shared" si="187"/>
        <v>#DIV/0!</v>
      </c>
    </row>
    <row r="1521" spans="9:12" x14ac:dyDescent="0.25">
      <c r="I1521" s="60" t="e">
        <f t="shared" si="192"/>
        <v>#DIV/0!</v>
      </c>
      <c r="J1521" s="60">
        <f t="shared" si="185"/>
        <v>0</v>
      </c>
      <c r="K1521" s="60" t="e">
        <f t="shared" si="186"/>
        <v>#DIV/0!</v>
      </c>
      <c r="L1521" s="60" t="e">
        <f t="shared" si="187"/>
        <v>#DIV/0!</v>
      </c>
    </row>
    <row r="1522" spans="9:12" x14ac:dyDescent="0.25">
      <c r="I1522" s="60" t="e">
        <f t="shared" si="192"/>
        <v>#DIV/0!</v>
      </c>
      <c r="J1522" s="60">
        <f t="shared" si="185"/>
        <v>0</v>
      </c>
      <c r="K1522" s="60" t="e">
        <f t="shared" si="186"/>
        <v>#DIV/0!</v>
      </c>
      <c r="L1522" s="60" t="e">
        <f t="shared" si="187"/>
        <v>#DIV/0!</v>
      </c>
    </row>
    <row r="1523" spans="9:12" x14ac:dyDescent="0.25">
      <c r="I1523" s="60"/>
      <c r="J1523" s="60">
        <f t="shared" si="185"/>
        <v>0</v>
      </c>
      <c r="K1523" s="60" t="e">
        <f t="shared" si="186"/>
        <v>#DIV/0!</v>
      </c>
      <c r="L1523" s="60" t="e">
        <f t="shared" si="187"/>
        <v>#DIV/0!</v>
      </c>
    </row>
    <row r="1524" spans="9:12" x14ac:dyDescent="0.25">
      <c r="I1524" s="60" t="e">
        <f t="shared" ref="I1524:I1527" si="193">G1524/C1524</f>
        <v>#DIV/0!</v>
      </c>
      <c r="J1524" s="60">
        <f t="shared" si="185"/>
        <v>0</v>
      </c>
      <c r="K1524" s="60" t="e">
        <f t="shared" si="186"/>
        <v>#DIV/0!</v>
      </c>
      <c r="L1524" s="60" t="e">
        <f t="shared" si="187"/>
        <v>#DIV/0!</v>
      </c>
    </row>
    <row r="1525" spans="9:12" x14ac:dyDescent="0.25">
      <c r="I1525" s="60" t="e">
        <f t="shared" si="193"/>
        <v>#DIV/0!</v>
      </c>
      <c r="J1525" s="60">
        <f t="shared" si="185"/>
        <v>0</v>
      </c>
      <c r="K1525" s="60" t="e">
        <f t="shared" si="186"/>
        <v>#DIV/0!</v>
      </c>
      <c r="L1525" s="60" t="e">
        <f t="shared" si="187"/>
        <v>#DIV/0!</v>
      </c>
    </row>
    <row r="1526" spans="9:12" x14ac:dyDescent="0.25">
      <c r="I1526" s="60" t="e">
        <f t="shared" si="193"/>
        <v>#DIV/0!</v>
      </c>
      <c r="J1526" s="60">
        <f t="shared" si="185"/>
        <v>0</v>
      </c>
      <c r="K1526" s="60" t="e">
        <f t="shared" si="186"/>
        <v>#DIV/0!</v>
      </c>
      <c r="L1526" s="60" t="e">
        <f t="shared" si="187"/>
        <v>#DIV/0!</v>
      </c>
    </row>
    <row r="1527" spans="9:12" x14ac:dyDescent="0.25">
      <c r="I1527" s="60" t="e">
        <f t="shared" si="193"/>
        <v>#DIV/0!</v>
      </c>
      <c r="J1527" s="60">
        <f t="shared" si="185"/>
        <v>0</v>
      </c>
      <c r="K1527" s="60" t="e">
        <f t="shared" si="186"/>
        <v>#DIV/0!</v>
      </c>
      <c r="L1527" s="60" t="e">
        <f t="shared" si="187"/>
        <v>#DIV/0!</v>
      </c>
    </row>
  </sheetData>
  <pageMargins left="0.7" right="0.7" top="0.75" bottom="0.75" header="0.3" footer="0.3"/>
  <pageSetup paperSize="5" scale="89" fitToHeight="0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C71-7045-4FC9-810F-3631F9B47095}">
  <sheetPr>
    <pageSetUpPr fitToPage="1"/>
  </sheetPr>
  <dimension ref="A1:O41"/>
  <sheetViews>
    <sheetView workbookViewId="0">
      <selection activeCell="P5" sqref="P5"/>
    </sheetView>
  </sheetViews>
  <sheetFormatPr defaultColWidth="8.85546875" defaultRowHeight="16.5" x14ac:dyDescent="0.3"/>
  <cols>
    <col min="1" max="3" width="8.85546875" style="4"/>
    <col min="4" max="4" width="10.5703125" style="5" bestFit="1" customWidth="1"/>
    <col min="5" max="5" width="10.42578125" style="4" customWidth="1"/>
    <col min="6" max="7" width="8.85546875" style="4"/>
    <col min="8" max="8" width="10.140625" style="4" customWidth="1"/>
    <col min="9" max="9" width="8.85546875" style="4"/>
    <col min="10" max="10" width="10.5703125" style="4" customWidth="1"/>
    <col min="11" max="14" width="8.85546875" style="4"/>
    <col min="15" max="15" width="35.5703125" style="4" customWidth="1"/>
    <col min="16" max="16384" width="8.85546875" style="4"/>
  </cols>
  <sheetData>
    <row r="1" spans="1:15" ht="30" x14ac:dyDescent="0.4">
      <c r="A1" s="16" t="s">
        <v>357</v>
      </c>
      <c r="N1" s="3" t="s">
        <v>358</v>
      </c>
      <c r="O1" s="14" t="s">
        <v>359</v>
      </c>
    </row>
    <row r="2" spans="1:15" x14ac:dyDescent="0.3">
      <c r="A2" s="1"/>
      <c r="N2" s="3" t="s">
        <v>360</v>
      </c>
      <c r="O2" s="15" t="s">
        <v>361</v>
      </c>
    </row>
    <row r="3" spans="1:15" x14ac:dyDescent="0.3">
      <c r="A3" s="1"/>
    </row>
    <row r="4" spans="1:15" x14ac:dyDescent="0.3">
      <c r="E4" s="72" t="s">
        <v>362</v>
      </c>
      <c r="F4" s="72"/>
      <c r="G4" s="72"/>
      <c r="H4" s="73" t="s">
        <v>363</v>
      </c>
      <c r="I4" s="73"/>
      <c r="J4" s="73"/>
      <c r="K4" s="73"/>
      <c r="L4" s="74" t="s">
        <v>364</v>
      </c>
      <c r="M4" s="74"/>
      <c r="N4" s="74"/>
    </row>
    <row r="5" spans="1:15" s="2" customFormat="1" x14ac:dyDescent="0.3">
      <c r="A5" s="2" t="s">
        <v>365</v>
      </c>
      <c r="B5" s="2" t="s">
        <v>36</v>
      </c>
      <c r="C5" s="2" t="s">
        <v>37</v>
      </c>
      <c r="D5" s="6" t="s">
        <v>366</v>
      </c>
      <c r="E5" s="17" t="s">
        <v>367</v>
      </c>
      <c r="F5" s="17" t="s">
        <v>368</v>
      </c>
      <c r="G5" s="17" t="s">
        <v>369</v>
      </c>
      <c r="H5" s="31" t="s">
        <v>367</v>
      </c>
      <c r="I5" s="31" t="s">
        <v>368</v>
      </c>
      <c r="J5" s="31" t="s">
        <v>370</v>
      </c>
      <c r="K5" s="31" t="s">
        <v>369</v>
      </c>
      <c r="L5" s="32" t="s">
        <v>44</v>
      </c>
      <c r="M5" s="32" t="s">
        <v>46</v>
      </c>
      <c r="N5" s="32" t="s">
        <v>4</v>
      </c>
      <c r="O5" s="2" t="s">
        <v>371</v>
      </c>
    </row>
    <row r="6" spans="1:15" ht="27" x14ac:dyDescent="0.3">
      <c r="A6" s="18">
        <v>3408</v>
      </c>
      <c r="B6" s="12" t="s">
        <v>372</v>
      </c>
      <c r="C6" s="19">
        <v>715</v>
      </c>
      <c r="D6" s="21">
        <v>44078</v>
      </c>
      <c r="E6" s="20">
        <v>1185</v>
      </c>
      <c r="F6" s="12">
        <v>11</v>
      </c>
      <c r="G6" s="9">
        <f>E7/C7</f>
        <v>1.6167400881057268</v>
      </c>
      <c r="H6" s="20">
        <v>1215</v>
      </c>
      <c r="I6" s="20">
        <v>14</v>
      </c>
      <c r="J6" s="13"/>
      <c r="K6" s="9">
        <f>H7/C7</f>
        <v>1.5991189427312775</v>
      </c>
      <c r="L6" s="8">
        <f>E7-H7</f>
        <v>12</v>
      </c>
      <c r="M6" s="8">
        <f>G6-K6</f>
        <v>1.7621145374449254E-2</v>
      </c>
      <c r="N6" s="7">
        <f>L6/E7</f>
        <v>1.0899182561307902E-2</v>
      </c>
      <c r="O6" s="10" t="s">
        <v>373</v>
      </c>
    </row>
    <row r="7" spans="1:15" ht="27" x14ac:dyDescent="0.3">
      <c r="A7" s="18" t="s">
        <v>374</v>
      </c>
      <c r="B7" s="12" t="s">
        <v>375</v>
      </c>
      <c r="C7" s="19">
        <v>681</v>
      </c>
      <c r="D7" s="21">
        <v>44087</v>
      </c>
      <c r="E7" s="20">
        <v>1101</v>
      </c>
      <c r="F7" s="12">
        <v>10</v>
      </c>
      <c r="G7" s="9">
        <f>E8/C8</f>
        <v>1.5594405594405594</v>
      </c>
      <c r="H7" s="20">
        <v>1089</v>
      </c>
      <c r="I7" s="12">
        <v>12</v>
      </c>
      <c r="J7" s="13"/>
      <c r="K7" s="9">
        <f>H8/C8</f>
        <v>1.4965034965034965</v>
      </c>
      <c r="L7" s="8">
        <f>E8-H8</f>
        <v>45</v>
      </c>
      <c r="M7" s="8">
        <f t="shared" ref="M7:M30" si="0">G7-K7</f>
        <v>6.2937062937062915E-2</v>
      </c>
      <c r="N7" s="7">
        <f>L7/E8</f>
        <v>4.0358744394618833E-2</v>
      </c>
      <c r="O7" s="10" t="s">
        <v>376</v>
      </c>
    </row>
    <row r="8" spans="1:15" ht="27" x14ac:dyDescent="0.3">
      <c r="A8" s="18" t="s">
        <v>377</v>
      </c>
      <c r="B8" s="12" t="s">
        <v>372</v>
      </c>
      <c r="C8" s="19">
        <v>715</v>
      </c>
      <c r="D8" s="21">
        <v>44092</v>
      </c>
      <c r="E8" s="20">
        <v>1115</v>
      </c>
      <c r="F8" s="12">
        <v>10</v>
      </c>
      <c r="G8" s="9">
        <f>E9/C9</f>
        <v>1.631424375917768</v>
      </c>
      <c r="H8" s="20">
        <v>1070</v>
      </c>
      <c r="I8" s="12">
        <v>13</v>
      </c>
      <c r="J8" s="13"/>
      <c r="K8" s="9">
        <f>H9/C9</f>
        <v>1.4889867841409692</v>
      </c>
      <c r="L8" s="8">
        <f>E9-H9</f>
        <v>97</v>
      </c>
      <c r="M8" s="8">
        <f t="shared" si="0"/>
        <v>0.14243759177679882</v>
      </c>
      <c r="N8" s="7">
        <f>L8/E9</f>
        <v>8.7308730873087312E-2</v>
      </c>
      <c r="O8" s="10" t="s">
        <v>378</v>
      </c>
    </row>
    <row r="9" spans="1:15" x14ac:dyDescent="0.3">
      <c r="A9" s="18" t="s">
        <v>379</v>
      </c>
      <c r="B9" s="12" t="s">
        <v>375</v>
      </c>
      <c r="C9" s="19">
        <v>681</v>
      </c>
      <c r="D9" s="21">
        <v>44094</v>
      </c>
      <c r="E9" s="20">
        <v>1111</v>
      </c>
      <c r="F9" s="12">
        <v>10</v>
      </c>
      <c r="G9" s="9">
        <f>E10/C10</f>
        <v>1.5255570117955439</v>
      </c>
      <c r="H9" s="20">
        <v>1014</v>
      </c>
      <c r="I9" s="12">
        <v>13</v>
      </c>
      <c r="J9" s="13"/>
      <c r="K9" s="9">
        <f>H10/C10</f>
        <v>1.5910878112712976</v>
      </c>
      <c r="L9" s="8">
        <f>E10-H10</f>
        <v>-50</v>
      </c>
      <c r="M9" s="8">
        <f t="shared" si="0"/>
        <v>-6.5530799475753687E-2</v>
      </c>
      <c r="N9" s="7">
        <f>L9/E10</f>
        <v>-4.29553264604811E-2</v>
      </c>
      <c r="O9" s="10"/>
    </row>
    <row r="10" spans="1:15" x14ac:dyDescent="0.3">
      <c r="A10" s="18" t="s">
        <v>123</v>
      </c>
      <c r="B10" s="12" t="s">
        <v>380</v>
      </c>
      <c r="C10" s="19">
        <v>763</v>
      </c>
      <c r="D10" s="21">
        <v>44094</v>
      </c>
      <c r="E10" s="20">
        <v>1164</v>
      </c>
      <c r="F10" s="12">
        <v>10</v>
      </c>
      <c r="G10" s="9">
        <f>E11/C11</f>
        <v>1.6167400881057268</v>
      </c>
      <c r="H10" s="20">
        <v>1214</v>
      </c>
      <c r="I10" s="12">
        <v>13</v>
      </c>
      <c r="J10" s="13"/>
      <c r="K10" s="9">
        <f>H11/C11</f>
        <v>1.5991189427312775</v>
      </c>
      <c r="L10" s="8">
        <f>E11-H11</f>
        <v>12</v>
      </c>
      <c r="M10" s="8">
        <f t="shared" si="0"/>
        <v>1.7621145374449254E-2</v>
      </c>
      <c r="N10" s="7">
        <f>L10/E11</f>
        <v>1.0899182561307902E-2</v>
      </c>
      <c r="O10" s="10"/>
    </row>
    <row r="11" spans="1:15" x14ac:dyDescent="0.3">
      <c r="A11" s="18" t="s">
        <v>381</v>
      </c>
      <c r="B11" s="12" t="s">
        <v>375</v>
      </c>
      <c r="C11" s="19">
        <v>681</v>
      </c>
      <c r="D11" s="21">
        <v>44097</v>
      </c>
      <c r="E11" s="20">
        <v>1101</v>
      </c>
      <c r="F11" s="12">
        <v>10</v>
      </c>
      <c r="G11" s="9">
        <f>E13/C13</f>
        <v>1.5779816513761469</v>
      </c>
      <c r="H11" s="20">
        <v>1089</v>
      </c>
      <c r="I11" s="12">
        <v>13</v>
      </c>
      <c r="J11" s="13"/>
      <c r="K11" s="9">
        <f>H13/C13</f>
        <v>1.6435124508519003</v>
      </c>
      <c r="L11" s="8">
        <f>E13-H13</f>
        <v>-50</v>
      </c>
      <c r="M11" s="8">
        <f t="shared" si="0"/>
        <v>-6.5530799475753465E-2</v>
      </c>
      <c r="N11" s="7">
        <f>L11/E13</f>
        <v>-4.1528239202657809E-2</v>
      </c>
      <c r="O11" s="10"/>
    </row>
    <row r="12" spans="1:15" x14ac:dyDescent="0.3">
      <c r="A12" s="18" t="s">
        <v>379</v>
      </c>
      <c r="B12" s="12" t="s">
        <v>375</v>
      </c>
      <c r="C12" s="19">
        <v>681</v>
      </c>
      <c r="D12" s="21">
        <v>44127</v>
      </c>
      <c r="E12" s="20">
        <v>1111</v>
      </c>
      <c r="F12" s="12">
        <v>10</v>
      </c>
      <c r="G12" s="9">
        <f>E14/C14</f>
        <v>1.6363636363636365</v>
      </c>
      <c r="H12" s="20">
        <v>1131</v>
      </c>
      <c r="I12" s="12">
        <v>13</v>
      </c>
      <c r="J12" s="13"/>
      <c r="K12" s="9">
        <f>H14/C14</f>
        <v>1.5762237762237763</v>
      </c>
      <c r="L12" s="8">
        <f>E14-H14</f>
        <v>43</v>
      </c>
      <c r="M12" s="8">
        <f t="shared" si="0"/>
        <v>6.0139860139860168E-2</v>
      </c>
      <c r="N12" s="7">
        <f>L12/E14</f>
        <v>3.6752136752136753E-2</v>
      </c>
      <c r="O12" s="10"/>
    </row>
    <row r="13" spans="1:15" x14ac:dyDescent="0.3">
      <c r="A13" s="18" t="s">
        <v>382</v>
      </c>
      <c r="B13" s="12" t="s">
        <v>380</v>
      </c>
      <c r="C13" s="19">
        <v>763</v>
      </c>
      <c r="D13" s="21">
        <v>44110</v>
      </c>
      <c r="E13" s="20">
        <v>1204</v>
      </c>
      <c r="F13" s="12">
        <v>10</v>
      </c>
      <c r="G13" s="9">
        <f>E15/C15</f>
        <v>1.4064516129032258</v>
      </c>
      <c r="H13" s="20">
        <v>1254</v>
      </c>
      <c r="I13" s="12">
        <v>13</v>
      </c>
      <c r="J13" s="13"/>
      <c r="K13" s="9">
        <f>H15/C15</f>
        <v>1.3861751152073734</v>
      </c>
      <c r="L13" s="8">
        <f>E15-H15</f>
        <v>22</v>
      </c>
      <c r="M13" s="8">
        <f t="shared" si="0"/>
        <v>2.0276497695852491E-2</v>
      </c>
      <c r="N13" s="7">
        <f>L13/E15</f>
        <v>1.4416775884665793E-2</v>
      </c>
      <c r="O13" s="10"/>
    </row>
    <row r="14" spans="1:15" ht="27" x14ac:dyDescent="0.3">
      <c r="A14" s="18" t="s">
        <v>186</v>
      </c>
      <c r="B14" s="12" t="s">
        <v>372</v>
      </c>
      <c r="C14" s="19">
        <v>715</v>
      </c>
      <c r="D14" s="21">
        <v>44142</v>
      </c>
      <c r="E14" s="20">
        <v>1170</v>
      </c>
      <c r="F14" s="12">
        <v>10</v>
      </c>
      <c r="G14" s="9">
        <f>E16/C16</f>
        <v>1.2598425196850394</v>
      </c>
      <c r="H14" s="20">
        <v>1127</v>
      </c>
      <c r="I14" s="12">
        <v>14</v>
      </c>
      <c r="J14" s="13"/>
      <c r="K14" s="9">
        <f>H16/C16</f>
        <v>1.3181102362204724</v>
      </c>
      <c r="L14" s="8">
        <f>E16-H16</f>
        <v>-74</v>
      </c>
      <c r="M14" s="8">
        <f t="shared" si="0"/>
        <v>-5.8267716535433056E-2</v>
      </c>
      <c r="N14" s="7">
        <f>L14/E16</f>
        <v>-4.6249999999999999E-2</v>
      </c>
      <c r="O14" s="10" t="s">
        <v>378</v>
      </c>
    </row>
    <row r="15" spans="1:15" x14ac:dyDescent="0.3">
      <c r="A15" s="18" t="s">
        <v>383</v>
      </c>
      <c r="B15" s="12" t="s">
        <v>384</v>
      </c>
      <c r="C15" s="19">
        <v>1085</v>
      </c>
      <c r="D15" s="21">
        <v>44098</v>
      </c>
      <c r="E15" s="20">
        <v>1526</v>
      </c>
      <c r="F15" s="12">
        <v>10</v>
      </c>
      <c r="G15" s="9">
        <f>E17/C17</f>
        <v>1.2923588039867109</v>
      </c>
      <c r="H15" s="20">
        <v>1504</v>
      </c>
      <c r="I15" s="12">
        <v>13</v>
      </c>
      <c r="J15" s="13"/>
      <c r="K15" s="9">
        <f>H17/C17</f>
        <v>1.3528239202657808</v>
      </c>
      <c r="L15" s="8">
        <f>E17-H17</f>
        <v>-91</v>
      </c>
      <c r="M15" s="8">
        <f t="shared" si="0"/>
        <v>-6.0465116279069919E-2</v>
      </c>
      <c r="N15" s="7">
        <f>L15/E17</f>
        <v>-4.67866323907455E-2</v>
      </c>
      <c r="O15" s="10"/>
    </row>
    <row r="16" spans="1:15" x14ac:dyDescent="0.3">
      <c r="A16" s="18">
        <v>2101</v>
      </c>
      <c r="B16" s="12" t="s">
        <v>385</v>
      </c>
      <c r="C16" s="19">
        <v>1270</v>
      </c>
      <c r="D16" s="21">
        <v>44082</v>
      </c>
      <c r="E16" s="20">
        <v>1600</v>
      </c>
      <c r="F16" s="12">
        <v>11</v>
      </c>
      <c r="G16" s="9" t="e">
        <f>#REF!/#REF!</f>
        <v>#REF!</v>
      </c>
      <c r="H16" s="20">
        <v>1674</v>
      </c>
      <c r="I16" s="12">
        <v>13</v>
      </c>
      <c r="J16" s="13"/>
      <c r="K16" s="9" t="e">
        <f>#REF!/#REF!</f>
        <v>#REF!</v>
      </c>
      <c r="L16" s="8" t="e">
        <f>#REF!-#REF!</f>
        <v>#REF!</v>
      </c>
      <c r="M16" s="8" t="e">
        <f t="shared" si="0"/>
        <v>#REF!</v>
      </c>
      <c r="N16" s="7" t="e">
        <f>L16/#REF!</f>
        <v>#REF!</v>
      </c>
      <c r="O16" s="10"/>
    </row>
    <row r="17" spans="1:15" x14ac:dyDescent="0.3">
      <c r="A17" s="18">
        <v>1108</v>
      </c>
      <c r="B17" s="12" t="s">
        <v>386</v>
      </c>
      <c r="C17" s="19">
        <v>1505</v>
      </c>
      <c r="D17" s="21">
        <v>44109</v>
      </c>
      <c r="E17" s="20">
        <v>1945</v>
      </c>
      <c r="F17" s="12">
        <v>11</v>
      </c>
      <c r="G17" s="9" t="e">
        <f>#REF!/#REF!</f>
        <v>#REF!</v>
      </c>
      <c r="H17" s="20">
        <v>2036</v>
      </c>
      <c r="I17" s="12">
        <v>13</v>
      </c>
      <c r="J17" s="13"/>
      <c r="K17" s="9" t="e">
        <f>#REF!/#REF!</f>
        <v>#REF!</v>
      </c>
      <c r="L17" s="8" t="e">
        <f>#REF!-#REF!</f>
        <v>#REF!</v>
      </c>
      <c r="M17" s="8" t="e">
        <f t="shared" si="0"/>
        <v>#REF!</v>
      </c>
      <c r="N17" s="7" t="e">
        <f>L17/#REF!</f>
        <v>#REF!</v>
      </c>
      <c r="O17" s="10"/>
    </row>
    <row r="18" spans="1:15" x14ac:dyDescent="0.3">
      <c r="A18" s="12"/>
      <c r="B18" s="12"/>
      <c r="C18" s="12"/>
      <c r="D18" s="13"/>
      <c r="E18" s="11"/>
      <c r="F18" s="12"/>
      <c r="G18" s="9" t="e">
        <f t="shared" ref="G18:G30" si="1">E18/C18</f>
        <v>#DIV/0!</v>
      </c>
      <c r="H18" s="11"/>
      <c r="I18" s="12"/>
      <c r="J18" s="13"/>
      <c r="K18" s="9" t="e">
        <f t="shared" ref="K18:K30" si="2">H18/C18</f>
        <v>#DIV/0!</v>
      </c>
      <c r="L18" s="8">
        <f t="shared" ref="L18:L30" si="3">E18-H18</f>
        <v>0</v>
      </c>
      <c r="M18" s="8" t="e">
        <f t="shared" si="0"/>
        <v>#DIV/0!</v>
      </c>
      <c r="N18" s="7" t="e">
        <f t="shared" ref="N18:N30" si="4">L18/E18</f>
        <v>#DIV/0!</v>
      </c>
      <c r="O18" s="10"/>
    </row>
    <row r="19" spans="1:15" x14ac:dyDescent="0.3">
      <c r="A19" s="12"/>
      <c r="B19" s="12"/>
      <c r="C19" s="12"/>
      <c r="D19" s="13"/>
      <c r="E19" s="11"/>
      <c r="F19" s="12"/>
      <c r="G19" s="9" t="e">
        <f t="shared" si="1"/>
        <v>#DIV/0!</v>
      </c>
      <c r="H19" s="11"/>
      <c r="I19" s="12"/>
      <c r="J19" s="13"/>
      <c r="K19" s="9" t="e">
        <f t="shared" si="2"/>
        <v>#DIV/0!</v>
      </c>
      <c r="L19" s="8">
        <f t="shared" si="3"/>
        <v>0</v>
      </c>
      <c r="M19" s="8" t="e">
        <f t="shared" si="0"/>
        <v>#DIV/0!</v>
      </c>
      <c r="N19" s="7" t="e">
        <f t="shared" si="4"/>
        <v>#DIV/0!</v>
      </c>
      <c r="O19" s="10"/>
    </row>
    <row r="20" spans="1:15" x14ac:dyDescent="0.3">
      <c r="A20" s="12"/>
      <c r="B20" s="12"/>
      <c r="C20" s="12"/>
      <c r="D20" s="13"/>
      <c r="E20" s="11"/>
      <c r="F20" s="12"/>
      <c r="G20" s="9" t="e">
        <f t="shared" si="1"/>
        <v>#DIV/0!</v>
      </c>
      <c r="H20" s="11"/>
      <c r="I20" s="12"/>
      <c r="J20" s="13"/>
      <c r="K20" s="9" t="e">
        <f t="shared" si="2"/>
        <v>#DIV/0!</v>
      </c>
      <c r="L20" s="8">
        <f t="shared" si="3"/>
        <v>0</v>
      </c>
      <c r="M20" s="8" t="e">
        <f t="shared" si="0"/>
        <v>#DIV/0!</v>
      </c>
      <c r="N20" s="7" t="e">
        <f t="shared" si="4"/>
        <v>#DIV/0!</v>
      </c>
      <c r="O20" s="10"/>
    </row>
    <row r="21" spans="1:15" x14ac:dyDescent="0.3">
      <c r="A21" s="12"/>
      <c r="B21" s="12"/>
      <c r="C21" s="12"/>
      <c r="D21" s="13"/>
      <c r="E21" s="11"/>
      <c r="F21" s="12"/>
      <c r="G21" s="9" t="e">
        <f t="shared" si="1"/>
        <v>#DIV/0!</v>
      </c>
      <c r="H21" s="11"/>
      <c r="I21" s="12"/>
      <c r="J21" s="13"/>
      <c r="K21" s="9" t="e">
        <f t="shared" si="2"/>
        <v>#DIV/0!</v>
      </c>
      <c r="L21" s="8">
        <f t="shared" si="3"/>
        <v>0</v>
      </c>
      <c r="M21" s="8" t="e">
        <f t="shared" si="0"/>
        <v>#DIV/0!</v>
      </c>
      <c r="N21" s="7" t="e">
        <f t="shared" si="4"/>
        <v>#DIV/0!</v>
      </c>
      <c r="O21" s="10"/>
    </row>
    <row r="22" spans="1:15" x14ac:dyDescent="0.3">
      <c r="A22" s="12"/>
      <c r="B22" s="12"/>
      <c r="C22" s="12"/>
      <c r="D22" s="13"/>
      <c r="E22" s="11"/>
      <c r="F22" s="12"/>
      <c r="G22" s="9" t="e">
        <f t="shared" si="1"/>
        <v>#DIV/0!</v>
      </c>
      <c r="H22" s="11"/>
      <c r="I22" s="12"/>
      <c r="J22" s="13"/>
      <c r="K22" s="9" t="e">
        <f t="shared" si="2"/>
        <v>#DIV/0!</v>
      </c>
      <c r="L22" s="8">
        <f t="shared" si="3"/>
        <v>0</v>
      </c>
      <c r="M22" s="8" t="e">
        <f t="shared" si="0"/>
        <v>#DIV/0!</v>
      </c>
      <c r="N22" s="7" t="e">
        <f t="shared" si="4"/>
        <v>#DIV/0!</v>
      </c>
      <c r="O22" s="10"/>
    </row>
    <row r="23" spans="1:15" x14ac:dyDescent="0.3">
      <c r="A23" s="12"/>
      <c r="B23" s="12"/>
      <c r="C23" s="12"/>
      <c r="D23" s="13"/>
      <c r="E23" s="11"/>
      <c r="F23" s="12"/>
      <c r="G23" s="9" t="e">
        <f t="shared" si="1"/>
        <v>#DIV/0!</v>
      </c>
      <c r="H23" s="11"/>
      <c r="I23" s="12"/>
      <c r="J23" s="13"/>
      <c r="K23" s="9" t="e">
        <f t="shared" si="2"/>
        <v>#DIV/0!</v>
      </c>
      <c r="L23" s="8">
        <f t="shared" si="3"/>
        <v>0</v>
      </c>
      <c r="M23" s="8" t="e">
        <f t="shared" si="0"/>
        <v>#DIV/0!</v>
      </c>
      <c r="N23" s="7" t="e">
        <f t="shared" si="4"/>
        <v>#DIV/0!</v>
      </c>
      <c r="O23" s="10"/>
    </row>
    <row r="24" spans="1:15" x14ac:dyDescent="0.3">
      <c r="A24" s="12"/>
      <c r="B24" s="12"/>
      <c r="C24" s="12"/>
      <c r="D24" s="13"/>
      <c r="E24" s="11"/>
      <c r="F24" s="12"/>
      <c r="G24" s="9" t="e">
        <f t="shared" si="1"/>
        <v>#DIV/0!</v>
      </c>
      <c r="H24" s="11"/>
      <c r="I24" s="12"/>
      <c r="J24" s="13"/>
      <c r="K24" s="9" t="e">
        <f t="shared" si="2"/>
        <v>#DIV/0!</v>
      </c>
      <c r="L24" s="8">
        <f t="shared" si="3"/>
        <v>0</v>
      </c>
      <c r="M24" s="8" t="e">
        <f t="shared" si="0"/>
        <v>#DIV/0!</v>
      </c>
      <c r="N24" s="7" t="e">
        <f t="shared" si="4"/>
        <v>#DIV/0!</v>
      </c>
      <c r="O24" s="10"/>
    </row>
    <row r="25" spans="1:15" x14ac:dyDescent="0.3">
      <c r="A25" s="12"/>
      <c r="B25" s="12"/>
      <c r="C25" s="12"/>
      <c r="D25" s="13"/>
      <c r="E25" s="11"/>
      <c r="F25" s="12"/>
      <c r="G25" s="9" t="e">
        <f t="shared" si="1"/>
        <v>#DIV/0!</v>
      </c>
      <c r="H25" s="11"/>
      <c r="I25" s="12"/>
      <c r="J25" s="13"/>
      <c r="K25" s="9" t="e">
        <f t="shared" si="2"/>
        <v>#DIV/0!</v>
      </c>
      <c r="L25" s="8">
        <f t="shared" si="3"/>
        <v>0</v>
      </c>
      <c r="M25" s="8" t="e">
        <f t="shared" si="0"/>
        <v>#DIV/0!</v>
      </c>
      <c r="N25" s="7" t="e">
        <f t="shared" si="4"/>
        <v>#DIV/0!</v>
      </c>
      <c r="O25" s="10"/>
    </row>
    <row r="26" spans="1:15" x14ac:dyDescent="0.3">
      <c r="A26" s="12"/>
      <c r="B26" s="12"/>
      <c r="C26" s="12"/>
      <c r="D26" s="13"/>
      <c r="E26" s="11"/>
      <c r="F26" s="12"/>
      <c r="G26" s="9" t="e">
        <f t="shared" si="1"/>
        <v>#DIV/0!</v>
      </c>
      <c r="H26" s="11"/>
      <c r="I26" s="12"/>
      <c r="J26" s="13"/>
      <c r="K26" s="9" t="e">
        <f t="shared" si="2"/>
        <v>#DIV/0!</v>
      </c>
      <c r="L26" s="8">
        <f t="shared" si="3"/>
        <v>0</v>
      </c>
      <c r="M26" s="8" t="e">
        <f t="shared" si="0"/>
        <v>#DIV/0!</v>
      </c>
      <c r="N26" s="7" t="e">
        <f t="shared" si="4"/>
        <v>#DIV/0!</v>
      </c>
      <c r="O26" s="10"/>
    </row>
    <row r="27" spans="1:15" x14ac:dyDescent="0.3">
      <c r="A27" s="12"/>
      <c r="B27" s="12"/>
      <c r="C27" s="12"/>
      <c r="D27" s="13"/>
      <c r="E27" s="11"/>
      <c r="F27" s="12"/>
      <c r="G27" s="9" t="e">
        <f t="shared" si="1"/>
        <v>#DIV/0!</v>
      </c>
      <c r="H27" s="11"/>
      <c r="I27" s="12"/>
      <c r="J27" s="13"/>
      <c r="K27" s="9" t="e">
        <f t="shared" si="2"/>
        <v>#DIV/0!</v>
      </c>
      <c r="L27" s="8">
        <f t="shared" si="3"/>
        <v>0</v>
      </c>
      <c r="M27" s="8" t="e">
        <f t="shared" si="0"/>
        <v>#DIV/0!</v>
      </c>
      <c r="N27" s="7" t="e">
        <f t="shared" si="4"/>
        <v>#DIV/0!</v>
      </c>
      <c r="O27" s="10"/>
    </row>
    <row r="28" spans="1:15" x14ac:dyDescent="0.3">
      <c r="A28" s="12"/>
      <c r="B28" s="12"/>
      <c r="C28" s="12"/>
      <c r="D28" s="13"/>
      <c r="E28" s="11"/>
      <c r="F28" s="12"/>
      <c r="G28" s="9" t="e">
        <f t="shared" si="1"/>
        <v>#DIV/0!</v>
      </c>
      <c r="H28" s="11"/>
      <c r="I28" s="12"/>
      <c r="J28" s="13"/>
      <c r="K28" s="9" t="e">
        <f t="shared" si="2"/>
        <v>#DIV/0!</v>
      </c>
      <c r="L28" s="8">
        <f t="shared" si="3"/>
        <v>0</v>
      </c>
      <c r="M28" s="8" t="e">
        <f t="shared" si="0"/>
        <v>#DIV/0!</v>
      </c>
      <c r="N28" s="7" t="e">
        <f t="shared" si="4"/>
        <v>#DIV/0!</v>
      </c>
      <c r="O28" s="10"/>
    </row>
    <row r="29" spans="1:15" x14ac:dyDescent="0.3">
      <c r="A29" s="12"/>
      <c r="B29" s="12"/>
      <c r="C29" s="12"/>
      <c r="D29" s="13"/>
      <c r="E29" s="11"/>
      <c r="F29" s="12"/>
      <c r="G29" s="9" t="e">
        <f t="shared" si="1"/>
        <v>#DIV/0!</v>
      </c>
      <c r="H29" s="11"/>
      <c r="I29" s="12"/>
      <c r="J29" s="13"/>
      <c r="K29" s="9" t="e">
        <f t="shared" si="2"/>
        <v>#DIV/0!</v>
      </c>
      <c r="L29" s="8">
        <f t="shared" si="3"/>
        <v>0</v>
      </c>
      <c r="M29" s="8" t="e">
        <f t="shared" si="0"/>
        <v>#DIV/0!</v>
      </c>
      <c r="N29" s="7" t="e">
        <f t="shared" si="4"/>
        <v>#DIV/0!</v>
      </c>
      <c r="O29" s="10"/>
    </row>
    <row r="30" spans="1:15" x14ac:dyDescent="0.3">
      <c r="A30" s="12"/>
      <c r="B30" s="12"/>
      <c r="C30" s="12"/>
      <c r="D30" s="13"/>
      <c r="E30" s="11"/>
      <c r="F30" s="12"/>
      <c r="G30" s="9" t="e">
        <f t="shared" si="1"/>
        <v>#DIV/0!</v>
      </c>
      <c r="H30" s="11"/>
      <c r="I30" s="12"/>
      <c r="J30" s="13"/>
      <c r="K30" s="9" t="e">
        <f t="shared" si="2"/>
        <v>#DIV/0!</v>
      </c>
      <c r="L30" s="8">
        <f t="shared" si="3"/>
        <v>0</v>
      </c>
      <c r="M30" s="8" t="e">
        <f t="shared" si="0"/>
        <v>#DIV/0!</v>
      </c>
      <c r="N30" s="7" t="e">
        <f t="shared" si="4"/>
        <v>#DIV/0!</v>
      </c>
      <c r="O30" s="10"/>
    </row>
    <row r="31" spans="1:15" x14ac:dyDescent="0.3">
      <c r="A31" s="12"/>
      <c r="B31" s="12"/>
      <c r="C31" s="12"/>
      <c r="D31" s="13"/>
      <c r="E31" s="11"/>
      <c r="F31" s="12"/>
      <c r="G31" s="9" t="e">
        <f t="shared" ref="G31:G41" si="5">E31/C31</f>
        <v>#DIV/0!</v>
      </c>
      <c r="H31" s="11"/>
      <c r="I31" s="12"/>
      <c r="J31" s="13"/>
      <c r="K31" s="9" t="e">
        <f t="shared" ref="K31:K41" si="6">H31/C31</f>
        <v>#DIV/0!</v>
      </c>
      <c r="L31" s="8">
        <f t="shared" ref="L31:L41" si="7">E31-H31</f>
        <v>0</v>
      </c>
      <c r="M31" s="8" t="e">
        <f t="shared" ref="M31:M41" si="8">G31-K31</f>
        <v>#DIV/0!</v>
      </c>
      <c r="N31" s="7" t="e">
        <f t="shared" ref="N31:N41" si="9">L31/E31</f>
        <v>#DIV/0!</v>
      </c>
      <c r="O31" s="10"/>
    </row>
    <row r="32" spans="1:15" x14ac:dyDescent="0.3">
      <c r="A32" s="12"/>
      <c r="B32" s="12"/>
      <c r="C32" s="12"/>
      <c r="D32" s="13"/>
      <c r="E32" s="11"/>
      <c r="F32" s="12"/>
      <c r="G32" s="9" t="e">
        <f t="shared" si="5"/>
        <v>#DIV/0!</v>
      </c>
      <c r="H32" s="11"/>
      <c r="I32" s="12"/>
      <c r="J32" s="13"/>
      <c r="K32" s="9" t="e">
        <f t="shared" si="6"/>
        <v>#DIV/0!</v>
      </c>
      <c r="L32" s="8">
        <f t="shared" si="7"/>
        <v>0</v>
      </c>
      <c r="M32" s="8" t="e">
        <f t="shared" si="8"/>
        <v>#DIV/0!</v>
      </c>
      <c r="N32" s="7" t="e">
        <f t="shared" si="9"/>
        <v>#DIV/0!</v>
      </c>
      <c r="O32" s="10"/>
    </row>
    <row r="33" spans="1:15" x14ac:dyDescent="0.3">
      <c r="A33" s="12"/>
      <c r="B33" s="12"/>
      <c r="C33" s="12"/>
      <c r="D33" s="13"/>
      <c r="E33" s="11"/>
      <c r="F33" s="12"/>
      <c r="G33" s="9" t="e">
        <f t="shared" si="5"/>
        <v>#DIV/0!</v>
      </c>
      <c r="H33" s="11"/>
      <c r="I33" s="12"/>
      <c r="J33" s="13"/>
      <c r="K33" s="9" t="e">
        <f t="shared" si="6"/>
        <v>#DIV/0!</v>
      </c>
      <c r="L33" s="8">
        <f t="shared" si="7"/>
        <v>0</v>
      </c>
      <c r="M33" s="8" t="e">
        <f t="shared" si="8"/>
        <v>#DIV/0!</v>
      </c>
      <c r="N33" s="7" t="e">
        <f t="shared" si="9"/>
        <v>#DIV/0!</v>
      </c>
      <c r="O33" s="10"/>
    </row>
    <row r="34" spans="1:15" x14ac:dyDescent="0.3">
      <c r="A34" s="12"/>
      <c r="B34" s="12"/>
      <c r="C34" s="12"/>
      <c r="D34" s="13"/>
      <c r="E34" s="11"/>
      <c r="F34" s="12"/>
      <c r="G34" s="9" t="e">
        <f t="shared" si="5"/>
        <v>#DIV/0!</v>
      </c>
      <c r="H34" s="11"/>
      <c r="I34" s="12"/>
      <c r="J34" s="13"/>
      <c r="K34" s="9" t="e">
        <f t="shared" si="6"/>
        <v>#DIV/0!</v>
      </c>
      <c r="L34" s="8">
        <f t="shared" si="7"/>
        <v>0</v>
      </c>
      <c r="M34" s="8" t="e">
        <f t="shared" si="8"/>
        <v>#DIV/0!</v>
      </c>
      <c r="N34" s="7" t="e">
        <f t="shared" si="9"/>
        <v>#DIV/0!</v>
      </c>
      <c r="O34" s="10"/>
    </row>
    <row r="35" spans="1:15" x14ac:dyDescent="0.3">
      <c r="A35" s="12"/>
      <c r="B35" s="12"/>
      <c r="C35" s="12"/>
      <c r="D35" s="13"/>
      <c r="E35" s="11"/>
      <c r="F35" s="12"/>
      <c r="G35" s="9" t="e">
        <f t="shared" si="5"/>
        <v>#DIV/0!</v>
      </c>
      <c r="H35" s="11"/>
      <c r="I35" s="12"/>
      <c r="J35" s="13"/>
      <c r="K35" s="9" t="e">
        <f t="shared" si="6"/>
        <v>#DIV/0!</v>
      </c>
      <c r="L35" s="8">
        <f t="shared" si="7"/>
        <v>0</v>
      </c>
      <c r="M35" s="8" t="e">
        <f t="shared" si="8"/>
        <v>#DIV/0!</v>
      </c>
      <c r="N35" s="7" t="e">
        <f t="shared" si="9"/>
        <v>#DIV/0!</v>
      </c>
      <c r="O35" s="10"/>
    </row>
    <row r="36" spans="1:15" x14ac:dyDescent="0.3">
      <c r="A36" s="12"/>
      <c r="B36" s="12"/>
      <c r="C36" s="12"/>
      <c r="D36" s="13"/>
      <c r="E36" s="11"/>
      <c r="F36" s="12"/>
      <c r="G36" s="9" t="e">
        <f t="shared" si="5"/>
        <v>#DIV/0!</v>
      </c>
      <c r="H36" s="11"/>
      <c r="I36" s="12"/>
      <c r="J36" s="13"/>
      <c r="K36" s="9" t="e">
        <f t="shared" si="6"/>
        <v>#DIV/0!</v>
      </c>
      <c r="L36" s="8">
        <f t="shared" si="7"/>
        <v>0</v>
      </c>
      <c r="M36" s="8" t="e">
        <f t="shared" si="8"/>
        <v>#DIV/0!</v>
      </c>
      <c r="N36" s="7" t="e">
        <f t="shared" si="9"/>
        <v>#DIV/0!</v>
      </c>
      <c r="O36" s="10"/>
    </row>
    <row r="37" spans="1:15" x14ac:dyDescent="0.3">
      <c r="A37" s="12"/>
      <c r="B37" s="12"/>
      <c r="C37" s="12"/>
      <c r="D37" s="13"/>
      <c r="E37" s="11"/>
      <c r="F37" s="12"/>
      <c r="G37" s="9" t="e">
        <f t="shared" si="5"/>
        <v>#DIV/0!</v>
      </c>
      <c r="H37" s="11"/>
      <c r="I37" s="12"/>
      <c r="J37" s="13"/>
      <c r="K37" s="9" t="e">
        <f t="shared" si="6"/>
        <v>#DIV/0!</v>
      </c>
      <c r="L37" s="8">
        <f t="shared" si="7"/>
        <v>0</v>
      </c>
      <c r="M37" s="8" t="e">
        <f t="shared" si="8"/>
        <v>#DIV/0!</v>
      </c>
      <c r="N37" s="7" t="e">
        <f t="shared" si="9"/>
        <v>#DIV/0!</v>
      </c>
      <c r="O37" s="10"/>
    </row>
    <row r="38" spans="1:15" x14ac:dyDescent="0.3">
      <c r="A38" s="12"/>
      <c r="B38" s="12"/>
      <c r="C38" s="12"/>
      <c r="D38" s="13"/>
      <c r="E38" s="11"/>
      <c r="F38" s="12"/>
      <c r="G38" s="9" t="e">
        <f t="shared" si="5"/>
        <v>#DIV/0!</v>
      </c>
      <c r="H38" s="11"/>
      <c r="I38" s="12"/>
      <c r="J38" s="13"/>
      <c r="K38" s="9" t="e">
        <f t="shared" si="6"/>
        <v>#DIV/0!</v>
      </c>
      <c r="L38" s="8">
        <f t="shared" si="7"/>
        <v>0</v>
      </c>
      <c r="M38" s="8" t="e">
        <f t="shared" si="8"/>
        <v>#DIV/0!</v>
      </c>
      <c r="N38" s="7" t="e">
        <f t="shared" si="9"/>
        <v>#DIV/0!</v>
      </c>
      <c r="O38" s="10"/>
    </row>
    <row r="39" spans="1:15" x14ac:dyDescent="0.3">
      <c r="A39" s="12"/>
      <c r="B39" s="12"/>
      <c r="C39" s="12"/>
      <c r="D39" s="13"/>
      <c r="E39" s="11"/>
      <c r="F39" s="12"/>
      <c r="G39" s="9" t="e">
        <f t="shared" si="5"/>
        <v>#DIV/0!</v>
      </c>
      <c r="H39" s="11"/>
      <c r="I39" s="12"/>
      <c r="J39" s="13"/>
      <c r="K39" s="9" t="e">
        <f t="shared" si="6"/>
        <v>#DIV/0!</v>
      </c>
      <c r="L39" s="8">
        <f t="shared" si="7"/>
        <v>0</v>
      </c>
      <c r="M39" s="8" t="e">
        <f t="shared" si="8"/>
        <v>#DIV/0!</v>
      </c>
      <c r="N39" s="7" t="e">
        <f t="shared" si="9"/>
        <v>#DIV/0!</v>
      </c>
      <c r="O39" s="10"/>
    </row>
    <row r="40" spans="1:15" x14ac:dyDescent="0.3">
      <c r="A40" s="12"/>
      <c r="B40" s="12"/>
      <c r="C40" s="12"/>
      <c r="D40" s="13"/>
      <c r="E40" s="11"/>
      <c r="F40" s="12"/>
      <c r="G40" s="9" t="e">
        <f t="shared" si="5"/>
        <v>#DIV/0!</v>
      </c>
      <c r="H40" s="11"/>
      <c r="I40" s="12"/>
      <c r="J40" s="13"/>
      <c r="K40" s="9" t="e">
        <f t="shared" si="6"/>
        <v>#DIV/0!</v>
      </c>
      <c r="L40" s="8">
        <f t="shared" si="7"/>
        <v>0</v>
      </c>
      <c r="M40" s="8" t="e">
        <f t="shared" si="8"/>
        <v>#DIV/0!</v>
      </c>
      <c r="N40" s="7" t="e">
        <f t="shared" si="9"/>
        <v>#DIV/0!</v>
      </c>
      <c r="O40" s="10"/>
    </row>
    <row r="41" spans="1:15" x14ac:dyDescent="0.3">
      <c r="A41" s="12"/>
      <c r="B41" s="12"/>
      <c r="C41" s="12"/>
      <c r="D41" s="13"/>
      <c r="E41" s="11"/>
      <c r="F41" s="12"/>
      <c r="G41" s="9" t="e">
        <f t="shared" si="5"/>
        <v>#DIV/0!</v>
      </c>
      <c r="H41" s="11"/>
      <c r="I41" s="12"/>
      <c r="J41" s="13"/>
      <c r="K41" s="9" t="e">
        <f t="shared" si="6"/>
        <v>#DIV/0!</v>
      </c>
      <c r="L41" s="8">
        <f t="shared" si="7"/>
        <v>0</v>
      </c>
      <c r="M41" s="8" t="e">
        <f t="shared" si="8"/>
        <v>#DIV/0!</v>
      </c>
      <c r="N41" s="7" t="e">
        <f t="shared" si="9"/>
        <v>#DIV/0!</v>
      </c>
      <c r="O41" s="10"/>
    </row>
  </sheetData>
  <sheetProtection algorithmName="SHA-512" hashValue="MRQu+ZRS6uYVrXvChyLQ2FWGpbR01YBI6zbSRENyuzeEyKADTbjzPSxqcdZTGHYOwA5Xnwzi3KActpWUqBztbA==" saltValue="Mvq2lxBZyjI4gJnS3nnkFg==" spinCount="100000" sheet="1" objects="1" scenarios="1"/>
  <mergeCells count="3">
    <mergeCell ref="E4:G4"/>
    <mergeCell ref="H4:K4"/>
    <mergeCell ref="L4:N4"/>
  </mergeCells>
  <phoneticPr fontId="6" type="noConversion"/>
  <pageMargins left="0.25" right="0.25" top="0.75" bottom="0.75" header="0.3" footer="0.3"/>
  <pageSetup scale="80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F053E4C99154AB4997F47A19C972B" ma:contentTypeVersion="11" ma:contentTypeDescription="Create a new document." ma:contentTypeScope="" ma:versionID="69434f4c0aa42e9dbe143c189420982b">
  <xsd:schema xmlns:xsd="http://www.w3.org/2001/XMLSchema" xmlns:xs="http://www.w3.org/2001/XMLSchema" xmlns:p="http://schemas.microsoft.com/office/2006/metadata/properties" xmlns:ns3="3d09aae7-5690-434a-9be3-29ee4c25c1c2" xmlns:ns4="3633dc5e-dff4-408a-b51a-630b18bca123" targetNamespace="http://schemas.microsoft.com/office/2006/metadata/properties" ma:root="true" ma:fieldsID="9d4f329ea5a1dd336927d9518b8ecf5f" ns3:_="" ns4:_="">
    <xsd:import namespace="3d09aae7-5690-434a-9be3-29ee4c25c1c2"/>
    <xsd:import namespace="3633dc5e-dff4-408a-b51a-630b18bca1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aae7-5690-434a-9be3-29ee4c25c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dc5e-dff4-408a-b51a-630b18bc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09aae7-5690-434a-9be3-29ee4c25c1c2" xsi:nil="true"/>
  </documentManagement>
</p:properties>
</file>

<file path=customXml/itemProps1.xml><?xml version="1.0" encoding="utf-8"?>
<ds:datastoreItem xmlns:ds="http://schemas.openxmlformats.org/officeDocument/2006/customXml" ds:itemID="{B040D6D8-C083-4CEC-AB3D-F8C1E8E0D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9aae7-5690-434a-9be3-29ee4c25c1c2"/>
    <ds:schemaRef ds:uri="3633dc5e-dff4-408a-b51a-630b18bc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EDAA32-A823-43DE-8FB8-1DAB38778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AC8ECC-69F7-45FB-9C4F-6D6AAE0CEB7A}">
  <ds:schemaRefs>
    <ds:schemaRef ds:uri="http://schemas.microsoft.com/office/2006/metadata/properties"/>
    <ds:schemaRef ds:uri="http://purl.org/dc/elements/1.1/"/>
    <ds:schemaRef ds:uri="http://www.w3.org/XML/1998/namespace"/>
    <ds:schemaRef ds:uri="3633dc5e-dff4-408a-b51a-630b18bca12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09aae7-5690-434a-9be3-29ee4c25c1c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Renewal &amp; Trade Out</vt:lpstr>
      <vt:lpstr>New lease trade 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Tracey Whitson</dc:creator>
  <cp:keywords/>
  <dc:description/>
  <cp:lastModifiedBy>Karmen Herrera</cp:lastModifiedBy>
  <cp:revision/>
  <dcterms:created xsi:type="dcterms:W3CDTF">2020-03-31T20:33:30Z</dcterms:created>
  <dcterms:modified xsi:type="dcterms:W3CDTF">2026-05-26T15:09:59Z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0x010100FFBF053E4C99154AB4997F47A19C972B</vt:lpwstr>
  </property>
</Properties>
</file>