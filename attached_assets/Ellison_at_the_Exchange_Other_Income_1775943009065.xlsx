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yersapartmentgroup-my.sharepoint.com/personal/ldixon_myersapartmentgroup_com/Documents/Deals/Active Deals/Ellison at the Exchange/"/>
    </mc:Choice>
  </mc:AlternateContent>
  <xr:revisionPtr revIDLastSave="350" documentId="8_{2237932B-CEC2-4B21-B0CE-A1EFB7F1A8B8}" xr6:coauthVersionLast="47" xr6:coauthVersionMax="47" xr10:uidLastSave="{89C7DCD8-2EBB-4000-8A33-7C56C5E8E3F9}"/>
  <bookViews>
    <workbookView xWindow="29145" yWindow="4395" windowWidth="14655" windowHeight="8940" xr2:uid="{00000000-000D-0000-FFFF-FFFF00000000}"/>
  </bookViews>
  <sheets>
    <sheet name="Sheet1" sheetId="1" r:id="rId1"/>
  </sheets>
  <externalReferences>
    <externalReference r:id="rId2"/>
  </externalReferences>
  <definedNames>
    <definedName name="Units" localSheetId="0">[1]Summary!$E$29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8" i="1" l="1"/>
  <c r="E18" i="1" s="1"/>
  <c r="D18" i="1" s="1"/>
  <c r="F17" i="1"/>
  <c r="E17" i="1" s="1"/>
  <c r="D17" i="1" s="1"/>
  <c r="F11" i="1" l="1"/>
  <c r="F10" i="1"/>
  <c r="F26" i="1"/>
  <c r="E26" i="1" s="1"/>
  <c r="D26" i="1" s="1"/>
  <c r="I27" i="1"/>
  <c r="I30" i="1"/>
  <c r="I29" i="1"/>
  <c r="I28" i="1"/>
  <c r="I31" i="1" l="1"/>
  <c r="J31" i="1" s="1"/>
  <c r="E11" i="1" l="1"/>
  <c r="D11" i="1" s="1"/>
  <c r="E8" i="1"/>
  <c r="D8" i="1" s="1"/>
  <c r="F20" i="1"/>
  <c r="F19" i="1"/>
  <c r="F16" i="1"/>
  <c r="R4" i="1"/>
  <c r="F9" i="1" l="1"/>
  <c r="F15" i="1" s="1"/>
  <c r="E15" i="1" s="1"/>
  <c r="D15" i="1" s="1"/>
  <c r="E12" i="1" l="1"/>
  <c r="D12" i="1" s="1"/>
  <c r="E10" i="1"/>
  <c r="D10" i="1" s="1"/>
  <c r="E7" i="1" l="1"/>
  <c r="D7" i="1" s="1"/>
  <c r="E9" i="1"/>
  <c r="D9" i="1" s="1"/>
  <c r="E20" i="1" l="1"/>
  <c r="D20" i="1" s="1"/>
  <c r="E19" i="1"/>
  <c r="D19" i="1" s="1"/>
  <c r="H22" i="1" s="1"/>
  <c r="E16" i="1"/>
  <c r="D16" i="1" s="1"/>
  <c r="E14" i="1"/>
  <c r="E13" i="1"/>
  <c r="D13" i="1" s="1"/>
  <c r="E22" i="1"/>
  <c r="D22" i="1" s="1"/>
  <c r="E21" i="1"/>
  <c r="D21" i="1" s="1"/>
  <c r="D14" i="1" l="1"/>
  <c r="E23" i="1"/>
  <c r="E24" i="1" s="1"/>
  <c r="D23" i="1" l="1"/>
  <c r="D24" i="1" s="1"/>
</calcChain>
</file>

<file path=xl/sharedStrings.xml><?xml version="1.0" encoding="utf-8"?>
<sst xmlns="http://schemas.openxmlformats.org/spreadsheetml/2006/main" count="45" uniqueCount="44">
  <si>
    <t>Other Income Schedule</t>
  </si>
  <si>
    <t>Units</t>
  </si>
  <si>
    <t>Annual</t>
  </si>
  <si>
    <t>Monthly</t>
  </si>
  <si>
    <t>Category</t>
  </si>
  <si>
    <t>Total</t>
  </si>
  <si>
    <t>Number</t>
  </si>
  <si>
    <t>Amount</t>
  </si>
  <si>
    <t>Storage</t>
  </si>
  <si>
    <t>Application Fee</t>
  </si>
  <si>
    <t>Assumes 55% t/o with 50% of apps with 2 applicants</t>
  </si>
  <si>
    <t>Admin Fee</t>
  </si>
  <si>
    <t>55% t/o</t>
  </si>
  <si>
    <t>Late Fee</t>
  </si>
  <si>
    <t>Termination Fee</t>
  </si>
  <si>
    <t>Flat fee plus 60 day written notice, 1 per month</t>
  </si>
  <si>
    <t>Returned Check Fee</t>
  </si>
  <si>
    <t>Amenity Fee</t>
  </si>
  <si>
    <t>Damage/Replacement Fees</t>
  </si>
  <si>
    <t>Monthly Pet Fees</t>
  </si>
  <si>
    <t>Upfront Pet Fees</t>
  </si>
  <si>
    <t>55% t/o, 30% with 1.5 pets</t>
  </si>
  <si>
    <t>Trash Reimbursement</t>
  </si>
  <si>
    <t>Water/Sewer Reimbursement</t>
  </si>
  <si>
    <t>TOTAL OTHER INCOME</t>
  </si>
  <si>
    <t>PER UNIT</t>
  </si>
  <si>
    <t>Pest Control</t>
  </si>
  <si>
    <t xml:space="preserve">Water /sewer </t>
  </si>
  <si>
    <t xml:space="preserve">Trash Removal </t>
  </si>
  <si>
    <t xml:space="preserve">Electric Common areas </t>
  </si>
  <si>
    <t xml:space="preserve">Electrick Vacant </t>
  </si>
  <si>
    <t xml:space="preserve">Carports </t>
  </si>
  <si>
    <t xml:space="preserve">48 carports @ $150 per month - 90% occupancy </t>
  </si>
  <si>
    <t xml:space="preserve">Cable Income </t>
  </si>
  <si>
    <t>45% t/o</t>
  </si>
  <si>
    <t>96 storage units, $50each, 50% occupancy</t>
  </si>
  <si>
    <t>Ellison at the Exchange</t>
  </si>
  <si>
    <t>Package Fee</t>
  </si>
  <si>
    <t>Optional</t>
  </si>
  <si>
    <t xml:space="preserve">Optional </t>
  </si>
  <si>
    <t xml:space="preserve">Utilty Billing </t>
  </si>
  <si>
    <t>$180 initial late fee $20/daily fee, 5% late per month.  Max of 10% of rent.</t>
  </si>
  <si>
    <t>Assumes 30% with 1.5 pets (195 pets total)</t>
  </si>
  <si>
    <t>Valet trash @ $35/unit at 95% 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</si>
</sst>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4" fillId="0" borderId="0" xfId="1" applyFont="1"/>
    <xf numFmtId="0" fontId="3" fillId="0" borderId="0" xfId="1" applyFont="1"/>
    <xf numFmtId="44" fontId="3" fillId="0" borderId="0" xfId="1" applyNumberFormat="1" applyFont="1"/>
    <xf numFmtId="42" fontId="3" fillId="0" borderId="0" xfId="1" applyNumberFormat="1" applyFont="1"/>
    <xf numFmtId="0" fontId="5" fillId="0" borderId="0" xfId="0" applyFont="1"/>
    <xf numFmtId="9" fontId="5" fillId="0" borderId="0" xfId="0" applyNumberFormat="1" applyFont="1"/>
    <xf numFmtId="0" fontId="6" fillId="0" borderId="0" xfId="1" applyFont="1"/>
    <xf numFmtId="0" fontId="7" fillId="0" borderId="0" xfId="1" applyFont="1"/>
    <xf numFmtId="0" fontId="8" fillId="0" borderId="2" xfId="1" applyFont="1" applyBorder="1" applyAlignment="1">
      <alignment horizontal="center"/>
    </xf>
    <xf numFmtId="0" fontId="7" fillId="2" borderId="2" xfId="1" applyFont="1" applyFill="1" applyBorder="1"/>
    <xf numFmtId="0" fontId="7" fillId="2" borderId="6" xfId="1" applyFont="1" applyFill="1" applyBorder="1"/>
    <xf numFmtId="0" fontId="7" fillId="2" borderId="2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7" xfId="1" applyFont="1" applyFill="1" applyBorder="1" applyAlignment="1">
      <alignment horizontal="center"/>
    </xf>
    <xf numFmtId="42" fontId="6" fillId="0" borderId="8" xfId="1" applyNumberFormat="1" applyFont="1" applyBorder="1"/>
    <xf numFmtId="42" fontId="6" fillId="0" borderId="8" xfId="1" applyNumberFormat="1" applyFont="1" applyBorder="1" applyAlignment="1">
      <alignment horizontal="center"/>
    </xf>
    <xf numFmtId="6" fontId="9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" xfId="1" applyFont="1" applyBorder="1"/>
    <xf numFmtId="0" fontId="8" fillId="0" borderId="4" xfId="1" applyFont="1" applyBorder="1"/>
    <xf numFmtId="42" fontId="8" fillId="0" borderId="3" xfId="1" applyNumberFormat="1" applyFont="1" applyBorder="1"/>
    <xf numFmtId="0" fontId="8" fillId="0" borderId="5" xfId="1" applyFont="1" applyBorder="1"/>
    <xf numFmtId="0" fontId="8" fillId="0" borderId="9" xfId="1" applyFont="1" applyBorder="1"/>
    <xf numFmtId="0" fontId="8" fillId="0" borderId="10" xfId="1" applyFont="1" applyBorder="1"/>
    <xf numFmtId="164" fontId="8" fillId="0" borderId="9" xfId="3" applyNumberFormat="1" applyFont="1" applyBorder="1"/>
    <xf numFmtId="164" fontId="8" fillId="0" borderId="9" xfId="1" applyNumberFormat="1" applyFont="1" applyBorder="1"/>
    <xf numFmtId="0" fontId="8" fillId="0" borderId="11" xfId="1" applyFont="1" applyBorder="1"/>
    <xf numFmtId="1" fontId="9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42" fontId="0" fillId="0" borderId="0" xfId="0" applyNumberFormat="1"/>
    <xf numFmtId="44" fontId="0" fillId="0" borderId="0" xfId="0" applyNumberFormat="1"/>
    <xf numFmtId="165" fontId="0" fillId="0" borderId="0" xfId="0" applyNumberFormat="1"/>
    <xf numFmtId="44" fontId="0" fillId="0" borderId="0" xfId="3" applyFont="1"/>
    <xf numFmtId="44" fontId="5" fillId="0" borderId="0" xfId="3" applyFont="1" applyFill="1"/>
    <xf numFmtId="42" fontId="6" fillId="3" borderId="8" xfId="1" applyNumberFormat="1" applyFont="1" applyFill="1" applyBorder="1"/>
    <xf numFmtId="42" fontId="6" fillId="3" borderId="8" xfId="1" applyNumberFormat="1" applyFont="1" applyFill="1" applyBorder="1" applyAlignment="1">
      <alignment horizontal="center"/>
    </xf>
    <xf numFmtId="1" fontId="9" fillId="3" borderId="0" xfId="0" applyNumberFormat="1" applyFont="1" applyFill="1" applyAlignment="1">
      <alignment horizontal="center" vertical="center"/>
    </xf>
    <xf numFmtId="6" fontId="9" fillId="3" borderId="13" xfId="0" applyNumberFormat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42" fontId="5" fillId="0" borderId="0" xfId="0" applyNumberFormat="1" applyFont="1"/>
    <xf numFmtId="8" fontId="9" fillId="0" borderId="13" xfId="0" applyNumberFormat="1" applyFont="1" applyBorder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Michael%20Eubanks/Dropbox%20(Blue%20Heron%20Mgmt.)/Blue%20Heron%20Real%20Estate%20FundS/Fund%20II/F2_Holdings/BH2-Jefferson%20Place/Financial%20Models/Jefferson%20Place%20Dev%20Model%20-%20From%20BB%209-4-2015.xls?1714D389" TargetMode="External"/><Relationship Id="rId1" Type="http://schemas.openxmlformats.org/officeDocument/2006/relationships/externalLinkPath" Target="file:///\\1714D389\Jefferson%20Place%20Dev%20Model%20-%20From%20BB%209-4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Invest Summary"/>
      <sheetName val="Summary"/>
      <sheetName val="Unit Mix Calculations"/>
      <sheetName val="Assumptions"/>
      <sheetName val="Development Costs"/>
      <sheetName val="Other Income"/>
      <sheetName val="Rent Comp"/>
      <sheetName val="Unit Mix"/>
      <sheetName val="MPDU Unit Mix"/>
      <sheetName val="Residual"/>
      <sheetName val="Annual Proforma"/>
      <sheetName val="Monthly Proforma"/>
      <sheetName val="Lease Loss"/>
      <sheetName val="Deal Waterfall"/>
      <sheetName val="Draw Schedule"/>
    </sheetNames>
    <sheetDataSet>
      <sheetData sheetId="0" refreshError="1"/>
      <sheetData sheetId="1" refreshError="1">
        <row r="29">
          <cell r="E29">
            <v>228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topLeftCell="A18" zoomScale="160" zoomScaleNormal="160" workbookViewId="0">
      <selection activeCell="G19" sqref="G19:G20"/>
    </sheetView>
  </sheetViews>
  <sheetFormatPr defaultRowHeight="15" x14ac:dyDescent="0.25"/>
  <cols>
    <col min="1" max="1" width="25.85546875" style="4" customWidth="1"/>
    <col min="2" max="2" width="12.42578125" style="4" customWidth="1"/>
    <col min="3" max="3" width="12.42578125" style="4" hidden="1" customWidth="1"/>
    <col min="4" max="7" width="14.42578125" style="4" customWidth="1"/>
    <col min="8" max="8" width="19.42578125" customWidth="1"/>
    <col min="9" max="9" width="12.85546875" bestFit="1" customWidth="1"/>
    <col min="10" max="10" width="10.7109375" bestFit="1" customWidth="1"/>
    <col min="13" max="13" width="10.5703125" bestFit="1" customWidth="1"/>
    <col min="14" max="14" width="13.5703125" hidden="1" customWidth="1"/>
    <col min="15" max="15" width="13" hidden="1" customWidth="1"/>
    <col min="16" max="17" width="0" hidden="1" customWidth="1"/>
    <col min="19" max="19" width="10" bestFit="1" customWidth="1"/>
  </cols>
  <sheetData>
    <row r="1" spans="1:20" ht="19.5" thickBot="1" x14ac:dyDescent="0.35">
      <c r="A1" s="1" t="s">
        <v>36</v>
      </c>
      <c r="B1" s="2"/>
      <c r="C1" s="2"/>
      <c r="D1" s="2"/>
      <c r="E1" s="2"/>
      <c r="F1" s="2"/>
      <c r="G1" s="2"/>
    </row>
    <row r="2" spans="1:20" x14ac:dyDescent="0.25">
      <c r="A2" s="3" t="s">
        <v>0</v>
      </c>
    </row>
    <row r="4" spans="1:20" x14ac:dyDescent="0.25">
      <c r="A4" s="9" t="s">
        <v>1</v>
      </c>
      <c r="B4" s="9">
        <v>434</v>
      </c>
      <c r="C4" s="9"/>
      <c r="D4" s="9"/>
      <c r="E4" s="9"/>
      <c r="F4" s="9"/>
      <c r="G4" s="9"/>
      <c r="H4" s="7"/>
      <c r="R4">
        <f>138/233</f>
        <v>0.59227467811158796</v>
      </c>
    </row>
    <row r="5" spans="1:20" x14ac:dyDescent="0.25">
      <c r="A5" s="10"/>
      <c r="B5" s="10"/>
      <c r="C5" s="10"/>
      <c r="D5" s="11" t="s">
        <v>2</v>
      </c>
      <c r="E5" s="42" t="s">
        <v>3</v>
      </c>
      <c r="F5" s="43"/>
      <c r="G5" s="44"/>
      <c r="H5" s="7"/>
    </row>
    <row r="6" spans="1:20" x14ac:dyDescent="0.25">
      <c r="A6" s="12" t="s">
        <v>4</v>
      </c>
      <c r="B6" s="13"/>
      <c r="C6" s="13"/>
      <c r="D6" s="14" t="s">
        <v>5</v>
      </c>
      <c r="E6" s="14" t="s">
        <v>5</v>
      </c>
      <c r="F6" s="15" t="s">
        <v>6</v>
      </c>
      <c r="G6" s="16" t="s">
        <v>7</v>
      </c>
      <c r="H6" s="7"/>
    </row>
    <row r="7" spans="1:20" ht="14.45" hidden="1" customHeight="1" x14ac:dyDescent="0.25">
      <c r="A7" s="31" t="s">
        <v>31</v>
      </c>
      <c r="B7" s="32"/>
      <c r="C7" s="7"/>
      <c r="D7" s="17">
        <f>E7*12</f>
        <v>0</v>
      </c>
      <c r="E7" s="18">
        <f t="shared" ref="E7:E9" si="0">F7*G7</f>
        <v>0</v>
      </c>
      <c r="F7" s="30"/>
      <c r="G7" s="19">
        <v>0</v>
      </c>
      <c r="H7" s="7" t="s">
        <v>32</v>
      </c>
      <c r="N7" s="33"/>
      <c r="O7" s="34"/>
      <c r="P7" s="34"/>
      <c r="T7" s="34"/>
    </row>
    <row r="8" spans="1:20" ht="14.45" hidden="1" customHeight="1" x14ac:dyDescent="0.25">
      <c r="A8" s="31" t="s">
        <v>8</v>
      </c>
      <c r="B8" s="32"/>
      <c r="C8" s="7"/>
      <c r="D8" s="38">
        <f>E8*12</f>
        <v>0</v>
      </c>
      <c r="E8" s="39">
        <f>F8*G8</f>
        <v>0</v>
      </c>
      <c r="F8" s="40"/>
      <c r="G8" s="41">
        <v>0</v>
      </c>
      <c r="H8" s="7" t="s">
        <v>35</v>
      </c>
      <c r="T8" s="34"/>
    </row>
    <row r="9" spans="1:20" ht="14.45" customHeight="1" x14ac:dyDescent="0.25">
      <c r="A9" s="31" t="s">
        <v>9</v>
      </c>
      <c r="B9" s="32"/>
      <c r="C9" s="7"/>
      <c r="D9" s="17">
        <f t="shared" ref="D9" si="1">E9*12</f>
        <v>48405.000000000007</v>
      </c>
      <c r="E9" s="18">
        <f t="shared" si="0"/>
        <v>4033.7500000000005</v>
      </c>
      <c r="F9" s="30">
        <f>($B$4*55%)/12+7</f>
        <v>26.891666666666669</v>
      </c>
      <c r="G9" s="19">
        <v>150</v>
      </c>
      <c r="H9" s="7" t="s">
        <v>10</v>
      </c>
      <c r="T9" s="34"/>
    </row>
    <row r="10" spans="1:20" ht="14.45" customHeight="1" x14ac:dyDescent="0.25">
      <c r="A10" s="31" t="s">
        <v>11</v>
      </c>
      <c r="B10" s="32"/>
      <c r="C10" s="7"/>
      <c r="D10" s="17">
        <f>E10*12</f>
        <v>48825.000000000007</v>
      </c>
      <c r="E10" s="18">
        <f>F10*G10</f>
        <v>4068.7500000000005</v>
      </c>
      <c r="F10" s="30">
        <f>($B$4*45%)/12</f>
        <v>16.275000000000002</v>
      </c>
      <c r="G10" s="19">
        <v>250</v>
      </c>
      <c r="H10" t="s">
        <v>34</v>
      </c>
      <c r="T10" s="34"/>
    </row>
    <row r="11" spans="1:20" ht="14.45" customHeight="1" x14ac:dyDescent="0.25">
      <c r="A11" s="31" t="s">
        <v>13</v>
      </c>
      <c r="B11" s="32"/>
      <c r="C11" s="7"/>
      <c r="D11" s="17">
        <f>E11*12</f>
        <v>46872.000000000007</v>
      </c>
      <c r="E11" s="18">
        <f>F11*G11</f>
        <v>3906.0000000000005</v>
      </c>
      <c r="F11" s="30">
        <f>B4*5%</f>
        <v>21.700000000000003</v>
      </c>
      <c r="G11" s="19">
        <v>180</v>
      </c>
      <c r="H11" t="s">
        <v>41</v>
      </c>
      <c r="T11" s="34"/>
    </row>
    <row r="12" spans="1:20" ht="14.45" customHeight="1" x14ac:dyDescent="0.25">
      <c r="A12" s="31" t="s">
        <v>14</v>
      </c>
      <c r="B12" s="32"/>
      <c r="C12" s="7"/>
      <c r="D12" s="17">
        <f t="shared" ref="D12:D16" si="2">E12*12</f>
        <v>12000</v>
      </c>
      <c r="E12" s="18">
        <f>F12*G12</f>
        <v>1000</v>
      </c>
      <c r="F12" s="20">
        <v>1</v>
      </c>
      <c r="G12" s="19">
        <v>1000</v>
      </c>
      <c r="H12" t="s">
        <v>15</v>
      </c>
      <c r="T12" s="34"/>
    </row>
    <row r="13" spans="1:20" ht="14.45" customHeight="1" x14ac:dyDescent="0.25">
      <c r="A13" s="31" t="s">
        <v>18</v>
      </c>
      <c r="B13" s="32"/>
      <c r="C13" s="7"/>
      <c r="D13" s="17">
        <f t="shared" si="2"/>
        <v>19530.000000000004</v>
      </c>
      <c r="E13" s="18">
        <f t="shared" ref="E13:E19" si="3">F13*G13</f>
        <v>1627.5000000000002</v>
      </c>
      <c r="F13" s="30">
        <f>($B$4*45%)/12</f>
        <v>16.275000000000002</v>
      </c>
      <c r="G13" s="19">
        <v>100</v>
      </c>
      <c r="H13" t="s">
        <v>12</v>
      </c>
      <c r="T13" s="34"/>
    </row>
    <row r="14" spans="1:20" ht="14.45" customHeight="1" x14ac:dyDescent="0.25">
      <c r="A14" s="31" t="s">
        <v>19</v>
      </c>
      <c r="B14" s="32"/>
      <c r="C14" s="7"/>
      <c r="D14" s="17">
        <f t="shared" si="2"/>
        <v>46871.999999999993</v>
      </c>
      <c r="E14" s="18">
        <f t="shared" si="3"/>
        <v>3905.9999999999995</v>
      </c>
      <c r="F14" s="30">
        <f>(B4*30%)*1</f>
        <v>130.19999999999999</v>
      </c>
      <c r="G14" s="19">
        <v>30</v>
      </c>
      <c r="H14" s="8" t="s">
        <v>42</v>
      </c>
      <c r="T14" s="34"/>
    </row>
    <row r="15" spans="1:20" ht="14.45" customHeight="1" x14ac:dyDescent="0.25">
      <c r="A15" s="31" t="s">
        <v>20</v>
      </c>
      <c r="B15" s="32"/>
      <c r="C15" s="7"/>
      <c r="D15" s="17">
        <f>E15*12</f>
        <v>38724.000000000007</v>
      </c>
      <c r="E15" s="18">
        <f>F15*G15</f>
        <v>3227.0000000000005</v>
      </c>
      <c r="F15" s="30">
        <f>F9*30%</f>
        <v>8.0675000000000008</v>
      </c>
      <c r="G15" s="19">
        <v>400</v>
      </c>
      <c r="H15" t="s">
        <v>21</v>
      </c>
      <c r="T15" s="34"/>
    </row>
    <row r="16" spans="1:20" ht="14.45" customHeight="1" x14ac:dyDescent="0.25">
      <c r="A16" s="31" t="s">
        <v>26</v>
      </c>
      <c r="B16" s="32"/>
      <c r="C16" s="7"/>
      <c r="D16" s="17">
        <f t="shared" si="2"/>
        <v>26040</v>
      </c>
      <c r="E16" s="18">
        <f t="shared" si="3"/>
        <v>2170</v>
      </c>
      <c r="F16" s="20">
        <f>B4</f>
        <v>434</v>
      </c>
      <c r="G16" s="19">
        <v>5</v>
      </c>
      <c r="H16" t="s">
        <v>38</v>
      </c>
      <c r="T16" s="34"/>
    </row>
    <row r="17" spans="1:20" ht="14.45" customHeight="1" x14ac:dyDescent="0.25">
      <c r="A17" s="31" t="s">
        <v>37</v>
      </c>
      <c r="B17" s="32"/>
      <c r="C17" s="7"/>
      <c r="D17" s="17">
        <f>E17*12</f>
        <v>26040</v>
      </c>
      <c r="E17" s="18">
        <f>F17*G17</f>
        <v>2170</v>
      </c>
      <c r="F17" s="20">
        <f>B4</f>
        <v>434</v>
      </c>
      <c r="G17" s="19">
        <v>5</v>
      </c>
      <c r="H17" t="s">
        <v>39</v>
      </c>
      <c r="T17" s="34"/>
    </row>
    <row r="18" spans="1:20" ht="14.45" customHeight="1" x14ac:dyDescent="0.25">
      <c r="A18" s="31" t="s">
        <v>40</v>
      </c>
      <c r="B18" s="32"/>
      <c r="C18" s="7"/>
      <c r="D18" s="17">
        <f>E18*12</f>
        <v>28644</v>
      </c>
      <c r="E18" s="18">
        <f>F18*G18</f>
        <v>2387</v>
      </c>
      <c r="F18" s="20">
        <f>B4</f>
        <v>434</v>
      </c>
      <c r="G18" s="46">
        <v>5.5</v>
      </c>
      <c r="T18" s="34"/>
    </row>
    <row r="19" spans="1:20" ht="14.45" customHeight="1" x14ac:dyDescent="0.25">
      <c r="A19" s="31" t="s">
        <v>22</v>
      </c>
      <c r="B19" s="32"/>
      <c r="C19" s="7"/>
      <c r="D19" s="17">
        <f>E19*12</f>
        <v>0</v>
      </c>
      <c r="E19" s="18">
        <f t="shared" si="3"/>
        <v>0</v>
      </c>
      <c r="F19" s="20">
        <f>B4</f>
        <v>434</v>
      </c>
      <c r="G19" s="19"/>
      <c r="H19" t="s">
        <v>43</v>
      </c>
      <c r="T19" s="34"/>
    </row>
    <row r="20" spans="1:20" ht="14.45" customHeight="1" x14ac:dyDescent="0.25">
      <c r="A20" s="31" t="s">
        <v>23</v>
      </c>
      <c r="B20" s="32"/>
      <c r="C20" s="9"/>
      <c r="D20" s="17">
        <f>E20*12</f>
        <v>0</v>
      </c>
      <c r="E20" s="18">
        <f>F20*G20</f>
        <v>0</v>
      </c>
      <c r="F20" s="20">
        <f>B4</f>
        <v>434</v>
      </c>
      <c r="G20" s="19"/>
      <c r="H20" s="37">
        <v>45</v>
      </c>
    </row>
    <row r="21" spans="1:20" ht="14.45" customHeight="1" x14ac:dyDescent="0.25">
      <c r="A21" s="31" t="s">
        <v>16</v>
      </c>
      <c r="B21" s="32"/>
      <c r="C21" s="7"/>
      <c r="D21" s="17">
        <f>E21*12</f>
        <v>1800</v>
      </c>
      <c r="E21" s="18">
        <f>F21*G21</f>
        <v>150</v>
      </c>
      <c r="F21" s="20">
        <v>2</v>
      </c>
      <c r="G21" s="19">
        <v>75</v>
      </c>
      <c r="H21" s="7"/>
      <c r="T21" s="34"/>
    </row>
    <row r="22" spans="1:20" ht="14.45" customHeight="1" x14ac:dyDescent="0.25">
      <c r="A22" s="31" t="s">
        <v>17</v>
      </c>
      <c r="B22" s="32"/>
      <c r="C22" s="7"/>
      <c r="D22" s="17">
        <f>E22*12</f>
        <v>78120</v>
      </c>
      <c r="E22" s="18">
        <f>F22*G22</f>
        <v>6510</v>
      </c>
      <c r="F22" s="20">
        <v>434</v>
      </c>
      <c r="G22" s="19">
        <v>15</v>
      </c>
      <c r="H22" s="45">
        <f>SUM(D19:D20)/B4</f>
        <v>0</v>
      </c>
      <c r="T22" s="34"/>
    </row>
    <row r="23" spans="1:20" x14ac:dyDescent="0.25">
      <c r="A23" s="21" t="s">
        <v>24</v>
      </c>
      <c r="B23" s="22"/>
      <c r="C23" s="22"/>
      <c r="D23" s="23">
        <f>SUM(D7:D22)</f>
        <v>421872</v>
      </c>
      <c r="E23" s="23">
        <f>SUM(E7:E22)</f>
        <v>35156</v>
      </c>
      <c r="F23" s="22"/>
      <c r="G23" s="24"/>
      <c r="H23" s="7"/>
    </row>
    <row r="24" spans="1:20" x14ac:dyDescent="0.25">
      <c r="A24" s="25" t="s">
        <v>25</v>
      </c>
      <c r="B24" s="26"/>
      <c r="C24" s="26"/>
      <c r="D24" s="27">
        <f>SUM(D23/B4)</f>
        <v>972.05529953917051</v>
      </c>
      <c r="E24" s="28">
        <f>E23/B4</f>
        <v>81.004608294930875</v>
      </c>
      <c r="F24" s="26"/>
      <c r="G24" s="29"/>
      <c r="H24" s="7"/>
      <c r="I24" s="33"/>
      <c r="J24" s="34"/>
      <c r="S24" s="33"/>
    </row>
    <row r="25" spans="1:20" x14ac:dyDescent="0.25">
      <c r="D25" s="5"/>
      <c r="I25" s="35"/>
      <c r="S25" s="34"/>
    </row>
    <row r="26" spans="1:20" ht="14.45" customHeight="1" x14ac:dyDescent="0.25">
      <c r="A26" s="31" t="s">
        <v>33</v>
      </c>
      <c r="B26" s="32"/>
      <c r="C26" s="7"/>
      <c r="D26" s="17">
        <f>E26*12</f>
        <v>390600</v>
      </c>
      <c r="E26" s="18">
        <f>F26*G26</f>
        <v>32550</v>
      </c>
      <c r="F26" s="20">
        <f>B4</f>
        <v>434</v>
      </c>
      <c r="G26" s="19">
        <v>75</v>
      </c>
      <c r="H26" s="7"/>
      <c r="T26" s="34"/>
    </row>
    <row r="27" spans="1:20" x14ac:dyDescent="0.25">
      <c r="F27" s="5"/>
      <c r="G27" s="5"/>
      <c r="H27" t="s">
        <v>27</v>
      </c>
      <c r="I27" s="36">
        <f>(B4*H20)*12</f>
        <v>234360</v>
      </c>
      <c r="J27" s="36"/>
    </row>
    <row r="28" spans="1:20" x14ac:dyDescent="0.25">
      <c r="D28" s="6"/>
      <c r="E28" s="5"/>
      <c r="G28" s="5"/>
      <c r="H28" t="s">
        <v>28</v>
      </c>
      <c r="I28" s="36">
        <f>B4*12*12</f>
        <v>62496</v>
      </c>
      <c r="J28" s="36"/>
    </row>
    <row r="29" spans="1:20" x14ac:dyDescent="0.25">
      <c r="H29" t="s">
        <v>29</v>
      </c>
      <c r="I29" s="36">
        <f>200*B4</f>
        <v>86800</v>
      </c>
      <c r="J29" s="36"/>
      <c r="M29" s="33"/>
    </row>
    <row r="30" spans="1:20" x14ac:dyDescent="0.25">
      <c r="D30" s="6"/>
      <c r="H30" t="s">
        <v>30</v>
      </c>
      <c r="I30" s="36">
        <f>1000*12</f>
        <v>12000</v>
      </c>
      <c r="J30" s="36"/>
    </row>
    <row r="31" spans="1:20" x14ac:dyDescent="0.25">
      <c r="I31" s="36">
        <f>SUM(I27:I30)</f>
        <v>395656</v>
      </c>
      <c r="J31" s="36">
        <f>I31/B4</f>
        <v>911.64976958525347</v>
      </c>
      <c r="M31" s="33"/>
    </row>
    <row r="32" spans="1:20" x14ac:dyDescent="0.25">
      <c r="M32" s="34"/>
    </row>
    <row r="33" spans="4:4" x14ac:dyDescent="0.25">
      <c r="D33" s="5"/>
    </row>
    <row r="34" spans="4:4" x14ac:dyDescent="0.25">
      <c r="D34" s="5"/>
    </row>
  </sheetData>
  <mergeCells count="1">
    <mergeCell ref="E5:G5"/>
  </mergeCells>
  <phoneticPr fontId="10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85F4599E81C84187E74AA6B8AAFE7B" ma:contentTypeVersion="10" ma:contentTypeDescription="Create a new document." ma:contentTypeScope="" ma:versionID="2165792b4d6316358a599003d69d13e6">
  <xsd:schema xmlns:xsd="http://www.w3.org/2001/XMLSchema" xmlns:xs="http://www.w3.org/2001/XMLSchema" xmlns:p="http://schemas.microsoft.com/office/2006/metadata/properties" xmlns:ns3="706ec0aa-16cf-4b1a-b9c5-a65a7e422c06" xmlns:ns4="22cdac63-9127-48c9-8183-71044fdfc69f" targetNamespace="http://schemas.microsoft.com/office/2006/metadata/properties" ma:root="true" ma:fieldsID="598cf8ea97ed42008663af0c333026da" ns3:_="" ns4:_="">
    <xsd:import namespace="706ec0aa-16cf-4b1a-b9c5-a65a7e422c06"/>
    <xsd:import namespace="22cdac63-9127-48c9-8183-71044fdfc6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ec0aa-16cf-4b1a-b9c5-a65a7e422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dac63-9127-48c9-8183-71044fdfc6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3DBDEC-3923-4198-B7A5-9E74D63CF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ec0aa-16cf-4b1a-b9c5-a65a7e422c06"/>
    <ds:schemaRef ds:uri="22cdac63-9127-48c9-8183-71044fdfc6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FE42DD-AFE8-42B5-B33F-D95D09EF91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0A979E-DD5F-41A4-AC55-3E7CEB294E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Bell Partners,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Ronda Kunsman</dc:creator>
  <cp:keywords/>
  <dc:description/>
  <cp:lastModifiedBy>Leon Dixon</cp:lastModifiedBy>
  <cp:revision/>
  <dcterms:created xsi:type="dcterms:W3CDTF">2018-09-24T14:06:01Z</dcterms:created>
  <dcterms:modified xsi:type="dcterms:W3CDTF">2025-09-09T18:33:54Z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0x010100B185F4599E81C84187E74AA6B8AAFE7B</vt:lpwstr>
  </property>
</Properties>
</file>