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11"/>
  <workbookPr/>
  <xr:revisionPtr revIDLastSave="0" documentId="11_7DE7926E78FDC2332D1FDAA8713E2FCDCF24E3DD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balance sheet" sheetId="1" r:id="rId1"/>
  </sheets>
  <definedNames>
    <definedName name="Body" localSheetId="0">'balance sheet'!#REF!</definedName>
    <definedName name="_xlnm.CRITERIA" localSheetId="0">'balance sheet'!$A$4:$A$5</definedName>
    <definedName name="_xlnm.Print_Area" localSheetId="0">'balance sheet'!$A$1:$F$2174</definedName>
    <definedName name="_xlnm.Print_Titles" localSheetId="0">'balance sheet'!$6:$13</definedName>
    <definedName name="Print_Zone" localSheetId="0">'balance sheet'!$B$6:$G$1666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73" i="1" l="1"/>
  <c r="D2173" i="1"/>
  <c r="G2171" i="1"/>
  <c r="G2170" i="1"/>
  <c r="F2170" i="1"/>
  <c r="E2170" i="1"/>
  <c r="D2170" i="1"/>
  <c r="G2169" i="1"/>
  <c r="G2168" i="1"/>
  <c r="F2168" i="1"/>
  <c r="E2168" i="1"/>
  <c r="D2168" i="1"/>
  <c r="G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2" i="1"/>
  <c r="G2091" i="1"/>
  <c r="G2090" i="1"/>
  <c r="F2090" i="1"/>
  <c r="E2090" i="1"/>
  <c r="D2090" i="1"/>
  <c r="G2089" i="1"/>
  <c r="G2088" i="1"/>
  <c r="F2088" i="1"/>
  <c r="E2088" i="1"/>
  <c r="D2088" i="1"/>
  <c r="G2087" i="1"/>
  <c r="G2086" i="1"/>
  <c r="F2086" i="1"/>
  <c r="E2086" i="1"/>
  <c r="D2086" i="1"/>
  <c r="G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6" i="1"/>
  <c r="G1925" i="1"/>
  <c r="G1924" i="1"/>
  <c r="F1924" i="1"/>
  <c r="E1924" i="1"/>
  <c r="D1924" i="1"/>
  <c r="G1923" i="1"/>
  <c r="G1922" i="1"/>
  <c r="F1922" i="1"/>
  <c r="G19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0" i="1"/>
  <c r="G1849" i="1"/>
  <c r="G1848" i="1"/>
  <c r="F1848" i="1"/>
  <c r="E1848" i="1"/>
  <c r="D1848" i="1"/>
  <c r="G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/>
  <c r="F1819" i="1"/>
  <c r="G1818" i="1"/>
  <c r="F1818" i="1"/>
  <c r="G1817" i="1"/>
  <c r="F1817" i="1"/>
  <c r="G1815" i="1"/>
  <c r="F1815" i="1"/>
  <c r="G1814" i="1"/>
  <c r="F1814" i="1"/>
  <c r="G1813" i="1"/>
  <c r="F1813" i="1"/>
  <c r="G1812" i="1"/>
  <c r="F1812" i="1"/>
  <c r="G1811" i="1"/>
  <c r="F1811" i="1"/>
  <c r="G1810" i="1"/>
  <c r="G1809" i="1"/>
  <c r="G1808" i="1"/>
  <c r="G1807" i="1"/>
  <c r="G1806" i="1"/>
  <c r="F1806" i="1"/>
  <c r="E1806" i="1"/>
  <c r="D1806" i="1"/>
  <c r="G1805" i="1"/>
  <c r="G1804" i="1"/>
  <c r="F1804" i="1"/>
  <c r="E1804" i="1"/>
  <c r="D1804" i="1"/>
  <c r="G1803" i="1"/>
  <c r="G1802" i="1"/>
  <c r="F1802" i="1"/>
  <c r="G1801" i="1"/>
  <c r="F1801" i="1"/>
  <c r="G1800" i="1"/>
  <c r="F1800" i="1"/>
  <c r="G1798" i="1"/>
  <c r="G1797" i="1"/>
  <c r="G1796" i="1"/>
  <c r="F1796" i="1"/>
  <c r="E1796" i="1"/>
  <c r="D1796" i="1"/>
  <c r="G1795" i="1"/>
  <c r="G1794" i="1"/>
  <c r="F1794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4" i="1"/>
  <c r="G1723" i="1"/>
  <c r="G1722" i="1"/>
  <c r="F1722" i="1"/>
  <c r="E1722" i="1"/>
  <c r="D1722" i="1"/>
  <c r="G1721" i="1"/>
  <c r="G1720" i="1"/>
  <c r="F1720" i="1"/>
  <c r="G1719" i="1"/>
  <c r="F1719" i="1"/>
  <c r="G1718" i="1"/>
  <c r="F1718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4" i="1"/>
  <c r="G1693" i="1"/>
  <c r="G1692" i="1"/>
  <c r="G1691" i="1"/>
  <c r="G1690" i="1"/>
  <c r="G1689" i="1"/>
  <c r="G1688" i="1"/>
  <c r="F1688" i="1"/>
  <c r="E1688" i="1"/>
  <c r="D1688" i="1"/>
  <c r="G1687" i="1"/>
  <c r="G1686" i="1"/>
  <c r="F1686" i="1"/>
  <c r="E1686" i="1"/>
  <c r="D1686" i="1"/>
  <c r="G1685" i="1"/>
  <c r="G1684" i="1"/>
  <c r="F1684" i="1"/>
  <c r="E1684" i="1"/>
  <c r="D1684" i="1"/>
  <c r="G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8" i="1"/>
  <c r="G1667" i="1"/>
  <c r="G1666" i="1"/>
  <c r="F1666" i="1"/>
  <c r="E1666" i="1"/>
  <c r="D1666" i="1"/>
  <c r="G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7" i="1"/>
  <c r="G1636" i="1"/>
  <c r="G1635" i="1"/>
  <c r="F1635" i="1"/>
  <c r="E1635" i="1"/>
  <c r="D1635" i="1"/>
  <c r="G1634" i="1"/>
  <c r="G1633" i="1"/>
  <c r="F1633" i="1"/>
  <c r="E1633" i="1"/>
  <c r="D1633" i="1"/>
  <c r="G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400" i="1"/>
  <c r="F1400" i="1"/>
  <c r="G1399" i="1"/>
  <c r="F1399" i="1"/>
  <c r="G1398" i="1"/>
  <c r="F1398" i="1"/>
  <c r="G1397" i="1"/>
  <c r="F1397" i="1"/>
  <c r="G1396" i="1"/>
  <c r="F1396" i="1"/>
  <c r="G1395" i="1"/>
  <c r="F1395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G1386" i="1"/>
  <c r="F1386" i="1"/>
  <c r="G1385" i="1"/>
  <c r="F1385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3" i="1"/>
  <c r="G1262" i="1"/>
  <c r="G1261" i="1"/>
  <c r="F1261" i="1"/>
  <c r="E1261" i="1"/>
  <c r="D1261" i="1"/>
  <c r="G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G1248" i="1"/>
  <c r="F1248" i="1"/>
  <c r="G1247" i="1"/>
  <c r="F1247" i="1"/>
  <c r="G1246" i="1"/>
  <c r="F1246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7" i="1"/>
  <c r="F1027" i="1"/>
  <c r="G1026" i="1"/>
  <c r="F1026" i="1"/>
  <c r="G1025" i="1"/>
  <c r="F1025" i="1"/>
  <c r="G1024" i="1"/>
  <c r="F1024" i="1"/>
  <c r="G1023" i="1"/>
  <c r="F1023" i="1"/>
  <c r="G1022" i="1"/>
  <c r="F1022" i="1"/>
  <c r="G1021" i="1"/>
  <c r="F1021" i="1"/>
  <c r="G1020" i="1"/>
  <c r="F1020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1011" i="1"/>
  <c r="F1011" i="1"/>
  <c r="G1010" i="1"/>
  <c r="F1010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62" i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10" i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G849" i="1"/>
  <c r="F849" i="1"/>
  <c r="G848" i="1"/>
  <c r="F848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5" i="1"/>
  <c r="G704" i="1"/>
  <c r="G703" i="1"/>
  <c r="G702" i="1"/>
  <c r="F702" i="1"/>
  <c r="E702" i="1"/>
  <c r="D702" i="1"/>
  <c r="G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F626" i="1"/>
  <c r="G625" i="1"/>
  <c r="F625" i="1"/>
  <c r="G623" i="1"/>
  <c r="G622" i="1"/>
  <c r="G621" i="1"/>
  <c r="F621" i="1"/>
  <c r="E621" i="1"/>
  <c r="D621" i="1"/>
  <c r="G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6" i="1"/>
  <c r="G455" i="1"/>
  <c r="G454" i="1"/>
  <c r="F454" i="1"/>
  <c r="E454" i="1"/>
  <c r="D454" i="1"/>
  <c r="G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3" i="1"/>
  <c r="G432" i="1"/>
  <c r="G431" i="1"/>
  <c r="G430" i="1"/>
  <c r="G429" i="1"/>
  <c r="F429" i="1"/>
  <c r="E429" i="1"/>
  <c r="D429" i="1"/>
  <c r="G428" i="1"/>
  <c r="G427" i="1"/>
  <c r="F427" i="1"/>
  <c r="E427" i="1"/>
  <c r="D427" i="1"/>
  <c r="G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8" i="1"/>
  <c r="G417" i="1"/>
  <c r="G416" i="1"/>
  <c r="F416" i="1"/>
  <c r="E416" i="1"/>
  <c r="D416" i="1"/>
  <c r="G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5" i="1"/>
  <c r="G394" i="1"/>
  <c r="G393" i="1"/>
  <c r="F393" i="1"/>
  <c r="E393" i="1"/>
  <c r="D393" i="1"/>
  <c r="G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7" i="1"/>
  <c r="G166" i="1"/>
  <c r="G165" i="1"/>
  <c r="F165" i="1"/>
  <c r="E165" i="1"/>
  <c r="D165" i="1"/>
  <c r="G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4" i="1"/>
  <c r="G103" i="1"/>
  <c r="G102" i="1"/>
  <c r="F102" i="1"/>
  <c r="E102" i="1"/>
  <c r="D102" i="1"/>
  <c r="G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8" i="1"/>
  <c r="G17" i="1"/>
  <c r="G16" i="1"/>
  <c r="G14" i="1"/>
  <c r="B9" i="1"/>
  <c r="E5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tedr</author>
  </authors>
  <commentList>
    <comment ref="D5" authorId="0" shapeId="0" xr:uid="{00000000-0006-0000-0000-000001000000}">
      <text>
        <r>
          <rPr>
            <b/>
            <sz val="8"/>
            <rFont val="Tahoma"/>
            <family val="2"/>
          </rPr>
          <t>This cell contains the 'quarter beginning date' for the date shown in cell D1.</t>
        </r>
      </text>
    </comment>
    <comment ref="E5" authorId="0" shapeId="0" xr:uid="{00000000-0006-0000-0000-000002000000}">
      <text>
        <r>
          <rPr>
            <b/>
            <sz val="8"/>
            <rFont val="Tahoma"/>
            <family val="2"/>
          </rPr>
          <t>This cell contains the 'quarter beginning date' for the date shown in cell E1.</t>
        </r>
      </text>
    </comment>
  </commentList>
</comments>
</file>

<file path=xl/sharedStrings.xml><?xml version="1.0" encoding="utf-8"?>
<sst xmlns="http://schemas.openxmlformats.org/spreadsheetml/2006/main" count="4186" uniqueCount="4090">
  <si>
    <t>YSL.Net: 70.8.0.0</t>
  </si>
  <si>
    <t/>
  </si>
  <si>
    <t>12/1/2023</t>
  </si>
  <si>
    <t>Accrual</t>
  </si>
  <si>
    <t>p2122</t>
  </si>
  <si>
    <t>Filter</t>
  </si>
  <si>
    <t>Oracle</t>
  </si>
  <si>
    <t>APA</t>
  </si>
  <si>
    <t>City</t>
  </si>
  <si>
    <t>&lt;&gt;0</t>
  </si>
  <si>
    <t>Sql Server</t>
  </si>
  <si>
    <t xml:space="preserve"> </t>
  </si>
  <si>
    <t>Balance Sheet</t>
  </si>
  <si>
    <t>For the period ending December 31, 2023</t>
  </si>
  <si>
    <t>Prepared by:</t>
  </si>
  <si>
    <t>Highlands at Sweetwater Creek (p2122)</t>
  </si>
  <si>
    <t>Bell Partners, Inc.</t>
  </si>
  <si>
    <t>Account</t>
  </si>
  <si>
    <t>Dec 2023</t>
  </si>
  <si>
    <t>Nov 2023</t>
  </si>
  <si>
    <t>Change from Prior Month</t>
  </si>
  <si>
    <t>Assets</t>
  </si>
  <si>
    <t>Current Assets</t>
  </si>
  <si>
    <t>Cash &amp; Cash Equivalents</t>
  </si>
  <si>
    <t>10000000</t>
  </si>
  <si>
    <t>ASSETS</t>
  </si>
  <si>
    <t>10000001</t>
  </si>
  <si>
    <t>CURRENT ASSETS</t>
  </si>
  <si>
    <t>10000100</t>
  </si>
  <si>
    <t>CASH AND CASH EQUIVALENTS</t>
  </si>
  <si>
    <t>10000200</t>
  </si>
  <si>
    <t>CASH</t>
  </si>
  <si>
    <t>10001000</t>
  </si>
  <si>
    <t>Cash Operating</t>
  </si>
  <si>
    <t>10001005</t>
  </si>
  <si>
    <t>Cash Operating-YE Precision</t>
  </si>
  <si>
    <t>10001010</t>
  </si>
  <si>
    <t>Cash Operating-Bank of America (corp)</t>
  </si>
  <si>
    <t>10001020</t>
  </si>
  <si>
    <t>Cash Operating-Sterling South (corp)</t>
  </si>
  <si>
    <t>10001030</t>
  </si>
  <si>
    <t>Cash Operating-Rehab Activity</t>
  </si>
  <si>
    <t>10001035</t>
  </si>
  <si>
    <t>Cash Subscription</t>
  </si>
  <si>
    <t>10001040</t>
  </si>
  <si>
    <t>Bell Fund IV Manager LLC</t>
  </si>
  <si>
    <t>10001045</t>
  </si>
  <si>
    <t>Bell Fund V Manager, LLC</t>
  </si>
  <si>
    <t>10001046</t>
  </si>
  <si>
    <t>Bell Fund VI Manager, LLC</t>
  </si>
  <si>
    <t>10001047</t>
  </si>
  <si>
    <t>Bell Core Manager, LLC</t>
  </si>
  <si>
    <t>10001048</t>
  </si>
  <si>
    <t>Bell Horizions Manager</t>
  </si>
  <si>
    <t>10001049</t>
  </si>
  <si>
    <t>Bell Flatirons Manager</t>
  </si>
  <si>
    <t>10001050</t>
  </si>
  <si>
    <t>Bell Family Escrow-Fund IV</t>
  </si>
  <si>
    <t>10001051</t>
  </si>
  <si>
    <t>Bell Flatirons TRS Operating</t>
  </si>
  <si>
    <t>10001052</t>
  </si>
  <si>
    <t>BPI Money Market Corp Reserve</t>
  </si>
  <si>
    <t>10001053</t>
  </si>
  <si>
    <t>Old North State Trust</t>
  </si>
  <si>
    <t>10001054</t>
  </si>
  <si>
    <t>Bell Flatirons Investor</t>
  </si>
  <si>
    <t>10001055</t>
  </si>
  <si>
    <t>Bell Family Escrow -Fund V</t>
  </si>
  <si>
    <t>10001056</t>
  </si>
  <si>
    <t>Citizens - Corporate Reserve</t>
  </si>
  <si>
    <t>10001057</t>
  </si>
  <si>
    <t>Keystone Manager</t>
  </si>
  <si>
    <t>10001058</t>
  </si>
  <si>
    <t>Bell Fund VIII Manager</t>
  </si>
  <si>
    <t>10001059</t>
  </si>
  <si>
    <t>Regions Bank - Corporate Reserve</t>
  </si>
  <si>
    <t>10001100</t>
  </si>
  <si>
    <t>Wells Fargo Corporate Reserve Acct</t>
  </si>
  <si>
    <t>10001110</t>
  </si>
  <si>
    <t>Morgan Stanley - Corporate Reserve</t>
  </si>
  <si>
    <t>10001150</t>
  </si>
  <si>
    <t>BBandT Corporate Reserve Acct</t>
  </si>
  <si>
    <t>10001155</t>
  </si>
  <si>
    <t>BB&amp;T - Broker in Charge</t>
  </si>
  <si>
    <t>10001160</t>
  </si>
  <si>
    <t>SunTrust - Corporate Reserve</t>
  </si>
  <si>
    <t>10001165</t>
  </si>
  <si>
    <t>PNC - Corporate Reserve</t>
  </si>
  <si>
    <t>10001170</t>
  </si>
  <si>
    <t>Wells Fargo - Escrow - Unclaimed Property</t>
  </si>
  <si>
    <t>10001175</t>
  </si>
  <si>
    <t>Wells Fargo - Escrow</t>
  </si>
  <si>
    <t>10001180</t>
  </si>
  <si>
    <t>Bank Of America - Corporate Reserve</t>
  </si>
  <si>
    <t>10001185</t>
  </si>
  <si>
    <t>Wells Fargo - Bell Acquisitions</t>
  </si>
  <si>
    <t>10001190</t>
  </si>
  <si>
    <t>Triad Business Bank - Corporate Reserve</t>
  </si>
  <si>
    <t>10001191</t>
  </si>
  <si>
    <t>Triad Business Bank - LOC Clearing Account</t>
  </si>
  <si>
    <t>10001195</t>
  </si>
  <si>
    <t>Pinnacle - Corporate Reserve</t>
  </si>
  <si>
    <t>10001196</t>
  </si>
  <si>
    <t>Bell Partners Investment Manager, LLC</t>
  </si>
  <si>
    <t>10001200</t>
  </si>
  <si>
    <t>Cash Depository</t>
  </si>
  <si>
    <t>10001300</t>
  </si>
  <si>
    <t>Cash Capital Expenditures</t>
  </si>
  <si>
    <t>10001400</t>
  </si>
  <si>
    <t>Cash Imprest</t>
  </si>
  <si>
    <t>10001500</t>
  </si>
  <si>
    <t>Cash Retail</t>
  </si>
  <si>
    <t>10001600</t>
  </si>
  <si>
    <t>Cash Savings</t>
  </si>
  <si>
    <t>10001700</t>
  </si>
  <si>
    <t>Cash Savings-Sterling Trust</t>
  </si>
  <si>
    <t>10001800</t>
  </si>
  <si>
    <t>Cash Saving Investments</t>
  </si>
  <si>
    <t>10002000</t>
  </si>
  <si>
    <t>Cash Savings Workers Comp</t>
  </si>
  <si>
    <t>10002200</t>
  </si>
  <si>
    <t>Cash Sweep</t>
  </si>
  <si>
    <t>10003000</t>
  </si>
  <si>
    <t>2012 Prop Ins-Loss Reserve</t>
  </si>
  <si>
    <t>10003100</t>
  </si>
  <si>
    <t>2013 Prop Ins-Loss Reserve</t>
  </si>
  <si>
    <t>10003105</t>
  </si>
  <si>
    <t>2014 Prop Ins-Loss Reserve</t>
  </si>
  <si>
    <t>10003110</t>
  </si>
  <si>
    <t>2015 Prop Ins-Loss Reserve</t>
  </si>
  <si>
    <t>10003115</t>
  </si>
  <si>
    <t>2016 Prop Ins-Loss Reserve</t>
  </si>
  <si>
    <t>10003116</t>
  </si>
  <si>
    <t>2017 Prop Ins-Loss Reserve</t>
  </si>
  <si>
    <t>10003117</t>
  </si>
  <si>
    <t>2018 Prop Ins - Loss Reserve</t>
  </si>
  <si>
    <t>10003118</t>
  </si>
  <si>
    <t>2019 Prop Ins Loss Reserve</t>
  </si>
  <si>
    <t>10003119</t>
  </si>
  <si>
    <t>2020 Prop Ins - Loss Reserve</t>
  </si>
  <si>
    <t>10003120</t>
  </si>
  <si>
    <t>2021 Prop Ins - Loss Reserve</t>
  </si>
  <si>
    <t>10003121</t>
  </si>
  <si>
    <t>2022 Prop Ins - Loss Reserve</t>
  </si>
  <si>
    <t>10003122</t>
  </si>
  <si>
    <t>2023 Prop Ins - Loss Reserve</t>
  </si>
  <si>
    <t>10003123</t>
  </si>
  <si>
    <t>2024 Prop Ins - Loss Reserve</t>
  </si>
  <si>
    <t>10005000</t>
  </si>
  <si>
    <t>Cash Flexible Spending</t>
  </si>
  <si>
    <t>10005100</t>
  </si>
  <si>
    <t>Cash Payroll</t>
  </si>
  <si>
    <t>10005105</t>
  </si>
  <si>
    <t>Cash Payroll-Impressed</t>
  </si>
  <si>
    <t>10005110</t>
  </si>
  <si>
    <t>Payroll Clearing Account</t>
  </si>
  <si>
    <t>10005150</t>
  </si>
  <si>
    <t>Cash-ADP TotalPay and PayCard Account</t>
  </si>
  <si>
    <t>10005200</t>
  </si>
  <si>
    <t>Cash Health Care</t>
  </si>
  <si>
    <t>10009000</t>
  </si>
  <si>
    <t>Cash Resident Funds</t>
  </si>
  <si>
    <t>10009100</t>
  </si>
  <si>
    <t>Interco Master Cash</t>
  </si>
  <si>
    <t>10009110</t>
  </si>
  <si>
    <t>10009200</t>
  </si>
  <si>
    <t>Section 1031</t>
  </si>
  <si>
    <t>10009300</t>
  </si>
  <si>
    <t>Cash Held by Owners</t>
  </si>
  <si>
    <t>10009302</t>
  </si>
  <si>
    <t>Cash Held off Property-Investor Rent Payments</t>
  </si>
  <si>
    <t>10009350</t>
  </si>
  <si>
    <t>Cash Held by Other Management Co</t>
  </si>
  <si>
    <t>10009380</t>
  </si>
  <si>
    <t>Bell Fund Contributions Reserved</t>
  </si>
  <si>
    <t>10009390</t>
  </si>
  <si>
    <t>Non-Fund-Owner Contributions Reserved</t>
  </si>
  <si>
    <t>10009391</t>
  </si>
  <si>
    <t>Cash Held Off Property (Other)</t>
  </si>
  <si>
    <t>10009392</t>
  </si>
  <si>
    <t>10009990</t>
  </si>
  <si>
    <t>Petty Cash</t>
  </si>
  <si>
    <t>10009999</t>
  </si>
  <si>
    <t>TOTAL CASH</t>
  </si>
  <si>
    <t xml:space="preserve"> Total Cash &amp; Cash Equivalents</t>
  </si>
  <si>
    <t>Restricted Cash</t>
  </si>
  <si>
    <t>10150000</t>
  </si>
  <si>
    <t>RESTRICTED CASH</t>
  </si>
  <si>
    <t>10151000</t>
  </si>
  <si>
    <t>Reserve Operations Ckg</t>
  </si>
  <si>
    <t>10151005</t>
  </si>
  <si>
    <t>Reserve Operations MM</t>
  </si>
  <si>
    <t>10151100</t>
  </si>
  <si>
    <t>Reserve CapX/Replacement Ckg</t>
  </si>
  <si>
    <t>10151105</t>
  </si>
  <si>
    <t>Reserve Replacement MM</t>
  </si>
  <si>
    <t>10151200</t>
  </si>
  <si>
    <t>Reserve Restricted Ckg</t>
  </si>
  <si>
    <t>10151205</t>
  </si>
  <si>
    <t>Reserve Restricted MM</t>
  </si>
  <si>
    <t>10151250</t>
  </si>
  <si>
    <t>Reserve Franchise Tax</t>
  </si>
  <si>
    <t>10151300</t>
  </si>
  <si>
    <t>Reserve Other Ckg</t>
  </si>
  <si>
    <t>10151305</t>
  </si>
  <si>
    <t>Reserve Other MM</t>
  </si>
  <si>
    <t>10151400</t>
  </si>
  <si>
    <t>Reserve Construction Ckg</t>
  </si>
  <si>
    <t>10151405</t>
  </si>
  <si>
    <t>Reserve Construction MM</t>
  </si>
  <si>
    <t>10151500</t>
  </si>
  <si>
    <t>Reserve Restricted Rehab Ckg</t>
  </si>
  <si>
    <t>10151505</t>
  </si>
  <si>
    <t>Reserve Restricted Rehab MM</t>
  </si>
  <si>
    <t>10151600</t>
  </si>
  <si>
    <t>Reserve Restricted Rehab Funded Ckg</t>
  </si>
  <si>
    <t>10151605</t>
  </si>
  <si>
    <t>Reserve Restricted Rehab Funded MM</t>
  </si>
  <si>
    <t>10151610</t>
  </si>
  <si>
    <t>Reserve Renov Funds - Brookfield</t>
  </si>
  <si>
    <t>10151611</t>
  </si>
  <si>
    <t>Reserve Renov Funds - Timacuan</t>
  </si>
  <si>
    <t>10151612</t>
  </si>
  <si>
    <t>Reserve Renov Funds - Quarry Hill</t>
  </si>
  <si>
    <t>10151700</t>
  </si>
  <si>
    <t>Reserve Bell Group Ckg</t>
  </si>
  <si>
    <t>10151705</t>
  </si>
  <si>
    <t>Reserve Bell Group MM</t>
  </si>
  <si>
    <t>10151800</t>
  </si>
  <si>
    <t>Reserve Bell Distribution Ckg</t>
  </si>
  <si>
    <t>10151805</t>
  </si>
  <si>
    <t>Reserve Bell Distribution MM</t>
  </si>
  <si>
    <t>10151900</t>
  </si>
  <si>
    <t>Reserve Restricted Bell Rehab Ckg</t>
  </si>
  <si>
    <t>10151905</t>
  </si>
  <si>
    <t>Reserve Restricted Bell Rehab MM</t>
  </si>
  <si>
    <t>10152000</t>
  </si>
  <si>
    <t>Restricted Cash (Start up Cost Reno Only)</t>
  </si>
  <si>
    <t>10152001</t>
  </si>
  <si>
    <t>Restricted Cash (Start Up Costs Contingency Only)</t>
  </si>
  <si>
    <t>10152100</t>
  </si>
  <si>
    <t>Restricted Cash - Healthcare</t>
  </si>
  <si>
    <t>10154000</t>
  </si>
  <si>
    <t>Escrow Community Fee Deposits</t>
  </si>
  <si>
    <t>10154052</t>
  </si>
  <si>
    <t>Lees Crossing Princ and Bond Fee</t>
  </si>
  <si>
    <t>10154100</t>
  </si>
  <si>
    <t>Escrow Education</t>
  </si>
  <si>
    <t>10154150</t>
  </si>
  <si>
    <t>Escrow Medicaid</t>
  </si>
  <si>
    <t>10154200</t>
  </si>
  <si>
    <t>Escrow Exchange</t>
  </si>
  <si>
    <t>10154300</t>
  </si>
  <si>
    <t>Escrow Insurance</t>
  </si>
  <si>
    <t>10154400</t>
  </si>
  <si>
    <t>Escrow Other</t>
  </si>
  <si>
    <t>10154450</t>
  </si>
  <si>
    <t>Escrow Hedge Replacement</t>
  </si>
  <si>
    <t>10154500</t>
  </si>
  <si>
    <t>Escrow Security Deposit</t>
  </si>
  <si>
    <t>10154600</t>
  </si>
  <si>
    <t>Escrow Surety</t>
  </si>
  <si>
    <t>10154700</t>
  </si>
  <si>
    <t>Escrow Tax</t>
  </si>
  <si>
    <t>10154800</t>
  </si>
  <si>
    <t>Lender Reserve Capital Improvements</t>
  </si>
  <si>
    <t>10154801</t>
  </si>
  <si>
    <t>Lender Reserve Construction</t>
  </si>
  <si>
    <t>10154802</t>
  </si>
  <si>
    <t>Lender Reserve Constructions (Draws)</t>
  </si>
  <si>
    <t>10154803</t>
  </si>
  <si>
    <t>Lender Reserve Working Capital</t>
  </si>
  <si>
    <t>10154804</t>
  </si>
  <si>
    <t>Lender Reserve Working Capital Allocated</t>
  </si>
  <si>
    <t>10154850</t>
  </si>
  <si>
    <t>Lender Reserve Hedge Replacement</t>
  </si>
  <si>
    <t>10154900</t>
  </si>
  <si>
    <t>Lender Reserve Insurance</t>
  </si>
  <si>
    <t>10155000</t>
  </si>
  <si>
    <t>Lender Reserve Misc</t>
  </si>
  <si>
    <t>10155100</t>
  </si>
  <si>
    <t>Lender Reserve Mortgage Insurance</t>
  </si>
  <si>
    <t>10155200</t>
  </si>
  <si>
    <t>Lender Reserve Repair</t>
  </si>
  <si>
    <t>10155300</t>
  </si>
  <si>
    <t>Lender Reserve Replmt/Constr (Original)</t>
  </si>
  <si>
    <t>10155400</t>
  </si>
  <si>
    <t>Lender Reserve Replacement Draw</t>
  </si>
  <si>
    <t>10155500</t>
  </si>
  <si>
    <t>Lender Reserve Replacement Security</t>
  </si>
  <si>
    <t>10155600</t>
  </si>
  <si>
    <t>Lender Reserve Tax</t>
  </si>
  <si>
    <t>10155700</t>
  </si>
  <si>
    <t>Lender Reserve Tenant Improvement</t>
  </si>
  <si>
    <t>10159000</t>
  </si>
  <si>
    <t>Trust Account Healthcare</t>
  </si>
  <si>
    <t>10159051</t>
  </si>
  <si>
    <t>Transfer of Funds (WREA)</t>
  </si>
  <si>
    <t>10159999</t>
  </si>
  <si>
    <t>TOTAL RESTRICTED CASH</t>
  </si>
  <si>
    <t>10199999</t>
  </si>
  <si>
    <t>TOTAL CASH AND CASH EQUIVALENTS</t>
  </si>
  <si>
    <t>Total Restricted Cash</t>
  </si>
  <si>
    <t>Accounts Receivable</t>
  </si>
  <si>
    <t>10200000</t>
  </si>
  <si>
    <t>ACCOUNTS RECEIVABLE</t>
  </si>
  <si>
    <t>10200100</t>
  </si>
  <si>
    <t>Due Diligence</t>
  </si>
  <si>
    <t>10200801</t>
  </si>
  <si>
    <t>A/R Haygood</t>
  </si>
  <si>
    <t>10200802</t>
  </si>
  <si>
    <t>A/R Bennington</t>
  </si>
  <si>
    <t>10200803</t>
  </si>
  <si>
    <t>A/R UDR</t>
  </si>
  <si>
    <t>10200804</t>
  </si>
  <si>
    <t>A/R Aspen Station - VA</t>
  </si>
  <si>
    <t>10200805</t>
  </si>
  <si>
    <t>A/R Hunt Portfolio</t>
  </si>
  <si>
    <t>10200806</t>
  </si>
  <si>
    <t>A/R Bell Fund III</t>
  </si>
  <si>
    <t>10200807</t>
  </si>
  <si>
    <t>A/R Sunwest Portfolio</t>
  </si>
  <si>
    <t>10200808</t>
  </si>
  <si>
    <t>A/R The Place at South Park</t>
  </si>
  <si>
    <t>10200809</t>
  </si>
  <si>
    <t>A/R Lenox Park</t>
  </si>
  <si>
    <t>10200810</t>
  </si>
  <si>
    <t>A/R BSL Portfolio</t>
  </si>
  <si>
    <t>10200811</t>
  </si>
  <si>
    <t>DD-The Thornton</t>
  </si>
  <si>
    <t>10200812</t>
  </si>
  <si>
    <t>DD-Hawfield Farms</t>
  </si>
  <si>
    <t>10200813</t>
  </si>
  <si>
    <t>DD-Crescent Portfolio</t>
  </si>
  <si>
    <t>10200814</t>
  </si>
  <si>
    <t>DD-Applebriar</t>
  </si>
  <si>
    <t>10200815</t>
  </si>
  <si>
    <t>DD-Jefferson at Salem Station</t>
  </si>
  <si>
    <t>10200816</t>
  </si>
  <si>
    <t>DD-Integra Village</t>
  </si>
  <si>
    <t>10200817</t>
  </si>
  <si>
    <t>DD-Bell Channelside</t>
  </si>
  <si>
    <t>10200818</t>
  </si>
  <si>
    <t>DD-Bell Riverside</t>
  </si>
  <si>
    <t>10200819</t>
  </si>
  <si>
    <t>DD - Bell HNW Fund VI</t>
  </si>
  <si>
    <t>10200820</t>
  </si>
  <si>
    <t>DD-Boca Town Center</t>
  </si>
  <si>
    <t>10200821</t>
  </si>
  <si>
    <t>DD-Bell Valley Ranch</t>
  </si>
  <si>
    <t>10200822</t>
  </si>
  <si>
    <t>DD-Escape at Four Point</t>
  </si>
  <si>
    <t>10200823</t>
  </si>
  <si>
    <t>DD-605 West</t>
  </si>
  <si>
    <t>10200824</t>
  </si>
  <si>
    <t>DD-Avenue H</t>
  </si>
  <si>
    <t>10200825</t>
  </si>
  <si>
    <t>DD - Regatta Bay</t>
  </si>
  <si>
    <t>10200826</t>
  </si>
  <si>
    <t>DD - Apt Fund VI</t>
  </si>
  <si>
    <t>10200827</t>
  </si>
  <si>
    <t>DD- Avion at Spectrum</t>
  </si>
  <si>
    <t>10200828</t>
  </si>
  <si>
    <t>DD - Alexander Perimeter</t>
  </si>
  <si>
    <t>10200829</t>
  </si>
  <si>
    <t>DD - AMLI Flatirons</t>
  </si>
  <si>
    <t>10200830</t>
  </si>
  <si>
    <t>DD - Cielo South Lamar</t>
  </si>
  <si>
    <t>10200831</t>
  </si>
  <si>
    <t>DD-Kennedy Row</t>
  </si>
  <si>
    <t>10200832</t>
  </si>
  <si>
    <t>DD-Indigo</t>
  </si>
  <si>
    <t>10200833</t>
  </si>
  <si>
    <t>DD-Aria Steiner Ranch</t>
  </si>
  <si>
    <t>10200834</t>
  </si>
  <si>
    <t>DD-Orion Frisco</t>
  </si>
  <si>
    <t>10200835</t>
  </si>
  <si>
    <t>DD - Meadowmont</t>
  </si>
  <si>
    <t>10200836</t>
  </si>
  <si>
    <t>DD - Alta Cherry Hill</t>
  </si>
  <si>
    <t>10200837</t>
  </si>
  <si>
    <t>DD - Bell Murfreesboro</t>
  </si>
  <si>
    <t>10200838</t>
  </si>
  <si>
    <t>DD-Olmsted</t>
  </si>
  <si>
    <t>10200839</t>
  </si>
  <si>
    <t>DD - Stonebridge Terrace (Woodbridge)</t>
  </si>
  <si>
    <t>10200840</t>
  </si>
  <si>
    <t>DD- Bell Deerfield Park</t>
  </si>
  <si>
    <t>10200841</t>
  </si>
  <si>
    <t>DD - Point Annapolis</t>
  </si>
  <si>
    <t>10200842</t>
  </si>
  <si>
    <t>DD - Solis Downwood</t>
  </si>
  <si>
    <t>10200843</t>
  </si>
  <si>
    <t>DD - Escape at Ken Caryl</t>
  </si>
  <si>
    <t>10200844</t>
  </si>
  <si>
    <t>DD - Bell Falls River</t>
  </si>
  <si>
    <t>10200901</t>
  </si>
  <si>
    <t>A/R AMLI Mill Creek</t>
  </si>
  <si>
    <t>10200902</t>
  </si>
  <si>
    <t>A/R Forest Hills</t>
  </si>
  <si>
    <t>10200903</t>
  </si>
  <si>
    <t>A/R Airport Station</t>
  </si>
  <si>
    <t>10200904</t>
  </si>
  <si>
    <t>A/R The Carlyle</t>
  </si>
  <si>
    <t>10200905</t>
  </si>
  <si>
    <t>A/R Car Sr Portfolio</t>
  </si>
  <si>
    <t>10200906</t>
  </si>
  <si>
    <t>A/R Lakes at Vinings</t>
  </si>
  <si>
    <t>10200907</t>
  </si>
  <si>
    <t>A/R Aventine @ Deerwood</t>
  </si>
  <si>
    <t>10200908</t>
  </si>
  <si>
    <t>Atlanta Office Project</t>
  </si>
  <si>
    <t>10200909</t>
  </si>
  <si>
    <t>Meadowmont DD</t>
  </si>
  <si>
    <t>10200910</t>
  </si>
  <si>
    <t>River Glen DD</t>
  </si>
  <si>
    <t>10200911</t>
  </si>
  <si>
    <t>Heights at Cheshire Bridge DD</t>
  </si>
  <si>
    <t>10200912</t>
  </si>
  <si>
    <t>Phillips International Dr DD</t>
  </si>
  <si>
    <t>10200913</t>
  </si>
  <si>
    <t>Brassfield DD</t>
  </si>
  <si>
    <t>10200914</t>
  </si>
  <si>
    <t>Alta Great Bridge DD</t>
  </si>
  <si>
    <t>10200915</t>
  </si>
  <si>
    <t>Avendale on Preston DD</t>
  </si>
  <si>
    <t>10200916</t>
  </si>
  <si>
    <t>Century Hillsboro Village DD</t>
  </si>
  <si>
    <t>10200917</t>
  </si>
  <si>
    <t>Gardens @ Citrus Towers DD</t>
  </si>
  <si>
    <t>10200918</t>
  </si>
  <si>
    <t>Century Ridge DD</t>
  </si>
  <si>
    <t>10200919</t>
  </si>
  <si>
    <t>Cranbrook DD</t>
  </si>
  <si>
    <t>10200920</t>
  </si>
  <si>
    <t>DD-Autumn River</t>
  </si>
  <si>
    <t>10200921</t>
  </si>
  <si>
    <t>DD-Bell Fund IV</t>
  </si>
  <si>
    <t>10200922</t>
  </si>
  <si>
    <t>DD-Bell Fund IV Institutional</t>
  </si>
  <si>
    <t>10200923</t>
  </si>
  <si>
    <t>DD-Arbors at Landmark</t>
  </si>
  <si>
    <t>10200924</t>
  </si>
  <si>
    <t>DD- The Ansley at Park Central</t>
  </si>
  <si>
    <t>10200925</t>
  </si>
  <si>
    <t>DD-Edgewood Retail</t>
  </si>
  <si>
    <t>10200926</t>
  </si>
  <si>
    <t>DD - Midtown Apartments</t>
  </si>
  <si>
    <t>10200927</t>
  </si>
  <si>
    <t>DD-Century Preston Reserve</t>
  </si>
  <si>
    <t>10200928</t>
  </si>
  <si>
    <t>DD-West Village</t>
  </si>
  <si>
    <t>10200929</t>
  </si>
  <si>
    <t>DD-Jacaranda</t>
  </si>
  <si>
    <t>10200930</t>
  </si>
  <si>
    <t>DD - Treo Apartments</t>
  </si>
  <si>
    <t>10200931</t>
  </si>
  <si>
    <t>DD - Quarry Hill</t>
  </si>
  <si>
    <t>10200932</t>
  </si>
  <si>
    <t>DD - The Vinings at Brookfield</t>
  </si>
  <si>
    <t>10200933</t>
  </si>
  <si>
    <t>DD - Bentley Park</t>
  </si>
  <si>
    <t>10200934</t>
  </si>
  <si>
    <t>DD- Harbor Town</t>
  </si>
  <si>
    <t>10200935</t>
  </si>
  <si>
    <t>DD - University Village</t>
  </si>
  <si>
    <t>10200936</t>
  </si>
  <si>
    <t>DD-Brookhaven</t>
  </si>
  <si>
    <t>10200937</t>
  </si>
  <si>
    <t>DD-Arboretum</t>
  </si>
  <si>
    <t>10200938</t>
  </si>
  <si>
    <t>DD-Blakeney</t>
  </si>
  <si>
    <t>10200939</t>
  </si>
  <si>
    <t>DD Morgan ROFR</t>
  </si>
  <si>
    <t>10200940</t>
  </si>
  <si>
    <t>DD-Morrison @ Southpark</t>
  </si>
  <si>
    <t>10200941</t>
  </si>
  <si>
    <t>DD-Villas Exchange (Aldridge)</t>
  </si>
  <si>
    <t>10200942</t>
  </si>
  <si>
    <t>DD-Seaport Channelside</t>
  </si>
  <si>
    <t>10200943</t>
  </si>
  <si>
    <t>DD-Grove at Waterford Crossing</t>
  </si>
  <si>
    <t>10200944</t>
  </si>
  <si>
    <t>DD-Aldridge at Gateway Village</t>
  </si>
  <si>
    <t>10200945</t>
  </si>
  <si>
    <t>DD-Oxford Asbury Park ATL</t>
  </si>
  <si>
    <t>10200946</t>
  </si>
  <si>
    <t>DD-Villas of St. Johns</t>
  </si>
  <si>
    <t>10200947</t>
  </si>
  <si>
    <t>DD - Robinson Hill</t>
  </si>
  <si>
    <t>10200948</t>
  </si>
  <si>
    <t>DD - City View</t>
  </si>
  <si>
    <t>10200949</t>
  </si>
  <si>
    <t>DD-Winners Circle</t>
  </si>
  <si>
    <t>10200950</t>
  </si>
  <si>
    <t>A/R Resident Focus Group</t>
  </si>
  <si>
    <t>10200951</t>
  </si>
  <si>
    <t>DD-Alta 1900 Lofts</t>
  </si>
  <si>
    <t>10200952</t>
  </si>
  <si>
    <t>DD - Gramercy at Town Center</t>
  </si>
  <si>
    <t>10200953</t>
  </si>
  <si>
    <t>DD-Ranch House</t>
  </si>
  <si>
    <t>10200954</t>
  </si>
  <si>
    <t>DD-Monroe Square/Del Ray/Woodfield</t>
  </si>
  <si>
    <t>10200955</t>
  </si>
  <si>
    <t>DD-Broadstone StoneBriar</t>
  </si>
  <si>
    <t>10200956</t>
  </si>
  <si>
    <t>DD-Rattan Creek</t>
  </si>
  <si>
    <t>10200957</t>
  </si>
  <si>
    <t>DD-The Vinings at Roper Mountain</t>
  </si>
  <si>
    <t>10200958</t>
  </si>
  <si>
    <t>DD-Legends at Preston</t>
  </si>
  <si>
    <t>10200959</t>
  </si>
  <si>
    <t>DD-Grove @ Franklin / Camden Commons</t>
  </si>
  <si>
    <t>10200960</t>
  </si>
  <si>
    <t>DD-Bell HNW Fund V</t>
  </si>
  <si>
    <t>10200961</t>
  </si>
  <si>
    <t>DD-Presidio</t>
  </si>
  <si>
    <t>10200962</t>
  </si>
  <si>
    <t>DD-Landmark at Universal (Orlando FL)</t>
  </si>
  <si>
    <t>10200963</t>
  </si>
  <si>
    <t>DD-Bell Institutional Fund V</t>
  </si>
  <si>
    <t>10200964</t>
  </si>
  <si>
    <t>DD-Bell Apt Fund V</t>
  </si>
  <si>
    <t>10200965</t>
  </si>
  <si>
    <t>DD-Fairway Knoll @ Teravista</t>
  </si>
  <si>
    <t>10200966</t>
  </si>
  <si>
    <t>DD-Bell Institutional Subsidiary V LLC</t>
  </si>
  <si>
    <t>10200967</t>
  </si>
  <si>
    <t>DD-Bell Walkers Crossing</t>
  </si>
  <si>
    <t>10200968</t>
  </si>
  <si>
    <t>DD - Bell Morrison Phase II</t>
  </si>
  <si>
    <t>10200969</t>
  </si>
  <si>
    <t>DD - Landmark</t>
  </si>
  <si>
    <t>10200970</t>
  </si>
  <si>
    <t>DD - Bell Wakefield</t>
  </si>
  <si>
    <t>10200971</t>
  </si>
  <si>
    <t>DD - Bell Summit</t>
  </si>
  <si>
    <t>10200972</t>
  </si>
  <si>
    <t>DD-The Villas at Dorsey Ridge</t>
  </si>
  <si>
    <t>10200973</t>
  </si>
  <si>
    <t>DD-Alta West Davis</t>
  </si>
  <si>
    <t>10200974</t>
  </si>
  <si>
    <t>DD-Heights at Stillhouse</t>
  </si>
  <si>
    <t>10200975</t>
  </si>
  <si>
    <t>DD-Chaucer Creek</t>
  </si>
  <si>
    <t>10200976</t>
  </si>
  <si>
    <t>DD-Hillsboro Bay Club</t>
  </si>
  <si>
    <t>10200977</t>
  </si>
  <si>
    <t>DD-Bell Forest Biltmore</t>
  </si>
  <si>
    <t>10200978</t>
  </si>
  <si>
    <t>DD-Project Encore</t>
  </si>
  <si>
    <t>10200979</t>
  </si>
  <si>
    <t>DD-Reflections</t>
  </si>
  <si>
    <t>10200980</t>
  </si>
  <si>
    <t>DD-Lodge at Stoughton</t>
  </si>
  <si>
    <t>10200981</t>
  </si>
  <si>
    <t>DD-Marquis at Mt Zion</t>
  </si>
  <si>
    <t>10200982</t>
  </si>
  <si>
    <t>DD-Bell Prairie Point</t>
  </si>
  <si>
    <t>10200983</t>
  </si>
  <si>
    <t>DD-Residences at Morgan Falls</t>
  </si>
  <si>
    <t>10200984</t>
  </si>
  <si>
    <t>DD-Fair Oaks at Pender Creek</t>
  </si>
  <si>
    <t>10200985</t>
  </si>
  <si>
    <t>DD - Bell Elkins Park</t>
  </si>
  <si>
    <t>10200986</t>
  </si>
  <si>
    <t>DD- Alta Woods (Woodstock)</t>
  </si>
  <si>
    <t>10200987</t>
  </si>
  <si>
    <t>DD-Lancaster and White Buffalo</t>
  </si>
  <si>
    <t>10200988</t>
  </si>
  <si>
    <t>DD-Project Bravo</t>
  </si>
  <si>
    <t>10200989</t>
  </si>
  <si>
    <t>DD-Bell Peachtree Battle</t>
  </si>
  <si>
    <t>10200990</t>
  </si>
  <si>
    <t>DD-Alta at the Estates</t>
  </si>
  <si>
    <t>10200991</t>
  </si>
  <si>
    <t>DD-Project Orbit</t>
  </si>
  <si>
    <t>10200992</t>
  </si>
  <si>
    <t>DD-Village Summit</t>
  </si>
  <si>
    <t>10200993</t>
  </si>
  <si>
    <t>DD-Notting Hill</t>
  </si>
  <si>
    <t>10200994</t>
  </si>
  <si>
    <t>DD-Bell Hendersonville</t>
  </si>
  <si>
    <t>10200995</t>
  </si>
  <si>
    <t>DD-Estancia</t>
  </si>
  <si>
    <t>10200996</t>
  </si>
  <si>
    <t>DD-Horizons at Rock Creek</t>
  </si>
  <si>
    <t>10200997</t>
  </si>
  <si>
    <t>DD-The Enclave</t>
  </si>
  <si>
    <t>10200998</t>
  </si>
  <si>
    <t>DD - Bell Midtown</t>
  </si>
  <si>
    <t>10200999</t>
  </si>
  <si>
    <t>DD - Bell Caledon</t>
  </si>
  <si>
    <t>10201000</t>
  </si>
  <si>
    <t>10201001</t>
  </si>
  <si>
    <t>A/R HAP</t>
  </si>
  <si>
    <t>10201005</t>
  </si>
  <si>
    <t>A/R Ops Construction Fees</t>
  </si>
  <si>
    <t>10201020</t>
  </si>
  <si>
    <t>A/R SNF</t>
  </si>
  <si>
    <t>10201050</t>
  </si>
  <si>
    <t>A/R Straight-Line Leases</t>
  </si>
  <si>
    <t>10201060</t>
  </si>
  <si>
    <t>A/R for Employee Healthcare Costs</t>
  </si>
  <si>
    <t>10201200</t>
  </si>
  <si>
    <t>Revenue Receivable</t>
  </si>
  <si>
    <t>10201210</t>
  </si>
  <si>
    <t>Electric Income Receivable</t>
  </si>
  <si>
    <t>10201220</t>
  </si>
  <si>
    <t>Gas Income Receivable</t>
  </si>
  <si>
    <t>10201230</t>
  </si>
  <si>
    <t>Water Income Receivable</t>
  </si>
  <si>
    <t>10201240</t>
  </si>
  <si>
    <t>Trash Income Receivable</t>
  </si>
  <si>
    <t>10201500</t>
  </si>
  <si>
    <t>A/R Bell Securities</t>
  </si>
  <si>
    <t>10201600</t>
  </si>
  <si>
    <t>A/R Bell Fund Escrow</t>
  </si>
  <si>
    <t>10201800</t>
  </si>
  <si>
    <t>A/R Merchants Assoc</t>
  </si>
  <si>
    <t>10202000</t>
  </si>
  <si>
    <t>A/R Misc</t>
  </si>
  <si>
    <t>10202001</t>
  </si>
  <si>
    <t>AR Chargebacks</t>
  </si>
  <si>
    <t>10202002</t>
  </si>
  <si>
    <t>A/R Ops Chargebacks</t>
  </si>
  <si>
    <t>10202003</t>
  </si>
  <si>
    <t>A/R UCB Chargebacks</t>
  </si>
  <si>
    <t>10202004</t>
  </si>
  <si>
    <t>A/R Offering Costs/Investor Mtg Expenses</t>
  </si>
  <si>
    <t>10202005</t>
  </si>
  <si>
    <t>A/R - Billing System Cost Recovery</t>
  </si>
  <si>
    <t>10202010</t>
  </si>
  <si>
    <t>A/R Wrangler 1</t>
  </si>
  <si>
    <t>10202020</t>
  </si>
  <si>
    <t>A/R Wrangler 2</t>
  </si>
  <si>
    <t>10202050</t>
  </si>
  <si>
    <t>A/R Concur Clearing</t>
  </si>
  <si>
    <t>10202060</t>
  </si>
  <si>
    <t>AR COVID-19</t>
  </si>
  <si>
    <t>10202097</t>
  </si>
  <si>
    <t>A/R Upfront Capital Reserves</t>
  </si>
  <si>
    <t>10202098</t>
  </si>
  <si>
    <t>A/R DRA Only</t>
  </si>
  <si>
    <t>10202099</t>
  </si>
  <si>
    <t>Contribution Receivable</t>
  </si>
  <si>
    <t>10202100</t>
  </si>
  <si>
    <t>Contributions Receivable</t>
  </si>
  <si>
    <t>10202150</t>
  </si>
  <si>
    <t>A/R Operations Draws</t>
  </si>
  <si>
    <t>10202160</t>
  </si>
  <si>
    <t>A/R Berkadia</t>
  </si>
  <si>
    <t>10202200</t>
  </si>
  <si>
    <t>A/R Premium Assignment Corp</t>
  </si>
  <si>
    <t>10202300</t>
  </si>
  <si>
    <t>A/R Partnership Returns</t>
  </si>
  <si>
    <t>10202400</t>
  </si>
  <si>
    <t>A/R Due Diligence</t>
  </si>
  <si>
    <t>10202410</t>
  </si>
  <si>
    <t>A/R Due Diligence-Project Bronco</t>
  </si>
  <si>
    <t>10202450</t>
  </si>
  <si>
    <t>A/R Union: Ashley River</t>
  </si>
  <si>
    <t>10202500</t>
  </si>
  <si>
    <t>A/R Multifamily</t>
  </si>
  <si>
    <t>10202600</t>
  </si>
  <si>
    <t>A/R BSL Payroll Advances</t>
  </si>
  <si>
    <t>10202700</t>
  </si>
  <si>
    <t>A/R LLC Filings</t>
  </si>
  <si>
    <t>10202750</t>
  </si>
  <si>
    <t>A/R Portfolio SC LLC</t>
  </si>
  <si>
    <t>10202800</t>
  </si>
  <si>
    <t>Ops/Renovation Clearing</t>
  </si>
  <si>
    <t>10202850</t>
  </si>
  <si>
    <t>Ops/Retail Clearing</t>
  </si>
  <si>
    <t>10203000</t>
  </si>
  <si>
    <t>A/R Payroll Division 2</t>
  </si>
  <si>
    <t>10203500</t>
  </si>
  <si>
    <t>A/R Payroll Division 5</t>
  </si>
  <si>
    <t>10204000</t>
  </si>
  <si>
    <t>A/R Prior Mgmt</t>
  </si>
  <si>
    <t>10204500</t>
  </si>
  <si>
    <t>A/R Steve Bell/Sterling/Cald</t>
  </si>
  <si>
    <t>10204600</t>
  </si>
  <si>
    <t>A/R Cable Income</t>
  </si>
  <si>
    <t>10204700</t>
  </si>
  <si>
    <t>Insurance Claims Receivable</t>
  </si>
  <si>
    <t>10204701</t>
  </si>
  <si>
    <t>Insurance Claims Receivable LivCor</t>
  </si>
  <si>
    <t>10204702</t>
  </si>
  <si>
    <t>Insurance Claims Receivable Lone Star</t>
  </si>
  <si>
    <t>10204710</t>
  </si>
  <si>
    <t>Insurance Claims-Polar Vortex</t>
  </si>
  <si>
    <t>10204715</t>
  </si>
  <si>
    <t>Insurance Claims-Green Oaks Flood</t>
  </si>
  <si>
    <t>10204720</t>
  </si>
  <si>
    <t>Insurance Claims - Hurricane Matthew</t>
  </si>
  <si>
    <t>10204725</t>
  </si>
  <si>
    <t>Insurance Claims - Hurricane Harvey</t>
  </si>
  <si>
    <t>10204730</t>
  </si>
  <si>
    <t>Insurance Claims - Hurricane Irma</t>
  </si>
  <si>
    <t>10204735</t>
  </si>
  <si>
    <t>Insurance Claims - Hurricane Florence</t>
  </si>
  <si>
    <t>10204740</t>
  </si>
  <si>
    <t>Insurance Claims - Hurricane Dorian</t>
  </si>
  <si>
    <t>10204745</t>
  </si>
  <si>
    <t>Insurance Claims - Hurrican Ian</t>
  </si>
  <si>
    <t>10204750</t>
  </si>
  <si>
    <t>Rent Loss - Insurance Receivable</t>
  </si>
  <si>
    <t>10204760</t>
  </si>
  <si>
    <t>Insured Losses - LC</t>
  </si>
  <si>
    <t>10204800</t>
  </si>
  <si>
    <t>Property Tax Receivable</t>
  </si>
  <si>
    <t>10204990</t>
  </si>
  <si>
    <t>Allow for Doubtful Accounts</t>
  </si>
  <si>
    <t>10205000</t>
  </si>
  <si>
    <t>Due From Affiliate</t>
  </si>
  <si>
    <t>10205001</t>
  </si>
  <si>
    <t>Due to/from Affiliate 2</t>
  </si>
  <si>
    <t>10205050</t>
  </si>
  <si>
    <t>Due To/From WREA</t>
  </si>
  <si>
    <t>10205051</t>
  </si>
  <si>
    <t>Due To/From WGI</t>
  </si>
  <si>
    <t>10205052</t>
  </si>
  <si>
    <t>Due To/From WCI</t>
  </si>
  <si>
    <t>10205053</t>
  </si>
  <si>
    <t>Due To/Fr CGR</t>
  </si>
  <si>
    <t>10205054</t>
  </si>
  <si>
    <t>Due To/Fr Wilkinson Family LLC</t>
  </si>
  <si>
    <t>10205055</t>
  </si>
  <si>
    <t>Due To/Fr Jerry Wilkinson</t>
  </si>
  <si>
    <t>10205056</t>
  </si>
  <si>
    <t>Due To/Fr Jere Brady</t>
  </si>
  <si>
    <t>10205059</t>
  </si>
  <si>
    <t>Due (To)/From Owners</t>
  </si>
  <si>
    <t>10205100</t>
  </si>
  <si>
    <t>Renovation Due to Affiliate</t>
  </si>
  <si>
    <t>10205500</t>
  </si>
  <si>
    <t>Earnest Money</t>
  </si>
  <si>
    <t>10206000</t>
  </si>
  <si>
    <t>Prepaid Administrative Fees</t>
  </si>
  <si>
    <t>10207000</t>
  </si>
  <si>
    <t>BCBS Security Deposit</t>
  </si>
  <si>
    <t>10207001</t>
  </si>
  <si>
    <t>UHC - Imprest Balance</t>
  </si>
  <si>
    <t>10209900</t>
  </si>
  <si>
    <t>A/R Bad Debt Reserve</t>
  </si>
  <si>
    <t>10209999</t>
  </si>
  <si>
    <t>TOTAL ACCOUNTS RECEIVABLE</t>
  </si>
  <si>
    <t xml:space="preserve"> Total Accounts Receivable</t>
  </si>
  <si>
    <t>Prepaid Expenses</t>
  </si>
  <si>
    <t>10300000</t>
  </si>
  <si>
    <t>PREPAID EXPENSES</t>
  </si>
  <si>
    <t>10301000</t>
  </si>
  <si>
    <t>Prepaid Auto Warranty</t>
  </si>
  <si>
    <t>10302000</t>
  </si>
  <si>
    <t>Prepaid Active Claim Costs</t>
  </si>
  <si>
    <t>10303600</t>
  </si>
  <si>
    <t>Prepaid Insurance</t>
  </si>
  <si>
    <t>10303650</t>
  </si>
  <si>
    <t>Prepaid Insurance - W/C</t>
  </si>
  <si>
    <t>10303800</t>
  </si>
  <si>
    <t>Prepaid Interest</t>
  </si>
  <si>
    <t>10304000</t>
  </si>
  <si>
    <t>Prepaid Construction Management Fee</t>
  </si>
  <si>
    <t>10305000</t>
  </si>
  <si>
    <t>Prepaid Mortgage Insurance</t>
  </si>
  <si>
    <t>10305100</t>
  </si>
  <si>
    <t>Prepaid Software Licenses</t>
  </si>
  <si>
    <t>10305200</t>
  </si>
  <si>
    <t>Prepaid Computer Hardware</t>
  </si>
  <si>
    <t>10307000</t>
  </si>
  <si>
    <t>Prepaid - Contract Srvcs</t>
  </si>
  <si>
    <t>10307100</t>
  </si>
  <si>
    <t>Prepaid-Subscriptions</t>
  </si>
  <si>
    <t>10307200</t>
  </si>
  <si>
    <t>Prepaid Seminar</t>
  </si>
  <si>
    <t>10307500</t>
  </si>
  <si>
    <t>Prepaid-Recruiting</t>
  </si>
  <si>
    <t>10308000</t>
  </si>
  <si>
    <t>Prepaid Taxes</t>
  </si>
  <si>
    <t>10309500</t>
  </si>
  <si>
    <t>Prepaid Payroll</t>
  </si>
  <si>
    <t>10309900</t>
  </si>
  <si>
    <t>Prepaid Other</t>
  </si>
  <si>
    <t>10309999</t>
  </si>
  <si>
    <t>TOTAL PREPAID EXPENSES</t>
  </si>
  <si>
    <t xml:space="preserve">  </t>
  </si>
  <si>
    <t xml:space="preserve">  Total Prepaid Expenses</t>
  </si>
  <si>
    <t>Inventory</t>
  </si>
  <si>
    <t>10400000</t>
  </si>
  <si>
    <t>INVENTORY</t>
  </si>
  <si>
    <t>10401000</t>
  </si>
  <si>
    <t>Inventory Décor</t>
  </si>
  <si>
    <t>10402000</t>
  </si>
  <si>
    <t>Inventory IT</t>
  </si>
  <si>
    <t>10402100</t>
  </si>
  <si>
    <t>IT - Licensing and Maintenance</t>
  </si>
  <si>
    <t>10403000</t>
  </si>
  <si>
    <t>Inventory-Food</t>
  </si>
  <si>
    <t>10409999</t>
  </si>
  <si>
    <t>TOTAL INVENTORY</t>
  </si>
  <si>
    <t>Total Inventory</t>
  </si>
  <si>
    <t xml:space="preserve">   Total Current Assets</t>
  </si>
  <si>
    <t>Long Term Assets</t>
  </si>
  <si>
    <t>Notes Receivable</t>
  </si>
  <si>
    <t>10500000</t>
  </si>
  <si>
    <t>Other Assets</t>
  </si>
  <si>
    <t>10501000</t>
  </si>
  <si>
    <t>10509999</t>
  </si>
  <si>
    <t>Total Other Assets</t>
  </si>
  <si>
    <t>10599999</t>
  </si>
  <si>
    <t>TOTAL CURRENT ASSETS</t>
  </si>
  <si>
    <t>10600000</t>
  </si>
  <si>
    <t>LONG TERM ASSETS</t>
  </si>
  <si>
    <t>10600100</t>
  </si>
  <si>
    <t>NOTES RECEIVABLE</t>
  </si>
  <si>
    <t>10601000</t>
  </si>
  <si>
    <t>Note Receivable</t>
  </si>
  <si>
    <t>10602000</t>
  </si>
  <si>
    <t>N/R Allison</t>
  </si>
  <si>
    <t>10602100</t>
  </si>
  <si>
    <t>N/R Bateman</t>
  </si>
  <si>
    <t>10602200</t>
  </si>
  <si>
    <t>N/R Bochillo</t>
  </si>
  <si>
    <t>10602300</t>
  </si>
  <si>
    <t>N/R MATHENY</t>
  </si>
  <si>
    <t>10602400</t>
  </si>
  <si>
    <t>N/R Geneva</t>
  </si>
  <si>
    <t>10602500</t>
  </si>
  <si>
    <t>N/R Harrington</t>
  </si>
  <si>
    <t>10602600</t>
  </si>
  <si>
    <t>N/R Proffitt</t>
  </si>
  <si>
    <t>10602700</t>
  </si>
  <si>
    <t>N/R Smoot</t>
  </si>
  <si>
    <t>10602800</t>
  </si>
  <si>
    <t>N/R: Renaissance Chef</t>
  </si>
  <si>
    <t>10602900</t>
  </si>
  <si>
    <t>N/R-Joe Mikalajunas</t>
  </si>
  <si>
    <t>10609999</t>
  </si>
  <si>
    <t>TOTAL NOTES RECEIVABLE</t>
  </si>
  <si>
    <t xml:space="preserve">  Total Notes Receivable</t>
  </si>
  <si>
    <t>Bell Fund</t>
  </si>
  <si>
    <t>10620000</t>
  </si>
  <si>
    <t>INVESTMENTS BELL FUND</t>
  </si>
  <si>
    <t>10620001</t>
  </si>
  <si>
    <t>Investment in Shadow Lake</t>
  </si>
  <si>
    <t>10620002</t>
  </si>
  <si>
    <t>Investment in Turtle Creek</t>
  </si>
  <si>
    <t>10620003</t>
  </si>
  <si>
    <t>Investment in Dover Country Club</t>
  </si>
  <si>
    <t>10620004</t>
  </si>
  <si>
    <t>Investment in Greens @ Cedar Chase</t>
  </si>
  <si>
    <t>10620005</t>
  </si>
  <si>
    <t>Investment in Bay Cove</t>
  </si>
  <si>
    <t>10620006</t>
  </si>
  <si>
    <t>Investment in Heron Lake</t>
  </si>
  <si>
    <t>10620007</t>
  </si>
  <si>
    <t>Investment in Vinyards</t>
  </si>
  <si>
    <t>10620008</t>
  </si>
  <si>
    <t>Investment in Mallards of Wedgewood</t>
  </si>
  <si>
    <t>10620009</t>
  </si>
  <si>
    <t>Investment in Lake Pointe</t>
  </si>
  <si>
    <t>10620010</t>
  </si>
  <si>
    <t>Investment in Andover Place</t>
  </si>
  <si>
    <t>10620011</t>
  </si>
  <si>
    <t>Investment in Fishermans Village</t>
  </si>
  <si>
    <t>10620012</t>
  </si>
  <si>
    <t>Investment in Laurel Oaks</t>
  </si>
  <si>
    <t>10620013</t>
  </si>
  <si>
    <t>Investment in Gatewater Landing</t>
  </si>
  <si>
    <t>10620014</t>
  </si>
  <si>
    <t>Investment in Greens @ Hilton Run</t>
  </si>
  <si>
    <t>10620015</t>
  </si>
  <si>
    <t>Investment in Ramsgate</t>
  </si>
  <si>
    <t>10620016</t>
  </si>
  <si>
    <t>Investment in Meadows @ Kildaire</t>
  </si>
  <si>
    <t>10620017</t>
  </si>
  <si>
    <t>Investment in Sharon</t>
  </si>
  <si>
    <t>10620018</t>
  </si>
  <si>
    <t>Investment in Crossing</t>
  </si>
  <si>
    <t>10620019</t>
  </si>
  <si>
    <t>Investment in Harris Pond</t>
  </si>
  <si>
    <t>10620020</t>
  </si>
  <si>
    <t>Investment in Mallard</t>
  </si>
  <si>
    <t>10620021</t>
  </si>
  <si>
    <t>Investment in Norcroft</t>
  </si>
  <si>
    <t>10620022</t>
  </si>
  <si>
    <t>Investment in Providence Court</t>
  </si>
  <si>
    <t>10620023</t>
  </si>
  <si>
    <t>Investment in Cooper Mill</t>
  </si>
  <si>
    <t>10620027</t>
  </si>
  <si>
    <t>Investment in Oaks @ Weston</t>
  </si>
  <si>
    <t>10620029</t>
  </si>
  <si>
    <t>Investment in Courtney</t>
  </si>
  <si>
    <t>10620030</t>
  </si>
  <si>
    <t>Investment in Lake Lynn</t>
  </si>
  <si>
    <t>10620031</t>
  </si>
  <si>
    <t>Investment in Spring Forest</t>
  </si>
  <si>
    <t>10620032</t>
  </si>
  <si>
    <t>Investment in Walnut Creek</t>
  </si>
  <si>
    <t>10620033</t>
  </si>
  <si>
    <t>Investment in Waterford</t>
  </si>
  <si>
    <t>10620034</t>
  </si>
  <si>
    <t>Investment in Remington</t>
  </si>
  <si>
    <t>10620035</t>
  </si>
  <si>
    <t>Investment in Trinity Park</t>
  </si>
  <si>
    <t>10620036</t>
  </si>
  <si>
    <t>Investment in Cape Harbor</t>
  </si>
  <si>
    <t>10620037</t>
  </si>
  <si>
    <t>Investment in Clear Run</t>
  </si>
  <si>
    <t>10620038</t>
  </si>
  <si>
    <t>Investment in Crosswinds</t>
  </si>
  <si>
    <t>10620039</t>
  </si>
  <si>
    <t>Investment in Forest Hills</t>
  </si>
  <si>
    <t>10620040</t>
  </si>
  <si>
    <t>Investment in Mill Creek</t>
  </si>
  <si>
    <t>10620041</t>
  </si>
  <si>
    <t>Investment in The Creek</t>
  </si>
  <si>
    <t>10620043</t>
  </si>
  <si>
    <t>Investment in Governours Square</t>
  </si>
  <si>
    <t>10620044</t>
  </si>
  <si>
    <t>Investment in Hickory Creek</t>
  </si>
  <si>
    <t>10620046</t>
  </si>
  <si>
    <t>Investment in Britton Woods</t>
  </si>
  <si>
    <t>10620047</t>
  </si>
  <si>
    <t>Investment in Sycamore Ridge</t>
  </si>
  <si>
    <t>10620048</t>
  </si>
  <si>
    <t>Investment in Heritage Green</t>
  </si>
  <si>
    <t>10620049</t>
  </si>
  <si>
    <t>Investment in Alexander Court</t>
  </si>
  <si>
    <t>10620052</t>
  </si>
  <si>
    <t>Investment in Gable Hill</t>
  </si>
  <si>
    <t>10620053</t>
  </si>
  <si>
    <t>Investment in Hampton Greene</t>
  </si>
  <si>
    <t>10620054</t>
  </si>
  <si>
    <t>Investment in Rivergate</t>
  </si>
  <si>
    <t>10620055</t>
  </si>
  <si>
    <t>Investment in St. Andrews Commons</t>
  </si>
  <si>
    <t>10620056</t>
  </si>
  <si>
    <t>10620059</t>
  </si>
  <si>
    <t>Investment in Club @ Hickory Hollow</t>
  </si>
  <si>
    <t>10620060</t>
  </si>
  <si>
    <t>Investment in Williamsburg</t>
  </si>
  <si>
    <t>10620061</t>
  </si>
  <si>
    <t>Investment in Aspen Court</t>
  </si>
  <si>
    <t>10620062</t>
  </si>
  <si>
    <t>Investment in Autumnwood</t>
  </si>
  <si>
    <t>10620063</t>
  </si>
  <si>
    <t>Investment in Cobblestone</t>
  </si>
  <si>
    <t>10620064</t>
  </si>
  <si>
    <t>Investment in Summit Ridge</t>
  </si>
  <si>
    <t>10620065</t>
  </si>
  <si>
    <t>Investment in Anderson Mill</t>
  </si>
  <si>
    <t>10620066</t>
  </si>
  <si>
    <t>Investment in Pecan Grove</t>
  </si>
  <si>
    <t>10620067</t>
  </si>
  <si>
    <t>Investment in Oak Park</t>
  </si>
  <si>
    <t>10620068</t>
  </si>
  <si>
    <t>Investment in Sky Hawk</t>
  </si>
  <si>
    <t>10620072</t>
  </si>
  <si>
    <t>Investment in Chelsea Park</t>
  </si>
  <si>
    <t>10620073</t>
  </si>
  <si>
    <t>Investment in London Park</t>
  </si>
  <si>
    <t>10620075</t>
  </si>
  <si>
    <t>Investment in Skylar Pointe</t>
  </si>
  <si>
    <t>10620077</t>
  </si>
  <si>
    <t>Investment in Woodtrail</t>
  </si>
  <si>
    <t>10620078</t>
  </si>
  <si>
    <t>Investment in Oak Forest</t>
  </si>
  <si>
    <t>10620079</t>
  </si>
  <si>
    <t>Investment in Country Club Place</t>
  </si>
  <si>
    <t>10620080</t>
  </si>
  <si>
    <t>Investment in South Grand</t>
  </si>
  <si>
    <t>10620081</t>
  </si>
  <si>
    <t>Investment in Marymont</t>
  </si>
  <si>
    <t>10620082</t>
  </si>
  <si>
    <t>Investment in Green Oaks</t>
  </si>
  <si>
    <t>10620083</t>
  </si>
  <si>
    <t>Investment in Greens @ Hollymead</t>
  </si>
  <si>
    <t>10620084</t>
  </si>
  <si>
    <t>Investment in Courthouse Green</t>
  </si>
  <si>
    <t>10620085</t>
  </si>
  <si>
    <t>Investment in Laurel Springs</t>
  </si>
  <si>
    <t>10620124</t>
  </si>
  <si>
    <t>Investment in Bramblewood</t>
  </si>
  <si>
    <t>10620125</t>
  </si>
  <si>
    <t>Investment in Brynn Marr</t>
  </si>
  <si>
    <t>10620126</t>
  </si>
  <si>
    <t>Investment in Liberty Crossing</t>
  </si>
  <si>
    <t>10620128</t>
  </si>
  <si>
    <t>Investment in Colony Village</t>
  </si>
  <si>
    <t>10620142</t>
  </si>
  <si>
    <t>Investment in Washington Park</t>
  </si>
  <si>
    <t>10620145</t>
  </si>
  <si>
    <t>Investment in Fountainhead</t>
  </si>
  <si>
    <t>10620150</t>
  </si>
  <si>
    <t>Investment in Jamestown</t>
  </si>
  <si>
    <t>10620151</t>
  </si>
  <si>
    <t>Investment in Lancaster Commons</t>
  </si>
  <si>
    <t>10620157</t>
  </si>
  <si>
    <t>Investment in Patriot Place</t>
  </si>
  <si>
    <t>10620158</t>
  </si>
  <si>
    <t>Investment in Forestbrook</t>
  </si>
  <si>
    <t>10620169</t>
  </si>
  <si>
    <t>Investment in Derby Park</t>
  </si>
  <si>
    <t>10620170</t>
  </si>
  <si>
    <t>Investment in Arbor Ridge</t>
  </si>
  <si>
    <t>10620171</t>
  </si>
  <si>
    <t>Investment in Braesridge</t>
  </si>
  <si>
    <t>10620174</t>
  </si>
  <si>
    <t>Investment in Riveria Pines</t>
  </si>
  <si>
    <t>10620176</t>
  </si>
  <si>
    <t>Investment in Towne Lake</t>
  </si>
  <si>
    <t>10620186</t>
  </si>
  <si>
    <t>Investment in Evergreen Park</t>
  </si>
  <si>
    <t>10620645</t>
  </si>
  <si>
    <t>Investment in Peachtree (Brookhaven)</t>
  </si>
  <si>
    <t>10620650</t>
  </si>
  <si>
    <t>Investment in Lincoln Green</t>
  </si>
  <si>
    <t>10620656</t>
  </si>
  <si>
    <t>Investment in Triad Portfolio</t>
  </si>
  <si>
    <t>10620663</t>
  </si>
  <si>
    <t>Investment in Little Rock Portfolio-Gov Park</t>
  </si>
  <si>
    <t>10620664</t>
  </si>
  <si>
    <t>Investment in Little Rock Portfolio-Pleasant Ridge</t>
  </si>
  <si>
    <t>10620665</t>
  </si>
  <si>
    <t>Investment in Little Rock Portfolio-Pleasant Valley Pt</t>
  </si>
  <si>
    <t>10620667</t>
  </si>
  <si>
    <t>Investment in Little Rock Portfolio-Riverwalk</t>
  </si>
  <si>
    <t>10620668</t>
  </si>
  <si>
    <t>Investment in Little Rock Portfolio-Watergate</t>
  </si>
  <si>
    <t>10620670</t>
  </si>
  <si>
    <t>Investment in Bell Bridge Mill</t>
  </si>
  <si>
    <t>10620676</t>
  </si>
  <si>
    <t>Investment in Charleston Portfolio - W Ashley I</t>
  </si>
  <si>
    <t>10620677</t>
  </si>
  <si>
    <t>Investment in Charleston Portfolio - W Ashley II</t>
  </si>
  <si>
    <t>10620678</t>
  </si>
  <si>
    <t>Investment in Crossroads Pointe</t>
  </si>
  <si>
    <t>10620680</t>
  </si>
  <si>
    <t>Investment in Berwick Market Place</t>
  </si>
  <si>
    <t>10620682</t>
  </si>
  <si>
    <t>Investment in Bell Alamance Crossing</t>
  </si>
  <si>
    <t>10620683</t>
  </si>
  <si>
    <t>Investment in Charleston Portfolio - Northwoods</t>
  </si>
  <si>
    <t>10620684</t>
  </si>
  <si>
    <t>Investment in Fund Morganton Seniors</t>
  </si>
  <si>
    <t>10620685</t>
  </si>
  <si>
    <t>Investment in Bell Praire Point</t>
  </si>
  <si>
    <t>10620686</t>
  </si>
  <si>
    <t>Investment in Beckanna Apt</t>
  </si>
  <si>
    <t>10620687</t>
  </si>
  <si>
    <t>Investment in Lynnhaven*</t>
  </si>
  <si>
    <t>10620688</t>
  </si>
  <si>
    <t>Investment in Church St. Med Bldg</t>
  </si>
  <si>
    <t>10620689</t>
  </si>
  <si>
    <t>Investment in Alta Walk</t>
  </si>
  <si>
    <t>10620692</t>
  </si>
  <si>
    <t>Investment in Rivoli Crossing</t>
  </si>
  <si>
    <t>10620724</t>
  </si>
  <si>
    <t>Investment in Talbot Park</t>
  </si>
  <si>
    <t>10620725</t>
  </si>
  <si>
    <t>Investment in Seasons at Riviera (Arbors)</t>
  </si>
  <si>
    <t>10620726</t>
  </si>
  <si>
    <t>Investment in The Palms of Mt. Pleasant - Cooper Hall</t>
  </si>
  <si>
    <t>10620727</t>
  </si>
  <si>
    <t>Investment in The Palms of Mt. Pleasant - Savannah Grace</t>
  </si>
  <si>
    <t>10620728</t>
  </si>
  <si>
    <t>Investment in Lexington Manor at Port Charlotte</t>
  </si>
  <si>
    <t>10620729</t>
  </si>
  <si>
    <t>Investment in Barrington Terrace at Boynton Beach</t>
  </si>
  <si>
    <t>10620730</t>
  </si>
  <si>
    <t>Investment in St.Lucie-Villas</t>
  </si>
  <si>
    <t>10620731</t>
  </si>
  <si>
    <t>Investment in St. Lucie-Cottages</t>
  </si>
  <si>
    <t>10620732</t>
  </si>
  <si>
    <t>Investment in The Gardens at Lake Spivey</t>
  </si>
  <si>
    <t>10620733</t>
  </si>
  <si>
    <t>Investment in Seasons at Southpoint</t>
  </si>
  <si>
    <t>10620735</t>
  </si>
  <si>
    <t>Investment in Alta Oakridge</t>
  </si>
  <si>
    <t>10620737</t>
  </si>
  <si>
    <t>Investment in SouthPark</t>
  </si>
  <si>
    <t>10620738</t>
  </si>
  <si>
    <t>Investment in Daniel Island</t>
  </si>
  <si>
    <t>10620856</t>
  </si>
  <si>
    <t>Investment in Oxford Hills</t>
  </si>
  <si>
    <t>10620857</t>
  </si>
  <si>
    <t>Investment in Berwind Portfolio-Stone Crest (Arbor)</t>
  </si>
  <si>
    <t>10620858</t>
  </si>
  <si>
    <t>Investment in Berwind Portfolio-Charleston Oaks</t>
  </si>
  <si>
    <t>10620859</t>
  </si>
  <si>
    <t>Investment in Berwind Portfolio-Forest Glen</t>
  </si>
  <si>
    <t>10620860</t>
  </si>
  <si>
    <t>Investment in Berwind Portfolio-Home Ridge</t>
  </si>
  <si>
    <t>10620861</t>
  </si>
  <si>
    <t>Investment in Berwind Portfolio-Hunnington</t>
  </si>
  <si>
    <t>10620862</t>
  </si>
  <si>
    <t>Investment in Berwind Portfolio-Stewarts Mill</t>
  </si>
  <si>
    <t>10620872</t>
  </si>
  <si>
    <t>Investment in Butterfield</t>
  </si>
  <si>
    <t>10620875</t>
  </si>
  <si>
    <t>Investment in RREEF Portfolio-Bell Elkins Park</t>
  </si>
  <si>
    <t>10620876</t>
  </si>
  <si>
    <t>Investment in RREEF Portfolio-Morgan Falls</t>
  </si>
  <si>
    <t>10620877</t>
  </si>
  <si>
    <t>Investment in RREEF Portfolio-Bell Valley Ranch</t>
  </si>
  <si>
    <t>10620878</t>
  </si>
  <si>
    <t>Investment in RREEF Portfolio-Bell Wheeler Hill</t>
  </si>
  <si>
    <t>10620882</t>
  </si>
  <si>
    <t>Investment in Bell Maryville</t>
  </si>
  <si>
    <t>10620883</t>
  </si>
  <si>
    <t>Investment in Triple Net Portfolio-Bell Caledon</t>
  </si>
  <si>
    <t>10620884</t>
  </si>
  <si>
    <t>Investment in Triple Net Portfolio-Meadows</t>
  </si>
  <si>
    <t>10620887</t>
  </si>
  <si>
    <t>Investment in Alta Crescent</t>
  </si>
  <si>
    <t>10620888</t>
  </si>
  <si>
    <t>Investment in Alta Corners</t>
  </si>
  <si>
    <t>10620891</t>
  </si>
  <si>
    <t>Investment in Haygood</t>
  </si>
  <si>
    <t>10620892</t>
  </si>
  <si>
    <t>Investment in Bell Peachtree Battle</t>
  </si>
  <si>
    <t>10620897</t>
  </si>
  <si>
    <t>Investment in Aspen Station</t>
  </si>
  <si>
    <t>10620902</t>
  </si>
  <si>
    <t>Investment in Bell Lenox</t>
  </si>
  <si>
    <t>10620909</t>
  </si>
  <si>
    <t>Investment in The Carlyle</t>
  </si>
  <si>
    <t>10620926</t>
  </si>
  <si>
    <t>Investment in Aventine at Deerwood</t>
  </si>
  <si>
    <t>10621000</t>
  </si>
  <si>
    <t>Investment in Prado</t>
  </si>
  <si>
    <t>10621670</t>
  </si>
  <si>
    <t>Escrow Funds for Preston Glen</t>
  </si>
  <si>
    <t>10621682</t>
  </si>
  <si>
    <t>Escrow Funds for Bell Alamance Crossing</t>
  </si>
  <si>
    <t>10621685</t>
  </si>
  <si>
    <t>Escrow Funds for Pheasant Pointe</t>
  </si>
  <si>
    <t>10621687</t>
  </si>
  <si>
    <t>Escrow Funds for Lynnhaven</t>
  </si>
  <si>
    <t>10621726</t>
  </si>
  <si>
    <t>Escrow Funds for Mt Pleasant</t>
  </si>
  <si>
    <t>10621875</t>
  </si>
  <si>
    <t>Escrow Funds for Brookview</t>
  </si>
  <si>
    <t>10621877</t>
  </si>
  <si>
    <t>Escrow Funds for Villa Miranda</t>
  </si>
  <si>
    <t>10621878</t>
  </si>
  <si>
    <t>Escrow Funds for Jefferson</t>
  </si>
  <si>
    <t>10621883</t>
  </si>
  <si>
    <t>Escrow Funds for Caledon Woods</t>
  </si>
  <si>
    <t>10621884</t>
  </si>
  <si>
    <t>Escrow Funds for The Meadows</t>
  </si>
  <si>
    <t>10621891</t>
  </si>
  <si>
    <t>Escrow Funds for Haygood</t>
  </si>
  <si>
    <t>10621909</t>
  </si>
  <si>
    <t>Escrow Funds for The Carlyle</t>
  </si>
  <si>
    <t>10621926</t>
  </si>
  <si>
    <t>Escrow Funds for Aventine at Deerwood</t>
  </si>
  <si>
    <t>10622001</t>
  </si>
  <si>
    <t>Investment in Airport Station</t>
  </si>
  <si>
    <t>10622002</t>
  </si>
  <si>
    <t>Investment in Wrangler Portfolio</t>
  </si>
  <si>
    <t>10629999</t>
  </si>
  <si>
    <t>TOTAL INVESTMENTS BELL FUND</t>
  </si>
  <si>
    <t xml:space="preserve">  Total Bell Fund</t>
  </si>
  <si>
    <t>Investments (Portfolio Accounting)</t>
  </si>
  <si>
    <t>10650000</t>
  </si>
  <si>
    <t>INVESTMENTS</t>
  </si>
  <si>
    <t>10651000</t>
  </si>
  <si>
    <t>Bell KEG 2003 Tyv Lc</t>
  </si>
  <si>
    <t>10651200</t>
  </si>
  <si>
    <t>Bell KEG 2003 Brittany Pt</t>
  </si>
  <si>
    <t>10651400</t>
  </si>
  <si>
    <t>Bell KEG 2004 Barrington Ter</t>
  </si>
  <si>
    <t>10651600</t>
  </si>
  <si>
    <t>Bell KEG 2004 Knoxville</t>
  </si>
  <si>
    <t>10651800</t>
  </si>
  <si>
    <t>Bell KEG 2004 Perimeter P</t>
  </si>
  <si>
    <t>10651801</t>
  </si>
  <si>
    <t>Bell KEG 2005 Canton Marketplace</t>
  </si>
  <si>
    <t>10651802</t>
  </si>
  <si>
    <t>Bell KEG 2006 Greenville Apts</t>
  </si>
  <si>
    <t>10651803</t>
  </si>
  <si>
    <t>Bell KEG 2006 McCarthy Court II</t>
  </si>
  <si>
    <t>10651804</t>
  </si>
  <si>
    <t>Parkwood Village KEG 2006</t>
  </si>
  <si>
    <t>10651805</t>
  </si>
  <si>
    <t>Bell KEG 2006 - Bell Fund I</t>
  </si>
  <si>
    <t>10651806</t>
  </si>
  <si>
    <t>Bell KEG 2007-Bell Fund II</t>
  </si>
  <si>
    <t>10651807</t>
  </si>
  <si>
    <t>Investment-RREEF</t>
  </si>
  <si>
    <t>10651808</t>
  </si>
  <si>
    <t>Investment-RREEF-TIC</t>
  </si>
  <si>
    <t>10651809</t>
  </si>
  <si>
    <t>Bell KEG 2009-Bell Fund III</t>
  </si>
  <si>
    <t>10652000</t>
  </si>
  <si>
    <t>Investment Alta Brook</t>
  </si>
  <si>
    <t>10652200</t>
  </si>
  <si>
    <t>Investment Alta Carrollton</t>
  </si>
  <si>
    <t>10652400</t>
  </si>
  <si>
    <t>Investment Bell Securities</t>
  </si>
  <si>
    <t>10652600</t>
  </si>
  <si>
    <t>Investment SLS</t>
  </si>
  <si>
    <t>10652601</t>
  </si>
  <si>
    <t>Investment in Bell Fund IV Manager</t>
  </si>
  <si>
    <t>10652602</t>
  </si>
  <si>
    <t>Investment in Fund V Manager</t>
  </si>
  <si>
    <t>10652603</t>
  </si>
  <si>
    <t>Investment in Wrangler</t>
  </si>
  <si>
    <t>10652604</t>
  </si>
  <si>
    <t>Investment in Fund VI Manager</t>
  </si>
  <si>
    <t>10652605</t>
  </si>
  <si>
    <t>Investment in Bell Core Manager</t>
  </si>
  <si>
    <t>10652606</t>
  </si>
  <si>
    <t>Investment in Apartment Fund IV</t>
  </si>
  <si>
    <t>10652607</t>
  </si>
  <si>
    <t>Investment in Bell Flatirons Investor LLC</t>
  </si>
  <si>
    <t>10652608</t>
  </si>
  <si>
    <t>Investment in Bell Flatirons Manager LLC</t>
  </si>
  <si>
    <t>10652609</t>
  </si>
  <si>
    <t>Investment in Bell Horizons Manager</t>
  </si>
  <si>
    <t>10652610</t>
  </si>
  <si>
    <t>Investment in Bell Horizon HNW</t>
  </si>
  <si>
    <t>10652611</t>
  </si>
  <si>
    <t>Investment in Flatirons Institutional</t>
  </si>
  <si>
    <t>10652612</t>
  </si>
  <si>
    <t>Investment in Woodstock JV</t>
  </si>
  <si>
    <t>10652613</t>
  </si>
  <si>
    <t>Investment in Apartment Fund V</t>
  </si>
  <si>
    <t>10652614</t>
  </si>
  <si>
    <t>Investment in Keystone Florida Three</t>
  </si>
  <si>
    <t>10652700</t>
  </si>
  <si>
    <t>Investment Bell Fund II</t>
  </si>
  <si>
    <t>10652705</t>
  </si>
  <si>
    <t>Investment-Villa Miranda</t>
  </si>
  <si>
    <t>10652751</t>
  </si>
  <si>
    <t>Investment in Lees III (WREA)</t>
  </si>
  <si>
    <t>10659999</t>
  </si>
  <si>
    <t>TOTAL INVESTMENTS</t>
  </si>
  <si>
    <t>10670000</t>
  </si>
  <si>
    <t>INVESTMENTS (Portfolio Accounting)</t>
  </si>
  <si>
    <t>10670729</t>
  </si>
  <si>
    <t>Investment in Barrington Terrace at Boynton</t>
  </si>
  <si>
    <t>10670892</t>
  </si>
  <si>
    <t>Investment in Bennington - Bell Peachtree</t>
  </si>
  <si>
    <t>10671000</t>
  </si>
  <si>
    <t>Investment - Contributions</t>
  </si>
  <si>
    <t>10671050</t>
  </si>
  <si>
    <t>Investment - Contributions Reserved</t>
  </si>
  <si>
    <t>10671100</t>
  </si>
  <si>
    <t>Investment in Asset-Additional</t>
  </si>
  <si>
    <t>10671150</t>
  </si>
  <si>
    <t>Investment in Asset-Non Pro-Rata Contribution-Internal</t>
  </si>
  <si>
    <t>10671160</t>
  </si>
  <si>
    <t>Contributed Capital - External</t>
  </si>
  <si>
    <t>10671200</t>
  </si>
  <si>
    <t>Investment - Distributions</t>
  </si>
  <si>
    <t>10671250</t>
  </si>
  <si>
    <t>Investment - Excess Sale Proceeds</t>
  </si>
  <si>
    <t>10671300</t>
  </si>
  <si>
    <t>Investment in Distributions-Preferred</t>
  </si>
  <si>
    <t>10671400</t>
  </si>
  <si>
    <t>Investment - Return of Capital</t>
  </si>
  <si>
    <t>10671500</t>
  </si>
  <si>
    <t>Investment Income</t>
  </si>
  <si>
    <t>10671600</t>
  </si>
  <si>
    <t>10671650</t>
  </si>
  <si>
    <t>Investment in Proceeds fr ROC - Other</t>
  </si>
  <si>
    <t>10671700</t>
  </si>
  <si>
    <t>Investment in Income fr Sale (Residual Profits)</t>
  </si>
  <si>
    <t>10671800</t>
  </si>
  <si>
    <t>DNU - Investment in Property Distribution (1031)</t>
  </si>
  <si>
    <t>10671801</t>
  </si>
  <si>
    <t>10671804</t>
  </si>
  <si>
    <t>10671805</t>
  </si>
  <si>
    <t>DNU - Bell KEG 2006 Bell Fund I</t>
  </si>
  <si>
    <t>10671806</t>
  </si>
  <si>
    <t>DNU - Bell KEG 2007 Bell Fund II</t>
  </si>
  <si>
    <t>10671809</t>
  </si>
  <si>
    <t>Bell KEG 2009 Bell Fund III</t>
  </si>
  <si>
    <t>10671850</t>
  </si>
  <si>
    <t>Investment in Real Estate Cost</t>
  </si>
  <si>
    <t>10671900</t>
  </si>
  <si>
    <t>Investment in Market Value Adjustments</t>
  </si>
  <si>
    <t>10672000</t>
  </si>
  <si>
    <t>Investment in Additional Value (Loan Share)</t>
  </si>
  <si>
    <t>10672100</t>
  </si>
  <si>
    <t>Investment In Equity Affiliates</t>
  </si>
  <si>
    <t>10672200</t>
  </si>
  <si>
    <t>Investment in Minority Interest in Consolidated Subsidiaries</t>
  </si>
  <si>
    <t>10673000</t>
  </si>
  <si>
    <t>Portfolio Clearing Account</t>
  </si>
  <si>
    <t>10675000</t>
  </si>
  <si>
    <t>Investment - Contributions (Non-Consolidating)</t>
  </si>
  <si>
    <t>10675010</t>
  </si>
  <si>
    <t>Additional Acquisition Fees (Non-Consolidating)</t>
  </si>
  <si>
    <t>10675015</t>
  </si>
  <si>
    <t>Acc.Depreciation - Add Acquisition Fees (Non-Consolidating)</t>
  </si>
  <si>
    <t>10675050</t>
  </si>
  <si>
    <t>Investment - Contrib. Reserved (Non-Consolidating)</t>
  </si>
  <si>
    <t>10675200</t>
  </si>
  <si>
    <t>Investment - Distributions (Non-Consolidating)</t>
  </si>
  <si>
    <t>10675400</t>
  </si>
  <si>
    <t>Investment - Return of Capital (Non-Consolidating)</t>
  </si>
  <si>
    <t>10675450</t>
  </si>
  <si>
    <t>Investment - Excess Sale Proceeds (Non-Consol)</t>
  </si>
  <si>
    <t>10675500</t>
  </si>
  <si>
    <t>Investment Income (Non-Consolidating)</t>
  </si>
  <si>
    <t>10679902</t>
  </si>
  <si>
    <t>Casualty Loss Fee-Turtle Creek</t>
  </si>
  <si>
    <t>10679980</t>
  </si>
  <si>
    <t>Casualty Loss Fee-South Grand at Pecan Grove</t>
  </si>
  <si>
    <t>10679999</t>
  </si>
  <si>
    <t>TOTAL INVESTMENTS (Portfolio Accounting)</t>
  </si>
  <si>
    <t xml:space="preserve">  Total Investments</t>
  </si>
  <si>
    <t>Fixed Assets</t>
  </si>
  <si>
    <t>Property, Plant, &amp; Equipment</t>
  </si>
  <si>
    <t>10700000</t>
  </si>
  <si>
    <t>FIXED ASSETS</t>
  </si>
  <si>
    <t>10700100</t>
  </si>
  <si>
    <t>CAPITAL EXPENDITURES</t>
  </si>
  <si>
    <t>10700150</t>
  </si>
  <si>
    <t>W/O Building</t>
  </si>
  <si>
    <t>10700200</t>
  </si>
  <si>
    <t>ACQ Building Improvements</t>
  </si>
  <si>
    <t>10700210</t>
  </si>
  <si>
    <t>Cert of Occ / Life Safety</t>
  </si>
  <si>
    <t>10700220</t>
  </si>
  <si>
    <t>ACQ Fire Life Safety/ Elevator</t>
  </si>
  <si>
    <t>10700250</t>
  </si>
  <si>
    <t>W/O Building Improvements</t>
  </si>
  <si>
    <t>10700270</t>
  </si>
  <si>
    <t>Bldg Improvements Disposition</t>
  </si>
  <si>
    <t>10700300</t>
  </si>
  <si>
    <t>ACQ FFE</t>
  </si>
  <si>
    <t>10700350</t>
  </si>
  <si>
    <t>W/O FFE</t>
  </si>
  <si>
    <t>10700370</t>
  </si>
  <si>
    <t>FFE Dispostion</t>
  </si>
  <si>
    <t>10700400</t>
  </si>
  <si>
    <t>ACQ Interior Improvements</t>
  </si>
  <si>
    <t>10700500</t>
  </si>
  <si>
    <t>ACQ Land Improvements</t>
  </si>
  <si>
    <t>10700570</t>
  </si>
  <si>
    <t>Land Improvements Disposition</t>
  </si>
  <si>
    <t>10700670</t>
  </si>
  <si>
    <t>Land Disposition</t>
  </si>
  <si>
    <t>10701000</t>
  </si>
  <si>
    <t>Airplane</t>
  </si>
  <si>
    <t>10701070</t>
  </si>
  <si>
    <t>New Reporting-Marketing, Utilities</t>
  </si>
  <si>
    <t>10701100</t>
  </si>
  <si>
    <t>Appliances</t>
  </si>
  <si>
    <t>10701101</t>
  </si>
  <si>
    <t>Refrigerators</t>
  </si>
  <si>
    <t>10701102</t>
  </si>
  <si>
    <t>AC-Refrigerators</t>
  </si>
  <si>
    <t>10701103</t>
  </si>
  <si>
    <t>Dishwashers</t>
  </si>
  <si>
    <t>10701104</t>
  </si>
  <si>
    <t>AC-Dishwashers</t>
  </si>
  <si>
    <t>10701105</t>
  </si>
  <si>
    <t>Ranges</t>
  </si>
  <si>
    <t>10701106</t>
  </si>
  <si>
    <t>AC-Ranges</t>
  </si>
  <si>
    <t>10701107</t>
  </si>
  <si>
    <t>Washers and Dryers</t>
  </si>
  <si>
    <t>10701108</t>
  </si>
  <si>
    <t>AC-Washers and Dryers</t>
  </si>
  <si>
    <t>10701109</t>
  </si>
  <si>
    <t>Garbage Disposals</t>
  </si>
  <si>
    <t>10701150</t>
  </si>
  <si>
    <t>Appliance Rebates</t>
  </si>
  <si>
    <t>10701200</t>
  </si>
  <si>
    <t>Architectural Fees</t>
  </si>
  <si>
    <t>10701201</t>
  </si>
  <si>
    <t>CSG-Architectural Fees</t>
  </si>
  <si>
    <t>10701202</t>
  </si>
  <si>
    <t>RMM-Architectural Fees</t>
  </si>
  <si>
    <t>10701300</t>
  </si>
  <si>
    <t>Automobiles/Golf Cart</t>
  </si>
  <si>
    <t>10701301</t>
  </si>
  <si>
    <t>CSG-Automobiles/Golf Carts</t>
  </si>
  <si>
    <t>10701302</t>
  </si>
  <si>
    <t>RMM-Automobiles/Golf Carts</t>
  </si>
  <si>
    <t>10701310</t>
  </si>
  <si>
    <t>Automobiles (Leased)</t>
  </si>
  <si>
    <t>10701350</t>
  </si>
  <si>
    <t>AD-Auto / Golf</t>
  </si>
  <si>
    <t>10701400</t>
  </si>
  <si>
    <t>Building</t>
  </si>
  <si>
    <t>10701401</t>
  </si>
  <si>
    <t>CSG-Building</t>
  </si>
  <si>
    <t>10701402</t>
  </si>
  <si>
    <t>RMM-Building</t>
  </si>
  <si>
    <t>10701500</t>
  </si>
  <si>
    <t>Building Condo</t>
  </si>
  <si>
    <t>10701600</t>
  </si>
  <si>
    <t>Building Improvements</t>
  </si>
  <si>
    <t>10701601</t>
  </si>
  <si>
    <t>CSG-Building Improvements</t>
  </si>
  <si>
    <t>10701602</t>
  </si>
  <si>
    <t>RMM-Building Improvements</t>
  </si>
  <si>
    <t>10701605</t>
  </si>
  <si>
    <t>Building Exterior Improvement</t>
  </si>
  <si>
    <t>10701606</t>
  </si>
  <si>
    <t>SC Building Improvements</t>
  </si>
  <si>
    <t>10701610</t>
  </si>
  <si>
    <t>ACQ Garage/ Carport</t>
  </si>
  <si>
    <t>10701650</t>
  </si>
  <si>
    <t>AC-Gutters and Downspouts</t>
  </si>
  <si>
    <t>10701700</t>
  </si>
  <si>
    <t>Building-Book Basis Adj</t>
  </si>
  <si>
    <t>10701710</t>
  </si>
  <si>
    <t>Building- Fair Value Adj</t>
  </si>
  <si>
    <t>10701750</t>
  </si>
  <si>
    <t>Capitalized Interest</t>
  </si>
  <si>
    <t>10701800</t>
  </si>
  <si>
    <t>Carpet</t>
  </si>
  <si>
    <t>10701850</t>
  </si>
  <si>
    <t>AC-Carpet Replacement</t>
  </si>
  <si>
    <t>10701900</t>
  </si>
  <si>
    <t>Ceiling Fans</t>
  </si>
  <si>
    <t>10702000</t>
  </si>
  <si>
    <t>Clubhouse</t>
  </si>
  <si>
    <t>10702001</t>
  </si>
  <si>
    <t>CSG-Clubhouse</t>
  </si>
  <si>
    <t>10702002</t>
  </si>
  <si>
    <t>RMM-Clubhouse</t>
  </si>
  <si>
    <t>10702100</t>
  </si>
  <si>
    <t>Computer/Copier</t>
  </si>
  <si>
    <t>10702200</t>
  </si>
  <si>
    <t>Computer Eq-Atl</t>
  </si>
  <si>
    <t>10702300</t>
  </si>
  <si>
    <t>Computer Eq-Chat</t>
  </si>
  <si>
    <t>10702310</t>
  </si>
  <si>
    <t>Computer Eq-MA</t>
  </si>
  <si>
    <t>10702320</t>
  </si>
  <si>
    <t>Computer Eq-FL</t>
  </si>
  <si>
    <t>10702350</t>
  </si>
  <si>
    <t>Computer Eq-Clt</t>
  </si>
  <si>
    <t>10702360</t>
  </si>
  <si>
    <t>Computer Eq-Columbia NC-St. Andrews</t>
  </si>
  <si>
    <t>10702370</t>
  </si>
  <si>
    <t>Computer Eq-Columbus OH-Governors Square</t>
  </si>
  <si>
    <t>10702400</t>
  </si>
  <si>
    <t>Computer Eq-Raleigh</t>
  </si>
  <si>
    <t>10702450</t>
  </si>
  <si>
    <t>Computer Eq-Raleigh-Lake Lynn</t>
  </si>
  <si>
    <t>10702500</t>
  </si>
  <si>
    <t>Computer Eq-Gso</t>
  </si>
  <si>
    <t>10702520</t>
  </si>
  <si>
    <t>Computer Eq-Alexandria</t>
  </si>
  <si>
    <t>10702530</t>
  </si>
  <si>
    <t>Computer Eq - TX</t>
  </si>
  <si>
    <t>10702540</t>
  </si>
  <si>
    <t>Computer Eq-SC</t>
  </si>
  <si>
    <t>10702550</t>
  </si>
  <si>
    <t>Computer Eq-Knoxville/Nashville</t>
  </si>
  <si>
    <t>10702560</t>
  </si>
  <si>
    <t>Computer Eq-Colorado</t>
  </si>
  <si>
    <t>10702570</t>
  </si>
  <si>
    <t>Computer Eq-Wilmington</t>
  </si>
  <si>
    <t>10702580</t>
  </si>
  <si>
    <t>Computer Equip - California</t>
  </si>
  <si>
    <t>10702590</t>
  </si>
  <si>
    <t>Computer Eq-Washington State</t>
  </si>
  <si>
    <t>10702600</t>
  </si>
  <si>
    <t>Construction</t>
  </si>
  <si>
    <t>10702601</t>
  </si>
  <si>
    <t>Deferred gain</t>
  </si>
  <si>
    <t>10702700</t>
  </si>
  <si>
    <t>Construction in Progress-Hard Costs</t>
  </si>
  <si>
    <t>10702701</t>
  </si>
  <si>
    <t>CIP - Meridian</t>
  </si>
  <si>
    <t>10702702</t>
  </si>
  <si>
    <t>CIP - Real Estate Taxes</t>
  </si>
  <si>
    <t>10702703</t>
  </si>
  <si>
    <t>CIP - Interest Cost</t>
  </si>
  <si>
    <t>10702704</t>
  </si>
  <si>
    <t>CIP - Owners Contingency</t>
  </si>
  <si>
    <t>10702705</t>
  </si>
  <si>
    <t>CIP - WC Marketing</t>
  </si>
  <si>
    <t>10702706</t>
  </si>
  <si>
    <t>CIP - WC Maintenance and Operations</t>
  </si>
  <si>
    <t>10702707</t>
  </si>
  <si>
    <t>CIP - WC Clubhouse and Amenities</t>
  </si>
  <si>
    <t>10702708</t>
  </si>
  <si>
    <t>CIP Building Improvements</t>
  </si>
  <si>
    <t>10702709</t>
  </si>
  <si>
    <t>CIP Building</t>
  </si>
  <si>
    <t>10702710</t>
  </si>
  <si>
    <t>CIP Land Improvements</t>
  </si>
  <si>
    <t>10702800</t>
  </si>
  <si>
    <t>Const Mgmt Fees - Capital</t>
  </si>
  <si>
    <t>10702801</t>
  </si>
  <si>
    <t>Const Mgmt Fees - Nonrecurring LC</t>
  </si>
  <si>
    <t>10702802</t>
  </si>
  <si>
    <t>RMM-Const Mgmt Fees - Capital</t>
  </si>
  <si>
    <t>10702810</t>
  </si>
  <si>
    <t>Countertops</t>
  </si>
  <si>
    <t>10702900</t>
  </si>
  <si>
    <t>Deferred Leasing Fees</t>
  </si>
  <si>
    <t>10703000</t>
  </si>
  <si>
    <t>Deferred Loan Fees</t>
  </si>
  <si>
    <t>10703100</t>
  </si>
  <si>
    <t>Drainage</t>
  </si>
  <si>
    <t>10703200</t>
  </si>
  <si>
    <t>Draperies</t>
  </si>
  <si>
    <t>10703300</t>
  </si>
  <si>
    <t>Electronic Upfit</t>
  </si>
  <si>
    <t>10703320</t>
  </si>
  <si>
    <t>Environmental Costs</t>
  </si>
  <si>
    <t>10703350</t>
  </si>
  <si>
    <t>Equipment</t>
  </si>
  <si>
    <t>10703351</t>
  </si>
  <si>
    <t>CSG-Equipment</t>
  </si>
  <si>
    <t>10703352</t>
  </si>
  <si>
    <t>RMM-Equipment</t>
  </si>
  <si>
    <t>10703400</t>
  </si>
  <si>
    <t>Exterior Lighting</t>
  </si>
  <si>
    <t>10703401</t>
  </si>
  <si>
    <t>CSG-Exterior Lighting</t>
  </si>
  <si>
    <t>10703402</t>
  </si>
  <si>
    <t>RMM-Exterior Lighting</t>
  </si>
  <si>
    <t>10703500</t>
  </si>
  <si>
    <t>Exterior Other</t>
  </si>
  <si>
    <t>10703510</t>
  </si>
  <si>
    <t>ACQ Facade/ Exterior Painting/ Signage</t>
  </si>
  <si>
    <t>10703550</t>
  </si>
  <si>
    <t>AC-Building Exterior Misc</t>
  </si>
  <si>
    <t>10703600</t>
  </si>
  <si>
    <t>Exterior Wood/Siding Repl</t>
  </si>
  <si>
    <t>10703700</t>
  </si>
  <si>
    <t>Fencing/Gates/Access Systems</t>
  </si>
  <si>
    <t>10703701</t>
  </si>
  <si>
    <t>CSG-Fencing</t>
  </si>
  <si>
    <t>10703702</t>
  </si>
  <si>
    <t>RMM-Fencing</t>
  </si>
  <si>
    <t>10703800</t>
  </si>
  <si>
    <t>Fitness Equipment</t>
  </si>
  <si>
    <t>10703801</t>
  </si>
  <si>
    <t>CSG-Fitness Equipment</t>
  </si>
  <si>
    <t>10703802</t>
  </si>
  <si>
    <t>RMM-Fitness Equipment</t>
  </si>
  <si>
    <t>10703850</t>
  </si>
  <si>
    <t>AC-Recreation\Exercise Eqpt</t>
  </si>
  <si>
    <t>10703900</t>
  </si>
  <si>
    <t>Food Court Equipment</t>
  </si>
  <si>
    <t>10703950</t>
  </si>
  <si>
    <t>Glass and Screen</t>
  </si>
  <si>
    <t>10704000</t>
  </si>
  <si>
    <t>Furniture</t>
  </si>
  <si>
    <t>10704001</t>
  </si>
  <si>
    <t>CSG-Furniture</t>
  </si>
  <si>
    <t>10704002</t>
  </si>
  <si>
    <t>RMM-Furniture</t>
  </si>
  <si>
    <t>10704100</t>
  </si>
  <si>
    <t>Furniture/Fixtures-Additions</t>
  </si>
  <si>
    <t>10704150</t>
  </si>
  <si>
    <t>AC-Furniture and Eqpt</t>
  </si>
  <si>
    <t>10704200</t>
  </si>
  <si>
    <t>Furniture-Atl</t>
  </si>
  <si>
    <t>10704250</t>
  </si>
  <si>
    <t>Furniture-Alexandria</t>
  </si>
  <si>
    <t>10704300</t>
  </si>
  <si>
    <t>Furniture-Raleigh</t>
  </si>
  <si>
    <t>10704400</t>
  </si>
  <si>
    <t>Furniture-Chat</t>
  </si>
  <si>
    <t>10704500</t>
  </si>
  <si>
    <t>Furniture-Clt</t>
  </si>
  <si>
    <t>10704600</t>
  </si>
  <si>
    <t>Furniture-Gso</t>
  </si>
  <si>
    <t>10704650</t>
  </si>
  <si>
    <t>Furniture-Knoxville</t>
  </si>
  <si>
    <t>10704660</t>
  </si>
  <si>
    <t>Furniture - Dallas</t>
  </si>
  <si>
    <t>10704670</t>
  </si>
  <si>
    <t>Furniture - San Francisco</t>
  </si>
  <si>
    <t>10704680</t>
  </si>
  <si>
    <t>Furniture - Denver</t>
  </si>
  <si>
    <t>10704700</t>
  </si>
  <si>
    <t>HVAC</t>
  </si>
  <si>
    <t>10704701</t>
  </si>
  <si>
    <t>CSG-HVAC</t>
  </si>
  <si>
    <t>10704702</t>
  </si>
  <si>
    <t>RMM-HVAC</t>
  </si>
  <si>
    <t>10704750</t>
  </si>
  <si>
    <t>AC-Heat Pumps\Air Cond.</t>
  </si>
  <si>
    <t>10704760</t>
  </si>
  <si>
    <t>ACQ HVAC Projects</t>
  </si>
  <si>
    <t>10704800</t>
  </si>
  <si>
    <t>Misc.Turnover Replacements</t>
  </si>
  <si>
    <t>10704801</t>
  </si>
  <si>
    <t>Kitchen Cabinets</t>
  </si>
  <si>
    <t>10704802</t>
  </si>
  <si>
    <t>AC-Kitchen Cabinets</t>
  </si>
  <si>
    <t>10704803</t>
  </si>
  <si>
    <t>Ceramic Wall Tile</t>
  </si>
  <si>
    <t>10704810</t>
  </si>
  <si>
    <t>Interior Renovations</t>
  </si>
  <si>
    <t>10704820</t>
  </si>
  <si>
    <t>Hardware - In Unit</t>
  </si>
  <si>
    <t>10704850</t>
  </si>
  <si>
    <t>AC-Building Interior Misc</t>
  </si>
  <si>
    <t>10704900</t>
  </si>
  <si>
    <t>Land</t>
  </si>
  <si>
    <t>10704910</t>
  </si>
  <si>
    <t>Land – Section 1031 Deferred Gain</t>
  </si>
  <si>
    <t>10705000</t>
  </si>
  <si>
    <t>Land and Building - Siding</t>
  </si>
  <si>
    <t>10705032</t>
  </si>
  <si>
    <t>Rehab - Visual Media ROI and Redevelopment</t>
  </si>
  <si>
    <t>10705100</t>
  </si>
  <si>
    <t>Land Ford Plantation</t>
  </si>
  <si>
    <t>10705200</t>
  </si>
  <si>
    <t>Land Improvements</t>
  </si>
  <si>
    <t>10705201</t>
  </si>
  <si>
    <t>CSG-Land Improvements</t>
  </si>
  <si>
    <t>10705202</t>
  </si>
  <si>
    <t>RMM-Land Improvements</t>
  </si>
  <si>
    <t>10705300</t>
  </si>
  <si>
    <t>Landscaping</t>
  </si>
  <si>
    <t>10705301</t>
  </si>
  <si>
    <t>CSG-Landscaping</t>
  </si>
  <si>
    <t>10705302</t>
  </si>
  <si>
    <t>RMM-Landscaping</t>
  </si>
  <si>
    <t>10705350</t>
  </si>
  <si>
    <t>AC-Landscaping</t>
  </si>
  <si>
    <t>10705400</t>
  </si>
  <si>
    <t>Leasehold Improvements</t>
  </si>
  <si>
    <t>10705405</t>
  </si>
  <si>
    <t>Leasehold Improvements- VA</t>
  </si>
  <si>
    <t>10705410</t>
  </si>
  <si>
    <t>Leasehold Improvements-GA</t>
  </si>
  <si>
    <t>10705420</t>
  </si>
  <si>
    <t>Leasehold Improvements - Orlando</t>
  </si>
  <si>
    <t>10705430</t>
  </si>
  <si>
    <t>Leasehold Improvements - Charlotte</t>
  </si>
  <si>
    <t>10705500</t>
  </si>
  <si>
    <t>Maintenance Equipment</t>
  </si>
  <si>
    <t>10705501</t>
  </si>
  <si>
    <t>CSG-Maintenance Equipment</t>
  </si>
  <si>
    <t>10705502</t>
  </si>
  <si>
    <t>RMM-Maintenance Equipment</t>
  </si>
  <si>
    <t>10705510</t>
  </si>
  <si>
    <t>Mechanical/ Electrical/ Plumbing</t>
  </si>
  <si>
    <t>10705590</t>
  </si>
  <si>
    <t>Office Equip - Texas</t>
  </si>
  <si>
    <t>10705600</t>
  </si>
  <si>
    <t>Model/Clubhouse Upgrades-Hard</t>
  </si>
  <si>
    <t>10705601</t>
  </si>
  <si>
    <t>CSG-Model/Clubhouse Upgrades-Hard</t>
  </si>
  <si>
    <t>10705602</t>
  </si>
  <si>
    <t>RMM-Model/Clubhouse Upgrades-Hard</t>
  </si>
  <si>
    <t>10705700</t>
  </si>
  <si>
    <t>Model/Clubhouse Upgrades-Sort</t>
  </si>
  <si>
    <t>10705800</t>
  </si>
  <si>
    <t>Office Eq-Atl</t>
  </si>
  <si>
    <t>10705801</t>
  </si>
  <si>
    <t>Office Eq-Dur</t>
  </si>
  <si>
    <t>10705802</t>
  </si>
  <si>
    <t>Office Eq-Chat</t>
  </si>
  <si>
    <t>10705803</t>
  </si>
  <si>
    <t>Office Eq-CLT</t>
  </si>
  <si>
    <t>10705900</t>
  </si>
  <si>
    <t>Office Eq-Gso</t>
  </si>
  <si>
    <t>10705905</t>
  </si>
  <si>
    <t>Office Eq-Atlanta</t>
  </si>
  <si>
    <t>10705950</t>
  </si>
  <si>
    <t>Office Equip-Knoxville</t>
  </si>
  <si>
    <t>10705960</t>
  </si>
  <si>
    <t>Office Eq-Raleigh</t>
  </si>
  <si>
    <t>10705970</t>
  </si>
  <si>
    <t>Office Equip - Alexandria</t>
  </si>
  <si>
    <t>10705980</t>
  </si>
  <si>
    <t>Office Equip - San Francisco</t>
  </si>
  <si>
    <t>10705990</t>
  </si>
  <si>
    <t>10705995</t>
  </si>
  <si>
    <t>Office Eq - Denver</t>
  </si>
  <si>
    <t>10706000</t>
  </si>
  <si>
    <t>Office Set Up</t>
  </si>
  <si>
    <t>10706100</t>
  </si>
  <si>
    <t>10706110</t>
  </si>
  <si>
    <t>Other Assets - Deferred Comp Plan</t>
  </si>
  <si>
    <t>10706120</t>
  </si>
  <si>
    <t>Investment in works of art</t>
  </si>
  <si>
    <t>10706150</t>
  </si>
  <si>
    <t>AC-Dumpsters</t>
  </si>
  <si>
    <t>10706200</t>
  </si>
  <si>
    <t>Painting</t>
  </si>
  <si>
    <t>10706210</t>
  </si>
  <si>
    <t>Painting- Interior</t>
  </si>
  <si>
    <t>10706300</t>
  </si>
  <si>
    <t>Paving/Sidewalks</t>
  </si>
  <si>
    <t>10706301</t>
  </si>
  <si>
    <t>CSG-Paving/Sidewalks</t>
  </si>
  <si>
    <t>10706302</t>
  </si>
  <si>
    <t>RMM-Paving/Sidewalks</t>
  </si>
  <si>
    <t>10706310</t>
  </si>
  <si>
    <t>AC-Driveway and Street Paving</t>
  </si>
  <si>
    <t>10706320</t>
  </si>
  <si>
    <t>Concrete Work</t>
  </si>
  <si>
    <t>10706350</t>
  </si>
  <si>
    <t>Personal Property</t>
  </si>
  <si>
    <t>10706400</t>
  </si>
  <si>
    <t>Outdoor Equipment</t>
  </si>
  <si>
    <t>10706401</t>
  </si>
  <si>
    <t>CSG-Outdoor Equipment</t>
  </si>
  <si>
    <t>10706402</t>
  </si>
  <si>
    <t>RMM-Outdoor Equipment</t>
  </si>
  <si>
    <t>10706500</t>
  </si>
  <si>
    <t>Pool/Spa Renovation/Repair</t>
  </si>
  <si>
    <t>10706501</t>
  </si>
  <si>
    <t>CSG-Pool/Spa Renovation/Repair</t>
  </si>
  <si>
    <t>10706502</t>
  </si>
  <si>
    <t>RMM-Pool/Spa Renovation/Repair</t>
  </si>
  <si>
    <t>10706600</t>
  </si>
  <si>
    <t>Pool Furniture</t>
  </si>
  <si>
    <t>10706601</t>
  </si>
  <si>
    <t>CSG-Pool Furniture</t>
  </si>
  <si>
    <t>10706602</t>
  </si>
  <si>
    <t>RMM-Pool Furniture</t>
  </si>
  <si>
    <t>10706650</t>
  </si>
  <si>
    <t>AC-Pool\Clubhouse Furn.</t>
  </si>
  <si>
    <t>10706700</t>
  </si>
  <si>
    <t>Renovation Mgt Fee</t>
  </si>
  <si>
    <t>10706800</t>
  </si>
  <si>
    <t>Renovation Payroll Capital</t>
  </si>
  <si>
    <t>10706900</t>
  </si>
  <si>
    <t>Renovation Payroll Taxes Capital</t>
  </si>
  <si>
    <t>10707100</t>
  </si>
  <si>
    <t>Roof Rplcmnt</t>
  </si>
  <si>
    <t>10707101</t>
  </si>
  <si>
    <t>CSG-Roof Rplcmnt</t>
  </si>
  <si>
    <t>10707102</t>
  </si>
  <si>
    <t>RMM-Roof Rplcmnt</t>
  </si>
  <si>
    <t>10707150</t>
  </si>
  <si>
    <t>AC-Roof Replacement</t>
  </si>
  <si>
    <t>10707200</t>
  </si>
  <si>
    <t>Sec 754 Bldg</t>
  </si>
  <si>
    <t>10707300</t>
  </si>
  <si>
    <t>Sec 754 Land</t>
  </si>
  <si>
    <t>10707400</t>
  </si>
  <si>
    <t>Section 3754 Appreciation</t>
  </si>
  <si>
    <t>10707500</t>
  </si>
  <si>
    <t>Signage</t>
  </si>
  <si>
    <t>10707501</t>
  </si>
  <si>
    <t>CSG-Signage</t>
  </si>
  <si>
    <t>10707502</t>
  </si>
  <si>
    <t>RMM-Signage</t>
  </si>
  <si>
    <t>10707510</t>
  </si>
  <si>
    <t>Smart Home Equipment</t>
  </si>
  <si>
    <t>10707515</t>
  </si>
  <si>
    <t>Smart Home Equipment- Access</t>
  </si>
  <si>
    <t>10707520</t>
  </si>
  <si>
    <t>Smart Home Equipment- HVAC</t>
  </si>
  <si>
    <t>10707525</t>
  </si>
  <si>
    <t>Smart Home Equipment- WiFi</t>
  </si>
  <si>
    <t>10707540</t>
  </si>
  <si>
    <t>ACQ Sustainability</t>
  </si>
  <si>
    <t>10707550</t>
  </si>
  <si>
    <t>Tenant Improvements</t>
  </si>
  <si>
    <t>10707551</t>
  </si>
  <si>
    <t>T/I Project 1</t>
  </si>
  <si>
    <t>10707552</t>
  </si>
  <si>
    <t>T/I Project 2</t>
  </si>
  <si>
    <t>10707553</t>
  </si>
  <si>
    <t>T/I Project 3</t>
  </si>
  <si>
    <t>10707554</t>
  </si>
  <si>
    <t>T/I Project 4</t>
  </si>
  <si>
    <t>10707556</t>
  </si>
  <si>
    <t>T/I Project 6</t>
  </si>
  <si>
    <t>10707557</t>
  </si>
  <si>
    <t>T/I Project 7</t>
  </si>
  <si>
    <t>10707558</t>
  </si>
  <si>
    <t>T/I Project 8</t>
  </si>
  <si>
    <t>10707559</t>
  </si>
  <si>
    <t>T/I Project 9 GMAC</t>
  </si>
  <si>
    <t>10707560</t>
  </si>
  <si>
    <t>T/I Project 10</t>
  </si>
  <si>
    <t>10707561</t>
  </si>
  <si>
    <t>T/I-Project 11-Womble Carlyle</t>
  </si>
  <si>
    <t>10707562</t>
  </si>
  <si>
    <t>T/I Project 12 - Greene Street Ventures</t>
  </si>
  <si>
    <t>10707563</t>
  </si>
  <si>
    <t>T/I Project 13</t>
  </si>
  <si>
    <t>10707564</t>
  </si>
  <si>
    <t>T/I Project 14</t>
  </si>
  <si>
    <t>10707565</t>
  </si>
  <si>
    <t>T/I Project 15</t>
  </si>
  <si>
    <t>10707566</t>
  </si>
  <si>
    <t>T/I Project 12 Greene Street Ventures</t>
  </si>
  <si>
    <t>10707567</t>
  </si>
  <si>
    <t>T/I Project 16-Soles Brower</t>
  </si>
  <si>
    <t>10707568</t>
  </si>
  <si>
    <t>TI Project 17 -Steven D. Bell and Co</t>
  </si>
  <si>
    <t>10707569</t>
  </si>
  <si>
    <t>T/I Project 18-KMPG</t>
  </si>
  <si>
    <t>10707570</t>
  </si>
  <si>
    <t>T/I Project 19</t>
  </si>
  <si>
    <t>10707571</t>
  </si>
  <si>
    <t>T/I Project 20</t>
  </si>
  <si>
    <t>10707572</t>
  </si>
  <si>
    <t>T/I Project 21</t>
  </si>
  <si>
    <t>10707573</t>
  </si>
  <si>
    <t>T/I Project 22</t>
  </si>
  <si>
    <t>10707574</t>
  </si>
  <si>
    <t>T/I Project 23-TFF Architects</t>
  </si>
  <si>
    <t>10707575</t>
  </si>
  <si>
    <t>TI Project 24-SDB and Co. HR Expansion</t>
  </si>
  <si>
    <t>10707576</t>
  </si>
  <si>
    <t>T/I Project 26</t>
  </si>
  <si>
    <t>10707577</t>
  </si>
  <si>
    <t>T/I Project 27</t>
  </si>
  <si>
    <t>10707578</t>
  </si>
  <si>
    <t>T/I Project 28</t>
  </si>
  <si>
    <t>10707590</t>
  </si>
  <si>
    <t>Tenant Improvements Write Off</t>
  </si>
  <si>
    <t>10707600</t>
  </si>
  <si>
    <t>Tennis Courts</t>
  </si>
  <si>
    <t>10707601</t>
  </si>
  <si>
    <t>CSG-Tennis Courts</t>
  </si>
  <si>
    <t>10707602</t>
  </si>
  <si>
    <t>RMM-Tennis Courts</t>
  </si>
  <si>
    <t>10707650</t>
  </si>
  <si>
    <t>Turn CapX</t>
  </si>
  <si>
    <t>10707676</t>
  </si>
  <si>
    <t>T/I Project 25-Blue Ridge Capital</t>
  </si>
  <si>
    <t>10707677</t>
  </si>
  <si>
    <t>T/I Project 26 - Mass Mutual</t>
  </si>
  <si>
    <t>10707678</t>
  </si>
  <si>
    <t>T/I Project Smith Moore</t>
  </si>
  <si>
    <t>10707679</t>
  </si>
  <si>
    <t>T/I Project-Creek Road Capital</t>
  </si>
  <si>
    <t>10707700</t>
  </si>
  <si>
    <t>Vehicles-Additions</t>
  </si>
  <si>
    <t>10707800</t>
  </si>
  <si>
    <t>Vinyl</t>
  </si>
  <si>
    <t>10707850</t>
  </si>
  <si>
    <t>AC-Vinyl Floor Replacement</t>
  </si>
  <si>
    <t>10707900</t>
  </si>
  <si>
    <t>Water Heaters</t>
  </si>
  <si>
    <t>10708000</t>
  </si>
  <si>
    <t>Web Development</t>
  </si>
  <si>
    <t>10708100</t>
  </si>
  <si>
    <t>Window Treatments</t>
  </si>
  <si>
    <t>10708101</t>
  </si>
  <si>
    <t>CSG-Window Treatments</t>
  </si>
  <si>
    <t>10708102</t>
  </si>
  <si>
    <t>RMM-Window Treatments</t>
  </si>
  <si>
    <t>10708200</t>
  </si>
  <si>
    <t>CCG - Building Improvements</t>
  </si>
  <si>
    <t>10708201</t>
  </si>
  <si>
    <t>CCG - Const in Process - Hard Costs</t>
  </si>
  <si>
    <t>10708203</t>
  </si>
  <si>
    <t>CCG - Equipment</t>
  </si>
  <si>
    <t>10708204</t>
  </si>
  <si>
    <t>DO NOT USE</t>
  </si>
  <si>
    <t>10708205</t>
  </si>
  <si>
    <t>CCG - Land Improvements</t>
  </si>
  <si>
    <t>10708206</t>
  </si>
  <si>
    <t>Furniture / Fixture Additions</t>
  </si>
  <si>
    <t>10708207</t>
  </si>
  <si>
    <t>CG - Furniture / Fixtures-Additions</t>
  </si>
  <si>
    <t>10708208</t>
  </si>
  <si>
    <t>10708209</t>
  </si>
  <si>
    <t>10708300</t>
  </si>
  <si>
    <t>2010 Major Exp Capitalized</t>
  </si>
  <si>
    <t>10708301</t>
  </si>
  <si>
    <t>Acc Dep 2010 Major Exp Capitalized</t>
  </si>
  <si>
    <t>10708401</t>
  </si>
  <si>
    <t>Start-up Capital 5 yr Asset</t>
  </si>
  <si>
    <t>10708402</t>
  </si>
  <si>
    <t>Start-up Capital 7 yr Asset</t>
  </si>
  <si>
    <t>10708403</t>
  </si>
  <si>
    <t>Start-up Capital 15 yr Asset</t>
  </si>
  <si>
    <t>10709900</t>
  </si>
  <si>
    <t>PERSONAL PROPERTY - 15 YEAR</t>
  </si>
  <si>
    <t>10709901</t>
  </si>
  <si>
    <t>PERSONAL PROPERTY - 5 YEAR</t>
  </si>
  <si>
    <t>10709950</t>
  </si>
  <si>
    <t>CIP - Insurance Claim</t>
  </si>
  <si>
    <t>10709981</t>
  </si>
  <si>
    <t>CIP-Project 1 (DRA)</t>
  </si>
  <si>
    <t>10709982</t>
  </si>
  <si>
    <t>CIP Project 2 (DRA)</t>
  </si>
  <si>
    <t>10709983</t>
  </si>
  <si>
    <t>CIP Project 3</t>
  </si>
  <si>
    <t>10709990</t>
  </si>
  <si>
    <t>10709999</t>
  </si>
  <si>
    <t>TOTAL CAPITAL EXPENDITURES</t>
  </si>
  <si>
    <t>10710000</t>
  </si>
  <si>
    <t>CAPITAL CORPORATE</t>
  </si>
  <si>
    <t>10711001</t>
  </si>
  <si>
    <t>YARDI GAAP RPTG***NO NOT USE***</t>
  </si>
  <si>
    <t>10711002</t>
  </si>
  <si>
    <t>FIN OPS DATA WHSE</t>
  </si>
  <si>
    <t>10711003</t>
  </si>
  <si>
    <t>BAL OPS DATA WHSE</t>
  </si>
  <si>
    <t>10711004</t>
  </si>
  <si>
    <t>ONESITE/YARDI ETL***DO NOT USE***</t>
  </si>
  <si>
    <t>10711005</t>
  </si>
  <si>
    <t>BSL OPS DATA WHSE</t>
  </si>
  <si>
    <t>10711006</t>
  </si>
  <si>
    <t>SHAREPOINT PHASE I***DO NOT USE***</t>
  </si>
  <si>
    <t>10711007</t>
  </si>
  <si>
    <t>HRIS-ADP ENTPRS SYS</t>
  </si>
  <si>
    <t>10711008</t>
  </si>
  <si>
    <t>BONUS/COMM AUTOMATION***DO NOT USE***</t>
  </si>
  <si>
    <t>10711009</t>
  </si>
  <si>
    <t>BANDWITH NETWORK UPGRADE</t>
  </si>
  <si>
    <t>10711010</t>
  </si>
  <si>
    <t>CHICAGO PROJECT (INVESTOR DATABASE)***DO NOT USE***</t>
  </si>
  <si>
    <t>10711011</t>
  </si>
  <si>
    <t>SHAREPOINT PH I - HDWE</t>
  </si>
  <si>
    <t>10711012</t>
  </si>
  <si>
    <t>OPS BID***DO NOT USE***</t>
  </si>
  <si>
    <t>10711013</t>
  </si>
  <si>
    <t>Vendor Management***DO NOT USE***</t>
  </si>
  <si>
    <t>10711014</t>
  </si>
  <si>
    <t>Whistle Blower Project***DO NOT USE***</t>
  </si>
  <si>
    <t>10711015</t>
  </si>
  <si>
    <t>CORPORATE WEBSITE***NO NOT USE***</t>
  </si>
  <si>
    <t>10711016</t>
  </si>
  <si>
    <t>BUSINESS INTELLIGENCE-PH I***DO NOT USE***</t>
  </si>
  <si>
    <t>10711017</t>
  </si>
  <si>
    <t>EPAYMENTS DRA/PROJECT MGMT***DO NOT USE***</t>
  </si>
  <si>
    <t>10711018</t>
  </si>
  <si>
    <t>EMAIL OUTSOURCING***DO NOT USE***</t>
  </si>
  <si>
    <t>10711019</t>
  </si>
  <si>
    <t>BUDGET SHIFTER PROJECT***DO NOT USE***</t>
  </si>
  <si>
    <t>10711020</t>
  </si>
  <si>
    <t>CONSTRUCTION/PI SOLUTION***DO NOT USE***</t>
  </si>
  <si>
    <t>10711021</t>
  </si>
  <si>
    <t>OFFICE 2010***DO NOT USE***</t>
  </si>
  <si>
    <t>10711022</t>
  </si>
  <si>
    <t>INVESTOR CAFE PORTAL</t>
  </si>
  <si>
    <t>10711023</t>
  </si>
  <si>
    <t>BELL PHOTO CENTER***DO NOT USE***</t>
  </si>
  <si>
    <t>10711024</t>
  </si>
  <si>
    <t>BUDGET 2013-DEFINE REQ/PRODUCT SELECTION</t>
  </si>
  <si>
    <t>10711025</t>
  </si>
  <si>
    <t>BUSINESS INTELLIGENCE-PH II***DO NOT USE***</t>
  </si>
  <si>
    <t>10711026</t>
  </si>
  <si>
    <t>BUSINESS INTELLIGENCE-PH III***DO NOT USE***</t>
  </si>
  <si>
    <t>10711027</t>
  </si>
  <si>
    <t>VIRTUAL DESKTOP INTEGRATION***DO NOT USE***</t>
  </si>
  <si>
    <t>10711028</t>
  </si>
  <si>
    <t>ATL OFFICE MOVE-DO NOT USE</t>
  </si>
  <si>
    <t>10711029</t>
  </si>
  <si>
    <t>E-LEARNING SOFTWARE***DO NOT USE***</t>
  </si>
  <si>
    <t>10711030</t>
  </si>
  <si>
    <t>TOOL SUITE SELECTION AND IMPLEMENTATION</t>
  </si>
  <si>
    <t>10711031</t>
  </si>
  <si>
    <t>REPORT AUTOMATION AND CREATION</t>
  </si>
  <si>
    <t>10711032</t>
  </si>
  <si>
    <t>EXCEPTIONS AND ALERTS</t>
  </si>
  <si>
    <t>10711033</t>
  </si>
  <si>
    <t>DATA ARCHITECTURE</t>
  </si>
  <si>
    <t>10711034</t>
  </si>
  <si>
    <t>MIGRATE TO EXCHANGE 2010 ENVIRONMENT</t>
  </si>
  <si>
    <t>10711035</t>
  </si>
  <si>
    <t>SHAREPOINT 2010</t>
  </si>
  <si>
    <t>10711036</t>
  </si>
  <si>
    <t>EPAYMENTS ROLL-OUT</t>
  </si>
  <si>
    <t>10711037</t>
  </si>
  <si>
    <t>SERVER OFFSITE MIGRATION AND REDUNDANCY</t>
  </si>
  <si>
    <t>10711038</t>
  </si>
  <si>
    <t>CITRIX BUDGET ENVIRONMENT PRODUCTION MIGRATION</t>
  </si>
  <si>
    <t>10711039</t>
  </si>
  <si>
    <t>COGNOS PLANNING TOOL-FORECASTING/BUDGET 2013</t>
  </si>
  <si>
    <t>10711040</t>
  </si>
  <si>
    <t>10711041</t>
  </si>
  <si>
    <t>CONSTRUCTION/BUYER</t>
  </si>
  <si>
    <t>10711042</t>
  </si>
  <si>
    <t>EMPLOYEE SELF SERVICES</t>
  </si>
  <si>
    <t>10711043</t>
  </si>
  <si>
    <t>LEASE STAR-SOFTWARE LICENSES</t>
  </si>
  <si>
    <t>10711044</t>
  </si>
  <si>
    <t>TRAINING UNIVERSITY-LMS</t>
  </si>
  <si>
    <t>10711045</t>
  </si>
  <si>
    <t>CRM SOFTWARE - BUSINESS DEVELOPMENT</t>
  </si>
  <si>
    <t>10711046</t>
  </si>
  <si>
    <t>Infrastructure Redesign-Hardware</t>
  </si>
  <si>
    <t>10711047</t>
  </si>
  <si>
    <t>Infrastructure Redesign-Software</t>
  </si>
  <si>
    <t>10711048</t>
  </si>
  <si>
    <t>BI Architecture/Database Development</t>
  </si>
  <si>
    <t>10711049</t>
  </si>
  <si>
    <t>Dashboard Development</t>
  </si>
  <si>
    <t>10711050</t>
  </si>
  <si>
    <t>Investor Platform</t>
  </si>
  <si>
    <t>10711051</t>
  </si>
  <si>
    <t>Budget/Operational Reporting</t>
  </si>
  <si>
    <t>10711052</t>
  </si>
  <si>
    <t>Yardi Fixed Asset System</t>
  </si>
  <si>
    <t>10711053</t>
  </si>
  <si>
    <t>Desktop Imaging Solution</t>
  </si>
  <si>
    <t>10711054</t>
  </si>
  <si>
    <t>Corporate PC Replacement</t>
  </si>
  <si>
    <t>10711055</t>
  </si>
  <si>
    <t>Networking Equipment</t>
  </si>
  <si>
    <t>10711056</t>
  </si>
  <si>
    <t>Infrastructure / Disaster Recover Implementation</t>
  </si>
  <si>
    <t>10711057</t>
  </si>
  <si>
    <t>E-Mail Archiving</t>
  </si>
  <si>
    <t>10711058</t>
  </si>
  <si>
    <t>HRIS System</t>
  </si>
  <si>
    <t>10711059</t>
  </si>
  <si>
    <t>Help Desk Software</t>
  </si>
  <si>
    <t>10711060</t>
  </si>
  <si>
    <t>DR Storage System</t>
  </si>
  <si>
    <t>10711061</t>
  </si>
  <si>
    <t>Yardi Construction</t>
  </si>
  <si>
    <t>10711062</t>
  </si>
  <si>
    <t>HR Conference Room Buildout</t>
  </si>
  <si>
    <t>10711063</t>
  </si>
  <si>
    <t>Single Sign-On</t>
  </si>
  <si>
    <t>10711064</t>
  </si>
  <si>
    <t>10711065</t>
  </si>
  <si>
    <t>Server Room Environmental</t>
  </si>
  <si>
    <t>10711066</t>
  </si>
  <si>
    <t>10711067</t>
  </si>
  <si>
    <t>Desktop Management Implementation</t>
  </si>
  <si>
    <t>10711068</t>
  </si>
  <si>
    <t>Renovation Tracking Project</t>
  </si>
  <si>
    <t>10711069</t>
  </si>
  <si>
    <t>Cognos Front End Development</t>
  </si>
  <si>
    <t>10711070</t>
  </si>
  <si>
    <t>New Data Development</t>
  </si>
  <si>
    <t>10711071</t>
  </si>
  <si>
    <t>2014 Infrastructure Hardware</t>
  </si>
  <si>
    <t>10711072</t>
  </si>
  <si>
    <t>Instrusion Detection</t>
  </si>
  <si>
    <t>10711073</t>
  </si>
  <si>
    <t>Cyber Security</t>
  </si>
  <si>
    <t>10711074</t>
  </si>
  <si>
    <t>Budget Development</t>
  </si>
  <si>
    <t>10711075</t>
  </si>
  <si>
    <t>Conference Room Upgrades</t>
  </si>
  <si>
    <t>10711076</t>
  </si>
  <si>
    <t>Charlotte Phone System and Buildout</t>
  </si>
  <si>
    <t>10711077</t>
  </si>
  <si>
    <t>Yardi Property Mgmt Project</t>
  </si>
  <si>
    <t>10711078</t>
  </si>
  <si>
    <t>Video Conferencing</t>
  </si>
  <si>
    <t>10711079</t>
  </si>
  <si>
    <t>Orion BI</t>
  </si>
  <si>
    <t>10711080</t>
  </si>
  <si>
    <t>Microsoft Cloud Migration</t>
  </si>
  <si>
    <t>10711081</t>
  </si>
  <si>
    <t>Walk Me Training</t>
  </si>
  <si>
    <t>10711082</t>
  </si>
  <si>
    <t>Blackline Project</t>
  </si>
  <si>
    <t>10711083</t>
  </si>
  <si>
    <t>Corporate Website and Branding</t>
  </si>
  <si>
    <t>10711084</t>
  </si>
  <si>
    <t>ServiceNow Project</t>
  </si>
  <si>
    <t>10711085</t>
  </si>
  <si>
    <t>Software Training Tools</t>
  </si>
  <si>
    <t>10711086</t>
  </si>
  <si>
    <t>WebEx Installation</t>
  </si>
  <si>
    <t>10712001</t>
  </si>
  <si>
    <t>NEW OFFICE EXPENDITURES</t>
  </si>
  <si>
    <t>10712002</t>
  </si>
  <si>
    <t>Alexandria VA Office Equipment</t>
  </si>
  <si>
    <t>10712003</t>
  </si>
  <si>
    <t>Alexandria VA Computer Equipment</t>
  </si>
  <si>
    <t>10712004</t>
  </si>
  <si>
    <t>Richmond Office Equipment</t>
  </si>
  <si>
    <t>10712005</t>
  </si>
  <si>
    <t>Richmond Computer Equipment</t>
  </si>
  <si>
    <t>10712006</t>
  </si>
  <si>
    <t>Atlanta Office Renovations</t>
  </si>
  <si>
    <t>10712007</t>
  </si>
  <si>
    <t>Alexandria Office Construction</t>
  </si>
  <si>
    <t>10712008</t>
  </si>
  <si>
    <t>Raleigh Regional Office Move/Renovations</t>
  </si>
  <si>
    <t>10712009</t>
  </si>
  <si>
    <t>Charlotte Regional Office - Office Move/Renovations</t>
  </si>
  <si>
    <t>10712010</t>
  </si>
  <si>
    <t>Dallas Office - Renovations</t>
  </si>
  <si>
    <t>10719999</t>
  </si>
  <si>
    <t>TOTAL CAPITAL CORPORATE</t>
  </si>
  <si>
    <t>10720000</t>
  </si>
  <si>
    <t>Third Party CapEx</t>
  </si>
  <si>
    <t>10720500</t>
  </si>
  <si>
    <t>Management Fees-FCP Construction Mgmt Fees</t>
  </si>
  <si>
    <t>10721000</t>
  </si>
  <si>
    <t>Amenity Center - Flooring</t>
  </si>
  <si>
    <t>10721100</t>
  </si>
  <si>
    <t>Amenity Center - Paint/Drywall</t>
  </si>
  <si>
    <t>10721200</t>
  </si>
  <si>
    <t>Office - Flooring</t>
  </si>
  <si>
    <t>10721300</t>
  </si>
  <si>
    <t>Office - Paint/Drywall</t>
  </si>
  <si>
    <t>10721400</t>
  </si>
  <si>
    <t>NOR-CAP-X-ACCESS GATES AND CONTROLS</t>
  </si>
  <si>
    <t>10721500</t>
  </si>
  <si>
    <t>NOR-CAP-X-BARRIER FENCES AND COLUMNS</t>
  </si>
  <si>
    <t>10721600</t>
  </si>
  <si>
    <t>NOR-CAP-X-GARAGES</t>
  </si>
  <si>
    <t>10721700</t>
  </si>
  <si>
    <t>NOR-CAP-X-RETAINING WALLS</t>
  </si>
  <si>
    <t>10721800</t>
  </si>
  <si>
    <t>NOR-CAP-X-SIGNAGE</t>
  </si>
  <si>
    <t>10722000</t>
  </si>
  <si>
    <t>Common Corridors - Doors/Locks - Apt Entry</t>
  </si>
  <si>
    <t>10722100</t>
  </si>
  <si>
    <t>Common Corridors - Flooring</t>
  </si>
  <si>
    <t>10722200</t>
  </si>
  <si>
    <t>Common Corridors - Lighting</t>
  </si>
  <si>
    <t>10722400</t>
  </si>
  <si>
    <t>Common Corridors - Railings</t>
  </si>
  <si>
    <t>10722500</t>
  </si>
  <si>
    <t>Common Corridors - Stair Risers/Treads</t>
  </si>
  <si>
    <t>10722600</t>
  </si>
  <si>
    <t>Laundry Center - Laundry Center</t>
  </si>
  <si>
    <t>10722700</t>
  </si>
  <si>
    <t>NOR-CAP-X-WALKS/STEPS</t>
  </si>
  <si>
    <t>10722800</t>
  </si>
  <si>
    <t>NOR-CAP-X-SITE ELECTRICAL</t>
  </si>
  <si>
    <t>10722900</t>
  </si>
  <si>
    <t>NOR-CAP-X-SITE LIGHTING</t>
  </si>
  <si>
    <t>10723000</t>
  </si>
  <si>
    <t>Exterior Building - Brick Repair/Point-Up</t>
  </si>
  <si>
    <t>10723100</t>
  </si>
  <si>
    <t>Exterior Building - Canopies</t>
  </si>
  <si>
    <t>10723200</t>
  </si>
  <si>
    <t>Exterior Building - Roof Repairs</t>
  </si>
  <si>
    <t>10723300</t>
  </si>
  <si>
    <t>Exterior Building - Windows</t>
  </si>
  <si>
    <t>10723400</t>
  </si>
  <si>
    <t>Site Work - Sports Court</t>
  </si>
  <si>
    <t>10723500</t>
  </si>
  <si>
    <t>Site Work - Grill Station</t>
  </si>
  <si>
    <t>10723600</t>
  </si>
  <si>
    <t>Site Work - Dog Park</t>
  </si>
  <si>
    <t>10723800</t>
  </si>
  <si>
    <t>Site Work - Retaining Walls</t>
  </si>
  <si>
    <t>10723900</t>
  </si>
  <si>
    <t>Site Work - Tree/Plant Removal</t>
  </si>
  <si>
    <t>10724000</t>
  </si>
  <si>
    <t>Storm Water Mgmt - Piping and Device Repairs</t>
  </si>
  <si>
    <t>10724100</t>
  </si>
  <si>
    <t>NOR-CAP-X-LAUNDRY ROOMS</t>
  </si>
  <si>
    <t>10724200</t>
  </si>
  <si>
    <t>NOR-CAP-X-LEASING OFFICE/INFO</t>
  </si>
  <si>
    <t>10724400</t>
  </si>
  <si>
    <t>NOR-CAP-X-METAL AND WELDING</t>
  </si>
  <si>
    <t>10724600</t>
  </si>
  <si>
    <t>NOR-CAP-X-MODELS</t>
  </si>
  <si>
    <t>10724700</t>
  </si>
  <si>
    <t>NOR-CAP-X-OFFICE FFE</t>
  </si>
  <si>
    <t>10724800</t>
  </si>
  <si>
    <t>NOR-CAP-X-OTHER BUILDING EXTERIOR</t>
  </si>
  <si>
    <t>10724900</t>
  </si>
  <si>
    <t>NOR-CAP-X-PAINTING</t>
  </si>
  <si>
    <t>10725000</t>
  </si>
  <si>
    <t>Electrical - PM/Clean Meter Stack</t>
  </si>
  <si>
    <t>10725100</t>
  </si>
  <si>
    <t>Fire Suppression - Fire Alarm Systems</t>
  </si>
  <si>
    <t>10725200</t>
  </si>
  <si>
    <t>Fire Suppression - Sprinkler Systems</t>
  </si>
  <si>
    <t>10725300</t>
  </si>
  <si>
    <t>HVAC - Exhaust Fans</t>
  </si>
  <si>
    <t>10725400</t>
  </si>
  <si>
    <t>HVAC - HVAC PM</t>
  </si>
  <si>
    <t>10725500</t>
  </si>
  <si>
    <t>HVAC - Condensation Line Repairs</t>
  </si>
  <si>
    <t>10725600</t>
  </si>
  <si>
    <t>HVAC - Dryer Vents</t>
  </si>
  <si>
    <t>10725700</t>
  </si>
  <si>
    <t>Plumbing - Domestic Water Piping</t>
  </si>
  <si>
    <t>10725800</t>
  </si>
  <si>
    <t>Plumbing - Sanitary Piping (Interior)</t>
  </si>
  <si>
    <t>10725900</t>
  </si>
  <si>
    <t>Site Work - Drain Clean/Jet Lines/Video</t>
  </si>
  <si>
    <t>10726000</t>
  </si>
  <si>
    <t>Site Work - Sewer Systems</t>
  </si>
  <si>
    <t>10726100</t>
  </si>
  <si>
    <t>Electrical - Wiring</t>
  </si>
  <si>
    <t>10726200</t>
  </si>
  <si>
    <t>NOR-CAP-X-SUBFLOOR RECONSTRUCTION</t>
  </si>
  <si>
    <t>10726300</t>
  </si>
  <si>
    <t>NOR-CAP-X-TILE/VINYL</t>
  </si>
  <si>
    <t>10726400</t>
  </si>
  <si>
    <t>NOR-CAP-X-BATH APPL</t>
  </si>
  <si>
    <t>10726500</t>
  </si>
  <si>
    <t>NOR-CAP-X-HVAC COMPONENTS</t>
  </si>
  <si>
    <t>10726600</t>
  </si>
  <si>
    <t>NOR-CAP-X-INTERIOR PLUMBING FX</t>
  </si>
  <si>
    <t>10726700</t>
  </si>
  <si>
    <t>NOR-CAP-X-DISHWASHER</t>
  </si>
  <si>
    <t>10726800</t>
  </si>
  <si>
    <t>NOR-CAP-X-MICROWAVE</t>
  </si>
  <si>
    <t>10726900</t>
  </si>
  <si>
    <t>NOR-CAP-X-REFRIGERATOR</t>
  </si>
  <si>
    <t>10727000</t>
  </si>
  <si>
    <t>Deferred Maintenance - Deferred Maintenance</t>
  </si>
  <si>
    <t>10727100</t>
  </si>
  <si>
    <t>Security - Video Surveillance System</t>
  </si>
  <si>
    <t>10727200</t>
  </si>
  <si>
    <t>Environmental - Pest Control Extermination</t>
  </si>
  <si>
    <t>10727300</t>
  </si>
  <si>
    <t>NOR-CAP-X-CABINETS REPLACEMENT</t>
  </si>
  <si>
    <t>10727400</t>
  </si>
  <si>
    <t>NOR-CAP-X-COUNTERTOPS</t>
  </si>
  <si>
    <t>10727500</t>
  </si>
  <si>
    <t>Lighting</t>
  </si>
  <si>
    <t>10727600</t>
  </si>
  <si>
    <t>NOR-CAP-X-INTERIOR DOORS</t>
  </si>
  <si>
    <t>10727700</t>
  </si>
  <si>
    <t>NOR-CAP-X-INTERIOR WALLS AND COV</t>
  </si>
  <si>
    <t>10727800</t>
  </si>
  <si>
    <t>NOR-CAP-X-OTHER AMENITIES</t>
  </si>
  <si>
    <t>10727900</t>
  </si>
  <si>
    <t>NOR-CAP-X-UNIT-INTERIOR-OTHER</t>
  </si>
  <si>
    <t>10729999</t>
  </si>
  <si>
    <t>Total Third Party CapEx</t>
  </si>
  <si>
    <t>10730000</t>
  </si>
  <si>
    <t>SITE RENOVATION</t>
  </si>
  <si>
    <t>10731000</t>
  </si>
  <si>
    <t>Site Reno-Refrigerators</t>
  </si>
  <si>
    <t>10731010</t>
  </si>
  <si>
    <t>Site Reno-Ranges</t>
  </si>
  <si>
    <t>10731020</t>
  </si>
  <si>
    <t>Site Reno-Dishwashers</t>
  </si>
  <si>
    <t>10731030</t>
  </si>
  <si>
    <t>Site Reno-Microwaves</t>
  </si>
  <si>
    <t>10731040</t>
  </si>
  <si>
    <t>Site Reno-Washers and Dryers</t>
  </si>
  <si>
    <t>10731050</t>
  </si>
  <si>
    <t>Site Reno-Appliances Misc</t>
  </si>
  <si>
    <t>10731060</t>
  </si>
  <si>
    <t>Site Reno-Blinds</t>
  </si>
  <si>
    <t>10731070</t>
  </si>
  <si>
    <t>Site Reno-Cabinets</t>
  </si>
  <si>
    <t>10731080</t>
  </si>
  <si>
    <t>Site Reno-Countertops</t>
  </si>
  <si>
    <t>10731090</t>
  </si>
  <si>
    <t>Site Reno-Electrical</t>
  </si>
  <si>
    <t>10732000</t>
  </si>
  <si>
    <t>Site Reno-Flooring Carpet</t>
  </si>
  <si>
    <t>10732010</t>
  </si>
  <si>
    <t>Site Reno-Flooring Vinyl</t>
  </si>
  <si>
    <t>10732020</t>
  </si>
  <si>
    <t>Site Reno-Flooring Other</t>
  </si>
  <si>
    <t>10732030</t>
  </si>
  <si>
    <t>Site Reno-HVAC</t>
  </si>
  <si>
    <t>10732040</t>
  </si>
  <si>
    <t>Site Reno-Intr Unit Upgrades</t>
  </si>
  <si>
    <t>10732050</t>
  </si>
  <si>
    <t>Site Reno-Lighting</t>
  </si>
  <si>
    <t>10732060</t>
  </si>
  <si>
    <t>Site Reno-Paint</t>
  </si>
  <si>
    <t>10732070</t>
  </si>
  <si>
    <t>Site Reno-Plumbing</t>
  </si>
  <si>
    <t>10732080</t>
  </si>
  <si>
    <t>Site Reno-Labor Contractor</t>
  </si>
  <si>
    <t>10732090</t>
  </si>
  <si>
    <t>Site Reno-Mgmt Fee</t>
  </si>
  <si>
    <t>10734001</t>
  </si>
  <si>
    <t>Site Reno-Land Improvments</t>
  </si>
  <si>
    <t>10739999</t>
  </si>
  <si>
    <t>TOTAL SITE RENOVATION</t>
  </si>
  <si>
    <t>10740000</t>
  </si>
  <si>
    <t>CAPITAL OFFSETTING</t>
  </si>
  <si>
    <t>10741000</t>
  </si>
  <si>
    <t>Building (CR)</t>
  </si>
  <si>
    <t>10741101</t>
  </si>
  <si>
    <t>Completed Renovation-5 Year</t>
  </si>
  <si>
    <t>10741102</t>
  </si>
  <si>
    <t>Completed Renovation-7 Year</t>
  </si>
  <si>
    <t>10741103</t>
  </si>
  <si>
    <t>Completed Renovations-15 Year</t>
  </si>
  <si>
    <t>10741104</t>
  </si>
  <si>
    <t>Completed Renovaton-35 Year</t>
  </si>
  <si>
    <t>10741201</t>
  </si>
  <si>
    <t>Completed Renovation-Start Up</t>
  </si>
  <si>
    <t>10741500</t>
  </si>
  <si>
    <t>Land (CR)</t>
  </si>
  <si>
    <t>10742000</t>
  </si>
  <si>
    <t>Personal Property (CR)</t>
  </si>
  <si>
    <t>10742500</t>
  </si>
  <si>
    <t>Interior Upgrades (R)</t>
  </si>
  <si>
    <t>10743000</t>
  </si>
  <si>
    <t>Building Improvements (CR)</t>
  </si>
  <si>
    <t>10743500</t>
  </si>
  <si>
    <t>Land Improvements (CR)</t>
  </si>
  <si>
    <t>10743600</t>
  </si>
  <si>
    <t>Signage (CR)</t>
  </si>
  <si>
    <t>10744000</t>
  </si>
  <si>
    <t>Appliances (CR)</t>
  </si>
  <si>
    <t>10745000</t>
  </si>
  <si>
    <t>Furniture (CR)</t>
  </si>
  <si>
    <t>10746000</t>
  </si>
  <si>
    <t>Equipment (CR)</t>
  </si>
  <si>
    <t>10746500</t>
  </si>
  <si>
    <t>10747000</t>
  </si>
  <si>
    <t>Computer (CR)</t>
  </si>
  <si>
    <t>10748000</t>
  </si>
  <si>
    <t>Renovation Management Fees</t>
  </si>
  <si>
    <t>10749999</t>
  </si>
  <si>
    <t>TOTAL CAPITAL OFFSETTING</t>
  </si>
  <si>
    <t>10780000</t>
  </si>
  <si>
    <t>PURCHASE ACCOUNTING</t>
  </si>
  <si>
    <t>10781100</t>
  </si>
  <si>
    <t>Appliances (Original)</t>
  </si>
  <si>
    <t>10781300</t>
  </si>
  <si>
    <t>Auto/Golf Cart (Original)</t>
  </si>
  <si>
    <t>10781400</t>
  </si>
  <si>
    <t>Building (Original)</t>
  </si>
  <si>
    <t>10781450</t>
  </si>
  <si>
    <t>Business Entity (Original_</t>
  </si>
  <si>
    <t>10781455</t>
  </si>
  <si>
    <t>Business Entity (Original)</t>
  </si>
  <si>
    <t>10781600</t>
  </si>
  <si>
    <t>Building Improvements (Original)</t>
  </si>
  <si>
    <t>10781800</t>
  </si>
  <si>
    <t>Carpet (Original)</t>
  </si>
  <si>
    <t>10781900</t>
  </si>
  <si>
    <t>Ceiling Fans (Original)</t>
  </si>
  <si>
    <t>10782000</t>
  </si>
  <si>
    <t>Clubhouse (Original)</t>
  </si>
  <si>
    <t>10782100</t>
  </si>
  <si>
    <t>Computer/Office Eqmt (Original)</t>
  </si>
  <si>
    <t>10782900</t>
  </si>
  <si>
    <t>10783000</t>
  </si>
  <si>
    <t>10783200</t>
  </si>
  <si>
    <t>Draperies (Original)</t>
  </si>
  <si>
    <t>10783350</t>
  </si>
  <si>
    <t>Equipment (Original)</t>
  </si>
  <si>
    <t>10783400</t>
  </si>
  <si>
    <t>Exterior Lighting (Original)</t>
  </si>
  <si>
    <t>10783700</t>
  </si>
  <si>
    <t>Fencing (Original)</t>
  </si>
  <si>
    <t>10783800</t>
  </si>
  <si>
    <t>Fitness Eqmt (Original)</t>
  </si>
  <si>
    <t>10784000</t>
  </si>
  <si>
    <t>Furniture (Original)</t>
  </si>
  <si>
    <t>10784600</t>
  </si>
  <si>
    <t>Goodwill</t>
  </si>
  <si>
    <t>10784700</t>
  </si>
  <si>
    <t>HVAC (Original)</t>
  </si>
  <si>
    <t>10784900</t>
  </si>
  <si>
    <t>Land (Original)</t>
  </si>
  <si>
    <t>10785000</t>
  </si>
  <si>
    <t>Land and Building (Original)</t>
  </si>
  <si>
    <t>10785200</t>
  </si>
  <si>
    <t>Land Improvements (Original)</t>
  </si>
  <si>
    <t>10785500</t>
  </si>
  <si>
    <t>Maint. Eqmt (Original)</t>
  </si>
  <si>
    <t>10786300</t>
  </si>
  <si>
    <t>Paving/Sidewalks (Original)</t>
  </si>
  <si>
    <t>10786350</t>
  </si>
  <si>
    <t>Personal Property (orig)</t>
  </si>
  <si>
    <t>10786400</t>
  </si>
  <si>
    <t>Playground/Common Area Eqmt (Original)</t>
  </si>
  <si>
    <t>10786500</t>
  </si>
  <si>
    <t>Pool (Original)</t>
  </si>
  <si>
    <t>10786600</t>
  </si>
  <si>
    <t>Pool Furniture (Original)</t>
  </si>
  <si>
    <t>10787000</t>
  </si>
  <si>
    <t>DNU Replacement Reserve</t>
  </si>
  <si>
    <t>10787600</t>
  </si>
  <si>
    <t>Tennis Court (Original)</t>
  </si>
  <si>
    <t>10787800</t>
  </si>
  <si>
    <t>Vinyl (Original)</t>
  </si>
  <si>
    <t>10787900</t>
  </si>
  <si>
    <t>Water Heaters (Orig)</t>
  </si>
  <si>
    <t>10788100</t>
  </si>
  <si>
    <t>Window Treatments (Orig)</t>
  </si>
  <si>
    <t>10789990</t>
  </si>
  <si>
    <t>Fixed Assets (Original)</t>
  </si>
  <si>
    <t>10789991</t>
  </si>
  <si>
    <t>IA Projected Incentive Management Fees</t>
  </si>
  <si>
    <t>10789992</t>
  </si>
  <si>
    <t>IA Value offset for performance books</t>
  </si>
  <si>
    <t>10789998</t>
  </si>
  <si>
    <t>TOTAL PURCHASE ACCOUNTING</t>
  </si>
  <si>
    <t>10790000</t>
  </si>
  <si>
    <t>CAPITAL OTHER</t>
  </si>
  <si>
    <t>10791000</t>
  </si>
  <si>
    <t>Accumulated Depreciation</t>
  </si>
  <si>
    <t>10791100</t>
  </si>
  <si>
    <t>A/D - FFE</t>
  </si>
  <si>
    <t>10791150</t>
  </si>
  <si>
    <t>A/D - W/O Dispo FFE</t>
  </si>
  <si>
    <t>10791200</t>
  </si>
  <si>
    <t>A/D - Land Improvements</t>
  </si>
  <si>
    <t>10791250</t>
  </si>
  <si>
    <t>A/D - W/O Dispo Land Improv</t>
  </si>
  <si>
    <t>10791300</t>
  </si>
  <si>
    <t>A/D - Building Capital</t>
  </si>
  <si>
    <t>10791350</t>
  </si>
  <si>
    <t>A/D - W/O Building</t>
  </si>
  <si>
    <t>10791450</t>
  </si>
  <si>
    <t>A/D - W/O Dispo Bldg Improv</t>
  </si>
  <si>
    <t>10793000</t>
  </si>
  <si>
    <t>Market Appreciation</t>
  </si>
  <si>
    <t>10793500</t>
  </si>
  <si>
    <t>IA Sales Cost Assumption</t>
  </si>
  <si>
    <t>10796100</t>
  </si>
  <si>
    <t>Held for Sale - Asset</t>
  </si>
  <si>
    <t>10799998</t>
  </si>
  <si>
    <t>TOTAL CAPITAL OTHER</t>
  </si>
  <si>
    <t>10799999</t>
  </si>
  <si>
    <t>TOTAL FIXED ASSETS</t>
  </si>
  <si>
    <t>Total Property, Plant, &amp; Equipment</t>
  </si>
  <si>
    <t>Construction in Progress</t>
  </si>
  <si>
    <t>10750000</t>
  </si>
  <si>
    <t>RENOVATIONS</t>
  </si>
  <si>
    <t>10750100</t>
  </si>
  <si>
    <t>INTERIORS</t>
  </si>
  <si>
    <t>10751001</t>
  </si>
  <si>
    <t>Rehab - Appliances</t>
  </si>
  <si>
    <t>10751002</t>
  </si>
  <si>
    <t>Rehab - Refrigerators</t>
  </si>
  <si>
    <t>10751003</t>
  </si>
  <si>
    <t>Rehab - Ranges</t>
  </si>
  <si>
    <t>10751004</t>
  </si>
  <si>
    <t>Rehab - Dishwashers</t>
  </si>
  <si>
    <t>10751005</t>
  </si>
  <si>
    <t>Rehab - Microwaves</t>
  </si>
  <si>
    <t>10751006</t>
  </si>
  <si>
    <t>Rehab - Vent Hoods</t>
  </si>
  <si>
    <t>10751007</t>
  </si>
  <si>
    <t>Rehab - Ice Makers</t>
  </si>
  <si>
    <t>10751008</t>
  </si>
  <si>
    <t>Rehab - Washers and Dryers</t>
  </si>
  <si>
    <t>10751009</t>
  </si>
  <si>
    <t>Rehab - Water Heaters</t>
  </si>
  <si>
    <t>10751010</t>
  </si>
  <si>
    <t>Rehab - Appliance Package</t>
  </si>
  <si>
    <t>10751100</t>
  </si>
  <si>
    <t>Rehab - Auto/Golf Carts</t>
  </si>
  <si>
    <t>10751101</t>
  </si>
  <si>
    <t>Rehab - Cabinet Doors</t>
  </si>
  <si>
    <t>10751102</t>
  </si>
  <si>
    <t>Rehab - Paint Cabinet Boxes</t>
  </si>
  <si>
    <t>10751103</t>
  </si>
  <si>
    <t>Rehab - Cabinet Hardware</t>
  </si>
  <si>
    <t>10751104</t>
  </si>
  <si>
    <t>Rehab - Reconfigure Cabinets</t>
  </si>
  <si>
    <t>10751105</t>
  </si>
  <si>
    <t>Rehab - New Cabinet Boxes</t>
  </si>
  <si>
    <t>10751200</t>
  </si>
  <si>
    <t>Rehab - Building Improvements</t>
  </si>
  <si>
    <t>10751201</t>
  </si>
  <si>
    <t>Rehab - Resurface Counters</t>
  </si>
  <si>
    <t>10751202</t>
  </si>
  <si>
    <t>Rehab - New Laminate Counters</t>
  </si>
  <si>
    <t>10751203</t>
  </si>
  <si>
    <t>Rehab - New Hard Surface Counters</t>
  </si>
  <si>
    <t>10751300</t>
  </si>
  <si>
    <t>Rehab - Carpet</t>
  </si>
  <si>
    <t>10751301</t>
  </si>
  <si>
    <t>Rehab - Digital Stats</t>
  </si>
  <si>
    <t>10751302</t>
  </si>
  <si>
    <t>Rehab - Light Fixtures</t>
  </si>
  <si>
    <t>10751303</t>
  </si>
  <si>
    <t>Rehab - Fans</t>
  </si>
  <si>
    <t>10751304</t>
  </si>
  <si>
    <t>Rehab - Fan Wiring</t>
  </si>
  <si>
    <t>10751400</t>
  </si>
  <si>
    <t>Rehab - Clubhouse Exterior</t>
  </si>
  <si>
    <t>10751401</t>
  </si>
  <si>
    <t>Rehab - Door Hardware</t>
  </si>
  <si>
    <t>10751402</t>
  </si>
  <si>
    <t>Rehab - Bath Hardware</t>
  </si>
  <si>
    <t>10751403</t>
  </si>
  <si>
    <t>Rehab - Faucets</t>
  </si>
  <si>
    <t>10751404</t>
  </si>
  <si>
    <t>Rehab - Shelving</t>
  </si>
  <si>
    <t>10751405</t>
  </si>
  <si>
    <t>10751406</t>
  </si>
  <si>
    <t>Rehab - Curved Shower Rods</t>
  </si>
  <si>
    <t>10751407</t>
  </si>
  <si>
    <t>Rehab - Sinks/Tubs/Surrounds</t>
  </si>
  <si>
    <t>10751408</t>
  </si>
  <si>
    <t>Rehab - Medicine Cabinets/Mirrors</t>
  </si>
  <si>
    <t>10751409</t>
  </si>
  <si>
    <t>Rehab - Blinds</t>
  </si>
  <si>
    <t>10751410</t>
  </si>
  <si>
    <t>Rehab - Misc. Hardware</t>
  </si>
  <si>
    <t>10751500</t>
  </si>
  <si>
    <t>Rehab - Computer/Copier</t>
  </si>
  <si>
    <t>10751501</t>
  </si>
  <si>
    <t>Rehab - Six Panel Doors</t>
  </si>
  <si>
    <t>10751502</t>
  </si>
  <si>
    <t>Rehab - Bifold Doors</t>
  </si>
  <si>
    <t>10751503</t>
  </si>
  <si>
    <t>Rehab - Louvered Doors</t>
  </si>
  <si>
    <t>10751504</t>
  </si>
  <si>
    <t>Rehab - Pocket Doors</t>
  </si>
  <si>
    <t>10751505</t>
  </si>
  <si>
    <t>Rehab - Crown Molding</t>
  </si>
  <si>
    <t>10751506</t>
  </si>
  <si>
    <t>Rehab - Chair Rail</t>
  </si>
  <si>
    <t>10751507</t>
  </si>
  <si>
    <t>Rehab - Base Board</t>
  </si>
  <si>
    <t>10751508</t>
  </si>
  <si>
    <t>Rehab - Mantles/Fire Place Improvements</t>
  </si>
  <si>
    <t>10751600</t>
  </si>
  <si>
    <t>Rehab - Exterior Lighting</t>
  </si>
  <si>
    <t>10751601</t>
  </si>
  <si>
    <t>Rehab - Wallpaper Remove and Texture</t>
  </si>
  <si>
    <t>10751602</t>
  </si>
  <si>
    <t>Rehab - Paint Labor</t>
  </si>
  <si>
    <t>10751603</t>
  </si>
  <si>
    <t>Rehab - Paint Materials</t>
  </si>
  <si>
    <t>10751604</t>
  </si>
  <si>
    <t>Rehab - Drywall Repairs</t>
  </si>
  <si>
    <t>10751605</t>
  </si>
  <si>
    <t>Rehab - Exterior Paint/Siding</t>
  </si>
  <si>
    <t>10751700</t>
  </si>
  <si>
    <t>Rehab - Fencing</t>
  </si>
  <si>
    <t>10751701</t>
  </si>
  <si>
    <t>10751702</t>
  </si>
  <si>
    <t>Rehab - Vinyl</t>
  </si>
  <si>
    <t>10751703</t>
  </si>
  <si>
    <t>Rehab - Laminate</t>
  </si>
  <si>
    <t>10751704</t>
  </si>
  <si>
    <t>Rehab - Ceramic Tile</t>
  </si>
  <si>
    <t>10751705</t>
  </si>
  <si>
    <t>Rehab - Hardwood Floors</t>
  </si>
  <si>
    <t>10751706</t>
  </si>
  <si>
    <t>Rehab - Gypcrete Repairs</t>
  </si>
  <si>
    <t>10751710</t>
  </si>
  <si>
    <t>Rehab - Flooring</t>
  </si>
  <si>
    <t>10751800</t>
  </si>
  <si>
    <t>Rehab - Fire Ext/Firestops</t>
  </si>
  <si>
    <t>10751802</t>
  </si>
  <si>
    <t>Rehab - Remove Walls</t>
  </si>
  <si>
    <t>10751804</t>
  </si>
  <si>
    <t>Rehab - Add Washer/Dryer Connections</t>
  </si>
  <si>
    <t>10751805</t>
  </si>
  <si>
    <t>Rehab - Enclose Sunrooms</t>
  </si>
  <si>
    <t>10751811</t>
  </si>
  <si>
    <t>Rehab - Storage Containers</t>
  </si>
  <si>
    <t>10751812</t>
  </si>
  <si>
    <t>Rehab - Trash Removal</t>
  </si>
  <si>
    <t>10751814</t>
  </si>
  <si>
    <t>Rehab - Permits</t>
  </si>
  <si>
    <t>10751815</t>
  </si>
  <si>
    <t>Rehab - Rehab Labor-Contractor</t>
  </si>
  <si>
    <t>10751816</t>
  </si>
  <si>
    <t>Rehab - Rehab Labor-In House</t>
  </si>
  <si>
    <t>10751817</t>
  </si>
  <si>
    <t>Rehab - CSG Supervision</t>
  </si>
  <si>
    <t>10751818</t>
  </si>
  <si>
    <t>Rehab - Interior Contingency</t>
  </si>
  <si>
    <t>10751820</t>
  </si>
  <si>
    <t>Rehab - Interior CS Mgmt Fee</t>
  </si>
  <si>
    <t>10751822</t>
  </si>
  <si>
    <t>Rehab - Tenant Improvements</t>
  </si>
  <si>
    <t>10751900</t>
  </si>
  <si>
    <t>Rehab - Fitness Eqmt</t>
  </si>
  <si>
    <t>10751901</t>
  </si>
  <si>
    <t>Rehab - Misc Appliances</t>
  </si>
  <si>
    <t>10751902</t>
  </si>
  <si>
    <t>Rehab - Misc Cabinets/Countertops</t>
  </si>
  <si>
    <t>10751903</t>
  </si>
  <si>
    <t>Rehab - Misc Lighting</t>
  </si>
  <si>
    <t>10751904</t>
  </si>
  <si>
    <t>Rehab - Misc Hardware</t>
  </si>
  <si>
    <t>10751905</t>
  </si>
  <si>
    <t>Rehab - Misc Doors and Molding</t>
  </si>
  <si>
    <t>10751906</t>
  </si>
  <si>
    <t>Rehab - Misc Painting/Drywall repairs</t>
  </si>
  <si>
    <t>10751907</t>
  </si>
  <si>
    <t>Rehab - Misc Flooring</t>
  </si>
  <si>
    <t>10751908</t>
  </si>
  <si>
    <t>Rehab - Misc Repairs/turn costs</t>
  </si>
  <si>
    <t>10751909</t>
  </si>
  <si>
    <t>Rehab - Misc Gypcrete Repair</t>
  </si>
  <si>
    <t>10751910</t>
  </si>
  <si>
    <t>Rehab - Misc Plumbing Repairs</t>
  </si>
  <si>
    <t>10751911</t>
  </si>
  <si>
    <t>Rehab - Misc Extraordinary Repairs</t>
  </si>
  <si>
    <t>10751912</t>
  </si>
  <si>
    <t>Rehab - Payroll Capital</t>
  </si>
  <si>
    <t>10751913</t>
  </si>
  <si>
    <t>Rehab - Payroll Taxes Capital</t>
  </si>
  <si>
    <t>10751914</t>
  </si>
  <si>
    <t>10751950</t>
  </si>
  <si>
    <t>Rehab - Total Interior Improvements on non-rehab homes</t>
  </si>
  <si>
    <t>10751980</t>
  </si>
  <si>
    <t>Rehab - Common Area</t>
  </si>
  <si>
    <t>10751981</t>
  </si>
  <si>
    <t>Rehab - Wine Racks</t>
  </si>
  <si>
    <t>10751982</t>
  </si>
  <si>
    <t>10751983</t>
  </si>
  <si>
    <t>Rehab - Exterior-Other</t>
  </si>
  <si>
    <t>10751984</t>
  </si>
  <si>
    <t>DNU Rehab - Exterior Paint/Siding</t>
  </si>
  <si>
    <t>10751985</t>
  </si>
  <si>
    <t>Rehab - Kitchen Bar</t>
  </si>
  <si>
    <t>10751986</t>
  </si>
  <si>
    <t>Rehab - Relocate Doors/ Windows</t>
  </si>
  <si>
    <t>10751987</t>
  </si>
  <si>
    <t>Rehab - Relocate sprinkler lines</t>
  </si>
  <si>
    <t>10751988</t>
  </si>
  <si>
    <t>Rehab - Upgrades to Rebuilt Homes</t>
  </si>
  <si>
    <t>10751989</t>
  </si>
  <si>
    <t>Rehab - Turn Costs on Rehab Homes</t>
  </si>
  <si>
    <t>10751990</t>
  </si>
  <si>
    <t>Rehab - Mirror Backsplash</t>
  </si>
  <si>
    <t>10751991</t>
  </si>
  <si>
    <t>10751999</t>
  </si>
  <si>
    <t>TOTAL INTERIORS</t>
  </si>
  <si>
    <t>10752001</t>
  </si>
  <si>
    <t>Rehab - Office/Clubhouse Furniture/Decor</t>
  </si>
  <si>
    <t>10752002</t>
  </si>
  <si>
    <t>Rehab - Clubroom Improvements</t>
  </si>
  <si>
    <t>10752003</t>
  </si>
  <si>
    <t>Rehab - Clubhouse Decorations/Furniture</t>
  </si>
  <si>
    <t>10752004</t>
  </si>
  <si>
    <t>Rehab - Amentity Bathroom Improvements</t>
  </si>
  <si>
    <t>10752005</t>
  </si>
  <si>
    <t>Rehab - Office/Clubhouse Flooring</t>
  </si>
  <si>
    <t>10752006</t>
  </si>
  <si>
    <t>Rehab - Office/Clubhouse Exterior Improvements</t>
  </si>
  <si>
    <t>10752007</t>
  </si>
  <si>
    <t>Rehab - Amenity Mech/Elec/Plumb</t>
  </si>
  <si>
    <t>10752008</t>
  </si>
  <si>
    <t>Rehab - Model Improvements</t>
  </si>
  <si>
    <t>10752009</t>
  </si>
  <si>
    <t>Rehab - Corporate/Guest Suite Improvements</t>
  </si>
  <si>
    <t>10752010</t>
  </si>
  <si>
    <t>Rehab - Fitness Center Construction</t>
  </si>
  <si>
    <t>10752011</t>
  </si>
  <si>
    <t>Rehab - Fitness Center Flooring</t>
  </si>
  <si>
    <t>10752012</t>
  </si>
  <si>
    <t>Rehab - Fitness Center Decorating/painting</t>
  </si>
  <si>
    <t>10752013</t>
  </si>
  <si>
    <t>Rehab - Fitness Center Equipment</t>
  </si>
  <si>
    <t>10752014</t>
  </si>
  <si>
    <t>Rehab - Business Ctr/Internet Cafe Decorating/Furniture</t>
  </si>
  <si>
    <t>10752015</t>
  </si>
  <si>
    <t>Rehab - Business Ctr/Internet Cafe Construction</t>
  </si>
  <si>
    <t>10752016</t>
  </si>
  <si>
    <t>Rehab - Computers</t>
  </si>
  <si>
    <t>10752017</t>
  </si>
  <si>
    <t>Rehab - WYFY for Common Areas</t>
  </si>
  <si>
    <t>10752019</t>
  </si>
  <si>
    <t>Rehab - Playground Improvements</t>
  </si>
  <si>
    <t>10752020</t>
  </si>
  <si>
    <t>Rehab - Playground Equipment</t>
  </si>
  <si>
    <t>10752021</t>
  </si>
  <si>
    <t>Rehab - Playground Borders</t>
  </si>
  <si>
    <t>10752022</t>
  </si>
  <si>
    <t>Rehab - Playground Resilient Surfacing</t>
  </si>
  <si>
    <t>10752023</t>
  </si>
  <si>
    <t>Rehab - Playground Add Mulch or Sand</t>
  </si>
  <si>
    <t>10752024</t>
  </si>
  <si>
    <t>Rehab - Outdoor Kitchen</t>
  </si>
  <si>
    <t>10752025</t>
  </si>
  <si>
    <t>Rehab - Outdoor Fireplace/Fire Pit</t>
  </si>
  <si>
    <t>10752026</t>
  </si>
  <si>
    <t>Rehab - Pool Improvements</t>
  </si>
  <si>
    <t>10752027</t>
  </si>
  <si>
    <t>Rehab - Pool Furniture</t>
  </si>
  <si>
    <t>10752028</t>
  </si>
  <si>
    <t>Rehab - Pool Resurfacing</t>
  </si>
  <si>
    <t>10752029</t>
  </si>
  <si>
    <t>Rehab - Pool Deck Resurfacing/painting</t>
  </si>
  <si>
    <t>10752030</t>
  </si>
  <si>
    <t>Rehab - Pool Repairs</t>
  </si>
  <si>
    <t>10752031</t>
  </si>
  <si>
    <t>Rehab - Pool Equipment</t>
  </si>
  <si>
    <t>10752032</t>
  </si>
  <si>
    <t>Rehab - Pool Fencing</t>
  </si>
  <si>
    <t>10752033</t>
  </si>
  <si>
    <t>Rehab - Pool Arbor</t>
  </si>
  <si>
    <t>10752035</t>
  </si>
  <si>
    <t>Rehab - Remove Pool or Jacuzzi</t>
  </si>
  <si>
    <t>10752036</t>
  </si>
  <si>
    <t>Rehab - Picnic Area Improvements</t>
  </si>
  <si>
    <t>10752038</t>
  </si>
  <si>
    <t>Rehab - Picnic Tables and Grills</t>
  </si>
  <si>
    <t>10752042</t>
  </si>
  <si>
    <t>Rehab - Volley Ball Area-Repairs</t>
  </si>
  <si>
    <t>10752043</t>
  </si>
  <si>
    <t>Rehab - Volley Ball Area-New</t>
  </si>
  <si>
    <t>10752044</t>
  </si>
  <si>
    <t>Rehab - Tennis Court Improvements</t>
  </si>
  <si>
    <t>10752045</t>
  </si>
  <si>
    <t>Rehab - Tennis Court Resurface</t>
  </si>
  <si>
    <t>10752046</t>
  </si>
  <si>
    <t>Rehab - Tennis Court Nets</t>
  </si>
  <si>
    <t>10752049</t>
  </si>
  <si>
    <t>Rehab - Tennis Court Lights</t>
  </si>
  <si>
    <t>10752051</t>
  </si>
  <si>
    <t>Rehab - Basketball Court</t>
  </si>
  <si>
    <t>10752053</t>
  </si>
  <si>
    <t>Rehab - Security Improvements</t>
  </si>
  <si>
    <t>10752054</t>
  </si>
  <si>
    <t>Rehab - Cameras</t>
  </si>
  <si>
    <t>10752055</t>
  </si>
  <si>
    <t>Rehab - Entry System</t>
  </si>
  <si>
    <t>10752056</t>
  </si>
  <si>
    <t>Rehab - Gate Improvements</t>
  </si>
  <si>
    <t>10752057</t>
  </si>
  <si>
    <t>Rehab - Key Control Systems</t>
  </si>
  <si>
    <t>10752059</t>
  </si>
  <si>
    <t>Rehab - Carwash Area</t>
  </si>
  <si>
    <t>10752060</t>
  </si>
  <si>
    <t>Rehab - Car Vacuum</t>
  </si>
  <si>
    <t>10752061</t>
  </si>
  <si>
    <t>Rehab - Laundry Improvements</t>
  </si>
  <si>
    <t>10752062</t>
  </si>
  <si>
    <t>Rehab - Pet Park Improvements</t>
  </si>
  <si>
    <t>10752063</t>
  </si>
  <si>
    <t>Rehab - Compactor Improvements</t>
  </si>
  <si>
    <t>10752064</t>
  </si>
  <si>
    <t>Rehab - Elevator Improvements</t>
  </si>
  <si>
    <t>10752065</t>
  </si>
  <si>
    <t>Rehab - Elevator Repairs</t>
  </si>
  <si>
    <t>10752068</t>
  </si>
  <si>
    <t>Rehab - Phone System Replacement</t>
  </si>
  <si>
    <t>10752069</t>
  </si>
  <si>
    <t>Rehab - Office/Clubhouse Construction</t>
  </si>
  <si>
    <t>10752070</t>
  </si>
  <si>
    <t>Rehab - Furniture</t>
  </si>
  <si>
    <t>10752071</t>
  </si>
  <si>
    <t>Rehab - Model/Clubhs Interior</t>
  </si>
  <si>
    <t>10752072</t>
  </si>
  <si>
    <t>Rehab - Playground Eqmt</t>
  </si>
  <si>
    <t>10752073</t>
  </si>
  <si>
    <t>10752074</t>
  </si>
  <si>
    <t>Rehab - Pool/Spa Repairs</t>
  </si>
  <si>
    <t>10752075</t>
  </si>
  <si>
    <t>Rehab - Professional Fees</t>
  </si>
  <si>
    <t>10752076</t>
  </si>
  <si>
    <t>Rehab - Tennis Courts</t>
  </si>
  <si>
    <t>10752980</t>
  </si>
  <si>
    <t>Rehab - Awnings at Amenities</t>
  </si>
  <si>
    <t>10752981</t>
  </si>
  <si>
    <t>Rehab - Jacuzzi Improvements</t>
  </si>
  <si>
    <t>10752982</t>
  </si>
  <si>
    <t>Rehab - Picnic Pavilions</t>
  </si>
  <si>
    <t>10752983</t>
  </si>
  <si>
    <t>Rehab - Gazebo</t>
  </si>
  <si>
    <t>10752984</t>
  </si>
  <si>
    <t>Rehab - Decks-New or Replace</t>
  </si>
  <si>
    <t>10752985</t>
  </si>
  <si>
    <t>Rehab - Walkways/Bridges</t>
  </si>
  <si>
    <t>10752986</t>
  </si>
  <si>
    <t>Rehab - Tennis Court Windscreens</t>
  </si>
  <si>
    <t>10752987</t>
  </si>
  <si>
    <t>Rehab - Tennis Court Fencing</t>
  </si>
  <si>
    <t>10752988</t>
  </si>
  <si>
    <t>Rehab - Tanning Room</t>
  </si>
  <si>
    <t>10752989</t>
  </si>
  <si>
    <t>Rehab - Soccer Practice Area</t>
  </si>
  <si>
    <t>10752990</t>
  </si>
  <si>
    <t>Rahab - Mail Area Improvements</t>
  </si>
  <si>
    <t>10752999</t>
  </si>
  <si>
    <t>TOTAL AMENITIES</t>
  </si>
  <si>
    <t>10753001</t>
  </si>
  <si>
    <t>BUILDINGS</t>
  </si>
  <si>
    <t>10753002</t>
  </si>
  <si>
    <t>Rehab - HVAC</t>
  </si>
  <si>
    <t>10753003</t>
  </si>
  <si>
    <t>Rehab - Painting</t>
  </si>
  <si>
    <t>10753004</t>
  </si>
  <si>
    <t>Rehab - Wood Replacement</t>
  </si>
  <si>
    <t>10753005</t>
  </si>
  <si>
    <t>Rehab - Balconies and Railings</t>
  </si>
  <si>
    <t>10753006</t>
  </si>
  <si>
    <t>Rehab - Accent Features</t>
  </si>
  <si>
    <t>10753007</t>
  </si>
  <si>
    <t>Rehab - Siding/Stucco/Vinyl Repairs</t>
  </si>
  <si>
    <t>10753008</t>
  </si>
  <si>
    <t>Rehab - Entrance Door Replacement / Repair</t>
  </si>
  <si>
    <t>10753009</t>
  </si>
  <si>
    <t>Rehab - Window Replacement / Repair</t>
  </si>
  <si>
    <t>10753010</t>
  </si>
  <si>
    <t>Rehab - Sliding Door Replacement</t>
  </si>
  <si>
    <t>10753011</t>
  </si>
  <si>
    <t>Rehab - Bird Vents</t>
  </si>
  <si>
    <t>10753012</t>
  </si>
  <si>
    <t>Rehab - Breezeway/Balcony Ceilings</t>
  </si>
  <si>
    <t>10753013</t>
  </si>
  <si>
    <t>Rehab - Rowlock Flashing</t>
  </si>
  <si>
    <t>10753014</t>
  </si>
  <si>
    <t>Rehab - Flashing for Windows or Balconies</t>
  </si>
  <si>
    <t>10753015</t>
  </si>
  <si>
    <t>Rehab - Masonry Repairs</t>
  </si>
  <si>
    <t>10753016</t>
  </si>
  <si>
    <t>Rehab - Awnings on Apt Buildings</t>
  </si>
  <si>
    <t>10753017</t>
  </si>
  <si>
    <t>Rehab - Siding Replacement--Vinyl</t>
  </si>
  <si>
    <t>10753018</t>
  </si>
  <si>
    <t>Rehab - Siding Replacement--Hardie</t>
  </si>
  <si>
    <t>10753019</t>
  </si>
  <si>
    <t>Rehab - Pressure Wash</t>
  </si>
  <si>
    <t>10753020</t>
  </si>
  <si>
    <t>Rehab - Exterior Painting</t>
  </si>
  <si>
    <t>10753021</t>
  </si>
  <si>
    <t>Rehab - Interior Unit Upgrad</t>
  </si>
  <si>
    <t>10753022</t>
  </si>
  <si>
    <t>Rehab - Hallway/Breezeway Improvments</t>
  </si>
  <si>
    <t>10753023</t>
  </si>
  <si>
    <t>Rehab - Chimney Crickets</t>
  </si>
  <si>
    <t>10753024</t>
  </si>
  <si>
    <t>Rehab - Gutters Repair or Replace</t>
  </si>
  <si>
    <t>10753025</t>
  </si>
  <si>
    <t>Rehab - Gutter Guards</t>
  </si>
  <si>
    <t>10753026</t>
  </si>
  <si>
    <t>Rehab - Clean Gutters</t>
  </si>
  <si>
    <t>10753027</t>
  </si>
  <si>
    <t>Rehab - Chimney Caps/Spark Arresters</t>
  </si>
  <si>
    <t>10753028</t>
  </si>
  <si>
    <t>Rehab - Roof Ventilation</t>
  </si>
  <si>
    <t>10753029</t>
  </si>
  <si>
    <t>Rehab - Chimney Repairs</t>
  </si>
  <si>
    <t>10753030</t>
  </si>
  <si>
    <t>Rehab - Chimney Cleaning</t>
  </si>
  <si>
    <t>10753031</t>
  </si>
  <si>
    <t>Rehab - Roof Replacement / Repair</t>
  </si>
  <si>
    <t>10753032</t>
  </si>
  <si>
    <t>Rehab - Entrance Lights</t>
  </si>
  <si>
    <t>10753033</t>
  </si>
  <si>
    <t>Rehab - Patio Lights</t>
  </si>
  <si>
    <t>10753034</t>
  </si>
  <si>
    <t>Rehab - Breezeway/Hallway Lights</t>
  </si>
  <si>
    <t>10753035</t>
  </si>
  <si>
    <t>rehab - Interior Hallway Flooring</t>
  </si>
  <si>
    <t>10753036</t>
  </si>
  <si>
    <t>Rehab - Interior Hallway Improvements</t>
  </si>
  <si>
    <t>10753037</t>
  </si>
  <si>
    <t>Rehab - Fogged or Broken Window Replacement</t>
  </si>
  <si>
    <t>10753038</t>
  </si>
  <si>
    <t>Rehab - Window Screens</t>
  </si>
  <si>
    <t>10753039</t>
  </si>
  <si>
    <t>Rehab - Foundations</t>
  </si>
  <si>
    <t>10753040</t>
  </si>
  <si>
    <t>Rehab - Crawlspace Improvements</t>
  </si>
  <si>
    <t>10753041</t>
  </si>
  <si>
    <t>Rehab - Elevated Walkway Improvements</t>
  </si>
  <si>
    <t>10753042</t>
  </si>
  <si>
    <t>Rehab - Staircase Improvements</t>
  </si>
  <si>
    <t>10753043</t>
  </si>
  <si>
    <t>Rehab -  Submeter Water Equip</t>
  </si>
  <si>
    <t>10753044</t>
  </si>
  <si>
    <t>Rehab - Entrance Supply Lines</t>
  </si>
  <si>
    <t>10753045</t>
  </si>
  <si>
    <t>Rehab - Sewer Lines</t>
  </si>
  <si>
    <t>10753046</t>
  </si>
  <si>
    <t>Rehab - Gas Supply Lines</t>
  </si>
  <si>
    <t>10753047</t>
  </si>
  <si>
    <t>Rehab - Structural Repairs</t>
  </si>
  <si>
    <t>10753048</t>
  </si>
  <si>
    <t>Rehab - Meter Bases</t>
  </si>
  <si>
    <t>10753049</t>
  </si>
  <si>
    <t>Rehab - Power Panels</t>
  </si>
  <si>
    <t>10753051</t>
  </si>
  <si>
    <t>Rehab - Insulation Upgrade</t>
  </si>
  <si>
    <t>10753052</t>
  </si>
  <si>
    <t>Rehab - Attic Smoke Stops</t>
  </si>
  <si>
    <t>10753053</t>
  </si>
  <si>
    <t>Rehab - Fire Sprinkler System Improvements</t>
  </si>
  <si>
    <t>10753054</t>
  </si>
  <si>
    <t>Rehab - Fire Code Upgrades</t>
  </si>
  <si>
    <t>10753055</t>
  </si>
  <si>
    <t>Rehab - New Storage Areas</t>
  </si>
  <si>
    <t>10753056</t>
  </si>
  <si>
    <t>10753057</t>
  </si>
  <si>
    <t>Rehab - Misc. Building Total</t>
  </si>
  <si>
    <t>10753058</t>
  </si>
  <si>
    <t>Rehab - Roof Replacement</t>
  </si>
  <si>
    <t>10753059</t>
  </si>
  <si>
    <t>10753060</t>
  </si>
  <si>
    <t>Rehab- Exterior Improvements</t>
  </si>
  <si>
    <t>10753061</t>
  </si>
  <si>
    <t>Rehab - ACQ Foundations/Structural</t>
  </si>
  <si>
    <t>10753062</t>
  </si>
  <si>
    <t>Rehab - ACQ Roof/Gutters</t>
  </si>
  <si>
    <t>10753063</t>
  </si>
  <si>
    <t>Rehab - Retail Tenant Improvements</t>
  </si>
  <si>
    <t>10753980</t>
  </si>
  <si>
    <t>Rehab - Shutters</t>
  </si>
  <si>
    <t>10753981</t>
  </si>
  <si>
    <t>10753982</t>
  </si>
  <si>
    <t>Rehab - Interior Unit Upgrades DRA</t>
  </si>
  <si>
    <t>10753983</t>
  </si>
  <si>
    <t>Rehab - Interior Unit Upgrades</t>
  </si>
  <si>
    <t>10753984</t>
  </si>
  <si>
    <t>Rehab - Replace Stair Pans</t>
  </si>
  <si>
    <t>10753985</t>
  </si>
  <si>
    <t>Rehab - Storm Doors</t>
  </si>
  <si>
    <t>10753986</t>
  </si>
  <si>
    <t>Rehab - Screen Balconies/Patios</t>
  </si>
  <si>
    <t>10753987</t>
  </si>
  <si>
    <t>Rehab - Re-piping (poly pipe replacement)</t>
  </si>
  <si>
    <t>10753988</t>
  </si>
  <si>
    <t>Rehab - Pressure Reducing Valves</t>
  </si>
  <si>
    <t>10753989</t>
  </si>
  <si>
    <t>Rehab - Restore Down Units</t>
  </si>
  <si>
    <t>10753990</t>
  </si>
  <si>
    <t>Rehab - New Garages</t>
  </si>
  <si>
    <t>10753991</t>
  </si>
  <si>
    <t>Rehab - Chiller Towers/Boilers/Pumps/Holding Tanks</t>
  </si>
  <si>
    <t>10753992</t>
  </si>
  <si>
    <t>Rehab - Interior</t>
  </si>
  <si>
    <t>10753999</t>
  </si>
  <si>
    <t>TOTAL BUILDINGS</t>
  </si>
  <si>
    <t>10754000</t>
  </si>
  <si>
    <t>SITE</t>
  </si>
  <si>
    <t>10754001</t>
  </si>
  <si>
    <t>Rehab - Land Improvements</t>
  </si>
  <si>
    <t>10754002</t>
  </si>
  <si>
    <t>Rehab - Limb Up</t>
  </si>
  <si>
    <t>10754003</t>
  </si>
  <si>
    <t>Rehab - Irrigation Repairs</t>
  </si>
  <si>
    <t>10754004</t>
  </si>
  <si>
    <t>Rehab - Landscaping</t>
  </si>
  <si>
    <t>10754005</t>
  </si>
  <si>
    <t>Rehab - Signage</t>
  </si>
  <si>
    <t>10754006</t>
  </si>
  <si>
    <t>Rehab - Drainage Improvements</t>
  </si>
  <si>
    <t>10754007</t>
  </si>
  <si>
    <t>Rehab - Erosion Control</t>
  </si>
  <si>
    <t>10754008</t>
  </si>
  <si>
    <t>Rehab - Flumes</t>
  </si>
  <si>
    <t>10754009</t>
  </si>
  <si>
    <t>Rehab - Piping/Catch Basins</t>
  </si>
  <si>
    <t>10754010</t>
  </si>
  <si>
    <t>Rehab - Grading</t>
  </si>
  <si>
    <t>10754011</t>
  </si>
  <si>
    <t>Rehab - Condenser Pads</t>
  </si>
  <si>
    <t>10754012</t>
  </si>
  <si>
    <t>Rehab - Site Lighting</t>
  </si>
  <si>
    <t>10754013</t>
  </si>
  <si>
    <t>Rehab - Sign Lights</t>
  </si>
  <si>
    <t>10754014</t>
  </si>
  <si>
    <t>Rehab - Tree Lights</t>
  </si>
  <si>
    <t>10754015</t>
  </si>
  <si>
    <t>Rehab - Chain-link Fencing</t>
  </si>
  <si>
    <t>10754016</t>
  </si>
  <si>
    <t>Rehab - Privacy Fencing</t>
  </si>
  <si>
    <t>10754017</t>
  </si>
  <si>
    <t>Rehab - Dumpster Screens</t>
  </si>
  <si>
    <t>10754018</t>
  </si>
  <si>
    <t>Rehab - Rail Fencing</t>
  </si>
  <si>
    <t>10754019</t>
  </si>
  <si>
    <t>Rehab - Ornamental Fencing</t>
  </si>
  <si>
    <t>10754020</t>
  </si>
  <si>
    <t>Rehab - Site Handrails</t>
  </si>
  <si>
    <t>10754021</t>
  </si>
  <si>
    <t>Rehab - Timber Walls</t>
  </si>
  <si>
    <t>10754022</t>
  </si>
  <si>
    <t>Rehab - Keystone Walls</t>
  </si>
  <si>
    <t>10754023</t>
  </si>
  <si>
    <t>Rehab - Concrete Walls</t>
  </si>
  <si>
    <t>10754024</t>
  </si>
  <si>
    <t>Rehab - Asphalt/Concrete Pavement</t>
  </si>
  <si>
    <t>10754025</t>
  </si>
  <si>
    <t>Rehab - Asphalt Seal/Stripe</t>
  </si>
  <si>
    <t>10754026</t>
  </si>
  <si>
    <t>Rehab - Concrete Sidewalk Repairs</t>
  </si>
  <si>
    <t>10754027</t>
  </si>
  <si>
    <t>Rehab - Dumpster Pads/Approaches</t>
  </si>
  <si>
    <t>10754028</t>
  </si>
  <si>
    <t>Rehab - Curbing</t>
  </si>
  <si>
    <t>10754029</t>
  </si>
  <si>
    <t>Rehab - Pond Improvements</t>
  </si>
  <si>
    <t>10754030</t>
  </si>
  <si>
    <t>Rehab - Replace/Improve Dam</t>
  </si>
  <si>
    <t>10754031</t>
  </si>
  <si>
    <t>Rehab - Pond Fountain</t>
  </si>
  <si>
    <t>10754032</t>
  </si>
  <si>
    <t>Rehab - Walking Path/Nature Trails</t>
  </si>
  <si>
    <t>10754033</t>
  </si>
  <si>
    <t>Rehab - Compactor Repairs</t>
  </si>
  <si>
    <t>10754034</t>
  </si>
  <si>
    <t>10754035</t>
  </si>
  <si>
    <t>Rehab - Garage / Carport Repairs</t>
  </si>
  <si>
    <t>10754036</t>
  </si>
  <si>
    <t>Rehab - Paving/Sidewalks</t>
  </si>
  <si>
    <t>10754037</t>
  </si>
  <si>
    <t>10754038</t>
  </si>
  <si>
    <t>Rehab- Redevelopment SignageRehab- Redevelopment Signage</t>
  </si>
  <si>
    <t>10754039</t>
  </si>
  <si>
    <t>ACQ Landscape/Tree Trim/Gates/Fence</t>
  </si>
  <si>
    <t>10754980</t>
  </si>
  <si>
    <t>10754981</t>
  </si>
  <si>
    <t>10754982</t>
  </si>
  <si>
    <t>Rehab - Flag Poles</t>
  </si>
  <si>
    <t>10754983</t>
  </si>
  <si>
    <t>Rehab - Downspout Extensions/Splash Blocks</t>
  </si>
  <si>
    <t>10754984</t>
  </si>
  <si>
    <t>Rehab - Crosstie Walls</t>
  </si>
  <si>
    <t>10754985</t>
  </si>
  <si>
    <t>Rehab - Plants on Retaining Walls</t>
  </si>
  <si>
    <t>10754986</t>
  </si>
  <si>
    <t>Rehab - Add Parking Spaces</t>
  </si>
  <si>
    <t>10754987</t>
  </si>
  <si>
    <t>Rehab - Compactor-New</t>
  </si>
  <si>
    <t>10754999</t>
  </si>
  <si>
    <t>TOTAL SITE</t>
  </si>
  <si>
    <t>10755000</t>
  </si>
  <si>
    <t>MISCELLANEOUS</t>
  </si>
  <si>
    <t>10755001</t>
  </si>
  <si>
    <t>10755002</t>
  </si>
  <si>
    <t>Rehab - Start Up Marketing Materials</t>
  </si>
  <si>
    <t>10755003</t>
  </si>
  <si>
    <t>Rehab - HVAC Improvements</t>
  </si>
  <si>
    <t>10755004</t>
  </si>
  <si>
    <t>10755005</t>
  </si>
  <si>
    <t>Rehab - GFIC</t>
  </si>
  <si>
    <t>10755006</t>
  </si>
  <si>
    <t>Rehab - Smoke Detectors / Radon Detectors</t>
  </si>
  <si>
    <t>10755007</t>
  </si>
  <si>
    <t>Rehab - Fire Extinguishers</t>
  </si>
  <si>
    <t>10755008</t>
  </si>
  <si>
    <t>Rehab - Fire Stoppers</t>
  </si>
  <si>
    <t>10755009</t>
  </si>
  <si>
    <t>Rehab - Clean Ductwork</t>
  </si>
  <si>
    <t>10755010</t>
  </si>
  <si>
    <t>Rehab - Copiers</t>
  </si>
  <si>
    <t>10755011</t>
  </si>
  <si>
    <t>Rehab - Animal Removal</t>
  </si>
  <si>
    <t>10755012</t>
  </si>
  <si>
    <t>Rehab - Termite Bond</t>
  </si>
  <si>
    <t>10755013</t>
  </si>
  <si>
    <t>Rehab - Maintenance Shop Improvements</t>
  </si>
  <si>
    <t>10755014</t>
  </si>
  <si>
    <t>Rehab - Maintenance Equipment</t>
  </si>
  <si>
    <t>10755015</t>
  </si>
  <si>
    <t>Rehab - Golf Carts</t>
  </si>
  <si>
    <t>10755016</t>
  </si>
  <si>
    <t>Rehab - Unmaster Home Locks</t>
  </si>
  <si>
    <t>10755017</t>
  </si>
  <si>
    <t>Rehab - Architectural Fees</t>
  </si>
  <si>
    <t>10755018</t>
  </si>
  <si>
    <t>Rehab - Design Fees</t>
  </si>
  <si>
    <t>10755019</t>
  </si>
  <si>
    <t>Rehab - Maintenance Start Up Costs</t>
  </si>
  <si>
    <t>10755020</t>
  </si>
  <si>
    <t>Rehab - Copier</t>
  </si>
  <si>
    <t>10755021</t>
  </si>
  <si>
    <t>10755022</t>
  </si>
  <si>
    <t>Rehab - radon</t>
  </si>
  <si>
    <t>10755023</t>
  </si>
  <si>
    <t>Rehab - Electric Car Station</t>
  </si>
  <si>
    <t>10755024</t>
  </si>
  <si>
    <t>Rehab - Lender Requirements Interiors</t>
  </si>
  <si>
    <t>10755025</t>
  </si>
  <si>
    <t>Rehab - Requirements Buildings</t>
  </si>
  <si>
    <t>10755026</t>
  </si>
  <si>
    <t>Rehab - Lender Requirements Amenities</t>
  </si>
  <si>
    <t>10755027</t>
  </si>
  <si>
    <t>Rehab - Maintenance Eqmt</t>
  </si>
  <si>
    <t>10755028</t>
  </si>
  <si>
    <t>Rehab - Pest/Termite</t>
  </si>
  <si>
    <t>10755029</t>
  </si>
  <si>
    <t>Rehab - Start Up Costs</t>
  </si>
  <si>
    <t>10755030</t>
  </si>
  <si>
    <t>Renov - Start Up Systems</t>
  </si>
  <si>
    <t>10755031</t>
  </si>
  <si>
    <t>Rehab- Other</t>
  </si>
  <si>
    <t>10755032</t>
  </si>
  <si>
    <t>10755033</t>
  </si>
  <si>
    <t>Rehab - Misc Projects</t>
  </si>
  <si>
    <t>10755980</t>
  </si>
  <si>
    <t>Rehab - Insulate Freon Lines</t>
  </si>
  <si>
    <t>10755981</t>
  </si>
  <si>
    <t>Rehab - Garbage Disposal</t>
  </si>
  <si>
    <t>10755982</t>
  </si>
  <si>
    <t>Rehab - Parts to Repair Slider Doors</t>
  </si>
  <si>
    <t>10755983</t>
  </si>
  <si>
    <t>Rehab - Turnover and Repair Reserve</t>
  </si>
  <si>
    <t>10755984</t>
  </si>
  <si>
    <t>Rehab - Recycling Containers</t>
  </si>
  <si>
    <t>10755985</t>
  </si>
  <si>
    <t>Renov - Start Up HR</t>
  </si>
  <si>
    <t>10755999</t>
  </si>
  <si>
    <t>TOTAL MISCELLANEOUS</t>
  </si>
  <si>
    <t>10756000</t>
  </si>
  <si>
    <t>CONSTRUCTION FEE</t>
  </si>
  <si>
    <t>10756001</t>
  </si>
  <si>
    <t>Rehab - Contingency</t>
  </si>
  <si>
    <t>10756999</t>
  </si>
  <si>
    <t>10757000</t>
  </si>
  <si>
    <t>EXTERIOR CONTIENGENCY</t>
  </si>
  <si>
    <t>10757001</t>
  </si>
  <si>
    <t>Rehab - Renovation Mgmt Fee</t>
  </si>
  <si>
    <t>10757999</t>
  </si>
  <si>
    <t>TOTAL EXTERIOR CONTIENGENCY</t>
  </si>
  <si>
    <t>10758000</t>
  </si>
  <si>
    <t>OTHER RENOVATION</t>
  </si>
  <si>
    <t>10758001</t>
  </si>
  <si>
    <t>10758002</t>
  </si>
  <si>
    <t>10758003</t>
  </si>
  <si>
    <t>10758004</t>
  </si>
  <si>
    <t>Rehab - Suspense</t>
  </si>
  <si>
    <t>10758005</t>
  </si>
  <si>
    <t>Const In Progress Hard</t>
  </si>
  <si>
    <t>10758006</t>
  </si>
  <si>
    <t>Const In Progress Soft</t>
  </si>
  <si>
    <t>10758007</t>
  </si>
  <si>
    <t>Rehab Operating Expense (Non Start-up) Contra</t>
  </si>
  <si>
    <t>10758008</t>
  </si>
  <si>
    <t>Rehab Start Up Marketing Costs</t>
  </si>
  <si>
    <t>10758009</t>
  </si>
  <si>
    <t>Rehab Start Up Mkg Contra</t>
  </si>
  <si>
    <t>10758050</t>
  </si>
  <si>
    <t>Completed Renovation-5 Year Clearing</t>
  </si>
  <si>
    <t>10758051</t>
  </si>
  <si>
    <t>Completed Renovation-7 Year Clearing</t>
  </si>
  <si>
    <t>10758052</t>
  </si>
  <si>
    <t>Completed Renovation-15 Year Clearing</t>
  </si>
  <si>
    <t>10758053</t>
  </si>
  <si>
    <t>Completed Renovation-35 Year Clearing</t>
  </si>
  <si>
    <t>10758054</t>
  </si>
  <si>
    <t>Completed Renovation-Start Up Clearing</t>
  </si>
  <si>
    <t>10758999</t>
  </si>
  <si>
    <t>TOTAL OTHER RENOVATION</t>
  </si>
  <si>
    <t>10759999</t>
  </si>
  <si>
    <t>TOTAL RENOVATIONS</t>
  </si>
  <si>
    <t>Total Construction in Progress</t>
  </si>
  <si>
    <t xml:space="preserve"> Total Fixed Assets</t>
  </si>
  <si>
    <t>Intangible Assets</t>
  </si>
  <si>
    <t>10800000</t>
  </si>
  <si>
    <t>INTANGIBLE ASSETS</t>
  </si>
  <si>
    <t>10801000</t>
  </si>
  <si>
    <t>Acquistion Cost</t>
  </si>
  <si>
    <t>10801500</t>
  </si>
  <si>
    <t>Guarantee Fee</t>
  </si>
  <si>
    <t>10802000</t>
  </si>
  <si>
    <t>Leasing Fee</t>
  </si>
  <si>
    <t>10802001</t>
  </si>
  <si>
    <t>Leasing Legal Fees</t>
  </si>
  <si>
    <t>10802500</t>
  </si>
  <si>
    <t>Loan Fee</t>
  </si>
  <si>
    <t>10802501</t>
  </si>
  <si>
    <t>Loan Fees (Original)</t>
  </si>
  <si>
    <t>10802600</t>
  </si>
  <si>
    <t>Loan Costs - Legal</t>
  </si>
  <si>
    <t>10802700</t>
  </si>
  <si>
    <t>Loan Costs - Misc</t>
  </si>
  <si>
    <t>10803000</t>
  </si>
  <si>
    <t>Non Compete Fee</t>
  </si>
  <si>
    <t>10803500</t>
  </si>
  <si>
    <t>Organization Cost</t>
  </si>
  <si>
    <t>10803700</t>
  </si>
  <si>
    <t>Management Contracts</t>
  </si>
  <si>
    <t>10803701</t>
  </si>
  <si>
    <t>Mgmt Contracts-PL Offset</t>
  </si>
  <si>
    <t>10803900</t>
  </si>
  <si>
    <t>Step Up Basis</t>
  </si>
  <si>
    <t>10804000</t>
  </si>
  <si>
    <t>Unamortized Closing Costs</t>
  </si>
  <si>
    <t>10804500</t>
  </si>
  <si>
    <t>Accumulated Amortization</t>
  </si>
  <si>
    <t>10804501</t>
  </si>
  <si>
    <t>Amortization (Beginning)</t>
  </si>
  <si>
    <t>10804502</t>
  </si>
  <si>
    <t>Accum Amort Loan Costs Write- Off</t>
  </si>
  <si>
    <t>10806100</t>
  </si>
  <si>
    <t>Held for Sale - Intangible Assets</t>
  </si>
  <si>
    <t>10809900</t>
  </si>
  <si>
    <t>10809990</t>
  </si>
  <si>
    <t>Intangibles</t>
  </si>
  <si>
    <t>10809991</t>
  </si>
  <si>
    <t>Accum Amort Intangible</t>
  </si>
  <si>
    <t>10809992</t>
  </si>
  <si>
    <t>Intangible- Other</t>
  </si>
  <si>
    <t>10809993</t>
  </si>
  <si>
    <t>Accum Amort Intangible Other</t>
  </si>
  <si>
    <t>10809994</t>
  </si>
  <si>
    <t>Accum Amort Lease Costs</t>
  </si>
  <si>
    <t>10809999</t>
  </si>
  <si>
    <t>TOTAL INTANGIBLE ASSETS</t>
  </si>
  <si>
    <t xml:space="preserve">  Total Intangible Assets</t>
  </si>
  <si>
    <t>10900000</t>
  </si>
  <si>
    <t>OTHER ASSETS</t>
  </si>
  <si>
    <t>10901000</t>
  </si>
  <si>
    <t>Other Deposits</t>
  </si>
  <si>
    <t>10901100</t>
  </si>
  <si>
    <t>Other Assets - Hedging/Financial Instruments</t>
  </si>
  <si>
    <t>10902000</t>
  </si>
  <si>
    <t>Utility Deposits</t>
  </si>
  <si>
    <t>10903000</t>
  </si>
  <si>
    <t>Rate Lock Deposit</t>
  </si>
  <si>
    <t>10904000</t>
  </si>
  <si>
    <t>Deposits - Workers Comp</t>
  </si>
  <si>
    <t>10904051</t>
  </si>
  <si>
    <t>Workmans Comp Retained (WREA)</t>
  </si>
  <si>
    <t>10904053</t>
  </si>
  <si>
    <t>Lees Crossing Princ and Bond Fee (WREA)</t>
  </si>
  <si>
    <t>10904054</t>
  </si>
  <si>
    <t>Investments</t>
  </si>
  <si>
    <t>10905000</t>
  </si>
  <si>
    <t>Wood Partners Clearing Account</t>
  </si>
  <si>
    <t>10909999</t>
  </si>
  <si>
    <t>TOTAL OTHER ASSETS</t>
  </si>
  <si>
    <t>10999999</t>
  </si>
  <si>
    <t>TOTAL LONG TERM ASSETS</t>
  </si>
  <si>
    <t>19999999</t>
  </si>
  <si>
    <t>TOTAL ASSETS</t>
  </si>
  <si>
    <t xml:space="preserve"> Total Other Assets</t>
  </si>
  <si>
    <t>Total Long Terms Assets</t>
  </si>
  <si>
    <t>Total Assets</t>
  </si>
  <si>
    <t>Liabilities &amp; Owners Equity</t>
  </si>
  <si>
    <t>Current Liabilities</t>
  </si>
  <si>
    <t>Accounts Payable</t>
  </si>
  <si>
    <t>20000000</t>
  </si>
  <si>
    <t>LIABILITIES &amp; OWNERS EQUITY</t>
  </si>
  <si>
    <t>20000001</t>
  </si>
  <si>
    <t>LIABILITIES</t>
  </si>
  <si>
    <t>20000002</t>
  </si>
  <si>
    <t>CURRENT LIABILITIES</t>
  </si>
  <si>
    <t>20000100</t>
  </si>
  <si>
    <t>ACCOUNTS PAYABLE</t>
  </si>
  <si>
    <t>20001000</t>
  </si>
  <si>
    <t>20001001</t>
  </si>
  <si>
    <t>A/P-Renovations</t>
  </si>
  <si>
    <t>20001002</t>
  </si>
  <si>
    <t>A/P-Retainage</t>
  </si>
  <si>
    <t>20001099</t>
  </si>
  <si>
    <t>Accounts Payable-Prior Mgmt</t>
  </si>
  <si>
    <t>20002000</t>
  </si>
  <si>
    <t>A/P Leasing Fees</t>
  </si>
  <si>
    <t>20002060</t>
  </si>
  <si>
    <t>AP COVID-19</t>
  </si>
  <si>
    <t>20003000</t>
  </si>
  <si>
    <t>Accounts Payable Misc</t>
  </si>
  <si>
    <t>20003010</t>
  </si>
  <si>
    <t>A/P Wrangler 1</t>
  </si>
  <si>
    <t>20003020</t>
  </si>
  <si>
    <t>A/P Wrangler 2</t>
  </si>
  <si>
    <t>20003100</t>
  </si>
  <si>
    <t>Unclaimed Property</t>
  </si>
  <si>
    <t>20003500</t>
  </si>
  <si>
    <t>Due to Affiliate</t>
  </si>
  <si>
    <t>20004000</t>
  </si>
  <si>
    <t>Sales Tax Payable</t>
  </si>
  <si>
    <t>20004100</t>
  </si>
  <si>
    <t>Occupancy Tax Payable</t>
  </si>
  <si>
    <t>20005000</t>
  </si>
  <si>
    <t>Insurance Claims Payable</t>
  </si>
  <si>
    <t>20005500</t>
  </si>
  <si>
    <t>Self Insurance Liability</t>
  </si>
  <si>
    <t>20006000</t>
  </si>
  <si>
    <t>Accounts Payable - Casualty</t>
  </si>
  <si>
    <t>20009999</t>
  </si>
  <si>
    <t>TOTAL ACCOUNTS PAYABLE</t>
  </si>
  <si>
    <t>20501000</t>
  </si>
  <si>
    <t>Loan Payable-Insurance</t>
  </si>
  <si>
    <t>20502000</t>
  </si>
  <si>
    <t>Long Term Debt - Current Portion</t>
  </si>
  <si>
    <t>20599999</t>
  </si>
  <si>
    <t>TOTAL CURRENT LIABILITIES</t>
  </si>
  <si>
    <t xml:space="preserve"> Total Accounts Payable</t>
  </si>
  <si>
    <t>Accrued Expenses</t>
  </si>
  <si>
    <t>20100000</t>
  </si>
  <si>
    <t>ACCRUED EXPENSES</t>
  </si>
  <si>
    <t>20101000</t>
  </si>
  <si>
    <t>Accrued Education</t>
  </si>
  <si>
    <t>20101500</t>
  </si>
  <si>
    <t>Accrued Franchise Tax</t>
  </si>
  <si>
    <t>20101550</t>
  </si>
  <si>
    <t>Accrued Medicaid</t>
  </si>
  <si>
    <t>20102000</t>
  </si>
  <si>
    <t>Accrued Insurance Expense</t>
  </si>
  <si>
    <t>20102050</t>
  </si>
  <si>
    <t>Liability for Employee Healthcare Costs</t>
  </si>
  <si>
    <t>20102100</t>
  </si>
  <si>
    <t>Accrued Taxes-Income</t>
  </si>
  <si>
    <t>20102200</t>
  </si>
  <si>
    <t>Accrued Taxes-Property</t>
  </si>
  <si>
    <t>20103000</t>
  </si>
  <si>
    <t>Accrued Interest</t>
  </si>
  <si>
    <t>20103050</t>
  </si>
  <si>
    <t>Accrued Interest - Capital Contributions</t>
  </si>
  <si>
    <t>20104000</t>
  </si>
  <si>
    <t>Accrued Management Fees</t>
  </si>
  <si>
    <t>20104100</t>
  </si>
  <si>
    <t>Accrued Carried Interest</t>
  </si>
  <si>
    <t>20104400</t>
  </si>
  <si>
    <t>Accrued Computer</t>
  </si>
  <si>
    <t>20104500</t>
  </si>
  <si>
    <t>Accrued Utilities</t>
  </si>
  <si>
    <t>20104510</t>
  </si>
  <si>
    <t>Accrued Electric</t>
  </si>
  <si>
    <t>20104520</t>
  </si>
  <si>
    <t>Accrued Gas</t>
  </si>
  <si>
    <t>20104530</t>
  </si>
  <si>
    <t>Accrued Water</t>
  </si>
  <si>
    <t>20104540</t>
  </si>
  <si>
    <t>Accrued Trash</t>
  </si>
  <si>
    <t>20104600</t>
  </si>
  <si>
    <t>Accrued Audit and Tax Fees</t>
  </si>
  <si>
    <t>20104650</t>
  </si>
  <si>
    <t>Accrued Professional Fees</t>
  </si>
  <si>
    <t>20104660</t>
  </si>
  <si>
    <t>Accrued Dues-Proj/Industry</t>
  </si>
  <si>
    <t>20104670</t>
  </si>
  <si>
    <t>Accrued Subscriptions-Mags and Trade Pubs</t>
  </si>
  <si>
    <t>20104680</t>
  </si>
  <si>
    <t>Accrued Abandoned Pursuit Costs</t>
  </si>
  <si>
    <t>20104700</t>
  </si>
  <si>
    <t>Accrued Landscaping</t>
  </si>
  <si>
    <t>20104800</t>
  </si>
  <si>
    <t>Accrued Payroll</t>
  </si>
  <si>
    <t>20104805</t>
  </si>
  <si>
    <t>Accrued Microsoft Licenses</t>
  </si>
  <si>
    <t>20104810</t>
  </si>
  <si>
    <t>Accrued Bonus</t>
  </si>
  <si>
    <t>20104820</t>
  </si>
  <si>
    <t>Accrued Profit Sharing</t>
  </si>
  <si>
    <t>20104850</t>
  </si>
  <si>
    <t>Accrued Payroll - PTO</t>
  </si>
  <si>
    <t>20104860</t>
  </si>
  <si>
    <t>Accrued Payroll System Costs</t>
  </si>
  <si>
    <t>20104900</t>
  </si>
  <si>
    <t>Accrued LTIP</t>
  </si>
  <si>
    <t>20104910</t>
  </si>
  <si>
    <t>Accrued LTIP - 2012</t>
  </si>
  <si>
    <t>20104920</t>
  </si>
  <si>
    <t>Accrued LTIP - 2013</t>
  </si>
  <si>
    <t>20104925</t>
  </si>
  <si>
    <t>Accrued LTIP - 2014</t>
  </si>
  <si>
    <t>20104926</t>
  </si>
  <si>
    <t>Accrued LTIP - 2015</t>
  </si>
  <si>
    <t>20104927</t>
  </si>
  <si>
    <t>Accrued LTIP - 2016</t>
  </si>
  <si>
    <t>20104928</t>
  </si>
  <si>
    <t>Accrued LTIP - 2017</t>
  </si>
  <si>
    <t>20104929</t>
  </si>
  <si>
    <t>Accrued LTIP - 2018</t>
  </si>
  <si>
    <t>20104930</t>
  </si>
  <si>
    <t>Accrued LTIP - 2019</t>
  </si>
  <si>
    <t>20104931</t>
  </si>
  <si>
    <t>Accrued LTIP - 2020</t>
  </si>
  <si>
    <t>20104932</t>
  </si>
  <si>
    <t>Accrued LTIP - 2021</t>
  </si>
  <si>
    <t>20104933</t>
  </si>
  <si>
    <t>Accrued LTIP - 2022</t>
  </si>
  <si>
    <t>20104934</t>
  </si>
  <si>
    <t>Accrued LTIP - 2023</t>
  </si>
  <si>
    <t>20104935</t>
  </si>
  <si>
    <t>Accrued LTIP - 2024</t>
  </si>
  <si>
    <t>20105000</t>
  </si>
  <si>
    <t>Accrued Merchants Advertisin</t>
  </si>
  <si>
    <t>20105500</t>
  </si>
  <si>
    <t>Accrued Concessions</t>
  </si>
  <si>
    <t>20106000</t>
  </si>
  <si>
    <t>Accrued Other</t>
  </si>
  <si>
    <t>20106100</t>
  </si>
  <si>
    <t>Accrued Housing Assistance-Unapplied Pmts</t>
  </si>
  <si>
    <t>20107000</t>
  </si>
  <si>
    <t>Accrued Taxes</t>
  </si>
  <si>
    <t>20107001</t>
  </si>
  <si>
    <t>Accrued NC Sales Tax</t>
  </si>
  <si>
    <t>20107002</t>
  </si>
  <si>
    <t>Accrued TX Sales Tax</t>
  </si>
  <si>
    <t>20107003</t>
  </si>
  <si>
    <t>Accrued FL Sales Tax</t>
  </si>
  <si>
    <t>20107004</t>
  </si>
  <si>
    <t>Accrued TN Sales Tax</t>
  </si>
  <si>
    <t>20107005</t>
  </si>
  <si>
    <t>Accrued GA Sales and Use</t>
  </si>
  <si>
    <t>20107006</t>
  </si>
  <si>
    <t>Accrued AL Sales Tax</t>
  </si>
  <si>
    <t>20107007</t>
  </si>
  <si>
    <t>Accrued OH Sales and Use Tax</t>
  </si>
  <si>
    <t>20107008</t>
  </si>
  <si>
    <t>Accrued SC Sales and Use Tax</t>
  </si>
  <si>
    <t>20107009</t>
  </si>
  <si>
    <t>Accrued VA Sales and Use Tax</t>
  </si>
  <si>
    <t>20107010</t>
  </si>
  <si>
    <t>Accrued MD Sales and Use Tax</t>
  </si>
  <si>
    <t>20107011</t>
  </si>
  <si>
    <t>Accrued MA Sales Use Tax</t>
  </si>
  <si>
    <t>20107012</t>
  </si>
  <si>
    <t>Accrue MO Sales Use Tax</t>
  </si>
  <si>
    <t>20107013</t>
  </si>
  <si>
    <t>Accrued AR Sales Use Tax</t>
  </si>
  <si>
    <t>20107014</t>
  </si>
  <si>
    <t>Accrued CO Sales Use Tax</t>
  </si>
  <si>
    <t>20107015</t>
  </si>
  <si>
    <t>Accrued CA Sales Use Tax</t>
  </si>
  <si>
    <t>20107016</t>
  </si>
  <si>
    <t>Accrued WA Sales Use Tax</t>
  </si>
  <si>
    <t>20107100</t>
  </si>
  <si>
    <t>Accrued Sales Tax</t>
  </si>
  <si>
    <t>20109999</t>
  </si>
  <si>
    <t>TOTAL ACCRUED EXPENSES</t>
  </si>
  <si>
    <t>20307030</t>
  </si>
  <si>
    <t>Sec Dep Payable - Satellite</t>
  </si>
  <si>
    <t xml:space="preserve"> Total Accrued Expenses</t>
  </si>
  <si>
    <t>Other Current Liabilities</t>
  </si>
  <si>
    <t>20905500</t>
  </si>
  <si>
    <t>Prepaid Rent Liability</t>
  </si>
  <si>
    <t>20905700</t>
  </si>
  <si>
    <t>Resident Funds Payable</t>
  </si>
  <si>
    <t>20906000</t>
  </si>
  <si>
    <t>Security Deposit Clearing</t>
  </si>
  <si>
    <t xml:space="preserve"> Total Other Current Liabilities</t>
  </si>
  <si>
    <t>Total Current Liabilities</t>
  </si>
  <si>
    <t>Long Term Liabilities</t>
  </si>
  <si>
    <t>Notes Payable</t>
  </si>
  <si>
    <t>20601000..20601999</t>
  </si>
  <si>
    <t>Mortgage Payable 1</t>
  </si>
  <si>
    <t>20602000..20602999</t>
  </si>
  <si>
    <t>Mortgage Payable 2</t>
  </si>
  <si>
    <t>20603000..20603999</t>
  </si>
  <si>
    <t>Mortgage Payable 3</t>
  </si>
  <si>
    <t>20604000..20604999</t>
  </si>
  <si>
    <t>Mortgage Payable 4</t>
  </si>
  <si>
    <t>20605000..20605999</t>
  </si>
  <si>
    <t>Mortgage Payable 5</t>
  </si>
  <si>
    <t>20606000</t>
  </si>
  <si>
    <t>M/P - Other</t>
  </si>
  <si>
    <t>20606100</t>
  </si>
  <si>
    <t>Held for Sale - Mortgage Balance</t>
  </si>
  <si>
    <t>20606200</t>
  </si>
  <si>
    <t>M/P - Deferred Loan Fees</t>
  </si>
  <si>
    <t>20606300</t>
  </si>
  <si>
    <t>M/P - Def Loan Fees Acc Amort</t>
  </si>
  <si>
    <t>20606400</t>
  </si>
  <si>
    <t>COVID-19 Deferred Debt Payment – Principal</t>
  </si>
  <si>
    <t>20606500</t>
  </si>
  <si>
    <t>COVID-19 Deferred Debt Payment – Interest</t>
  </si>
  <si>
    <t>20606600</t>
  </si>
  <si>
    <t>Market Appreciation/Depreciation on Debt</t>
  </si>
  <si>
    <t>20606900</t>
  </si>
  <si>
    <t>M/P: Long Term</t>
  </si>
  <si>
    <t>20606901</t>
  </si>
  <si>
    <t>M/P: Long Term (New Loan)</t>
  </si>
  <si>
    <t>20606902</t>
  </si>
  <si>
    <t>M/P: Long Term (Payoff)</t>
  </si>
  <si>
    <t>20606903</t>
  </si>
  <si>
    <t>M/P: Long Term (Re-Allocation)</t>
  </si>
  <si>
    <t>20606909</t>
  </si>
  <si>
    <t>M/P: Long Term (Pmts)</t>
  </si>
  <si>
    <t>20606990</t>
  </si>
  <si>
    <t>IA Principal Funding</t>
  </si>
  <si>
    <t>20606991</t>
  </si>
  <si>
    <t>IA Principle Payment</t>
  </si>
  <si>
    <t>20607000</t>
  </si>
  <si>
    <t>N/P 1</t>
  </si>
  <si>
    <t>20607080</t>
  </si>
  <si>
    <t>N/P Affiliates</t>
  </si>
  <si>
    <t>20607090</t>
  </si>
  <si>
    <t>N/P Owner</t>
  </si>
  <si>
    <t>20607095</t>
  </si>
  <si>
    <t>N/P WCI</t>
  </si>
  <si>
    <t>20607098</t>
  </si>
  <si>
    <t>N/P: WGI</t>
  </si>
  <si>
    <t>20607099</t>
  </si>
  <si>
    <t>N/P: Wilkinson Insurance</t>
  </si>
  <si>
    <t>20607100</t>
  </si>
  <si>
    <t>N/P-Auto-GMAC</t>
  </si>
  <si>
    <t>20607150</t>
  </si>
  <si>
    <t>N/P-Auto-Mercedes Benz</t>
  </si>
  <si>
    <t>20607200</t>
  </si>
  <si>
    <t>N/P-Auto-Wachovia</t>
  </si>
  <si>
    <t>20607250</t>
  </si>
  <si>
    <t>N/P-Airplane</t>
  </si>
  <si>
    <t>20607300</t>
  </si>
  <si>
    <t>N/P-Steve Bell</t>
  </si>
  <si>
    <t>20607310</t>
  </si>
  <si>
    <t>N/P-Credit Line</t>
  </si>
  <si>
    <t>20607311</t>
  </si>
  <si>
    <t>N/P - BBT Loan</t>
  </si>
  <si>
    <t>20607320</t>
  </si>
  <si>
    <t>Deferred Loan/Legal Fees - LOC</t>
  </si>
  <si>
    <t>20607330</t>
  </si>
  <si>
    <t>Deferred Loan/Legal Fee Acc. Amort - LOC</t>
  </si>
  <si>
    <t>20609999</t>
  </si>
  <si>
    <t>TOTAL NOTES PAYABLE</t>
  </si>
  <si>
    <t xml:space="preserve"> Total Notes Payable</t>
  </si>
  <si>
    <t>Payroll Liabilities</t>
  </si>
  <si>
    <t>20700000</t>
  </si>
  <si>
    <t>PAYROLL LIABILITY</t>
  </si>
  <si>
    <t>20700100</t>
  </si>
  <si>
    <t>941 TAX</t>
  </si>
  <si>
    <t>20701000</t>
  </si>
  <si>
    <t>Employers FICA Payable</t>
  </si>
  <si>
    <t>20702000</t>
  </si>
  <si>
    <t>W/H-Federal</t>
  </si>
  <si>
    <t>20703000</t>
  </si>
  <si>
    <t>W/H-FICA</t>
  </si>
  <si>
    <t>20704000</t>
  </si>
  <si>
    <t>Earned Income Credit</t>
  </si>
  <si>
    <t>20709999</t>
  </si>
  <si>
    <t>TOTAL 941 TAX</t>
  </si>
  <si>
    <t>20750000</t>
  </si>
  <si>
    <t>WITHHOLDINGS</t>
  </si>
  <si>
    <t>20751500</t>
  </si>
  <si>
    <t>W/H-State</t>
  </si>
  <si>
    <t>20751502</t>
  </si>
  <si>
    <t>W/H-State-AL City</t>
  </si>
  <si>
    <t>20751503</t>
  </si>
  <si>
    <t>W/H-State-AL County</t>
  </si>
  <si>
    <t>20753000</t>
  </si>
  <si>
    <t>W/H-State-GA</t>
  </si>
  <si>
    <t>20754000</t>
  </si>
  <si>
    <t>W/H-State-NC</t>
  </si>
  <si>
    <t>20757000</t>
  </si>
  <si>
    <t>W/H-State-SC</t>
  </si>
  <si>
    <t>20758000</t>
  </si>
  <si>
    <t>W/H-State-VA</t>
  </si>
  <si>
    <t>20759100</t>
  </si>
  <si>
    <t>W/H 401(K) Plan</t>
  </si>
  <si>
    <t>20759200</t>
  </si>
  <si>
    <t>W/H Disability Insurance</t>
  </si>
  <si>
    <t>20759300</t>
  </si>
  <si>
    <t>W/H Flex Spending</t>
  </si>
  <si>
    <t>20759330</t>
  </si>
  <si>
    <t>Employer Med Contributions</t>
  </si>
  <si>
    <t>20759335</t>
  </si>
  <si>
    <t>Pmts from Health Care Acct</t>
  </si>
  <si>
    <t>20759350</t>
  </si>
  <si>
    <t>W/H Health Insurance-EE</t>
  </si>
  <si>
    <t>20759355</t>
  </si>
  <si>
    <t>W/H Health Insurance-ER</t>
  </si>
  <si>
    <t>20759360</t>
  </si>
  <si>
    <t>Health Claims Paid</t>
  </si>
  <si>
    <t>20759361</t>
  </si>
  <si>
    <t>Health Claims Payable</t>
  </si>
  <si>
    <t>20759370</t>
  </si>
  <si>
    <t>Est Health Claims Incurred not Reported</t>
  </si>
  <si>
    <t>20759400</t>
  </si>
  <si>
    <t>W/H Garnished Wages</t>
  </si>
  <si>
    <t>20759500</t>
  </si>
  <si>
    <t>W/H Non Qualified Saving</t>
  </si>
  <si>
    <t>20759600</t>
  </si>
  <si>
    <t>W/H Supplemental Med Coveage</t>
  </si>
  <si>
    <t>20759700</t>
  </si>
  <si>
    <t>W/H United Way</t>
  </si>
  <si>
    <t>20759750</t>
  </si>
  <si>
    <t>W/H - 529 Plan</t>
  </si>
  <si>
    <t>20759800</t>
  </si>
  <si>
    <t>Disability Ins W/H</t>
  </si>
  <si>
    <t>20759810</t>
  </si>
  <si>
    <t>W/H STD</t>
  </si>
  <si>
    <t>20759820</t>
  </si>
  <si>
    <t>W/H Voluntary Life</t>
  </si>
  <si>
    <t>20759840</t>
  </si>
  <si>
    <t>W/H Emp Uniforms</t>
  </si>
  <si>
    <t>20759845</t>
  </si>
  <si>
    <t>W/H Emp Meals</t>
  </si>
  <si>
    <t>20759850</t>
  </si>
  <si>
    <t>WH Voluntary Life Ins</t>
  </si>
  <si>
    <t>20759900</t>
  </si>
  <si>
    <t>W/H Emp Misc</t>
  </si>
  <si>
    <t>20759999</t>
  </si>
  <si>
    <t>TOTAL WITHHOLDINGS</t>
  </si>
  <si>
    <t>20800000</t>
  </si>
  <si>
    <t>UNEMPLOYMENT PAYABLE</t>
  </si>
  <si>
    <t>20801000</t>
  </si>
  <si>
    <t>FUTA Payable</t>
  </si>
  <si>
    <t>20802000</t>
  </si>
  <si>
    <t>SUTA Payable</t>
  </si>
  <si>
    <t>20802100</t>
  </si>
  <si>
    <t>SUTA Payable-AL</t>
  </si>
  <si>
    <t>20802200</t>
  </si>
  <si>
    <t>SUTA Payable-FL</t>
  </si>
  <si>
    <t>20802300</t>
  </si>
  <si>
    <t>SUTA Payable-GA</t>
  </si>
  <si>
    <t>20802400</t>
  </si>
  <si>
    <t>SUTA Payable-NC</t>
  </si>
  <si>
    <t>20802500</t>
  </si>
  <si>
    <t>SUTA Payable-SC</t>
  </si>
  <si>
    <t>20802600</t>
  </si>
  <si>
    <t>SUTA Payable-TN</t>
  </si>
  <si>
    <t>20802700</t>
  </si>
  <si>
    <t>SUTA-Payable-TX</t>
  </si>
  <si>
    <t>20802800</t>
  </si>
  <si>
    <t>SUTA Payable-VA</t>
  </si>
  <si>
    <t>20809999</t>
  </si>
  <si>
    <t>TOTAL UNEMPLOYMENT PAYABLE</t>
  </si>
  <si>
    <t>20850000</t>
  </si>
  <si>
    <t>OTHER PAYROLL</t>
  </si>
  <si>
    <t>20851000</t>
  </si>
  <si>
    <t>401(k) Match</t>
  </si>
  <si>
    <t>20858000</t>
  </si>
  <si>
    <t>Prop Ins-Loss Reserve Payable 2012</t>
  </si>
  <si>
    <t>20858100</t>
  </si>
  <si>
    <t>Prop Ins-Loss Reserve Payable 2013</t>
  </si>
  <si>
    <t>20858105</t>
  </si>
  <si>
    <t>Prop Ins-Loss Reserve Payable 2014</t>
  </si>
  <si>
    <t>20858106</t>
  </si>
  <si>
    <t>Prop Ins-Loss Reserve Payable 2015</t>
  </si>
  <si>
    <t>20858110</t>
  </si>
  <si>
    <t>Prop Ins-Loss Reserve-Payable 2015</t>
  </si>
  <si>
    <t>20858115</t>
  </si>
  <si>
    <t>Prop Ins-Loss Reserve Payable 2016</t>
  </si>
  <si>
    <t>20858116</t>
  </si>
  <si>
    <t>Prop Ins-Loss Reserve Payable 2017</t>
  </si>
  <si>
    <t>20858117</t>
  </si>
  <si>
    <t>Prop Ins - Loss Reserve Payable 2018</t>
  </si>
  <si>
    <t>20858118</t>
  </si>
  <si>
    <t>Prop Ins - Loss Reserve Payable 2019</t>
  </si>
  <si>
    <t>20858119</t>
  </si>
  <si>
    <t>Prop Ins - Loss Reserve Payable 2020</t>
  </si>
  <si>
    <t>20858120</t>
  </si>
  <si>
    <t>Prop Ins - Loss Reserve Payable 2021</t>
  </si>
  <si>
    <t>20858121</t>
  </si>
  <si>
    <t>Prop Ins _ Loss Reserve Payable 2022</t>
  </si>
  <si>
    <t>20858122</t>
  </si>
  <si>
    <t>Prop Ins - Loss Reserve Payable 2023</t>
  </si>
  <si>
    <t>20858123</t>
  </si>
  <si>
    <t>Prop Ins - Loss Reserve Payable 2024</t>
  </si>
  <si>
    <t>20858500</t>
  </si>
  <si>
    <t>Bell Family Escrow-Fund IV Payable</t>
  </si>
  <si>
    <t>20858505</t>
  </si>
  <si>
    <t>Bell Family Escrow Payable - Fund V</t>
  </si>
  <si>
    <t>20859000</t>
  </si>
  <si>
    <t>Workers Comp Payable</t>
  </si>
  <si>
    <t>20859999</t>
  </si>
  <si>
    <t>TOTAL OTHER PAYROLL</t>
  </si>
  <si>
    <t>20899999</t>
  </si>
  <si>
    <t>TOTAL PAYROLL LIABILITY</t>
  </si>
  <si>
    <t xml:space="preserve"> Total Other Liabilities</t>
  </si>
  <si>
    <t>Other Long-Term Liabilities</t>
  </si>
  <si>
    <t>20900000</t>
  </si>
  <si>
    <t>OTHER LIABILITIES</t>
  </si>
  <si>
    <t>20901000</t>
  </si>
  <si>
    <t>Community Fee Deposit</t>
  </si>
  <si>
    <t>20901500</t>
  </si>
  <si>
    <t>Contingency ADA/HVAC</t>
  </si>
  <si>
    <t>20902000</t>
  </si>
  <si>
    <t>Contingent Liability-Geneva</t>
  </si>
  <si>
    <t>20902500</t>
  </si>
  <si>
    <t>Deferred Income</t>
  </si>
  <si>
    <t>20903000</t>
  </si>
  <si>
    <t>Deferred Install Sale Gain</t>
  </si>
  <si>
    <t>20903500</t>
  </si>
  <si>
    <t>Deferred Installment Sale</t>
  </si>
  <si>
    <t>20904000</t>
  </si>
  <si>
    <t>Deferred Management Fees</t>
  </si>
  <si>
    <t>20904100</t>
  </si>
  <si>
    <t>Deferred Asset Management Fees (Fund)</t>
  </si>
  <si>
    <t>20904500</t>
  </si>
  <si>
    <t>Deposits Held</t>
  </si>
  <si>
    <t>20905000</t>
  </si>
  <si>
    <t>Letter of Credit</t>
  </si>
  <si>
    <t>20905300</t>
  </si>
  <si>
    <t>Other Liabilities</t>
  </si>
  <si>
    <t>20905400</t>
  </si>
  <si>
    <t>A/P Prior Mgmt</t>
  </si>
  <si>
    <t>20906050</t>
  </si>
  <si>
    <t>Life Estate Liability</t>
  </si>
  <si>
    <t>20906070</t>
  </si>
  <si>
    <t>Ground Lease SL Liability</t>
  </si>
  <si>
    <t>20906100</t>
  </si>
  <si>
    <t>Held for Sale - Other Liabilities</t>
  </si>
  <si>
    <t>20906300</t>
  </si>
  <si>
    <t>Obligations under Capital Lease</t>
  </si>
  <si>
    <t>20906500</t>
  </si>
  <si>
    <t>Security Deposit Marketing</t>
  </si>
  <si>
    <t>20907000</t>
  </si>
  <si>
    <t>Security Deposit Payable</t>
  </si>
  <si>
    <t>20907010</t>
  </si>
  <si>
    <t>Sec Dep Payable - Remote/Card</t>
  </si>
  <si>
    <t>20907020</t>
  </si>
  <si>
    <t>Sec Dep Payable - Pet</t>
  </si>
  <si>
    <t>20907030</t>
  </si>
  <si>
    <t>Sec Dep Interest</t>
  </si>
  <si>
    <t>20907040</t>
  </si>
  <si>
    <t>Sec Dep Payable - Retail</t>
  </si>
  <si>
    <t>20907050</t>
  </si>
  <si>
    <t>HAP Clearing Account</t>
  </si>
  <si>
    <t>20907500</t>
  </si>
  <si>
    <t>W/H Non NC Owner Dist</t>
  </si>
  <si>
    <t>20908000</t>
  </si>
  <si>
    <t>Contributions Received in Advance</t>
  </si>
  <si>
    <t>20908051</t>
  </si>
  <si>
    <t>MHRR Bonds Current-Lees I (WREA)</t>
  </si>
  <si>
    <t>20908052</t>
  </si>
  <si>
    <t>MHRR Bonds Current-Lees III</t>
  </si>
  <si>
    <t>20908053</t>
  </si>
  <si>
    <t>Retainage Held (WREA)</t>
  </si>
  <si>
    <t>20908061</t>
  </si>
  <si>
    <t>MHRR Bonds-Lees I (WREA)</t>
  </si>
  <si>
    <t>20908062</t>
  </si>
  <si>
    <t>MHRR Bonds-Lees III (WREA)</t>
  </si>
  <si>
    <t>20908100</t>
  </si>
  <si>
    <t>Liability - Market Value - Hedging</t>
  </si>
  <si>
    <t>20908200</t>
  </si>
  <si>
    <t>Liability - Above Market Debt</t>
  </si>
  <si>
    <t>20908210</t>
  </si>
  <si>
    <t>Accum Amort- Above Market Debt</t>
  </si>
  <si>
    <t>20908220</t>
  </si>
  <si>
    <t>Mark to Market Adj WO</t>
  </si>
  <si>
    <t>20908230</t>
  </si>
  <si>
    <t>Acc Amort Mark to Market WO</t>
  </si>
  <si>
    <t>20909999</t>
  </si>
  <si>
    <t>TOTAL OTHER LIABILITIES</t>
  </si>
  <si>
    <t>20910000</t>
  </si>
  <si>
    <t>FUNDS HELD IN ESCROW</t>
  </si>
  <si>
    <t>20910100</t>
  </si>
  <si>
    <t>Escrow</t>
  </si>
  <si>
    <t>20910101</t>
  </si>
  <si>
    <t>Escrow - Flow through</t>
  </si>
  <si>
    <t>20910102</t>
  </si>
  <si>
    <t>Unclaimed - Wells Fargo</t>
  </si>
  <si>
    <t>20910302</t>
  </si>
  <si>
    <t>Escrow-North Main Place</t>
  </si>
  <si>
    <t>20910345</t>
  </si>
  <si>
    <t>Escrow-Brookvalley</t>
  </si>
  <si>
    <t>20910522</t>
  </si>
  <si>
    <t>Escrow-Alta Park</t>
  </si>
  <si>
    <t>20910535</t>
  </si>
  <si>
    <t>Escrow-Reserve at Oak Hill</t>
  </si>
  <si>
    <t>20910558</t>
  </si>
  <si>
    <t>Escrow-Bell Southpoint</t>
  </si>
  <si>
    <t>20910579</t>
  </si>
  <si>
    <t>Escrow-University Village</t>
  </si>
  <si>
    <t>20910589</t>
  </si>
  <si>
    <t>Escrow-Villas at Oak Crest</t>
  </si>
  <si>
    <t>20910591</t>
  </si>
  <si>
    <t>Escrow-Alta Reserve</t>
  </si>
  <si>
    <t>20910618</t>
  </si>
  <si>
    <t>Escrow-Unclaimed Prop-Carrington Cove</t>
  </si>
  <si>
    <t>20910635</t>
  </si>
  <si>
    <t>Escrow-Westmont Commons</t>
  </si>
  <si>
    <t>20910636</t>
  </si>
  <si>
    <t>Escrow-Dolphin Square</t>
  </si>
  <si>
    <t>20910670</t>
  </si>
  <si>
    <t>Escrow-Bell Bridge Mill</t>
  </si>
  <si>
    <t>20910682</t>
  </si>
  <si>
    <t>Escrow-Bell Alamance Crossing</t>
  </si>
  <si>
    <t>20910685</t>
  </si>
  <si>
    <t>Escrow-Bell Praire Point</t>
  </si>
  <si>
    <t>20910687</t>
  </si>
  <si>
    <t>Escrow-Lynnhaven North Shopping Ctr</t>
  </si>
  <si>
    <t>20910729</t>
  </si>
  <si>
    <t>Escrow-Barrington Terrace@Boynton Beach (possible lawsuit)</t>
  </si>
  <si>
    <t>20910870</t>
  </si>
  <si>
    <t>Escrow-University Plaza</t>
  </si>
  <si>
    <t>20910891</t>
  </si>
  <si>
    <t>Escrow-Haygood</t>
  </si>
  <si>
    <t>20910892</t>
  </si>
  <si>
    <t>Escrow-Bell Peachtree Battle</t>
  </si>
  <si>
    <t>20910924</t>
  </si>
  <si>
    <t>Escrow-Campus Quad</t>
  </si>
  <si>
    <t>20910933</t>
  </si>
  <si>
    <t>Escrow-Campus Walk</t>
  </si>
  <si>
    <t>20910936</t>
  </si>
  <si>
    <t>Escrow-Edgewood</t>
  </si>
  <si>
    <t>20910940</t>
  </si>
  <si>
    <t>Escrow-Alta Great Bridge</t>
  </si>
  <si>
    <t>20910944</t>
  </si>
  <si>
    <t>Escrow-Avendale</t>
  </si>
  <si>
    <t>20910945</t>
  </si>
  <si>
    <t>Escrow-Hillsboro</t>
  </si>
  <si>
    <t>20910946</t>
  </si>
  <si>
    <t>Escrow-Bell Biltmore</t>
  </si>
  <si>
    <t>20910947</t>
  </si>
  <si>
    <t>Escrow-Bell Windy Ridge</t>
  </si>
  <si>
    <t>20910961</t>
  </si>
  <si>
    <t>Escrow-Bridford</t>
  </si>
  <si>
    <t>20910970</t>
  </si>
  <si>
    <t>Escrow-Bell Preston Reserve</t>
  </si>
  <si>
    <t>20910971</t>
  </si>
  <si>
    <t>Escrow-Jamison</t>
  </si>
  <si>
    <t>20910972</t>
  </si>
  <si>
    <t>Escrow-Cotswold Rollup</t>
  </si>
  <si>
    <t>20911255</t>
  </si>
  <si>
    <t>Escrow - Channelside</t>
  </si>
  <si>
    <t>20911262</t>
  </si>
  <si>
    <t>Escrow-Bell Riverside</t>
  </si>
  <si>
    <t>20911269</t>
  </si>
  <si>
    <t>Escrow-Ranch House/Broadstone/Vingings @ Roper</t>
  </si>
  <si>
    <t>20914900</t>
  </si>
  <si>
    <t>Escrow-Southern Seven Wrangler III</t>
  </si>
  <si>
    <t>20915000</t>
  </si>
  <si>
    <t>Escrow-RREEF Portfolio</t>
  </si>
  <si>
    <t>20915100</t>
  </si>
  <si>
    <t>Escrow-Triple Net Portfolio</t>
  </si>
  <si>
    <t>20915200</t>
  </si>
  <si>
    <t>Escrow-Canton</t>
  </si>
  <si>
    <t>20915300</t>
  </si>
  <si>
    <t>Escrow-Prado</t>
  </si>
  <si>
    <t>20915400</t>
  </si>
  <si>
    <t>Escrow - Bell HNW Nashville Portfolio/Villas</t>
  </si>
  <si>
    <t>20915415</t>
  </si>
  <si>
    <t>Escrow - Woodland Park</t>
  </si>
  <si>
    <t>20915416</t>
  </si>
  <si>
    <t>ESCROW-BELL CAHABA</t>
  </si>
  <si>
    <t>20915417</t>
  </si>
  <si>
    <t>ESCROW - FAIRWAY KNOLL / TERAVISTA</t>
  </si>
  <si>
    <t>20915418</t>
  </si>
  <si>
    <t>Escrow-HNW Forest at Biltmore Exchange</t>
  </si>
  <si>
    <t>20915419</t>
  </si>
  <si>
    <t>Unclaimed Property-Bell Hillsboro Village</t>
  </si>
  <si>
    <t>20915420</t>
  </si>
  <si>
    <t>Unclaimed Property-Bell Meadowmont</t>
  </si>
  <si>
    <t>20915500</t>
  </si>
  <si>
    <t>Escrow - BSL Prorates</t>
  </si>
  <si>
    <t>20915501</t>
  </si>
  <si>
    <t>20915502</t>
  </si>
  <si>
    <t>Escrow-Unclaimed Prop-Alta Reserve</t>
  </si>
  <si>
    <t>20915503</t>
  </si>
  <si>
    <t>Escrow-Unclaimed Prop-Ashley River</t>
  </si>
  <si>
    <t>20915504</t>
  </si>
  <si>
    <t>Escrow-Unclaimed Prop-Barrington on the Green</t>
  </si>
  <si>
    <t>20915505</t>
  </si>
  <si>
    <t>Escrow-Unclaimed Prop-Barrington Terrace</t>
  </si>
  <si>
    <t>20915506</t>
  </si>
  <si>
    <t>Escrow-Unclaimed Prop-Cooper Hall</t>
  </si>
  <si>
    <t>20915507</t>
  </si>
  <si>
    <t>Escrow-Unclaimed Prop-Daniel Island</t>
  </si>
  <si>
    <t>20915508</t>
  </si>
  <si>
    <t>Escrow-Unclaimed Prop-Habersham House</t>
  </si>
  <si>
    <t>20915509</t>
  </si>
  <si>
    <t>Escrow-Unclaimed Prop-Homeplace of Burlington</t>
  </si>
  <si>
    <t>20915510</t>
  </si>
  <si>
    <t>Escrow-Unclaimed Prop-Homeplace of New Bern</t>
  </si>
  <si>
    <t>20915511</t>
  </si>
  <si>
    <t>Escrow-Unclaimed Prop-Lexington Manor</t>
  </si>
  <si>
    <t>20915512</t>
  </si>
  <si>
    <t>Escrow-Unclaimed Prop-McCarthly Court II</t>
  </si>
  <si>
    <t>20915513</t>
  </si>
  <si>
    <t>Escrow-Unclaimed Prop-Palms of St Lucie</t>
  </si>
  <si>
    <t>20915514</t>
  </si>
  <si>
    <t>Escrow-Unclaimed Prop-Parkwood Village</t>
  </si>
  <si>
    <t>20915515</t>
  </si>
  <si>
    <t>Escrow-Unclaimed Prop-Parkwood Village II</t>
  </si>
  <si>
    <t>20915516</t>
  </si>
  <si>
    <t>Escrow-Unclaimed Prop-Riviera Senior Living</t>
  </si>
  <si>
    <t>20915517</t>
  </si>
  <si>
    <t>Escrow-Unclaimed Prop-Seasons at Southpoint</t>
  </si>
  <si>
    <t>20915518</t>
  </si>
  <si>
    <t>Escrow-Unclaimed Prop-Seasons by Riviera</t>
  </si>
  <si>
    <t>20915519</t>
  </si>
  <si>
    <t>Escrow-Unclaimed Prop-Summit Place of Beaufort</t>
  </si>
  <si>
    <t>20915520</t>
  </si>
  <si>
    <t>Escrow-Unclaimed Prop-Summit Place of Kings Mtn</t>
  </si>
  <si>
    <t>20915521</t>
  </si>
  <si>
    <t>Escrow-Unclaimed Prop-Summit Place of Mooresville</t>
  </si>
  <si>
    <t>20915522</t>
  </si>
  <si>
    <t>Escrow-Unclaimed Prop-Talbot Park</t>
  </si>
  <si>
    <t>20915523</t>
  </si>
  <si>
    <t>Escrow-Unclaimed Property-Lake Spivey</t>
  </si>
  <si>
    <t>20915524</t>
  </si>
  <si>
    <t>Escrow-Unclaimed Property-Crescent Apts</t>
  </si>
  <si>
    <t>20915525</t>
  </si>
  <si>
    <t>Escrow-Unclaimed Property-BSL Payroll</t>
  </si>
  <si>
    <t>20915526</t>
  </si>
  <si>
    <t>Escrow-Unclaimed Prop-Palms of St. Lucie-Villas</t>
  </si>
  <si>
    <t>20915527</t>
  </si>
  <si>
    <t>Escrow-Unclaimed Prop-Beckanna</t>
  </si>
  <si>
    <t>20915528</t>
  </si>
  <si>
    <t>Escrow-Unclaimed Prop-Villas at Oak Crest</t>
  </si>
  <si>
    <t>20915529</t>
  </si>
  <si>
    <t>Escrow-Oak Hill</t>
  </si>
  <si>
    <t>20915530</t>
  </si>
  <si>
    <t>Escrow-Legacy Oaks</t>
  </si>
  <si>
    <t>20915531</t>
  </si>
  <si>
    <t>Escrow-Stillhouse</t>
  </si>
  <si>
    <t>20915532</t>
  </si>
  <si>
    <t>Escrow - Unclaimed Prop-Lake Brandt</t>
  </si>
  <si>
    <t>20915533</t>
  </si>
  <si>
    <t>Escrow-Unclaimed Prop-Bell Carlyle</t>
  </si>
  <si>
    <t>20915534</t>
  </si>
  <si>
    <t>Escrow-Bennington Tower</t>
  </si>
  <si>
    <t>20915535</t>
  </si>
  <si>
    <t>Unclaimed Property-Chace Lake</t>
  </si>
  <si>
    <t>20915536</t>
  </si>
  <si>
    <t>Unclaimed Property-Bell Summit</t>
  </si>
  <si>
    <t>20915537</t>
  </si>
  <si>
    <t>Unclaimed Property-Stratford</t>
  </si>
  <si>
    <t>20915538</t>
  </si>
  <si>
    <t>Unclaimed Property-Verandahs</t>
  </si>
  <si>
    <t>20915539</t>
  </si>
  <si>
    <t>Unclaimed Property-Bell Lenox Park</t>
  </si>
  <si>
    <t>20915540</t>
  </si>
  <si>
    <t>Unclaimed Property-Standifer</t>
  </si>
  <si>
    <t>20915541</t>
  </si>
  <si>
    <t>Palms Plaza - Escrow</t>
  </si>
  <si>
    <t>20915542</t>
  </si>
  <si>
    <t>Escrow - Rock Creek at Horizons</t>
  </si>
  <si>
    <t>20915543</t>
  </si>
  <si>
    <t>Escrow-Unclaimed Property-Brassfield</t>
  </si>
  <si>
    <t>20915544</t>
  </si>
  <si>
    <t>Escrow-Unclaimed Property-Bell Preston</t>
  </si>
  <si>
    <t>20915545</t>
  </si>
  <si>
    <t>Unclaimed Property-Bell Cahaba</t>
  </si>
  <si>
    <t>20915546</t>
  </si>
  <si>
    <t>Unclaimed Property - Bell Biltmore Forest</t>
  </si>
  <si>
    <t>20915547</t>
  </si>
  <si>
    <t>Unclaimed Property-Bell Maryville</t>
  </si>
  <si>
    <t>20915548</t>
  </si>
  <si>
    <t>Unclaimed Property-Bell Elkins Park</t>
  </si>
  <si>
    <t>20915549</t>
  </si>
  <si>
    <t>Unclaimed Property-Bell Peachtree Battle</t>
  </si>
  <si>
    <t>20915550</t>
  </si>
  <si>
    <t>BSL-Possible Lawsuit Funds</t>
  </si>
  <si>
    <t>20915551</t>
  </si>
  <si>
    <t>Unclaimed Property-Bell Prairie Point</t>
  </si>
  <si>
    <t>20915552</t>
  </si>
  <si>
    <t>Unclaimed Property-Ashley Grove</t>
  </si>
  <si>
    <t>20915553</t>
  </si>
  <si>
    <t>Unclaimed Property-Northwoods Townhomes</t>
  </si>
  <si>
    <t>20915554</t>
  </si>
  <si>
    <t>Unclaimed Property-Marquis at Mount Zion</t>
  </si>
  <si>
    <t>20915555</t>
  </si>
  <si>
    <t>Unclaimed Property-The Enclave</t>
  </si>
  <si>
    <t>20915556</t>
  </si>
  <si>
    <t>Unclaimed Property-Steeplechase</t>
  </si>
  <si>
    <t>20915557</t>
  </si>
  <si>
    <t>Unclaimed Property-Pleasant Valley Pointe</t>
  </si>
  <si>
    <t>20915558</t>
  </si>
  <si>
    <t>Unclaimed Property-Watergate</t>
  </si>
  <si>
    <t>20915559</t>
  </si>
  <si>
    <t>Unclaimed Property-Bell Morrison</t>
  </si>
  <si>
    <t>20915560</t>
  </si>
  <si>
    <t>Unclaimed Property-Riverwalk</t>
  </si>
  <si>
    <t>20915561</t>
  </si>
  <si>
    <t>Unclaimed Property-Governors Park</t>
  </si>
  <si>
    <t>20915562</t>
  </si>
  <si>
    <t>Unclaimed Property-Pleasant Ridge</t>
  </si>
  <si>
    <t>20915563</t>
  </si>
  <si>
    <t>Unclaimed Property-Park Forest</t>
  </si>
  <si>
    <t>20915564</t>
  </si>
  <si>
    <t>Unclaimed Property-Residences at Morgan Falls</t>
  </si>
  <si>
    <t>20917100</t>
  </si>
  <si>
    <t>20919999</t>
  </si>
  <si>
    <t>TOTAL FUNDS HELD IN ESCROW</t>
  </si>
  <si>
    <t>20999999</t>
  </si>
  <si>
    <t>TOTAL LONG TERM LIABILITIES</t>
  </si>
  <si>
    <t>29999999</t>
  </si>
  <si>
    <t>TOTAL LIABILITIES</t>
  </si>
  <si>
    <t xml:space="preserve"> Total Other Long Term Liabilities</t>
  </si>
  <si>
    <t>Total Long Term Liabilities</t>
  </si>
  <si>
    <t>Total Liabilities</t>
  </si>
  <si>
    <t>Owners Equity</t>
  </si>
  <si>
    <t>30000000</t>
  </si>
  <si>
    <t>OWNERS EQUITY</t>
  </si>
  <si>
    <t>30001000</t>
  </si>
  <si>
    <t>Capital Stock</t>
  </si>
  <si>
    <t>30009000</t>
  </si>
  <si>
    <t>Capital Account-CSC</t>
  </si>
  <si>
    <t>30101000</t>
  </si>
  <si>
    <t>Contributions</t>
  </si>
  <si>
    <t>30101001</t>
  </si>
  <si>
    <t>Capital - FLR Jr Revocable Trust</t>
  </si>
  <si>
    <t>30101002</t>
  </si>
  <si>
    <t>Capital - Inc/FLR Jr Revocable Trust</t>
  </si>
  <si>
    <t>30101003</t>
  </si>
  <si>
    <t>Capital - Robuck Homes</t>
  </si>
  <si>
    <t>30101004</t>
  </si>
  <si>
    <t>Capital - Inc/Robuck Homes</t>
  </si>
  <si>
    <t>30101006</t>
  </si>
  <si>
    <t>Capital - Philips Fam Lim P</t>
  </si>
  <si>
    <t>30101007</t>
  </si>
  <si>
    <t>Capital-Inc/Philips Fam</t>
  </si>
  <si>
    <t>30101008</t>
  </si>
  <si>
    <t>Capital - Benson Fam Ltd Pt</t>
  </si>
  <si>
    <t>30101009</t>
  </si>
  <si>
    <t>Capital-Inc/Benson Fam</t>
  </si>
  <si>
    <t>30101010</t>
  </si>
  <si>
    <t>Contrib Cap OP Loan Proceeds</t>
  </si>
  <si>
    <t>30101020</t>
  </si>
  <si>
    <t>Contrib Capital OP Capital Transactions</t>
  </si>
  <si>
    <t>30101100</t>
  </si>
  <si>
    <t>Contributions - Preferred</t>
  </si>
  <si>
    <t>30101200</t>
  </si>
  <si>
    <t>Additional Paid in Capital</t>
  </si>
  <si>
    <t>30101400</t>
  </si>
  <si>
    <t>Net Assets - Health Care Acct Only</t>
  </si>
  <si>
    <t>30101500</t>
  </si>
  <si>
    <t>Distribution Withholdings</t>
  </si>
  <si>
    <t>30101900</t>
  </si>
  <si>
    <t>Intercompany (Triple Net)</t>
  </si>
  <si>
    <t>30102000</t>
  </si>
  <si>
    <t>Minority Interest</t>
  </si>
  <si>
    <t>30151000</t>
  </si>
  <si>
    <t>Distributions</t>
  </si>
  <si>
    <t>30151100</t>
  </si>
  <si>
    <t>Distributions - Preferred</t>
  </si>
  <si>
    <t>30151500</t>
  </si>
  <si>
    <t>Distributions-Bell Group</t>
  </si>
  <si>
    <t>30151600</t>
  </si>
  <si>
    <t>Distributions-Institutional</t>
  </si>
  <si>
    <t>30152000</t>
  </si>
  <si>
    <t>Distributions-Refi</t>
  </si>
  <si>
    <t>30152500</t>
  </si>
  <si>
    <t>Distribution from Refi-Bell Group</t>
  </si>
  <si>
    <t>30152600</t>
  </si>
  <si>
    <t>Distributions from Refi-Institutional</t>
  </si>
  <si>
    <t>30153000</t>
  </si>
  <si>
    <t>Distribution-Return on Sale</t>
  </si>
  <si>
    <t>30153500</t>
  </si>
  <si>
    <t>Distribution-Rtrn on Sale-Bell Group</t>
  </si>
  <si>
    <t>30153600</t>
  </si>
  <si>
    <t>Distribution-Rtrn on Sale-Institutional</t>
  </si>
  <si>
    <t>30159000</t>
  </si>
  <si>
    <t>Distribution to Owner for Replacement Rsv</t>
  </si>
  <si>
    <t>30159900</t>
  </si>
  <si>
    <t>Stockholder Distribution</t>
  </si>
  <si>
    <t>30201500</t>
  </si>
  <si>
    <t>Equity - Bell Group</t>
  </si>
  <si>
    <t>30201600</t>
  </si>
  <si>
    <t>Equity - Institutional</t>
  </si>
  <si>
    <t>30201700</t>
  </si>
  <si>
    <t>Equity - Herbert Charfoos</t>
  </si>
  <si>
    <t>30201800</t>
  </si>
  <si>
    <t>Equity - Class - A Charfoos</t>
  </si>
  <si>
    <t>30201900</t>
  </si>
  <si>
    <t>Equity - Class - A New Investors</t>
  </si>
  <si>
    <t>30209900</t>
  </si>
  <si>
    <t>Equity Transfer</t>
  </si>
  <si>
    <t>30671000</t>
  </si>
  <si>
    <t>Contributed Capital</t>
  </si>
  <si>
    <t>30671100</t>
  </si>
  <si>
    <t>Contributed Capital-Additional</t>
  </si>
  <si>
    <t>30671150</t>
  </si>
  <si>
    <t>Contributed Capital - Internal</t>
  </si>
  <si>
    <t>30671160</t>
  </si>
  <si>
    <t>Contributed Capital-External</t>
  </si>
  <si>
    <t>30671200</t>
  </si>
  <si>
    <t>Distribution - Cashflow</t>
  </si>
  <si>
    <t>30671260</t>
  </si>
  <si>
    <t>Distributions Cashflow - External</t>
  </si>
  <si>
    <t>30671300</t>
  </si>
  <si>
    <t>Return on Capital-Preferred</t>
  </si>
  <si>
    <t>30671400</t>
  </si>
  <si>
    <t>Distribution - Return of Capital</t>
  </si>
  <si>
    <t>30671460</t>
  </si>
  <si>
    <t>Distribution - External Return of Capital</t>
  </si>
  <si>
    <t>30671470</t>
  </si>
  <si>
    <t>Distribution - External Excess Sale Proceeds</t>
  </si>
  <si>
    <t>30671500</t>
  </si>
  <si>
    <t>Return of Contributed Capital-Sale (Preferred)</t>
  </si>
  <si>
    <t>30671600</t>
  </si>
  <si>
    <t>Return of Contributed Capital</t>
  </si>
  <si>
    <t>30671650</t>
  </si>
  <si>
    <t>Return of Contributed Capital - Other</t>
  </si>
  <si>
    <t>30671700</t>
  </si>
  <si>
    <t>Distribution - Excess Sale Proceeds</t>
  </si>
  <si>
    <t>30671800</t>
  </si>
  <si>
    <t>Return of Contributed Capital (1031 Exchange)</t>
  </si>
  <si>
    <t>30671850</t>
  </si>
  <si>
    <t>Equity in Real Estate Cost</t>
  </si>
  <si>
    <t>30671900</t>
  </si>
  <si>
    <t>Equity Increasing-Market Value Adjustment</t>
  </si>
  <si>
    <t>30672000</t>
  </si>
  <si>
    <t>Investor Share of Loan Balance</t>
  </si>
  <si>
    <t>30672100</t>
  </si>
  <si>
    <t>Equity in Affiliates</t>
  </si>
  <si>
    <t>30672200</t>
  </si>
  <si>
    <t>Minority Interest in CS-Capital</t>
  </si>
  <si>
    <t>30672300</t>
  </si>
  <si>
    <t>Minority Interest in CS-Income Adjustment</t>
  </si>
  <si>
    <t>30673000</t>
  </si>
  <si>
    <t>Equity In Market Appreciation</t>
  </si>
  <si>
    <t>30674000</t>
  </si>
  <si>
    <t>Capital Balancing Account</t>
  </si>
  <si>
    <t>30679380</t>
  </si>
  <si>
    <t>Capital Holding (Fund Properties Only)</t>
  </si>
  <si>
    <t>30679999</t>
  </si>
  <si>
    <t>Rollup Balancing Account</t>
  </si>
  <si>
    <t>30801000</t>
  </si>
  <si>
    <t>Owners Account</t>
  </si>
  <si>
    <t>30808000</t>
  </si>
  <si>
    <t>Owners Account-Suspense</t>
  </si>
  <si>
    <t>30809000</t>
  </si>
  <si>
    <t>Due To/Due From Owner</t>
  </si>
  <si>
    <t>30901000</t>
  </si>
  <si>
    <t>Retained Earning-Current Yr</t>
  </si>
  <si>
    <t>30902000</t>
  </si>
  <si>
    <t>Retained Earnings Minority Int PY</t>
  </si>
  <si>
    <t>30909000</t>
  </si>
  <si>
    <t>Retained Earning-Prior Yr</t>
  </si>
  <si>
    <t>30909001</t>
  </si>
  <si>
    <t>Retained Earnings-Prior Year Adjustment</t>
  </si>
  <si>
    <t>30999999</t>
  </si>
  <si>
    <t>TOTAL OWNERS EQUITY</t>
  </si>
  <si>
    <t>33101130</t>
  </si>
  <si>
    <t>39999999</t>
  </si>
  <si>
    <t>TOTAL LIABILITIES &amp; OWNERS EQUITY</t>
  </si>
  <si>
    <t xml:space="preserve">  Total Owners Equity</t>
  </si>
  <si>
    <t>Total Liabilities &amp; Owners Equity</t>
  </si>
  <si>
    <t>Reconciliation - Accounting Use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</si>
</sst>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_);[Red]_(* \(#,##0\);_(* &quot;-&quot;??_);_(@_)"/>
  </numFmts>
  <fonts count="12"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theme="0"/>
      <name val="Tahoma"/>
      <family val="2"/>
    </font>
    <font>
      <b/>
      <sz val="12"/>
      <color rgb="FFFFFFFF"/>
      <name val="Tahoma"/>
      <family val="2"/>
    </font>
    <font>
      <sz val="12"/>
      <color rgb="FFFF0000"/>
      <name val="Tahoma"/>
      <family val="2"/>
    </font>
    <font>
      <b/>
      <sz val="12"/>
      <color rgb="FFFF0000"/>
      <name val="Tahoma"/>
      <family val="2"/>
    </font>
    <font>
      <b/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660066"/>
      <name val="Tahoma"/>
      <family val="2"/>
    </font>
    <font>
      <b/>
      <sz val="8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</cellStyleXfs>
  <cellXfs count="65">
    <xf numFmtId="0" fontId="0" fillId="0" borderId="0" xfId="0"/>
    <xf numFmtId="37" fontId="4" fillId="3" borderId="0" xfId="0" applyNumberFormat="1" applyFont="1" applyFill="1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49" fontId="1" fillId="2" borderId="0" xfId="0" applyNumberFormat="1" applyFont="1" applyFill="1"/>
    <xf numFmtId="164" fontId="1" fillId="2" borderId="0" xfId="4" quotePrefix="1" applyNumberFormat="1" applyFont="1" applyFill="1" applyAlignment="1"/>
    <xf numFmtId="164" fontId="1" fillId="2" borderId="0" xfId="4" applyNumberFormat="1" applyFont="1" applyFill="1" applyAlignment="1"/>
    <xf numFmtId="49" fontId="1" fillId="2" borderId="0" xfId="0" applyNumberFormat="1" applyFont="1" applyFill="1" applyAlignment="1">
      <alignment horizontal="right"/>
    </xf>
    <xf numFmtId="49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0" xfId="4" applyNumberFormat="1" applyFont="1" applyFill="1" applyAlignment="1">
      <alignment horizontal="center"/>
    </xf>
    <xf numFmtId="49" fontId="1" fillId="2" borderId="2" xfId="0" applyNumberFormat="1" applyFont="1" applyFill="1" applyBorder="1"/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4" applyNumberFormat="1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4" applyNumberFormat="1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4" applyNumberFormat="1" applyFont="1" applyAlignment="1"/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4" fontId="1" fillId="0" borderId="4" xfId="4" applyNumberFormat="1" applyFont="1" applyBorder="1" applyAlignment="1">
      <alignment horizontal="center"/>
    </xf>
    <xf numFmtId="164" fontId="1" fillId="0" borderId="4" xfId="4" applyNumberFormat="1" applyFont="1" applyBorder="1" applyAlignment="1"/>
    <xf numFmtId="164" fontId="1" fillId="0" borderId="5" xfId="4" applyNumberFormat="1" applyFont="1" applyBorder="1" applyAlignment="1"/>
    <xf numFmtId="0" fontId="3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64" fontId="1" fillId="0" borderId="7" xfId="4" applyNumberFormat="1" applyFont="1" applyBorder="1" applyAlignment="1">
      <alignment horizontal="left"/>
    </xf>
    <xf numFmtId="164" fontId="1" fillId="0" borderId="7" xfId="4" applyNumberFormat="1" applyFont="1" applyBorder="1" applyAlignment="1"/>
    <xf numFmtId="164" fontId="1" fillId="0" borderId="8" xfId="4" applyNumberFormat="1" applyFont="1" applyBorder="1" applyAlignment="1"/>
    <xf numFmtId="164" fontId="1" fillId="0" borderId="0" xfId="4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164" fontId="4" fillId="3" borderId="0" xfId="4" applyNumberFormat="1" applyFont="1" applyFill="1" applyAlignment="1">
      <alignment horizontal="center" vertical="center"/>
    </xf>
    <xf numFmtId="164" fontId="4" fillId="3" borderId="0" xfId="4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37" fontId="1" fillId="0" borderId="0" xfId="4" applyNumberFormat="1" applyFont="1" applyFill="1" applyBorder="1" applyAlignment="1">
      <alignment horizontal="left" indent="1"/>
    </xf>
    <xf numFmtId="37" fontId="1" fillId="0" borderId="0" xfId="0" applyNumberFormat="1" applyFont="1"/>
    <xf numFmtId="165" fontId="1" fillId="0" borderId="0" xfId="4" applyNumberFormat="1" applyFont="1" applyAlignment="1"/>
    <xf numFmtId="37" fontId="1" fillId="0" borderId="0" xfId="0" applyNumberFormat="1" applyFont="1" applyAlignment="1">
      <alignment horizontal="left" indent="2"/>
    </xf>
    <xf numFmtId="0" fontId="2" fillId="2" borderId="0" xfId="0" applyFont="1" applyFill="1" applyAlignment="1">
      <alignment horizontal="left"/>
    </xf>
    <xf numFmtId="37" fontId="2" fillId="0" borderId="0" xfId="0" applyNumberFormat="1" applyFont="1" applyAlignment="1">
      <alignment horizontal="left" indent="2"/>
    </xf>
    <xf numFmtId="37" fontId="2" fillId="0" borderId="0" xfId="0" applyNumberFormat="1" applyFont="1"/>
    <xf numFmtId="165" fontId="2" fillId="0" borderId="9" xfId="4" applyNumberFormat="1" applyFont="1" applyBorder="1" applyAlignment="1"/>
    <xf numFmtId="0" fontId="6" fillId="2" borderId="0" xfId="0" applyFont="1" applyFill="1" applyAlignment="1">
      <alignment horizontal="left"/>
    </xf>
    <xf numFmtId="37" fontId="2" fillId="0" borderId="0" xfId="0" applyNumberFormat="1" applyFont="1" applyAlignment="1">
      <alignment horizontal="left"/>
    </xf>
    <xf numFmtId="37" fontId="1" fillId="0" borderId="0" xfId="0" applyNumberFormat="1" applyFont="1" applyAlignment="1">
      <alignment horizontal="left" indent="1"/>
    </xf>
    <xf numFmtId="37" fontId="2" fillId="0" borderId="0" xfId="0" applyNumberFormat="1" applyFont="1" applyAlignment="1">
      <alignment horizontal="left" indent="1"/>
    </xf>
    <xf numFmtId="39" fontId="2" fillId="0" borderId="0" xfId="0" applyNumberFormat="1" applyFont="1"/>
    <xf numFmtId="165" fontId="1" fillId="0" borderId="0" xfId="4" applyNumberFormat="1" applyFont="1" applyBorder="1" applyAlignment="1"/>
    <xf numFmtId="39" fontId="1" fillId="0" borderId="0" xfId="0" applyNumberFormat="1" applyFont="1"/>
    <xf numFmtId="37" fontId="1" fillId="0" borderId="0" xfId="4" applyNumberFormat="1" applyFont="1" applyFill="1" applyBorder="1" applyAlignment="1">
      <alignment horizontal="left" indent="2"/>
    </xf>
    <xf numFmtId="0" fontId="7" fillId="2" borderId="0" xfId="0" applyFont="1" applyFill="1" applyAlignment="1">
      <alignment horizontal="left"/>
    </xf>
    <xf numFmtId="37" fontId="7" fillId="0" borderId="0" xfId="0" applyNumberFormat="1" applyFont="1" applyAlignment="1">
      <alignment horizontal="left" indent="1"/>
    </xf>
    <xf numFmtId="37" fontId="8" fillId="0" borderId="0" xfId="0" applyNumberFormat="1" applyFont="1"/>
    <xf numFmtId="165" fontId="2" fillId="0" borderId="10" xfId="4" applyNumberFormat="1" applyFont="1" applyBorder="1" applyAlignment="1"/>
    <xf numFmtId="37" fontId="1" fillId="0" borderId="0" xfId="0" applyNumberFormat="1" applyFont="1" applyAlignment="1">
      <alignment horizontal="left"/>
    </xf>
    <xf numFmtId="37" fontId="1" fillId="0" borderId="0" xfId="4" applyNumberFormat="1" applyFont="1" applyFill="1" applyBorder="1" applyAlignment="1"/>
    <xf numFmtId="164" fontId="2" fillId="0" borderId="0" xfId="4" applyNumberFormat="1" applyFont="1" applyFill="1" applyBorder="1" applyAlignment="1"/>
    <xf numFmtId="164" fontId="1" fillId="0" borderId="0" xfId="4" applyNumberFormat="1" applyFont="1" applyFill="1" applyBorder="1" applyAlignment="1">
      <alignment horizontal="left"/>
    </xf>
    <xf numFmtId="37" fontId="9" fillId="0" borderId="0" xfId="0" applyNumberFormat="1" applyFont="1"/>
    <xf numFmtId="164" fontId="1" fillId="0" borderId="0" xfId="4" applyNumberFormat="1" applyFont="1" applyFill="1" applyAlignment="1">
      <alignment horizontal="right"/>
    </xf>
    <xf numFmtId="164" fontId="1" fillId="0" borderId="0" xfId="4" applyNumberFormat="1" applyFont="1" applyFill="1" applyAlignme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644"/>
  <sheetViews>
    <sheetView tabSelected="1" zoomScale="70" zoomScaleNormal="70" zoomScaleSheetLayoutView="75" workbookViewId="0">
      <pane xSplit="1" ySplit="12" topLeftCell="B13" activePane="bottomRight" state="frozen"/>
      <selection pane="bottomRight" activeCell="B6" sqref="B6"/>
      <selection pane="bottomLeft" activeCell="A15" sqref="A15"/>
      <selection pane="topRight" activeCell="B1" sqref="B1"/>
    </sheetView>
  </sheetViews>
  <sheetFormatPr defaultColWidth="16" defaultRowHeight="15"/>
  <cols>
    <col min="1" max="1" width="36" style="5" hidden="1" customWidth="1"/>
    <col min="2" max="2" width="48.42578125" style="2" customWidth="1"/>
    <col min="3" max="3" width="1.42578125" style="2" customWidth="1"/>
    <col min="4" max="5" width="20.5703125" style="21" customWidth="1"/>
    <col min="6" max="6" width="20.28515625" style="21" customWidth="1"/>
    <col min="7" max="7" width="15.7109375" style="2" hidden="1" customWidth="1"/>
    <col min="8" max="257" width="16" style="2" customWidth="1"/>
    <col min="258" max="16384" width="16" style="2"/>
  </cols>
  <sheetData>
    <row r="1" spans="1:7" s="3" customFormat="1" hidden="1">
      <c r="A1" s="4" t="s">
        <v>0</v>
      </c>
      <c r="C1" s="5" t="s">
        <v>1</v>
      </c>
      <c r="D1" s="6" t="s">
        <v>2</v>
      </c>
      <c r="E1" s="6" t="s">
        <v>2</v>
      </c>
      <c r="F1" s="7"/>
      <c r="G1" s="3" t="s">
        <v>1</v>
      </c>
    </row>
    <row r="2" spans="1:7" s="3" customFormat="1" hidden="1">
      <c r="A2" s="4"/>
      <c r="B2" s="5" t="s">
        <v>3</v>
      </c>
      <c r="C2" s="3" t="s">
        <v>3</v>
      </c>
      <c r="D2" s="7"/>
      <c r="E2" s="7"/>
      <c r="F2" s="7"/>
    </row>
    <row r="3" spans="1:7" s="5" customFormat="1" hidden="1">
      <c r="A3" s="8"/>
      <c r="B3" s="5" t="s">
        <v>4</v>
      </c>
      <c r="C3" s="5" t="s">
        <v>4</v>
      </c>
      <c r="D3" s="7"/>
      <c r="E3" s="7"/>
      <c r="F3" s="7"/>
      <c r="G3" s="3"/>
    </row>
    <row r="4" spans="1:7" s="3" customFormat="1" hidden="1">
      <c r="A4" s="9" t="s">
        <v>5</v>
      </c>
      <c r="B4" s="10" t="s">
        <v>6</v>
      </c>
      <c r="C4" s="3" t="s">
        <v>7</v>
      </c>
      <c r="D4" s="11" t="s">
        <v>8</v>
      </c>
      <c r="E4" s="11"/>
      <c r="F4" s="7"/>
    </row>
    <row r="5" spans="1:7" s="3" customFormat="1" hidden="1">
      <c r="A5" s="12" t="s">
        <v>9</v>
      </c>
      <c r="B5" s="13" t="s">
        <v>10</v>
      </c>
      <c r="D5" s="7" t="e">
        <f>TEXT(MonthAdd($D$1,-MOD(MONTH($D$1)-1,3)),"mm/dd/yyyy")</f>
        <v>#NAME?</v>
      </c>
      <c r="E5" s="7" t="e">
        <f>TEXT(MonthAdd($E$1,-MOD(MONTH($E$1)-1,3)),"mm/dd/yyyy")</f>
        <v>#NAME?</v>
      </c>
      <c r="F5" s="7"/>
      <c r="G5" s="14" t="s">
        <v>5</v>
      </c>
    </row>
    <row r="6" spans="1:7">
      <c r="A6" s="5" t="s">
        <v>11</v>
      </c>
      <c r="B6" s="15" t="s">
        <v>12</v>
      </c>
      <c r="C6" s="15"/>
      <c r="D6" s="16"/>
      <c r="E6" s="16"/>
      <c r="F6" s="16"/>
      <c r="G6" s="17"/>
    </row>
    <row r="7" spans="1:7">
      <c r="A7" s="5" t="s">
        <v>11</v>
      </c>
      <c r="B7" s="18" t="s">
        <v>13</v>
      </c>
      <c r="C7" s="18"/>
      <c r="D7" s="19"/>
      <c r="E7" s="19"/>
      <c r="F7" s="19"/>
      <c r="G7" s="20"/>
    </row>
    <row r="8" spans="1:7" ht="15.75">
      <c r="G8" s="20"/>
    </row>
    <row r="9" spans="1:7">
      <c r="A9" s="3"/>
      <c r="B9" s="22" t="str">
        <f>+"Property: "&amp;B10</f>
        <v>Property: Highlands at Sweetwater Creek (p2122)</v>
      </c>
      <c r="C9" s="23"/>
      <c r="D9" s="24"/>
      <c r="E9" s="25"/>
      <c r="F9" s="26" t="s">
        <v>14</v>
      </c>
      <c r="G9" s="20"/>
    </row>
    <row r="10" spans="1:7" ht="15.75">
      <c r="B10" s="27" t="s">
        <v>15</v>
      </c>
      <c r="C10" s="28"/>
      <c r="D10" s="29"/>
      <c r="E10" s="30"/>
      <c r="F10" s="31" t="s">
        <v>16</v>
      </c>
      <c r="G10" s="20"/>
    </row>
    <row r="11" spans="1:7">
      <c r="B11" s="20"/>
      <c r="C11" s="20"/>
      <c r="D11" s="32"/>
      <c r="G11" s="20"/>
    </row>
    <row r="12" spans="1:7" ht="30">
      <c r="B12" s="33" t="s">
        <v>17</v>
      </c>
      <c r="C12" s="33"/>
      <c r="D12" s="34" t="s">
        <v>18</v>
      </c>
      <c r="E12" s="34" t="s">
        <v>19</v>
      </c>
      <c r="F12" s="35" t="s">
        <v>20</v>
      </c>
    </row>
    <row r="13" spans="1:7">
      <c r="G13" s="2">
        <v>1</v>
      </c>
    </row>
    <row r="14" spans="1:7">
      <c r="B14" s="15" t="s">
        <v>21</v>
      </c>
      <c r="G14" s="2">
        <f>G1688</f>
        <v>160087438.03999999</v>
      </c>
    </row>
    <row r="15" spans="1:7">
      <c r="B15" s="15"/>
      <c r="G15" s="2">
        <v>1</v>
      </c>
    </row>
    <row r="16" spans="1:7" hidden="1">
      <c r="B16" s="15" t="s">
        <v>22</v>
      </c>
      <c r="G16" s="2">
        <f>G429</f>
        <v>0</v>
      </c>
    </row>
    <row r="17" spans="1:7" hidden="1">
      <c r="B17" s="15"/>
      <c r="G17" s="2">
        <f>G16</f>
        <v>0</v>
      </c>
    </row>
    <row r="18" spans="1:7">
      <c r="A18" s="36"/>
      <c r="B18" s="15" t="s">
        <v>23</v>
      </c>
      <c r="G18" s="2">
        <f>G102</f>
        <v>421461.29</v>
      </c>
    </row>
    <row r="19" spans="1:7" hidden="1">
      <c r="A19" s="37"/>
      <c r="B19" s="38"/>
      <c r="C19" s="39"/>
      <c r="D19" s="40"/>
      <c r="E19" s="40"/>
      <c r="F19" s="40"/>
    </row>
    <row r="20" spans="1:7" hidden="1">
      <c r="A20" s="37" t="s">
        <v>24</v>
      </c>
      <c r="B20" s="38" t="s">
        <v>25</v>
      </c>
      <c r="C20" s="39"/>
      <c r="D20" s="40">
        <v>0</v>
      </c>
      <c r="E20" s="40">
        <v>0</v>
      </c>
      <c r="F20" s="40">
        <f>+D20-E20</f>
        <v>0</v>
      </c>
      <c r="G20" s="2">
        <f>+ABS(D20)+ABS(E20)</f>
        <v>0</v>
      </c>
    </row>
    <row r="21" spans="1:7" hidden="1">
      <c r="A21" s="37" t="s">
        <v>26</v>
      </c>
      <c r="B21" s="38" t="s">
        <v>27</v>
      </c>
      <c r="C21" s="39"/>
      <c r="D21" s="40">
        <v>0</v>
      </c>
      <c r="E21" s="40">
        <v>0</v>
      </c>
      <c r="F21" s="40">
        <f>+D21-E21</f>
        <v>0</v>
      </c>
      <c r="G21" s="2">
        <f>+ABS(D21)+ABS(E21)</f>
        <v>0</v>
      </c>
    </row>
    <row r="22" spans="1:7" hidden="1">
      <c r="A22" s="37" t="s">
        <v>28</v>
      </c>
      <c r="B22" s="38" t="s">
        <v>29</v>
      </c>
      <c r="C22" s="39"/>
      <c r="D22" s="40">
        <v>0</v>
      </c>
      <c r="E22" s="40">
        <v>0</v>
      </c>
      <c r="F22" s="40">
        <f>+D22-E22</f>
        <v>0</v>
      </c>
      <c r="G22" s="2">
        <f>+ABS(D22)+ABS(E22)</f>
        <v>0</v>
      </c>
    </row>
    <row r="23" spans="1:7" hidden="1">
      <c r="A23" s="37" t="s">
        <v>30</v>
      </c>
      <c r="B23" s="38" t="s">
        <v>31</v>
      </c>
      <c r="C23" s="39"/>
      <c r="D23" s="40">
        <v>0</v>
      </c>
      <c r="E23" s="40">
        <v>0</v>
      </c>
      <c r="F23" s="40">
        <f>+D23-E23</f>
        <v>0</v>
      </c>
      <c r="G23" s="2">
        <f>+ABS(D23)+ABS(E23)</f>
        <v>0</v>
      </c>
    </row>
    <row r="24" spans="1:7">
      <c r="A24" s="37" t="s">
        <v>32</v>
      </c>
      <c r="B24" s="38" t="s">
        <v>33</v>
      </c>
      <c r="C24" s="39"/>
      <c r="D24" s="40">
        <v>34334.080000000002</v>
      </c>
      <c r="E24" s="40">
        <v>202566.68</v>
      </c>
      <c r="F24" s="40">
        <f>+D24-E24</f>
        <v>-168232.6</v>
      </c>
      <c r="G24" s="2">
        <f>+ABS(D24)+ABS(E24)</f>
        <v>236900.76</v>
      </c>
    </row>
    <row r="25" spans="1:7" hidden="1">
      <c r="A25" s="37" t="s">
        <v>34</v>
      </c>
      <c r="B25" s="38" t="s">
        <v>35</v>
      </c>
      <c r="C25" s="39"/>
      <c r="D25" s="40">
        <v>0</v>
      </c>
      <c r="E25" s="40">
        <v>0</v>
      </c>
      <c r="F25" s="40">
        <f>+D25-E25</f>
        <v>0</v>
      </c>
      <c r="G25" s="2">
        <f>+ABS(D25)+ABS(E25)</f>
        <v>0</v>
      </c>
    </row>
    <row r="26" spans="1:7" hidden="1">
      <c r="A26" s="37" t="s">
        <v>36</v>
      </c>
      <c r="B26" s="38" t="s">
        <v>37</v>
      </c>
      <c r="C26" s="39"/>
      <c r="D26" s="40">
        <v>0</v>
      </c>
      <c r="E26" s="40">
        <v>0</v>
      </c>
      <c r="F26" s="40">
        <f>+D26-E26</f>
        <v>0</v>
      </c>
      <c r="G26" s="2">
        <f>+ABS(D26)+ABS(E26)</f>
        <v>0</v>
      </c>
    </row>
    <row r="27" spans="1:7" hidden="1">
      <c r="A27" s="37" t="s">
        <v>38</v>
      </c>
      <c r="B27" s="38" t="s">
        <v>39</v>
      </c>
      <c r="C27" s="39"/>
      <c r="D27" s="40">
        <v>0</v>
      </c>
      <c r="E27" s="40">
        <v>0</v>
      </c>
      <c r="F27" s="40">
        <f>+D27-E27</f>
        <v>0</v>
      </c>
      <c r="G27" s="2">
        <f>+ABS(D27)+ABS(E27)</f>
        <v>0</v>
      </c>
    </row>
    <row r="28" spans="1:7" hidden="1">
      <c r="A28" s="37" t="s">
        <v>40</v>
      </c>
      <c r="B28" s="38" t="s">
        <v>41</v>
      </c>
      <c r="C28" s="39"/>
      <c r="D28" s="40">
        <v>0</v>
      </c>
      <c r="E28" s="40">
        <v>0</v>
      </c>
      <c r="F28" s="40">
        <f>+D28-E28</f>
        <v>0</v>
      </c>
      <c r="G28" s="2">
        <f>+ABS(D28)+ABS(E28)</f>
        <v>0</v>
      </c>
    </row>
    <row r="29" spans="1:7" hidden="1">
      <c r="A29" s="37" t="s">
        <v>42</v>
      </c>
      <c r="B29" s="38" t="s">
        <v>43</v>
      </c>
      <c r="C29" s="39"/>
      <c r="D29" s="40">
        <v>0</v>
      </c>
      <c r="E29" s="40">
        <v>0</v>
      </c>
      <c r="F29" s="40">
        <f>+D29-E29</f>
        <v>0</v>
      </c>
      <c r="G29" s="2">
        <f>+ABS(D29)+ABS(E29)</f>
        <v>0</v>
      </c>
    </row>
    <row r="30" spans="1:7" hidden="1">
      <c r="A30" s="37" t="s">
        <v>44</v>
      </c>
      <c r="B30" s="38" t="s">
        <v>45</v>
      </c>
      <c r="C30" s="39"/>
      <c r="D30" s="40">
        <v>0</v>
      </c>
      <c r="E30" s="40">
        <v>0</v>
      </c>
      <c r="F30" s="40">
        <f>+D30-E30</f>
        <v>0</v>
      </c>
      <c r="G30" s="2">
        <f>+ABS(D30)+ABS(E30)</f>
        <v>0</v>
      </c>
    </row>
    <row r="31" spans="1:7" hidden="1">
      <c r="A31" s="37" t="s">
        <v>46</v>
      </c>
      <c r="B31" s="38" t="s">
        <v>47</v>
      </c>
      <c r="C31" s="39"/>
      <c r="D31" s="40">
        <v>0</v>
      </c>
      <c r="E31" s="40">
        <v>0</v>
      </c>
      <c r="F31" s="40">
        <f>+D31-E31</f>
        <v>0</v>
      </c>
      <c r="G31" s="2">
        <f>+ABS(D31)+ABS(E31)</f>
        <v>0</v>
      </c>
    </row>
    <row r="32" spans="1:7" hidden="1">
      <c r="A32" s="37" t="s">
        <v>48</v>
      </c>
      <c r="B32" s="38" t="s">
        <v>49</v>
      </c>
      <c r="C32" s="39"/>
      <c r="D32" s="40">
        <v>0</v>
      </c>
      <c r="E32" s="40">
        <v>0</v>
      </c>
      <c r="F32" s="40">
        <f>+D32-E32</f>
        <v>0</v>
      </c>
      <c r="G32" s="2">
        <f>+ABS(D32)+ABS(E32)</f>
        <v>0</v>
      </c>
    </row>
    <row r="33" spans="1:7" hidden="1">
      <c r="A33" s="37" t="s">
        <v>50</v>
      </c>
      <c r="B33" s="38" t="s">
        <v>51</v>
      </c>
      <c r="C33" s="39"/>
      <c r="D33" s="40">
        <v>0</v>
      </c>
      <c r="E33" s="40">
        <v>0</v>
      </c>
      <c r="F33" s="40">
        <f>+D33-E33</f>
        <v>0</v>
      </c>
      <c r="G33" s="2">
        <f>+ABS(D33)+ABS(E33)</f>
        <v>0</v>
      </c>
    </row>
    <row r="34" spans="1:7" hidden="1">
      <c r="A34" s="37" t="s">
        <v>52</v>
      </c>
      <c r="B34" s="38" t="s">
        <v>53</v>
      </c>
      <c r="C34" s="39"/>
      <c r="D34" s="40">
        <v>0</v>
      </c>
      <c r="E34" s="40">
        <v>0</v>
      </c>
      <c r="F34" s="40">
        <f>+D34-E34</f>
        <v>0</v>
      </c>
      <c r="G34" s="2">
        <f>+ABS(D34)+ABS(E34)</f>
        <v>0</v>
      </c>
    </row>
    <row r="35" spans="1:7" hidden="1">
      <c r="A35" s="37" t="s">
        <v>54</v>
      </c>
      <c r="B35" s="38" t="s">
        <v>55</v>
      </c>
      <c r="C35" s="39"/>
      <c r="D35" s="40">
        <v>0</v>
      </c>
      <c r="E35" s="40">
        <v>0</v>
      </c>
      <c r="F35" s="40">
        <f>+D35-E35</f>
        <v>0</v>
      </c>
      <c r="G35" s="2">
        <f>+ABS(D35)+ABS(E35)</f>
        <v>0</v>
      </c>
    </row>
    <row r="36" spans="1:7" hidden="1">
      <c r="A36" s="37" t="s">
        <v>56</v>
      </c>
      <c r="B36" s="38" t="s">
        <v>57</v>
      </c>
      <c r="C36" s="39"/>
      <c r="D36" s="40">
        <v>0</v>
      </c>
      <c r="E36" s="40">
        <v>0</v>
      </c>
      <c r="F36" s="40">
        <f>+D36-E36</f>
        <v>0</v>
      </c>
      <c r="G36" s="2">
        <f>+ABS(D36)+ABS(E36)</f>
        <v>0</v>
      </c>
    </row>
    <row r="37" spans="1:7" hidden="1">
      <c r="A37" s="37" t="s">
        <v>58</v>
      </c>
      <c r="B37" s="38" t="s">
        <v>59</v>
      </c>
      <c r="C37" s="39"/>
      <c r="D37" s="40">
        <v>0</v>
      </c>
      <c r="E37" s="40">
        <v>0</v>
      </c>
      <c r="F37" s="40">
        <f>+D37-E37</f>
        <v>0</v>
      </c>
      <c r="G37" s="2">
        <f>+ABS(D37)+ABS(E37)</f>
        <v>0</v>
      </c>
    </row>
    <row r="38" spans="1:7" hidden="1">
      <c r="A38" s="37" t="s">
        <v>60</v>
      </c>
      <c r="B38" s="38" t="s">
        <v>61</v>
      </c>
      <c r="C38" s="39"/>
      <c r="D38" s="40">
        <v>0</v>
      </c>
      <c r="E38" s="40">
        <v>0</v>
      </c>
      <c r="F38" s="40">
        <f>+D38-E38</f>
        <v>0</v>
      </c>
      <c r="G38" s="2">
        <f>+ABS(D38)+ABS(E38)</f>
        <v>0</v>
      </c>
    </row>
    <row r="39" spans="1:7" hidden="1">
      <c r="A39" s="37" t="s">
        <v>62</v>
      </c>
      <c r="B39" s="38" t="s">
        <v>63</v>
      </c>
      <c r="C39" s="39"/>
      <c r="D39" s="40">
        <v>0</v>
      </c>
      <c r="E39" s="40">
        <v>0</v>
      </c>
      <c r="F39" s="40">
        <f>+D39-E39</f>
        <v>0</v>
      </c>
      <c r="G39" s="2">
        <f>+ABS(D39)+ABS(E39)</f>
        <v>0</v>
      </c>
    </row>
    <row r="40" spans="1:7" hidden="1">
      <c r="A40" s="37" t="s">
        <v>64</v>
      </c>
      <c r="B40" s="38" t="s">
        <v>65</v>
      </c>
      <c r="C40" s="39"/>
      <c r="D40" s="40">
        <v>0</v>
      </c>
      <c r="E40" s="40">
        <v>0</v>
      </c>
      <c r="F40" s="40">
        <f>+D40-E40</f>
        <v>0</v>
      </c>
      <c r="G40" s="2">
        <f>+ABS(D40)+ABS(E40)</f>
        <v>0</v>
      </c>
    </row>
    <row r="41" spans="1:7" hidden="1">
      <c r="A41" s="37" t="s">
        <v>66</v>
      </c>
      <c r="B41" s="38" t="s">
        <v>67</v>
      </c>
      <c r="C41" s="39"/>
      <c r="D41" s="40">
        <v>0</v>
      </c>
      <c r="E41" s="40">
        <v>0</v>
      </c>
      <c r="F41" s="40">
        <f>+D41-E41</f>
        <v>0</v>
      </c>
      <c r="G41" s="2">
        <f>+ABS(D41)+ABS(E41)</f>
        <v>0</v>
      </c>
    </row>
    <row r="42" spans="1:7" hidden="1">
      <c r="A42" s="37" t="s">
        <v>68</v>
      </c>
      <c r="B42" s="38" t="s">
        <v>69</v>
      </c>
      <c r="C42" s="39"/>
      <c r="D42" s="40">
        <v>0</v>
      </c>
      <c r="E42" s="40">
        <v>0</v>
      </c>
      <c r="F42" s="40">
        <f>+D42-E42</f>
        <v>0</v>
      </c>
      <c r="G42" s="2">
        <f>+ABS(D42)+ABS(E42)</f>
        <v>0</v>
      </c>
    </row>
    <row r="43" spans="1:7" hidden="1">
      <c r="A43" s="37" t="s">
        <v>70</v>
      </c>
      <c r="B43" s="38" t="s">
        <v>71</v>
      </c>
      <c r="C43" s="39"/>
      <c r="D43" s="40">
        <v>0</v>
      </c>
      <c r="E43" s="40">
        <v>0</v>
      </c>
      <c r="F43" s="40">
        <f>+D43-E43</f>
        <v>0</v>
      </c>
      <c r="G43" s="2">
        <f>+ABS(D43)+ABS(E43)</f>
        <v>0</v>
      </c>
    </row>
    <row r="44" spans="1:7" hidden="1">
      <c r="A44" s="37" t="s">
        <v>72</v>
      </c>
      <c r="B44" s="38" t="s">
        <v>73</v>
      </c>
      <c r="C44" s="39"/>
      <c r="D44" s="40">
        <v>0</v>
      </c>
      <c r="E44" s="40">
        <v>0</v>
      </c>
      <c r="F44" s="40">
        <f>+D44-E44</f>
        <v>0</v>
      </c>
      <c r="G44" s="2">
        <f>+ABS(D44)+ABS(E44)</f>
        <v>0</v>
      </c>
    </row>
    <row r="45" spans="1:7" hidden="1">
      <c r="A45" s="37" t="s">
        <v>74</v>
      </c>
      <c r="B45" s="38" t="s">
        <v>75</v>
      </c>
      <c r="C45" s="39"/>
      <c r="D45" s="40">
        <v>0</v>
      </c>
      <c r="E45" s="40">
        <v>0</v>
      </c>
      <c r="F45" s="40">
        <f>+D45-E45</f>
        <v>0</v>
      </c>
      <c r="G45" s="2">
        <f>+ABS(D45)+ABS(E45)</f>
        <v>0</v>
      </c>
    </row>
    <row r="46" spans="1:7" hidden="1">
      <c r="A46" s="37" t="s">
        <v>76</v>
      </c>
      <c r="B46" s="38" t="s">
        <v>77</v>
      </c>
      <c r="C46" s="39"/>
      <c r="D46" s="40">
        <v>0</v>
      </c>
      <c r="E46" s="40">
        <v>0</v>
      </c>
      <c r="F46" s="40">
        <f>+D46-E46</f>
        <v>0</v>
      </c>
      <c r="G46" s="2">
        <f>+ABS(D46)+ABS(E46)</f>
        <v>0</v>
      </c>
    </row>
    <row r="47" spans="1:7" hidden="1">
      <c r="A47" s="37" t="s">
        <v>78</v>
      </c>
      <c r="B47" s="38" t="s">
        <v>79</v>
      </c>
      <c r="C47" s="39"/>
      <c r="D47" s="40">
        <v>0</v>
      </c>
      <c r="E47" s="40">
        <v>0</v>
      </c>
      <c r="F47" s="40">
        <f>+D47-E47</f>
        <v>0</v>
      </c>
      <c r="G47" s="2">
        <f>+ABS(D47)+ABS(E47)</f>
        <v>0</v>
      </c>
    </row>
    <row r="48" spans="1:7" hidden="1">
      <c r="A48" s="37" t="s">
        <v>80</v>
      </c>
      <c r="B48" s="38" t="s">
        <v>81</v>
      </c>
      <c r="C48" s="39"/>
      <c r="D48" s="40">
        <v>0</v>
      </c>
      <c r="E48" s="40">
        <v>0</v>
      </c>
      <c r="F48" s="40">
        <f>+D48-E48</f>
        <v>0</v>
      </c>
      <c r="G48" s="2">
        <f>+ABS(D48)+ABS(E48)</f>
        <v>0</v>
      </c>
    </row>
    <row r="49" spans="1:7" hidden="1">
      <c r="A49" s="37" t="s">
        <v>82</v>
      </c>
      <c r="B49" s="38" t="s">
        <v>83</v>
      </c>
      <c r="C49" s="39"/>
      <c r="D49" s="40">
        <v>0</v>
      </c>
      <c r="E49" s="40">
        <v>0</v>
      </c>
      <c r="F49" s="40">
        <f>+D49-E49</f>
        <v>0</v>
      </c>
      <c r="G49" s="2">
        <f>+ABS(D49)+ABS(E49)</f>
        <v>0</v>
      </c>
    </row>
    <row r="50" spans="1:7" hidden="1">
      <c r="A50" s="37" t="s">
        <v>84</v>
      </c>
      <c r="B50" s="38" t="s">
        <v>85</v>
      </c>
      <c r="C50" s="39"/>
      <c r="D50" s="40">
        <v>0</v>
      </c>
      <c r="E50" s="40">
        <v>0</v>
      </c>
      <c r="F50" s="40">
        <f>+D50-E50</f>
        <v>0</v>
      </c>
      <c r="G50" s="2">
        <f>+ABS(D50)+ABS(E50)</f>
        <v>0</v>
      </c>
    </row>
    <row r="51" spans="1:7" hidden="1">
      <c r="A51" s="37" t="s">
        <v>86</v>
      </c>
      <c r="B51" s="38" t="s">
        <v>87</v>
      </c>
      <c r="C51" s="39"/>
      <c r="D51" s="40">
        <v>0</v>
      </c>
      <c r="E51" s="40">
        <v>0</v>
      </c>
      <c r="F51" s="40">
        <f>+D51-E51</f>
        <v>0</v>
      </c>
      <c r="G51" s="2">
        <f>+ABS(D51)+ABS(E51)</f>
        <v>0</v>
      </c>
    </row>
    <row r="52" spans="1:7" hidden="1">
      <c r="A52" s="37" t="s">
        <v>88</v>
      </c>
      <c r="B52" s="38" t="s">
        <v>89</v>
      </c>
      <c r="C52" s="39"/>
      <c r="D52" s="40">
        <v>0</v>
      </c>
      <c r="E52" s="40">
        <v>0</v>
      </c>
      <c r="F52" s="40">
        <f>+D52-E52</f>
        <v>0</v>
      </c>
      <c r="G52" s="2">
        <f>+ABS(D52)+ABS(E52)</f>
        <v>0</v>
      </c>
    </row>
    <row r="53" spans="1:7" hidden="1">
      <c r="A53" s="37" t="s">
        <v>90</v>
      </c>
      <c r="B53" s="38" t="s">
        <v>91</v>
      </c>
      <c r="C53" s="39"/>
      <c r="D53" s="40">
        <v>0</v>
      </c>
      <c r="E53" s="40">
        <v>0</v>
      </c>
      <c r="F53" s="40">
        <f>+D53-E53</f>
        <v>0</v>
      </c>
      <c r="G53" s="2">
        <f>+ABS(D53)+ABS(E53)</f>
        <v>0</v>
      </c>
    </row>
    <row r="54" spans="1:7" hidden="1">
      <c r="A54" s="37" t="s">
        <v>92</v>
      </c>
      <c r="B54" s="38" t="s">
        <v>93</v>
      </c>
      <c r="C54" s="39"/>
      <c r="D54" s="40">
        <v>0</v>
      </c>
      <c r="E54" s="40">
        <v>0</v>
      </c>
      <c r="F54" s="40">
        <f>+D54-E54</f>
        <v>0</v>
      </c>
      <c r="G54" s="2">
        <f>+ABS(D54)+ABS(E54)</f>
        <v>0</v>
      </c>
    </row>
    <row r="55" spans="1:7" hidden="1">
      <c r="A55" s="37" t="s">
        <v>94</v>
      </c>
      <c r="B55" s="38" t="s">
        <v>95</v>
      </c>
      <c r="C55" s="39"/>
      <c r="D55" s="40">
        <v>0</v>
      </c>
      <c r="E55" s="40">
        <v>0</v>
      </c>
      <c r="F55" s="40">
        <f>+D55-E55</f>
        <v>0</v>
      </c>
      <c r="G55" s="2">
        <f>+ABS(D55)+ABS(E55)</f>
        <v>0</v>
      </c>
    </row>
    <row r="56" spans="1:7" hidden="1">
      <c r="A56" s="37" t="s">
        <v>96</v>
      </c>
      <c r="B56" s="38" t="s">
        <v>97</v>
      </c>
      <c r="C56" s="39"/>
      <c r="D56" s="40">
        <v>0</v>
      </c>
      <c r="E56" s="40">
        <v>0</v>
      </c>
      <c r="F56" s="40">
        <f>+D56-E56</f>
        <v>0</v>
      </c>
      <c r="G56" s="2">
        <f>+ABS(D56)+ABS(E56)</f>
        <v>0</v>
      </c>
    </row>
    <row r="57" spans="1:7" hidden="1">
      <c r="A57" s="37" t="s">
        <v>98</v>
      </c>
      <c r="B57" s="38" t="s">
        <v>99</v>
      </c>
      <c r="C57" s="39"/>
      <c r="D57" s="40">
        <v>0</v>
      </c>
      <c r="E57" s="40">
        <v>0</v>
      </c>
      <c r="F57" s="40">
        <f>+D57-E57</f>
        <v>0</v>
      </c>
      <c r="G57" s="2">
        <f>+ABS(D57)+ABS(E57)</f>
        <v>0</v>
      </c>
    </row>
    <row r="58" spans="1:7" hidden="1">
      <c r="A58" s="37" t="s">
        <v>100</v>
      </c>
      <c r="B58" s="38" t="s">
        <v>101</v>
      </c>
      <c r="C58" s="39"/>
      <c r="D58" s="40">
        <v>0</v>
      </c>
      <c r="E58" s="40">
        <v>0</v>
      </c>
      <c r="F58" s="40">
        <f>+D58-E58</f>
        <v>0</v>
      </c>
      <c r="G58" s="2">
        <f>+ABS(D58)+ABS(E58)</f>
        <v>0</v>
      </c>
    </row>
    <row r="59" spans="1:7" hidden="1">
      <c r="A59" s="37" t="s">
        <v>102</v>
      </c>
      <c r="B59" s="38" t="s">
        <v>103</v>
      </c>
      <c r="C59" s="39"/>
      <c r="D59" s="40">
        <v>0</v>
      </c>
      <c r="E59" s="40">
        <v>0</v>
      </c>
      <c r="F59" s="40">
        <f>+D59-E59</f>
        <v>0</v>
      </c>
      <c r="G59" s="2">
        <f>+ABS(D59)+ABS(E59)</f>
        <v>0</v>
      </c>
    </row>
    <row r="60" spans="1:7">
      <c r="A60" s="37" t="s">
        <v>104</v>
      </c>
      <c r="B60" s="38" t="s">
        <v>105</v>
      </c>
      <c r="C60" s="39"/>
      <c r="D60" s="40">
        <v>119401.34</v>
      </c>
      <c r="E60" s="40">
        <v>65159.19</v>
      </c>
      <c r="F60" s="40">
        <f>+D60-E60</f>
        <v>54242.15</v>
      </c>
      <c r="G60" s="2">
        <f>+ABS(D60)+ABS(E60)</f>
        <v>184560.53</v>
      </c>
    </row>
    <row r="61" spans="1:7" hidden="1">
      <c r="A61" s="37" t="s">
        <v>106</v>
      </c>
      <c r="B61" s="38" t="s">
        <v>107</v>
      </c>
      <c r="C61" s="39"/>
      <c r="D61" s="40">
        <v>0</v>
      </c>
      <c r="E61" s="40">
        <v>0</v>
      </c>
      <c r="F61" s="40">
        <f>+D61-E61</f>
        <v>0</v>
      </c>
      <c r="G61" s="2">
        <f>+ABS(D61)+ABS(E61)</f>
        <v>0</v>
      </c>
    </row>
    <row r="62" spans="1:7" hidden="1">
      <c r="A62" s="37" t="s">
        <v>108</v>
      </c>
      <c r="B62" s="38" t="s">
        <v>109</v>
      </c>
      <c r="C62" s="39"/>
      <c r="D62" s="40">
        <v>0</v>
      </c>
      <c r="E62" s="40">
        <v>0</v>
      </c>
      <c r="F62" s="40">
        <f>+D62-E62</f>
        <v>0</v>
      </c>
      <c r="G62" s="2">
        <f>+ABS(D62)+ABS(E62)</f>
        <v>0</v>
      </c>
    </row>
    <row r="63" spans="1:7" hidden="1">
      <c r="A63" s="37" t="s">
        <v>110</v>
      </c>
      <c r="B63" s="38" t="s">
        <v>111</v>
      </c>
      <c r="C63" s="39"/>
      <c r="D63" s="40">
        <v>0</v>
      </c>
      <c r="E63" s="40">
        <v>0</v>
      </c>
      <c r="F63" s="40">
        <f>+D63-E63</f>
        <v>0</v>
      </c>
      <c r="G63" s="2">
        <f>+ABS(D63)+ABS(E63)</f>
        <v>0</v>
      </c>
    </row>
    <row r="64" spans="1:7" hidden="1">
      <c r="A64" s="37" t="s">
        <v>112</v>
      </c>
      <c r="B64" s="38" t="s">
        <v>113</v>
      </c>
      <c r="C64" s="39"/>
      <c r="D64" s="40">
        <v>0</v>
      </c>
      <c r="E64" s="40">
        <v>0</v>
      </c>
      <c r="F64" s="40">
        <f>+D64-E64</f>
        <v>0</v>
      </c>
      <c r="G64" s="2">
        <f>+ABS(D64)+ABS(E64)</f>
        <v>0</v>
      </c>
    </row>
    <row r="65" spans="1:7" hidden="1">
      <c r="A65" s="37" t="s">
        <v>114</v>
      </c>
      <c r="B65" s="38" t="s">
        <v>115</v>
      </c>
      <c r="C65" s="39"/>
      <c r="D65" s="40">
        <v>0</v>
      </c>
      <c r="E65" s="40">
        <v>0</v>
      </c>
      <c r="F65" s="40">
        <f>+D65-E65</f>
        <v>0</v>
      </c>
      <c r="G65" s="2">
        <f>+ABS(D65)+ABS(E65)</f>
        <v>0</v>
      </c>
    </row>
    <row r="66" spans="1:7" hidden="1">
      <c r="A66" s="37" t="s">
        <v>116</v>
      </c>
      <c r="B66" s="38" t="s">
        <v>117</v>
      </c>
      <c r="C66" s="39"/>
      <c r="D66" s="40">
        <v>0</v>
      </c>
      <c r="E66" s="40">
        <v>0</v>
      </c>
      <c r="F66" s="40">
        <f>+D66-E66</f>
        <v>0</v>
      </c>
      <c r="G66" s="2">
        <f>+ABS(D66)+ABS(E66)</f>
        <v>0</v>
      </c>
    </row>
    <row r="67" spans="1:7" hidden="1">
      <c r="A67" s="37" t="s">
        <v>118</v>
      </c>
      <c r="B67" s="38" t="s">
        <v>119</v>
      </c>
      <c r="C67" s="39"/>
      <c r="D67" s="40">
        <v>0</v>
      </c>
      <c r="E67" s="40">
        <v>0</v>
      </c>
      <c r="F67" s="40">
        <f>+D67-E67</f>
        <v>0</v>
      </c>
      <c r="G67" s="2">
        <f>+ABS(D67)+ABS(E67)</f>
        <v>0</v>
      </c>
    </row>
    <row r="68" spans="1:7" hidden="1">
      <c r="A68" s="37" t="s">
        <v>120</v>
      </c>
      <c r="B68" s="38" t="s">
        <v>121</v>
      </c>
      <c r="C68" s="39"/>
      <c r="D68" s="40">
        <v>0</v>
      </c>
      <c r="E68" s="40">
        <v>0</v>
      </c>
      <c r="F68" s="40">
        <f>+D68-E68</f>
        <v>0</v>
      </c>
      <c r="G68" s="2">
        <f>+ABS(D68)+ABS(E68)</f>
        <v>0</v>
      </c>
    </row>
    <row r="69" spans="1:7" hidden="1">
      <c r="A69" s="37" t="s">
        <v>122</v>
      </c>
      <c r="B69" s="38" t="s">
        <v>123</v>
      </c>
      <c r="C69" s="39"/>
      <c r="D69" s="40">
        <v>0</v>
      </c>
      <c r="E69" s="40">
        <v>0</v>
      </c>
      <c r="F69" s="40">
        <f>+D69-E69</f>
        <v>0</v>
      </c>
      <c r="G69" s="2">
        <f>+ABS(D69)+ABS(E69)</f>
        <v>0</v>
      </c>
    </row>
    <row r="70" spans="1:7" hidden="1">
      <c r="A70" s="37" t="s">
        <v>124</v>
      </c>
      <c r="B70" s="38" t="s">
        <v>125</v>
      </c>
      <c r="C70" s="39"/>
      <c r="D70" s="40">
        <v>0</v>
      </c>
      <c r="E70" s="40">
        <v>0</v>
      </c>
      <c r="F70" s="40">
        <f>+D70-E70</f>
        <v>0</v>
      </c>
      <c r="G70" s="2">
        <f>+ABS(D70)+ABS(E70)</f>
        <v>0</v>
      </c>
    </row>
    <row r="71" spans="1:7" hidden="1">
      <c r="A71" s="37" t="s">
        <v>126</v>
      </c>
      <c r="B71" s="38" t="s">
        <v>127</v>
      </c>
      <c r="C71" s="39"/>
      <c r="D71" s="40">
        <v>0</v>
      </c>
      <c r="E71" s="40">
        <v>0</v>
      </c>
      <c r="F71" s="40">
        <f>+D71-E71</f>
        <v>0</v>
      </c>
      <c r="G71" s="2">
        <f>+ABS(D71)+ABS(E71)</f>
        <v>0</v>
      </c>
    </row>
    <row r="72" spans="1:7" hidden="1">
      <c r="A72" s="37" t="s">
        <v>128</v>
      </c>
      <c r="B72" s="38" t="s">
        <v>129</v>
      </c>
      <c r="C72" s="39"/>
      <c r="D72" s="40">
        <v>0</v>
      </c>
      <c r="E72" s="40">
        <v>0</v>
      </c>
      <c r="F72" s="40">
        <f>+D72-E72</f>
        <v>0</v>
      </c>
      <c r="G72" s="2">
        <f>+ABS(D72)+ABS(E72)</f>
        <v>0</v>
      </c>
    </row>
    <row r="73" spans="1:7" hidden="1">
      <c r="A73" s="37" t="s">
        <v>130</v>
      </c>
      <c r="B73" s="38" t="s">
        <v>131</v>
      </c>
      <c r="C73" s="39"/>
      <c r="D73" s="40">
        <v>0</v>
      </c>
      <c r="E73" s="40">
        <v>0</v>
      </c>
      <c r="F73" s="40">
        <f>+D73-E73</f>
        <v>0</v>
      </c>
      <c r="G73" s="2">
        <f>+ABS(D73)+ABS(E73)</f>
        <v>0</v>
      </c>
    </row>
    <row r="74" spans="1:7" hidden="1">
      <c r="A74" s="37" t="s">
        <v>132</v>
      </c>
      <c r="B74" s="38" t="s">
        <v>133</v>
      </c>
      <c r="C74" s="39"/>
      <c r="D74" s="40">
        <v>0</v>
      </c>
      <c r="E74" s="40">
        <v>0</v>
      </c>
      <c r="F74" s="40">
        <f>+D74-E74</f>
        <v>0</v>
      </c>
      <c r="G74" s="2">
        <f>+ABS(D74)+ABS(E74)</f>
        <v>0</v>
      </c>
    </row>
    <row r="75" spans="1:7" hidden="1">
      <c r="A75" s="37" t="s">
        <v>134</v>
      </c>
      <c r="B75" s="38" t="s">
        <v>135</v>
      </c>
      <c r="C75" s="39"/>
      <c r="D75" s="40">
        <v>0</v>
      </c>
      <c r="E75" s="40">
        <v>0</v>
      </c>
      <c r="F75" s="40">
        <f>+D75-E75</f>
        <v>0</v>
      </c>
      <c r="G75" s="2">
        <f>+ABS(D75)+ABS(E75)</f>
        <v>0</v>
      </c>
    </row>
    <row r="76" spans="1:7" hidden="1">
      <c r="A76" s="37" t="s">
        <v>136</v>
      </c>
      <c r="B76" s="38" t="s">
        <v>137</v>
      </c>
      <c r="C76" s="39"/>
      <c r="D76" s="40">
        <v>0</v>
      </c>
      <c r="E76" s="40">
        <v>0</v>
      </c>
      <c r="F76" s="40">
        <f>+D76-E76</f>
        <v>0</v>
      </c>
      <c r="G76" s="2">
        <f>+ABS(D76)+ABS(E76)</f>
        <v>0</v>
      </c>
    </row>
    <row r="77" spans="1:7" hidden="1">
      <c r="A77" s="37" t="s">
        <v>138</v>
      </c>
      <c r="B77" s="38" t="s">
        <v>139</v>
      </c>
      <c r="C77" s="39"/>
      <c r="D77" s="40">
        <v>0</v>
      </c>
      <c r="E77" s="40">
        <v>0</v>
      </c>
      <c r="F77" s="40">
        <f>+D77-E77</f>
        <v>0</v>
      </c>
      <c r="G77" s="2">
        <f>+ABS(D77)+ABS(E77)</f>
        <v>0</v>
      </c>
    </row>
    <row r="78" spans="1:7" hidden="1">
      <c r="A78" s="37" t="s">
        <v>140</v>
      </c>
      <c r="B78" s="38" t="s">
        <v>141</v>
      </c>
      <c r="C78" s="39"/>
      <c r="D78" s="40">
        <v>0</v>
      </c>
      <c r="E78" s="40">
        <v>0</v>
      </c>
      <c r="F78" s="40">
        <f>+D78-E78</f>
        <v>0</v>
      </c>
      <c r="G78" s="2">
        <f>+ABS(D78)+ABS(E78)</f>
        <v>0</v>
      </c>
    </row>
    <row r="79" spans="1:7" hidden="1">
      <c r="A79" s="37" t="s">
        <v>142</v>
      </c>
      <c r="B79" s="38" t="s">
        <v>143</v>
      </c>
      <c r="C79" s="39"/>
      <c r="D79" s="40">
        <v>0</v>
      </c>
      <c r="E79" s="40">
        <v>0</v>
      </c>
      <c r="F79" s="40">
        <f>+D79-E79</f>
        <v>0</v>
      </c>
      <c r="G79" s="2">
        <f>+ABS(D79)+ABS(E79)</f>
        <v>0</v>
      </c>
    </row>
    <row r="80" spans="1:7" hidden="1">
      <c r="A80" s="37" t="s">
        <v>144</v>
      </c>
      <c r="B80" s="38" t="s">
        <v>145</v>
      </c>
      <c r="C80" s="39"/>
      <c r="D80" s="40">
        <v>0</v>
      </c>
      <c r="E80" s="40">
        <v>0</v>
      </c>
      <c r="F80" s="40">
        <f>+D80-E80</f>
        <v>0</v>
      </c>
      <c r="G80" s="2">
        <f>+ABS(D80)+ABS(E80)</f>
        <v>0</v>
      </c>
    </row>
    <row r="81" spans="1:7" hidden="1">
      <c r="A81" s="37" t="s">
        <v>146</v>
      </c>
      <c r="B81" s="38" t="s">
        <v>147</v>
      </c>
      <c r="C81" s="39"/>
      <c r="D81" s="40">
        <v>0</v>
      </c>
      <c r="E81" s="40">
        <v>0</v>
      </c>
      <c r="F81" s="40">
        <f>+D81-E81</f>
        <v>0</v>
      </c>
      <c r="G81" s="2">
        <f>+ABS(D81)+ABS(E81)</f>
        <v>0</v>
      </c>
    </row>
    <row r="82" spans="1:7" hidden="1">
      <c r="A82" s="37" t="s">
        <v>148</v>
      </c>
      <c r="B82" s="38" t="s">
        <v>149</v>
      </c>
      <c r="C82" s="39"/>
      <c r="D82" s="40">
        <v>0</v>
      </c>
      <c r="E82" s="40">
        <v>0</v>
      </c>
      <c r="F82" s="40">
        <f>+D82-E82</f>
        <v>0</v>
      </c>
      <c r="G82" s="2">
        <f>+ABS(D82)+ABS(E82)</f>
        <v>0</v>
      </c>
    </row>
    <row r="83" spans="1:7" hidden="1">
      <c r="A83" s="37" t="s">
        <v>150</v>
      </c>
      <c r="B83" s="38" t="s">
        <v>151</v>
      </c>
      <c r="C83" s="39"/>
      <c r="D83" s="40">
        <v>0</v>
      </c>
      <c r="E83" s="40">
        <v>0</v>
      </c>
      <c r="F83" s="40">
        <f>+D83-E83</f>
        <v>0</v>
      </c>
      <c r="G83" s="2">
        <f>+ABS(D83)+ABS(E83)</f>
        <v>0</v>
      </c>
    </row>
    <row r="84" spans="1:7" hidden="1">
      <c r="A84" s="37" t="s">
        <v>152</v>
      </c>
      <c r="B84" s="38" t="s">
        <v>153</v>
      </c>
      <c r="C84" s="39"/>
      <c r="D84" s="40">
        <v>0</v>
      </c>
      <c r="E84" s="40">
        <v>0</v>
      </c>
      <c r="F84" s="40">
        <f>+D84-E84</f>
        <v>0</v>
      </c>
      <c r="G84" s="2">
        <f>+ABS(D84)+ABS(E84)</f>
        <v>0</v>
      </c>
    </row>
    <row r="85" spans="1:7" hidden="1">
      <c r="A85" s="37" t="s">
        <v>154</v>
      </c>
      <c r="B85" s="38" t="s">
        <v>155</v>
      </c>
      <c r="C85" s="39"/>
      <c r="D85" s="40">
        <v>0</v>
      </c>
      <c r="E85" s="40">
        <v>0</v>
      </c>
      <c r="F85" s="40">
        <f>+D85-E85</f>
        <v>0</v>
      </c>
      <c r="G85" s="2">
        <f>+ABS(D85)+ABS(E85)</f>
        <v>0</v>
      </c>
    </row>
    <row r="86" spans="1:7" hidden="1">
      <c r="A86" s="37" t="s">
        <v>156</v>
      </c>
      <c r="B86" s="38" t="s">
        <v>157</v>
      </c>
      <c r="C86" s="39"/>
      <c r="D86" s="40">
        <v>0</v>
      </c>
      <c r="E86" s="40">
        <v>0</v>
      </c>
      <c r="F86" s="40">
        <f>+D86-E86</f>
        <v>0</v>
      </c>
      <c r="G86" s="2">
        <f>+ABS(D86)+ABS(E86)</f>
        <v>0</v>
      </c>
    </row>
    <row r="87" spans="1:7" hidden="1">
      <c r="A87" s="37" t="s">
        <v>158</v>
      </c>
      <c r="B87" s="38" t="s">
        <v>159</v>
      </c>
      <c r="C87" s="39"/>
      <c r="D87" s="40">
        <v>0</v>
      </c>
      <c r="E87" s="40">
        <v>0</v>
      </c>
      <c r="F87" s="40">
        <f>+D87-E87</f>
        <v>0</v>
      </c>
      <c r="G87" s="2">
        <f>+ABS(D87)+ABS(E87)</f>
        <v>0</v>
      </c>
    </row>
    <row r="88" spans="1:7" hidden="1">
      <c r="A88" s="37" t="s">
        <v>160</v>
      </c>
      <c r="B88" s="38" t="s">
        <v>161</v>
      </c>
      <c r="C88" s="39"/>
      <c r="D88" s="40">
        <v>0</v>
      </c>
      <c r="E88" s="40">
        <v>0</v>
      </c>
      <c r="F88" s="40">
        <f>+D88-E88</f>
        <v>0</v>
      </c>
      <c r="G88" s="2">
        <f>+ABS(D88)+ABS(E88)</f>
        <v>0</v>
      </c>
    </row>
    <row r="89" spans="1:7" hidden="1">
      <c r="A89" s="37" t="s">
        <v>162</v>
      </c>
      <c r="B89" s="38" t="s">
        <v>163</v>
      </c>
      <c r="C89" s="39"/>
      <c r="D89" s="40">
        <v>0</v>
      </c>
      <c r="E89" s="40">
        <v>0</v>
      </c>
      <c r="F89" s="40">
        <f>+D89-E89</f>
        <v>0</v>
      </c>
      <c r="G89" s="2">
        <f>+ABS(D89)+ABS(E89)</f>
        <v>0</v>
      </c>
    </row>
    <row r="90" spans="1:7" hidden="1">
      <c r="A90" s="37" t="s">
        <v>164</v>
      </c>
      <c r="B90" s="38" t="s">
        <v>163</v>
      </c>
      <c r="C90" s="39"/>
      <c r="D90" s="40">
        <v>0</v>
      </c>
      <c r="E90" s="40">
        <v>0</v>
      </c>
      <c r="F90" s="40">
        <f>+D90-E90</f>
        <v>0</v>
      </c>
      <c r="G90" s="2">
        <f>+ABS(D90)+ABS(E90)</f>
        <v>0</v>
      </c>
    </row>
    <row r="91" spans="1:7" hidden="1">
      <c r="A91" s="37" t="s">
        <v>165</v>
      </c>
      <c r="B91" s="38" t="s">
        <v>166</v>
      </c>
      <c r="C91" s="39"/>
      <c r="D91" s="40">
        <v>0</v>
      </c>
      <c r="E91" s="40">
        <v>0</v>
      </c>
      <c r="F91" s="40">
        <f>+D91-E91</f>
        <v>0</v>
      </c>
      <c r="G91" s="2">
        <f>+ABS(D91)+ABS(E91)</f>
        <v>0</v>
      </c>
    </row>
    <row r="92" spans="1:7" hidden="1">
      <c r="A92" s="37" t="s">
        <v>167</v>
      </c>
      <c r="B92" s="38" t="s">
        <v>168</v>
      </c>
      <c r="C92" s="39"/>
      <c r="D92" s="40">
        <v>0</v>
      </c>
      <c r="E92" s="40">
        <v>0</v>
      </c>
      <c r="F92" s="40">
        <f>+D92-E92</f>
        <v>0</v>
      </c>
      <c r="G92" s="2">
        <f>+ABS(D92)+ABS(E92)</f>
        <v>0</v>
      </c>
    </row>
    <row r="93" spans="1:7" hidden="1">
      <c r="A93" s="37" t="s">
        <v>169</v>
      </c>
      <c r="B93" s="38" t="s">
        <v>170</v>
      </c>
      <c r="C93" s="39"/>
      <c r="D93" s="40">
        <v>0</v>
      </c>
      <c r="E93" s="40">
        <v>0</v>
      </c>
      <c r="F93" s="40">
        <f>+D93-E93</f>
        <v>0</v>
      </c>
      <c r="G93" s="2">
        <f>+ABS(D93)+ABS(E93)</f>
        <v>0</v>
      </c>
    </row>
    <row r="94" spans="1:7" hidden="1">
      <c r="A94" s="37" t="s">
        <v>171</v>
      </c>
      <c r="B94" s="38" t="s">
        <v>172</v>
      </c>
      <c r="C94" s="39"/>
      <c r="D94" s="40">
        <v>0</v>
      </c>
      <c r="E94" s="40">
        <v>0</v>
      </c>
      <c r="F94" s="40">
        <f>+D94-E94</f>
        <v>0</v>
      </c>
      <c r="G94" s="2">
        <f>+ABS(D94)+ABS(E94)</f>
        <v>0</v>
      </c>
    </row>
    <row r="95" spans="1:7" hidden="1">
      <c r="A95" s="37" t="s">
        <v>173</v>
      </c>
      <c r="B95" s="38" t="s">
        <v>174</v>
      </c>
      <c r="C95" s="39"/>
      <c r="D95" s="40">
        <v>0</v>
      </c>
      <c r="E95" s="40">
        <v>0</v>
      </c>
      <c r="F95" s="40">
        <f>+D95-E95</f>
        <v>0</v>
      </c>
      <c r="G95" s="2">
        <f>+ABS(D95)+ABS(E95)</f>
        <v>0</v>
      </c>
    </row>
    <row r="96" spans="1:7" hidden="1">
      <c r="A96" s="37" t="s">
        <v>175</v>
      </c>
      <c r="B96" s="38" t="s">
        <v>176</v>
      </c>
      <c r="C96" s="39"/>
      <c r="D96" s="40">
        <v>0</v>
      </c>
      <c r="E96" s="40">
        <v>0</v>
      </c>
      <c r="F96" s="40">
        <f>+D96-E96</f>
        <v>0</v>
      </c>
      <c r="G96" s="2">
        <f>+ABS(D96)+ABS(E96)</f>
        <v>0</v>
      </c>
    </row>
    <row r="97" spans="1:7" hidden="1">
      <c r="A97" s="37" t="s">
        <v>177</v>
      </c>
      <c r="B97" s="38" t="s">
        <v>178</v>
      </c>
      <c r="C97" s="39"/>
      <c r="D97" s="40">
        <v>0</v>
      </c>
      <c r="E97" s="40">
        <v>0</v>
      </c>
      <c r="F97" s="40">
        <f>+D97-E97</f>
        <v>0</v>
      </c>
      <c r="G97" s="2">
        <f>+ABS(D97)+ABS(E97)</f>
        <v>0</v>
      </c>
    </row>
    <row r="98" spans="1:7" hidden="1">
      <c r="A98" s="37" t="s">
        <v>179</v>
      </c>
      <c r="B98" s="38" t="s">
        <v>178</v>
      </c>
      <c r="C98" s="39"/>
      <c r="D98" s="40">
        <v>0</v>
      </c>
      <c r="E98" s="40">
        <v>0</v>
      </c>
      <c r="F98" s="40">
        <f>+D98-E98</f>
        <v>0</v>
      </c>
      <c r="G98" s="2">
        <f>+ABS(D98)+ABS(E98)</f>
        <v>0</v>
      </c>
    </row>
    <row r="99" spans="1:7" hidden="1">
      <c r="A99" s="37" t="s">
        <v>180</v>
      </c>
      <c r="B99" s="38" t="s">
        <v>181</v>
      </c>
      <c r="C99" s="39"/>
      <c r="D99" s="40">
        <v>0</v>
      </c>
      <c r="E99" s="40">
        <v>0</v>
      </c>
      <c r="F99" s="40">
        <f>+D99-E99</f>
        <v>0</v>
      </c>
      <c r="G99" s="2">
        <f>+ABS(D99)+ABS(E99)</f>
        <v>0</v>
      </c>
    </row>
    <row r="100" spans="1:7" hidden="1">
      <c r="A100" s="37" t="s">
        <v>182</v>
      </c>
      <c r="B100" s="38" t="s">
        <v>183</v>
      </c>
      <c r="C100" s="39"/>
      <c r="D100" s="40">
        <v>0</v>
      </c>
      <c r="E100" s="40">
        <v>0</v>
      </c>
      <c r="F100" s="40">
        <f>+D100-E100</f>
        <v>0</v>
      </c>
      <c r="G100" s="2">
        <f>+ABS(D100)+ABS(E100)</f>
        <v>0</v>
      </c>
    </row>
    <row r="101" spans="1:7">
      <c r="A101" s="37"/>
      <c r="B101" s="41"/>
      <c r="C101" s="39"/>
      <c r="D101" s="40"/>
      <c r="E101" s="40"/>
      <c r="F101" s="40"/>
      <c r="G101" s="2">
        <f>+G102</f>
        <v>421461.29</v>
      </c>
    </row>
    <row r="102" spans="1:7" s="15" customFormat="1">
      <c r="A102" s="42" t="s">
        <v>11</v>
      </c>
      <c r="B102" s="43" t="s">
        <v>184</v>
      </c>
      <c r="C102" s="44"/>
      <c r="D102" s="45">
        <f>SUM(D19:D101)</f>
        <v>153735.42000000001</v>
      </c>
      <c r="E102" s="45">
        <f>SUM(E19:E101)</f>
        <v>267725.87</v>
      </c>
      <c r="F102" s="45">
        <f>+D102-E102</f>
        <v>-113990.45</v>
      </c>
      <c r="G102" s="2">
        <f>+ABS(D102)+ABS(E102)</f>
        <v>421461.29</v>
      </c>
    </row>
    <row r="103" spans="1:7">
      <c r="A103" s="42"/>
      <c r="B103" s="44"/>
      <c r="C103" s="39"/>
      <c r="D103" s="40"/>
      <c r="E103" s="40"/>
      <c r="F103" s="40"/>
      <c r="G103" s="2">
        <f>G102</f>
        <v>421461.29</v>
      </c>
    </row>
    <row r="104" spans="1:7" s="15" customFormat="1">
      <c r="A104" s="46" t="s">
        <v>11</v>
      </c>
      <c r="B104" s="47" t="s">
        <v>185</v>
      </c>
      <c r="C104" s="44"/>
      <c r="D104" s="40"/>
      <c r="E104" s="40"/>
      <c r="F104" s="40"/>
      <c r="G104" s="2">
        <f>G165</f>
        <v>2329934.4500000002</v>
      </c>
    </row>
    <row r="105" spans="1:7" hidden="1">
      <c r="A105" s="37"/>
      <c r="B105" s="38"/>
      <c r="C105" s="39"/>
      <c r="D105" s="40"/>
      <c r="E105" s="40"/>
      <c r="F105" s="40"/>
    </row>
    <row r="106" spans="1:7" hidden="1">
      <c r="A106" s="37" t="s">
        <v>186</v>
      </c>
      <c r="B106" s="38" t="s">
        <v>187</v>
      </c>
      <c r="C106" s="39"/>
      <c r="D106" s="40">
        <v>0</v>
      </c>
      <c r="E106" s="40">
        <v>0</v>
      </c>
      <c r="F106" s="40">
        <f>+D106-E106</f>
        <v>0</v>
      </c>
      <c r="G106" s="2">
        <f>+ABS(D106)+ABS(E106)</f>
        <v>0</v>
      </c>
    </row>
    <row r="107" spans="1:7">
      <c r="A107" s="37" t="s">
        <v>188</v>
      </c>
      <c r="B107" s="38" t="s">
        <v>189</v>
      </c>
      <c r="C107" s="39"/>
      <c r="D107" s="40">
        <v>62000</v>
      </c>
      <c r="E107" s="40">
        <v>62000</v>
      </c>
      <c r="F107" s="40">
        <f>+D107-E107</f>
        <v>0</v>
      </c>
      <c r="G107" s="2">
        <f>+ABS(D107)+ABS(E107)</f>
        <v>124000</v>
      </c>
    </row>
    <row r="108" spans="1:7" hidden="1">
      <c r="A108" s="37" t="s">
        <v>190</v>
      </c>
      <c r="B108" s="38" t="s">
        <v>191</v>
      </c>
      <c r="C108" s="39"/>
      <c r="D108" s="40">
        <v>0</v>
      </c>
      <c r="E108" s="40">
        <v>0</v>
      </c>
      <c r="F108" s="40">
        <f>+D108-E108</f>
        <v>0</v>
      </c>
      <c r="G108" s="2">
        <f>+ABS(D108)+ABS(E108)</f>
        <v>0</v>
      </c>
    </row>
    <row r="109" spans="1:7" hidden="1">
      <c r="A109" s="37" t="s">
        <v>192</v>
      </c>
      <c r="B109" s="38" t="s">
        <v>193</v>
      </c>
      <c r="C109" s="39"/>
      <c r="D109" s="40">
        <v>0</v>
      </c>
      <c r="E109" s="40">
        <v>0</v>
      </c>
      <c r="F109" s="40">
        <f>+D109-E109</f>
        <v>0</v>
      </c>
      <c r="G109" s="2">
        <f>+ABS(D109)+ABS(E109)</f>
        <v>0</v>
      </c>
    </row>
    <row r="110" spans="1:7" hidden="1">
      <c r="A110" s="37" t="s">
        <v>194</v>
      </c>
      <c r="B110" s="38" t="s">
        <v>195</v>
      </c>
      <c r="C110" s="39"/>
      <c r="D110" s="40">
        <v>0</v>
      </c>
      <c r="E110" s="40">
        <v>0</v>
      </c>
      <c r="F110" s="40">
        <f>+D110-E110</f>
        <v>0</v>
      </c>
      <c r="G110" s="2">
        <f>+ABS(D110)+ABS(E110)</f>
        <v>0</v>
      </c>
    </row>
    <row r="111" spans="1:7" hidden="1">
      <c r="A111" s="37" t="s">
        <v>196</v>
      </c>
      <c r="B111" s="38" t="s">
        <v>197</v>
      </c>
      <c r="C111" s="39"/>
      <c r="D111" s="40">
        <v>0</v>
      </c>
      <c r="E111" s="40">
        <v>0</v>
      </c>
      <c r="F111" s="40">
        <f>+D111-E111</f>
        <v>0</v>
      </c>
      <c r="G111" s="2">
        <f>+ABS(D111)+ABS(E111)</f>
        <v>0</v>
      </c>
    </row>
    <row r="112" spans="1:7" hidden="1">
      <c r="A112" s="37" t="s">
        <v>198</v>
      </c>
      <c r="B112" s="38" t="s">
        <v>199</v>
      </c>
      <c r="C112" s="39"/>
      <c r="D112" s="40">
        <v>0</v>
      </c>
      <c r="E112" s="40">
        <v>0</v>
      </c>
      <c r="F112" s="40">
        <f>+D112-E112</f>
        <v>0</v>
      </c>
      <c r="G112" s="2">
        <f>+ABS(D112)+ABS(E112)</f>
        <v>0</v>
      </c>
    </row>
    <row r="113" spans="1:7" hidden="1">
      <c r="A113" s="37" t="s">
        <v>200</v>
      </c>
      <c r="B113" s="38" t="s">
        <v>201</v>
      </c>
      <c r="C113" s="39"/>
      <c r="D113" s="40">
        <v>0</v>
      </c>
      <c r="E113" s="40">
        <v>0</v>
      </c>
      <c r="F113" s="40">
        <f>+D113-E113</f>
        <v>0</v>
      </c>
      <c r="G113" s="2">
        <f>+ABS(D113)+ABS(E113)</f>
        <v>0</v>
      </c>
    </row>
    <row r="114" spans="1:7" hidden="1">
      <c r="A114" s="37" t="s">
        <v>202</v>
      </c>
      <c r="B114" s="38" t="s">
        <v>203</v>
      </c>
      <c r="C114" s="39"/>
      <c r="D114" s="40">
        <v>0</v>
      </c>
      <c r="E114" s="40">
        <v>0</v>
      </c>
      <c r="F114" s="40">
        <f>+D114-E114</f>
        <v>0</v>
      </c>
      <c r="G114" s="2">
        <f>+ABS(D114)+ABS(E114)</f>
        <v>0</v>
      </c>
    </row>
    <row r="115" spans="1:7" hidden="1">
      <c r="A115" s="37" t="s">
        <v>204</v>
      </c>
      <c r="B115" s="38" t="s">
        <v>205</v>
      </c>
      <c r="C115" s="39"/>
      <c r="D115" s="40">
        <v>0</v>
      </c>
      <c r="E115" s="40">
        <v>0</v>
      </c>
      <c r="F115" s="40">
        <f>+D115-E115</f>
        <v>0</v>
      </c>
      <c r="G115" s="2">
        <f>+ABS(D115)+ABS(E115)</f>
        <v>0</v>
      </c>
    </row>
    <row r="116" spans="1:7" hidden="1">
      <c r="A116" s="37" t="s">
        <v>206</v>
      </c>
      <c r="B116" s="38" t="s">
        <v>207</v>
      </c>
      <c r="C116" s="39"/>
      <c r="D116" s="40">
        <v>0</v>
      </c>
      <c r="E116" s="40">
        <v>0</v>
      </c>
      <c r="F116" s="40">
        <f>+D116-E116</f>
        <v>0</v>
      </c>
      <c r="G116" s="2">
        <f>+ABS(D116)+ABS(E116)</f>
        <v>0</v>
      </c>
    </row>
    <row r="117" spans="1:7" hidden="1">
      <c r="A117" s="37" t="s">
        <v>208</v>
      </c>
      <c r="B117" s="38" t="s">
        <v>209</v>
      </c>
      <c r="C117" s="39"/>
      <c r="D117" s="40">
        <v>0</v>
      </c>
      <c r="E117" s="40">
        <v>0</v>
      </c>
      <c r="F117" s="40">
        <f>+D117-E117</f>
        <v>0</v>
      </c>
      <c r="G117" s="2">
        <f>+ABS(D117)+ABS(E117)</f>
        <v>0</v>
      </c>
    </row>
    <row r="118" spans="1:7" hidden="1">
      <c r="A118" s="37" t="s">
        <v>210</v>
      </c>
      <c r="B118" s="38" t="s">
        <v>211</v>
      </c>
      <c r="C118" s="39"/>
      <c r="D118" s="40">
        <v>0</v>
      </c>
      <c r="E118" s="40">
        <v>0</v>
      </c>
      <c r="F118" s="40">
        <f>+D118-E118</f>
        <v>0</v>
      </c>
      <c r="G118" s="2">
        <f>+ABS(D118)+ABS(E118)</f>
        <v>0</v>
      </c>
    </row>
    <row r="119" spans="1:7" hidden="1">
      <c r="A119" s="37" t="s">
        <v>212</v>
      </c>
      <c r="B119" s="38" t="s">
        <v>213</v>
      </c>
      <c r="C119" s="39"/>
      <c r="D119" s="40">
        <v>0</v>
      </c>
      <c r="E119" s="40">
        <v>0</v>
      </c>
      <c r="F119" s="40">
        <f>+D119-E119</f>
        <v>0</v>
      </c>
      <c r="G119" s="2">
        <f>+ABS(D119)+ABS(E119)</f>
        <v>0</v>
      </c>
    </row>
    <row r="120" spans="1:7" hidden="1">
      <c r="A120" s="37" t="s">
        <v>214</v>
      </c>
      <c r="B120" s="38" t="s">
        <v>215</v>
      </c>
      <c r="C120" s="39"/>
      <c r="D120" s="40">
        <v>0</v>
      </c>
      <c r="E120" s="40">
        <v>0</v>
      </c>
      <c r="F120" s="40">
        <f>+D120-E120</f>
        <v>0</v>
      </c>
      <c r="G120" s="2">
        <f>+ABS(D120)+ABS(E120)</f>
        <v>0</v>
      </c>
    </row>
    <row r="121" spans="1:7" hidden="1">
      <c r="A121" s="37" t="s">
        <v>216</v>
      </c>
      <c r="B121" s="38" t="s">
        <v>217</v>
      </c>
      <c r="C121" s="39"/>
      <c r="D121" s="40">
        <v>0</v>
      </c>
      <c r="E121" s="40">
        <v>0</v>
      </c>
      <c r="F121" s="40">
        <f>+D121-E121</f>
        <v>0</v>
      </c>
      <c r="G121" s="2">
        <f>+ABS(D121)+ABS(E121)</f>
        <v>0</v>
      </c>
    </row>
    <row r="122" spans="1:7" hidden="1">
      <c r="A122" s="37" t="s">
        <v>218</v>
      </c>
      <c r="B122" s="38" t="s">
        <v>219</v>
      </c>
      <c r="C122" s="39"/>
      <c r="D122" s="40">
        <v>0</v>
      </c>
      <c r="E122" s="40">
        <v>0</v>
      </c>
      <c r="F122" s="40">
        <f>+D122-E122</f>
        <v>0</v>
      </c>
      <c r="G122" s="2">
        <f>+ABS(D122)+ABS(E122)</f>
        <v>0</v>
      </c>
    </row>
    <row r="123" spans="1:7" hidden="1">
      <c r="A123" s="37" t="s">
        <v>220</v>
      </c>
      <c r="B123" s="38" t="s">
        <v>221</v>
      </c>
      <c r="C123" s="39"/>
      <c r="D123" s="40">
        <v>0</v>
      </c>
      <c r="E123" s="40">
        <v>0</v>
      </c>
      <c r="F123" s="40">
        <f>+D123-E123</f>
        <v>0</v>
      </c>
      <c r="G123" s="2">
        <f>+ABS(D123)+ABS(E123)</f>
        <v>0</v>
      </c>
    </row>
    <row r="124" spans="1:7" hidden="1">
      <c r="A124" s="37" t="s">
        <v>222</v>
      </c>
      <c r="B124" s="38" t="s">
        <v>223</v>
      </c>
      <c r="C124" s="39"/>
      <c r="D124" s="40">
        <v>0</v>
      </c>
      <c r="E124" s="40">
        <v>0</v>
      </c>
      <c r="F124" s="40">
        <f>+D124-E124</f>
        <v>0</v>
      </c>
      <c r="G124" s="2">
        <f>+ABS(D124)+ABS(E124)</f>
        <v>0</v>
      </c>
    </row>
    <row r="125" spans="1:7" hidden="1">
      <c r="A125" s="37" t="s">
        <v>224</v>
      </c>
      <c r="B125" s="38" t="s">
        <v>225</v>
      </c>
      <c r="C125" s="39"/>
      <c r="D125" s="40">
        <v>0</v>
      </c>
      <c r="E125" s="40">
        <v>0</v>
      </c>
      <c r="F125" s="40">
        <f>+D125-E125</f>
        <v>0</v>
      </c>
      <c r="G125" s="2">
        <f>+ABS(D125)+ABS(E125)</f>
        <v>0</v>
      </c>
    </row>
    <row r="126" spans="1:7" hidden="1">
      <c r="A126" s="37" t="s">
        <v>226</v>
      </c>
      <c r="B126" s="38" t="s">
        <v>227</v>
      </c>
      <c r="C126" s="39"/>
      <c r="D126" s="40">
        <v>0</v>
      </c>
      <c r="E126" s="40">
        <v>0</v>
      </c>
      <c r="F126" s="40">
        <f>+D126-E126</f>
        <v>0</v>
      </c>
      <c r="G126" s="2">
        <f>+ABS(D126)+ABS(E126)</f>
        <v>0</v>
      </c>
    </row>
    <row r="127" spans="1:7" hidden="1">
      <c r="A127" s="37" t="s">
        <v>228</v>
      </c>
      <c r="B127" s="38" t="s">
        <v>229</v>
      </c>
      <c r="C127" s="39"/>
      <c r="D127" s="40">
        <v>0</v>
      </c>
      <c r="E127" s="40">
        <v>0</v>
      </c>
      <c r="F127" s="40">
        <f>+D127-E127</f>
        <v>0</v>
      </c>
      <c r="G127" s="2">
        <f>+ABS(D127)+ABS(E127)</f>
        <v>0</v>
      </c>
    </row>
    <row r="128" spans="1:7" hidden="1">
      <c r="A128" s="37" t="s">
        <v>230</v>
      </c>
      <c r="B128" s="38" t="s">
        <v>231</v>
      </c>
      <c r="C128" s="39"/>
      <c r="D128" s="40">
        <v>0</v>
      </c>
      <c r="E128" s="40">
        <v>0</v>
      </c>
      <c r="F128" s="40">
        <f>+D128-E128</f>
        <v>0</v>
      </c>
      <c r="G128" s="2">
        <f>+ABS(D128)+ABS(E128)</f>
        <v>0</v>
      </c>
    </row>
    <row r="129" spans="1:7" hidden="1">
      <c r="A129" s="37" t="s">
        <v>232</v>
      </c>
      <c r="B129" s="38" t="s">
        <v>233</v>
      </c>
      <c r="C129" s="39"/>
      <c r="D129" s="40">
        <v>0</v>
      </c>
      <c r="E129" s="40">
        <v>0</v>
      </c>
      <c r="F129" s="40">
        <f>+D129-E129</f>
        <v>0</v>
      </c>
      <c r="G129" s="2">
        <f>+ABS(D129)+ABS(E129)</f>
        <v>0</v>
      </c>
    </row>
    <row r="130" spans="1:7" hidden="1">
      <c r="A130" s="37" t="s">
        <v>234</v>
      </c>
      <c r="B130" s="38" t="s">
        <v>235</v>
      </c>
      <c r="C130" s="39"/>
      <c r="D130" s="40">
        <v>0</v>
      </c>
      <c r="E130" s="40">
        <v>0</v>
      </c>
      <c r="F130" s="40">
        <f>+D130-E130</f>
        <v>0</v>
      </c>
      <c r="G130" s="2">
        <f>+ABS(D130)+ABS(E130)</f>
        <v>0</v>
      </c>
    </row>
    <row r="131" spans="1:7" hidden="1">
      <c r="A131" s="37" t="s">
        <v>236</v>
      </c>
      <c r="B131" s="38" t="s">
        <v>237</v>
      </c>
      <c r="C131" s="39"/>
      <c r="D131" s="40">
        <v>0</v>
      </c>
      <c r="E131" s="40">
        <v>0</v>
      </c>
      <c r="F131" s="40">
        <f>+D131-E131</f>
        <v>0</v>
      </c>
      <c r="G131" s="2">
        <f>+ABS(D131)+ABS(E131)</f>
        <v>0</v>
      </c>
    </row>
    <row r="132" spans="1:7" hidden="1">
      <c r="A132" s="37" t="s">
        <v>238</v>
      </c>
      <c r="B132" s="38" t="s">
        <v>239</v>
      </c>
      <c r="C132" s="39"/>
      <c r="D132" s="40">
        <v>0</v>
      </c>
      <c r="E132" s="40">
        <v>0</v>
      </c>
      <c r="F132" s="40">
        <f>+D132-E132</f>
        <v>0</v>
      </c>
      <c r="G132" s="2">
        <f>+ABS(D132)+ABS(E132)</f>
        <v>0</v>
      </c>
    </row>
    <row r="133" spans="1:7" hidden="1">
      <c r="A133" s="37" t="s">
        <v>240</v>
      </c>
      <c r="B133" s="38" t="s">
        <v>241</v>
      </c>
      <c r="C133" s="39"/>
      <c r="D133" s="40">
        <v>0</v>
      </c>
      <c r="E133" s="40">
        <v>0</v>
      </c>
      <c r="F133" s="40">
        <f>+D133-E133</f>
        <v>0</v>
      </c>
      <c r="G133" s="2">
        <f>+ABS(D133)+ABS(E133)</f>
        <v>0</v>
      </c>
    </row>
    <row r="134" spans="1:7" hidden="1">
      <c r="A134" s="37" t="s">
        <v>242</v>
      </c>
      <c r="B134" s="38" t="s">
        <v>243</v>
      </c>
      <c r="C134" s="39"/>
      <c r="D134" s="40">
        <v>0</v>
      </c>
      <c r="E134" s="40">
        <v>0</v>
      </c>
      <c r="F134" s="40">
        <f>+D134-E134</f>
        <v>0</v>
      </c>
      <c r="G134" s="2">
        <f>+ABS(D134)+ABS(E134)</f>
        <v>0</v>
      </c>
    </row>
    <row r="135" spans="1:7" hidden="1">
      <c r="A135" s="37" t="s">
        <v>244</v>
      </c>
      <c r="B135" s="38" t="s">
        <v>245</v>
      </c>
      <c r="C135" s="39"/>
      <c r="D135" s="40">
        <v>0</v>
      </c>
      <c r="E135" s="40">
        <v>0</v>
      </c>
      <c r="F135" s="40">
        <f>+D135-E135</f>
        <v>0</v>
      </c>
      <c r="G135" s="2">
        <f>+ABS(D135)+ABS(E135)</f>
        <v>0</v>
      </c>
    </row>
    <row r="136" spans="1:7" hidden="1">
      <c r="A136" s="37" t="s">
        <v>246</v>
      </c>
      <c r="B136" s="38" t="s">
        <v>247</v>
      </c>
      <c r="C136" s="39"/>
      <c r="D136" s="40">
        <v>0</v>
      </c>
      <c r="E136" s="40">
        <v>0</v>
      </c>
      <c r="F136" s="40">
        <f>+D136-E136</f>
        <v>0</v>
      </c>
      <c r="G136" s="2">
        <f>+ABS(D136)+ABS(E136)</f>
        <v>0</v>
      </c>
    </row>
    <row r="137" spans="1:7" hidden="1">
      <c r="A137" s="37" t="s">
        <v>248</v>
      </c>
      <c r="B137" s="38" t="s">
        <v>249</v>
      </c>
      <c r="C137" s="39"/>
      <c r="D137" s="40">
        <v>0</v>
      </c>
      <c r="E137" s="40">
        <v>0</v>
      </c>
      <c r="F137" s="40">
        <f>+D137-E137</f>
        <v>0</v>
      </c>
      <c r="G137" s="2">
        <f>+ABS(D137)+ABS(E137)</f>
        <v>0</v>
      </c>
    </row>
    <row r="138" spans="1:7" hidden="1">
      <c r="A138" s="37" t="s">
        <v>250</v>
      </c>
      <c r="B138" s="38" t="s">
        <v>251</v>
      </c>
      <c r="C138" s="39"/>
      <c r="D138" s="40">
        <v>0</v>
      </c>
      <c r="E138" s="40">
        <v>0</v>
      </c>
      <c r="F138" s="40">
        <f>+D138-E138</f>
        <v>0</v>
      </c>
      <c r="G138" s="2">
        <f>+ABS(D138)+ABS(E138)</f>
        <v>0</v>
      </c>
    </row>
    <row r="139" spans="1:7" hidden="1">
      <c r="A139" s="37" t="s">
        <v>252</v>
      </c>
      <c r="B139" s="38" t="s">
        <v>253</v>
      </c>
      <c r="C139" s="39"/>
      <c r="D139" s="40">
        <v>0</v>
      </c>
      <c r="E139" s="40">
        <v>0</v>
      </c>
      <c r="F139" s="40">
        <f>+D139-E139</f>
        <v>0</v>
      </c>
      <c r="G139" s="2">
        <f>+ABS(D139)+ABS(E139)</f>
        <v>0</v>
      </c>
    </row>
    <row r="140" spans="1:7" hidden="1">
      <c r="A140" s="37" t="s">
        <v>254</v>
      </c>
      <c r="B140" s="38" t="s">
        <v>255</v>
      </c>
      <c r="C140" s="39"/>
      <c r="D140" s="40">
        <v>0</v>
      </c>
      <c r="E140" s="40">
        <v>0</v>
      </c>
      <c r="F140" s="40">
        <f>+D140-E140</f>
        <v>0</v>
      </c>
      <c r="G140" s="2">
        <f>+ABS(D140)+ABS(E140)</f>
        <v>0</v>
      </c>
    </row>
    <row r="141" spans="1:7" hidden="1">
      <c r="A141" s="37" t="s">
        <v>256</v>
      </c>
      <c r="B141" s="38" t="s">
        <v>257</v>
      </c>
      <c r="C141" s="39"/>
      <c r="D141" s="40">
        <v>0</v>
      </c>
      <c r="E141" s="40">
        <v>0</v>
      </c>
      <c r="F141" s="40">
        <f>+D141-E141</f>
        <v>0</v>
      </c>
      <c r="G141" s="2">
        <f>+ABS(D141)+ABS(E141)</f>
        <v>0</v>
      </c>
    </row>
    <row r="142" spans="1:7">
      <c r="A142" s="37" t="s">
        <v>258</v>
      </c>
      <c r="B142" s="38" t="s">
        <v>259</v>
      </c>
      <c r="C142" s="39"/>
      <c r="D142" s="40">
        <v>62088</v>
      </c>
      <c r="E142" s="40">
        <v>61988</v>
      </c>
      <c r="F142" s="40">
        <f>+D142-E142</f>
        <v>100</v>
      </c>
      <c r="G142" s="2">
        <f>+ABS(D142)+ABS(E142)</f>
        <v>124076</v>
      </c>
    </row>
    <row r="143" spans="1:7" hidden="1">
      <c r="A143" s="37" t="s">
        <v>260</v>
      </c>
      <c r="B143" s="38" t="s">
        <v>261</v>
      </c>
      <c r="C143" s="39"/>
      <c r="D143" s="40">
        <v>0</v>
      </c>
      <c r="E143" s="40">
        <v>0</v>
      </c>
      <c r="F143" s="40">
        <f>+D143-E143</f>
        <v>0</v>
      </c>
      <c r="G143" s="2">
        <f>+ABS(D143)+ABS(E143)</f>
        <v>0</v>
      </c>
    </row>
    <row r="144" spans="1:7">
      <c r="A144" s="37" t="s">
        <v>262</v>
      </c>
      <c r="B144" s="38" t="s">
        <v>263</v>
      </c>
      <c r="C144" s="39"/>
      <c r="D144" s="40">
        <v>97079.12</v>
      </c>
      <c r="E144" s="40">
        <v>62079.12</v>
      </c>
      <c r="F144" s="40">
        <f>+D144-E144</f>
        <v>35000</v>
      </c>
      <c r="G144" s="2">
        <f>+ABS(D144)+ABS(E144)</f>
        <v>159158.24</v>
      </c>
    </row>
    <row r="145" spans="1:7">
      <c r="A145" s="37" t="s">
        <v>264</v>
      </c>
      <c r="B145" s="38" t="s">
        <v>265</v>
      </c>
      <c r="C145" s="39"/>
      <c r="D145" s="40">
        <v>137156.41</v>
      </c>
      <c r="E145" s="40">
        <v>137147.66</v>
      </c>
      <c r="F145" s="40">
        <f>+D145-E145</f>
        <v>8.75</v>
      </c>
      <c r="G145" s="2">
        <f>+ABS(D145)+ABS(E145)</f>
        <v>274304.07</v>
      </c>
    </row>
    <row r="146" spans="1:7" hidden="1">
      <c r="A146" s="37" t="s">
        <v>266</v>
      </c>
      <c r="B146" s="38" t="s">
        <v>267</v>
      </c>
      <c r="C146" s="39"/>
      <c r="D146" s="40">
        <v>0</v>
      </c>
      <c r="E146" s="40">
        <v>0</v>
      </c>
      <c r="F146" s="40">
        <f>+D146-E146</f>
        <v>0</v>
      </c>
      <c r="G146" s="2">
        <f>+ABS(D146)+ABS(E146)</f>
        <v>0</v>
      </c>
    </row>
    <row r="147" spans="1:7" hidden="1">
      <c r="A147" s="37" t="s">
        <v>268</v>
      </c>
      <c r="B147" s="38" t="s">
        <v>269</v>
      </c>
      <c r="C147" s="39"/>
      <c r="D147" s="40">
        <v>0</v>
      </c>
      <c r="E147" s="40">
        <v>0</v>
      </c>
      <c r="F147" s="40">
        <f>+D147-E147</f>
        <v>0</v>
      </c>
      <c r="G147" s="2">
        <f>+ABS(D147)+ABS(E147)</f>
        <v>0</v>
      </c>
    </row>
    <row r="148" spans="1:7">
      <c r="A148" s="37" t="s">
        <v>270</v>
      </c>
      <c r="B148" s="38" t="s">
        <v>271</v>
      </c>
      <c r="C148" s="39"/>
      <c r="D148" s="40">
        <v>15247.25</v>
      </c>
      <c r="E148" s="40">
        <v>15246.28</v>
      </c>
      <c r="F148" s="40">
        <f>+D148-E148</f>
        <v>0.96999999999934505</v>
      </c>
      <c r="G148" s="2">
        <f>+ABS(D148)+ABS(E148)</f>
        <v>30493.53</v>
      </c>
    </row>
    <row r="149" spans="1:7" hidden="1">
      <c r="A149" s="37" t="s">
        <v>272</v>
      </c>
      <c r="B149" s="38" t="s">
        <v>273</v>
      </c>
      <c r="C149" s="39"/>
      <c r="D149" s="40">
        <v>0</v>
      </c>
      <c r="E149" s="40">
        <v>0</v>
      </c>
      <c r="F149" s="40">
        <f>+D149-E149</f>
        <v>0</v>
      </c>
      <c r="G149" s="2">
        <f>+ABS(D149)+ABS(E149)</f>
        <v>0</v>
      </c>
    </row>
    <row r="150" spans="1:7" hidden="1">
      <c r="A150" s="37" t="s">
        <v>274</v>
      </c>
      <c r="B150" s="38" t="s">
        <v>275</v>
      </c>
      <c r="C150" s="39"/>
      <c r="D150" s="40">
        <v>0</v>
      </c>
      <c r="E150" s="40">
        <v>0</v>
      </c>
      <c r="F150" s="40">
        <f>+D150-E150</f>
        <v>0</v>
      </c>
      <c r="G150" s="2">
        <f>+ABS(D150)+ABS(E150)</f>
        <v>0</v>
      </c>
    </row>
    <row r="151" spans="1:7">
      <c r="A151" s="37" t="s">
        <v>276</v>
      </c>
      <c r="B151" s="38" t="s">
        <v>277</v>
      </c>
      <c r="C151" s="39"/>
      <c r="D151" s="40">
        <v>166302.21</v>
      </c>
      <c r="E151" s="40">
        <v>151967.54</v>
      </c>
      <c r="F151" s="40">
        <f>+D151-E151</f>
        <v>14334.67</v>
      </c>
      <c r="G151" s="2">
        <f>+ABS(D151)+ABS(E151)</f>
        <v>318269.75</v>
      </c>
    </row>
    <row r="152" spans="1:7">
      <c r="A152" s="37" t="s">
        <v>278</v>
      </c>
      <c r="B152" s="38" t="s">
        <v>279</v>
      </c>
      <c r="C152" s="39"/>
      <c r="D152" s="40">
        <v>280027.83</v>
      </c>
      <c r="E152" s="40">
        <v>437815.32</v>
      </c>
      <c r="F152" s="40">
        <f>+D152-E152</f>
        <v>-157787.49</v>
      </c>
      <c r="G152" s="2">
        <f>+ABS(D152)+ABS(E152)</f>
        <v>717843.15</v>
      </c>
    </row>
    <row r="153" spans="1:7" hidden="1">
      <c r="A153" s="37" t="s">
        <v>280</v>
      </c>
      <c r="B153" s="38" t="s">
        <v>281</v>
      </c>
      <c r="C153" s="39"/>
      <c r="D153" s="40">
        <v>0</v>
      </c>
      <c r="E153" s="40">
        <v>0</v>
      </c>
      <c r="F153" s="40">
        <f>+D153-E153</f>
        <v>0</v>
      </c>
      <c r="G153" s="2">
        <f>+ABS(D153)+ABS(E153)</f>
        <v>0</v>
      </c>
    </row>
    <row r="154" spans="1:7">
      <c r="A154" s="37" t="s">
        <v>282</v>
      </c>
      <c r="B154" s="38" t="s">
        <v>283</v>
      </c>
      <c r="C154" s="39"/>
      <c r="D154" s="40">
        <v>51678.35</v>
      </c>
      <c r="E154" s="40">
        <v>51678.35</v>
      </c>
      <c r="F154" s="40">
        <f>+D154-E154</f>
        <v>0</v>
      </c>
      <c r="G154" s="2">
        <f>+ABS(D154)+ABS(E154)</f>
        <v>103356.7</v>
      </c>
    </row>
    <row r="155" spans="1:7">
      <c r="A155" s="37" t="s">
        <v>284</v>
      </c>
      <c r="B155" s="38" t="s">
        <v>285</v>
      </c>
      <c r="C155" s="39"/>
      <c r="D155" s="40">
        <v>156468.38</v>
      </c>
      <c r="E155" s="40">
        <v>150417.92000000001</v>
      </c>
      <c r="F155" s="40">
        <f>+D155-E155</f>
        <v>6050.45999999999</v>
      </c>
      <c r="G155" s="2">
        <f>+ABS(D155)+ABS(E155)</f>
        <v>306886.3</v>
      </c>
    </row>
    <row r="156" spans="1:7">
      <c r="A156" s="37" t="s">
        <v>286</v>
      </c>
      <c r="B156" s="38" t="s">
        <v>287</v>
      </c>
      <c r="C156" s="39"/>
      <c r="D156" s="40">
        <v>-10277.44</v>
      </c>
      <c r="E156" s="40">
        <v>-10277.44</v>
      </c>
      <c r="F156" s="40">
        <f>+D156-E156</f>
        <v>0</v>
      </c>
      <c r="G156" s="2">
        <f>+ABS(D156)+ABS(E156)</f>
        <v>20554.88</v>
      </c>
    </row>
    <row r="157" spans="1:7" hidden="1">
      <c r="A157" s="37" t="s">
        <v>288</v>
      </c>
      <c r="B157" s="38" t="s">
        <v>289</v>
      </c>
      <c r="C157" s="39"/>
      <c r="D157" s="40">
        <v>0</v>
      </c>
      <c r="E157" s="40">
        <v>0</v>
      </c>
      <c r="F157" s="40">
        <f>+D157-E157</f>
        <v>0</v>
      </c>
      <c r="G157" s="2">
        <f>+ABS(D157)+ABS(E157)</f>
        <v>0</v>
      </c>
    </row>
    <row r="158" spans="1:7">
      <c r="A158" s="37" t="s">
        <v>290</v>
      </c>
      <c r="B158" s="38" t="s">
        <v>291</v>
      </c>
      <c r="C158" s="39"/>
      <c r="D158" s="40">
        <v>126157.09</v>
      </c>
      <c r="E158" s="40">
        <v>65944.5</v>
      </c>
      <c r="F158" s="40">
        <f>+D158-E158</f>
        <v>60212.59</v>
      </c>
      <c r="G158" s="2">
        <f>+ABS(D158)+ABS(E158)</f>
        <v>192101.59</v>
      </c>
    </row>
    <row r="159" spans="1:7" hidden="1">
      <c r="A159" s="37" t="s">
        <v>292</v>
      </c>
      <c r="B159" s="38" t="s">
        <v>293</v>
      </c>
      <c r="C159" s="39"/>
      <c r="D159" s="40">
        <v>0</v>
      </c>
      <c r="E159" s="40">
        <v>0</v>
      </c>
      <c r="F159" s="40">
        <f>+D159-E159</f>
        <v>0</v>
      </c>
      <c r="G159" s="2">
        <f>+ABS(D159)+ABS(E159)</f>
        <v>0</v>
      </c>
    </row>
    <row r="160" spans="1:7" hidden="1">
      <c r="A160" s="37" t="s">
        <v>294</v>
      </c>
      <c r="B160" s="38" t="s">
        <v>295</v>
      </c>
      <c r="C160" s="39"/>
      <c r="D160" s="40">
        <v>0</v>
      </c>
      <c r="E160" s="40">
        <v>0</v>
      </c>
      <c r="F160" s="40">
        <f>+D160-E160</f>
        <v>0</v>
      </c>
      <c r="G160" s="2">
        <f>+ABS(D160)+ABS(E160)</f>
        <v>0</v>
      </c>
    </row>
    <row r="161" spans="1:7" hidden="1">
      <c r="A161" s="37" t="s">
        <v>296</v>
      </c>
      <c r="B161" s="38" t="s">
        <v>297</v>
      </c>
      <c r="C161" s="39"/>
      <c r="D161" s="40">
        <v>0</v>
      </c>
      <c r="E161" s="40">
        <v>0</v>
      </c>
      <c r="F161" s="40">
        <f>+D161-E161</f>
        <v>0</v>
      </c>
      <c r="G161" s="2">
        <f>+ABS(D161)+ABS(E161)</f>
        <v>0</v>
      </c>
    </row>
    <row r="162" spans="1:7" hidden="1">
      <c r="A162" s="37" t="s">
        <v>298</v>
      </c>
      <c r="B162" s="38" t="s">
        <v>299</v>
      </c>
      <c r="C162" s="39"/>
      <c r="D162" s="40">
        <v>0</v>
      </c>
      <c r="E162" s="40">
        <v>0</v>
      </c>
      <c r="F162" s="40">
        <f>+D162-E162</f>
        <v>0</v>
      </c>
      <c r="G162" s="2">
        <f>+ABS(D162)+ABS(E162)</f>
        <v>0</v>
      </c>
    </row>
    <row r="163" spans="1:7" hidden="1">
      <c r="A163" s="37" t="s">
        <v>300</v>
      </c>
      <c r="B163" s="38" t="s">
        <v>301</v>
      </c>
      <c r="C163" s="39"/>
      <c r="D163" s="40">
        <v>0</v>
      </c>
      <c r="E163" s="40">
        <v>0</v>
      </c>
      <c r="F163" s="40">
        <f>+D163-E163</f>
        <v>0</v>
      </c>
      <c r="G163" s="2">
        <f>+ABS(D163)+ABS(E163)</f>
        <v>0</v>
      </c>
    </row>
    <row r="164" spans="1:7">
      <c r="A164" s="37"/>
      <c r="B164" s="48"/>
      <c r="C164" s="39"/>
      <c r="D164" s="40"/>
      <c r="E164" s="40"/>
      <c r="F164" s="40"/>
      <c r="G164" s="2">
        <f>+G165</f>
        <v>2329934.4500000002</v>
      </c>
    </row>
    <row r="165" spans="1:7" s="15" customFormat="1">
      <c r="A165" s="42" t="s">
        <v>11</v>
      </c>
      <c r="B165" s="43" t="s">
        <v>302</v>
      </c>
      <c r="C165" s="44"/>
      <c r="D165" s="45">
        <f>SUM(D105:D164)</f>
        <v>1143927.2</v>
      </c>
      <c r="E165" s="45">
        <f>SUM(E105:E164)</f>
        <v>1186007.25</v>
      </c>
      <c r="F165" s="45">
        <f>+D165-E165</f>
        <v>-42080.05</v>
      </c>
      <c r="G165" s="2">
        <f>+ABS(D165)+ABS(E165)</f>
        <v>2329934.4500000002</v>
      </c>
    </row>
    <row r="166" spans="1:7">
      <c r="A166" s="42"/>
      <c r="B166" s="39"/>
      <c r="C166" s="39"/>
      <c r="D166" s="40"/>
      <c r="E166" s="40"/>
      <c r="F166" s="40"/>
      <c r="G166" s="2">
        <f>G165</f>
        <v>2329934.4500000002</v>
      </c>
    </row>
    <row r="167" spans="1:7" s="15" customFormat="1">
      <c r="A167" s="46" t="s">
        <v>11</v>
      </c>
      <c r="B167" s="47" t="s">
        <v>303</v>
      </c>
      <c r="C167" s="44"/>
      <c r="D167" s="40"/>
      <c r="E167" s="40"/>
      <c r="F167" s="40"/>
      <c r="G167" s="2">
        <f>G393</f>
        <v>115258.8</v>
      </c>
    </row>
    <row r="168" spans="1:7" hidden="1">
      <c r="A168" s="37"/>
      <c r="B168" s="38"/>
      <c r="C168" s="39"/>
      <c r="D168" s="40"/>
      <c r="E168" s="40"/>
      <c r="F168" s="40"/>
    </row>
    <row r="169" spans="1:7" hidden="1">
      <c r="A169" s="37" t="s">
        <v>304</v>
      </c>
      <c r="B169" s="38" t="s">
        <v>305</v>
      </c>
      <c r="C169" s="39"/>
      <c r="D169" s="40">
        <v>0</v>
      </c>
      <c r="E169" s="40">
        <v>0</v>
      </c>
      <c r="F169" s="40">
        <f>+D169-E169</f>
        <v>0</v>
      </c>
      <c r="G169" s="2">
        <f>+ABS(D169)+ABS(E169)</f>
        <v>0</v>
      </c>
    </row>
    <row r="170" spans="1:7" hidden="1">
      <c r="A170" s="37" t="s">
        <v>306</v>
      </c>
      <c r="B170" s="38" t="s">
        <v>307</v>
      </c>
      <c r="C170" s="39"/>
      <c r="D170" s="40">
        <v>0</v>
      </c>
      <c r="E170" s="40">
        <v>0</v>
      </c>
      <c r="F170" s="40">
        <f>+D170-E170</f>
        <v>0</v>
      </c>
      <c r="G170" s="2">
        <f>+ABS(D170)+ABS(E170)</f>
        <v>0</v>
      </c>
    </row>
    <row r="171" spans="1:7" hidden="1">
      <c r="A171" s="37" t="s">
        <v>308</v>
      </c>
      <c r="B171" s="38" t="s">
        <v>309</v>
      </c>
      <c r="C171" s="39"/>
      <c r="D171" s="40">
        <v>0</v>
      </c>
      <c r="E171" s="40">
        <v>0</v>
      </c>
      <c r="F171" s="40">
        <f>+D171-E171</f>
        <v>0</v>
      </c>
      <c r="G171" s="2">
        <f>+ABS(D171)+ABS(E171)</f>
        <v>0</v>
      </c>
    </row>
    <row r="172" spans="1:7" hidden="1">
      <c r="A172" s="37" t="s">
        <v>310</v>
      </c>
      <c r="B172" s="38" t="s">
        <v>311</v>
      </c>
      <c r="C172" s="39"/>
      <c r="D172" s="40">
        <v>0</v>
      </c>
      <c r="E172" s="40">
        <v>0</v>
      </c>
      <c r="F172" s="40">
        <f>+D172-E172</f>
        <v>0</v>
      </c>
      <c r="G172" s="2">
        <f>+ABS(D172)+ABS(E172)</f>
        <v>0</v>
      </c>
    </row>
    <row r="173" spans="1:7" hidden="1">
      <c r="A173" s="37" t="s">
        <v>312</v>
      </c>
      <c r="B173" s="38" t="s">
        <v>313</v>
      </c>
      <c r="C173" s="39"/>
      <c r="D173" s="40">
        <v>0</v>
      </c>
      <c r="E173" s="40">
        <v>0</v>
      </c>
      <c r="F173" s="40">
        <f>+D173-E173</f>
        <v>0</v>
      </c>
      <c r="G173" s="2">
        <f>+ABS(D173)+ABS(E173)</f>
        <v>0</v>
      </c>
    </row>
    <row r="174" spans="1:7" hidden="1">
      <c r="A174" s="37" t="s">
        <v>314</v>
      </c>
      <c r="B174" s="38" t="s">
        <v>315</v>
      </c>
      <c r="C174" s="39"/>
      <c r="D174" s="40">
        <v>0</v>
      </c>
      <c r="E174" s="40">
        <v>0</v>
      </c>
      <c r="F174" s="40">
        <f>+D174-E174</f>
        <v>0</v>
      </c>
      <c r="G174" s="2">
        <f>+ABS(D174)+ABS(E174)</f>
        <v>0</v>
      </c>
    </row>
    <row r="175" spans="1:7" hidden="1">
      <c r="A175" s="37" t="s">
        <v>316</v>
      </c>
      <c r="B175" s="38" t="s">
        <v>317</v>
      </c>
      <c r="C175" s="39"/>
      <c r="D175" s="40">
        <v>0</v>
      </c>
      <c r="E175" s="40">
        <v>0</v>
      </c>
      <c r="F175" s="40">
        <f>+D175-E175</f>
        <v>0</v>
      </c>
      <c r="G175" s="2">
        <f>+ABS(D175)+ABS(E175)</f>
        <v>0</v>
      </c>
    </row>
    <row r="176" spans="1:7" hidden="1">
      <c r="A176" s="37" t="s">
        <v>318</v>
      </c>
      <c r="B176" s="38" t="s">
        <v>319</v>
      </c>
      <c r="C176" s="39"/>
      <c r="D176" s="40">
        <v>0</v>
      </c>
      <c r="E176" s="40">
        <v>0</v>
      </c>
      <c r="F176" s="40">
        <f>+D176-E176</f>
        <v>0</v>
      </c>
      <c r="G176" s="2">
        <f>+ABS(D176)+ABS(E176)</f>
        <v>0</v>
      </c>
    </row>
    <row r="177" spans="1:7" hidden="1">
      <c r="A177" s="37" t="s">
        <v>320</v>
      </c>
      <c r="B177" s="38" t="s">
        <v>321</v>
      </c>
      <c r="C177" s="39"/>
      <c r="D177" s="40">
        <v>0</v>
      </c>
      <c r="E177" s="40">
        <v>0</v>
      </c>
      <c r="F177" s="40">
        <f>+D177-E177</f>
        <v>0</v>
      </c>
      <c r="G177" s="2">
        <f>+ABS(D177)+ABS(E177)</f>
        <v>0</v>
      </c>
    </row>
    <row r="178" spans="1:7" hidden="1">
      <c r="A178" s="37" t="s">
        <v>322</v>
      </c>
      <c r="B178" s="38" t="s">
        <v>323</v>
      </c>
      <c r="C178" s="39"/>
      <c r="D178" s="40">
        <v>0</v>
      </c>
      <c r="E178" s="40">
        <v>0</v>
      </c>
      <c r="F178" s="40">
        <f>+D178-E178</f>
        <v>0</v>
      </c>
      <c r="G178" s="2">
        <f>+ABS(D178)+ABS(E178)</f>
        <v>0</v>
      </c>
    </row>
    <row r="179" spans="1:7" hidden="1">
      <c r="A179" s="37" t="s">
        <v>324</v>
      </c>
      <c r="B179" s="38" t="s">
        <v>325</v>
      </c>
      <c r="C179" s="39"/>
      <c r="D179" s="40">
        <v>0</v>
      </c>
      <c r="E179" s="40">
        <v>0</v>
      </c>
      <c r="F179" s="40">
        <f>+D179-E179</f>
        <v>0</v>
      </c>
      <c r="G179" s="2">
        <f>+ABS(D179)+ABS(E179)</f>
        <v>0</v>
      </c>
    </row>
    <row r="180" spans="1:7" hidden="1">
      <c r="A180" s="37" t="s">
        <v>326</v>
      </c>
      <c r="B180" s="38" t="s">
        <v>327</v>
      </c>
      <c r="C180" s="39"/>
      <c r="D180" s="40">
        <v>0</v>
      </c>
      <c r="E180" s="40">
        <v>0</v>
      </c>
      <c r="F180" s="40">
        <f>+D180-E180</f>
        <v>0</v>
      </c>
      <c r="G180" s="2">
        <f>+ABS(D180)+ABS(E180)</f>
        <v>0</v>
      </c>
    </row>
    <row r="181" spans="1:7" hidden="1">
      <c r="A181" s="37" t="s">
        <v>328</v>
      </c>
      <c r="B181" s="38" t="s">
        <v>329</v>
      </c>
      <c r="C181" s="39"/>
      <c r="D181" s="40">
        <v>0</v>
      </c>
      <c r="E181" s="40">
        <v>0</v>
      </c>
      <c r="F181" s="40">
        <f>+D181-E181</f>
        <v>0</v>
      </c>
      <c r="G181" s="2">
        <f>+ABS(D181)+ABS(E181)</f>
        <v>0</v>
      </c>
    </row>
    <row r="182" spans="1:7" hidden="1">
      <c r="A182" s="37" t="s">
        <v>330</v>
      </c>
      <c r="B182" s="38" t="s">
        <v>331</v>
      </c>
      <c r="C182" s="39"/>
      <c r="D182" s="40">
        <v>0</v>
      </c>
      <c r="E182" s="40">
        <v>0</v>
      </c>
      <c r="F182" s="40">
        <f>+D182-E182</f>
        <v>0</v>
      </c>
      <c r="G182" s="2">
        <f>+ABS(D182)+ABS(E182)</f>
        <v>0</v>
      </c>
    </row>
    <row r="183" spans="1:7" hidden="1">
      <c r="A183" s="37" t="s">
        <v>332</v>
      </c>
      <c r="B183" s="38" t="s">
        <v>333</v>
      </c>
      <c r="C183" s="39"/>
      <c r="D183" s="40">
        <v>0</v>
      </c>
      <c r="E183" s="40">
        <v>0</v>
      </c>
      <c r="F183" s="40">
        <f>+D183-E183</f>
        <v>0</v>
      </c>
      <c r="G183" s="2">
        <f>+ABS(D183)+ABS(E183)</f>
        <v>0</v>
      </c>
    </row>
    <row r="184" spans="1:7" hidden="1">
      <c r="A184" s="37" t="s">
        <v>334</v>
      </c>
      <c r="B184" s="38" t="s">
        <v>335</v>
      </c>
      <c r="C184" s="39"/>
      <c r="D184" s="40">
        <v>0</v>
      </c>
      <c r="E184" s="40">
        <v>0</v>
      </c>
      <c r="F184" s="40">
        <f>+D184-E184</f>
        <v>0</v>
      </c>
      <c r="G184" s="2">
        <f>+ABS(D184)+ABS(E184)</f>
        <v>0</v>
      </c>
    </row>
    <row r="185" spans="1:7" hidden="1">
      <c r="A185" s="37" t="s">
        <v>336</v>
      </c>
      <c r="B185" s="38" t="s">
        <v>337</v>
      </c>
      <c r="C185" s="39"/>
      <c r="D185" s="40">
        <v>0</v>
      </c>
      <c r="E185" s="40">
        <v>0</v>
      </c>
      <c r="F185" s="40">
        <f>+D185-E185</f>
        <v>0</v>
      </c>
      <c r="G185" s="2">
        <f>+ABS(D185)+ABS(E185)</f>
        <v>0</v>
      </c>
    </row>
    <row r="186" spans="1:7" hidden="1">
      <c r="A186" s="37" t="s">
        <v>338</v>
      </c>
      <c r="B186" s="38" t="s">
        <v>339</v>
      </c>
      <c r="C186" s="39"/>
      <c r="D186" s="40">
        <v>0</v>
      </c>
      <c r="E186" s="40">
        <v>0</v>
      </c>
      <c r="F186" s="40">
        <f>+D186-E186</f>
        <v>0</v>
      </c>
      <c r="G186" s="2">
        <f>+ABS(D186)+ABS(E186)</f>
        <v>0</v>
      </c>
    </row>
    <row r="187" spans="1:7" hidden="1">
      <c r="A187" s="37" t="s">
        <v>340</v>
      </c>
      <c r="B187" s="38" t="s">
        <v>341</v>
      </c>
      <c r="C187" s="39"/>
      <c r="D187" s="40">
        <v>0</v>
      </c>
      <c r="E187" s="40">
        <v>0</v>
      </c>
      <c r="F187" s="40">
        <f>+D187-E187</f>
        <v>0</v>
      </c>
      <c r="G187" s="2">
        <f>+ABS(D187)+ABS(E187)</f>
        <v>0</v>
      </c>
    </row>
    <row r="188" spans="1:7" hidden="1">
      <c r="A188" s="37" t="s">
        <v>342</v>
      </c>
      <c r="B188" s="38" t="s">
        <v>343</v>
      </c>
      <c r="C188" s="39"/>
      <c r="D188" s="40">
        <v>0</v>
      </c>
      <c r="E188" s="40">
        <v>0</v>
      </c>
      <c r="F188" s="40">
        <f>+D188-E188</f>
        <v>0</v>
      </c>
      <c r="G188" s="2">
        <f>+ABS(D188)+ABS(E188)</f>
        <v>0</v>
      </c>
    </row>
    <row r="189" spans="1:7" hidden="1">
      <c r="A189" s="37" t="s">
        <v>344</v>
      </c>
      <c r="B189" s="38" t="s">
        <v>345</v>
      </c>
      <c r="C189" s="39"/>
      <c r="D189" s="40">
        <v>0</v>
      </c>
      <c r="E189" s="40">
        <v>0</v>
      </c>
      <c r="F189" s="40">
        <f>+D189-E189</f>
        <v>0</v>
      </c>
      <c r="G189" s="2">
        <f>+ABS(D189)+ABS(E189)</f>
        <v>0</v>
      </c>
    </row>
    <row r="190" spans="1:7" hidden="1">
      <c r="A190" s="37" t="s">
        <v>346</v>
      </c>
      <c r="B190" s="38" t="s">
        <v>347</v>
      </c>
      <c r="C190" s="39"/>
      <c r="D190" s="40">
        <v>0</v>
      </c>
      <c r="E190" s="40">
        <v>0</v>
      </c>
      <c r="F190" s="40">
        <f>+D190-E190</f>
        <v>0</v>
      </c>
      <c r="G190" s="2">
        <f>+ABS(D190)+ABS(E190)</f>
        <v>0</v>
      </c>
    </row>
    <row r="191" spans="1:7" hidden="1">
      <c r="A191" s="37" t="s">
        <v>348</v>
      </c>
      <c r="B191" s="38" t="s">
        <v>349</v>
      </c>
      <c r="C191" s="39"/>
      <c r="D191" s="40">
        <v>0</v>
      </c>
      <c r="E191" s="40">
        <v>0</v>
      </c>
      <c r="F191" s="40">
        <f>+D191-E191</f>
        <v>0</v>
      </c>
      <c r="G191" s="2">
        <f>+ABS(D191)+ABS(E191)</f>
        <v>0</v>
      </c>
    </row>
    <row r="192" spans="1:7" hidden="1">
      <c r="A192" s="37" t="s">
        <v>350</v>
      </c>
      <c r="B192" s="38" t="s">
        <v>351</v>
      </c>
      <c r="C192" s="39"/>
      <c r="D192" s="40">
        <v>0</v>
      </c>
      <c r="E192" s="40">
        <v>0</v>
      </c>
      <c r="F192" s="40">
        <f>+D192-E192</f>
        <v>0</v>
      </c>
      <c r="G192" s="2">
        <f>+ABS(D192)+ABS(E192)</f>
        <v>0</v>
      </c>
    </row>
    <row r="193" spans="1:7" hidden="1">
      <c r="A193" s="37" t="s">
        <v>352</v>
      </c>
      <c r="B193" s="38" t="s">
        <v>353</v>
      </c>
      <c r="C193" s="39"/>
      <c r="D193" s="40">
        <v>0</v>
      </c>
      <c r="E193" s="40">
        <v>0</v>
      </c>
      <c r="F193" s="40">
        <f>+D193-E193</f>
        <v>0</v>
      </c>
      <c r="G193" s="2">
        <f>+ABS(D193)+ABS(E193)</f>
        <v>0</v>
      </c>
    </row>
    <row r="194" spans="1:7" hidden="1">
      <c r="A194" s="37" t="s">
        <v>354</v>
      </c>
      <c r="B194" s="38" t="s">
        <v>355</v>
      </c>
      <c r="C194" s="39"/>
      <c r="D194" s="40">
        <v>0</v>
      </c>
      <c r="E194" s="40">
        <v>0</v>
      </c>
      <c r="F194" s="40">
        <f>+D194-E194</f>
        <v>0</v>
      </c>
      <c r="G194" s="2">
        <f>+ABS(D194)+ABS(E194)</f>
        <v>0</v>
      </c>
    </row>
    <row r="195" spans="1:7" hidden="1">
      <c r="A195" s="37" t="s">
        <v>356</v>
      </c>
      <c r="B195" s="38" t="s">
        <v>357</v>
      </c>
      <c r="C195" s="39"/>
      <c r="D195" s="40">
        <v>0</v>
      </c>
      <c r="E195" s="40">
        <v>0</v>
      </c>
      <c r="F195" s="40">
        <f>+D195-E195</f>
        <v>0</v>
      </c>
      <c r="G195" s="2">
        <f>+ABS(D195)+ABS(E195)</f>
        <v>0</v>
      </c>
    </row>
    <row r="196" spans="1:7" hidden="1">
      <c r="A196" s="37" t="s">
        <v>358</v>
      </c>
      <c r="B196" s="38" t="s">
        <v>359</v>
      </c>
      <c r="C196" s="39"/>
      <c r="D196" s="40">
        <v>0</v>
      </c>
      <c r="E196" s="40">
        <v>0</v>
      </c>
      <c r="F196" s="40">
        <f>+D196-E196</f>
        <v>0</v>
      </c>
      <c r="G196" s="2">
        <f>+ABS(D196)+ABS(E196)</f>
        <v>0</v>
      </c>
    </row>
    <row r="197" spans="1:7" hidden="1">
      <c r="A197" s="37" t="s">
        <v>360</v>
      </c>
      <c r="B197" s="38" t="s">
        <v>361</v>
      </c>
      <c r="C197" s="39"/>
      <c r="D197" s="40">
        <v>0</v>
      </c>
      <c r="E197" s="40">
        <v>0</v>
      </c>
      <c r="F197" s="40">
        <f>+D197-E197</f>
        <v>0</v>
      </c>
      <c r="G197" s="2">
        <f>+ABS(D197)+ABS(E197)</f>
        <v>0</v>
      </c>
    </row>
    <row r="198" spans="1:7" hidden="1">
      <c r="A198" s="37" t="s">
        <v>362</v>
      </c>
      <c r="B198" s="38" t="s">
        <v>363</v>
      </c>
      <c r="C198" s="39"/>
      <c r="D198" s="40">
        <v>0</v>
      </c>
      <c r="E198" s="40">
        <v>0</v>
      </c>
      <c r="F198" s="40">
        <f>+D198-E198</f>
        <v>0</v>
      </c>
      <c r="G198" s="2">
        <f>+ABS(D198)+ABS(E198)</f>
        <v>0</v>
      </c>
    </row>
    <row r="199" spans="1:7" hidden="1">
      <c r="A199" s="37" t="s">
        <v>364</v>
      </c>
      <c r="B199" s="38" t="s">
        <v>365</v>
      </c>
      <c r="C199" s="39"/>
      <c r="D199" s="40">
        <v>0</v>
      </c>
      <c r="E199" s="40">
        <v>0</v>
      </c>
      <c r="F199" s="40">
        <f>+D199-E199</f>
        <v>0</v>
      </c>
      <c r="G199" s="2">
        <f>+ABS(D199)+ABS(E199)</f>
        <v>0</v>
      </c>
    </row>
    <row r="200" spans="1:7" hidden="1">
      <c r="A200" s="37" t="s">
        <v>366</v>
      </c>
      <c r="B200" s="38" t="s">
        <v>367</v>
      </c>
      <c r="C200" s="39"/>
      <c r="D200" s="40">
        <v>0</v>
      </c>
      <c r="E200" s="40">
        <v>0</v>
      </c>
      <c r="F200" s="40">
        <f>+D200-E200</f>
        <v>0</v>
      </c>
      <c r="G200" s="2">
        <f>+ABS(D200)+ABS(E200)</f>
        <v>0</v>
      </c>
    </row>
    <row r="201" spans="1:7" hidden="1">
      <c r="A201" s="37" t="s">
        <v>368</v>
      </c>
      <c r="B201" s="38" t="s">
        <v>369</v>
      </c>
      <c r="C201" s="39"/>
      <c r="D201" s="40">
        <v>0</v>
      </c>
      <c r="E201" s="40">
        <v>0</v>
      </c>
      <c r="F201" s="40">
        <f>+D201-E201</f>
        <v>0</v>
      </c>
      <c r="G201" s="2">
        <f>+ABS(D201)+ABS(E201)</f>
        <v>0</v>
      </c>
    </row>
    <row r="202" spans="1:7" hidden="1">
      <c r="A202" s="37" t="s">
        <v>370</v>
      </c>
      <c r="B202" s="38" t="s">
        <v>371</v>
      </c>
      <c r="C202" s="39"/>
      <c r="D202" s="40">
        <v>0</v>
      </c>
      <c r="E202" s="40">
        <v>0</v>
      </c>
      <c r="F202" s="40">
        <f>+D202-E202</f>
        <v>0</v>
      </c>
      <c r="G202" s="2">
        <f>+ABS(D202)+ABS(E202)</f>
        <v>0</v>
      </c>
    </row>
    <row r="203" spans="1:7" hidden="1">
      <c r="A203" s="37" t="s">
        <v>372</v>
      </c>
      <c r="B203" s="38" t="s">
        <v>373</v>
      </c>
      <c r="C203" s="39"/>
      <c r="D203" s="40">
        <v>0</v>
      </c>
      <c r="E203" s="40">
        <v>0</v>
      </c>
      <c r="F203" s="40">
        <f>+D203-E203</f>
        <v>0</v>
      </c>
      <c r="G203" s="2">
        <f>+ABS(D203)+ABS(E203)</f>
        <v>0</v>
      </c>
    </row>
    <row r="204" spans="1:7" hidden="1">
      <c r="A204" s="37" t="s">
        <v>374</v>
      </c>
      <c r="B204" s="38" t="s">
        <v>375</v>
      </c>
      <c r="C204" s="39"/>
      <c r="D204" s="40">
        <v>0</v>
      </c>
      <c r="E204" s="40">
        <v>0</v>
      </c>
      <c r="F204" s="40">
        <f>+D204-E204</f>
        <v>0</v>
      </c>
      <c r="G204" s="2">
        <f>+ABS(D204)+ABS(E204)</f>
        <v>0</v>
      </c>
    </row>
    <row r="205" spans="1:7" hidden="1">
      <c r="A205" s="37" t="s">
        <v>376</v>
      </c>
      <c r="B205" s="38" t="s">
        <v>377</v>
      </c>
      <c r="C205" s="39"/>
      <c r="D205" s="40">
        <v>0</v>
      </c>
      <c r="E205" s="40">
        <v>0</v>
      </c>
      <c r="F205" s="40">
        <f>+D205-E205</f>
        <v>0</v>
      </c>
      <c r="G205" s="2">
        <f>+ABS(D205)+ABS(E205)</f>
        <v>0</v>
      </c>
    </row>
    <row r="206" spans="1:7" hidden="1">
      <c r="A206" s="37" t="s">
        <v>378</v>
      </c>
      <c r="B206" s="38" t="s">
        <v>379</v>
      </c>
      <c r="C206" s="39"/>
      <c r="D206" s="40">
        <v>0</v>
      </c>
      <c r="E206" s="40">
        <v>0</v>
      </c>
      <c r="F206" s="40">
        <f>+D206-E206</f>
        <v>0</v>
      </c>
      <c r="G206" s="2">
        <f>+ABS(D206)+ABS(E206)</f>
        <v>0</v>
      </c>
    </row>
    <row r="207" spans="1:7" hidden="1">
      <c r="A207" s="37" t="s">
        <v>380</v>
      </c>
      <c r="B207" s="38" t="s">
        <v>381</v>
      </c>
      <c r="C207" s="39"/>
      <c r="D207" s="40">
        <v>0</v>
      </c>
      <c r="E207" s="40">
        <v>0</v>
      </c>
      <c r="F207" s="40">
        <f>+D207-E207</f>
        <v>0</v>
      </c>
      <c r="G207" s="2">
        <f>+ABS(D207)+ABS(E207)</f>
        <v>0</v>
      </c>
    </row>
    <row r="208" spans="1:7" hidden="1">
      <c r="A208" s="37" t="s">
        <v>382</v>
      </c>
      <c r="B208" s="38" t="s">
        <v>383</v>
      </c>
      <c r="C208" s="39"/>
      <c r="D208" s="40">
        <v>0</v>
      </c>
      <c r="E208" s="40">
        <v>0</v>
      </c>
      <c r="F208" s="40">
        <f>+D208-E208</f>
        <v>0</v>
      </c>
      <c r="G208" s="2">
        <f>+ABS(D208)+ABS(E208)</f>
        <v>0</v>
      </c>
    </row>
    <row r="209" spans="1:7" hidden="1">
      <c r="A209" s="37" t="s">
        <v>384</v>
      </c>
      <c r="B209" s="38" t="s">
        <v>385</v>
      </c>
      <c r="C209" s="39"/>
      <c r="D209" s="40">
        <v>0</v>
      </c>
      <c r="E209" s="40">
        <v>0</v>
      </c>
      <c r="F209" s="40">
        <f>+D209-E209</f>
        <v>0</v>
      </c>
      <c r="G209" s="2">
        <f>+ABS(D209)+ABS(E209)</f>
        <v>0</v>
      </c>
    </row>
    <row r="210" spans="1:7" hidden="1">
      <c r="A210" s="37" t="s">
        <v>386</v>
      </c>
      <c r="B210" s="38" t="s">
        <v>387</v>
      </c>
      <c r="C210" s="39"/>
      <c r="D210" s="40">
        <v>0</v>
      </c>
      <c r="E210" s="40">
        <v>0</v>
      </c>
      <c r="F210" s="40">
        <f>+D210-E210</f>
        <v>0</v>
      </c>
      <c r="G210" s="2">
        <f>+ABS(D210)+ABS(E210)</f>
        <v>0</v>
      </c>
    </row>
    <row r="211" spans="1:7" hidden="1">
      <c r="A211" s="37" t="s">
        <v>388</v>
      </c>
      <c r="B211" s="38" t="s">
        <v>389</v>
      </c>
      <c r="C211" s="39"/>
      <c r="D211" s="40">
        <v>0</v>
      </c>
      <c r="E211" s="40">
        <v>0</v>
      </c>
      <c r="F211" s="40">
        <f>+D211-E211</f>
        <v>0</v>
      </c>
      <c r="G211" s="2">
        <f>+ABS(D211)+ABS(E211)</f>
        <v>0</v>
      </c>
    </row>
    <row r="212" spans="1:7" hidden="1">
      <c r="A212" s="37" t="s">
        <v>390</v>
      </c>
      <c r="B212" s="38" t="s">
        <v>391</v>
      </c>
      <c r="C212" s="39"/>
      <c r="D212" s="40">
        <v>0</v>
      </c>
      <c r="E212" s="40">
        <v>0</v>
      </c>
      <c r="F212" s="40">
        <f>+D212-E212</f>
        <v>0</v>
      </c>
      <c r="G212" s="2">
        <f>+ABS(D212)+ABS(E212)</f>
        <v>0</v>
      </c>
    </row>
    <row r="213" spans="1:7" hidden="1">
      <c r="A213" s="37" t="s">
        <v>392</v>
      </c>
      <c r="B213" s="38" t="s">
        <v>393</v>
      </c>
      <c r="C213" s="39"/>
      <c r="D213" s="40">
        <v>0</v>
      </c>
      <c r="E213" s="40">
        <v>0</v>
      </c>
      <c r="F213" s="40">
        <f>+D213-E213</f>
        <v>0</v>
      </c>
      <c r="G213" s="2">
        <f>+ABS(D213)+ABS(E213)</f>
        <v>0</v>
      </c>
    </row>
    <row r="214" spans="1:7" hidden="1">
      <c r="A214" s="37" t="s">
        <v>394</v>
      </c>
      <c r="B214" s="38" t="s">
        <v>395</v>
      </c>
      <c r="C214" s="39"/>
      <c r="D214" s="40">
        <v>0</v>
      </c>
      <c r="E214" s="40">
        <v>0</v>
      </c>
      <c r="F214" s="40">
        <f>+D214-E214</f>
        <v>0</v>
      </c>
      <c r="G214" s="2">
        <f>+ABS(D214)+ABS(E214)</f>
        <v>0</v>
      </c>
    </row>
    <row r="215" spans="1:7" hidden="1">
      <c r="A215" s="37" t="s">
        <v>396</v>
      </c>
      <c r="B215" s="38" t="s">
        <v>397</v>
      </c>
      <c r="C215" s="39"/>
      <c r="D215" s="40">
        <v>0</v>
      </c>
      <c r="E215" s="40">
        <v>0</v>
      </c>
      <c r="F215" s="40">
        <f>+D215-E215</f>
        <v>0</v>
      </c>
      <c r="G215" s="2">
        <f>+ABS(D215)+ABS(E215)</f>
        <v>0</v>
      </c>
    </row>
    <row r="216" spans="1:7" hidden="1">
      <c r="A216" s="37" t="s">
        <v>398</v>
      </c>
      <c r="B216" s="38" t="s">
        <v>399</v>
      </c>
      <c r="C216" s="39"/>
      <c r="D216" s="40">
        <v>0</v>
      </c>
      <c r="E216" s="40">
        <v>0</v>
      </c>
      <c r="F216" s="40">
        <f>+D216-E216</f>
        <v>0</v>
      </c>
      <c r="G216" s="2">
        <f>+ABS(D216)+ABS(E216)</f>
        <v>0</v>
      </c>
    </row>
    <row r="217" spans="1:7" hidden="1">
      <c r="A217" s="37" t="s">
        <v>400</v>
      </c>
      <c r="B217" s="38" t="s">
        <v>401</v>
      </c>
      <c r="C217" s="39"/>
      <c r="D217" s="40">
        <v>0</v>
      </c>
      <c r="E217" s="40">
        <v>0</v>
      </c>
      <c r="F217" s="40">
        <f>+D217-E217</f>
        <v>0</v>
      </c>
      <c r="G217" s="2">
        <f>+ABS(D217)+ABS(E217)</f>
        <v>0</v>
      </c>
    </row>
    <row r="218" spans="1:7" hidden="1">
      <c r="A218" s="37" t="s">
        <v>402</v>
      </c>
      <c r="B218" s="38" t="s">
        <v>403</v>
      </c>
      <c r="C218" s="39"/>
      <c r="D218" s="40">
        <v>0</v>
      </c>
      <c r="E218" s="40">
        <v>0</v>
      </c>
      <c r="F218" s="40">
        <f>+D218-E218</f>
        <v>0</v>
      </c>
      <c r="G218" s="2">
        <f>+ABS(D218)+ABS(E218)</f>
        <v>0</v>
      </c>
    </row>
    <row r="219" spans="1:7" hidden="1">
      <c r="A219" s="37" t="s">
        <v>404</v>
      </c>
      <c r="B219" s="38" t="s">
        <v>405</v>
      </c>
      <c r="C219" s="39"/>
      <c r="D219" s="40">
        <v>0</v>
      </c>
      <c r="E219" s="40">
        <v>0</v>
      </c>
      <c r="F219" s="40">
        <f>+D219-E219</f>
        <v>0</v>
      </c>
      <c r="G219" s="2">
        <f>+ABS(D219)+ABS(E219)</f>
        <v>0</v>
      </c>
    </row>
    <row r="220" spans="1:7" hidden="1">
      <c r="A220" s="37" t="s">
        <v>406</v>
      </c>
      <c r="B220" s="38" t="s">
        <v>407</v>
      </c>
      <c r="C220" s="39"/>
      <c r="D220" s="40">
        <v>0</v>
      </c>
      <c r="E220" s="40">
        <v>0</v>
      </c>
      <c r="F220" s="40">
        <f>+D220-E220</f>
        <v>0</v>
      </c>
      <c r="G220" s="2">
        <f>+ABS(D220)+ABS(E220)</f>
        <v>0</v>
      </c>
    </row>
    <row r="221" spans="1:7" hidden="1">
      <c r="A221" s="37" t="s">
        <v>408</v>
      </c>
      <c r="B221" s="38" t="s">
        <v>409</v>
      </c>
      <c r="C221" s="39"/>
      <c r="D221" s="40">
        <v>0</v>
      </c>
      <c r="E221" s="40">
        <v>0</v>
      </c>
      <c r="F221" s="40">
        <f>+D221-E221</f>
        <v>0</v>
      </c>
      <c r="G221" s="2">
        <f>+ABS(D221)+ABS(E221)</f>
        <v>0</v>
      </c>
    </row>
    <row r="222" spans="1:7" hidden="1">
      <c r="A222" s="37" t="s">
        <v>410</v>
      </c>
      <c r="B222" s="38" t="s">
        <v>411</v>
      </c>
      <c r="C222" s="39"/>
      <c r="D222" s="40">
        <v>0</v>
      </c>
      <c r="E222" s="40">
        <v>0</v>
      </c>
      <c r="F222" s="40">
        <f>+D222-E222</f>
        <v>0</v>
      </c>
      <c r="G222" s="2">
        <f>+ABS(D222)+ABS(E222)</f>
        <v>0</v>
      </c>
    </row>
    <row r="223" spans="1:7" hidden="1">
      <c r="A223" s="37" t="s">
        <v>412</v>
      </c>
      <c r="B223" s="38" t="s">
        <v>413</v>
      </c>
      <c r="C223" s="39"/>
      <c r="D223" s="40">
        <v>0</v>
      </c>
      <c r="E223" s="40">
        <v>0</v>
      </c>
      <c r="F223" s="40">
        <f>+D223-E223</f>
        <v>0</v>
      </c>
      <c r="G223" s="2">
        <f>+ABS(D223)+ABS(E223)</f>
        <v>0</v>
      </c>
    </row>
    <row r="224" spans="1:7" hidden="1">
      <c r="A224" s="37" t="s">
        <v>414</v>
      </c>
      <c r="B224" s="38" t="s">
        <v>415</v>
      </c>
      <c r="C224" s="39"/>
      <c r="D224" s="40">
        <v>0</v>
      </c>
      <c r="E224" s="40">
        <v>0</v>
      </c>
      <c r="F224" s="40">
        <f>+D224-E224</f>
        <v>0</v>
      </c>
      <c r="G224" s="2">
        <f>+ABS(D224)+ABS(E224)</f>
        <v>0</v>
      </c>
    </row>
    <row r="225" spans="1:7" hidden="1">
      <c r="A225" s="37" t="s">
        <v>416</v>
      </c>
      <c r="B225" s="38" t="s">
        <v>417</v>
      </c>
      <c r="C225" s="39"/>
      <c r="D225" s="40">
        <v>0</v>
      </c>
      <c r="E225" s="40">
        <v>0</v>
      </c>
      <c r="F225" s="40">
        <f>+D225-E225</f>
        <v>0</v>
      </c>
      <c r="G225" s="2">
        <f>+ABS(D225)+ABS(E225)</f>
        <v>0</v>
      </c>
    </row>
    <row r="226" spans="1:7" hidden="1">
      <c r="A226" s="37" t="s">
        <v>418</v>
      </c>
      <c r="B226" s="38" t="s">
        <v>419</v>
      </c>
      <c r="C226" s="39"/>
      <c r="D226" s="40">
        <v>0</v>
      </c>
      <c r="E226" s="40">
        <v>0</v>
      </c>
      <c r="F226" s="40">
        <f>+D226-E226</f>
        <v>0</v>
      </c>
      <c r="G226" s="2">
        <f>+ABS(D226)+ABS(E226)</f>
        <v>0</v>
      </c>
    </row>
    <row r="227" spans="1:7" hidden="1">
      <c r="A227" s="37" t="s">
        <v>420</v>
      </c>
      <c r="B227" s="38" t="s">
        <v>421</v>
      </c>
      <c r="C227" s="39"/>
      <c r="D227" s="40">
        <v>0</v>
      </c>
      <c r="E227" s="40">
        <v>0</v>
      </c>
      <c r="F227" s="40">
        <f>+D227-E227</f>
        <v>0</v>
      </c>
      <c r="G227" s="2">
        <f>+ABS(D227)+ABS(E227)</f>
        <v>0</v>
      </c>
    </row>
    <row r="228" spans="1:7" hidden="1">
      <c r="A228" s="37" t="s">
        <v>422</v>
      </c>
      <c r="B228" s="38" t="s">
        <v>423</v>
      </c>
      <c r="C228" s="39"/>
      <c r="D228" s="40">
        <v>0</v>
      </c>
      <c r="E228" s="40">
        <v>0</v>
      </c>
      <c r="F228" s="40">
        <f>+D228-E228</f>
        <v>0</v>
      </c>
      <c r="G228" s="2">
        <f>+ABS(D228)+ABS(E228)</f>
        <v>0</v>
      </c>
    </row>
    <row r="229" spans="1:7" hidden="1">
      <c r="A229" s="37" t="s">
        <v>424</v>
      </c>
      <c r="B229" s="38" t="s">
        <v>425</v>
      </c>
      <c r="C229" s="39"/>
      <c r="D229" s="40">
        <v>0</v>
      </c>
      <c r="E229" s="40">
        <v>0</v>
      </c>
      <c r="F229" s="40">
        <f>+D229-E229</f>
        <v>0</v>
      </c>
      <c r="G229" s="2">
        <f>+ABS(D229)+ABS(E229)</f>
        <v>0</v>
      </c>
    </row>
    <row r="230" spans="1:7" hidden="1">
      <c r="A230" s="37" t="s">
        <v>426</v>
      </c>
      <c r="B230" s="38" t="s">
        <v>427</v>
      </c>
      <c r="C230" s="39"/>
      <c r="D230" s="40">
        <v>0</v>
      </c>
      <c r="E230" s="40">
        <v>0</v>
      </c>
      <c r="F230" s="40">
        <f>+D230-E230</f>
        <v>0</v>
      </c>
      <c r="G230" s="2">
        <f>+ABS(D230)+ABS(E230)</f>
        <v>0</v>
      </c>
    </row>
    <row r="231" spans="1:7" hidden="1">
      <c r="A231" s="37" t="s">
        <v>428</v>
      </c>
      <c r="B231" s="38" t="s">
        <v>429</v>
      </c>
      <c r="C231" s="39"/>
      <c r="D231" s="40">
        <v>0</v>
      </c>
      <c r="E231" s="40">
        <v>0</v>
      </c>
      <c r="F231" s="40">
        <f>+D231-E231</f>
        <v>0</v>
      </c>
      <c r="G231" s="2">
        <f>+ABS(D231)+ABS(E231)</f>
        <v>0</v>
      </c>
    </row>
    <row r="232" spans="1:7" hidden="1">
      <c r="A232" s="37" t="s">
        <v>430</v>
      </c>
      <c r="B232" s="38" t="s">
        <v>431</v>
      </c>
      <c r="C232" s="39"/>
      <c r="D232" s="40">
        <v>0</v>
      </c>
      <c r="E232" s="40">
        <v>0</v>
      </c>
      <c r="F232" s="40">
        <f>+D232-E232</f>
        <v>0</v>
      </c>
      <c r="G232" s="2">
        <f>+ABS(D232)+ABS(E232)</f>
        <v>0</v>
      </c>
    </row>
    <row r="233" spans="1:7" hidden="1">
      <c r="A233" s="37" t="s">
        <v>432</v>
      </c>
      <c r="B233" s="38" t="s">
        <v>433</v>
      </c>
      <c r="C233" s="39"/>
      <c r="D233" s="40">
        <v>0</v>
      </c>
      <c r="E233" s="40">
        <v>0</v>
      </c>
      <c r="F233" s="40">
        <f>+D233-E233</f>
        <v>0</v>
      </c>
      <c r="G233" s="2">
        <f>+ABS(D233)+ABS(E233)</f>
        <v>0</v>
      </c>
    </row>
    <row r="234" spans="1:7" hidden="1">
      <c r="A234" s="37" t="s">
        <v>434</v>
      </c>
      <c r="B234" s="38" t="s">
        <v>435</v>
      </c>
      <c r="C234" s="39"/>
      <c r="D234" s="40">
        <v>0</v>
      </c>
      <c r="E234" s="40">
        <v>0</v>
      </c>
      <c r="F234" s="40">
        <f>+D234-E234</f>
        <v>0</v>
      </c>
      <c r="G234" s="2">
        <f>+ABS(D234)+ABS(E234)</f>
        <v>0</v>
      </c>
    </row>
    <row r="235" spans="1:7" hidden="1">
      <c r="A235" s="37" t="s">
        <v>436</v>
      </c>
      <c r="B235" s="38" t="s">
        <v>437</v>
      </c>
      <c r="C235" s="39"/>
      <c r="D235" s="40">
        <v>0</v>
      </c>
      <c r="E235" s="40">
        <v>0</v>
      </c>
      <c r="F235" s="40">
        <f>+D235-E235</f>
        <v>0</v>
      </c>
      <c r="G235" s="2">
        <f>+ABS(D235)+ABS(E235)</f>
        <v>0</v>
      </c>
    </row>
    <row r="236" spans="1:7" hidden="1">
      <c r="A236" s="37" t="s">
        <v>438</v>
      </c>
      <c r="B236" s="38" t="s">
        <v>439</v>
      </c>
      <c r="C236" s="39"/>
      <c r="D236" s="40">
        <v>0</v>
      </c>
      <c r="E236" s="40">
        <v>0</v>
      </c>
      <c r="F236" s="40">
        <f>+D236-E236</f>
        <v>0</v>
      </c>
      <c r="G236" s="2">
        <f>+ABS(D236)+ABS(E236)</f>
        <v>0</v>
      </c>
    </row>
    <row r="237" spans="1:7" hidden="1">
      <c r="A237" s="37" t="s">
        <v>440</v>
      </c>
      <c r="B237" s="38" t="s">
        <v>441</v>
      </c>
      <c r="C237" s="39"/>
      <c r="D237" s="40">
        <v>0</v>
      </c>
      <c r="E237" s="40">
        <v>0</v>
      </c>
      <c r="F237" s="40">
        <f>+D237-E237</f>
        <v>0</v>
      </c>
      <c r="G237" s="2">
        <f>+ABS(D237)+ABS(E237)</f>
        <v>0</v>
      </c>
    </row>
    <row r="238" spans="1:7" hidden="1">
      <c r="A238" s="37" t="s">
        <v>442</v>
      </c>
      <c r="B238" s="38" t="s">
        <v>443</v>
      </c>
      <c r="C238" s="39"/>
      <c r="D238" s="40">
        <v>0</v>
      </c>
      <c r="E238" s="40">
        <v>0</v>
      </c>
      <c r="F238" s="40">
        <f>+D238-E238</f>
        <v>0</v>
      </c>
      <c r="G238" s="2">
        <f>+ABS(D238)+ABS(E238)</f>
        <v>0</v>
      </c>
    </row>
    <row r="239" spans="1:7" hidden="1">
      <c r="A239" s="37" t="s">
        <v>444</v>
      </c>
      <c r="B239" s="38" t="s">
        <v>445</v>
      </c>
      <c r="C239" s="39"/>
      <c r="D239" s="40">
        <v>0</v>
      </c>
      <c r="E239" s="40">
        <v>0</v>
      </c>
      <c r="F239" s="40">
        <f>+D239-E239</f>
        <v>0</v>
      </c>
      <c r="G239" s="2">
        <f>+ABS(D239)+ABS(E239)</f>
        <v>0</v>
      </c>
    </row>
    <row r="240" spans="1:7" hidden="1">
      <c r="A240" s="37" t="s">
        <v>446</v>
      </c>
      <c r="B240" s="38" t="s">
        <v>447</v>
      </c>
      <c r="C240" s="39"/>
      <c r="D240" s="40">
        <v>0</v>
      </c>
      <c r="E240" s="40">
        <v>0</v>
      </c>
      <c r="F240" s="40">
        <f>+D240-E240</f>
        <v>0</v>
      </c>
      <c r="G240" s="2">
        <f>+ABS(D240)+ABS(E240)</f>
        <v>0</v>
      </c>
    </row>
    <row r="241" spans="1:7" hidden="1">
      <c r="A241" s="37" t="s">
        <v>448</v>
      </c>
      <c r="B241" s="38" t="s">
        <v>449</v>
      </c>
      <c r="C241" s="39"/>
      <c r="D241" s="40">
        <v>0</v>
      </c>
      <c r="E241" s="40">
        <v>0</v>
      </c>
      <c r="F241" s="40">
        <f>+D241-E241</f>
        <v>0</v>
      </c>
      <c r="G241" s="2">
        <f>+ABS(D241)+ABS(E241)</f>
        <v>0</v>
      </c>
    </row>
    <row r="242" spans="1:7" hidden="1">
      <c r="A242" s="37" t="s">
        <v>450</v>
      </c>
      <c r="B242" s="38" t="s">
        <v>451</v>
      </c>
      <c r="C242" s="39"/>
      <c r="D242" s="40">
        <v>0</v>
      </c>
      <c r="E242" s="40">
        <v>0</v>
      </c>
      <c r="F242" s="40">
        <f>+D242-E242</f>
        <v>0</v>
      </c>
      <c r="G242" s="2">
        <f>+ABS(D242)+ABS(E242)</f>
        <v>0</v>
      </c>
    </row>
    <row r="243" spans="1:7" hidden="1">
      <c r="A243" s="37" t="s">
        <v>452</v>
      </c>
      <c r="B243" s="38" t="s">
        <v>453</v>
      </c>
      <c r="C243" s="39"/>
      <c r="D243" s="40">
        <v>0</v>
      </c>
      <c r="E243" s="40">
        <v>0</v>
      </c>
      <c r="F243" s="40">
        <f>+D243-E243</f>
        <v>0</v>
      </c>
      <c r="G243" s="2">
        <f>+ABS(D243)+ABS(E243)</f>
        <v>0</v>
      </c>
    </row>
    <row r="244" spans="1:7" hidden="1">
      <c r="A244" s="37" t="s">
        <v>454</v>
      </c>
      <c r="B244" s="38" t="s">
        <v>455</v>
      </c>
      <c r="C244" s="39"/>
      <c r="D244" s="40">
        <v>0</v>
      </c>
      <c r="E244" s="40">
        <v>0</v>
      </c>
      <c r="F244" s="40">
        <f>+D244-E244</f>
        <v>0</v>
      </c>
      <c r="G244" s="2">
        <f>+ABS(D244)+ABS(E244)</f>
        <v>0</v>
      </c>
    </row>
    <row r="245" spans="1:7" hidden="1">
      <c r="A245" s="37" t="s">
        <v>456</v>
      </c>
      <c r="B245" s="38" t="s">
        <v>457</v>
      </c>
      <c r="C245" s="39"/>
      <c r="D245" s="40">
        <v>0</v>
      </c>
      <c r="E245" s="40">
        <v>0</v>
      </c>
      <c r="F245" s="40">
        <f>+D245-E245</f>
        <v>0</v>
      </c>
      <c r="G245" s="2">
        <f>+ABS(D245)+ABS(E245)</f>
        <v>0</v>
      </c>
    </row>
    <row r="246" spans="1:7" hidden="1">
      <c r="A246" s="37" t="s">
        <v>458</v>
      </c>
      <c r="B246" s="38" t="s">
        <v>459</v>
      </c>
      <c r="C246" s="39"/>
      <c r="D246" s="40">
        <v>0</v>
      </c>
      <c r="E246" s="40">
        <v>0</v>
      </c>
      <c r="F246" s="40">
        <f>+D246-E246</f>
        <v>0</v>
      </c>
      <c r="G246" s="2">
        <f>+ABS(D246)+ABS(E246)</f>
        <v>0</v>
      </c>
    </row>
    <row r="247" spans="1:7" hidden="1">
      <c r="A247" s="37" t="s">
        <v>460</v>
      </c>
      <c r="B247" s="38" t="s">
        <v>461</v>
      </c>
      <c r="C247" s="39"/>
      <c r="D247" s="40">
        <v>0</v>
      </c>
      <c r="E247" s="40">
        <v>0</v>
      </c>
      <c r="F247" s="40">
        <f>+D247-E247</f>
        <v>0</v>
      </c>
      <c r="G247" s="2">
        <f>+ABS(D247)+ABS(E247)</f>
        <v>0</v>
      </c>
    </row>
    <row r="248" spans="1:7" hidden="1">
      <c r="A248" s="37" t="s">
        <v>462</v>
      </c>
      <c r="B248" s="38" t="s">
        <v>463</v>
      </c>
      <c r="C248" s="39"/>
      <c r="D248" s="40">
        <v>0</v>
      </c>
      <c r="E248" s="40">
        <v>0</v>
      </c>
      <c r="F248" s="40">
        <f>+D248-E248</f>
        <v>0</v>
      </c>
      <c r="G248" s="2">
        <f>+ABS(D248)+ABS(E248)</f>
        <v>0</v>
      </c>
    </row>
    <row r="249" spans="1:7" hidden="1">
      <c r="A249" s="37" t="s">
        <v>464</v>
      </c>
      <c r="B249" s="38" t="s">
        <v>465</v>
      </c>
      <c r="C249" s="39"/>
      <c r="D249" s="40">
        <v>0</v>
      </c>
      <c r="E249" s="40">
        <v>0</v>
      </c>
      <c r="F249" s="40">
        <f>+D249-E249</f>
        <v>0</v>
      </c>
      <c r="G249" s="2">
        <f>+ABS(D249)+ABS(E249)</f>
        <v>0</v>
      </c>
    </row>
    <row r="250" spans="1:7" hidden="1">
      <c r="A250" s="37" t="s">
        <v>466</v>
      </c>
      <c r="B250" s="38" t="s">
        <v>467</v>
      </c>
      <c r="C250" s="39"/>
      <c r="D250" s="40">
        <v>0</v>
      </c>
      <c r="E250" s="40">
        <v>0</v>
      </c>
      <c r="F250" s="40">
        <f>+D250-E250</f>
        <v>0</v>
      </c>
      <c r="G250" s="2">
        <f>+ABS(D250)+ABS(E250)</f>
        <v>0</v>
      </c>
    </row>
    <row r="251" spans="1:7" hidden="1">
      <c r="A251" s="37" t="s">
        <v>468</v>
      </c>
      <c r="B251" s="38" t="s">
        <v>469</v>
      </c>
      <c r="C251" s="39"/>
      <c r="D251" s="40">
        <v>0</v>
      </c>
      <c r="E251" s="40">
        <v>0</v>
      </c>
      <c r="F251" s="40">
        <f>+D251-E251</f>
        <v>0</v>
      </c>
      <c r="G251" s="2">
        <f>+ABS(D251)+ABS(E251)</f>
        <v>0</v>
      </c>
    </row>
    <row r="252" spans="1:7" hidden="1">
      <c r="A252" s="37" t="s">
        <v>470</v>
      </c>
      <c r="B252" s="38" t="s">
        <v>471</v>
      </c>
      <c r="C252" s="39"/>
      <c r="D252" s="40">
        <v>0</v>
      </c>
      <c r="E252" s="40">
        <v>0</v>
      </c>
      <c r="F252" s="40">
        <f>+D252-E252</f>
        <v>0</v>
      </c>
      <c r="G252" s="2">
        <f>+ABS(D252)+ABS(E252)</f>
        <v>0</v>
      </c>
    </row>
    <row r="253" spans="1:7" hidden="1">
      <c r="A253" s="37" t="s">
        <v>472</v>
      </c>
      <c r="B253" s="38" t="s">
        <v>473</v>
      </c>
      <c r="C253" s="39"/>
      <c r="D253" s="40">
        <v>0</v>
      </c>
      <c r="E253" s="40">
        <v>0</v>
      </c>
      <c r="F253" s="40">
        <f>+D253-E253</f>
        <v>0</v>
      </c>
      <c r="G253" s="2">
        <f>+ABS(D253)+ABS(E253)</f>
        <v>0</v>
      </c>
    </row>
    <row r="254" spans="1:7" hidden="1">
      <c r="A254" s="37" t="s">
        <v>474</v>
      </c>
      <c r="B254" s="38" t="s">
        <v>475</v>
      </c>
      <c r="C254" s="39"/>
      <c r="D254" s="40">
        <v>0</v>
      </c>
      <c r="E254" s="40">
        <v>0</v>
      </c>
      <c r="F254" s="40">
        <f>+D254-E254</f>
        <v>0</v>
      </c>
      <c r="G254" s="2">
        <f>+ABS(D254)+ABS(E254)</f>
        <v>0</v>
      </c>
    </row>
    <row r="255" spans="1:7" hidden="1">
      <c r="A255" s="37" t="s">
        <v>476</v>
      </c>
      <c r="B255" s="38" t="s">
        <v>477</v>
      </c>
      <c r="C255" s="39"/>
      <c r="D255" s="40">
        <v>0</v>
      </c>
      <c r="E255" s="40">
        <v>0</v>
      </c>
      <c r="F255" s="40">
        <f>+D255-E255</f>
        <v>0</v>
      </c>
      <c r="G255" s="2">
        <f>+ABS(D255)+ABS(E255)</f>
        <v>0</v>
      </c>
    </row>
    <row r="256" spans="1:7" hidden="1">
      <c r="A256" s="37" t="s">
        <v>478</v>
      </c>
      <c r="B256" s="38" t="s">
        <v>479</v>
      </c>
      <c r="C256" s="39"/>
      <c r="D256" s="40">
        <v>0</v>
      </c>
      <c r="E256" s="40">
        <v>0</v>
      </c>
      <c r="F256" s="40">
        <f>+D256-E256</f>
        <v>0</v>
      </c>
      <c r="G256" s="2">
        <f>+ABS(D256)+ABS(E256)</f>
        <v>0</v>
      </c>
    </row>
    <row r="257" spans="1:7" hidden="1">
      <c r="A257" s="37" t="s">
        <v>480</v>
      </c>
      <c r="B257" s="38" t="s">
        <v>481</v>
      </c>
      <c r="C257" s="39"/>
      <c r="D257" s="40">
        <v>0</v>
      </c>
      <c r="E257" s="40">
        <v>0</v>
      </c>
      <c r="F257" s="40">
        <f>+D257-E257</f>
        <v>0</v>
      </c>
      <c r="G257" s="2">
        <f>+ABS(D257)+ABS(E257)</f>
        <v>0</v>
      </c>
    </row>
    <row r="258" spans="1:7" hidden="1">
      <c r="A258" s="37" t="s">
        <v>482</v>
      </c>
      <c r="B258" s="38" t="s">
        <v>483</v>
      </c>
      <c r="C258" s="39"/>
      <c r="D258" s="40">
        <v>0</v>
      </c>
      <c r="E258" s="40">
        <v>0</v>
      </c>
      <c r="F258" s="40">
        <f>+D258-E258</f>
        <v>0</v>
      </c>
      <c r="G258" s="2">
        <f>+ABS(D258)+ABS(E258)</f>
        <v>0</v>
      </c>
    </row>
    <row r="259" spans="1:7" hidden="1">
      <c r="A259" s="37" t="s">
        <v>484</v>
      </c>
      <c r="B259" s="38" t="s">
        <v>485</v>
      </c>
      <c r="C259" s="39"/>
      <c r="D259" s="40">
        <v>0</v>
      </c>
      <c r="E259" s="40">
        <v>0</v>
      </c>
      <c r="F259" s="40">
        <f>+D259-E259</f>
        <v>0</v>
      </c>
      <c r="G259" s="2">
        <f>+ABS(D259)+ABS(E259)</f>
        <v>0</v>
      </c>
    </row>
    <row r="260" spans="1:7" hidden="1">
      <c r="A260" s="37" t="s">
        <v>486</v>
      </c>
      <c r="B260" s="38" t="s">
        <v>487</v>
      </c>
      <c r="C260" s="39"/>
      <c r="D260" s="40">
        <v>0</v>
      </c>
      <c r="E260" s="40">
        <v>0</v>
      </c>
      <c r="F260" s="40">
        <f>+D260-E260</f>
        <v>0</v>
      </c>
      <c r="G260" s="2">
        <f>+ABS(D260)+ABS(E260)</f>
        <v>0</v>
      </c>
    </row>
    <row r="261" spans="1:7" hidden="1">
      <c r="A261" s="37" t="s">
        <v>488</v>
      </c>
      <c r="B261" s="38" t="s">
        <v>489</v>
      </c>
      <c r="C261" s="39"/>
      <c r="D261" s="40">
        <v>0</v>
      </c>
      <c r="E261" s="40">
        <v>0</v>
      </c>
      <c r="F261" s="40">
        <f>+D261-E261</f>
        <v>0</v>
      </c>
      <c r="G261" s="2">
        <f>+ABS(D261)+ABS(E261)</f>
        <v>0</v>
      </c>
    </row>
    <row r="262" spans="1:7" hidden="1">
      <c r="A262" s="37" t="s">
        <v>490</v>
      </c>
      <c r="B262" s="38" t="s">
        <v>491</v>
      </c>
      <c r="C262" s="39"/>
      <c r="D262" s="40">
        <v>0</v>
      </c>
      <c r="E262" s="40">
        <v>0</v>
      </c>
      <c r="F262" s="40">
        <f>+D262-E262</f>
        <v>0</v>
      </c>
      <c r="G262" s="2">
        <f>+ABS(D262)+ABS(E262)</f>
        <v>0</v>
      </c>
    </row>
    <row r="263" spans="1:7" hidden="1">
      <c r="A263" s="37" t="s">
        <v>492</v>
      </c>
      <c r="B263" s="38" t="s">
        <v>493</v>
      </c>
      <c r="C263" s="39"/>
      <c r="D263" s="40">
        <v>0</v>
      </c>
      <c r="E263" s="40">
        <v>0</v>
      </c>
      <c r="F263" s="40">
        <f>+D263-E263</f>
        <v>0</v>
      </c>
      <c r="G263" s="2">
        <f>+ABS(D263)+ABS(E263)</f>
        <v>0</v>
      </c>
    </row>
    <row r="264" spans="1:7" hidden="1">
      <c r="A264" s="37" t="s">
        <v>494</v>
      </c>
      <c r="B264" s="38" t="s">
        <v>495</v>
      </c>
      <c r="C264" s="39"/>
      <c r="D264" s="40">
        <v>0</v>
      </c>
      <c r="E264" s="40">
        <v>0</v>
      </c>
      <c r="F264" s="40">
        <f>+D264-E264</f>
        <v>0</v>
      </c>
      <c r="G264" s="2">
        <f>+ABS(D264)+ABS(E264)</f>
        <v>0</v>
      </c>
    </row>
    <row r="265" spans="1:7" hidden="1">
      <c r="A265" s="37" t="s">
        <v>496</v>
      </c>
      <c r="B265" s="38" t="s">
        <v>497</v>
      </c>
      <c r="C265" s="39"/>
      <c r="D265" s="40">
        <v>0</v>
      </c>
      <c r="E265" s="40">
        <v>0</v>
      </c>
      <c r="F265" s="40">
        <f>+D265-E265</f>
        <v>0</v>
      </c>
      <c r="G265" s="2">
        <f>+ABS(D265)+ABS(E265)</f>
        <v>0</v>
      </c>
    </row>
    <row r="266" spans="1:7" hidden="1">
      <c r="A266" s="37" t="s">
        <v>498</v>
      </c>
      <c r="B266" s="38" t="s">
        <v>499</v>
      </c>
      <c r="C266" s="39"/>
      <c r="D266" s="40">
        <v>0</v>
      </c>
      <c r="E266" s="40">
        <v>0</v>
      </c>
      <c r="F266" s="40">
        <f>+D266-E266</f>
        <v>0</v>
      </c>
      <c r="G266" s="2">
        <f>+ABS(D266)+ABS(E266)</f>
        <v>0</v>
      </c>
    </row>
    <row r="267" spans="1:7" hidden="1">
      <c r="A267" s="37" t="s">
        <v>500</v>
      </c>
      <c r="B267" s="38" t="s">
        <v>501</v>
      </c>
      <c r="C267" s="39"/>
      <c r="D267" s="40">
        <v>0</v>
      </c>
      <c r="E267" s="40">
        <v>0</v>
      </c>
      <c r="F267" s="40">
        <f>+D267-E267</f>
        <v>0</v>
      </c>
      <c r="G267" s="2">
        <f>+ABS(D267)+ABS(E267)</f>
        <v>0</v>
      </c>
    </row>
    <row r="268" spans="1:7" hidden="1">
      <c r="A268" s="37" t="s">
        <v>502</v>
      </c>
      <c r="B268" s="38" t="s">
        <v>503</v>
      </c>
      <c r="C268" s="39"/>
      <c r="D268" s="40">
        <v>0</v>
      </c>
      <c r="E268" s="40">
        <v>0</v>
      </c>
      <c r="F268" s="40">
        <f>+D268-E268</f>
        <v>0</v>
      </c>
      <c r="G268" s="2">
        <f>+ABS(D268)+ABS(E268)</f>
        <v>0</v>
      </c>
    </row>
    <row r="269" spans="1:7" hidden="1">
      <c r="A269" s="37" t="s">
        <v>504</v>
      </c>
      <c r="B269" s="38" t="s">
        <v>505</v>
      </c>
      <c r="C269" s="39"/>
      <c r="D269" s="40">
        <v>0</v>
      </c>
      <c r="E269" s="40">
        <v>0</v>
      </c>
      <c r="F269" s="40">
        <f>+D269-E269</f>
        <v>0</v>
      </c>
      <c r="G269" s="2">
        <f>+ABS(D269)+ABS(E269)</f>
        <v>0</v>
      </c>
    </row>
    <row r="270" spans="1:7" hidden="1">
      <c r="A270" s="37" t="s">
        <v>506</v>
      </c>
      <c r="B270" s="38" t="s">
        <v>507</v>
      </c>
      <c r="C270" s="39"/>
      <c r="D270" s="40">
        <v>0</v>
      </c>
      <c r="E270" s="40">
        <v>0</v>
      </c>
      <c r="F270" s="40">
        <f>+D270-E270</f>
        <v>0</v>
      </c>
      <c r="G270" s="2">
        <f>+ABS(D270)+ABS(E270)</f>
        <v>0</v>
      </c>
    </row>
    <row r="271" spans="1:7" hidden="1">
      <c r="A271" s="37" t="s">
        <v>508</v>
      </c>
      <c r="B271" s="38" t="s">
        <v>509</v>
      </c>
      <c r="C271" s="39"/>
      <c r="D271" s="40">
        <v>0</v>
      </c>
      <c r="E271" s="40">
        <v>0</v>
      </c>
      <c r="F271" s="40">
        <f>+D271-E271</f>
        <v>0</v>
      </c>
      <c r="G271" s="2">
        <f>+ABS(D271)+ABS(E271)</f>
        <v>0</v>
      </c>
    </row>
    <row r="272" spans="1:7" hidden="1">
      <c r="A272" s="37" t="s">
        <v>510</v>
      </c>
      <c r="B272" s="38" t="s">
        <v>511</v>
      </c>
      <c r="C272" s="39"/>
      <c r="D272" s="40">
        <v>0</v>
      </c>
      <c r="E272" s="40">
        <v>0</v>
      </c>
      <c r="F272" s="40">
        <f>+D272-E272</f>
        <v>0</v>
      </c>
      <c r="G272" s="2">
        <f>+ABS(D272)+ABS(E272)</f>
        <v>0</v>
      </c>
    </row>
    <row r="273" spans="1:7" hidden="1">
      <c r="A273" s="37" t="s">
        <v>512</v>
      </c>
      <c r="B273" s="38" t="s">
        <v>513</v>
      </c>
      <c r="C273" s="39"/>
      <c r="D273" s="40">
        <v>0</v>
      </c>
      <c r="E273" s="40">
        <v>0</v>
      </c>
      <c r="F273" s="40">
        <f>+D273-E273</f>
        <v>0</v>
      </c>
      <c r="G273" s="2">
        <f>+ABS(D273)+ABS(E273)</f>
        <v>0</v>
      </c>
    </row>
    <row r="274" spans="1:7" hidden="1">
      <c r="A274" s="37" t="s">
        <v>514</v>
      </c>
      <c r="B274" s="38" t="s">
        <v>515</v>
      </c>
      <c r="C274" s="39"/>
      <c r="D274" s="40">
        <v>0</v>
      </c>
      <c r="E274" s="40">
        <v>0</v>
      </c>
      <c r="F274" s="40">
        <f>+D274-E274</f>
        <v>0</v>
      </c>
      <c r="G274" s="2">
        <f>+ABS(D274)+ABS(E274)</f>
        <v>0</v>
      </c>
    </row>
    <row r="275" spans="1:7" hidden="1">
      <c r="A275" s="37" t="s">
        <v>516</v>
      </c>
      <c r="B275" s="38" t="s">
        <v>517</v>
      </c>
      <c r="C275" s="39"/>
      <c r="D275" s="40">
        <v>0</v>
      </c>
      <c r="E275" s="40">
        <v>0</v>
      </c>
      <c r="F275" s="40">
        <f>+D275-E275</f>
        <v>0</v>
      </c>
      <c r="G275" s="2">
        <f>+ABS(D275)+ABS(E275)</f>
        <v>0</v>
      </c>
    </row>
    <row r="276" spans="1:7" hidden="1">
      <c r="A276" s="37" t="s">
        <v>518</v>
      </c>
      <c r="B276" s="38" t="s">
        <v>519</v>
      </c>
      <c r="C276" s="39"/>
      <c r="D276" s="40">
        <v>0</v>
      </c>
      <c r="E276" s="40">
        <v>0</v>
      </c>
      <c r="F276" s="40">
        <f>+D276-E276</f>
        <v>0</v>
      </c>
      <c r="G276" s="2">
        <f>+ABS(D276)+ABS(E276)</f>
        <v>0</v>
      </c>
    </row>
    <row r="277" spans="1:7" hidden="1">
      <c r="A277" s="37" t="s">
        <v>520</v>
      </c>
      <c r="B277" s="38" t="s">
        <v>521</v>
      </c>
      <c r="C277" s="39"/>
      <c r="D277" s="40">
        <v>0</v>
      </c>
      <c r="E277" s="40">
        <v>0</v>
      </c>
      <c r="F277" s="40">
        <f>+D277-E277</f>
        <v>0</v>
      </c>
      <c r="G277" s="2">
        <f>+ABS(D277)+ABS(E277)</f>
        <v>0</v>
      </c>
    </row>
    <row r="278" spans="1:7" hidden="1">
      <c r="A278" s="37" t="s">
        <v>522</v>
      </c>
      <c r="B278" s="38" t="s">
        <v>523</v>
      </c>
      <c r="C278" s="39"/>
      <c r="D278" s="40">
        <v>0</v>
      </c>
      <c r="E278" s="40">
        <v>0</v>
      </c>
      <c r="F278" s="40">
        <f>+D278-E278</f>
        <v>0</v>
      </c>
      <c r="G278" s="2">
        <f>+ABS(D278)+ABS(E278)</f>
        <v>0</v>
      </c>
    </row>
    <row r="279" spans="1:7" hidden="1">
      <c r="A279" s="37" t="s">
        <v>524</v>
      </c>
      <c r="B279" s="38" t="s">
        <v>525</v>
      </c>
      <c r="C279" s="39"/>
      <c r="D279" s="40">
        <v>0</v>
      </c>
      <c r="E279" s="40">
        <v>0</v>
      </c>
      <c r="F279" s="40">
        <f>+D279-E279</f>
        <v>0</v>
      </c>
      <c r="G279" s="2">
        <f>+ABS(D279)+ABS(E279)</f>
        <v>0</v>
      </c>
    </row>
    <row r="280" spans="1:7" hidden="1">
      <c r="A280" s="37" t="s">
        <v>526</v>
      </c>
      <c r="B280" s="38" t="s">
        <v>527</v>
      </c>
      <c r="C280" s="39"/>
      <c r="D280" s="40">
        <v>0</v>
      </c>
      <c r="E280" s="40">
        <v>0</v>
      </c>
      <c r="F280" s="40">
        <f>+D280-E280</f>
        <v>0</v>
      </c>
      <c r="G280" s="2">
        <f>+ABS(D280)+ABS(E280)</f>
        <v>0</v>
      </c>
    </row>
    <row r="281" spans="1:7" hidden="1">
      <c r="A281" s="37" t="s">
        <v>528</v>
      </c>
      <c r="B281" s="38" t="s">
        <v>529</v>
      </c>
      <c r="C281" s="39"/>
      <c r="D281" s="40">
        <v>0</v>
      </c>
      <c r="E281" s="40">
        <v>0</v>
      </c>
      <c r="F281" s="40">
        <f>+D281-E281</f>
        <v>0</v>
      </c>
      <c r="G281" s="2">
        <f>+ABS(D281)+ABS(E281)</f>
        <v>0</v>
      </c>
    </row>
    <row r="282" spans="1:7" hidden="1">
      <c r="A282" s="37" t="s">
        <v>530</v>
      </c>
      <c r="B282" s="38" t="s">
        <v>531</v>
      </c>
      <c r="C282" s="39"/>
      <c r="D282" s="40">
        <v>0</v>
      </c>
      <c r="E282" s="40">
        <v>0</v>
      </c>
      <c r="F282" s="40">
        <f>+D282-E282</f>
        <v>0</v>
      </c>
      <c r="G282" s="2">
        <f>+ABS(D282)+ABS(E282)</f>
        <v>0</v>
      </c>
    </row>
    <row r="283" spans="1:7" hidden="1">
      <c r="A283" s="37" t="s">
        <v>532</v>
      </c>
      <c r="B283" s="38" t="s">
        <v>533</v>
      </c>
      <c r="C283" s="39"/>
      <c r="D283" s="40">
        <v>0</v>
      </c>
      <c r="E283" s="40">
        <v>0</v>
      </c>
      <c r="F283" s="40">
        <f>+D283-E283</f>
        <v>0</v>
      </c>
      <c r="G283" s="2">
        <f>+ABS(D283)+ABS(E283)</f>
        <v>0</v>
      </c>
    </row>
    <row r="284" spans="1:7" hidden="1">
      <c r="A284" s="37" t="s">
        <v>534</v>
      </c>
      <c r="B284" s="38" t="s">
        <v>535</v>
      </c>
      <c r="C284" s="39"/>
      <c r="D284" s="40">
        <v>0</v>
      </c>
      <c r="E284" s="40">
        <v>0</v>
      </c>
      <c r="F284" s="40">
        <f>+D284-E284</f>
        <v>0</v>
      </c>
      <c r="G284" s="2">
        <f>+ABS(D284)+ABS(E284)</f>
        <v>0</v>
      </c>
    </row>
    <row r="285" spans="1:7" hidden="1">
      <c r="A285" s="37" t="s">
        <v>536</v>
      </c>
      <c r="B285" s="38" t="s">
        <v>537</v>
      </c>
      <c r="C285" s="39"/>
      <c r="D285" s="40">
        <v>0</v>
      </c>
      <c r="E285" s="40">
        <v>0</v>
      </c>
      <c r="F285" s="40">
        <f>+D285-E285</f>
        <v>0</v>
      </c>
      <c r="G285" s="2">
        <f>+ABS(D285)+ABS(E285)</f>
        <v>0</v>
      </c>
    </row>
    <row r="286" spans="1:7" hidden="1">
      <c r="A286" s="37" t="s">
        <v>538</v>
      </c>
      <c r="B286" s="38" t="s">
        <v>539</v>
      </c>
      <c r="C286" s="39"/>
      <c r="D286" s="40">
        <v>0</v>
      </c>
      <c r="E286" s="40">
        <v>0</v>
      </c>
      <c r="F286" s="40">
        <f>+D286-E286</f>
        <v>0</v>
      </c>
      <c r="G286" s="2">
        <f>+ABS(D286)+ABS(E286)</f>
        <v>0</v>
      </c>
    </row>
    <row r="287" spans="1:7" hidden="1">
      <c r="A287" s="37" t="s">
        <v>540</v>
      </c>
      <c r="B287" s="38" t="s">
        <v>541</v>
      </c>
      <c r="C287" s="39"/>
      <c r="D287" s="40">
        <v>0</v>
      </c>
      <c r="E287" s="40">
        <v>0</v>
      </c>
      <c r="F287" s="40">
        <f>+D287-E287</f>
        <v>0</v>
      </c>
      <c r="G287" s="2">
        <f>+ABS(D287)+ABS(E287)</f>
        <v>0</v>
      </c>
    </row>
    <row r="288" spans="1:7" hidden="1">
      <c r="A288" s="37" t="s">
        <v>542</v>
      </c>
      <c r="B288" s="38" t="s">
        <v>543</v>
      </c>
      <c r="C288" s="39"/>
      <c r="D288" s="40">
        <v>0</v>
      </c>
      <c r="E288" s="40">
        <v>0</v>
      </c>
      <c r="F288" s="40">
        <f>+D288-E288</f>
        <v>0</v>
      </c>
      <c r="G288" s="2">
        <f>+ABS(D288)+ABS(E288)</f>
        <v>0</v>
      </c>
    </row>
    <row r="289" spans="1:7" hidden="1">
      <c r="A289" s="37" t="s">
        <v>544</v>
      </c>
      <c r="B289" s="38" t="s">
        <v>545</v>
      </c>
      <c r="C289" s="39"/>
      <c r="D289" s="40">
        <v>0</v>
      </c>
      <c r="E289" s="40">
        <v>0</v>
      </c>
      <c r="F289" s="40">
        <f>+D289-E289</f>
        <v>0</v>
      </c>
      <c r="G289" s="2">
        <f>+ABS(D289)+ABS(E289)</f>
        <v>0</v>
      </c>
    </row>
    <row r="290" spans="1:7" hidden="1">
      <c r="A290" s="37" t="s">
        <v>546</v>
      </c>
      <c r="B290" s="38" t="s">
        <v>547</v>
      </c>
      <c r="C290" s="39"/>
      <c r="D290" s="40">
        <v>0</v>
      </c>
      <c r="E290" s="40">
        <v>0</v>
      </c>
      <c r="F290" s="40">
        <f>+D290-E290</f>
        <v>0</v>
      </c>
      <c r="G290" s="2">
        <f>+ABS(D290)+ABS(E290)</f>
        <v>0</v>
      </c>
    </row>
    <row r="291" spans="1:7" hidden="1">
      <c r="A291" s="37" t="s">
        <v>548</v>
      </c>
      <c r="B291" s="38" t="s">
        <v>549</v>
      </c>
      <c r="C291" s="39"/>
      <c r="D291" s="40">
        <v>0</v>
      </c>
      <c r="E291" s="40">
        <v>0</v>
      </c>
      <c r="F291" s="40">
        <f>+D291-E291</f>
        <v>0</v>
      </c>
      <c r="G291" s="2">
        <f>+ABS(D291)+ABS(E291)</f>
        <v>0</v>
      </c>
    </row>
    <row r="292" spans="1:7" hidden="1">
      <c r="A292" s="37" t="s">
        <v>550</v>
      </c>
      <c r="B292" s="38" t="s">
        <v>551</v>
      </c>
      <c r="C292" s="39"/>
      <c r="D292" s="40">
        <v>0</v>
      </c>
      <c r="E292" s="40">
        <v>0</v>
      </c>
      <c r="F292" s="40">
        <f>+D292-E292</f>
        <v>0</v>
      </c>
      <c r="G292" s="2">
        <f>+ABS(D292)+ABS(E292)</f>
        <v>0</v>
      </c>
    </row>
    <row r="293" spans="1:7" hidden="1">
      <c r="A293" s="37" t="s">
        <v>552</v>
      </c>
      <c r="B293" s="38" t="s">
        <v>553</v>
      </c>
      <c r="C293" s="39"/>
      <c r="D293" s="40">
        <v>0</v>
      </c>
      <c r="E293" s="40">
        <v>0</v>
      </c>
      <c r="F293" s="40">
        <f>+D293-E293</f>
        <v>0</v>
      </c>
      <c r="G293" s="2">
        <f>+ABS(D293)+ABS(E293)</f>
        <v>0</v>
      </c>
    </row>
    <row r="294" spans="1:7" hidden="1">
      <c r="A294" s="37" t="s">
        <v>554</v>
      </c>
      <c r="B294" s="38" t="s">
        <v>555</v>
      </c>
      <c r="C294" s="39"/>
      <c r="D294" s="40">
        <v>0</v>
      </c>
      <c r="E294" s="40">
        <v>0</v>
      </c>
      <c r="F294" s="40">
        <f>+D294-E294</f>
        <v>0</v>
      </c>
      <c r="G294" s="2">
        <f>+ABS(D294)+ABS(E294)</f>
        <v>0</v>
      </c>
    </row>
    <row r="295" spans="1:7" hidden="1">
      <c r="A295" s="37" t="s">
        <v>556</v>
      </c>
      <c r="B295" s="38" t="s">
        <v>557</v>
      </c>
      <c r="C295" s="39"/>
      <c r="D295" s="40">
        <v>0</v>
      </c>
      <c r="E295" s="40">
        <v>0</v>
      </c>
      <c r="F295" s="40">
        <f>+D295-E295</f>
        <v>0</v>
      </c>
      <c r="G295" s="2">
        <f>+ABS(D295)+ABS(E295)</f>
        <v>0</v>
      </c>
    </row>
    <row r="296" spans="1:7" hidden="1">
      <c r="A296" s="37" t="s">
        <v>558</v>
      </c>
      <c r="B296" s="38" t="s">
        <v>559</v>
      </c>
      <c r="C296" s="39"/>
      <c r="D296" s="40">
        <v>0</v>
      </c>
      <c r="E296" s="40">
        <v>0</v>
      </c>
      <c r="F296" s="40">
        <f>+D296-E296</f>
        <v>0</v>
      </c>
      <c r="G296" s="2">
        <f>+ABS(D296)+ABS(E296)</f>
        <v>0</v>
      </c>
    </row>
    <row r="297" spans="1:7" hidden="1">
      <c r="A297" s="37" t="s">
        <v>560</v>
      </c>
      <c r="B297" s="38" t="s">
        <v>561</v>
      </c>
      <c r="C297" s="39"/>
      <c r="D297" s="40">
        <v>0</v>
      </c>
      <c r="E297" s="40">
        <v>0</v>
      </c>
      <c r="F297" s="40">
        <f>+D297-E297</f>
        <v>0</v>
      </c>
      <c r="G297" s="2">
        <f>+ABS(D297)+ABS(E297)</f>
        <v>0</v>
      </c>
    </row>
    <row r="298" spans="1:7" hidden="1">
      <c r="A298" s="37" t="s">
        <v>562</v>
      </c>
      <c r="B298" s="38" t="s">
        <v>563</v>
      </c>
      <c r="C298" s="39"/>
      <c r="D298" s="40">
        <v>0</v>
      </c>
      <c r="E298" s="40">
        <v>0</v>
      </c>
      <c r="F298" s="40">
        <f>+D298-E298</f>
        <v>0</v>
      </c>
      <c r="G298" s="2">
        <f>+ABS(D298)+ABS(E298)</f>
        <v>0</v>
      </c>
    </row>
    <row r="299" spans="1:7" hidden="1">
      <c r="A299" s="37" t="s">
        <v>564</v>
      </c>
      <c r="B299" s="38" t="s">
        <v>565</v>
      </c>
      <c r="C299" s="39"/>
      <c r="D299" s="40">
        <v>0</v>
      </c>
      <c r="E299" s="40">
        <v>0</v>
      </c>
      <c r="F299" s="40">
        <f>+D299-E299</f>
        <v>0</v>
      </c>
      <c r="G299" s="2">
        <f>+ABS(D299)+ABS(E299)</f>
        <v>0</v>
      </c>
    </row>
    <row r="300" spans="1:7" hidden="1">
      <c r="A300" s="37" t="s">
        <v>566</v>
      </c>
      <c r="B300" s="38" t="s">
        <v>567</v>
      </c>
      <c r="C300" s="39"/>
      <c r="D300" s="40">
        <v>0</v>
      </c>
      <c r="E300" s="40">
        <v>0</v>
      </c>
      <c r="F300" s="40">
        <f>+D300-E300</f>
        <v>0</v>
      </c>
      <c r="G300" s="2">
        <f>+ABS(D300)+ABS(E300)</f>
        <v>0</v>
      </c>
    </row>
    <row r="301" spans="1:7" hidden="1">
      <c r="A301" s="37" t="s">
        <v>568</v>
      </c>
      <c r="B301" s="38" t="s">
        <v>569</v>
      </c>
      <c r="C301" s="39"/>
      <c r="D301" s="40">
        <v>0</v>
      </c>
      <c r="E301" s="40">
        <v>0</v>
      </c>
      <c r="F301" s="40">
        <f>+D301-E301</f>
        <v>0</v>
      </c>
      <c r="G301" s="2">
        <f>+ABS(D301)+ABS(E301)</f>
        <v>0</v>
      </c>
    </row>
    <row r="302" spans="1:7" hidden="1">
      <c r="A302" s="37" t="s">
        <v>570</v>
      </c>
      <c r="B302" s="38" t="s">
        <v>571</v>
      </c>
      <c r="C302" s="39"/>
      <c r="D302" s="40">
        <v>0</v>
      </c>
      <c r="E302" s="40">
        <v>0</v>
      </c>
      <c r="F302" s="40">
        <f>+D302-E302</f>
        <v>0</v>
      </c>
      <c r="G302" s="2">
        <f>+ABS(D302)+ABS(E302)</f>
        <v>0</v>
      </c>
    </row>
    <row r="303" spans="1:7" hidden="1">
      <c r="A303" s="37" t="s">
        <v>572</v>
      </c>
      <c r="B303" s="38" t="s">
        <v>573</v>
      </c>
      <c r="C303" s="39"/>
      <c r="D303" s="40">
        <v>0</v>
      </c>
      <c r="E303" s="40">
        <v>0</v>
      </c>
      <c r="F303" s="40">
        <f>+D303-E303</f>
        <v>0</v>
      </c>
      <c r="G303" s="2">
        <f>+ABS(D303)+ABS(E303)</f>
        <v>0</v>
      </c>
    </row>
    <row r="304" spans="1:7" hidden="1">
      <c r="A304" s="37" t="s">
        <v>574</v>
      </c>
      <c r="B304" s="38" t="s">
        <v>575</v>
      </c>
      <c r="C304" s="39"/>
      <c r="D304" s="40">
        <v>0</v>
      </c>
      <c r="E304" s="40">
        <v>0</v>
      </c>
      <c r="F304" s="40">
        <f>+D304-E304</f>
        <v>0</v>
      </c>
      <c r="G304" s="2">
        <f>+ABS(D304)+ABS(E304)</f>
        <v>0</v>
      </c>
    </row>
    <row r="305" spans="1:7" hidden="1">
      <c r="A305" s="37" t="s">
        <v>576</v>
      </c>
      <c r="B305" s="38" t="s">
        <v>577</v>
      </c>
      <c r="C305" s="39"/>
      <c r="D305" s="40">
        <v>0</v>
      </c>
      <c r="E305" s="40">
        <v>0</v>
      </c>
      <c r="F305" s="40">
        <f>+D305-E305</f>
        <v>0</v>
      </c>
      <c r="G305" s="2">
        <f>+ABS(D305)+ABS(E305)</f>
        <v>0</v>
      </c>
    </row>
    <row r="306" spans="1:7" hidden="1">
      <c r="A306" s="37" t="s">
        <v>578</v>
      </c>
      <c r="B306" s="38" t="s">
        <v>579</v>
      </c>
      <c r="C306" s="39"/>
      <c r="D306" s="40">
        <v>0</v>
      </c>
      <c r="E306" s="40">
        <v>0</v>
      </c>
      <c r="F306" s="40">
        <f>+D306-E306</f>
        <v>0</v>
      </c>
      <c r="G306" s="2">
        <f>+ABS(D306)+ABS(E306)</f>
        <v>0</v>
      </c>
    </row>
    <row r="307" spans="1:7" hidden="1">
      <c r="A307" s="37" t="s">
        <v>580</v>
      </c>
      <c r="B307" s="38" t="s">
        <v>581</v>
      </c>
      <c r="C307" s="39"/>
      <c r="D307" s="40">
        <v>0</v>
      </c>
      <c r="E307" s="40">
        <v>0</v>
      </c>
      <c r="F307" s="40">
        <f>+D307-E307</f>
        <v>0</v>
      </c>
      <c r="G307" s="2">
        <f>+ABS(D307)+ABS(E307)</f>
        <v>0</v>
      </c>
    </row>
    <row r="308" spans="1:7" hidden="1">
      <c r="A308" s="37" t="s">
        <v>582</v>
      </c>
      <c r="B308" s="38" t="s">
        <v>583</v>
      </c>
      <c r="C308" s="39"/>
      <c r="D308" s="40">
        <v>0</v>
      </c>
      <c r="E308" s="40">
        <v>0</v>
      </c>
      <c r="F308" s="40">
        <f>+D308-E308</f>
        <v>0</v>
      </c>
      <c r="G308" s="2">
        <f>+ABS(D308)+ABS(E308)</f>
        <v>0</v>
      </c>
    </row>
    <row r="309" spans="1:7" hidden="1">
      <c r="A309" s="37" t="s">
        <v>584</v>
      </c>
      <c r="B309" s="38" t="s">
        <v>585</v>
      </c>
      <c r="C309" s="39"/>
      <c r="D309" s="40">
        <v>0</v>
      </c>
      <c r="E309" s="40">
        <v>0</v>
      </c>
      <c r="F309" s="40">
        <f>+D309-E309</f>
        <v>0</v>
      </c>
      <c r="G309" s="2">
        <f>+ABS(D309)+ABS(E309)</f>
        <v>0</v>
      </c>
    </row>
    <row r="310" spans="1:7" hidden="1">
      <c r="A310" s="37" t="s">
        <v>586</v>
      </c>
      <c r="B310" s="38" t="s">
        <v>587</v>
      </c>
      <c r="C310" s="39"/>
      <c r="D310" s="40">
        <v>0</v>
      </c>
      <c r="E310" s="40">
        <v>0</v>
      </c>
      <c r="F310" s="40">
        <f>+D310-E310</f>
        <v>0</v>
      </c>
      <c r="G310" s="2">
        <f>+ABS(D310)+ABS(E310)</f>
        <v>0</v>
      </c>
    </row>
    <row r="311" spans="1:7" hidden="1">
      <c r="A311" s="37" t="s">
        <v>588</v>
      </c>
      <c r="B311" s="38" t="s">
        <v>589</v>
      </c>
      <c r="C311" s="39"/>
      <c r="D311" s="40">
        <v>0</v>
      </c>
      <c r="E311" s="40">
        <v>0</v>
      </c>
      <c r="F311" s="40">
        <f>+D311-E311</f>
        <v>0</v>
      </c>
      <c r="G311" s="2">
        <f>+ABS(D311)+ABS(E311)</f>
        <v>0</v>
      </c>
    </row>
    <row r="312" spans="1:7" hidden="1">
      <c r="A312" s="37" t="s">
        <v>590</v>
      </c>
      <c r="B312" s="38" t="s">
        <v>591</v>
      </c>
      <c r="C312" s="39"/>
      <c r="D312" s="40">
        <v>0</v>
      </c>
      <c r="E312" s="40">
        <v>0</v>
      </c>
      <c r="F312" s="40">
        <f>+D312-E312</f>
        <v>0</v>
      </c>
      <c r="G312" s="2">
        <f>+ABS(D312)+ABS(E312)</f>
        <v>0</v>
      </c>
    </row>
    <row r="313" spans="1:7" hidden="1">
      <c r="A313" s="37" t="s">
        <v>592</v>
      </c>
      <c r="B313" s="38" t="s">
        <v>593</v>
      </c>
      <c r="C313" s="39"/>
      <c r="D313" s="40">
        <v>0</v>
      </c>
      <c r="E313" s="40">
        <v>0</v>
      </c>
      <c r="F313" s="40">
        <f>+D313-E313</f>
        <v>0</v>
      </c>
      <c r="G313" s="2">
        <f>+ABS(D313)+ABS(E313)</f>
        <v>0</v>
      </c>
    </row>
    <row r="314" spans="1:7">
      <c r="A314" s="37" t="s">
        <v>594</v>
      </c>
      <c r="B314" s="38" t="s">
        <v>303</v>
      </c>
      <c r="C314" s="39"/>
      <c r="D314" s="40">
        <v>78687.740000000005</v>
      </c>
      <c r="E314" s="40">
        <v>53123.5</v>
      </c>
      <c r="F314" s="40">
        <f>+D314-E314</f>
        <v>25564.240000000002</v>
      </c>
      <c r="G314" s="2">
        <f>+ABS(D314)+ABS(E314)</f>
        <v>131811.24</v>
      </c>
    </row>
    <row r="315" spans="1:7" hidden="1">
      <c r="A315" s="37" t="s">
        <v>595</v>
      </c>
      <c r="B315" s="38" t="s">
        <v>596</v>
      </c>
      <c r="C315" s="39"/>
      <c r="D315" s="40">
        <v>0</v>
      </c>
      <c r="E315" s="40">
        <v>0</v>
      </c>
      <c r="F315" s="40">
        <f>+D315-E315</f>
        <v>0</v>
      </c>
      <c r="G315" s="2">
        <f>+ABS(D315)+ABS(E315)</f>
        <v>0</v>
      </c>
    </row>
    <row r="316" spans="1:7" hidden="1">
      <c r="A316" s="37" t="s">
        <v>597</v>
      </c>
      <c r="B316" s="38" t="s">
        <v>598</v>
      </c>
      <c r="C316" s="39"/>
      <c r="D316" s="40">
        <v>0</v>
      </c>
      <c r="E316" s="40">
        <v>0</v>
      </c>
      <c r="F316" s="40">
        <f>+D316-E316</f>
        <v>0</v>
      </c>
      <c r="G316" s="2">
        <f>+ABS(D316)+ABS(E316)</f>
        <v>0</v>
      </c>
    </row>
    <row r="317" spans="1:7" hidden="1">
      <c r="A317" s="37" t="s">
        <v>599</v>
      </c>
      <c r="B317" s="38" t="s">
        <v>600</v>
      </c>
      <c r="C317" s="39"/>
      <c r="D317" s="40">
        <v>0</v>
      </c>
      <c r="E317" s="40">
        <v>0</v>
      </c>
      <c r="F317" s="40">
        <f>+D317-E317</f>
        <v>0</v>
      </c>
      <c r="G317" s="2">
        <f>+ABS(D317)+ABS(E317)</f>
        <v>0</v>
      </c>
    </row>
    <row r="318" spans="1:7" hidden="1">
      <c r="A318" s="37" t="s">
        <v>601</v>
      </c>
      <c r="B318" s="38" t="s">
        <v>602</v>
      </c>
      <c r="C318" s="39"/>
      <c r="D318" s="40">
        <v>0</v>
      </c>
      <c r="E318" s="40">
        <v>0</v>
      </c>
      <c r="F318" s="40">
        <f>+D318-E318</f>
        <v>0</v>
      </c>
      <c r="G318" s="2">
        <f>+ABS(D318)+ABS(E318)</f>
        <v>0</v>
      </c>
    </row>
    <row r="319" spans="1:7" hidden="1">
      <c r="A319" s="37" t="s">
        <v>603</v>
      </c>
      <c r="B319" s="38" t="s">
        <v>604</v>
      </c>
      <c r="C319" s="39"/>
      <c r="D319" s="40">
        <v>0</v>
      </c>
      <c r="E319" s="40">
        <v>0</v>
      </c>
      <c r="F319" s="40">
        <f>+D319-E319</f>
        <v>0</v>
      </c>
      <c r="G319" s="2">
        <f>+ABS(D319)+ABS(E319)</f>
        <v>0</v>
      </c>
    </row>
    <row r="320" spans="1:7">
      <c r="A320" s="37" t="s">
        <v>605</v>
      </c>
      <c r="B320" s="38" t="s">
        <v>606</v>
      </c>
      <c r="C320" s="39"/>
      <c r="D320" s="40">
        <v>562.6</v>
      </c>
      <c r="E320" s="40">
        <v>0</v>
      </c>
      <c r="F320" s="40">
        <f>+D320-E320</f>
        <v>562.6</v>
      </c>
      <c r="G320" s="2">
        <f>+ABS(D320)+ABS(E320)</f>
        <v>562.6</v>
      </c>
    </row>
    <row r="321" spans="1:7">
      <c r="A321" s="37" t="s">
        <v>607</v>
      </c>
      <c r="B321" s="38" t="s">
        <v>608</v>
      </c>
      <c r="C321" s="39"/>
      <c r="D321" s="40">
        <v>9080.9599999999991</v>
      </c>
      <c r="E321" s="40">
        <v>9080.9599999999991</v>
      </c>
      <c r="F321" s="40">
        <f>+D321-E321</f>
        <v>0</v>
      </c>
      <c r="G321" s="2">
        <f>+ABS(D321)+ABS(E321)</f>
        <v>18161.919999999998</v>
      </c>
    </row>
    <row r="322" spans="1:7" hidden="1">
      <c r="A322" s="37" t="s">
        <v>609</v>
      </c>
      <c r="B322" s="38" t="s">
        <v>610</v>
      </c>
      <c r="C322" s="39"/>
      <c r="D322" s="40">
        <v>0</v>
      </c>
      <c r="E322" s="40">
        <v>0</v>
      </c>
      <c r="F322" s="40">
        <f>+D322-E322</f>
        <v>0</v>
      </c>
      <c r="G322" s="2">
        <f>+ABS(D322)+ABS(E322)</f>
        <v>0</v>
      </c>
    </row>
    <row r="323" spans="1:7">
      <c r="A323" s="37" t="s">
        <v>611</v>
      </c>
      <c r="B323" s="38" t="s">
        <v>612</v>
      </c>
      <c r="C323" s="39"/>
      <c r="D323" s="40">
        <v>20237.98</v>
      </c>
      <c r="E323" s="40">
        <v>20237.98</v>
      </c>
      <c r="F323" s="40">
        <f>+D323-E323</f>
        <v>0</v>
      </c>
      <c r="G323" s="2">
        <f>+ABS(D323)+ABS(E323)</f>
        <v>40475.96</v>
      </c>
    </row>
    <row r="324" spans="1:7" hidden="1">
      <c r="A324" s="37" t="s">
        <v>613</v>
      </c>
      <c r="B324" s="38" t="s">
        <v>614</v>
      </c>
      <c r="C324" s="39"/>
      <c r="D324" s="40">
        <v>0</v>
      </c>
      <c r="E324" s="40">
        <v>0</v>
      </c>
      <c r="F324" s="40">
        <f>+D324-E324</f>
        <v>0</v>
      </c>
      <c r="G324" s="2">
        <f>+ABS(D324)+ABS(E324)</f>
        <v>0</v>
      </c>
    </row>
    <row r="325" spans="1:7" hidden="1">
      <c r="A325" s="37" t="s">
        <v>615</v>
      </c>
      <c r="B325" s="38" t="s">
        <v>616</v>
      </c>
      <c r="C325" s="39"/>
      <c r="D325" s="40">
        <v>0</v>
      </c>
      <c r="E325" s="40">
        <v>0</v>
      </c>
      <c r="F325" s="40">
        <f>+D325-E325</f>
        <v>0</v>
      </c>
      <c r="G325" s="2">
        <f>+ABS(D325)+ABS(E325)</f>
        <v>0</v>
      </c>
    </row>
    <row r="326" spans="1:7" hidden="1">
      <c r="A326" s="37" t="s">
        <v>617</v>
      </c>
      <c r="B326" s="38" t="s">
        <v>618</v>
      </c>
      <c r="C326" s="39"/>
      <c r="D326" s="40">
        <v>0</v>
      </c>
      <c r="E326" s="40">
        <v>0</v>
      </c>
      <c r="F326" s="40">
        <f>+D326-E326</f>
        <v>0</v>
      </c>
      <c r="G326" s="2">
        <f>+ABS(D326)+ABS(E326)</f>
        <v>0</v>
      </c>
    </row>
    <row r="327" spans="1:7" hidden="1">
      <c r="A327" s="37" t="s">
        <v>619</v>
      </c>
      <c r="B327" s="38" t="s">
        <v>620</v>
      </c>
      <c r="C327" s="39"/>
      <c r="D327" s="40">
        <v>0</v>
      </c>
      <c r="E327" s="40">
        <v>0</v>
      </c>
      <c r="F327" s="40">
        <f>+D327-E327</f>
        <v>0</v>
      </c>
      <c r="G327" s="2">
        <f>+ABS(D327)+ABS(E327)</f>
        <v>0</v>
      </c>
    </row>
    <row r="328" spans="1:7" hidden="1">
      <c r="A328" s="37" t="s">
        <v>621</v>
      </c>
      <c r="B328" s="38" t="s">
        <v>622</v>
      </c>
      <c r="C328" s="39"/>
      <c r="D328" s="40">
        <v>0</v>
      </c>
      <c r="E328" s="40">
        <v>0</v>
      </c>
      <c r="F328" s="40">
        <f>+D328-E328</f>
        <v>0</v>
      </c>
      <c r="G328" s="2">
        <f>+ABS(D328)+ABS(E328)</f>
        <v>0</v>
      </c>
    </row>
    <row r="329" spans="1:7" hidden="1">
      <c r="A329" s="37" t="s">
        <v>623</v>
      </c>
      <c r="B329" s="38" t="s">
        <v>624</v>
      </c>
      <c r="C329" s="39"/>
      <c r="D329" s="40">
        <v>0</v>
      </c>
      <c r="E329" s="40">
        <v>0</v>
      </c>
      <c r="F329" s="40">
        <f>+D329-E329</f>
        <v>0</v>
      </c>
      <c r="G329" s="2">
        <f>+ABS(D329)+ABS(E329)</f>
        <v>0</v>
      </c>
    </row>
    <row r="330" spans="1:7" hidden="1">
      <c r="A330" s="37" t="s">
        <v>625</v>
      </c>
      <c r="B330" s="38" t="s">
        <v>626</v>
      </c>
      <c r="C330" s="39"/>
      <c r="D330" s="40">
        <v>0</v>
      </c>
      <c r="E330" s="40">
        <v>0</v>
      </c>
      <c r="F330" s="40">
        <f>+D330-E330</f>
        <v>0</v>
      </c>
      <c r="G330" s="2">
        <f>+ABS(D330)+ABS(E330)</f>
        <v>0</v>
      </c>
    </row>
    <row r="331" spans="1:7" hidden="1">
      <c r="A331" s="37" t="s">
        <v>627</v>
      </c>
      <c r="B331" s="38" t="s">
        <v>628</v>
      </c>
      <c r="C331" s="39"/>
      <c r="D331" s="40">
        <v>0</v>
      </c>
      <c r="E331" s="40">
        <v>0</v>
      </c>
      <c r="F331" s="40">
        <f>+D331-E331</f>
        <v>0</v>
      </c>
      <c r="G331" s="2">
        <f>+ABS(D331)+ABS(E331)</f>
        <v>0</v>
      </c>
    </row>
    <row r="332" spans="1:7" hidden="1">
      <c r="A332" s="37" t="s">
        <v>629</v>
      </c>
      <c r="B332" s="38" t="s">
        <v>630</v>
      </c>
      <c r="C332" s="39"/>
      <c r="D332" s="40">
        <v>0</v>
      </c>
      <c r="E332" s="40">
        <v>0</v>
      </c>
      <c r="F332" s="40">
        <f>+D332-E332</f>
        <v>0</v>
      </c>
      <c r="G332" s="2">
        <f>+ABS(D332)+ABS(E332)</f>
        <v>0</v>
      </c>
    </row>
    <row r="333" spans="1:7" hidden="1">
      <c r="A333" s="37" t="s">
        <v>631</v>
      </c>
      <c r="B333" s="38" t="s">
        <v>632</v>
      </c>
      <c r="C333" s="39"/>
      <c r="D333" s="40">
        <v>0</v>
      </c>
      <c r="E333" s="40">
        <v>0</v>
      </c>
      <c r="F333" s="40">
        <f>+D333-E333</f>
        <v>0</v>
      </c>
      <c r="G333" s="2">
        <f>+ABS(D333)+ABS(E333)</f>
        <v>0</v>
      </c>
    </row>
    <row r="334" spans="1:7" hidden="1">
      <c r="A334" s="37" t="s">
        <v>633</v>
      </c>
      <c r="B334" s="38" t="s">
        <v>634</v>
      </c>
      <c r="C334" s="39"/>
      <c r="D334" s="40">
        <v>0</v>
      </c>
      <c r="E334" s="40">
        <v>0</v>
      </c>
      <c r="F334" s="40">
        <f>+D334-E334</f>
        <v>0</v>
      </c>
      <c r="G334" s="2">
        <f>+ABS(D334)+ABS(E334)</f>
        <v>0</v>
      </c>
    </row>
    <row r="335" spans="1:7" hidden="1">
      <c r="A335" s="37" t="s">
        <v>635</v>
      </c>
      <c r="B335" s="38" t="s">
        <v>636</v>
      </c>
      <c r="C335" s="39"/>
      <c r="D335" s="40">
        <v>0</v>
      </c>
      <c r="E335" s="40">
        <v>0</v>
      </c>
      <c r="F335" s="40">
        <f>+D335-E335</f>
        <v>0</v>
      </c>
      <c r="G335" s="2">
        <f>+ABS(D335)+ABS(E335)</f>
        <v>0</v>
      </c>
    </row>
    <row r="336" spans="1:7" hidden="1">
      <c r="A336" s="37" t="s">
        <v>637</v>
      </c>
      <c r="B336" s="38" t="s">
        <v>638</v>
      </c>
      <c r="C336" s="39"/>
      <c r="D336" s="40">
        <v>0</v>
      </c>
      <c r="E336" s="40">
        <v>0</v>
      </c>
      <c r="F336" s="40">
        <f>+D336-E336</f>
        <v>0</v>
      </c>
      <c r="G336" s="2">
        <f>+ABS(D336)+ABS(E336)</f>
        <v>0</v>
      </c>
    </row>
    <row r="337" spans="1:7" hidden="1">
      <c r="A337" s="37" t="s">
        <v>639</v>
      </c>
      <c r="B337" s="38" t="s">
        <v>640</v>
      </c>
      <c r="C337" s="39"/>
      <c r="D337" s="40">
        <v>0</v>
      </c>
      <c r="E337" s="40">
        <v>0</v>
      </c>
      <c r="F337" s="40">
        <f>+D337-E337</f>
        <v>0</v>
      </c>
      <c r="G337" s="2">
        <f>+ABS(D337)+ABS(E337)</f>
        <v>0</v>
      </c>
    </row>
    <row r="338" spans="1:7" hidden="1">
      <c r="A338" s="37" t="s">
        <v>641</v>
      </c>
      <c r="B338" s="38" t="s">
        <v>642</v>
      </c>
      <c r="C338" s="39"/>
      <c r="D338" s="40">
        <v>0</v>
      </c>
      <c r="E338" s="40">
        <v>0</v>
      </c>
      <c r="F338" s="40">
        <f>+D338-E338</f>
        <v>0</v>
      </c>
      <c r="G338" s="2">
        <f>+ABS(D338)+ABS(E338)</f>
        <v>0</v>
      </c>
    </row>
    <row r="339" spans="1:7" hidden="1">
      <c r="A339" s="37" t="s">
        <v>643</v>
      </c>
      <c r="B339" s="38" t="s">
        <v>644</v>
      </c>
      <c r="C339" s="39"/>
      <c r="D339" s="40">
        <v>0</v>
      </c>
      <c r="E339" s="40">
        <v>0</v>
      </c>
      <c r="F339" s="40">
        <f>+D339-E339</f>
        <v>0</v>
      </c>
      <c r="G339" s="2">
        <f>+ABS(D339)+ABS(E339)</f>
        <v>0</v>
      </c>
    </row>
    <row r="340" spans="1:7" hidden="1">
      <c r="A340" s="37" t="s">
        <v>645</v>
      </c>
      <c r="B340" s="38" t="s">
        <v>646</v>
      </c>
      <c r="C340" s="39"/>
      <c r="D340" s="40">
        <v>0</v>
      </c>
      <c r="E340" s="40">
        <v>0</v>
      </c>
      <c r="F340" s="40">
        <f>+D340-E340</f>
        <v>0</v>
      </c>
      <c r="G340" s="2">
        <f>+ABS(D340)+ABS(E340)</f>
        <v>0</v>
      </c>
    </row>
    <row r="341" spans="1:7" hidden="1">
      <c r="A341" s="37" t="s">
        <v>647</v>
      </c>
      <c r="B341" s="38" t="s">
        <v>648</v>
      </c>
      <c r="C341" s="39"/>
      <c r="D341" s="40">
        <v>0</v>
      </c>
      <c r="E341" s="40">
        <v>0</v>
      </c>
      <c r="F341" s="40">
        <f>+D341-E341</f>
        <v>0</v>
      </c>
      <c r="G341" s="2">
        <f>+ABS(D341)+ABS(E341)</f>
        <v>0</v>
      </c>
    </row>
    <row r="342" spans="1:7" hidden="1">
      <c r="A342" s="37" t="s">
        <v>649</v>
      </c>
      <c r="B342" s="38" t="s">
        <v>650</v>
      </c>
      <c r="C342" s="39"/>
      <c r="D342" s="40">
        <v>0</v>
      </c>
      <c r="E342" s="40">
        <v>0</v>
      </c>
      <c r="F342" s="40">
        <f>+D342-E342</f>
        <v>0</v>
      </c>
      <c r="G342" s="2">
        <f>+ABS(D342)+ABS(E342)</f>
        <v>0</v>
      </c>
    </row>
    <row r="343" spans="1:7" hidden="1">
      <c r="A343" s="37" t="s">
        <v>651</v>
      </c>
      <c r="B343" s="38" t="s">
        <v>652</v>
      </c>
      <c r="C343" s="39"/>
      <c r="D343" s="40">
        <v>0</v>
      </c>
      <c r="E343" s="40">
        <v>0</v>
      </c>
      <c r="F343" s="40">
        <f>+D343-E343</f>
        <v>0</v>
      </c>
      <c r="G343" s="2">
        <f>+ABS(D343)+ABS(E343)</f>
        <v>0</v>
      </c>
    </row>
    <row r="344" spans="1:7" hidden="1">
      <c r="A344" s="37" t="s">
        <v>653</v>
      </c>
      <c r="B344" s="38" t="s">
        <v>654</v>
      </c>
      <c r="C344" s="39"/>
      <c r="D344" s="40">
        <v>0</v>
      </c>
      <c r="E344" s="40">
        <v>0</v>
      </c>
      <c r="F344" s="40">
        <f>+D344-E344</f>
        <v>0</v>
      </c>
      <c r="G344" s="2">
        <f>+ABS(D344)+ABS(E344)</f>
        <v>0</v>
      </c>
    </row>
    <row r="345" spans="1:7" hidden="1">
      <c r="A345" s="37" t="s">
        <v>655</v>
      </c>
      <c r="B345" s="38" t="s">
        <v>656</v>
      </c>
      <c r="C345" s="39"/>
      <c r="D345" s="40">
        <v>0</v>
      </c>
      <c r="E345" s="40">
        <v>0</v>
      </c>
      <c r="F345" s="40">
        <f>+D345-E345</f>
        <v>0</v>
      </c>
      <c r="G345" s="2">
        <f>+ABS(D345)+ABS(E345)</f>
        <v>0</v>
      </c>
    </row>
    <row r="346" spans="1:7" hidden="1">
      <c r="A346" s="37" t="s">
        <v>657</v>
      </c>
      <c r="B346" s="38" t="s">
        <v>658</v>
      </c>
      <c r="C346" s="39"/>
      <c r="D346" s="40">
        <v>0</v>
      </c>
      <c r="E346" s="40">
        <v>0</v>
      </c>
      <c r="F346" s="40">
        <f>+D346-E346</f>
        <v>0</v>
      </c>
      <c r="G346" s="2">
        <f>+ABS(D346)+ABS(E346)</f>
        <v>0</v>
      </c>
    </row>
    <row r="347" spans="1:7" hidden="1">
      <c r="A347" s="37" t="s">
        <v>659</v>
      </c>
      <c r="B347" s="38" t="s">
        <v>660</v>
      </c>
      <c r="C347" s="39"/>
      <c r="D347" s="40">
        <v>0</v>
      </c>
      <c r="E347" s="40">
        <v>0</v>
      </c>
      <c r="F347" s="40">
        <f>+D347-E347</f>
        <v>0</v>
      </c>
      <c r="G347" s="2">
        <f>+ABS(D347)+ABS(E347)</f>
        <v>0</v>
      </c>
    </row>
    <row r="348" spans="1:7" hidden="1">
      <c r="A348" s="37" t="s">
        <v>661</v>
      </c>
      <c r="B348" s="38" t="s">
        <v>662</v>
      </c>
      <c r="C348" s="39"/>
      <c r="D348" s="40">
        <v>0</v>
      </c>
      <c r="E348" s="40">
        <v>0</v>
      </c>
      <c r="F348" s="40">
        <f>+D348-E348</f>
        <v>0</v>
      </c>
      <c r="G348" s="2">
        <f>+ABS(D348)+ABS(E348)</f>
        <v>0</v>
      </c>
    </row>
    <row r="349" spans="1:7" hidden="1">
      <c r="A349" s="37" t="s">
        <v>663</v>
      </c>
      <c r="B349" s="38" t="s">
        <v>664</v>
      </c>
      <c r="C349" s="39"/>
      <c r="D349" s="40">
        <v>0</v>
      </c>
      <c r="E349" s="40">
        <v>0</v>
      </c>
      <c r="F349" s="40">
        <f>+D349-E349</f>
        <v>0</v>
      </c>
      <c r="G349" s="2">
        <f>+ABS(D349)+ABS(E349)</f>
        <v>0</v>
      </c>
    </row>
    <row r="350" spans="1:7" hidden="1">
      <c r="A350" s="37" t="s">
        <v>665</v>
      </c>
      <c r="B350" s="38" t="s">
        <v>666</v>
      </c>
      <c r="C350" s="39"/>
      <c r="D350" s="40">
        <v>0</v>
      </c>
      <c r="E350" s="40">
        <v>0</v>
      </c>
      <c r="F350" s="40">
        <f>+D350-E350</f>
        <v>0</v>
      </c>
      <c r="G350" s="2">
        <f>+ABS(D350)+ABS(E350)</f>
        <v>0</v>
      </c>
    </row>
    <row r="351" spans="1:7" hidden="1">
      <c r="A351" s="37" t="s">
        <v>667</v>
      </c>
      <c r="B351" s="38" t="s">
        <v>668</v>
      </c>
      <c r="C351" s="39"/>
      <c r="D351" s="40">
        <v>0</v>
      </c>
      <c r="E351" s="40">
        <v>0</v>
      </c>
      <c r="F351" s="40">
        <f>+D351-E351</f>
        <v>0</v>
      </c>
      <c r="G351" s="2">
        <f>+ABS(D351)+ABS(E351)</f>
        <v>0</v>
      </c>
    </row>
    <row r="352" spans="1:7" hidden="1">
      <c r="A352" s="37" t="s">
        <v>669</v>
      </c>
      <c r="B352" s="38" t="s">
        <v>670</v>
      </c>
      <c r="C352" s="39"/>
      <c r="D352" s="40">
        <v>0</v>
      </c>
      <c r="E352" s="40">
        <v>0</v>
      </c>
      <c r="F352" s="40">
        <f>+D352-E352</f>
        <v>0</v>
      </c>
      <c r="G352" s="2">
        <f>+ABS(D352)+ABS(E352)</f>
        <v>0</v>
      </c>
    </row>
    <row r="353" spans="1:7" hidden="1">
      <c r="A353" s="37" t="s">
        <v>671</v>
      </c>
      <c r="B353" s="38" t="s">
        <v>672</v>
      </c>
      <c r="C353" s="39"/>
      <c r="D353" s="40">
        <v>0</v>
      </c>
      <c r="E353" s="40">
        <v>0</v>
      </c>
      <c r="F353" s="40">
        <f>+D353-E353</f>
        <v>0</v>
      </c>
      <c r="G353" s="2">
        <f>+ABS(D353)+ABS(E353)</f>
        <v>0</v>
      </c>
    </row>
    <row r="354" spans="1:7" hidden="1">
      <c r="A354" s="37" t="s">
        <v>673</v>
      </c>
      <c r="B354" s="38" t="s">
        <v>674</v>
      </c>
      <c r="C354" s="39"/>
      <c r="D354" s="40">
        <v>0</v>
      </c>
      <c r="E354" s="40">
        <v>0</v>
      </c>
      <c r="F354" s="40">
        <f>+D354-E354</f>
        <v>0</v>
      </c>
      <c r="G354" s="2">
        <f>+ABS(D354)+ABS(E354)</f>
        <v>0</v>
      </c>
    </row>
    <row r="355" spans="1:7" hidden="1">
      <c r="A355" s="37" t="s">
        <v>675</v>
      </c>
      <c r="B355" s="38" t="s">
        <v>676</v>
      </c>
      <c r="C355" s="39"/>
      <c r="D355" s="40">
        <v>0</v>
      </c>
      <c r="E355" s="40">
        <v>0</v>
      </c>
      <c r="F355" s="40">
        <f>+D355-E355</f>
        <v>0</v>
      </c>
      <c r="G355" s="2">
        <f>+ABS(D355)+ABS(E355)</f>
        <v>0</v>
      </c>
    </row>
    <row r="356" spans="1:7" hidden="1">
      <c r="A356" s="37" t="s">
        <v>677</v>
      </c>
      <c r="B356" s="38" t="s">
        <v>678</v>
      </c>
      <c r="C356" s="39"/>
      <c r="D356" s="40">
        <v>0</v>
      </c>
      <c r="E356" s="40">
        <v>0</v>
      </c>
      <c r="F356" s="40">
        <f>+D356-E356</f>
        <v>0</v>
      </c>
      <c r="G356" s="2">
        <f>+ABS(D356)+ABS(E356)</f>
        <v>0</v>
      </c>
    </row>
    <row r="357" spans="1:7" hidden="1">
      <c r="A357" s="37" t="s">
        <v>679</v>
      </c>
      <c r="B357" s="38" t="s">
        <v>680</v>
      </c>
      <c r="C357" s="39"/>
      <c r="D357" s="40">
        <v>0</v>
      </c>
      <c r="E357" s="40">
        <v>0</v>
      </c>
      <c r="F357" s="40">
        <f>+D357-E357</f>
        <v>0</v>
      </c>
      <c r="G357" s="2">
        <f>+ABS(D357)+ABS(E357)</f>
        <v>0</v>
      </c>
    </row>
    <row r="358" spans="1:7" hidden="1">
      <c r="A358" s="37" t="s">
        <v>681</v>
      </c>
      <c r="B358" s="38" t="s">
        <v>682</v>
      </c>
      <c r="C358" s="39"/>
      <c r="D358" s="40">
        <v>0</v>
      </c>
      <c r="E358" s="40">
        <v>0</v>
      </c>
      <c r="F358" s="40">
        <f>+D358-E358</f>
        <v>0</v>
      </c>
      <c r="G358" s="2">
        <f>+ABS(D358)+ABS(E358)</f>
        <v>0</v>
      </c>
    </row>
    <row r="359" spans="1:7" hidden="1">
      <c r="A359" s="37" t="s">
        <v>683</v>
      </c>
      <c r="B359" s="38" t="s">
        <v>684</v>
      </c>
      <c r="C359" s="39"/>
      <c r="D359" s="40">
        <v>0</v>
      </c>
      <c r="E359" s="40">
        <v>0</v>
      </c>
      <c r="F359" s="40">
        <f>+D359-E359</f>
        <v>0</v>
      </c>
      <c r="G359" s="2">
        <f>+ABS(D359)+ABS(E359)</f>
        <v>0</v>
      </c>
    </row>
    <row r="360" spans="1:7" hidden="1">
      <c r="A360" s="37" t="s">
        <v>685</v>
      </c>
      <c r="B360" s="38" t="s">
        <v>686</v>
      </c>
      <c r="C360" s="39"/>
      <c r="D360" s="40">
        <v>0</v>
      </c>
      <c r="E360" s="40">
        <v>0</v>
      </c>
      <c r="F360" s="40">
        <f>+D360-E360</f>
        <v>0</v>
      </c>
      <c r="G360" s="2">
        <f>+ABS(D360)+ABS(E360)</f>
        <v>0</v>
      </c>
    </row>
    <row r="361" spans="1:7" hidden="1">
      <c r="A361" s="37" t="s">
        <v>687</v>
      </c>
      <c r="B361" s="38" t="s">
        <v>688</v>
      </c>
      <c r="C361" s="39"/>
      <c r="D361" s="40">
        <v>0</v>
      </c>
      <c r="E361" s="40">
        <v>0</v>
      </c>
      <c r="F361" s="40">
        <f>+D361-E361</f>
        <v>0</v>
      </c>
      <c r="G361" s="2">
        <f>+ABS(D361)+ABS(E361)</f>
        <v>0</v>
      </c>
    </row>
    <row r="362" spans="1:7" hidden="1">
      <c r="A362" s="37" t="s">
        <v>689</v>
      </c>
      <c r="B362" s="38" t="s">
        <v>690</v>
      </c>
      <c r="C362" s="39"/>
      <c r="D362" s="40">
        <v>0</v>
      </c>
      <c r="E362" s="40">
        <v>0</v>
      </c>
      <c r="F362" s="40">
        <f>+D362-E362</f>
        <v>0</v>
      </c>
      <c r="G362" s="2">
        <f>+ABS(D362)+ABS(E362)</f>
        <v>0</v>
      </c>
    </row>
    <row r="363" spans="1:7" hidden="1">
      <c r="A363" s="37" t="s">
        <v>691</v>
      </c>
      <c r="B363" s="38" t="s">
        <v>692</v>
      </c>
      <c r="C363" s="39"/>
      <c r="D363" s="40">
        <v>0</v>
      </c>
      <c r="E363" s="40">
        <v>0</v>
      </c>
      <c r="F363" s="40">
        <f>+D363-E363</f>
        <v>0</v>
      </c>
      <c r="G363" s="2">
        <f>+ABS(D363)+ABS(E363)</f>
        <v>0</v>
      </c>
    </row>
    <row r="364" spans="1:7" hidden="1">
      <c r="A364" s="37" t="s">
        <v>693</v>
      </c>
      <c r="B364" s="38" t="s">
        <v>694</v>
      </c>
      <c r="C364" s="39"/>
      <c r="D364" s="40">
        <v>0</v>
      </c>
      <c r="E364" s="40">
        <v>0</v>
      </c>
      <c r="F364" s="40">
        <f>+D364-E364</f>
        <v>0</v>
      </c>
      <c r="G364" s="2">
        <f>+ABS(D364)+ABS(E364)</f>
        <v>0</v>
      </c>
    </row>
    <row r="365" spans="1:7" hidden="1">
      <c r="A365" s="37" t="s">
        <v>695</v>
      </c>
      <c r="B365" s="38" t="s">
        <v>696</v>
      </c>
      <c r="C365" s="39"/>
      <c r="D365" s="40">
        <v>0</v>
      </c>
      <c r="E365" s="40">
        <v>0</v>
      </c>
      <c r="F365" s="40">
        <f>+D365-E365</f>
        <v>0</v>
      </c>
      <c r="G365" s="2">
        <f>+ABS(D365)+ABS(E365)</f>
        <v>0</v>
      </c>
    </row>
    <row r="366" spans="1:7" hidden="1">
      <c r="A366" s="37" t="s">
        <v>697</v>
      </c>
      <c r="B366" s="38" t="s">
        <v>698</v>
      </c>
      <c r="C366" s="39"/>
      <c r="D366" s="40">
        <v>0</v>
      </c>
      <c r="E366" s="40">
        <v>0</v>
      </c>
      <c r="F366" s="40">
        <f>+D366-E366</f>
        <v>0</v>
      </c>
      <c r="G366" s="2">
        <f>+ABS(D366)+ABS(E366)</f>
        <v>0</v>
      </c>
    </row>
    <row r="367" spans="1:7" hidden="1">
      <c r="A367" s="37" t="s">
        <v>699</v>
      </c>
      <c r="B367" s="38" t="s">
        <v>700</v>
      </c>
      <c r="C367" s="39"/>
      <c r="D367" s="40">
        <v>0</v>
      </c>
      <c r="E367" s="40">
        <v>0</v>
      </c>
      <c r="F367" s="40">
        <f>+D367-E367</f>
        <v>0</v>
      </c>
      <c r="G367" s="2">
        <f>+ABS(D367)+ABS(E367)</f>
        <v>0</v>
      </c>
    </row>
    <row r="368" spans="1:7" hidden="1">
      <c r="A368" s="37" t="s">
        <v>701</v>
      </c>
      <c r="B368" s="38" t="s">
        <v>702</v>
      </c>
      <c r="C368" s="39"/>
      <c r="D368" s="40">
        <v>0</v>
      </c>
      <c r="E368" s="40">
        <v>0</v>
      </c>
      <c r="F368" s="40">
        <f>+D368-E368</f>
        <v>0</v>
      </c>
      <c r="G368" s="2">
        <f>+ABS(D368)+ABS(E368)</f>
        <v>0</v>
      </c>
    </row>
    <row r="369" spans="1:7" hidden="1">
      <c r="A369" s="37" t="s">
        <v>703</v>
      </c>
      <c r="B369" s="38" t="s">
        <v>704</v>
      </c>
      <c r="C369" s="39"/>
      <c r="D369" s="40">
        <v>0</v>
      </c>
      <c r="E369" s="40">
        <v>0</v>
      </c>
      <c r="F369" s="40">
        <f>+D369-E369</f>
        <v>0</v>
      </c>
      <c r="G369" s="2">
        <f>+ABS(D369)+ABS(E369)</f>
        <v>0</v>
      </c>
    </row>
    <row r="370" spans="1:7" hidden="1">
      <c r="A370" s="37" t="s">
        <v>705</v>
      </c>
      <c r="B370" s="38" t="s">
        <v>706</v>
      </c>
      <c r="C370" s="39"/>
      <c r="D370" s="40">
        <v>0</v>
      </c>
      <c r="E370" s="40">
        <v>0</v>
      </c>
      <c r="F370" s="40">
        <f>+D370-E370</f>
        <v>0</v>
      </c>
      <c r="G370" s="2">
        <f>+ABS(D370)+ABS(E370)</f>
        <v>0</v>
      </c>
    </row>
    <row r="371" spans="1:7" hidden="1">
      <c r="A371" s="37" t="s">
        <v>707</v>
      </c>
      <c r="B371" s="38" t="s">
        <v>708</v>
      </c>
      <c r="C371" s="39"/>
      <c r="D371" s="40">
        <v>0</v>
      </c>
      <c r="E371" s="40">
        <v>0</v>
      </c>
      <c r="F371" s="40">
        <f>+D371-E371</f>
        <v>0</v>
      </c>
      <c r="G371" s="2">
        <f>+ABS(D371)+ABS(E371)</f>
        <v>0</v>
      </c>
    </row>
    <row r="372" spans="1:7" hidden="1">
      <c r="A372" s="37" t="s">
        <v>709</v>
      </c>
      <c r="B372" s="38" t="s">
        <v>710</v>
      </c>
      <c r="C372" s="39"/>
      <c r="D372" s="40">
        <v>0</v>
      </c>
      <c r="E372" s="40">
        <v>0</v>
      </c>
      <c r="F372" s="40">
        <f>+D372-E372</f>
        <v>0</v>
      </c>
      <c r="G372" s="2">
        <f>+ABS(D372)+ABS(E372)</f>
        <v>0</v>
      </c>
    </row>
    <row r="373" spans="1:7" hidden="1">
      <c r="A373" s="37" t="s">
        <v>711</v>
      </c>
      <c r="B373" s="38" t="s">
        <v>712</v>
      </c>
      <c r="C373" s="39"/>
      <c r="D373" s="40">
        <v>0</v>
      </c>
      <c r="E373" s="40">
        <v>0</v>
      </c>
      <c r="F373" s="40">
        <f>+D373-E373</f>
        <v>0</v>
      </c>
      <c r="G373" s="2">
        <f>+ABS(D373)+ABS(E373)</f>
        <v>0</v>
      </c>
    </row>
    <row r="374" spans="1:7">
      <c r="A374" s="37" t="s">
        <v>713</v>
      </c>
      <c r="B374" s="38" t="s">
        <v>714</v>
      </c>
      <c r="C374" s="39"/>
      <c r="D374" s="40">
        <v>-45487.42</v>
      </c>
      <c r="E374" s="40">
        <v>-30265.5</v>
      </c>
      <c r="F374" s="40">
        <f>+D374-E374</f>
        <v>-15221.92</v>
      </c>
      <c r="G374" s="2">
        <f>+ABS(D374)+ABS(E374)</f>
        <v>75752.92</v>
      </c>
    </row>
    <row r="375" spans="1:7" hidden="1">
      <c r="A375" s="37" t="s">
        <v>715</v>
      </c>
      <c r="B375" s="38" t="s">
        <v>716</v>
      </c>
      <c r="C375" s="39"/>
      <c r="D375" s="40">
        <v>0</v>
      </c>
      <c r="E375" s="40">
        <v>0</v>
      </c>
      <c r="F375" s="40">
        <f>+D375-E375</f>
        <v>0</v>
      </c>
      <c r="G375" s="2">
        <f>+ABS(D375)+ABS(E375)</f>
        <v>0</v>
      </c>
    </row>
    <row r="376" spans="1:7" hidden="1">
      <c r="A376" s="37" t="s">
        <v>717</v>
      </c>
      <c r="B376" s="38" t="s">
        <v>718</v>
      </c>
      <c r="C376" s="39"/>
      <c r="D376" s="40">
        <v>0</v>
      </c>
      <c r="E376" s="40">
        <v>0</v>
      </c>
      <c r="F376" s="40">
        <f>+D376-E376</f>
        <v>0</v>
      </c>
      <c r="G376" s="2">
        <f>+ABS(D376)+ABS(E376)</f>
        <v>0</v>
      </c>
    </row>
    <row r="377" spans="1:7" hidden="1">
      <c r="A377" s="37" t="s">
        <v>719</v>
      </c>
      <c r="B377" s="38" t="s">
        <v>720</v>
      </c>
      <c r="C377" s="39"/>
      <c r="D377" s="40">
        <v>0</v>
      </c>
      <c r="E377" s="40">
        <v>0</v>
      </c>
      <c r="F377" s="40">
        <f>+D377-E377</f>
        <v>0</v>
      </c>
      <c r="G377" s="2">
        <f>+ABS(D377)+ABS(E377)</f>
        <v>0</v>
      </c>
    </row>
    <row r="378" spans="1:7" hidden="1">
      <c r="A378" s="37" t="s">
        <v>721</v>
      </c>
      <c r="B378" s="38" t="s">
        <v>722</v>
      </c>
      <c r="C378" s="39"/>
      <c r="D378" s="40">
        <v>0</v>
      </c>
      <c r="E378" s="40">
        <v>0</v>
      </c>
      <c r="F378" s="40">
        <f>+D378-E378</f>
        <v>0</v>
      </c>
      <c r="G378" s="2">
        <f>+ABS(D378)+ABS(E378)</f>
        <v>0</v>
      </c>
    </row>
    <row r="379" spans="1:7" hidden="1">
      <c r="A379" s="37" t="s">
        <v>723</v>
      </c>
      <c r="B379" s="38" t="s">
        <v>724</v>
      </c>
      <c r="C379" s="39"/>
      <c r="D379" s="40">
        <v>0</v>
      </c>
      <c r="E379" s="40">
        <v>0</v>
      </c>
      <c r="F379" s="40">
        <f>+D379-E379</f>
        <v>0</v>
      </c>
      <c r="G379" s="2">
        <f>+ABS(D379)+ABS(E379)</f>
        <v>0</v>
      </c>
    </row>
    <row r="380" spans="1:7" hidden="1">
      <c r="A380" s="37" t="s">
        <v>725</v>
      </c>
      <c r="B380" s="38" t="s">
        <v>726</v>
      </c>
      <c r="C380" s="39"/>
      <c r="D380" s="40">
        <v>0</v>
      </c>
      <c r="E380" s="40">
        <v>0</v>
      </c>
      <c r="F380" s="40">
        <f>+D380-E380</f>
        <v>0</v>
      </c>
      <c r="G380" s="2">
        <f>+ABS(D380)+ABS(E380)</f>
        <v>0</v>
      </c>
    </row>
    <row r="381" spans="1:7" hidden="1">
      <c r="A381" s="37" t="s">
        <v>727</v>
      </c>
      <c r="B381" s="38" t="s">
        <v>728</v>
      </c>
      <c r="C381" s="39"/>
      <c r="D381" s="40">
        <v>0</v>
      </c>
      <c r="E381" s="40">
        <v>0</v>
      </c>
      <c r="F381" s="40">
        <f>+D381-E381</f>
        <v>0</v>
      </c>
      <c r="G381" s="2">
        <f>+ABS(D381)+ABS(E381)</f>
        <v>0</v>
      </c>
    </row>
    <row r="382" spans="1:7" hidden="1">
      <c r="A382" s="37" t="s">
        <v>729</v>
      </c>
      <c r="B382" s="38" t="s">
        <v>730</v>
      </c>
      <c r="C382" s="39"/>
      <c r="D382" s="40">
        <v>0</v>
      </c>
      <c r="E382" s="40">
        <v>0</v>
      </c>
      <c r="F382" s="40">
        <f>+D382-E382</f>
        <v>0</v>
      </c>
      <c r="G382" s="2">
        <f>+ABS(D382)+ABS(E382)</f>
        <v>0</v>
      </c>
    </row>
    <row r="383" spans="1:7" hidden="1">
      <c r="A383" s="37" t="s">
        <v>731</v>
      </c>
      <c r="B383" s="38" t="s">
        <v>732</v>
      </c>
      <c r="C383" s="39"/>
      <c r="D383" s="40">
        <v>0</v>
      </c>
      <c r="E383" s="40">
        <v>0</v>
      </c>
      <c r="F383" s="40">
        <f>+D383-E383</f>
        <v>0</v>
      </c>
      <c r="G383" s="2">
        <f>+ABS(D383)+ABS(E383)</f>
        <v>0</v>
      </c>
    </row>
    <row r="384" spans="1:7" hidden="1">
      <c r="A384" s="37" t="s">
        <v>733</v>
      </c>
      <c r="B384" s="38" t="s">
        <v>734</v>
      </c>
      <c r="C384" s="39"/>
      <c r="D384" s="40">
        <v>0</v>
      </c>
      <c r="E384" s="40">
        <v>0</v>
      </c>
      <c r="F384" s="40">
        <f>+D384-E384</f>
        <v>0</v>
      </c>
      <c r="G384" s="2">
        <f>+ABS(D384)+ABS(E384)</f>
        <v>0</v>
      </c>
    </row>
    <row r="385" spans="1:7" hidden="1">
      <c r="A385" s="37" t="s">
        <v>735</v>
      </c>
      <c r="B385" s="38" t="s">
        <v>736</v>
      </c>
      <c r="C385" s="39"/>
      <c r="D385" s="40">
        <v>0</v>
      </c>
      <c r="E385" s="40">
        <v>0</v>
      </c>
      <c r="F385" s="40">
        <f>+D385-E385</f>
        <v>0</v>
      </c>
      <c r="G385" s="2">
        <f>+ABS(D385)+ABS(E385)</f>
        <v>0</v>
      </c>
    </row>
    <row r="386" spans="1:7" hidden="1">
      <c r="A386" s="37" t="s">
        <v>737</v>
      </c>
      <c r="B386" s="38" t="s">
        <v>738</v>
      </c>
      <c r="C386" s="39"/>
      <c r="D386" s="40">
        <v>0</v>
      </c>
      <c r="E386" s="40">
        <v>0</v>
      </c>
      <c r="F386" s="40">
        <f>+D386-E386</f>
        <v>0</v>
      </c>
      <c r="G386" s="2">
        <f>+ABS(D386)+ABS(E386)</f>
        <v>0</v>
      </c>
    </row>
    <row r="387" spans="1:7" hidden="1">
      <c r="A387" s="37" t="s">
        <v>739</v>
      </c>
      <c r="B387" s="38" t="s">
        <v>740</v>
      </c>
      <c r="C387" s="39"/>
      <c r="D387" s="40">
        <v>0</v>
      </c>
      <c r="E387" s="40">
        <v>0</v>
      </c>
      <c r="F387" s="40">
        <f>+D387-E387</f>
        <v>0</v>
      </c>
      <c r="G387" s="2">
        <f>+ABS(D387)+ABS(E387)</f>
        <v>0</v>
      </c>
    </row>
    <row r="388" spans="1:7" hidden="1">
      <c r="A388" s="37" t="s">
        <v>741</v>
      </c>
      <c r="B388" s="38" t="s">
        <v>742</v>
      </c>
      <c r="C388" s="39"/>
      <c r="D388" s="40">
        <v>0</v>
      </c>
      <c r="E388" s="40">
        <v>0</v>
      </c>
      <c r="F388" s="40">
        <f>+D388-E388</f>
        <v>0</v>
      </c>
      <c r="G388" s="2">
        <f>+ABS(D388)+ABS(E388)</f>
        <v>0</v>
      </c>
    </row>
    <row r="389" spans="1:7" hidden="1">
      <c r="A389" s="37" t="s">
        <v>743</v>
      </c>
      <c r="B389" s="38" t="s">
        <v>744</v>
      </c>
      <c r="C389" s="39"/>
      <c r="D389" s="40">
        <v>0</v>
      </c>
      <c r="E389" s="40">
        <v>0</v>
      </c>
      <c r="F389" s="40">
        <f>+D389-E389</f>
        <v>0</v>
      </c>
      <c r="G389" s="2">
        <f>+ABS(D389)+ABS(E389)</f>
        <v>0</v>
      </c>
    </row>
    <row r="390" spans="1:7" hidden="1">
      <c r="A390" s="37" t="s">
        <v>745</v>
      </c>
      <c r="B390" s="38" t="s">
        <v>746</v>
      </c>
      <c r="C390" s="39"/>
      <c r="D390" s="40">
        <v>0</v>
      </c>
      <c r="E390" s="40">
        <v>0</v>
      </c>
      <c r="F390" s="40">
        <f>+D390-E390</f>
        <v>0</v>
      </c>
      <c r="G390" s="2">
        <f>+ABS(D390)+ABS(E390)</f>
        <v>0</v>
      </c>
    </row>
    <row r="391" spans="1:7" hidden="1">
      <c r="A391" s="37" t="s">
        <v>747</v>
      </c>
      <c r="B391" s="38" t="s">
        <v>748</v>
      </c>
      <c r="C391" s="39"/>
      <c r="D391" s="40">
        <v>0</v>
      </c>
      <c r="E391" s="40">
        <v>0</v>
      </c>
      <c r="F391" s="40">
        <f>+D391-E391</f>
        <v>0</v>
      </c>
      <c r="G391" s="2">
        <f>+ABS(D391)+ABS(E391)</f>
        <v>0</v>
      </c>
    </row>
    <row r="392" spans="1:7">
      <c r="A392" s="37"/>
      <c r="B392" s="48"/>
      <c r="C392" s="39"/>
      <c r="D392" s="40"/>
      <c r="E392" s="40"/>
      <c r="F392" s="40"/>
      <c r="G392" s="2">
        <f>+G393</f>
        <v>115258.8</v>
      </c>
    </row>
    <row r="393" spans="1:7" s="15" customFormat="1">
      <c r="A393" s="42" t="s">
        <v>11</v>
      </c>
      <c r="B393" s="49" t="s">
        <v>749</v>
      </c>
      <c r="C393" s="44"/>
      <c r="D393" s="45">
        <f>SUM(D168:D392)</f>
        <v>63081.86</v>
      </c>
      <c r="E393" s="45">
        <f>SUM(E168:E392)</f>
        <v>52176.94</v>
      </c>
      <c r="F393" s="45">
        <f>+D393-E393</f>
        <v>10904.92</v>
      </c>
      <c r="G393" s="2">
        <f>+ABS(D393)+ABS(E393)</f>
        <v>115258.8</v>
      </c>
    </row>
    <row r="394" spans="1:7">
      <c r="A394" s="42"/>
      <c r="B394" s="44"/>
      <c r="C394" s="39"/>
      <c r="D394" s="40"/>
      <c r="E394" s="40"/>
      <c r="F394" s="40"/>
      <c r="G394" s="2">
        <f>G393</f>
        <v>115258.8</v>
      </c>
    </row>
    <row r="395" spans="1:7" s="15" customFormat="1">
      <c r="A395" s="46" t="s">
        <v>11</v>
      </c>
      <c r="B395" s="47" t="s">
        <v>750</v>
      </c>
      <c r="C395" s="44"/>
      <c r="D395" s="40"/>
      <c r="E395" s="40"/>
      <c r="F395" s="40"/>
      <c r="G395" s="2">
        <f>G416</f>
        <v>159656.85</v>
      </c>
    </row>
    <row r="396" spans="1:7" hidden="1">
      <c r="A396" s="37"/>
      <c r="B396" s="38"/>
      <c r="C396" s="39"/>
      <c r="D396" s="40"/>
      <c r="E396" s="40"/>
      <c r="F396" s="40"/>
    </row>
    <row r="397" spans="1:7" hidden="1">
      <c r="A397" s="37" t="s">
        <v>751</v>
      </c>
      <c r="B397" s="38" t="s">
        <v>752</v>
      </c>
      <c r="C397" s="39"/>
      <c r="D397" s="40">
        <v>0</v>
      </c>
      <c r="E397" s="40">
        <v>0</v>
      </c>
      <c r="F397" s="40">
        <f>+D397-E397</f>
        <v>0</v>
      </c>
      <c r="G397" s="2">
        <f>+ABS(D397)+ABS(E397)</f>
        <v>0</v>
      </c>
    </row>
    <row r="398" spans="1:7" hidden="1">
      <c r="A398" s="37" t="s">
        <v>753</v>
      </c>
      <c r="B398" s="38" t="s">
        <v>754</v>
      </c>
      <c r="C398" s="39"/>
      <c r="D398" s="40">
        <v>0</v>
      </c>
      <c r="E398" s="40">
        <v>0</v>
      </c>
      <c r="F398" s="40">
        <f>+D398-E398</f>
        <v>0</v>
      </c>
      <c r="G398" s="2">
        <f>+ABS(D398)+ABS(E398)</f>
        <v>0</v>
      </c>
    </row>
    <row r="399" spans="1:7" hidden="1">
      <c r="A399" s="37" t="s">
        <v>755</v>
      </c>
      <c r="B399" s="38" t="s">
        <v>756</v>
      </c>
      <c r="C399" s="39"/>
      <c r="D399" s="40">
        <v>0</v>
      </c>
      <c r="E399" s="40">
        <v>0</v>
      </c>
      <c r="F399" s="40">
        <f>+D399-E399</f>
        <v>0</v>
      </c>
      <c r="G399" s="2">
        <f>+ABS(D399)+ABS(E399)</f>
        <v>0</v>
      </c>
    </row>
    <row r="400" spans="1:7">
      <c r="A400" s="37" t="s">
        <v>757</v>
      </c>
      <c r="B400" s="38" t="s">
        <v>758</v>
      </c>
      <c r="C400" s="39"/>
      <c r="D400" s="40">
        <v>32331.38</v>
      </c>
      <c r="E400" s="40">
        <v>36400.910000000003</v>
      </c>
      <c r="F400" s="40">
        <f>+D400-E400</f>
        <v>-4069.53</v>
      </c>
      <c r="G400" s="2">
        <f>+ABS(D400)+ABS(E400)</f>
        <v>68732.289999999994</v>
      </c>
    </row>
    <row r="401" spans="1:7" hidden="1">
      <c r="A401" s="37" t="s">
        <v>759</v>
      </c>
      <c r="B401" s="38" t="s">
        <v>760</v>
      </c>
      <c r="C401" s="39"/>
      <c r="D401" s="40">
        <v>0</v>
      </c>
      <c r="E401" s="40">
        <v>0</v>
      </c>
      <c r="F401" s="40">
        <f>+D401-E401</f>
        <v>0</v>
      </c>
      <c r="G401" s="2">
        <f>+ABS(D401)+ABS(E401)</f>
        <v>0</v>
      </c>
    </row>
    <row r="402" spans="1:7" hidden="1">
      <c r="A402" s="37" t="s">
        <v>761</v>
      </c>
      <c r="B402" s="38" t="s">
        <v>762</v>
      </c>
      <c r="C402" s="39"/>
      <c r="D402" s="40">
        <v>0</v>
      </c>
      <c r="E402" s="40">
        <v>0</v>
      </c>
      <c r="F402" s="40">
        <f>+D402-E402</f>
        <v>0</v>
      </c>
      <c r="G402" s="2">
        <f>+ABS(D402)+ABS(E402)</f>
        <v>0</v>
      </c>
    </row>
    <row r="403" spans="1:7" hidden="1">
      <c r="A403" s="37" t="s">
        <v>763</v>
      </c>
      <c r="B403" s="38" t="s">
        <v>764</v>
      </c>
      <c r="C403" s="39"/>
      <c r="D403" s="40">
        <v>0</v>
      </c>
      <c r="E403" s="40">
        <v>0</v>
      </c>
      <c r="F403" s="40">
        <f>+D403-E403</f>
        <v>0</v>
      </c>
      <c r="G403" s="2">
        <f>+ABS(D403)+ABS(E403)</f>
        <v>0</v>
      </c>
    </row>
    <row r="404" spans="1:7" hidden="1">
      <c r="A404" s="37" t="s">
        <v>765</v>
      </c>
      <c r="B404" s="38" t="s">
        <v>766</v>
      </c>
      <c r="C404" s="39"/>
      <c r="D404" s="40">
        <v>0</v>
      </c>
      <c r="E404" s="40">
        <v>0</v>
      </c>
      <c r="F404" s="40">
        <f>+D404-E404</f>
        <v>0</v>
      </c>
      <c r="G404" s="2">
        <f>+ABS(D404)+ABS(E404)</f>
        <v>0</v>
      </c>
    </row>
    <row r="405" spans="1:7" hidden="1">
      <c r="A405" s="37" t="s">
        <v>767</v>
      </c>
      <c r="B405" s="38" t="s">
        <v>768</v>
      </c>
      <c r="C405" s="39"/>
      <c r="D405" s="40">
        <v>0</v>
      </c>
      <c r="E405" s="40">
        <v>0</v>
      </c>
      <c r="F405" s="40">
        <f>+D405-E405</f>
        <v>0</v>
      </c>
      <c r="G405" s="2">
        <f>+ABS(D405)+ABS(E405)</f>
        <v>0</v>
      </c>
    </row>
    <row r="406" spans="1:7" hidden="1">
      <c r="A406" s="37" t="s">
        <v>769</v>
      </c>
      <c r="B406" s="38" t="s">
        <v>770</v>
      </c>
      <c r="C406" s="39"/>
      <c r="D406" s="40">
        <v>0</v>
      </c>
      <c r="E406" s="40">
        <v>0</v>
      </c>
      <c r="F406" s="40">
        <f>+D406-E406</f>
        <v>0</v>
      </c>
      <c r="G406" s="2">
        <f>+ABS(D406)+ABS(E406)</f>
        <v>0</v>
      </c>
    </row>
    <row r="407" spans="1:7" hidden="1">
      <c r="A407" s="37" t="s">
        <v>771</v>
      </c>
      <c r="B407" s="38" t="s">
        <v>772</v>
      </c>
      <c r="C407" s="39"/>
      <c r="D407" s="40">
        <v>0</v>
      </c>
      <c r="E407" s="40">
        <v>0</v>
      </c>
      <c r="F407" s="40">
        <f>+D407-E407</f>
        <v>0</v>
      </c>
      <c r="G407" s="2">
        <f>+ABS(D407)+ABS(E407)</f>
        <v>0</v>
      </c>
    </row>
    <row r="408" spans="1:7" hidden="1">
      <c r="A408" s="37" t="s">
        <v>773</v>
      </c>
      <c r="B408" s="38" t="s">
        <v>774</v>
      </c>
      <c r="C408" s="39"/>
      <c r="D408" s="40">
        <v>0</v>
      </c>
      <c r="E408" s="40">
        <v>0</v>
      </c>
      <c r="F408" s="40">
        <f>+D408-E408</f>
        <v>0</v>
      </c>
      <c r="G408" s="2">
        <f>+ABS(D408)+ABS(E408)</f>
        <v>0</v>
      </c>
    </row>
    <row r="409" spans="1:7" hidden="1">
      <c r="A409" s="37" t="s">
        <v>775</v>
      </c>
      <c r="B409" s="38" t="s">
        <v>776</v>
      </c>
      <c r="C409" s="39"/>
      <c r="D409" s="40">
        <v>0</v>
      </c>
      <c r="E409" s="40">
        <v>0</v>
      </c>
      <c r="F409" s="40">
        <f>+D409-E409</f>
        <v>0</v>
      </c>
      <c r="G409" s="2">
        <f>+ABS(D409)+ABS(E409)</f>
        <v>0</v>
      </c>
    </row>
    <row r="410" spans="1:7" hidden="1">
      <c r="A410" s="37" t="s">
        <v>777</v>
      </c>
      <c r="B410" s="38" t="s">
        <v>778</v>
      </c>
      <c r="C410" s="39"/>
      <c r="D410" s="40">
        <v>0</v>
      </c>
      <c r="E410" s="40">
        <v>0</v>
      </c>
      <c r="F410" s="40">
        <f>+D410-E410</f>
        <v>0</v>
      </c>
      <c r="G410" s="2">
        <f>+ABS(D410)+ABS(E410)</f>
        <v>0</v>
      </c>
    </row>
    <row r="411" spans="1:7">
      <c r="A411" s="37" t="s">
        <v>779</v>
      </c>
      <c r="B411" s="38" t="s">
        <v>780</v>
      </c>
      <c r="C411" s="39"/>
      <c r="D411" s="40">
        <v>0</v>
      </c>
      <c r="E411" s="40">
        <v>82768.22</v>
      </c>
      <c r="F411" s="40">
        <f>+D411-E411</f>
        <v>-82768.22</v>
      </c>
      <c r="G411" s="2">
        <f>+ABS(D411)+ABS(E411)</f>
        <v>82768.22</v>
      </c>
    </row>
    <row r="412" spans="1:7" hidden="1">
      <c r="A412" s="37" t="s">
        <v>781</v>
      </c>
      <c r="B412" s="38" t="s">
        <v>782</v>
      </c>
      <c r="C412" s="39"/>
      <c r="D412" s="40">
        <v>0</v>
      </c>
      <c r="E412" s="40">
        <v>0</v>
      </c>
      <c r="F412" s="40">
        <f>+D412-E412</f>
        <v>0</v>
      </c>
      <c r="G412" s="2">
        <f>+ABS(D412)+ABS(E412)</f>
        <v>0</v>
      </c>
    </row>
    <row r="413" spans="1:7">
      <c r="A413" s="37" t="s">
        <v>783</v>
      </c>
      <c r="B413" s="38" t="s">
        <v>784</v>
      </c>
      <c r="C413" s="39"/>
      <c r="D413" s="40">
        <v>1218</v>
      </c>
      <c r="E413" s="40">
        <v>6938.34</v>
      </c>
      <c r="F413" s="40">
        <f>+D413-E413</f>
        <v>-5720.34</v>
      </c>
      <c r="G413" s="2">
        <f>+ABS(D413)+ABS(E413)</f>
        <v>8156.34</v>
      </c>
    </row>
    <row r="414" spans="1:7" hidden="1">
      <c r="A414" s="37" t="s">
        <v>785</v>
      </c>
      <c r="B414" s="38" t="s">
        <v>786</v>
      </c>
      <c r="C414" s="39"/>
      <c r="D414" s="40">
        <v>0</v>
      </c>
      <c r="E414" s="40">
        <v>0</v>
      </c>
      <c r="F414" s="40">
        <f>+D414-E414</f>
        <v>0</v>
      </c>
      <c r="G414" s="2">
        <f>+ABS(D414)+ABS(E414)</f>
        <v>0</v>
      </c>
    </row>
    <row r="415" spans="1:7">
      <c r="A415" s="37"/>
      <c r="B415" s="48"/>
      <c r="C415" s="39"/>
      <c r="D415" s="40"/>
      <c r="E415" s="40"/>
      <c r="F415" s="40"/>
      <c r="G415" s="2">
        <f>+G416</f>
        <v>159656.85</v>
      </c>
    </row>
    <row r="416" spans="1:7" s="15" customFormat="1">
      <c r="A416" s="42" t="s">
        <v>787</v>
      </c>
      <c r="B416" s="49" t="s">
        <v>788</v>
      </c>
      <c r="C416" s="44"/>
      <c r="D416" s="45">
        <f>SUM(D396:D415)</f>
        <v>33549.379999999997</v>
      </c>
      <c r="E416" s="45">
        <f>SUM(E396:E415)</f>
        <v>126107.47</v>
      </c>
      <c r="F416" s="45">
        <f>+D416-E416</f>
        <v>-92558.09</v>
      </c>
      <c r="G416" s="2">
        <f>+ABS(D416)+ABS(E416)</f>
        <v>159656.85</v>
      </c>
    </row>
    <row r="417" spans="1:7" s="15" customFormat="1">
      <c r="A417" s="42"/>
      <c r="B417" s="44"/>
      <c r="C417" s="44"/>
      <c r="D417" s="40"/>
      <c r="E417" s="40"/>
      <c r="F417" s="40"/>
      <c r="G417" s="2">
        <f>G416</f>
        <v>159656.85</v>
      </c>
    </row>
    <row r="418" spans="1:7" s="15" customFormat="1" hidden="1">
      <c r="A418" s="46" t="s">
        <v>11</v>
      </c>
      <c r="B418" s="44" t="s">
        <v>789</v>
      </c>
      <c r="C418" s="44"/>
      <c r="D418" s="40"/>
      <c r="E418" s="40"/>
      <c r="F418" s="40"/>
      <c r="G418" s="2">
        <f>G427</f>
        <v>0</v>
      </c>
    </row>
    <row r="419" spans="1:7" hidden="1">
      <c r="A419" s="37"/>
      <c r="B419" s="38"/>
      <c r="C419" s="39"/>
      <c r="D419" s="40"/>
      <c r="E419" s="40"/>
      <c r="F419" s="40"/>
    </row>
    <row r="420" spans="1:7" hidden="1">
      <c r="A420" s="37" t="s">
        <v>790</v>
      </c>
      <c r="B420" s="38" t="s">
        <v>791</v>
      </c>
      <c r="C420" s="39"/>
      <c r="D420" s="40">
        <v>0</v>
      </c>
      <c r="E420" s="40">
        <v>0</v>
      </c>
      <c r="F420" s="40">
        <f>+D420-E420</f>
        <v>0</v>
      </c>
      <c r="G420" s="2">
        <f>+ABS(D420)+ABS(E420)</f>
        <v>0</v>
      </c>
    </row>
    <row r="421" spans="1:7" hidden="1">
      <c r="A421" s="37" t="s">
        <v>792</v>
      </c>
      <c r="B421" s="38" t="s">
        <v>793</v>
      </c>
      <c r="C421" s="39"/>
      <c r="D421" s="40">
        <v>0</v>
      </c>
      <c r="E421" s="40">
        <v>0</v>
      </c>
      <c r="F421" s="40">
        <f>+D421-E421</f>
        <v>0</v>
      </c>
      <c r="G421" s="2">
        <f>+ABS(D421)+ABS(E421)</f>
        <v>0</v>
      </c>
    </row>
    <row r="422" spans="1:7" hidden="1">
      <c r="A422" s="37" t="s">
        <v>794</v>
      </c>
      <c r="B422" s="38" t="s">
        <v>795</v>
      </c>
      <c r="C422" s="39"/>
      <c r="D422" s="40">
        <v>0</v>
      </c>
      <c r="E422" s="40">
        <v>0</v>
      </c>
      <c r="F422" s="40">
        <f>+D422-E422</f>
        <v>0</v>
      </c>
      <c r="G422" s="2">
        <f>+ABS(D422)+ABS(E422)</f>
        <v>0</v>
      </c>
    </row>
    <row r="423" spans="1:7" hidden="1">
      <c r="A423" s="37" t="s">
        <v>796</v>
      </c>
      <c r="B423" s="38" t="s">
        <v>797</v>
      </c>
      <c r="C423" s="39"/>
      <c r="D423" s="40">
        <v>0</v>
      </c>
      <c r="E423" s="40">
        <v>0</v>
      </c>
      <c r="F423" s="40">
        <f>+D423-E423</f>
        <v>0</v>
      </c>
      <c r="G423" s="2">
        <f>+ABS(D423)+ABS(E423)</f>
        <v>0</v>
      </c>
    </row>
    <row r="424" spans="1:7" hidden="1">
      <c r="A424" s="37" t="s">
        <v>798</v>
      </c>
      <c r="B424" s="38" t="s">
        <v>799</v>
      </c>
      <c r="C424" s="39"/>
      <c r="D424" s="40">
        <v>0</v>
      </c>
      <c r="E424" s="40">
        <v>0</v>
      </c>
      <c r="F424" s="40">
        <f>+D424-E424</f>
        <v>0</v>
      </c>
      <c r="G424" s="2">
        <f>+ABS(D424)+ABS(E424)</f>
        <v>0</v>
      </c>
    </row>
    <row r="425" spans="1:7" hidden="1">
      <c r="A425" s="37" t="s">
        <v>800</v>
      </c>
      <c r="B425" s="38" t="s">
        <v>801</v>
      </c>
      <c r="C425" s="39"/>
      <c r="D425" s="40">
        <v>0</v>
      </c>
      <c r="E425" s="40">
        <v>0</v>
      </c>
      <c r="F425" s="40">
        <f>+D425-E425</f>
        <v>0</v>
      </c>
      <c r="G425" s="2">
        <f>+ABS(D425)+ABS(E425)</f>
        <v>0</v>
      </c>
    </row>
    <row r="426" spans="1:7" hidden="1">
      <c r="A426" s="37"/>
      <c r="B426" s="48"/>
      <c r="C426" s="39"/>
      <c r="D426" s="40"/>
      <c r="E426" s="40"/>
      <c r="F426" s="40"/>
      <c r="G426" s="2">
        <f>+G427</f>
        <v>0</v>
      </c>
    </row>
    <row r="427" spans="1:7" s="15" customFormat="1" hidden="1">
      <c r="A427" s="42" t="s">
        <v>787</v>
      </c>
      <c r="B427" s="49" t="s">
        <v>802</v>
      </c>
      <c r="C427" s="44"/>
      <c r="D427" s="45">
        <f>SUM(D419:D426)</f>
        <v>0</v>
      </c>
      <c r="E427" s="45">
        <f>SUM(E419:E426)</f>
        <v>0</v>
      </c>
      <c r="F427" s="45">
        <f>+D427-E427</f>
        <v>0</v>
      </c>
      <c r="G427" s="2">
        <f>+ABS(D427)+ABS(E427)</f>
        <v>0</v>
      </c>
    </row>
    <row r="428" spans="1:7" s="15" customFormat="1" hidden="1">
      <c r="A428" s="42"/>
      <c r="B428" s="44"/>
      <c r="C428" s="44"/>
      <c r="D428" s="40"/>
      <c r="E428" s="40"/>
      <c r="F428" s="40"/>
      <c r="G428" s="2">
        <f>G427</f>
        <v>0</v>
      </c>
    </row>
    <row r="429" spans="1:7" s="15" customFormat="1" hidden="1">
      <c r="A429" s="42" t="s">
        <v>11</v>
      </c>
      <c r="B429" s="49" t="s">
        <v>803</v>
      </c>
      <c r="C429" s="44"/>
      <c r="D429" s="40">
        <f>+D102+D165+D393+D416+D427</f>
        <v>1394293.86</v>
      </c>
      <c r="E429" s="40">
        <f>+E102+E165+E393+E416+E427</f>
        <v>1632017.53</v>
      </c>
      <c r="F429" s="40">
        <f>+D429-E429</f>
        <v>-237723.67</v>
      </c>
      <c r="G429" s="2">
        <f>G428</f>
        <v>0</v>
      </c>
    </row>
    <row r="430" spans="1:7" s="15" customFormat="1" hidden="1">
      <c r="A430" s="42"/>
      <c r="B430" s="44"/>
      <c r="C430" s="44"/>
      <c r="D430" s="40"/>
      <c r="E430" s="40"/>
      <c r="F430" s="40"/>
      <c r="G430" s="2">
        <f>G429</f>
        <v>0</v>
      </c>
    </row>
    <row r="431" spans="1:7" s="15" customFormat="1">
      <c r="A431" s="46" t="s">
        <v>11</v>
      </c>
      <c r="B431" s="47" t="s">
        <v>804</v>
      </c>
      <c r="C431" s="44"/>
      <c r="D431" s="40"/>
      <c r="E431" s="40"/>
      <c r="F431" s="40"/>
      <c r="G431" s="2">
        <f>G1686</f>
        <v>157061126.65000001</v>
      </c>
    </row>
    <row r="432" spans="1:7" s="15" customFormat="1">
      <c r="A432" s="46"/>
      <c r="B432" s="47"/>
      <c r="C432" s="44"/>
      <c r="D432" s="40"/>
      <c r="E432" s="40"/>
      <c r="F432" s="40"/>
      <c r="G432" s="2">
        <f>G431</f>
        <v>157061126.65000001</v>
      </c>
    </row>
    <row r="433" spans="1:7" s="15" customFormat="1" hidden="1">
      <c r="A433" s="46" t="s">
        <v>11</v>
      </c>
      <c r="B433" s="44" t="s">
        <v>805</v>
      </c>
      <c r="C433" s="44"/>
      <c r="D433" s="40"/>
      <c r="E433" s="40"/>
      <c r="F433" s="40"/>
      <c r="G433" s="2">
        <f>G454</f>
        <v>0</v>
      </c>
    </row>
    <row r="434" spans="1:7" hidden="1">
      <c r="A434" s="37"/>
      <c r="B434" s="38"/>
      <c r="C434" s="39"/>
      <c r="D434" s="40"/>
      <c r="E434" s="40"/>
      <c r="F434" s="40"/>
    </row>
    <row r="435" spans="1:7" hidden="1">
      <c r="A435" s="37" t="s">
        <v>806</v>
      </c>
      <c r="B435" s="38" t="s">
        <v>807</v>
      </c>
      <c r="C435" s="39"/>
      <c r="D435" s="40">
        <v>0</v>
      </c>
      <c r="E435" s="40">
        <v>0</v>
      </c>
      <c r="F435" s="40">
        <f>+D435-E435</f>
        <v>0</v>
      </c>
      <c r="G435" s="2">
        <f>+ABS(D435)+ABS(E435)</f>
        <v>0</v>
      </c>
    </row>
    <row r="436" spans="1:7" hidden="1">
      <c r="A436" s="37" t="s">
        <v>808</v>
      </c>
      <c r="B436" s="38" t="s">
        <v>807</v>
      </c>
      <c r="C436" s="39"/>
      <c r="D436" s="40">
        <v>0</v>
      </c>
      <c r="E436" s="40">
        <v>0</v>
      </c>
      <c r="F436" s="40">
        <f>+D436-E436</f>
        <v>0</v>
      </c>
      <c r="G436" s="2">
        <f>+ABS(D436)+ABS(E436)</f>
        <v>0</v>
      </c>
    </row>
    <row r="437" spans="1:7" hidden="1">
      <c r="A437" s="37" t="s">
        <v>809</v>
      </c>
      <c r="B437" s="38" t="s">
        <v>810</v>
      </c>
      <c r="C437" s="39"/>
      <c r="D437" s="40">
        <v>0</v>
      </c>
      <c r="E437" s="40">
        <v>0</v>
      </c>
      <c r="F437" s="40">
        <f>+D437-E437</f>
        <v>0</v>
      </c>
      <c r="G437" s="2">
        <f>+ABS(D437)+ABS(E437)</f>
        <v>0</v>
      </c>
    </row>
    <row r="438" spans="1:7" hidden="1">
      <c r="A438" s="37" t="s">
        <v>811</v>
      </c>
      <c r="B438" s="38" t="s">
        <v>812</v>
      </c>
      <c r="C438" s="39"/>
      <c r="D438" s="40">
        <v>0</v>
      </c>
      <c r="E438" s="40">
        <v>0</v>
      </c>
      <c r="F438" s="40">
        <f>+D438-E438</f>
        <v>0</v>
      </c>
      <c r="G438" s="2">
        <f>+ABS(D438)+ABS(E438)</f>
        <v>0</v>
      </c>
    </row>
    <row r="439" spans="1:7" hidden="1">
      <c r="A439" s="37" t="s">
        <v>813</v>
      </c>
      <c r="B439" s="38" t="s">
        <v>814</v>
      </c>
      <c r="C439" s="39"/>
      <c r="D439" s="40">
        <v>0</v>
      </c>
      <c r="E439" s="40">
        <v>0</v>
      </c>
      <c r="F439" s="40">
        <f>+D439-E439</f>
        <v>0</v>
      </c>
      <c r="G439" s="2">
        <f>+ABS(D439)+ABS(E439)</f>
        <v>0</v>
      </c>
    </row>
    <row r="440" spans="1:7" hidden="1">
      <c r="A440" s="37" t="s">
        <v>815</v>
      </c>
      <c r="B440" s="38" t="s">
        <v>816</v>
      </c>
      <c r="C440" s="39"/>
      <c r="D440" s="40">
        <v>0</v>
      </c>
      <c r="E440" s="40">
        <v>0</v>
      </c>
      <c r="F440" s="40">
        <f>+D440-E440</f>
        <v>0</v>
      </c>
      <c r="G440" s="2">
        <f>+ABS(D440)+ABS(E440)</f>
        <v>0</v>
      </c>
    </row>
    <row r="441" spans="1:7" hidden="1">
      <c r="A441" s="37" t="s">
        <v>817</v>
      </c>
      <c r="B441" s="38" t="s">
        <v>818</v>
      </c>
      <c r="C441" s="39"/>
      <c r="D441" s="40">
        <v>0</v>
      </c>
      <c r="E441" s="40">
        <v>0</v>
      </c>
      <c r="F441" s="40">
        <f>+D441-E441</f>
        <v>0</v>
      </c>
      <c r="G441" s="2">
        <f>+ABS(D441)+ABS(E441)</f>
        <v>0</v>
      </c>
    </row>
    <row r="442" spans="1:7" hidden="1">
      <c r="A442" s="37" t="s">
        <v>819</v>
      </c>
      <c r="B442" s="38" t="s">
        <v>820</v>
      </c>
      <c r="C442" s="39"/>
      <c r="D442" s="40">
        <v>0</v>
      </c>
      <c r="E442" s="40">
        <v>0</v>
      </c>
      <c r="F442" s="40">
        <f>+D442-E442</f>
        <v>0</v>
      </c>
      <c r="G442" s="2">
        <f>+ABS(D442)+ABS(E442)</f>
        <v>0</v>
      </c>
    </row>
    <row r="443" spans="1:7" hidden="1">
      <c r="A443" s="37" t="s">
        <v>821</v>
      </c>
      <c r="B443" s="38" t="s">
        <v>822</v>
      </c>
      <c r="C443" s="39"/>
      <c r="D443" s="40">
        <v>0</v>
      </c>
      <c r="E443" s="40">
        <v>0</v>
      </c>
      <c r="F443" s="40">
        <f>+D443-E443</f>
        <v>0</v>
      </c>
      <c r="G443" s="2">
        <f>+ABS(D443)+ABS(E443)</f>
        <v>0</v>
      </c>
    </row>
    <row r="444" spans="1:7" hidden="1">
      <c r="A444" s="37" t="s">
        <v>823</v>
      </c>
      <c r="B444" s="38" t="s">
        <v>824</v>
      </c>
      <c r="C444" s="39"/>
      <c r="D444" s="40">
        <v>0</v>
      </c>
      <c r="E444" s="40">
        <v>0</v>
      </c>
      <c r="F444" s="40">
        <f>+D444-E444</f>
        <v>0</v>
      </c>
      <c r="G444" s="2">
        <f>+ABS(D444)+ABS(E444)</f>
        <v>0</v>
      </c>
    </row>
    <row r="445" spans="1:7" hidden="1">
      <c r="A445" s="37" t="s">
        <v>825</v>
      </c>
      <c r="B445" s="38" t="s">
        <v>826</v>
      </c>
      <c r="C445" s="39"/>
      <c r="D445" s="40">
        <v>0</v>
      </c>
      <c r="E445" s="40">
        <v>0</v>
      </c>
      <c r="F445" s="40">
        <f>+D445-E445</f>
        <v>0</v>
      </c>
      <c r="G445" s="2">
        <f>+ABS(D445)+ABS(E445)</f>
        <v>0</v>
      </c>
    </row>
    <row r="446" spans="1:7" hidden="1">
      <c r="A446" s="37" t="s">
        <v>827</v>
      </c>
      <c r="B446" s="38" t="s">
        <v>828</v>
      </c>
      <c r="C446" s="39"/>
      <c r="D446" s="40">
        <v>0</v>
      </c>
      <c r="E446" s="40">
        <v>0</v>
      </c>
      <c r="F446" s="40">
        <f>+D446-E446</f>
        <v>0</v>
      </c>
      <c r="G446" s="2">
        <f>+ABS(D446)+ABS(E446)</f>
        <v>0</v>
      </c>
    </row>
    <row r="447" spans="1:7" hidden="1">
      <c r="A447" s="37" t="s">
        <v>829</v>
      </c>
      <c r="B447" s="38" t="s">
        <v>830</v>
      </c>
      <c r="C447" s="39"/>
      <c r="D447" s="40">
        <v>0</v>
      </c>
      <c r="E447" s="40">
        <v>0</v>
      </c>
      <c r="F447" s="40">
        <f>+D447-E447</f>
        <v>0</v>
      </c>
      <c r="G447" s="2">
        <f>+ABS(D447)+ABS(E447)</f>
        <v>0</v>
      </c>
    </row>
    <row r="448" spans="1:7" hidden="1">
      <c r="A448" s="37" t="s">
        <v>831</v>
      </c>
      <c r="B448" s="38" t="s">
        <v>832</v>
      </c>
      <c r="C448" s="39"/>
      <c r="D448" s="40">
        <v>0</v>
      </c>
      <c r="E448" s="40">
        <v>0</v>
      </c>
      <c r="F448" s="40">
        <f>+D448-E448</f>
        <v>0</v>
      </c>
      <c r="G448" s="2">
        <f>+ABS(D448)+ABS(E448)</f>
        <v>0</v>
      </c>
    </row>
    <row r="449" spans="1:13" hidden="1">
      <c r="A449" s="37" t="s">
        <v>833</v>
      </c>
      <c r="B449" s="38" t="s">
        <v>834</v>
      </c>
      <c r="C449" s="39"/>
      <c r="D449" s="40">
        <v>0</v>
      </c>
      <c r="E449" s="40">
        <v>0</v>
      </c>
      <c r="F449" s="40">
        <f>+D449-E449</f>
        <v>0</v>
      </c>
      <c r="G449" s="2">
        <f>+ABS(D449)+ABS(E449)</f>
        <v>0</v>
      </c>
    </row>
    <row r="450" spans="1:13" hidden="1">
      <c r="A450" s="37" t="s">
        <v>835</v>
      </c>
      <c r="B450" s="38" t="s">
        <v>836</v>
      </c>
      <c r="C450" s="39"/>
      <c r="D450" s="40">
        <v>0</v>
      </c>
      <c r="E450" s="40">
        <v>0</v>
      </c>
      <c r="F450" s="40">
        <f>+D450-E450</f>
        <v>0</v>
      </c>
      <c r="G450" s="2">
        <f>+ABS(D450)+ABS(E450)</f>
        <v>0</v>
      </c>
    </row>
    <row r="451" spans="1:13" hidden="1">
      <c r="A451" s="37" t="s">
        <v>837</v>
      </c>
      <c r="B451" s="38" t="s">
        <v>838</v>
      </c>
      <c r="C451" s="39"/>
      <c r="D451" s="40">
        <v>0</v>
      </c>
      <c r="E451" s="40">
        <v>0</v>
      </c>
      <c r="F451" s="40">
        <f>+D451-E451</f>
        <v>0</v>
      </c>
      <c r="G451" s="2">
        <f>+ABS(D451)+ABS(E451)</f>
        <v>0</v>
      </c>
    </row>
    <row r="452" spans="1:13" hidden="1">
      <c r="A452" s="37" t="s">
        <v>839</v>
      </c>
      <c r="B452" s="38" t="s">
        <v>840</v>
      </c>
      <c r="C452" s="39"/>
      <c r="D452" s="40">
        <v>0</v>
      </c>
      <c r="E452" s="40">
        <v>0</v>
      </c>
      <c r="F452" s="40">
        <f>+D452-E452</f>
        <v>0</v>
      </c>
      <c r="G452" s="2">
        <f>+ABS(D452)+ABS(E452)</f>
        <v>0</v>
      </c>
    </row>
    <row r="453" spans="1:13" hidden="1">
      <c r="A453" s="37"/>
      <c r="B453" s="48"/>
      <c r="C453" s="39"/>
      <c r="D453" s="40"/>
      <c r="E453" s="40"/>
      <c r="F453" s="40"/>
      <c r="G453" s="2">
        <f>+G454</f>
        <v>0</v>
      </c>
    </row>
    <row r="454" spans="1:13" s="15" customFormat="1" hidden="1">
      <c r="A454" s="42" t="s">
        <v>11</v>
      </c>
      <c r="B454" s="49" t="s">
        <v>841</v>
      </c>
      <c r="C454" s="44"/>
      <c r="D454" s="45">
        <f>SUM(D434:D453)</f>
        <v>0</v>
      </c>
      <c r="E454" s="45">
        <f>SUM(E434:E453)</f>
        <v>0</v>
      </c>
      <c r="F454" s="45">
        <f>+D454-E454</f>
        <v>0</v>
      </c>
      <c r="G454" s="2">
        <f>+ABS(D454)+ABS(E454)</f>
        <v>0</v>
      </c>
      <c r="M454" s="50"/>
    </row>
    <row r="455" spans="1:13" hidden="1">
      <c r="A455" s="42"/>
      <c r="B455" s="39"/>
      <c r="C455" s="39"/>
      <c r="D455" s="40"/>
      <c r="E455" s="40"/>
      <c r="F455" s="40"/>
      <c r="G455" s="2">
        <f>G454</f>
        <v>0</v>
      </c>
    </row>
    <row r="456" spans="1:13" s="15" customFormat="1" hidden="1">
      <c r="A456" s="46" t="s">
        <v>11</v>
      </c>
      <c r="B456" s="44" t="s">
        <v>842</v>
      </c>
      <c r="C456" s="44"/>
      <c r="D456" s="40"/>
      <c r="E456" s="40"/>
      <c r="F456" s="40"/>
      <c r="G456" s="2">
        <f>G621</f>
        <v>0</v>
      </c>
    </row>
    <row r="457" spans="1:13" hidden="1">
      <c r="A457" s="37"/>
      <c r="B457" s="38"/>
      <c r="C457" s="39"/>
      <c r="D457" s="40"/>
      <c r="E457" s="40"/>
      <c r="F457" s="40"/>
    </row>
    <row r="458" spans="1:13" hidden="1">
      <c r="A458" s="37" t="s">
        <v>843</v>
      </c>
      <c r="B458" s="38" t="s">
        <v>844</v>
      </c>
      <c r="C458" s="39"/>
      <c r="D458" s="40">
        <v>0</v>
      </c>
      <c r="E458" s="40">
        <v>0</v>
      </c>
      <c r="F458" s="40">
        <f>+D458-E458</f>
        <v>0</v>
      </c>
      <c r="G458" s="2">
        <f>+ABS(D458)+ABS(E458)</f>
        <v>0</v>
      </c>
    </row>
    <row r="459" spans="1:13" hidden="1">
      <c r="A459" s="37" t="s">
        <v>845</v>
      </c>
      <c r="B459" s="38" t="s">
        <v>846</v>
      </c>
      <c r="C459" s="39"/>
      <c r="D459" s="40">
        <v>0</v>
      </c>
      <c r="E459" s="40">
        <v>0</v>
      </c>
      <c r="F459" s="40">
        <f>+D459-E459</f>
        <v>0</v>
      </c>
      <c r="G459" s="2">
        <f>+ABS(D459)+ABS(E459)</f>
        <v>0</v>
      </c>
    </row>
    <row r="460" spans="1:13" hidden="1">
      <c r="A460" s="37" t="s">
        <v>847</v>
      </c>
      <c r="B460" s="38" t="s">
        <v>848</v>
      </c>
      <c r="C460" s="39"/>
      <c r="D460" s="40">
        <v>0</v>
      </c>
      <c r="E460" s="40">
        <v>0</v>
      </c>
      <c r="F460" s="40">
        <f>+D460-E460</f>
        <v>0</v>
      </c>
      <c r="G460" s="2">
        <f>+ABS(D460)+ABS(E460)</f>
        <v>0</v>
      </c>
    </row>
    <row r="461" spans="1:13" hidden="1">
      <c r="A461" s="37" t="s">
        <v>849</v>
      </c>
      <c r="B461" s="38" t="s">
        <v>850</v>
      </c>
      <c r="C461" s="39"/>
      <c r="D461" s="40">
        <v>0</v>
      </c>
      <c r="E461" s="40">
        <v>0</v>
      </c>
      <c r="F461" s="40">
        <f>+D461-E461</f>
        <v>0</v>
      </c>
      <c r="G461" s="2">
        <f>+ABS(D461)+ABS(E461)</f>
        <v>0</v>
      </c>
    </row>
    <row r="462" spans="1:13" hidden="1">
      <c r="A462" s="37" t="s">
        <v>851</v>
      </c>
      <c r="B462" s="38" t="s">
        <v>852</v>
      </c>
      <c r="C462" s="39"/>
      <c r="D462" s="40">
        <v>0</v>
      </c>
      <c r="E462" s="40">
        <v>0</v>
      </c>
      <c r="F462" s="40">
        <f>+D462-E462</f>
        <v>0</v>
      </c>
      <c r="G462" s="2">
        <f>+ABS(D462)+ABS(E462)</f>
        <v>0</v>
      </c>
    </row>
    <row r="463" spans="1:13" hidden="1">
      <c r="A463" s="37" t="s">
        <v>853</v>
      </c>
      <c r="B463" s="38" t="s">
        <v>854</v>
      </c>
      <c r="C463" s="39"/>
      <c r="D463" s="40">
        <v>0</v>
      </c>
      <c r="E463" s="40">
        <v>0</v>
      </c>
      <c r="F463" s="40">
        <f>+D463-E463</f>
        <v>0</v>
      </c>
      <c r="G463" s="2">
        <f>+ABS(D463)+ABS(E463)</f>
        <v>0</v>
      </c>
    </row>
    <row r="464" spans="1:13" hidden="1">
      <c r="A464" s="37" t="s">
        <v>855</v>
      </c>
      <c r="B464" s="38" t="s">
        <v>856</v>
      </c>
      <c r="C464" s="39"/>
      <c r="D464" s="40">
        <v>0</v>
      </c>
      <c r="E464" s="40">
        <v>0</v>
      </c>
      <c r="F464" s="40">
        <f>+D464-E464</f>
        <v>0</v>
      </c>
      <c r="G464" s="2">
        <f>+ABS(D464)+ABS(E464)</f>
        <v>0</v>
      </c>
    </row>
    <row r="465" spans="1:7" hidden="1">
      <c r="A465" s="37" t="s">
        <v>857</v>
      </c>
      <c r="B465" s="38" t="s">
        <v>858</v>
      </c>
      <c r="C465" s="39"/>
      <c r="D465" s="40">
        <v>0</v>
      </c>
      <c r="E465" s="40">
        <v>0</v>
      </c>
      <c r="F465" s="40">
        <f>+D465-E465</f>
        <v>0</v>
      </c>
      <c r="G465" s="2">
        <f>+ABS(D465)+ABS(E465)</f>
        <v>0</v>
      </c>
    </row>
    <row r="466" spans="1:7" hidden="1">
      <c r="A466" s="37" t="s">
        <v>859</v>
      </c>
      <c r="B466" s="38" t="s">
        <v>860</v>
      </c>
      <c r="C466" s="39"/>
      <c r="D466" s="40">
        <v>0</v>
      </c>
      <c r="E466" s="40">
        <v>0</v>
      </c>
      <c r="F466" s="40">
        <f>+D466-E466</f>
        <v>0</v>
      </c>
      <c r="G466" s="2">
        <f>+ABS(D466)+ABS(E466)</f>
        <v>0</v>
      </c>
    </row>
    <row r="467" spans="1:7" hidden="1">
      <c r="A467" s="37" t="s">
        <v>861</v>
      </c>
      <c r="B467" s="38" t="s">
        <v>862</v>
      </c>
      <c r="C467" s="39"/>
      <c r="D467" s="40">
        <v>0</v>
      </c>
      <c r="E467" s="40">
        <v>0</v>
      </c>
      <c r="F467" s="40">
        <f>+D467-E467</f>
        <v>0</v>
      </c>
      <c r="G467" s="2">
        <f>+ABS(D467)+ABS(E467)</f>
        <v>0</v>
      </c>
    </row>
    <row r="468" spans="1:7" hidden="1">
      <c r="A468" s="37" t="s">
        <v>863</v>
      </c>
      <c r="B468" s="38" t="s">
        <v>864</v>
      </c>
      <c r="C468" s="39"/>
      <c r="D468" s="40">
        <v>0</v>
      </c>
      <c r="E468" s="40">
        <v>0</v>
      </c>
      <c r="F468" s="40">
        <f>+D468-E468</f>
        <v>0</v>
      </c>
      <c r="G468" s="2">
        <f>+ABS(D468)+ABS(E468)</f>
        <v>0</v>
      </c>
    </row>
    <row r="469" spans="1:7" hidden="1">
      <c r="A469" s="37" t="s">
        <v>865</v>
      </c>
      <c r="B469" s="38" t="s">
        <v>866</v>
      </c>
      <c r="C469" s="39"/>
      <c r="D469" s="40">
        <v>0</v>
      </c>
      <c r="E469" s="40">
        <v>0</v>
      </c>
      <c r="F469" s="40">
        <f>+D469-E469</f>
        <v>0</v>
      </c>
      <c r="G469" s="2">
        <f>+ABS(D469)+ABS(E469)</f>
        <v>0</v>
      </c>
    </row>
    <row r="470" spans="1:7" hidden="1">
      <c r="A470" s="37" t="s">
        <v>867</v>
      </c>
      <c r="B470" s="38" t="s">
        <v>868</v>
      </c>
      <c r="C470" s="39"/>
      <c r="D470" s="40">
        <v>0</v>
      </c>
      <c r="E470" s="40">
        <v>0</v>
      </c>
      <c r="F470" s="40">
        <f>+D470-E470</f>
        <v>0</v>
      </c>
      <c r="G470" s="2">
        <f>+ABS(D470)+ABS(E470)</f>
        <v>0</v>
      </c>
    </row>
    <row r="471" spans="1:7" hidden="1">
      <c r="A471" s="37" t="s">
        <v>869</v>
      </c>
      <c r="B471" s="38" t="s">
        <v>870</v>
      </c>
      <c r="C471" s="39"/>
      <c r="D471" s="40">
        <v>0</v>
      </c>
      <c r="E471" s="40">
        <v>0</v>
      </c>
      <c r="F471" s="40">
        <f>+D471-E471</f>
        <v>0</v>
      </c>
      <c r="G471" s="2">
        <f>+ABS(D471)+ABS(E471)</f>
        <v>0</v>
      </c>
    </row>
    <row r="472" spans="1:7" hidden="1">
      <c r="A472" s="37" t="s">
        <v>871</v>
      </c>
      <c r="B472" s="38" t="s">
        <v>872</v>
      </c>
      <c r="C472" s="39"/>
      <c r="D472" s="40">
        <v>0</v>
      </c>
      <c r="E472" s="40">
        <v>0</v>
      </c>
      <c r="F472" s="40">
        <f>+D472-E472</f>
        <v>0</v>
      </c>
      <c r="G472" s="2">
        <f>+ABS(D472)+ABS(E472)</f>
        <v>0</v>
      </c>
    </row>
    <row r="473" spans="1:7" hidden="1">
      <c r="A473" s="37" t="s">
        <v>873</v>
      </c>
      <c r="B473" s="38" t="s">
        <v>874</v>
      </c>
      <c r="C473" s="39"/>
      <c r="D473" s="40">
        <v>0</v>
      </c>
      <c r="E473" s="40">
        <v>0</v>
      </c>
      <c r="F473" s="40">
        <f>+D473-E473</f>
        <v>0</v>
      </c>
      <c r="G473" s="2">
        <f>+ABS(D473)+ABS(E473)</f>
        <v>0</v>
      </c>
    </row>
    <row r="474" spans="1:7" hidden="1">
      <c r="A474" s="37" t="s">
        <v>875</v>
      </c>
      <c r="B474" s="38" t="s">
        <v>876</v>
      </c>
      <c r="C474" s="39"/>
      <c r="D474" s="40">
        <v>0</v>
      </c>
      <c r="E474" s="40">
        <v>0</v>
      </c>
      <c r="F474" s="40">
        <f>+D474-E474</f>
        <v>0</v>
      </c>
      <c r="G474" s="2">
        <f>+ABS(D474)+ABS(E474)</f>
        <v>0</v>
      </c>
    </row>
    <row r="475" spans="1:7" hidden="1">
      <c r="A475" s="37" t="s">
        <v>877</v>
      </c>
      <c r="B475" s="38" t="s">
        <v>878</v>
      </c>
      <c r="C475" s="39"/>
      <c r="D475" s="40">
        <v>0</v>
      </c>
      <c r="E475" s="40">
        <v>0</v>
      </c>
      <c r="F475" s="40">
        <f>+D475-E475</f>
        <v>0</v>
      </c>
      <c r="G475" s="2">
        <f>+ABS(D475)+ABS(E475)</f>
        <v>0</v>
      </c>
    </row>
    <row r="476" spans="1:7" hidden="1">
      <c r="A476" s="37" t="s">
        <v>879</v>
      </c>
      <c r="B476" s="38" t="s">
        <v>880</v>
      </c>
      <c r="C476" s="39"/>
      <c r="D476" s="40">
        <v>0</v>
      </c>
      <c r="E476" s="40">
        <v>0</v>
      </c>
      <c r="F476" s="40">
        <f>+D476-E476</f>
        <v>0</v>
      </c>
      <c r="G476" s="2">
        <f>+ABS(D476)+ABS(E476)</f>
        <v>0</v>
      </c>
    </row>
    <row r="477" spans="1:7" hidden="1">
      <c r="A477" s="37" t="s">
        <v>881</v>
      </c>
      <c r="B477" s="38" t="s">
        <v>882</v>
      </c>
      <c r="C477" s="39"/>
      <c r="D477" s="40">
        <v>0</v>
      </c>
      <c r="E477" s="40">
        <v>0</v>
      </c>
      <c r="F477" s="40">
        <f>+D477-E477</f>
        <v>0</v>
      </c>
      <c r="G477" s="2">
        <f>+ABS(D477)+ABS(E477)</f>
        <v>0</v>
      </c>
    </row>
    <row r="478" spans="1:7" hidden="1">
      <c r="A478" s="37" t="s">
        <v>883</v>
      </c>
      <c r="B478" s="38" t="s">
        <v>884</v>
      </c>
      <c r="C478" s="39"/>
      <c r="D478" s="40">
        <v>0</v>
      </c>
      <c r="E478" s="40">
        <v>0</v>
      </c>
      <c r="F478" s="40">
        <f>+D478-E478</f>
        <v>0</v>
      </c>
      <c r="G478" s="2">
        <f>+ABS(D478)+ABS(E478)</f>
        <v>0</v>
      </c>
    </row>
    <row r="479" spans="1:7" hidden="1">
      <c r="A479" s="37" t="s">
        <v>885</v>
      </c>
      <c r="B479" s="38" t="s">
        <v>886</v>
      </c>
      <c r="C479" s="39"/>
      <c r="D479" s="40">
        <v>0</v>
      </c>
      <c r="E479" s="40">
        <v>0</v>
      </c>
      <c r="F479" s="40">
        <f>+D479-E479</f>
        <v>0</v>
      </c>
      <c r="G479" s="2">
        <f>+ABS(D479)+ABS(E479)</f>
        <v>0</v>
      </c>
    </row>
    <row r="480" spans="1:7" hidden="1">
      <c r="A480" s="37" t="s">
        <v>887</v>
      </c>
      <c r="B480" s="38" t="s">
        <v>888</v>
      </c>
      <c r="C480" s="39"/>
      <c r="D480" s="40">
        <v>0</v>
      </c>
      <c r="E480" s="40">
        <v>0</v>
      </c>
      <c r="F480" s="40">
        <f>+D480-E480</f>
        <v>0</v>
      </c>
      <c r="G480" s="2">
        <f>+ABS(D480)+ABS(E480)</f>
        <v>0</v>
      </c>
    </row>
    <row r="481" spans="1:7" hidden="1">
      <c r="A481" s="37" t="s">
        <v>889</v>
      </c>
      <c r="B481" s="38" t="s">
        <v>890</v>
      </c>
      <c r="C481" s="39"/>
      <c r="D481" s="40">
        <v>0</v>
      </c>
      <c r="E481" s="40">
        <v>0</v>
      </c>
      <c r="F481" s="40">
        <f>+D481-E481</f>
        <v>0</v>
      </c>
      <c r="G481" s="2">
        <f>+ABS(D481)+ABS(E481)</f>
        <v>0</v>
      </c>
    </row>
    <row r="482" spans="1:7" hidden="1">
      <c r="A482" s="37" t="s">
        <v>891</v>
      </c>
      <c r="B482" s="38" t="s">
        <v>892</v>
      </c>
      <c r="C482" s="39"/>
      <c r="D482" s="40">
        <v>0</v>
      </c>
      <c r="E482" s="40">
        <v>0</v>
      </c>
      <c r="F482" s="40">
        <f>+D482-E482</f>
        <v>0</v>
      </c>
      <c r="G482" s="2">
        <f>+ABS(D482)+ABS(E482)</f>
        <v>0</v>
      </c>
    </row>
    <row r="483" spans="1:7" hidden="1">
      <c r="A483" s="37" t="s">
        <v>893</v>
      </c>
      <c r="B483" s="38" t="s">
        <v>894</v>
      </c>
      <c r="C483" s="39"/>
      <c r="D483" s="40">
        <v>0</v>
      </c>
      <c r="E483" s="40">
        <v>0</v>
      </c>
      <c r="F483" s="40">
        <f>+D483-E483</f>
        <v>0</v>
      </c>
      <c r="G483" s="2">
        <f>+ABS(D483)+ABS(E483)</f>
        <v>0</v>
      </c>
    </row>
    <row r="484" spans="1:7" hidden="1">
      <c r="A484" s="37" t="s">
        <v>895</v>
      </c>
      <c r="B484" s="38" t="s">
        <v>896</v>
      </c>
      <c r="C484" s="39"/>
      <c r="D484" s="40">
        <v>0</v>
      </c>
      <c r="E484" s="40">
        <v>0</v>
      </c>
      <c r="F484" s="40">
        <f>+D484-E484</f>
        <v>0</v>
      </c>
      <c r="G484" s="2">
        <f>+ABS(D484)+ABS(E484)</f>
        <v>0</v>
      </c>
    </row>
    <row r="485" spans="1:7" hidden="1">
      <c r="A485" s="37" t="s">
        <v>897</v>
      </c>
      <c r="B485" s="38" t="s">
        <v>898</v>
      </c>
      <c r="C485" s="39"/>
      <c r="D485" s="40">
        <v>0</v>
      </c>
      <c r="E485" s="40">
        <v>0</v>
      </c>
      <c r="F485" s="40">
        <f>+D485-E485</f>
        <v>0</v>
      </c>
      <c r="G485" s="2">
        <f>+ABS(D485)+ABS(E485)</f>
        <v>0</v>
      </c>
    </row>
    <row r="486" spans="1:7" hidden="1">
      <c r="A486" s="37" t="s">
        <v>899</v>
      </c>
      <c r="B486" s="38" t="s">
        <v>900</v>
      </c>
      <c r="C486" s="39"/>
      <c r="D486" s="40">
        <v>0</v>
      </c>
      <c r="E486" s="40">
        <v>0</v>
      </c>
      <c r="F486" s="40">
        <f>+D486-E486</f>
        <v>0</v>
      </c>
      <c r="G486" s="2">
        <f>+ABS(D486)+ABS(E486)</f>
        <v>0</v>
      </c>
    </row>
    <row r="487" spans="1:7" hidden="1">
      <c r="A487" s="37" t="s">
        <v>901</v>
      </c>
      <c r="B487" s="38" t="s">
        <v>902</v>
      </c>
      <c r="C487" s="39"/>
      <c r="D487" s="40">
        <v>0</v>
      </c>
      <c r="E487" s="40">
        <v>0</v>
      </c>
      <c r="F487" s="40">
        <f>+D487-E487</f>
        <v>0</v>
      </c>
      <c r="G487" s="2">
        <f>+ABS(D487)+ABS(E487)</f>
        <v>0</v>
      </c>
    </row>
    <row r="488" spans="1:7" hidden="1">
      <c r="A488" s="37" t="s">
        <v>903</v>
      </c>
      <c r="B488" s="38" t="s">
        <v>904</v>
      </c>
      <c r="C488" s="39"/>
      <c r="D488" s="40">
        <v>0</v>
      </c>
      <c r="E488" s="40">
        <v>0</v>
      </c>
      <c r="F488" s="40">
        <f>+D488-E488</f>
        <v>0</v>
      </c>
      <c r="G488" s="2">
        <f>+ABS(D488)+ABS(E488)</f>
        <v>0</v>
      </c>
    </row>
    <row r="489" spans="1:7" hidden="1">
      <c r="A489" s="37" t="s">
        <v>905</v>
      </c>
      <c r="B489" s="38" t="s">
        <v>906</v>
      </c>
      <c r="C489" s="39"/>
      <c r="D489" s="40">
        <v>0</v>
      </c>
      <c r="E489" s="40">
        <v>0</v>
      </c>
      <c r="F489" s="40">
        <f>+D489-E489</f>
        <v>0</v>
      </c>
      <c r="G489" s="2">
        <f>+ABS(D489)+ABS(E489)</f>
        <v>0</v>
      </c>
    </row>
    <row r="490" spans="1:7" hidden="1">
      <c r="A490" s="37" t="s">
        <v>907</v>
      </c>
      <c r="B490" s="38" t="s">
        <v>908</v>
      </c>
      <c r="C490" s="39"/>
      <c r="D490" s="40">
        <v>0</v>
      </c>
      <c r="E490" s="40">
        <v>0</v>
      </c>
      <c r="F490" s="40">
        <f>+D490-E490</f>
        <v>0</v>
      </c>
      <c r="G490" s="2">
        <f>+ABS(D490)+ABS(E490)</f>
        <v>0</v>
      </c>
    </row>
    <row r="491" spans="1:7" hidden="1">
      <c r="A491" s="37" t="s">
        <v>909</v>
      </c>
      <c r="B491" s="38" t="s">
        <v>910</v>
      </c>
      <c r="C491" s="39"/>
      <c r="D491" s="40">
        <v>0</v>
      </c>
      <c r="E491" s="40">
        <v>0</v>
      </c>
      <c r="F491" s="40">
        <f>+D491-E491</f>
        <v>0</v>
      </c>
      <c r="G491" s="2">
        <f>+ABS(D491)+ABS(E491)</f>
        <v>0</v>
      </c>
    </row>
    <row r="492" spans="1:7" hidden="1">
      <c r="A492" s="37" t="s">
        <v>911</v>
      </c>
      <c r="B492" s="38" t="s">
        <v>912</v>
      </c>
      <c r="C492" s="39"/>
      <c r="D492" s="40">
        <v>0</v>
      </c>
      <c r="E492" s="40">
        <v>0</v>
      </c>
      <c r="F492" s="40">
        <f>+D492-E492</f>
        <v>0</v>
      </c>
      <c r="G492" s="2">
        <f>+ABS(D492)+ABS(E492)</f>
        <v>0</v>
      </c>
    </row>
    <row r="493" spans="1:7" hidden="1">
      <c r="A493" s="37" t="s">
        <v>913</v>
      </c>
      <c r="B493" s="38" t="s">
        <v>914</v>
      </c>
      <c r="C493" s="39"/>
      <c r="D493" s="40">
        <v>0</v>
      </c>
      <c r="E493" s="40">
        <v>0</v>
      </c>
      <c r="F493" s="40">
        <f>+D493-E493</f>
        <v>0</v>
      </c>
      <c r="G493" s="2">
        <f>+ABS(D493)+ABS(E493)</f>
        <v>0</v>
      </c>
    </row>
    <row r="494" spans="1:7" hidden="1">
      <c r="A494" s="37" t="s">
        <v>915</v>
      </c>
      <c r="B494" s="38" t="s">
        <v>916</v>
      </c>
      <c r="C494" s="39"/>
      <c r="D494" s="40">
        <v>0</v>
      </c>
      <c r="E494" s="40">
        <v>0</v>
      </c>
      <c r="F494" s="40">
        <f>+D494-E494</f>
        <v>0</v>
      </c>
      <c r="G494" s="2">
        <f>+ABS(D494)+ABS(E494)</f>
        <v>0</v>
      </c>
    </row>
    <row r="495" spans="1:7" hidden="1">
      <c r="A495" s="37" t="s">
        <v>917</v>
      </c>
      <c r="B495" s="38" t="s">
        <v>918</v>
      </c>
      <c r="C495" s="39"/>
      <c r="D495" s="40">
        <v>0</v>
      </c>
      <c r="E495" s="40">
        <v>0</v>
      </c>
      <c r="F495" s="40">
        <f>+D495-E495</f>
        <v>0</v>
      </c>
      <c r="G495" s="2">
        <f>+ABS(D495)+ABS(E495)</f>
        <v>0</v>
      </c>
    </row>
    <row r="496" spans="1:7" hidden="1">
      <c r="A496" s="37" t="s">
        <v>919</v>
      </c>
      <c r="B496" s="38" t="s">
        <v>920</v>
      </c>
      <c r="C496" s="39"/>
      <c r="D496" s="40">
        <v>0</v>
      </c>
      <c r="E496" s="40">
        <v>0</v>
      </c>
      <c r="F496" s="40">
        <f>+D496-E496</f>
        <v>0</v>
      </c>
      <c r="G496" s="2">
        <f>+ABS(D496)+ABS(E496)</f>
        <v>0</v>
      </c>
    </row>
    <row r="497" spans="1:7" hidden="1">
      <c r="A497" s="37" t="s">
        <v>921</v>
      </c>
      <c r="B497" s="38" t="s">
        <v>922</v>
      </c>
      <c r="C497" s="39"/>
      <c r="D497" s="40">
        <v>0</v>
      </c>
      <c r="E497" s="40">
        <v>0</v>
      </c>
      <c r="F497" s="40">
        <f>+D497-E497</f>
        <v>0</v>
      </c>
      <c r="G497" s="2">
        <f>+ABS(D497)+ABS(E497)</f>
        <v>0</v>
      </c>
    </row>
    <row r="498" spans="1:7" hidden="1">
      <c r="A498" s="37" t="s">
        <v>923</v>
      </c>
      <c r="B498" s="38" t="s">
        <v>924</v>
      </c>
      <c r="C498" s="39"/>
      <c r="D498" s="40">
        <v>0</v>
      </c>
      <c r="E498" s="40">
        <v>0</v>
      </c>
      <c r="F498" s="40">
        <f>+D498-E498</f>
        <v>0</v>
      </c>
      <c r="G498" s="2">
        <f>+ABS(D498)+ABS(E498)</f>
        <v>0</v>
      </c>
    </row>
    <row r="499" spans="1:7" hidden="1">
      <c r="A499" s="37" t="s">
        <v>925</v>
      </c>
      <c r="B499" s="38" t="s">
        <v>926</v>
      </c>
      <c r="C499" s="39"/>
      <c r="D499" s="40">
        <v>0</v>
      </c>
      <c r="E499" s="40">
        <v>0</v>
      </c>
      <c r="F499" s="40">
        <f>+D499-E499</f>
        <v>0</v>
      </c>
      <c r="G499" s="2">
        <f>+ABS(D499)+ABS(E499)</f>
        <v>0</v>
      </c>
    </row>
    <row r="500" spans="1:7" hidden="1">
      <c r="A500" s="37" t="s">
        <v>927</v>
      </c>
      <c r="B500" s="38" t="s">
        <v>928</v>
      </c>
      <c r="C500" s="39"/>
      <c r="D500" s="40">
        <v>0</v>
      </c>
      <c r="E500" s="40">
        <v>0</v>
      </c>
      <c r="F500" s="40">
        <f>+D500-E500</f>
        <v>0</v>
      </c>
      <c r="G500" s="2">
        <f>+ABS(D500)+ABS(E500)</f>
        <v>0</v>
      </c>
    </row>
    <row r="501" spans="1:7" hidden="1">
      <c r="A501" s="37" t="s">
        <v>929</v>
      </c>
      <c r="B501" s="38" t="s">
        <v>930</v>
      </c>
      <c r="C501" s="39"/>
      <c r="D501" s="40">
        <v>0</v>
      </c>
      <c r="E501" s="40">
        <v>0</v>
      </c>
      <c r="F501" s="40">
        <f>+D501-E501</f>
        <v>0</v>
      </c>
      <c r="G501" s="2">
        <f>+ABS(D501)+ABS(E501)</f>
        <v>0</v>
      </c>
    </row>
    <row r="502" spans="1:7" hidden="1">
      <c r="A502" s="37" t="s">
        <v>931</v>
      </c>
      <c r="B502" s="38" t="s">
        <v>932</v>
      </c>
      <c r="C502" s="39"/>
      <c r="D502" s="40">
        <v>0</v>
      </c>
      <c r="E502" s="40">
        <v>0</v>
      </c>
      <c r="F502" s="40">
        <f>+D502-E502</f>
        <v>0</v>
      </c>
      <c r="G502" s="2">
        <f>+ABS(D502)+ABS(E502)</f>
        <v>0</v>
      </c>
    </row>
    <row r="503" spans="1:7" hidden="1">
      <c r="A503" s="37" t="s">
        <v>933</v>
      </c>
      <c r="B503" s="38" t="s">
        <v>934</v>
      </c>
      <c r="C503" s="39"/>
      <c r="D503" s="40">
        <v>0</v>
      </c>
      <c r="E503" s="40">
        <v>0</v>
      </c>
      <c r="F503" s="40">
        <f>+D503-E503</f>
        <v>0</v>
      </c>
      <c r="G503" s="2">
        <f>+ABS(D503)+ABS(E503)</f>
        <v>0</v>
      </c>
    </row>
    <row r="504" spans="1:7" hidden="1">
      <c r="A504" s="37" t="s">
        <v>935</v>
      </c>
      <c r="B504" s="38" t="s">
        <v>936</v>
      </c>
      <c r="C504" s="39"/>
      <c r="D504" s="40">
        <v>0</v>
      </c>
      <c r="E504" s="40">
        <v>0</v>
      </c>
      <c r="F504" s="40">
        <f>+D504-E504</f>
        <v>0</v>
      </c>
      <c r="G504" s="2">
        <f>+ABS(D504)+ABS(E504)</f>
        <v>0</v>
      </c>
    </row>
    <row r="505" spans="1:7" hidden="1">
      <c r="A505" s="37" t="s">
        <v>937</v>
      </c>
      <c r="B505" s="38" t="s">
        <v>938</v>
      </c>
      <c r="C505" s="39"/>
      <c r="D505" s="40">
        <v>0</v>
      </c>
      <c r="E505" s="40">
        <v>0</v>
      </c>
      <c r="F505" s="40">
        <f>+D505-E505</f>
        <v>0</v>
      </c>
      <c r="G505" s="2">
        <f>+ABS(D505)+ABS(E505)</f>
        <v>0</v>
      </c>
    </row>
    <row r="506" spans="1:7" hidden="1">
      <c r="A506" s="37" t="s">
        <v>939</v>
      </c>
      <c r="B506" s="38" t="s">
        <v>902</v>
      </c>
      <c r="C506" s="39"/>
      <c r="D506" s="40">
        <v>0</v>
      </c>
      <c r="E506" s="40">
        <v>0</v>
      </c>
      <c r="F506" s="40">
        <f>+D506-E506</f>
        <v>0</v>
      </c>
      <c r="G506" s="2">
        <f>+ABS(D506)+ABS(E506)</f>
        <v>0</v>
      </c>
    </row>
    <row r="507" spans="1:7" hidden="1">
      <c r="A507" s="37" t="s">
        <v>940</v>
      </c>
      <c r="B507" s="38" t="s">
        <v>941</v>
      </c>
      <c r="C507" s="39"/>
      <c r="D507" s="40">
        <v>0</v>
      </c>
      <c r="E507" s="40">
        <v>0</v>
      </c>
      <c r="F507" s="40">
        <f>+D507-E507</f>
        <v>0</v>
      </c>
      <c r="G507" s="2">
        <f>+ABS(D507)+ABS(E507)</f>
        <v>0</v>
      </c>
    </row>
    <row r="508" spans="1:7" hidden="1">
      <c r="A508" s="37" t="s">
        <v>942</v>
      </c>
      <c r="B508" s="38" t="s">
        <v>943</v>
      </c>
      <c r="C508" s="39"/>
      <c r="D508" s="40">
        <v>0</v>
      </c>
      <c r="E508" s="40">
        <v>0</v>
      </c>
      <c r="F508" s="40">
        <f>+D508-E508</f>
        <v>0</v>
      </c>
      <c r="G508" s="2">
        <f>+ABS(D508)+ABS(E508)</f>
        <v>0</v>
      </c>
    </row>
    <row r="509" spans="1:7" hidden="1">
      <c r="A509" s="37" t="s">
        <v>944</v>
      </c>
      <c r="B509" s="38" t="s">
        <v>945</v>
      </c>
      <c r="C509" s="39"/>
      <c r="D509" s="40">
        <v>0</v>
      </c>
      <c r="E509" s="40">
        <v>0</v>
      </c>
      <c r="F509" s="40">
        <f>+D509-E509</f>
        <v>0</v>
      </c>
      <c r="G509" s="2">
        <f>+ABS(D509)+ABS(E509)</f>
        <v>0</v>
      </c>
    </row>
    <row r="510" spans="1:7" hidden="1">
      <c r="A510" s="37" t="s">
        <v>946</v>
      </c>
      <c r="B510" s="38" t="s">
        <v>947</v>
      </c>
      <c r="C510" s="39"/>
      <c r="D510" s="40">
        <v>0</v>
      </c>
      <c r="E510" s="40">
        <v>0</v>
      </c>
      <c r="F510" s="40">
        <f>+D510-E510</f>
        <v>0</v>
      </c>
      <c r="G510" s="2">
        <f>+ABS(D510)+ABS(E510)</f>
        <v>0</v>
      </c>
    </row>
    <row r="511" spans="1:7" hidden="1">
      <c r="A511" s="37" t="s">
        <v>948</v>
      </c>
      <c r="B511" s="38" t="s">
        <v>949</v>
      </c>
      <c r="C511" s="39"/>
      <c r="D511" s="40">
        <v>0</v>
      </c>
      <c r="E511" s="40">
        <v>0</v>
      </c>
      <c r="F511" s="40">
        <f>+D511-E511</f>
        <v>0</v>
      </c>
      <c r="G511" s="2">
        <f>+ABS(D511)+ABS(E511)</f>
        <v>0</v>
      </c>
    </row>
    <row r="512" spans="1:7" hidden="1">
      <c r="A512" s="37" t="s">
        <v>950</v>
      </c>
      <c r="B512" s="38" t="s">
        <v>951</v>
      </c>
      <c r="C512" s="39"/>
      <c r="D512" s="40">
        <v>0</v>
      </c>
      <c r="E512" s="40">
        <v>0</v>
      </c>
      <c r="F512" s="40">
        <f>+D512-E512</f>
        <v>0</v>
      </c>
      <c r="G512" s="2">
        <f>+ABS(D512)+ABS(E512)</f>
        <v>0</v>
      </c>
    </row>
    <row r="513" spans="1:7" hidden="1">
      <c r="A513" s="37" t="s">
        <v>952</v>
      </c>
      <c r="B513" s="38" t="s">
        <v>953</v>
      </c>
      <c r="C513" s="39"/>
      <c r="D513" s="40">
        <v>0</v>
      </c>
      <c r="E513" s="40">
        <v>0</v>
      </c>
      <c r="F513" s="40">
        <f>+D513-E513</f>
        <v>0</v>
      </c>
      <c r="G513" s="2">
        <f>+ABS(D513)+ABS(E513)</f>
        <v>0</v>
      </c>
    </row>
    <row r="514" spans="1:7" hidden="1">
      <c r="A514" s="37" t="s">
        <v>954</v>
      </c>
      <c r="B514" s="38" t="s">
        <v>955</v>
      </c>
      <c r="C514" s="39"/>
      <c r="D514" s="40">
        <v>0</v>
      </c>
      <c r="E514" s="40">
        <v>0</v>
      </c>
      <c r="F514" s="40">
        <f>+D514-E514</f>
        <v>0</v>
      </c>
      <c r="G514" s="2">
        <f>+ABS(D514)+ABS(E514)</f>
        <v>0</v>
      </c>
    </row>
    <row r="515" spans="1:7" hidden="1">
      <c r="A515" s="37" t="s">
        <v>956</v>
      </c>
      <c r="B515" s="38" t="s">
        <v>957</v>
      </c>
      <c r="C515" s="39"/>
      <c r="D515" s="40">
        <v>0</v>
      </c>
      <c r="E515" s="40">
        <v>0</v>
      </c>
      <c r="F515" s="40">
        <f>+D515-E515</f>
        <v>0</v>
      </c>
      <c r="G515" s="2">
        <f>+ABS(D515)+ABS(E515)</f>
        <v>0</v>
      </c>
    </row>
    <row r="516" spans="1:7" hidden="1">
      <c r="A516" s="37" t="s">
        <v>958</v>
      </c>
      <c r="B516" s="38" t="s">
        <v>959</v>
      </c>
      <c r="C516" s="39"/>
      <c r="D516" s="40">
        <v>0</v>
      </c>
      <c r="E516" s="40">
        <v>0</v>
      </c>
      <c r="F516" s="40">
        <f>+D516-E516</f>
        <v>0</v>
      </c>
      <c r="G516" s="2">
        <f>+ABS(D516)+ABS(E516)</f>
        <v>0</v>
      </c>
    </row>
    <row r="517" spans="1:7" hidden="1">
      <c r="A517" s="37" t="s">
        <v>960</v>
      </c>
      <c r="B517" s="38" t="s">
        <v>961</v>
      </c>
      <c r="C517" s="39"/>
      <c r="D517" s="40">
        <v>0</v>
      </c>
      <c r="E517" s="40">
        <v>0</v>
      </c>
      <c r="F517" s="40">
        <f>+D517-E517</f>
        <v>0</v>
      </c>
      <c r="G517" s="2">
        <f>+ABS(D517)+ABS(E517)</f>
        <v>0</v>
      </c>
    </row>
    <row r="518" spans="1:7" hidden="1">
      <c r="A518" s="37" t="s">
        <v>962</v>
      </c>
      <c r="B518" s="38" t="s">
        <v>963</v>
      </c>
      <c r="C518" s="39"/>
      <c r="D518" s="40">
        <v>0</v>
      </c>
      <c r="E518" s="40">
        <v>0</v>
      </c>
      <c r="F518" s="40">
        <f>+D518-E518</f>
        <v>0</v>
      </c>
      <c r="G518" s="2">
        <f>+ABS(D518)+ABS(E518)</f>
        <v>0</v>
      </c>
    </row>
    <row r="519" spans="1:7" hidden="1">
      <c r="A519" s="37" t="s">
        <v>964</v>
      </c>
      <c r="B519" s="38" t="s">
        <v>965</v>
      </c>
      <c r="C519" s="39"/>
      <c r="D519" s="40">
        <v>0</v>
      </c>
      <c r="E519" s="40">
        <v>0</v>
      </c>
      <c r="F519" s="40">
        <f>+D519-E519</f>
        <v>0</v>
      </c>
      <c r="G519" s="2">
        <f>+ABS(D519)+ABS(E519)</f>
        <v>0</v>
      </c>
    </row>
    <row r="520" spans="1:7" hidden="1">
      <c r="A520" s="37" t="s">
        <v>966</v>
      </c>
      <c r="B520" s="38" t="s">
        <v>967</v>
      </c>
      <c r="C520" s="39"/>
      <c r="D520" s="40">
        <v>0</v>
      </c>
      <c r="E520" s="40">
        <v>0</v>
      </c>
      <c r="F520" s="40">
        <f>+D520-E520</f>
        <v>0</v>
      </c>
      <c r="G520" s="2">
        <f>+ABS(D520)+ABS(E520)</f>
        <v>0</v>
      </c>
    </row>
    <row r="521" spans="1:7" hidden="1">
      <c r="A521" s="37" t="s">
        <v>968</v>
      </c>
      <c r="B521" s="38" t="s">
        <v>969</v>
      </c>
      <c r="C521" s="39"/>
      <c r="D521" s="40">
        <v>0</v>
      </c>
      <c r="E521" s="40">
        <v>0</v>
      </c>
      <c r="F521" s="40">
        <f>+D521-E521</f>
        <v>0</v>
      </c>
      <c r="G521" s="2">
        <f>+ABS(D521)+ABS(E521)</f>
        <v>0</v>
      </c>
    </row>
    <row r="522" spans="1:7" hidden="1">
      <c r="A522" s="37" t="s">
        <v>970</v>
      </c>
      <c r="B522" s="38" t="s">
        <v>971</v>
      </c>
      <c r="C522" s="39"/>
      <c r="D522" s="40">
        <v>0</v>
      </c>
      <c r="E522" s="40">
        <v>0</v>
      </c>
      <c r="F522" s="40">
        <f>+D522-E522</f>
        <v>0</v>
      </c>
      <c r="G522" s="2">
        <f>+ABS(D522)+ABS(E522)</f>
        <v>0</v>
      </c>
    </row>
    <row r="523" spans="1:7" hidden="1">
      <c r="A523" s="37" t="s">
        <v>972</v>
      </c>
      <c r="B523" s="38" t="s">
        <v>973</v>
      </c>
      <c r="C523" s="39"/>
      <c r="D523" s="40">
        <v>0</v>
      </c>
      <c r="E523" s="40">
        <v>0</v>
      </c>
      <c r="F523" s="40">
        <f>+D523-E523</f>
        <v>0</v>
      </c>
      <c r="G523" s="2">
        <f>+ABS(D523)+ABS(E523)</f>
        <v>0</v>
      </c>
    </row>
    <row r="524" spans="1:7" hidden="1">
      <c r="A524" s="37" t="s">
        <v>974</v>
      </c>
      <c r="B524" s="38" t="s">
        <v>975</v>
      </c>
      <c r="C524" s="39"/>
      <c r="D524" s="40">
        <v>0</v>
      </c>
      <c r="E524" s="40">
        <v>0</v>
      </c>
      <c r="F524" s="40">
        <f>+D524-E524</f>
        <v>0</v>
      </c>
      <c r="G524" s="2">
        <f>+ABS(D524)+ABS(E524)</f>
        <v>0</v>
      </c>
    </row>
    <row r="525" spans="1:7" hidden="1">
      <c r="A525" s="37" t="s">
        <v>976</v>
      </c>
      <c r="B525" s="38" t="s">
        <v>977</v>
      </c>
      <c r="C525" s="39"/>
      <c r="D525" s="40">
        <v>0</v>
      </c>
      <c r="E525" s="40">
        <v>0</v>
      </c>
      <c r="F525" s="40">
        <f>+D525-E525</f>
        <v>0</v>
      </c>
      <c r="G525" s="2">
        <f>+ABS(D525)+ABS(E525)</f>
        <v>0</v>
      </c>
    </row>
    <row r="526" spans="1:7" hidden="1">
      <c r="A526" s="37" t="s">
        <v>978</v>
      </c>
      <c r="B526" s="38" t="s">
        <v>979</v>
      </c>
      <c r="C526" s="39"/>
      <c r="D526" s="40">
        <v>0</v>
      </c>
      <c r="E526" s="40">
        <v>0</v>
      </c>
      <c r="F526" s="40">
        <f>+D526-E526</f>
        <v>0</v>
      </c>
      <c r="G526" s="2">
        <f>+ABS(D526)+ABS(E526)</f>
        <v>0</v>
      </c>
    </row>
    <row r="527" spans="1:7" hidden="1">
      <c r="A527" s="37" t="s">
        <v>980</v>
      </c>
      <c r="B527" s="38" t="s">
        <v>981</v>
      </c>
      <c r="C527" s="39"/>
      <c r="D527" s="40">
        <v>0</v>
      </c>
      <c r="E527" s="40">
        <v>0</v>
      </c>
      <c r="F527" s="40">
        <f>+D527-E527</f>
        <v>0</v>
      </c>
      <c r="G527" s="2">
        <f>+ABS(D527)+ABS(E527)</f>
        <v>0</v>
      </c>
    </row>
    <row r="528" spans="1:7" hidden="1">
      <c r="A528" s="37" t="s">
        <v>982</v>
      </c>
      <c r="B528" s="38" t="s">
        <v>983</v>
      </c>
      <c r="C528" s="39"/>
      <c r="D528" s="40">
        <v>0</v>
      </c>
      <c r="E528" s="40">
        <v>0</v>
      </c>
      <c r="F528" s="40">
        <f>+D528-E528</f>
        <v>0</v>
      </c>
      <c r="G528" s="2">
        <f>+ABS(D528)+ABS(E528)</f>
        <v>0</v>
      </c>
    </row>
    <row r="529" spans="1:7" hidden="1">
      <c r="A529" s="37" t="s">
        <v>984</v>
      </c>
      <c r="B529" s="38" t="s">
        <v>985</v>
      </c>
      <c r="C529" s="39"/>
      <c r="D529" s="40">
        <v>0</v>
      </c>
      <c r="E529" s="40">
        <v>0</v>
      </c>
      <c r="F529" s="40">
        <f>+D529-E529</f>
        <v>0</v>
      </c>
      <c r="G529" s="2">
        <f>+ABS(D529)+ABS(E529)</f>
        <v>0</v>
      </c>
    </row>
    <row r="530" spans="1:7" hidden="1">
      <c r="A530" s="37" t="s">
        <v>986</v>
      </c>
      <c r="B530" s="38" t="s">
        <v>987</v>
      </c>
      <c r="C530" s="39"/>
      <c r="D530" s="40">
        <v>0</v>
      </c>
      <c r="E530" s="40">
        <v>0</v>
      </c>
      <c r="F530" s="40">
        <f>+D530-E530</f>
        <v>0</v>
      </c>
      <c r="G530" s="2">
        <f>+ABS(D530)+ABS(E530)</f>
        <v>0</v>
      </c>
    </row>
    <row r="531" spans="1:7" hidden="1">
      <c r="A531" s="37" t="s">
        <v>988</v>
      </c>
      <c r="B531" s="38" t="s">
        <v>989</v>
      </c>
      <c r="C531" s="39"/>
      <c r="D531" s="40">
        <v>0</v>
      </c>
      <c r="E531" s="40">
        <v>0</v>
      </c>
      <c r="F531" s="40">
        <f>+D531-E531</f>
        <v>0</v>
      </c>
      <c r="G531" s="2">
        <f>+ABS(D531)+ABS(E531)</f>
        <v>0</v>
      </c>
    </row>
    <row r="532" spans="1:7" hidden="1">
      <c r="A532" s="37" t="s">
        <v>990</v>
      </c>
      <c r="B532" s="38" t="s">
        <v>991</v>
      </c>
      <c r="C532" s="39"/>
      <c r="D532" s="40">
        <v>0</v>
      </c>
      <c r="E532" s="40">
        <v>0</v>
      </c>
      <c r="F532" s="40">
        <f>+D532-E532</f>
        <v>0</v>
      </c>
      <c r="G532" s="2">
        <f>+ABS(D532)+ABS(E532)</f>
        <v>0</v>
      </c>
    </row>
    <row r="533" spans="1:7" hidden="1">
      <c r="A533" s="37" t="s">
        <v>992</v>
      </c>
      <c r="B533" s="38" t="s">
        <v>993</v>
      </c>
      <c r="C533" s="39"/>
      <c r="D533" s="40">
        <v>0</v>
      </c>
      <c r="E533" s="40">
        <v>0</v>
      </c>
      <c r="F533" s="40">
        <f>+D533-E533</f>
        <v>0</v>
      </c>
      <c r="G533" s="2">
        <f>+ABS(D533)+ABS(E533)</f>
        <v>0</v>
      </c>
    </row>
    <row r="534" spans="1:7" hidden="1">
      <c r="A534" s="37" t="s">
        <v>994</v>
      </c>
      <c r="B534" s="38" t="s">
        <v>995</v>
      </c>
      <c r="C534" s="39"/>
      <c r="D534" s="40">
        <v>0</v>
      </c>
      <c r="E534" s="40">
        <v>0</v>
      </c>
      <c r="F534" s="40">
        <f>+D534-E534</f>
        <v>0</v>
      </c>
      <c r="G534" s="2">
        <f>+ABS(D534)+ABS(E534)</f>
        <v>0</v>
      </c>
    </row>
    <row r="535" spans="1:7" hidden="1">
      <c r="A535" s="37" t="s">
        <v>996</v>
      </c>
      <c r="B535" s="38" t="s">
        <v>997</v>
      </c>
      <c r="C535" s="39"/>
      <c r="D535" s="40">
        <v>0</v>
      </c>
      <c r="E535" s="40">
        <v>0</v>
      </c>
      <c r="F535" s="40">
        <f>+D535-E535</f>
        <v>0</v>
      </c>
      <c r="G535" s="2">
        <f>+ABS(D535)+ABS(E535)</f>
        <v>0</v>
      </c>
    </row>
    <row r="536" spans="1:7" hidden="1">
      <c r="A536" s="37" t="s">
        <v>998</v>
      </c>
      <c r="B536" s="38" t="s">
        <v>999</v>
      </c>
      <c r="C536" s="39"/>
      <c r="D536" s="40">
        <v>0</v>
      </c>
      <c r="E536" s="40">
        <v>0</v>
      </c>
      <c r="F536" s="40">
        <f>+D536-E536</f>
        <v>0</v>
      </c>
      <c r="G536" s="2">
        <f>+ABS(D536)+ABS(E536)</f>
        <v>0</v>
      </c>
    </row>
    <row r="537" spans="1:7" hidden="1">
      <c r="A537" s="37" t="s">
        <v>1000</v>
      </c>
      <c r="B537" s="38" t="s">
        <v>1001</v>
      </c>
      <c r="C537" s="39"/>
      <c r="D537" s="40">
        <v>0</v>
      </c>
      <c r="E537" s="40">
        <v>0</v>
      </c>
      <c r="F537" s="40">
        <f>+D537-E537</f>
        <v>0</v>
      </c>
      <c r="G537" s="2">
        <f>+ABS(D537)+ABS(E537)</f>
        <v>0</v>
      </c>
    </row>
    <row r="538" spans="1:7" hidden="1">
      <c r="A538" s="37" t="s">
        <v>1002</v>
      </c>
      <c r="B538" s="38" t="s">
        <v>1003</v>
      </c>
      <c r="C538" s="39"/>
      <c r="D538" s="40">
        <v>0</v>
      </c>
      <c r="E538" s="40">
        <v>0</v>
      </c>
      <c r="F538" s="40">
        <f>+D538-E538</f>
        <v>0</v>
      </c>
      <c r="G538" s="2">
        <f>+ABS(D538)+ABS(E538)</f>
        <v>0</v>
      </c>
    </row>
    <row r="539" spans="1:7" hidden="1">
      <c r="A539" s="37" t="s">
        <v>1004</v>
      </c>
      <c r="B539" s="38" t="s">
        <v>1005</v>
      </c>
      <c r="C539" s="39"/>
      <c r="D539" s="40">
        <v>0</v>
      </c>
      <c r="E539" s="40">
        <v>0</v>
      </c>
      <c r="F539" s="40">
        <f>+D539-E539</f>
        <v>0</v>
      </c>
      <c r="G539" s="2">
        <f>+ABS(D539)+ABS(E539)</f>
        <v>0</v>
      </c>
    </row>
    <row r="540" spans="1:7" hidden="1">
      <c r="A540" s="37" t="s">
        <v>1006</v>
      </c>
      <c r="B540" s="38" t="s">
        <v>1007</v>
      </c>
      <c r="C540" s="39"/>
      <c r="D540" s="40">
        <v>0</v>
      </c>
      <c r="E540" s="40">
        <v>0</v>
      </c>
      <c r="F540" s="40">
        <f>+D540-E540</f>
        <v>0</v>
      </c>
      <c r="G540" s="2">
        <f>+ABS(D540)+ABS(E540)</f>
        <v>0</v>
      </c>
    </row>
    <row r="541" spans="1:7" hidden="1">
      <c r="A541" s="37" t="s">
        <v>1008</v>
      </c>
      <c r="B541" s="38" t="s">
        <v>1009</v>
      </c>
      <c r="C541" s="39"/>
      <c r="D541" s="40">
        <v>0</v>
      </c>
      <c r="E541" s="40">
        <v>0</v>
      </c>
      <c r="F541" s="40">
        <f>+D541-E541</f>
        <v>0</v>
      </c>
      <c r="G541" s="2">
        <f>+ABS(D541)+ABS(E541)</f>
        <v>0</v>
      </c>
    </row>
    <row r="542" spans="1:7" hidden="1">
      <c r="A542" s="37" t="s">
        <v>1010</v>
      </c>
      <c r="B542" s="38" t="s">
        <v>1011</v>
      </c>
      <c r="C542" s="39"/>
      <c r="D542" s="40">
        <v>0</v>
      </c>
      <c r="E542" s="40">
        <v>0</v>
      </c>
      <c r="F542" s="40">
        <f>+D542-E542</f>
        <v>0</v>
      </c>
      <c r="G542" s="2">
        <f>+ABS(D542)+ABS(E542)</f>
        <v>0</v>
      </c>
    </row>
    <row r="543" spans="1:7" hidden="1">
      <c r="A543" s="37" t="s">
        <v>1012</v>
      </c>
      <c r="B543" s="38" t="s">
        <v>1013</v>
      </c>
      <c r="C543" s="39"/>
      <c r="D543" s="40">
        <v>0</v>
      </c>
      <c r="E543" s="40">
        <v>0</v>
      </c>
      <c r="F543" s="40">
        <f>+D543-E543</f>
        <v>0</v>
      </c>
      <c r="G543" s="2">
        <f>+ABS(D543)+ABS(E543)</f>
        <v>0</v>
      </c>
    </row>
    <row r="544" spans="1:7" hidden="1">
      <c r="A544" s="37" t="s">
        <v>1014</v>
      </c>
      <c r="B544" s="38" t="s">
        <v>1015</v>
      </c>
      <c r="C544" s="39"/>
      <c r="D544" s="40">
        <v>0</v>
      </c>
      <c r="E544" s="40">
        <v>0</v>
      </c>
      <c r="F544" s="40">
        <f>+D544-E544</f>
        <v>0</v>
      </c>
      <c r="G544" s="2">
        <f>+ABS(D544)+ABS(E544)</f>
        <v>0</v>
      </c>
    </row>
    <row r="545" spans="1:7" hidden="1">
      <c r="A545" s="37" t="s">
        <v>1016</v>
      </c>
      <c r="B545" s="38" t="s">
        <v>1017</v>
      </c>
      <c r="C545" s="39"/>
      <c r="D545" s="40">
        <v>0</v>
      </c>
      <c r="E545" s="40">
        <v>0</v>
      </c>
      <c r="F545" s="40">
        <f>+D545-E545</f>
        <v>0</v>
      </c>
      <c r="G545" s="2">
        <f>+ABS(D545)+ABS(E545)</f>
        <v>0</v>
      </c>
    </row>
    <row r="546" spans="1:7" hidden="1">
      <c r="A546" s="37" t="s">
        <v>1018</v>
      </c>
      <c r="B546" s="38" t="s">
        <v>1019</v>
      </c>
      <c r="C546" s="39"/>
      <c r="D546" s="40">
        <v>0</v>
      </c>
      <c r="E546" s="40">
        <v>0</v>
      </c>
      <c r="F546" s="40">
        <f>+D546-E546</f>
        <v>0</v>
      </c>
      <c r="G546" s="2">
        <f>+ABS(D546)+ABS(E546)</f>
        <v>0</v>
      </c>
    </row>
    <row r="547" spans="1:7" hidden="1">
      <c r="A547" s="37" t="s">
        <v>1020</v>
      </c>
      <c r="B547" s="38" t="s">
        <v>1021</v>
      </c>
      <c r="C547" s="39"/>
      <c r="D547" s="40">
        <v>0</v>
      </c>
      <c r="E547" s="40">
        <v>0</v>
      </c>
      <c r="F547" s="40">
        <f>+D547-E547</f>
        <v>0</v>
      </c>
      <c r="G547" s="2">
        <f>+ABS(D547)+ABS(E547)</f>
        <v>0</v>
      </c>
    </row>
    <row r="548" spans="1:7" hidden="1">
      <c r="A548" s="37" t="s">
        <v>1022</v>
      </c>
      <c r="B548" s="38" t="s">
        <v>1023</v>
      </c>
      <c r="C548" s="39"/>
      <c r="D548" s="40">
        <v>0</v>
      </c>
      <c r="E548" s="40">
        <v>0</v>
      </c>
      <c r="F548" s="40">
        <f>+D548-E548</f>
        <v>0</v>
      </c>
      <c r="G548" s="2">
        <f>+ABS(D548)+ABS(E548)</f>
        <v>0</v>
      </c>
    </row>
    <row r="549" spans="1:7" hidden="1">
      <c r="A549" s="37" t="s">
        <v>1024</v>
      </c>
      <c r="B549" s="38" t="s">
        <v>1025</v>
      </c>
      <c r="C549" s="39"/>
      <c r="D549" s="40">
        <v>0</v>
      </c>
      <c r="E549" s="40">
        <v>0</v>
      </c>
      <c r="F549" s="40">
        <f>+D549-E549</f>
        <v>0</v>
      </c>
      <c r="G549" s="2">
        <f>+ABS(D549)+ABS(E549)</f>
        <v>0</v>
      </c>
    </row>
    <row r="550" spans="1:7" hidden="1">
      <c r="A550" s="37" t="s">
        <v>1026</v>
      </c>
      <c r="B550" s="38" t="s">
        <v>1027</v>
      </c>
      <c r="C550" s="39"/>
      <c r="D550" s="40">
        <v>0</v>
      </c>
      <c r="E550" s="40">
        <v>0</v>
      </c>
      <c r="F550" s="40">
        <f>+D550-E550</f>
        <v>0</v>
      </c>
      <c r="G550" s="2">
        <f>+ABS(D550)+ABS(E550)</f>
        <v>0</v>
      </c>
    </row>
    <row r="551" spans="1:7" hidden="1">
      <c r="A551" s="37" t="s">
        <v>1028</v>
      </c>
      <c r="B551" s="38" t="s">
        <v>1029</v>
      </c>
      <c r="C551" s="39"/>
      <c r="D551" s="40">
        <v>0</v>
      </c>
      <c r="E551" s="40">
        <v>0</v>
      </c>
      <c r="F551" s="40">
        <f>+D551-E551</f>
        <v>0</v>
      </c>
      <c r="G551" s="2">
        <f>+ABS(D551)+ABS(E551)</f>
        <v>0</v>
      </c>
    </row>
    <row r="552" spans="1:7" hidden="1">
      <c r="A552" s="37" t="s">
        <v>1030</v>
      </c>
      <c r="B552" s="38" t="s">
        <v>1031</v>
      </c>
      <c r="C552" s="39"/>
      <c r="D552" s="40">
        <v>0</v>
      </c>
      <c r="E552" s="40">
        <v>0</v>
      </c>
      <c r="F552" s="40">
        <f>+D552-E552</f>
        <v>0</v>
      </c>
      <c r="G552" s="2">
        <f>+ABS(D552)+ABS(E552)</f>
        <v>0</v>
      </c>
    </row>
    <row r="553" spans="1:7" hidden="1">
      <c r="A553" s="37" t="s">
        <v>1032</v>
      </c>
      <c r="B553" s="38" t="s">
        <v>1033</v>
      </c>
      <c r="C553" s="39"/>
      <c r="D553" s="40">
        <v>0</v>
      </c>
      <c r="E553" s="40">
        <v>0</v>
      </c>
      <c r="F553" s="40">
        <f>+D553-E553</f>
        <v>0</v>
      </c>
      <c r="G553" s="2">
        <f>+ABS(D553)+ABS(E553)</f>
        <v>0</v>
      </c>
    </row>
    <row r="554" spans="1:7" hidden="1">
      <c r="A554" s="37" t="s">
        <v>1034</v>
      </c>
      <c r="B554" s="38" t="s">
        <v>1035</v>
      </c>
      <c r="C554" s="39"/>
      <c r="D554" s="40">
        <v>0</v>
      </c>
      <c r="E554" s="40">
        <v>0</v>
      </c>
      <c r="F554" s="40">
        <f>+D554-E554</f>
        <v>0</v>
      </c>
      <c r="G554" s="2">
        <f>+ABS(D554)+ABS(E554)</f>
        <v>0</v>
      </c>
    </row>
    <row r="555" spans="1:7" hidden="1">
      <c r="A555" s="37" t="s">
        <v>1036</v>
      </c>
      <c r="B555" s="38" t="s">
        <v>1037</v>
      </c>
      <c r="C555" s="39"/>
      <c r="D555" s="40">
        <v>0</v>
      </c>
      <c r="E555" s="40">
        <v>0</v>
      </c>
      <c r="F555" s="40">
        <f>+D555-E555</f>
        <v>0</v>
      </c>
      <c r="G555" s="2">
        <f>+ABS(D555)+ABS(E555)</f>
        <v>0</v>
      </c>
    </row>
    <row r="556" spans="1:7" hidden="1">
      <c r="A556" s="37" t="s">
        <v>1038</v>
      </c>
      <c r="B556" s="38" t="s">
        <v>1039</v>
      </c>
      <c r="C556" s="39"/>
      <c r="D556" s="40">
        <v>0</v>
      </c>
      <c r="E556" s="40">
        <v>0</v>
      </c>
      <c r="F556" s="40">
        <f>+D556-E556</f>
        <v>0</v>
      </c>
      <c r="G556" s="2">
        <f>+ABS(D556)+ABS(E556)</f>
        <v>0</v>
      </c>
    </row>
    <row r="557" spans="1:7" hidden="1">
      <c r="A557" s="37" t="s">
        <v>1040</v>
      </c>
      <c r="B557" s="38" t="s">
        <v>1041</v>
      </c>
      <c r="C557" s="39"/>
      <c r="D557" s="40">
        <v>0</v>
      </c>
      <c r="E557" s="40">
        <v>0</v>
      </c>
      <c r="F557" s="40">
        <f>+D557-E557</f>
        <v>0</v>
      </c>
      <c r="G557" s="2">
        <f>+ABS(D557)+ABS(E557)</f>
        <v>0</v>
      </c>
    </row>
    <row r="558" spans="1:7" hidden="1">
      <c r="A558" s="37" t="s">
        <v>1042</v>
      </c>
      <c r="B558" s="38" t="s">
        <v>1043</v>
      </c>
      <c r="C558" s="39"/>
      <c r="D558" s="40">
        <v>0</v>
      </c>
      <c r="E558" s="40">
        <v>0</v>
      </c>
      <c r="F558" s="40">
        <f>+D558-E558</f>
        <v>0</v>
      </c>
      <c r="G558" s="2">
        <f>+ABS(D558)+ABS(E558)</f>
        <v>0</v>
      </c>
    </row>
    <row r="559" spans="1:7" hidden="1">
      <c r="A559" s="37" t="s">
        <v>1044</v>
      </c>
      <c r="B559" s="38" t="s">
        <v>1045</v>
      </c>
      <c r="C559" s="39"/>
      <c r="D559" s="40">
        <v>0</v>
      </c>
      <c r="E559" s="40">
        <v>0</v>
      </c>
      <c r="F559" s="40">
        <f>+D559-E559</f>
        <v>0</v>
      </c>
      <c r="G559" s="2">
        <f>+ABS(D559)+ABS(E559)</f>
        <v>0</v>
      </c>
    </row>
    <row r="560" spans="1:7" hidden="1">
      <c r="A560" s="37" t="s">
        <v>1046</v>
      </c>
      <c r="B560" s="38" t="s">
        <v>1047</v>
      </c>
      <c r="C560" s="39"/>
      <c r="D560" s="40">
        <v>0</v>
      </c>
      <c r="E560" s="40">
        <v>0</v>
      </c>
      <c r="F560" s="40">
        <f>+D560-E560</f>
        <v>0</v>
      </c>
      <c r="G560" s="2">
        <f>+ABS(D560)+ABS(E560)</f>
        <v>0</v>
      </c>
    </row>
    <row r="561" spans="1:7" hidden="1">
      <c r="A561" s="37" t="s">
        <v>1048</v>
      </c>
      <c r="B561" s="38" t="s">
        <v>1049</v>
      </c>
      <c r="C561" s="39"/>
      <c r="D561" s="40">
        <v>0</v>
      </c>
      <c r="E561" s="40">
        <v>0</v>
      </c>
      <c r="F561" s="40">
        <f>+D561-E561</f>
        <v>0</v>
      </c>
      <c r="G561" s="2">
        <f>+ABS(D561)+ABS(E561)</f>
        <v>0</v>
      </c>
    </row>
    <row r="562" spans="1:7" hidden="1">
      <c r="A562" s="37" t="s">
        <v>1050</v>
      </c>
      <c r="B562" s="38" t="s">
        <v>1051</v>
      </c>
      <c r="C562" s="39"/>
      <c r="D562" s="40">
        <v>0</v>
      </c>
      <c r="E562" s="40">
        <v>0</v>
      </c>
      <c r="F562" s="40">
        <f>+D562-E562</f>
        <v>0</v>
      </c>
      <c r="G562" s="2">
        <f>+ABS(D562)+ABS(E562)</f>
        <v>0</v>
      </c>
    </row>
    <row r="563" spans="1:7" hidden="1">
      <c r="A563" s="37" t="s">
        <v>1052</v>
      </c>
      <c r="B563" s="38" t="s">
        <v>1053</v>
      </c>
      <c r="C563" s="39"/>
      <c r="D563" s="40">
        <v>0</v>
      </c>
      <c r="E563" s="40">
        <v>0</v>
      </c>
      <c r="F563" s="40">
        <f>+D563-E563</f>
        <v>0</v>
      </c>
      <c r="G563" s="2">
        <f>+ABS(D563)+ABS(E563)</f>
        <v>0</v>
      </c>
    </row>
    <row r="564" spans="1:7" hidden="1">
      <c r="A564" s="37" t="s">
        <v>1054</v>
      </c>
      <c r="B564" s="38" t="s">
        <v>1055</v>
      </c>
      <c r="C564" s="39"/>
      <c r="D564" s="40">
        <v>0</v>
      </c>
      <c r="E564" s="40">
        <v>0</v>
      </c>
      <c r="F564" s="40">
        <f>+D564-E564</f>
        <v>0</v>
      </c>
      <c r="G564" s="2">
        <f>+ABS(D564)+ABS(E564)</f>
        <v>0</v>
      </c>
    </row>
    <row r="565" spans="1:7" hidden="1">
      <c r="A565" s="37" t="s">
        <v>1056</v>
      </c>
      <c r="B565" s="38" t="s">
        <v>1057</v>
      </c>
      <c r="C565" s="39"/>
      <c r="D565" s="40">
        <v>0</v>
      </c>
      <c r="E565" s="40">
        <v>0</v>
      </c>
      <c r="F565" s="40">
        <f>+D565-E565</f>
        <v>0</v>
      </c>
      <c r="G565" s="2">
        <f>+ABS(D565)+ABS(E565)</f>
        <v>0</v>
      </c>
    </row>
    <row r="566" spans="1:7" hidden="1">
      <c r="A566" s="37" t="s">
        <v>1058</v>
      </c>
      <c r="B566" s="38" t="s">
        <v>1059</v>
      </c>
      <c r="C566" s="39"/>
      <c r="D566" s="40">
        <v>0</v>
      </c>
      <c r="E566" s="40">
        <v>0</v>
      </c>
      <c r="F566" s="40">
        <f>+D566-E566</f>
        <v>0</v>
      </c>
      <c r="G566" s="2">
        <f>+ABS(D566)+ABS(E566)</f>
        <v>0</v>
      </c>
    </row>
    <row r="567" spans="1:7" hidden="1">
      <c r="A567" s="37" t="s">
        <v>1060</v>
      </c>
      <c r="B567" s="38" t="s">
        <v>1061</v>
      </c>
      <c r="C567" s="39"/>
      <c r="D567" s="40">
        <v>0</v>
      </c>
      <c r="E567" s="40">
        <v>0</v>
      </c>
      <c r="F567" s="40">
        <f>+D567-E567</f>
        <v>0</v>
      </c>
      <c r="G567" s="2">
        <f>+ABS(D567)+ABS(E567)</f>
        <v>0</v>
      </c>
    </row>
    <row r="568" spans="1:7" hidden="1">
      <c r="A568" s="37" t="s">
        <v>1062</v>
      </c>
      <c r="B568" s="38" t="s">
        <v>1063</v>
      </c>
      <c r="C568" s="39"/>
      <c r="D568" s="40">
        <v>0</v>
      </c>
      <c r="E568" s="40">
        <v>0</v>
      </c>
      <c r="F568" s="40">
        <f>+D568-E568</f>
        <v>0</v>
      </c>
      <c r="G568" s="2">
        <f>+ABS(D568)+ABS(E568)</f>
        <v>0</v>
      </c>
    </row>
    <row r="569" spans="1:7" hidden="1">
      <c r="A569" s="37" t="s">
        <v>1064</v>
      </c>
      <c r="B569" s="38" t="s">
        <v>1065</v>
      </c>
      <c r="C569" s="39"/>
      <c r="D569" s="40">
        <v>0</v>
      </c>
      <c r="E569" s="40">
        <v>0</v>
      </c>
      <c r="F569" s="40">
        <f>+D569-E569</f>
        <v>0</v>
      </c>
      <c r="G569" s="2">
        <f>+ABS(D569)+ABS(E569)</f>
        <v>0</v>
      </c>
    </row>
    <row r="570" spans="1:7" hidden="1">
      <c r="A570" s="37" t="s">
        <v>1066</v>
      </c>
      <c r="B570" s="38" t="s">
        <v>1067</v>
      </c>
      <c r="C570" s="39"/>
      <c r="D570" s="40">
        <v>0</v>
      </c>
      <c r="E570" s="40">
        <v>0</v>
      </c>
      <c r="F570" s="40">
        <f>+D570-E570</f>
        <v>0</v>
      </c>
      <c r="G570" s="2">
        <f>+ABS(D570)+ABS(E570)</f>
        <v>0</v>
      </c>
    </row>
    <row r="571" spans="1:7" hidden="1">
      <c r="A571" s="37" t="s">
        <v>1068</v>
      </c>
      <c r="B571" s="38" t="s">
        <v>1069</v>
      </c>
      <c r="C571" s="39"/>
      <c r="D571" s="40">
        <v>0</v>
      </c>
      <c r="E571" s="40">
        <v>0</v>
      </c>
      <c r="F571" s="40">
        <f>+D571-E571</f>
        <v>0</v>
      </c>
      <c r="G571" s="2">
        <f>+ABS(D571)+ABS(E571)</f>
        <v>0</v>
      </c>
    </row>
    <row r="572" spans="1:7" hidden="1">
      <c r="A572" s="37" t="s">
        <v>1070</v>
      </c>
      <c r="B572" s="38" t="s">
        <v>1071</v>
      </c>
      <c r="C572" s="39"/>
      <c r="D572" s="40">
        <v>0</v>
      </c>
      <c r="E572" s="40">
        <v>0</v>
      </c>
      <c r="F572" s="40">
        <f>+D572-E572</f>
        <v>0</v>
      </c>
      <c r="G572" s="2">
        <f>+ABS(D572)+ABS(E572)</f>
        <v>0</v>
      </c>
    </row>
    <row r="573" spans="1:7" hidden="1">
      <c r="A573" s="37" t="s">
        <v>1072</v>
      </c>
      <c r="B573" s="38" t="s">
        <v>1073</v>
      </c>
      <c r="C573" s="39"/>
      <c r="D573" s="40">
        <v>0</v>
      </c>
      <c r="E573" s="40">
        <v>0</v>
      </c>
      <c r="F573" s="40">
        <f>+D573-E573</f>
        <v>0</v>
      </c>
      <c r="G573" s="2">
        <f>+ABS(D573)+ABS(E573)</f>
        <v>0</v>
      </c>
    </row>
    <row r="574" spans="1:7" hidden="1">
      <c r="A574" s="37" t="s">
        <v>1074</v>
      </c>
      <c r="B574" s="38" t="s">
        <v>1075</v>
      </c>
      <c r="C574" s="39"/>
      <c r="D574" s="40">
        <v>0</v>
      </c>
      <c r="E574" s="40">
        <v>0</v>
      </c>
      <c r="F574" s="40">
        <f>+D574-E574</f>
        <v>0</v>
      </c>
      <c r="G574" s="2">
        <f>+ABS(D574)+ABS(E574)</f>
        <v>0</v>
      </c>
    </row>
    <row r="575" spans="1:7" hidden="1">
      <c r="A575" s="37" t="s">
        <v>1076</v>
      </c>
      <c r="B575" s="38" t="s">
        <v>1077</v>
      </c>
      <c r="C575" s="39"/>
      <c r="D575" s="40">
        <v>0</v>
      </c>
      <c r="E575" s="40">
        <v>0</v>
      </c>
      <c r="F575" s="40">
        <f>+D575-E575</f>
        <v>0</v>
      </c>
      <c r="G575" s="2">
        <f>+ABS(D575)+ABS(E575)</f>
        <v>0</v>
      </c>
    </row>
    <row r="576" spans="1:7" hidden="1">
      <c r="A576" s="37" t="s">
        <v>1078</v>
      </c>
      <c r="B576" s="38" t="s">
        <v>1079</v>
      </c>
      <c r="C576" s="39"/>
      <c r="D576" s="40">
        <v>0</v>
      </c>
      <c r="E576" s="40">
        <v>0</v>
      </c>
      <c r="F576" s="40">
        <f>+D576-E576</f>
        <v>0</v>
      </c>
      <c r="G576" s="2">
        <f>+ABS(D576)+ABS(E576)</f>
        <v>0</v>
      </c>
    </row>
    <row r="577" spans="1:7" hidden="1">
      <c r="A577" s="37" t="s">
        <v>1080</v>
      </c>
      <c r="B577" s="38" t="s">
        <v>1081</v>
      </c>
      <c r="C577" s="39"/>
      <c r="D577" s="40">
        <v>0</v>
      </c>
      <c r="E577" s="40">
        <v>0</v>
      </c>
      <c r="F577" s="40">
        <f>+D577-E577</f>
        <v>0</v>
      </c>
      <c r="G577" s="2">
        <f>+ABS(D577)+ABS(E577)</f>
        <v>0</v>
      </c>
    </row>
    <row r="578" spans="1:7" hidden="1">
      <c r="A578" s="37" t="s">
        <v>1082</v>
      </c>
      <c r="B578" s="38" t="s">
        <v>1083</v>
      </c>
      <c r="C578" s="39"/>
      <c r="D578" s="40">
        <v>0</v>
      </c>
      <c r="E578" s="40">
        <v>0</v>
      </c>
      <c r="F578" s="40">
        <f>+D578-E578</f>
        <v>0</v>
      </c>
      <c r="G578" s="2">
        <f>+ABS(D578)+ABS(E578)</f>
        <v>0</v>
      </c>
    </row>
    <row r="579" spans="1:7" hidden="1">
      <c r="A579" s="37" t="s">
        <v>1084</v>
      </c>
      <c r="B579" s="38" t="s">
        <v>1085</v>
      </c>
      <c r="C579" s="39"/>
      <c r="D579" s="40">
        <v>0</v>
      </c>
      <c r="E579" s="40">
        <v>0</v>
      </c>
      <c r="F579" s="40">
        <f>+D579-E579</f>
        <v>0</v>
      </c>
      <c r="G579" s="2">
        <f>+ABS(D579)+ABS(E579)</f>
        <v>0</v>
      </c>
    </row>
    <row r="580" spans="1:7" hidden="1">
      <c r="A580" s="37" t="s">
        <v>1086</v>
      </c>
      <c r="B580" s="38" t="s">
        <v>1087</v>
      </c>
      <c r="C580" s="39"/>
      <c r="D580" s="40">
        <v>0</v>
      </c>
      <c r="E580" s="40">
        <v>0</v>
      </c>
      <c r="F580" s="40">
        <f>+D580-E580</f>
        <v>0</v>
      </c>
      <c r="G580" s="2">
        <f>+ABS(D580)+ABS(E580)</f>
        <v>0</v>
      </c>
    </row>
    <row r="581" spans="1:7" hidden="1">
      <c r="A581" s="37" t="s">
        <v>1088</v>
      </c>
      <c r="B581" s="38" t="s">
        <v>1089</v>
      </c>
      <c r="C581" s="39"/>
      <c r="D581" s="40">
        <v>0</v>
      </c>
      <c r="E581" s="40">
        <v>0</v>
      </c>
      <c r="F581" s="40">
        <f>+D581-E581</f>
        <v>0</v>
      </c>
      <c r="G581" s="2">
        <f>+ABS(D581)+ABS(E581)</f>
        <v>0</v>
      </c>
    </row>
    <row r="582" spans="1:7" hidden="1">
      <c r="A582" s="37" t="s">
        <v>1090</v>
      </c>
      <c r="B582" s="38" t="s">
        <v>1091</v>
      </c>
      <c r="C582" s="39"/>
      <c r="D582" s="40">
        <v>0</v>
      </c>
      <c r="E582" s="40">
        <v>0</v>
      </c>
      <c r="F582" s="40">
        <f>+D582-E582</f>
        <v>0</v>
      </c>
      <c r="G582" s="2">
        <f>+ABS(D582)+ABS(E582)</f>
        <v>0</v>
      </c>
    </row>
    <row r="583" spans="1:7" hidden="1">
      <c r="A583" s="37" t="s">
        <v>1092</v>
      </c>
      <c r="B583" s="38" t="s">
        <v>1093</v>
      </c>
      <c r="C583" s="39"/>
      <c r="D583" s="40">
        <v>0</v>
      </c>
      <c r="E583" s="40">
        <v>0</v>
      </c>
      <c r="F583" s="40">
        <f>+D583-E583</f>
        <v>0</v>
      </c>
      <c r="G583" s="2">
        <f>+ABS(D583)+ABS(E583)</f>
        <v>0</v>
      </c>
    </row>
    <row r="584" spans="1:7" hidden="1">
      <c r="A584" s="37" t="s">
        <v>1094</v>
      </c>
      <c r="B584" s="38" t="s">
        <v>1095</v>
      </c>
      <c r="C584" s="39"/>
      <c r="D584" s="40">
        <v>0</v>
      </c>
      <c r="E584" s="40">
        <v>0</v>
      </c>
      <c r="F584" s="40">
        <f>+D584-E584</f>
        <v>0</v>
      </c>
      <c r="G584" s="2">
        <f>+ABS(D584)+ABS(E584)</f>
        <v>0</v>
      </c>
    </row>
    <row r="585" spans="1:7" hidden="1">
      <c r="A585" s="37" t="s">
        <v>1096</v>
      </c>
      <c r="B585" s="38" t="s">
        <v>1097</v>
      </c>
      <c r="C585" s="39"/>
      <c r="D585" s="40">
        <v>0</v>
      </c>
      <c r="E585" s="40">
        <v>0</v>
      </c>
      <c r="F585" s="40">
        <f>+D585-E585</f>
        <v>0</v>
      </c>
      <c r="G585" s="2">
        <f>+ABS(D585)+ABS(E585)</f>
        <v>0</v>
      </c>
    </row>
    <row r="586" spans="1:7" hidden="1">
      <c r="A586" s="37" t="s">
        <v>1098</v>
      </c>
      <c r="B586" s="38" t="s">
        <v>1099</v>
      </c>
      <c r="C586" s="39"/>
      <c r="D586" s="40">
        <v>0</v>
      </c>
      <c r="E586" s="40">
        <v>0</v>
      </c>
      <c r="F586" s="40">
        <f>+D586-E586</f>
        <v>0</v>
      </c>
      <c r="G586" s="2">
        <f>+ABS(D586)+ABS(E586)</f>
        <v>0</v>
      </c>
    </row>
    <row r="587" spans="1:7" hidden="1">
      <c r="A587" s="37" t="s">
        <v>1100</v>
      </c>
      <c r="B587" s="38" t="s">
        <v>1101</v>
      </c>
      <c r="C587" s="39"/>
      <c r="D587" s="40">
        <v>0</v>
      </c>
      <c r="E587" s="40">
        <v>0</v>
      </c>
      <c r="F587" s="40">
        <f>+D587-E587</f>
        <v>0</v>
      </c>
      <c r="G587" s="2">
        <f>+ABS(D587)+ABS(E587)</f>
        <v>0</v>
      </c>
    </row>
    <row r="588" spans="1:7" hidden="1">
      <c r="A588" s="37" t="s">
        <v>1102</v>
      </c>
      <c r="B588" s="38" t="s">
        <v>1103</v>
      </c>
      <c r="C588" s="39"/>
      <c r="D588" s="40">
        <v>0</v>
      </c>
      <c r="E588" s="40">
        <v>0</v>
      </c>
      <c r="F588" s="40">
        <f>+D588-E588</f>
        <v>0</v>
      </c>
      <c r="G588" s="2">
        <f>+ABS(D588)+ABS(E588)</f>
        <v>0</v>
      </c>
    </row>
    <row r="589" spans="1:7" hidden="1">
      <c r="A589" s="37" t="s">
        <v>1104</v>
      </c>
      <c r="B589" s="38" t="s">
        <v>1105</v>
      </c>
      <c r="C589" s="39"/>
      <c r="D589" s="40">
        <v>0</v>
      </c>
      <c r="E589" s="40">
        <v>0</v>
      </c>
      <c r="F589" s="40">
        <f>+D589-E589</f>
        <v>0</v>
      </c>
      <c r="G589" s="2">
        <f>+ABS(D589)+ABS(E589)</f>
        <v>0</v>
      </c>
    </row>
    <row r="590" spans="1:7" hidden="1">
      <c r="A590" s="37" t="s">
        <v>1106</v>
      </c>
      <c r="B590" s="38" t="s">
        <v>1107</v>
      </c>
      <c r="C590" s="39"/>
      <c r="D590" s="40">
        <v>0</v>
      </c>
      <c r="E590" s="40">
        <v>0</v>
      </c>
      <c r="F590" s="40">
        <f>+D590-E590</f>
        <v>0</v>
      </c>
      <c r="G590" s="2">
        <f>+ABS(D590)+ABS(E590)</f>
        <v>0</v>
      </c>
    </row>
    <row r="591" spans="1:7" hidden="1">
      <c r="A591" s="37" t="s">
        <v>1108</v>
      </c>
      <c r="B591" s="38" t="s">
        <v>1109</v>
      </c>
      <c r="C591" s="39"/>
      <c r="D591" s="40">
        <v>0</v>
      </c>
      <c r="E591" s="40">
        <v>0</v>
      </c>
      <c r="F591" s="40">
        <f>+D591-E591</f>
        <v>0</v>
      </c>
      <c r="G591" s="2">
        <f>+ABS(D591)+ABS(E591)</f>
        <v>0</v>
      </c>
    </row>
    <row r="592" spans="1:7" hidden="1">
      <c r="A592" s="37" t="s">
        <v>1110</v>
      </c>
      <c r="B592" s="38" t="s">
        <v>1111</v>
      </c>
      <c r="C592" s="39"/>
      <c r="D592" s="40">
        <v>0</v>
      </c>
      <c r="E592" s="40">
        <v>0</v>
      </c>
      <c r="F592" s="40">
        <f>+D592-E592</f>
        <v>0</v>
      </c>
      <c r="G592" s="2">
        <f>+ABS(D592)+ABS(E592)</f>
        <v>0</v>
      </c>
    </row>
    <row r="593" spans="1:7" hidden="1">
      <c r="A593" s="37" t="s">
        <v>1112</v>
      </c>
      <c r="B593" s="38" t="s">
        <v>1113</v>
      </c>
      <c r="C593" s="39"/>
      <c r="D593" s="40">
        <v>0</v>
      </c>
      <c r="E593" s="40">
        <v>0</v>
      </c>
      <c r="F593" s="40">
        <f>+D593-E593</f>
        <v>0</v>
      </c>
      <c r="G593" s="2">
        <f>+ABS(D593)+ABS(E593)</f>
        <v>0</v>
      </c>
    </row>
    <row r="594" spans="1:7" hidden="1">
      <c r="A594" s="37" t="s">
        <v>1114</v>
      </c>
      <c r="B594" s="38" t="s">
        <v>1115</v>
      </c>
      <c r="C594" s="39"/>
      <c r="D594" s="40">
        <v>0</v>
      </c>
      <c r="E594" s="40">
        <v>0</v>
      </c>
      <c r="F594" s="40">
        <f>+D594-E594</f>
        <v>0</v>
      </c>
      <c r="G594" s="2">
        <f>+ABS(D594)+ABS(E594)</f>
        <v>0</v>
      </c>
    </row>
    <row r="595" spans="1:7" hidden="1">
      <c r="A595" s="37" t="s">
        <v>1116</v>
      </c>
      <c r="B595" s="38" t="s">
        <v>1117</v>
      </c>
      <c r="C595" s="39"/>
      <c r="D595" s="40">
        <v>0</v>
      </c>
      <c r="E595" s="40">
        <v>0</v>
      </c>
      <c r="F595" s="40">
        <f>+D595-E595</f>
        <v>0</v>
      </c>
      <c r="G595" s="2">
        <f>+ABS(D595)+ABS(E595)</f>
        <v>0</v>
      </c>
    </row>
    <row r="596" spans="1:7" hidden="1">
      <c r="A596" s="37" t="s">
        <v>1118</v>
      </c>
      <c r="B596" s="38" t="s">
        <v>1119</v>
      </c>
      <c r="C596" s="39"/>
      <c r="D596" s="40">
        <v>0</v>
      </c>
      <c r="E596" s="40">
        <v>0</v>
      </c>
      <c r="F596" s="40">
        <f>+D596-E596</f>
        <v>0</v>
      </c>
      <c r="G596" s="2">
        <f>+ABS(D596)+ABS(E596)</f>
        <v>0</v>
      </c>
    </row>
    <row r="597" spans="1:7" hidden="1">
      <c r="A597" s="37" t="s">
        <v>1120</v>
      </c>
      <c r="B597" s="38" t="s">
        <v>1121</v>
      </c>
      <c r="C597" s="39"/>
      <c r="D597" s="40">
        <v>0</v>
      </c>
      <c r="E597" s="40">
        <v>0</v>
      </c>
      <c r="F597" s="40">
        <f>+D597-E597</f>
        <v>0</v>
      </c>
      <c r="G597" s="2">
        <f>+ABS(D597)+ABS(E597)</f>
        <v>0</v>
      </c>
    </row>
    <row r="598" spans="1:7" hidden="1">
      <c r="A598" s="37" t="s">
        <v>1122</v>
      </c>
      <c r="B598" s="38" t="s">
        <v>1123</v>
      </c>
      <c r="C598" s="39"/>
      <c r="D598" s="40">
        <v>0</v>
      </c>
      <c r="E598" s="40">
        <v>0</v>
      </c>
      <c r="F598" s="40">
        <f>+D598-E598</f>
        <v>0</v>
      </c>
      <c r="G598" s="2">
        <f>+ABS(D598)+ABS(E598)</f>
        <v>0</v>
      </c>
    </row>
    <row r="599" spans="1:7" hidden="1">
      <c r="A599" s="37" t="s">
        <v>1124</v>
      </c>
      <c r="B599" s="38" t="s">
        <v>1125</v>
      </c>
      <c r="C599" s="39"/>
      <c r="D599" s="40">
        <v>0</v>
      </c>
      <c r="E599" s="40">
        <v>0</v>
      </c>
      <c r="F599" s="40">
        <f>+D599-E599</f>
        <v>0</v>
      </c>
      <c r="G599" s="2">
        <f>+ABS(D599)+ABS(E599)</f>
        <v>0</v>
      </c>
    </row>
    <row r="600" spans="1:7" hidden="1">
      <c r="A600" s="37" t="s">
        <v>1126</v>
      </c>
      <c r="B600" s="38" t="s">
        <v>1127</v>
      </c>
      <c r="C600" s="39"/>
      <c r="D600" s="40">
        <v>0</v>
      </c>
      <c r="E600" s="40">
        <v>0</v>
      </c>
      <c r="F600" s="40">
        <f>+D600-E600</f>
        <v>0</v>
      </c>
      <c r="G600" s="2">
        <f>+ABS(D600)+ABS(E600)</f>
        <v>0</v>
      </c>
    </row>
    <row r="601" spans="1:7" hidden="1">
      <c r="A601" s="37" t="s">
        <v>1128</v>
      </c>
      <c r="B601" s="38" t="s">
        <v>1129</v>
      </c>
      <c r="C601" s="39"/>
      <c r="D601" s="40">
        <v>0</v>
      </c>
      <c r="E601" s="40">
        <v>0</v>
      </c>
      <c r="F601" s="40">
        <f>+D601-E601</f>
        <v>0</v>
      </c>
      <c r="G601" s="2">
        <f>+ABS(D601)+ABS(E601)</f>
        <v>0</v>
      </c>
    </row>
    <row r="602" spans="1:7" hidden="1">
      <c r="A602" s="37" t="s">
        <v>1130</v>
      </c>
      <c r="B602" s="38" t="s">
        <v>1131</v>
      </c>
      <c r="C602" s="39"/>
      <c r="D602" s="40">
        <v>0</v>
      </c>
      <c r="E602" s="40">
        <v>0</v>
      </c>
      <c r="F602" s="40">
        <f>+D602-E602</f>
        <v>0</v>
      </c>
      <c r="G602" s="2">
        <f>+ABS(D602)+ABS(E602)</f>
        <v>0</v>
      </c>
    </row>
    <row r="603" spans="1:7" hidden="1">
      <c r="A603" s="37" t="s">
        <v>1132</v>
      </c>
      <c r="B603" s="38" t="s">
        <v>1133</v>
      </c>
      <c r="C603" s="39"/>
      <c r="D603" s="40">
        <v>0</v>
      </c>
      <c r="E603" s="40">
        <v>0</v>
      </c>
      <c r="F603" s="40">
        <f>+D603-E603</f>
        <v>0</v>
      </c>
      <c r="G603" s="2">
        <f>+ABS(D603)+ABS(E603)</f>
        <v>0</v>
      </c>
    </row>
    <row r="604" spans="1:7" hidden="1">
      <c r="A604" s="37" t="s">
        <v>1134</v>
      </c>
      <c r="B604" s="38" t="s">
        <v>1135</v>
      </c>
      <c r="C604" s="39"/>
      <c r="D604" s="40">
        <v>0</v>
      </c>
      <c r="E604" s="40">
        <v>0</v>
      </c>
      <c r="F604" s="40">
        <f>+D604-E604</f>
        <v>0</v>
      </c>
      <c r="G604" s="2">
        <f>+ABS(D604)+ABS(E604)</f>
        <v>0</v>
      </c>
    </row>
    <row r="605" spans="1:7" hidden="1">
      <c r="A605" s="37" t="s">
        <v>1136</v>
      </c>
      <c r="B605" s="38" t="s">
        <v>1137</v>
      </c>
      <c r="C605" s="39"/>
      <c r="D605" s="40">
        <v>0</v>
      </c>
      <c r="E605" s="40">
        <v>0</v>
      </c>
      <c r="F605" s="40">
        <f>+D605-E605</f>
        <v>0</v>
      </c>
      <c r="G605" s="2">
        <f>+ABS(D605)+ABS(E605)</f>
        <v>0</v>
      </c>
    </row>
    <row r="606" spans="1:7" hidden="1">
      <c r="A606" s="37" t="s">
        <v>1138</v>
      </c>
      <c r="B606" s="38" t="s">
        <v>1139</v>
      </c>
      <c r="C606" s="39"/>
      <c r="D606" s="40">
        <v>0</v>
      </c>
      <c r="E606" s="40">
        <v>0</v>
      </c>
      <c r="F606" s="40">
        <f>+D606-E606</f>
        <v>0</v>
      </c>
      <c r="G606" s="2">
        <f>+ABS(D606)+ABS(E606)</f>
        <v>0</v>
      </c>
    </row>
    <row r="607" spans="1:7" hidden="1">
      <c r="A607" s="37" t="s">
        <v>1140</v>
      </c>
      <c r="B607" s="38" t="s">
        <v>1141</v>
      </c>
      <c r="C607" s="39"/>
      <c r="D607" s="40">
        <v>0</v>
      </c>
      <c r="E607" s="40">
        <v>0</v>
      </c>
      <c r="F607" s="40">
        <f>+D607-E607</f>
        <v>0</v>
      </c>
      <c r="G607" s="2">
        <f>+ABS(D607)+ABS(E607)</f>
        <v>0</v>
      </c>
    </row>
    <row r="608" spans="1:7" hidden="1">
      <c r="A608" s="37" t="s">
        <v>1142</v>
      </c>
      <c r="B608" s="38" t="s">
        <v>1143</v>
      </c>
      <c r="C608" s="39"/>
      <c r="D608" s="40">
        <v>0</v>
      </c>
      <c r="E608" s="40">
        <v>0</v>
      </c>
      <c r="F608" s="40">
        <f>+D608-E608</f>
        <v>0</v>
      </c>
      <c r="G608" s="2">
        <f>+ABS(D608)+ABS(E608)</f>
        <v>0</v>
      </c>
    </row>
    <row r="609" spans="1:13" hidden="1">
      <c r="A609" s="37" t="s">
        <v>1144</v>
      </c>
      <c r="B609" s="38" t="s">
        <v>1145</v>
      </c>
      <c r="C609" s="39"/>
      <c r="D609" s="40">
        <v>0</v>
      </c>
      <c r="E609" s="40">
        <v>0</v>
      </c>
      <c r="F609" s="40">
        <f>+D609-E609</f>
        <v>0</v>
      </c>
      <c r="G609" s="2">
        <f>+ABS(D609)+ABS(E609)</f>
        <v>0</v>
      </c>
    </row>
    <row r="610" spans="1:13" hidden="1">
      <c r="A610" s="37" t="s">
        <v>1146</v>
      </c>
      <c r="B610" s="38" t="s">
        <v>1147</v>
      </c>
      <c r="C610" s="39"/>
      <c r="D610" s="40">
        <v>0</v>
      </c>
      <c r="E610" s="40">
        <v>0</v>
      </c>
      <c r="F610" s="40">
        <f>+D610-E610</f>
        <v>0</v>
      </c>
      <c r="G610" s="2">
        <f>+ABS(D610)+ABS(E610)</f>
        <v>0</v>
      </c>
    </row>
    <row r="611" spans="1:13" hidden="1">
      <c r="A611" s="37" t="s">
        <v>1148</v>
      </c>
      <c r="B611" s="38" t="s">
        <v>1149</v>
      </c>
      <c r="C611" s="39"/>
      <c r="D611" s="40">
        <v>0</v>
      </c>
      <c r="E611" s="40">
        <v>0</v>
      </c>
      <c r="F611" s="40">
        <f>+D611-E611</f>
        <v>0</v>
      </c>
      <c r="G611" s="2">
        <f>+ABS(D611)+ABS(E611)</f>
        <v>0</v>
      </c>
    </row>
    <row r="612" spans="1:13" hidden="1">
      <c r="A612" s="37" t="s">
        <v>1150</v>
      </c>
      <c r="B612" s="38" t="s">
        <v>1151</v>
      </c>
      <c r="C612" s="39"/>
      <c r="D612" s="40">
        <v>0</v>
      </c>
      <c r="E612" s="40">
        <v>0</v>
      </c>
      <c r="F612" s="40">
        <f>+D612-E612</f>
        <v>0</v>
      </c>
      <c r="G612" s="2">
        <f>+ABS(D612)+ABS(E612)</f>
        <v>0</v>
      </c>
    </row>
    <row r="613" spans="1:13" hidden="1">
      <c r="A613" s="37" t="s">
        <v>1152</v>
      </c>
      <c r="B613" s="38" t="s">
        <v>1153</v>
      </c>
      <c r="C613" s="39"/>
      <c r="D613" s="40">
        <v>0</v>
      </c>
      <c r="E613" s="40">
        <v>0</v>
      </c>
      <c r="F613" s="40">
        <f>+D613-E613</f>
        <v>0</v>
      </c>
      <c r="G613" s="2">
        <f>+ABS(D613)+ABS(E613)</f>
        <v>0</v>
      </c>
    </row>
    <row r="614" spans="1:13" hidden="1">
      <c r="A614" s="37" t="s">
        <v>1154</v>
      </c>
      <c r="B614" s="38" t="s">
        <v>1155</v>
      </c>
      <c r="C614" s="39"/>
      <c r="D614" s="40">
        <v>0</v>
      </c>
      <c r="E614" s="40">
        <v>0</v>
      </c>
      <c r="F614" s="40">
        <f>+D614-E614</f>
        <v>0</v>
      </c>
      <c r="G614" s="2">
        <f>+ABS(D614)+ABS(E614)</f>
        <v>0</v>
      </c>
    </row>
    <row r="615" spans="1:13" hidden="1">
      <c r="A615" s="37" t="s">
        <v>1156</v>
      </c>
      <c r="B615" s="38" t="s">
        <v>1157</v>
      </c>
      <c r="C615" s="39"/>
      <c r="D615" s="40">
        <v>0</v>
      </c>
      <c r="E615" s="40">
        <v>0</v>
      </c>
      <c r="F615" s="40">
        <f>+D615-E615</f>
        <v>0</v>
      </c>
      <c r="G615" s="2">
        <f>+ABS(D615)+ABS(E615)</f>
        <v>0</v>
      </c>
    </row>
    <row r="616" spans="1:13" hidden="1">
      <c r="A616" s="37" t="s">
        <v>1158</v>
      </c>
      <c r="B616" s="38" t="s">
        <v>1159</v>
      </c>
      <c r="C616" s="39"/>
      <c r="D616" s="40">
        <v>0</v>
      </c>
      <c r="E616" s="40">
        <v>0</v>
      </c>
      <c r="F616" s="40">
        <f>+D616-E616</f>
        <v>0</v>
      </c>
      <c r="G616" s="2">
        <f>+ABS(D616)+ABS(E616)</f>
        <v>0</v>
      </c>
    </row>
    <row r="617" spans="1:13" hidden="1">
      <c r="A617" s="37" t="s">
        <v>1160</v>
      </c>
      <c r="B617" s="38" t="s">
        <v>1161</v>
      </c>
      <c r="C617" s="39"/>
      <c r="D617" s="40">
        <v>0</v>
      </c>
      <c r="E617" s="40">
        <v>0</v>
      </c>
      <c r="F617" s="40">
        <f>+D617-E617</f>
        <v>0</v>
      </c>
      <c r="G617" s="2">
        <f>+ABS(D617)+ABS(E617)</f>
        <v>0</v>
      </c>
    </row>
    <row r="618" spans="1:13" hidden="1">
      <c r="A618" s="37" t="s">
        <v>1162</v>
      </c>
      <c r="B618" s="38" t="s">
        <v>1163</v>
      </c>
      <c r="C618" s="39"/>
      <c r="D618" s="40">
        <v>0</v>
      </c>
      <c r="E618" s="40">
        <v>0</v>
      </c>
      <c r="F618" s="40">
        <f>+D618-E618</f>
        <v>0</v>
      </c>
      <c r="G618" s="2">
        <f>+ABS(D618)+ABS(E618)</f>
        <v>0</v>
      </c>
    </row>
    <row r="619" spans="1:13" hidden="1">
      <c r="A619" s="37" t="s">
        <v>1164</v>
      </c>
      <c r="B619" s="38" t="s">
        <v>1165</v>
      </c>
      <c r="C619" s="39"/>
      <c r="D619" s="40">
        <v>0</v>
      </c>
      <c r="E619" s="40">
        <v>0</v>
      </c>
      <c r="F619" s="40">
        <f>+D619-E619</f>
        <v>0</v>
      </c>
      <c r="G619" s="2">
        <f>+ABS(D619)+ABS(E619)</f>
        <v>0</v>
      </c>
    </row>
    <row r="620" spans="1:13" hidden="1">
      <c r="A620" s="37"/>
      <c r="B620" s="48"/>
      <c r="C620" s="39"/>
      <c r="D620" s="40"/>
      <c r="E620" s="40"/>
      <c r="F620" s="40"/>
      <c r="G620" s="2">
        <f>+G621</f>
        <v>0</v>
      </c>
    </row>
    <row r="621" spans="1:13" s="15" customFormat="1" hidden="1">
      <c r="A621" s="42" t="s">
        <v>11</v>
      </c>
      <c r="B621" s="49" t="s">
        <v>1166</v>
      </c>
      <c r="C621" s="44"/>
      <c r="D621" s="45">
        <f>SUM(D457:D620)</f>
        <v>0</v>
      </c>
      <c r="E621" s="45">
        <f>SUM(E457:E620)</f>
        <v>0</v>
      </c>
      <c r="F621" s="45">
        <f>+D621-E621</f>
        <v>0</v>
      </c>
      <c r="G621" s="2">
        <f>+ABS(D621)+ABS(E621)</f>
        <v>0</v>
      </c>
      <c r="M621" s="50"/>
    </row>
    <row r="622" spans="1:13" hidden="1">
      <c r="A622" s="42"/>
      <c r="B622" s="39"/>
      <c r="C622" s="39"/>
      <c r="D622" s="40"/>
      <c r="E622" s="40"/>
      <c r="F622" s="40"/>
      <c r="G622" s="2">
        <f>G621</f>
        <v>0</v>
      </c>
    </row>
    <row r="623" spans="1:13" s="15" customFormat="1" hidden="1">
      <c r="A623" s="46" t="s">
        <v>11</v>
      </c>
      <c r="B623" s="44" t="s">
        <v>1167</v>
      </c>
      <c r="C623" s="44"/>
      <c r="D623" s="40"/>
      <c r="E623" s="40"/>
      <c r="F623" s="40"/>
      <c r="G623" s="2">
        <f>G702</f>
        <v>0</v>
      </c>
    </row>
    <row r="624" spans="1:13" hidden="1">
      <c r="A624" s="37"/>
      <c r="B624" s="38"/>
      <c r="C624" s="39"/>
      <c r="D624" s="40"/>
      <c r="E624" s="40"/>
      <c r="F624" s="40"/>
    </row>
    <row r="625" spans="1:7" hidden="1">
      <c r="A625" s="37" t="s">
        <v>1168</v>
      </c>
      <c r="B625" s="38" t="s">
        <v>1169</v>
      </c>
      <c r="C625" s="39"/>
      <c r="D625" s="40">
        <v>0</v>
      </c>
      <c r="E625" s="40">
        <v>0</v>
      </c>
      <c r="F625" s="40">
        <f>+D625-E625</f>
        <v>0</v>
      </c>
      <c r="G625" s="2">
        <f>+ABS(D625)+ABS(E625)</f>
        <v>0</v>
      </c>
    </row>
    <row r="626" spans="1:7" hidden="1">
      <c r="A626" s="37" t="s">
        <v>1170</v>
      </c>
      <c r="B626" s="38" t="s">
        <v>1171</v>
      </c>
      <c r="C626" s="39"/>
      <c r="D626" s="40">
        <v>0</v>
      </c>
      <c r="E626" s="40">
        <v>0</v>
      </c>
      <c r="F626" s="40">
        <f>+D626-E626</f>
        <v>0</v>
      </c>
      <c r="G626" s="2">
        <f>+ABS(D626)+ABS(E626)</f>
        <v>0</v>
      </c>
    </row>
    <row r="627" spans="1:7" hidden="1">
      <c r="A627" s="37" t="s">
        <v>1172</v>
      </c>
      <c r="B627" s="38" t="s">
        <v>1173</v>
      </c>
      <c r="C627" s="39"/>
      <c r="D627" s="40">
        <v>0</v>
      </c>
      <c r="E627" s="40">
        <v>0</v>
      </c>
      <c r="F627" s="40">
        <f>+D627-E627</f>
        <v>0</v>
      </c>
      <c r="G627" s="2">
        <f>+ABS(D627)+ABS(E627)</f>
        <v>0</v>
      </c>
    </row>
    <row r="628" spans="1:7" hidden="1">
      <c r="A628" s="37" t="s">
        <v>1174</v>
      </c>
      <c r="B628" s="38" t="s">
        <v>1175</v>
      </c>
      <c r="C628" s="39"/>
      <c r="D628" s="40">
        <v>0</v>
      </c>
      <c r="E628" s="40">
        <v>0</v>
      </c>
      <c r="F628" s="40">
        <f>+D628-E628</f>
        <v>0</v>
      </c>
      <c r="G628" s="2">
        <f>+ABS(D628)+ABS(E628)</f>
        <v>0</v>
      </c>
    </row>
    <row r="629" spans="1:7" hidden="1">
      <c r="A629" s="37" t="s">
        <v>1176</v>
      </c>
      <c r="B629" s="38" t="s">
        <v>1177</v>
      </c>
      <c r="C629" s="39"/>
      <c r="D629" s="40">
        <v>0</v>
      </c>
      <c r="E629" s="40">
        <v>0</v>
      </c>
      <c r="F629" s="40">
        <f>+D629-E629</f>
        <v>0</v>
      </c>
      <c r="G629" s="2">
        <f>+ABS(D629)+ABS(E629)</f>
        <v>0</v>
      </c>
    </row>
    <row r="630" spans="1:7" hidden="1">
      <c r="A630" s="37" t="s">
        <v>1178</v>
      </c>
      <c r="B630" s="38" t="s">
        <v>1179</v>
      </c>
      <c r="C630" s="39"/>
      <c r="D630" s="40">
        <v>0</v>
      </c>
      <c r="E630" s="40">
        <v>0</v>
      </c>
      <c r="F630" s="40">
        <f>+D630-E630</f>
        <v>0</v>
      </c>
      <c r="G630" s="2">
        <f>+ABS(D630)+ABS(E630)</f>
        <v>0</v>
      </c>
    </row>
    <row r="631" spans="1:7" hidden="1">
      <c r="A631" s="37" t="s">
        <v>1180</v>
      </c>
      <c r="B631" s="38" t="s">
        <v>1181</v>
      </c>
      <c r="C631" s="39"/>
      <c r="D631" s="40">
        <v>0</v>
      </c>
      <c r="E631" s="40">
        <v>0</v>
      </c>
      <c r="F631" s="40">
        <f>+D631-E631</f>
        <v>0</v>
      </c>
      <c r="G631" s="2">
        <f>+ABS(D631)+ABS(E631)</f>
        <v>0</v>
      </c>
    </row>
    <row r="632" spans="1:7" hidden="1">
      <c r="A632" s="37" t="s">
        <v>1182</v>
      </c>
      <c r="B632" s="38" t="s">
        <v>1183</v>
      </c>
      <c r="C632" s="39"/>
      <c r="D632" s="40">
        <v>0</v>
      </c>
      <c r="E632" s="40">
        <v>0</v>
      </c>
      <c r="F632" s="40">
        <f>+D632-E632</f>
        <v>0</v>
      </c>
      <c r="G632" s="2">
        <f>+ABS(D632)+ABS(E632)</f>
        <v>0</v>
      </c>
    </row>
    <row r="633" spans="1:7" hidden="1">
      <c r="A633" s="37" t="s">
        <v>1184</v>
      </c>
      <c r="B633" s="38" t="s">
        <v>1185</v>
      </c>
      <c r="C633" s="39"/>
      <c r="D633" s="40">
        <v>0</v>
      </c>
      <c r="E633" s="40">
        <v>0</v>
      </c>
      <c r="F633" s="40">
        <f>+D633-E633</f>
        <v>0</v>
      </c>
      <c r="G633" s="2">
        <f>+ABS(D633)+ABS(E633)</f>
        <v>0</v>
      </c>
    </row>
    <row r="634" spans="1:7" hidden="1">
      <c r="A634" s="37" t="s">
        <v>1186</v>
      </c>
      <c r="B634" s="38" t="s">
        <v>1187</v>
      </c>
      <c r="C634" s="39"/>
      <c r="D634" s="40">
        <v>0</v>
      </c>
      <c r="E634" s="40">
        <v>0</v>
      </c>
      <c r="F634" s="40">
        <f>+D634-E634</f>
        <v>0</v>
      </c>
      <c r="G634" s="2">
        <f>+ABS(D634)+ABS(E634)</f>
        <v>0</v>
      </c>
    </row>
    <row r="635" spans="1:7" hidden="1">
      <c r="A635" s="37" t="s">
        <v>1188</v>
      </c>
      <c r="B635" s="38" t="s">
        <v>1189</v>
      </c>
      <c r="C635" s="39"/>
      <c r="D635" s="40">
        <v>0</v>
      </c>
      <c r="E635" s="40">
        <v>0</v>
      </c>
      <c r="F635" s="40">
        <f>+D635-E635</f>
        <v>0</v>
      </c>
      <c r="G635" s="2">
        <f>+ABS(D635)+ABS(E635)</f>
        <v>0</v>
      </c>
    </row>
    <row r="636" spans="1:7" hidden="1">
      <c r="A636" s="37" t="s">
        <v>1190</v>
      </c>
      <c r="B636" s="38" t="s">
        <v>1191</v>
      </c>
      <c r="C636" s="39"/>
      <c r="D636" s="40">
        <v>0</v>
      </c>
      <c r="E636" s="40">
        <v>0</v>
      </c>
      <c r="F636" s="40">
        <f>+D636-E636</f>
        <v>0</v>
      </c>
      <c r="G636" s="2">
        <f>+ABS(D636)+ABS(E636)</f>
        <v>0</v>
      </c>
    </row>
    <row r="637" spans="1:7" hidden="1">
      <c r="A637" s="37" t="s">
        <v>1192</v>
      </c>
      <c r="B637" s="38" t="s">
        <v>1193</v>
      </c>
      <c r="C637" s="39"/>
      <c r="D637" s="40">
        <v>0</v>
      </c>
      <c r="E637" s="40">
        <v>0</v>
      </c>
      <c r="F637" s="40">
        <f>+D637-E637</f>
        <v>0</v>
      </c>
      <c r="G637" s="2">
        <f>+ABS(D637)+ABS(E637)</f>
        <v>0</v>
      </c>
    </row>
    <row r="638" spans="1:7" hidden="1">
      <c r="A638" s="37" t="s">
        <v>1194</v>
      </c>
      <c r="B638" s="38" t="s">
        <v>1195</v>
      </c>
      <c r="C638" s="39"/>
      <c r="D638" s="40">
        <v>0</v>
      </c>
      <c r="E638" s="40">
        <v>0</v>
      </c>
      <c r="F638" s="40">
        <f>+D638-E638</f>
        <v>0</v>
      </c>
      <c r="G638" s="2">
        <f>+ABS(D638)+ABS(E638)</f>
        <v>0</v>
      </c>
    </row>
    <row r="639" spans="1:7" hidden="1">
      <c r="A639" s="37" t="s">
        <v>1196</v>
      </c>
      <c r="B639" s="38" t="s">
        <v>1197</v>
      </c>
      <c r="C639" s="39"/>
      <c r="D639" s="40">
        <v>0</v>
      </c>
      <c r="E639" s="40">
        <v>0</v>
      </c>
      <c r="F639" s="40">
        <f>+D639-E639</f>
        <v>0</v>
      </c>
      <c r="G639" s="2">
        <f>+ABS(D639)+ABS(E639)</f>
        <v>0</v>
      </c>
    </row>
    <row r="640" spans="1:7" hidden="1">
      <c r="A640" s="37" t="s">
        <v>1198</v>
      </c>
      <c r="B640" s="38" t="s">
        <v>1199</v>
      </c>
      <c r="C640" s="39"/>
      <c r="D640" s="40">
        <v>0</v>
      </c>
      <c r="E640" s="40">
        <v>0</v>
      </c>
      <c r="F640" s="40">
        <f>+D640-E640</f>
        <v>0</v>
      </c>
      <c r="G640" s="2">
        <f>+ABS(D640)+ABS(E640)</f>
        <v>0</v>
      </c>
    </row>
    <row r="641" spans="1:7" hidden="1">
      <c r="A641" s="37" t="s">
        <v>1200</v>
      </c>
      <c r="B641" s="38" t="s">
        <v>1201</v>
      </c>
      <c r="C641" s="39"/>
      <c r="D641" s="40">
        <v>0</v>
      </c>
      <c r="E641" s="40">
        <v>0</v>
      </c>
      <c r="F641" s="40">
        <f>+D641-E641</f>
        <v>0</v>
      </c>
      <c r="G641" s="2">
        <f>+ABS(D641)+ABS(E641)</f>
        <v>0</v>
      </c>
    </row>
    <row r="642" spans="1:7" hidden="1">
      <c r="A642" s="37" t="s">
        <v>1202</v>
      </c>
      <c r="B642" s="38" t="s">
        <v>1203</v>
      </c>
      <c r="C642" s="39"/>
      <c r="D642" s="40">
        <v>0</v>
      </c>
      <c r="E642" s="40">
        <v>0</v>
      </c>
      <c r="F642" s="40">
        <f>+D642-E642</f>
        <v>0</v>
      </c>
      <c r="G642" s="2">
        <f>+ABS(D642)+ABS(E642)</f>
        <v>0</v>
      </c>
    </row>
    <row r="643" spans="1:7" hidden="1">
      <c r="A643" s="37" t="s">
        <v>1204</v>
      </c>
      <c r="B643" s="38" t="s">
        <v>1205</v>
      </c>
      <c r="C643" s="39"/>
      <c r="D643" s="40">
        <v>0</v>
      </c>
      <c r="E643" s="40">
        <v>0</v>
      </c>
      <c r="F643" s="40">
        <f>+D643-E643</f>
        <v>0</v>
      </c>
      <c r="G643" s="2">
        <f>+ABS(D643)+ABS(E643)</f>
        <v>0</v>
      </c>
    </row>
    <row r="644" spans="1:7" hidden="1">
      <c r="A644" s="37" t="s">
        <v>1206</v>
      </c>
      <c r="B644" s="38" t="s">
        <v>1207</v>
      </c>
      <c r="C644" s="39"/>
      <c r="D644" s="40">
        <v>0</v>
      </c>
      <c r="E644" s="40">
        <v>0</v>
      </c>
      <c r="F644" s="40">
        <f>+D644-E644</f>
        <v>0</v>
      </c>
      <c r="G644" s="2">
        <f>+ABS(D644)+ABS(E644)</f>
        <v>0</v>
      </c>
    </row>
    <row r="645" spans="1:7" hidden="1">
      <c r="A645" s="37" t="s">
        <v>1208</v>
      </c>
      <c r="B645" s="38" t="s">
        <v>1209</v>
      </c>
      <c r="C645" s="39"/>
      <c r="D645" s="40">
        <v>0</v>
      </c>
      <c r="E645" s="40">
        <v>0</v>
      </c>
      <c r="F645" s="40">
        <f>+D645-E645</f>
        <v>0</v>
      </c>
      <c r="G645" s="2">
        <f>+ABS(D645)+ABS(E645)</f>
        <v>0</v>
      </c>
    </row>
    <row r="646" spans="1:7" hidden="1">
      <c r="A646" s="37" t="s">
        <v>1210</v>
      </c>
      <c r="B646" s="38" t="s">
        <v>1211</v>
      </c>
      <c r="C646" s="39"/>
      <c r="D646" s="40">
        <v>0</v>
      </c>
      <c r="E646" s="40">
        <v>0</v>
      </c>
      <c r="F646" s="40">
        <f>+D646-E646</f>
        <v>0</v>
      </c>
      <c r="G646" s="2">
        <f>+ABS(D646)+ABS(E646)</f>
        <v>0</v>
      </c>
    </row>
    <row r="647" spans="1:7" hidden="1">
      <c r="A647" s="37" t="s">
        <v>1212</v>
      </c>
      <c r="B647" s="38" t="s">
        <v>1213</v>
      </c>
      <c r="C647" s="39"/>
      <c r="D647" s="40">
        <v>0</v>
      </c>
      <c r="E647" s="40">
        <v>0</v>
      </c>
      <c r="F647" s="40">
        <f>+D647-E647</f>
        <v>0</v>
      </c>
      <c r="G647" s="2">
        <f>+ABS(D647)+ABS(E647)</f>
        <v>0</v>
      </c>
    </row>
    <row r="648" spans="1:7" hidden="1">
      <c r="A648" s="37" t="s">
        <v>1214</v>
      </c>
      <c r="B648" s="38" t="s">
        <v>1215</v>
      </c>
      <c r="C648" s="39"/>
      <c r="D648" s="40">
        <v>0</v>
      </c>
      <c r="E648" s="40">
        <v>0</v>
      </c>
      <c r="F648" s="40">
        <f>+D648-E648</f>
        <v>0</v>
      </c>
      <c r="G648" s="2">
        <f>+ABS(D648)+ABS(E648)</f>
        <v>0</v>
      </c>
    </row>
    <row r="649" spans="1:7" hidden="1">
      <c r="A649" s="37" t="s">
        <v>1216</v>
      </c>
      <c r="B649" s="38" t="s">
        <v>1217</v>
      </c>
      <c r="C649" s="39"/>
      <c r="D649" s="40">
        <v>0</v>
      </c>
      <c r="E649" s="40">
        <v>0</v>
      </c>
      <c r="F649" s="40">
        <f>+D649-E649</f>
        <v>0</v>
      </c>
      <c r="G649" s="2">
        <f>+ABS(D649)+ABS(E649)</f>
        <v>0</v>
      </c>
    </row>
    <row r="650" spans="1:7" hidden="1">
      <c r="A650" s="37" t="s">
        <v>1218</v>
      </c>
      <c r="B650" s="38" t="s">
        <v>1219</v>
      </c>
      <c r="C650" s="39"/>
      <c r="D650" s="40">
        <v>0</v>
      </c>
      <c r="E650" s="40">
        <v>0</v>
      </c>
      <c r="F650" s="40">
        <f>+D650-E650</f>
        <v>0</v>
      </c>
      <c r="G650" s="2">
        <f>+ABS(D650)+ABS(E650)</f>
        <v>0</v>
      </c>
    </row>
    <row r="651" spans="1:7" hidden="1">
      <c r="A651" s="37" t="s">
        <v>1220</v>
      </c>
      <c r="B651" s="38" t="s">
        <v>1221</v>
      </c>
      <c r="C651" s="39"/>
      <c r="D651" s="40">
        <v>0</v>
      </c>
      <c r="E651" s="40">
        <v>0</v>
      </c>
      <c r="F651" s="40">
        <f>+D651-E651</f>
        <v>0</v>
      </c>
      <c r="G651" s="2">
        <f>+ABS(D651)+ABS(E651)</f>
        <v>0</v>
      </c>
    </row>
    <row r="652" spans="1:7" hidden="1">
      <c r="A652" s="37" t="s">
        <v>1222</v>
      </c>
      <c r="B652" s="38" t="s">
        <v>1223</v>
      </c>
      <c r="C652" s="39"/>
      <c r="D652" s="40">
        <v>0</v>
      </c>
      <c r="E652" s="40">
        <v>0</v>
      </c>
      <c r="F652" s="40">
        <f>+D652-E652</f>
        <v>0</v>
      </c>
      <c r="G652" s="2">
        <f>+ABS(D652)+ABS(E652)</f>
        <v>0</v>
      </c>
    </row>
    <row r="653" spans="1:7" hidden="1">
      <c r="A653" s="37" t="s">
        <v>1224</v>
      </c>
      <c r="B653" s="38" t="s">
        <v>1225</v>
      </c>
      <c r="C653" s="39"/>
      <c r="D653" s="40">
        <v>0</v>
      </c>
      <c r="E653" s="40">
        <v>0</v>
      </c>
      <c r="F653" s="40">
        <f>+D653-E653</f>
        <v>0</v>
      </c>
      <c r="G653" s="2">
        <f>+ABS(D653)+ABS(E653)</f>
        <v>0</v>
      </c>
    </row>
    <row r="654" spans="1:7" hidden="1">
      <c r="A654" s="37" t="s">
        <v>1226</v>
      </c>
      <c r="B654" s="38" t="s">
        <v>1227</v>
      </c>
      <c r="C654" s="39"/>
      <c r="D654" s="40">
        <v>0</v>
      </c>
      <c r="E654" s="40">
        <v>0</v>
      </c>
      <c r="F654" s="40">
        <f>+D654-E654</f>
        <v>0</v>
      </c>
      <c r="G654" s="2">
        <f>+ABS(D654)+ABS(E654)</f>
        <v>0</v>
      </c>
    </row>
    <row r="655" spans="1:7" hidden="1">
      <c r="A655" s="37" t="s">
        <v>1228</v>
      </c>
      <c r="B655" s="38" t="s">
        <v>1229</v>
      </c>
      <c r="C655" s="39"/>
      <c r="D655" s="40">
        <v>0</v>
      </c>
      <c r="E655" s="40">
        <v>0</v>
      </c>
      <c r="F655" s="40">
        <f>+D655-E655</f>
        <v>0</v>
      </c>
      <c r="G655" s="2">
        <f>+ABS(D655)+ABS(E655)</f>
        <v>0</v>
      </c>
    </row>
    <row r="656" spans="1:7" hidden="1">
      <c r="A656" s="37" t="s">
        <v>1230</v>
      </c>
      <c r="B656" s="38" t="s">
        <v>1231</v>
      </c>
      <c r="C656" s="39"/>
      <c r="D656" s="40">
        <v>0</v>
      </c>
      <c r="E656" s="40">
        <v>0</v>
      </c>
      <c r="F656" s="40">
        <f>+D656-E656</f>
        <v>0</v>
      </c>
      <c r="G656" s="2">
        <f>+ABS(D656)+ABS(E656)</f>
        <v>0</v>
      </c>
    </row>
    <row r="657" spans="1:7" hidden="1">
      <c r="A657" s="37" t="s">
        <v>1232</v>
      </c>
      <c r="B657" s="38" t="s">
        <v>1233</v>
      </c>
      <c r="C657" s="39"/>
      <c r="D657" s="40">
        <v>0</v>
      </c>
      <c r="E657" s="40">
        <v>0</v>
      </c>
      <c r="F657" s="40">
        <f>+D657-E657</f>
        <v>0</v>
      </c>
      <c r="G657" s="2">
        <f>+ABS(D657)+ABS(E657)</f>
        <v>0</v>
      </c>
    </row>
    <row r="658" spans="1:7" hidden="1">
      <c r="A658" s="37" t="s">
        <v>1234</v>
      </c>
      <c r="B658" s="38" t="s">
        <v>1235</v>
      </c>
      <c r="C658" s="39"/>
      <c r="D658" s="40">
        <v>0</v>
      </c>
      <c r="E658" s="40">
        <v>0</v>
      </c>
      <c r="F658" s="40">
        <f>+D658-E658</f>
        <v>0</v>
      </c>
      <c r="G658" s="2">
        <f>+ABS(D658)+ABS(E658)</f>
        <v>0</v>
      </c>
    </row>
    <row r="659" spans="1:7" hidden="1">
      <c r="A659" s="37" t="s">
        <v>1236</v>
      </c>
      <c r="B659" s="38" t="s">
        <v>1237</v>
      </c>
      <c r="C659" s="39"/>
      <c r="D659" s="40">
        <v>0</v>
      </c>
      <c r="E659" s="40">
        <v>0</v>
      </c>
      <c r="F659" s="40">
        <f>+D659-E659</f>
        <v>0</v>
      </c>
      <c r="G659" s="2">
        <f>+ABS(D659)+ABS(E659)</f>
        <v>0</v>
      </c>
    </row>
    <row r="660" spans="1:7" hidden="1">
      <c r="A660" s="37" t="s">
        <v>1238</v>
      </c>
      <c r="B660" s="38" t="s">
        <v>1239</v>
      </c>
      <c r="C660" s="39"/>
      <c r="D660" s="40">
        <v>0</v>
      </c>
      <c r="E660" s="40">
        <v>0</v>
      </c>
      <c r="F660" s="40">
        <f>+D660-E660</f>
        <v>0</v>
      </c>
      <c r="G660" s="2">
        <f>+ABS(D660)+ABS(E660)</f>
        <v>0</v>
      </c>
    </row>
    <row r="661" spans="1:7" hidden="1">
      <c r="A661" s="37" t="s">
        <v>1240</v>
      </c>
      <c r="B661" s="38" t="s">
        <v>1241</v>
      </c>
      <c r="C661" s="39"/>
      <c r="D661" s="40">
        <v>0</v>
      </c>
      <c r="E661" s="40">
        <v>0</v>
      </c>
      <c r="F661" s="40">
        <f>+D661-E661</f>
        <v>0</v>
      </c>
      <c r="G661" s="2">
        <f>+ABS(D661)+ABS(E661)</f>
        <v>0</v>
      </c>
    </row>
    <row r="662" spans="1:7" hidden="1">
      <c r="A662" s="37" t="s">
        <v>1242</v>
      </c>
      <c r="B662" s="38" t="s">
        <v>1243</v>
      </c>
      <c r="C662" s="39"/>
      <c r="D662" s="40">
        <v>0</v>
      </c>
      <c r="E662" s="40">
        <v>0</v>
      </c>
      <c r="F662" s="40">
        <f>+D662-E662</f>
        <v>0</v>
      </c>
      <c r="G662" s="2">
        <f>+ABS(D662)+ABS(E662)</f>
        <v>0</v>
      </c>
    </row>
    <row r="663" spans="1:7" hidden="1">
      <c r="A663" s="37" t="s">
        <v>1244</v>
      </c>
      <c r="B663" s="38" t="s">
        <v>1245</v>
      </c>
      <c r="C663" s="39"/>
      <c r="D663" s="40">
        <v>0</v>
      </c>
      <c r="E663" s="40">
        <v>0</v>
      </c>
      <c r="F663" s="40">
        <f>+D663-E663</f>
        <v>0</v>
      </c>
      <c r="G663" s="2">
        <f>+ABS(D663)+ABS(E663)</f>
        <v>0</v>
      </c>
    </row>
    <row r="664" spans="1:7" hidden="1">
      <c r="A664" s="37" t="s">
        <v>1246</v>
      </c>
      <c r="B664" s="38" t="s">
        <v>1247</v>
      </c>
      <c r="C664" s="39"/>
      <c r="D664" s="40">
        <v>0</v>
      </c>
      <c r="E664" s="40">
        <v>0</v>
      </c>
      <c r="F664" s="40">
        <f>+D664-E664</f>
        <v>0</v>
      </c>
      <c r="G664" s="2">
        <f>+ABS(D664)+ABS(E664)</f>
        <v>0</v>
      </c>
    </row>
    <row r="665" spans="1:7" hidden="1">
      <c r="A665" s="37" t="s">
        <v>1248</v>
      </c>
      <c r="B665" s="38" t="s">
        <v>1249</v>
      </c>
      <c r="C665" s="39"/>
      <c r="D665" s="40">
        <v>0</v>
      </c>
      <c r="E665" s="40">
        <v>0</v>
      </c>
      <c r="F665" s="40">
        <f>+D665-E665</f>
        <v>0</v>
      </c>
      <c r="G665" s="2">
        <f>+ABS(D665)+ABS(E665)</f>
        <v>0</v>
      </c>
    </row>
    <row r="666" spans="1:7" hidden="1">
      <c r="A666" s="37" t="s">
        <v>1250</v>
      </c>
      <c r="B666" s="38" t="s">
        <v>1251</v>
      </c>
      <c r="C666" s="39"/>
      <c r="D666" s="40">
        <v>0</v>
      </c>
      <c r="E666" s="40">
        <v>0</v>
      </c>
      <c r="F666" s="40">
        <f>+D666-E666</f>
        <v>0</v>
      </c>
      <c r="G666" s="2">
        <f>+ABS(D666)+ABS(E666)</f>
        <v>0</v>
      </c>
    </row>
    <row r="667" spans="1:7" hidden="1">
      <c r="A667" s="37" t="s">
        <v>1252</v>
      </c>
      <c r="B667" s="38" t="s">
        <v>1253</v>
      </c>
      <c r="C667" s="39"/>
      <c r="D667" s="40">
        <v>0</v>
      </c>
      <c r="E667" s="40">
        <v>0</v>
      </c>
      <c r="F667" s="40">
        <f>+D667-E667</f>
        <v>0</v>
      </c>
      <c r="G667" s="2">
        <f>+ABS(D667)+ABS(E667)</f>
        <v>0</v>
      </c>
    </row>
    <row r="668" spans="1:7" hidden="1">
      <c r="A668" s="37" t="s">
        <v>1254</v>
      </c>
      <c r="B668" s="38" t="s">
        <v>1255</v>
      </c>
      <c r="C668" s="39"/>
      <c r="D668" s="40">
        <v>0</v>
      </c>
      <c r="E668" s="40">
        <v>0</v>
      </c>
      <c r="F668" s="40">
        <f>+D668-E668</f>
        <v>0</v>
      </c>
      <c r="G668" s="2">
        <f>+ABS(D668)+ABS(E668)</f>
        <v>0</v>
      </c>
    </row>
    <row r="669" spans="1:7" hidden="1">
      <c r="A669" s="37" t="s">
        <v>1256</v>
      </c>
      <c r="B669" s="38" t="s">
        <v>1257</v>
      </c>
      <c r="C669" s="39"/>
      <c r="D669" s="40">
        <v>0</v>
      </c>
      <c r="E669" s="40">
        <v>0</v>
      </c>
      <c r="F669" s="40">
        <f>+D669-E669</f>
        <v>0</v>
      </c>
      <c r="G669" s="2">
        <f>+ABS(D669)+ABS(E669)</f>
        <v>0</v>
      </c>
    </row>
    <row r="670" spans="1:7" hidden="1">
      <c r="A670" s="37" t="s">
        <v>1258</v>
      </c>
      <c r="B670" s="38" t="s">
        <v>1259</v>
      </c>
      <c r="C670" s="39"/>
      <c r="D670" s="40">
        <v>0</v>
      </c>
      <c r="E670" s="40">
        <v>0</v>
      </c>
      <c r="F670" s="40">
        <f>+D670-E670</f>
        <v>0</v>
      </c>
      <c r="G670" s="2">
        <f>+ABS(D670)+ABS(E670)</f>
        <v>0</v>
      </c>
    </row>
    <row r="671" spans="1:7" hidden="1">
      <c r="A671" s="37" t="s">
        <v>1260</v>
      </c>
      <c r="B671" s="38" t="s">
        <v>1261</v>
      </c>
      <c r="C671" s="39"/>
      <c r="D671" s="40">
        <v>0</v>
      </c>
      <c r="E671" s="40">
        <v>0</v>
      </c>
      <c r="F671" s="40">
        <f>+D671-E671</f>
        <v>0</v>
      </c>
      <c r="G671" s="2">
        <f>+ABS(D671)+ABS(E671)</f>
        <v>0</v>
      </c>
    </row>
    <row r="672" spans="1:7" hidden="1">
      <c r="A672" s="37" t="s">
        <v>1262</v>
      </c>
      <c r="B672" s="38" t="s">
        <v>1263</v>
      </c>
      <c r="C672" s="39"/>
      <c r="D672" s="40">
        <v>0</v>
      </c>
      <c r="E672" s="40">
        <v>0</v>
      </c>
      <c r="F672" s="40">
        <f>+D672-E672</f>
        <v>0</v>
      </c>
      <c r="G672" s="2">
        <f>+ABS(D672)+ABS(E672)</f>
        <v>0</v>
      </c>
    </row>
    <row r="673" spans="1:7" hidden="1">
      <c r="A673" s="37" t="s">
        <v>1264</v>
      </c>
      <c r="B673" s="38" t="s">
        <v>1265</v>
      </c>
      <c r="C673" s="39"/>
      <c r="D673" s="40">
        <v>0</v>
      </c>
      <c r="E673" s="40">
        <v>0</v>
      </c>
      <c r="F673" s="40">
        <f>+D673-E673</f>
        <v>0</v>
      </c>
      <c r="G673" s="2">
        <f>+ABS(D673)+ABS(E673)</f>
        <v>0</v>
      </c>
    </row>
    <row r="674" spans="1:7" hidden="1">
      <c r="A674" s="37" t="s">
        <v>1266</v>
      </c>
      <c r="B674" s="38" t="s">
        <v>1267</v>
      </c>
      <c r="C674" s="39"/>
      <c r="D674" s="40">
        <v>0</v>
      </c>
      <c r="E674" s="40">
        <v>0</v>
      </c>
      <c r="F674" s="40">
        <f>+D674-E674</f>
        <v>0</v>
      </c>
      <c r="G674" s="2">
        <f>+ABS(D674)+ABS(E674)</f>
        <v>0</v>
      </c>
    </row>
    <row r="675" spans="1:7" hidden="1">
      <c r="A675" s="37" t="s">
        <v>1268</v>
      </c>
      <c r="B675" s="38" t="s">
        <v>1265</v>
      </c>
      <c r="C675" s="39"/>
      <c r="D675" s="40">
        <v>0</v>
      </c>
      <c r="E675" s="40">
        <v>0</v>
      </c>
      <c r="F675" s="40">
        <f>+D675-E675</f>
        <v>0</v>
      </c>
      <c r="G675" s="2">
        <f>+ABS(D675)+ABS(E675)</f>
        <v>0</v>
      </c>
    </row>
    <row r="676" spans="1:7" hidden="1">
      <c r="A676" s="37" t="s">
        <v>1269</v>
      </c>
      <c r="B676" s="38" t="s">
        <v>1270</v>
      </c>
      <c r="C676" s="39"/>
      <c r="D676" s="40">
        <v>0</v>
      </c>
      <c r="E676" s="40">
        <v>0</v>
      </c>
      <c r="F676" s="40">
        <f>+D676-E676</f>
        <v>0</v>
      </c>
      <c r="G676" s="2">
        <f>+ABS(D676)+ABS(E676)</f>
        <v>0</v>
      </c>
    </row>
    <row r="677" spans="1:7" hidden="1">
      <c r="A677" s="37" t="s">
        <v>1271</v>
      </c>
      <c r="B677" s="38" t="s">
        <v>1272</v>
      </c>
      <c r="C677" s="39"/>
      <c r="D677" s="40">
        <v>0</v>
      </c>
      <c r="E677" s="40">
        <v>0</v>
      </c>
      <c r="F677" s="40">
        <f>+D677-E677</f>
        <v>0</v>
      </c>
      <c r="G677" s="2">
        <f>+ABS(D677)+ABS(E677)</f>
        <v>0</v>
      </c>
    </row>
    <row r="678" spans="1:7" hidden="1">
      <c r="A678" s="37" t="s">
        <v>1273</v>
      </c>
      <c r="B678" s="38" t="s">
        <v>1274</v>
      </c>
      <c r="C678" s="39"/>
      <c r="D678" s="40">
        <v>0</v>
      </c>
      <c r="E678" s="40">
        <v>0</v>
      </c>
      <c r="F678" s="40">
        <f>+D678-E678</f>
        <v>0</v>
      </c>
      <c r="G678" s="2">
        <f>+ABS(D678)+ABS(E678)</f>
        <v>0</v>
      </c>
    </row>
    <row r="679" spans="1:7" hidden="1">
      <c r="A679" s="37" t="s">
        <v>1275</v>
      </c>
      <c r="B679" s="38" t="s">
        <v>1181</v>
      </c>
      <c r="C679" s="39"/>
      <c r="D679" s="40">
        <v>0</v>
      </c>
      <c r="E679" s="40">
        <v>0</v>
      </c>
      <c r="F679" s="40">
        <f>+D679-E679</f>
        <v>0</v>
      </c>
      <c r="G679" s="2">
        <f>+ABS(D679)+ABS(E679)</f>
        <v>0</v>
      </c>
    </row>
    <row r="680" spans="1:7" hidden="1">
      <c r="A680" s="37" t="s">
        <v>1276</v>
      </c>
      <c r="B680" s="38" t="s">
        <v>1187</v>
      </c>
      <c r="C680" s="39"/>
      <c r="D680" s="40">
        <v>0</v>
      </c>
      <c r="E680" s="40">
        <v>0</v>
      </c>
      <c r="F680" s="40">
        <f>+D680-E680</f>
        <v>0</v>
      </c>
      <c r="G680" s="2">
        <f>+ABS(D680)+ABS(E680)</f>
        <v>0</v>
      </c>
    </row>
    <row r="681" spans="1:7" hidden="1">
      <c r="A681" s="37" t="s">
        <v>1277</v>
      </c>
      <c r="B681" s="38" t="s">
        <v>1278</v>
      </c>
      <c r="C681" s="39"/>
      <c r="D681" s="40">
        <v>0</v>
      </c>
      <c r="E681" s="40">
        <v>0</v>
      </c>
      <c r="F681" s="40">
        <f>+D681-E681</f>
        <v>0</v>
      </c>
      <c r="G681" s="2">
        <f>+ABS(D681)+ABS(E681)</f>
        <v>0</v>
      </c>
    </row>
    <row r="682" spans="1:7" hidden="1">
      <c r="A682" s="37" t="s">
        <v>1279</v>
      </c>
      <c r="B682" s="38" t="s">
        <v>1280</v>
      </c>
      <c r="C682" s="39"/>
      <c r="D682" s="40">
        <v>0</v>
      </c>
      <c r="E682" s="40">
        <v>0</v>
      </c>
      <c r="F682" s="40">
        <f>+D682-E682</f>
        <v>0</v>
      </c>
      <c r="G682" s="2">
        <f>+ABS(D682)+ABS(E682)</f>
        <v>0</v>
      </c>
    </row>
    <row r="683" spans="1:7" hidden="1">
      <c r="A683" s="37" t="s">
        <v>1281</v>
      </c>
      <c r="B683" s="38" t="s">
        <v>1282</v>
      </c>
      <c r="C683" s="39"/>
      <c r="D683" s="40">
        <v>0</v>
      </c>
      <c r="E683" s="40">
        <v>0</v>
      </c>
      <c r="F683" s="40">
        <f>+D683-E683</f>
        <v>0</v>
      </c>
      <c r="G683" s="2">
        <f>+ABS(D683)+ABS(E683)</f>
        <v>0</v>
      </c>
    </row>
    <row r="684" spans="1:7" hidden="1">
      <c r="A684" s="37" t="s">
        <v>1283</v>
      </c>
      <c r="B684" s="38" t="s">
        <v>1284</v>
      </c>
      <c r="C684" s="39"/>
      <c r="D684" s="40">
        <v>0</v>
      </c>
      <c r="E684" s="40">
        <v>0</v>
      </c>
      <c r="F684" s="40">
        <f>+D684-E684</f>
        <v>0</v>
      </c>
      <c r="G684" s="2">
        <f>+ABS(D684)+ABS(E684)</f>
        <v>0</v>
      </c>
    </row>
    <row r="685" spans="1:7" hidden="1">
      <c r="A685" s="37" t="s">
        <v>1285</v>
      </c>
      <c r="B685" s="38" t="s">
        <v>1286</v>
      </c>
      <c r="C685" s="39"/>
      <c r="D685" s="40">
        <v>0</v>
      </c>
      <c r="E685" s="40">
        <v>0</v>
      </c>
      <c r="F685" s="40">
        <f>+D685-E685</f>
        <v>0</v>
      </c>
      <c r="G685" s="2">
        <f>+ABS(D685)+ABS(E685)</f>
        <v>0</v>
      </c>
    </row>
    <row r="686" spans="1:7" hidden="1">
      <c r="A686" s="37" t="s">
        <v>1287</v>
      </c>
      <c r="B686" s="38" t="s">
        <v>1288</v>
      </c>
      <c r="C686" s="39"/>
      <c r="D686" s="40">
        <v>0</v>
      </c>
      <c r="E686" s="40">
        <v>0</v>
      </c>
      <c r="F686" s="40">
        <f>+D686-E686</f>
        <v>0</v>
      </c>
      <c r="G686" s="2">
        <f>+ABS(D686)+ABS(E686)</f>
        <v>0</v>
      </c>
    </row>
    <row r="687" spans="1:7" hidden="1">
      <c r="A687" s="37" t="s">
        <v>1289</v>
      </c>
      <c r="B687" s="38" t="s">
        <v>1290</v>
      </c>
      <c r="C687" s="39"/>
      <c r="D687" s="40">
        <v>0</v>
      </c>
      <c r="E687" s="40">
        <v>0</v>
      </c>
      <c r="F687" s="40">
        <f>+D687-E687</f>
        <v>0</v>
      </c>
      <c r="G687" s="2">
        <f>+ABS(D687)+ABS(E687)</f>
        <v>0</v>
      </c>
    </row>
    <row r="688" spans="1:7" hidden="1">
      <c r="A688" s="37" t="s">
        <v>1291</v>
      </c>
      <c r="B688" s="38" t="s">
        <v>1292</v>
      </c>
      <c r="C688" s="39"/>
      <c r="D688" s="40">
        <v>0</v>
      </c>
      <c r="E688" s="40">
        <v>0</v>
      </c>
      <c r="F688" s="40">
        <f>+D688-E688</f>
        <v>0</v>
      </c>
      <c r="G688" s="2">
        <f>+ABS(D688)+ABS(E688)</f>
        <v>0</v>
      </c>
    </row>
    <row r="689" spans="1:13" hidden="1">
      <c r="A689" s="37" t="s">
        <v>1293</v>
      </c>
      <c r="B689" s="38" t="s">
        <v>1294</v>
      </c>
      <c r="C689" s="39"/>
      <c r="D689" s="40">
        <v>0</v>
      </c>
      <c r="E689" s="40">
        <v>0</v>
      </c>
      <c r="F689" s="40">
        <f>+D689-E689</f>
        <v>0</v>
      </c>
      <c r="G689" s="2">
        <f>+ABS(D689)+ABS(E689)</f>
        <v>0</v>
      </c>
    </row>
    <row r="690" spans="1:13" hidden="1">
      <c r="A690" s="37" t="s">
        <v>1295</v>
      </c>
      <c r="B690" s="38" t="s">
        <v>1296</v>
      </c>
      <c r="C690" s="39"/>
      <c r="D690" s="40">
        <v>0</v>
      </c>
      <c r="E690" s="40">
        <v>0</v>
      </c>
      <c r="F690" s="40">
        <f>+D690-E690</f>
        <v>0</v>
      </c>
      <c r="G690" s="2">
        <f>+ABS(D690)+ABS(E690)</f>
        <v>0</v>
      </c>
    </row>
    <row r="691" spans="1:13" hidden="1">
      <c r="A691" s="37" t="s">
        <v>1297</v>
      </c>
      <c r="B691" s="38" t="s">
        <v>1298</v>
      </c>
      <c r="C691" s="39"/>
      <c r="D691" s="40">
        <v>0</v>
      </c>
      <c r="E691" s="40">
        <v>0</v>
      </c>
      <c r="F691" s="40">
        <f>+D691-E691</f>
        <v>0</v>
      </c>
      <c r="G691" s="2">
        <f>+ABS(D691)+ABS(E691)</f>
        <v>0</v>
      </c>
    </row>
    <row r="692" spans="1:13" hidden="1">
      <c r="A692" s="37" t="s">
        <v>1299</v>
      </c>
      <c r="B692" s="38" t="s">
        <v>1300</v>
      </c>
      <c r="C692" s="39"/>
      <c r="D692" s="40">
        <v>0</v>
      </c>
      <c r="E692" s="40">
        <v>0</v>
      </c>
      <c r="F692" s="40">
        <f>+D692-E692</f>
        <v>0</v>
      </c>
      <c r="G692" s="2">
        <f>+ABS(D692)+ABS(E692)</f>
        <v>0</v>
      </c>
    </row>
    <row r="693" spans="1:13" hidden="1">
      <c r="A693" s="37" t="s">
        <v>1301</v>
      </c>
      <c r="B693" s="38" t="s">
        <v>1302</v>
      </c>
      <c r="C693" s="39"/>
      <c r="D693" s="40">
        <v>0</v>
      </c>
      <c r="E693" s="40">
        <v>0</v>
      </c>
      <c r="F693" s="40">
        <f>+D693-E693</f>
        <v>0</v>
      </c>
      <c r="G693" s="2">
        <f>+ABS(D693)+ABS(E693)</f>
        <v>0</v>
      </c>
    </row>
    <row r="694" spans="1:13" hidden="1">
      <c r="A694" s="37" t="s">
        <v>1303</v>
      </c>
      <c r="B694" s="38" t="s">
        <v>1304</v>
      </c>
      <c r="C694" s="39"/>
      <c r="D694" s="40">
        <v>0</v>
      </c>
      <c r="E694" s="40">
        <v>0</v>
      </c>
      <c r="F694" s="40">
        <f>+D694-E694</f>
        <v>0</v>
      </c>
      <c r="G694" s="2">
        <f>+ABS(D694)+ABS(E694)</f>
        <v>0</v>
      </c>
    </row>
    <row r="695" spans="1:13" hidden="1">
      <c r="A695" s="37" t="s">
        <v>1305</v>
      </c>
      <c r="B695" s="38" t="s">
        <v>1306</v>
      </c>
      <c r="C695" s="39"/>
      <c r="D695" s="40">
        <v>0</v>
      </c>
      <c r="E695" s="40">
        <v>0</v>
      </c>
      <c r="F695" s="40">
        <f>+D695-E695</f>
        <v>0</v>
      </c>
      <c r="G695" s="2">
        <f>+ABS(D695)+ABS(E695)</f>
        <v>0</v>
      </c>
    </row>
    <row r="696" spans="1:13" hidden="1">
      <c r="A696" s="37" t="s">
        <v>1307</v>
      </c>
      <c r="B696" s="38" t="s">
        <v>1308</v>
      </c>
      <c r="C696" s="39"/>
      <c r="D696" s="40">
        <v>0</v>
      </c>
      <c r="E696" s="40">
        <v>0</v>
      </c>
      <c r="F696" s="40">
        <f>+D696-E696</f>
        <v>0</v>
      </c>
      <c r="G696" s="2">
        <f>+ABS(D696)+ABS(E696)</f>
        <v>0</v>
      </c>
    </row>
    <row r="697" spans="1:13" hidden="1">
      <c r="A697" s="37" t="s">
        <v>1309</v>
      </c>
      <c r="B697" s="38" t="s">
        <v>1310</v>
      </c>
      <c r="C697" s="39"/>
      <c r="D697" s="40">
        <v>0</v>
      </c>
      <c r="E697" s="40">
        <v>0</v>
      </c>
      <c r="F697" s="40">
        <f>+D697-E697</f>
        <v>0</v>
      </c>
      <c r="G697" s="2">
        <f>+ABS(D697)+ABS(E697)</f>
        <v>0</v>
      </c>
    </row>
    <row r="698" spans="1:13" hidden="1">
      <c r="A698" s="37" t="s">
        <v>1311</v>
      </c>
      <c r="B698" s="38" t="s">
        <v>1312</v>
      </c>
      <c r="C698" s="39"/>
      <c r="D698" s="40">
        <v>0</v>
      </c>
      <c r="E698" s="40">
        <v>0</v>
      </c>
      <c r="F698" s="40">
        <f>+D698-E698</f>
        <v>0</v>
      </c>
      <c r="G698" s="2">
        <f>+ABS(D698)+ABS(E698)</f>
        <v>0</v>
      </c>
    </row>
    <row r="699" spans="1:13" hidden="1">
      <c r="A699" s="37" t="s">
        <v>1313</v>
      </c>
      <c r="B699" s="38" t="s">
        <v>1314</v>
      </c>
      <c r="C699" s="39"/>
      <c r="D699" s="40">
        <v>0</v>
      </c>
      <c r="E699" s="40">
        <v>0</v>
      </c>
      <c r="F699" s="40">
        <f>+D699-E699</f>
        <v>0</v>
      </c>
      <c r="G699" s="2">
        <f>+ABS(D699)+ABS(E699)</f>
        <v>0</v>
      </c>
    </row>
    <row r="700" spans="1:13" hidden="1">
      <c r="A700" s="37" t="s">
        <v>1315</v>
      </c>
      <c r="B700" s="38" t="s">
        <v>1316</v>
      </c>
      <c r="C700" s="39"/>
      <c r="D700" s="40">
        <v>0</v>
      </c>
      <c r="E700" s="40">
        <v>0</v>
      </c>
      <c r="F700" s="40">
        <f>+D700-E700</f>
        <v>0</v>
      </c>
      <c r="G700" s="2">
        <f>+ABS(D700)+ABS(E700)</f>
        <v>0</v>
      </c>
    </row>
    <row r="701" spans="1:13" hidden="1">
      <c r="A701" s="37"/>
      <c r="B701" s="48"/>
      <c r="C701" s="39"/>
      <c r="D701" s="40"/>
      <c r="E701" s="40"/>
      <c r="F701" s="40"/>
      <c r="G701" s="2">
        <f>+G702</f>
        <v>0</v>
      </c>
    </row>
    <row r="702" spans="1:13" s="15" customFormat="1" hidden="1">
      <c r="A702" s="42" t="s">
        <v>11</v>
      </c>
      <c r="B702" s="49" t="s">
        <v>1317</v>
      </c>
      <c r="C702" s="44"/>
      <c r="D702" s="45">
        <f>SUM(D624:D701)</f>
        <v>0</v>
      </c>
      <c r="E702" s="45">
        <f>SUM(E624:E701)</f>
        <v>0</v>
      </c>
      <c r="F702" s="45">
        <f>+D702-E702</f>
        <v>0</v>
      </c>
      <c r="G702" s="2">
        <f>+ABS(D702)+ABS(E702)</f>
        <v>0</v>
      </c>
      <c r="M702" s="50"/>
    </row>
    <row r="703" spans="1:13" hidden="1">
      <c r="A703" s="42"/>
      <c r="B703" s="39"/>
      <c r="C703" s="39"/>
      <c r="D703" s="51"/>
      <c r="E703" s="51"/>
      <c r="F703" s="51"/>
      <c r="G703" s="2">
        <f>G702</f>
        <v>0</v>
      </c>
      <c r="M703" s="52"/>
    </row>
    <row r="704" spans="1:13" s="15" customFormat="1" hidden="1">
      <c r="A704" s="46" t="s">
        <v>11</v>
      </c>
      <c r="B704" s="44" t="s">
        <v>1318</v>
      </c>
      <c r="C704" s="44"/>
      <c r="D704" s="40"/>
      <c r="E704" s="40"/>
      <c r="F704" s="40"/>
      <c r="G704" s="2">
        <f>G1635</f>
        <v>0</v>
      </c>
    </row>
    <row r="705" spans="1:7" s="15" customFormat="1">
      <c r="A705" s="46"/>
      <c r="B705" s="48" t="s">
        <v>1319</v>
      </c>
      <c r="C705" s="44"/>
      <c r="D705" s="40"/>
      <c r="E705" s="40"/>
      <c r="F705" s="40"/>
      <c r="G705" s="2">
        <f>G1261</f>
        <v>154050518.31999999</v>
      </c>
    </row>
    <row r="706" spans="1:7" s="15" customFormat="1" hidden="1">
      <c r="A706" s="37"/>
      <c r="B706" s="53"/>
      <c r="C706" s="44"/>
      <c r="D706" s="40"/>
      <c r="E706" s="40"/>
      <c r="F706" s="40"/>
      <c r="G706" s="2"/>
    </row>
    <row r="707" spans="1:7" s="15" customFormat="1" hidden="1">
      <c r="A707" s="37" t="s">
        <v>1320</v>
      </c>
      <c r="B707" s="53" t="s">
        <v>1321</v>
      </c>
      <c r="C707" s="44"/>
      <c r="D707" s="40">
        <v>0</v>
      </c>
      <c r="E707" s="40">
        <v>0</v>
      </c>
      <c r="F707" s="40">
        <f>+D707-E707</f>
        <v>0</v>
      </c>
      <c r="G707" s="2">
        <f>+ABS(D707)+ABS(E707)</f>
        <v>0</v>
      </c>
    </row>
    <row r="708" spans="1:7" s="15" customFormat="1" hidden="1">
      <c r="A708" s="37" t="s">
        <v>1322</v>
      </c>
      <c r="B708" s="53" t="s">
        <v>1323</v>
      </c>
      <c r="C708" s="44"/>
      <c r="D708" s="40">
        <v>0</v>
      </c>
      <c r="E708" s="40">
        <v>0</v>
      </c>
      <c r="F708" s="40">
        <f>+D708-E708</f>
        <v>0</v>
      </c>
      <c r="G708" s="2">
        <f>+ABS(D708)+ABS(E708)</f>
        <v>0</v>
      </c>
    </row>
    <row r="709" spans="1:7" s="15" customFormat="1" hidden="1">
      <c r="A709" s="37" t="s">
        <v>1324</v>
      </c>
      <c r="B709" s="53" t="s">
        <v>1325</v>
      </c>
      <c r="C709" s="44"/>
      <c r="D709" s="40">
        <v>0</v>
      </c>
      <c r="E709" s="40">
        <v>0</v>
      </c>
      <c r="F709" s="40">
        <f>+D709-E709</f>
        <v>0</v>
      </c>
      <c r="G709" s="2">
        <f>+ABS(D709)+ABS(E709)</f>
        <v>0</v>
      </c>
    </row>
    <row r="710" spans="1:7" s="15" customFormat="1" hidden="1">
      <c r="A710" s="37" t="s">
        <v>1326</v>
      </c>
      <c r="B710" s="53" t="s">
        <v>1327</v>
      </c>
      <c r="C710" s="44"/>
      <c r="D710" s="40">
        <v>0</v>
      </c>
      <c r="E710" s="40">
        <v>0</v>
      </c>
      <c r="F710" s="40">
        <f>+D710-E710</f>
        <v>0</v>
      </c>
      <c r="G710" s="2">
        <f>+ABS(D710)+ABS(E710)</f>
        <v>0</v>
      </c>
    </row>
    <row r="711" spans="1:7" s="15" customFormat="1" hidden="1">
      <c r="A711" s="37" t="s">
        <v>1328</v>
      </c>
      <c r="B711" s="53" t="s">
        <v>1329</v>
      </c>
      <c r="C711" s="44"/>
      <c r="D711" s="40">
        <v>0</v>
      </c>
      <c r="E711" s="40">
        <v>0</v>
      </c>
      <c r="F711" s="40">
        <f>+D711-E711</f>
        <v>0</v>
      </c>
      <c r="G711" s="2">
        <f>+ABS(D711)+ABS(E711)</f>
        <v>0</v>
      </c>
    </row>
    <row r="712" spans="1:7" s="15" customFormat="1" hidden="1">
      <c r="A712" s="37" t="s">
        <v>1330</v>
      </c>
      <c r="B712" s="53" t="s">
        <v>1331</v>
      </c>
      <c r="C712" s="44"/>
      <c r="D712" s="40">
        <v>0</v>
      </c>
      <c r="E712" s="40">
        <v>0</v>
      </c>
      <c r="F712" s="40">
        <f>+D712-E712</f>
        <v>0</v>
      </c>
      <c r="G712" s="2">
        <f>+ABS(D712)+ABS(E712)</f>
        <v>0</v>
      </c>
    </row>
    <row r="713" spans="1:7" s="15" customFormat="1" hidden="1">
      <c r="A713" s="37" t="s">
        <v>1332</v>
      </c>
      <c r="B713" s="53" t="s">
        <v>1333</v>
      </c>
      <c r="C713" s="44"/>
      <c r="D713" s="40">
        <v>0</v>
      </c>
      <c r="E713" s="40">
        <v>0</v>
      </c>
      <c r="F713" s="40">
        <f>+D713-E713</f>
        <v>0</v>
      </c>
      <c r="G713" s="2">
        <f>+ABS(D713)+ABS(E713)</f>
        <v>0</v>
      </c>
    </row>
    <row r="714" spans="1:7" s="15" customFormat="1" hidden="1">
      <c r="A714" s="37" t="s">
        <v>1334</v>
      </c>
      <c r="B714" s="53" t="s">
        <v>1335</v>
      </c>
      <c r="C714" s="44"/>
      <c r="D714" s="40">
        <v>0</v>
      </c>
      <c r="E714" s="40">
        <v>0</v>
      </c>
      <c r="F714" s="40">
        <f>+D714-E714</f>
        <v>0</v>
      </c>
      <c r="G714" s="2">
        <f>+ABS(D714)+ABS(E714)</f>
        <v>0</v>
      </c>
    </row>
    <row r="715" spans="1:7" s="15" customFormat="1" hidden="1">
      <c r="A715" s="37" t="s">
        <v>1336</v>
      </c>
      <c r="B715" s="53" t="s">
        <v>1337</v>
      </c>
      <c r="C715" s="44"/>
      <c r="D715" s="40">
        <v>0</v>
      </c>
      <c r="E715" s="40">
        <v>0</v>
      </c>
      <c r="F715" s="40">
        <f>+D715-E715</f>
        <v>0</v>
      </c>
      <c r="G715" s="2">
        <f>+ABS(D715)+ABS(E715)</f>
        <v>0</v>
      </c>
    </row>
    <row r="716" spans="1:7" s="15" customFormat="1" hidden="1">
      <c r="A716" s="37" t="s">
        <v>1338</v>
      </c>
      <c r="B716" s="53" t="s">
        <v>1339</v>
      </c>
      <c r="C716" s="44"/>
      <c r="D716" s="40">
        <v>0</v>
      </c>
      <c r="E716" s="40">
        <v>0</v>
      </c>
      <c r="F716" s="40">
        <f>+D716-E716</f>
        <v>0</v>
      </c>
      <c r="G716" s="2">
        <f>+ABS(D716)+ABS(E716)</f>
        <v>0</v>
      </c>
    </row>
    <row r="717" spans="1:7" s="15" customFormat="1" hidden="1">
      <c r="A717" s="37" t="s">
        <v>1340</v>
      </c>
      <c r="B717" s="53" t="s">
        <v>1341</v>
      </c>
      <c r="C717" s="44"/>
      <c r="D717" s="40">
        <v>0</v>
      </c>
      <c r="E717" s="40">
        <v>0</v>
      </c>
      <c r="F717" s="40">
        <f>+D717-E717</f>
        <v>0</v>
      </c>
      <c r="G717" s="2">
        <f>+ABS(D717)+ABS(E717)</f>
        <v>0</v>
      </c>
    </row>
    <row r="718" spans="1:7" s="15" customFormat="1" hidden="1">
      <c r="A718" s="37" t="s">
        <v>1342</v>
      </c>
      <c r="B718" s="53" t="s">
        <v>1343</v>
      </c>
      <c r="C718" s="44"/>
      <c r="D718" s="40">
        <v>0</v>
      </c>
      <c r="E718" s="40">
        <v>0</v>
      </c>
      <c r="F718" s="40">
        <f>+D718-E718</f>
        <v>0</v>
      </c>
      <c r="G718" s="2">
        <f>+ABS(D718)+ABS(E718)</f>
        <v>0</v>
      </c>
    </row>
    <row r="719" spans="1:7" s="15" customFormat="1" hidden="1">
      <c r="A719" s="37" t="s">
        <v>1344</v>
      </c>
      <c r="B719" s="53" t="s">
        <v>1345</v>
      </c>
      <c r="C719" s="44"/>
      <c r="D719" s="40">
        <v>0</v>
      </c>
      <c r="E719" s="40">
        <v>0</v>
      </c>
      <c r="F719" s="40">
        <f>+D719-E719</f>
        <v>0</v>
      </c>
      <c r="G719" s="2">
        <f>+ABS(D719)+ABS(E719)</f>
        <v>0</v>
      </c>
    </row>
    <row r="720" spans="1:7" s="15" customFormat="1" hidden="1">
      <c r="A720" s="37" t="s">
        <v>1346</v>
      </c>
      <c r="B720" s="53" t="s">
        <v>1347</v>
      </c>
      <c r="C720" s="44"/>
      <c r="D720" s="40">
        <v>0</v>
      </c>
      <c r="E720" s="40">
        <v>0</v>
      </c>
      <c r="F720" s="40">
        <f>+D720-E720</f>
        <v>0</v>
      </c>
      <c r="G720" s="2">
        <f>+ABS(D720)+ABS(E720)</f>
        <v>0</v>
      </c>
    </row>
    <row r="721" spans="1:7" s="15" customFormat="1" hidden="1">
      <c r="A721" s="37" t="s">
        <v>1348</v>
      </c>
      <c r="B721" s="53" t="s">
        <v>1349</v>
      </c>
      <c r="C721" s="44"/>
      <c r="D721" s="40">
        <v>0</v>
      </c>
      <c r="E721" s="40">
        <v>0</v>
      </c>
      <c r="F721" s="40">
        <f>+D721-E721</f>
        <v>0</v>
      </c>
      <c r="G721" s="2">
        <f>+ABS(D721)+ABS(E721)</f>
        <v>0</v>
      </c>
    </row>
    <row r="722" spans="1:7" s="15" customFormat="1" hidden="1">
      <c r="A722" s="37" t="s">
        <v>1350</v>
      </c>
      <c r="B722" s="53" t="s">
        <v>1351</v>
      </c>
      <c r="C722" s="44"/>
      <c r="D722" s="40">
        <v>0</v>
      </c>
      <c r="E722" s="40">
        <v>0</v>
      </c>
      <c r="F722" s="40">
        <f>+D722-E722</f>
        <v>0</v>
      </c>
      <c r="G722" s="2">
        <f>+ABS(D722)+ABS(E722)</f>
        <v>0</v>
      </c>
    </row>
    <row r="723" spans="1:7" s="15" customFormat="1" hidden="1">
      <c r="A723" s="37" t="s">
        <v>1352</v>
      </c>
      <c r="B723" s="53" t="s">
        <v>1353</v>
      </c>
      <c r="C723" s="44"/>
      <c r="D723" s="40">
        <v>0</v>
      </c>
      <c r="E723" s="40">
        <v>0</v>
      </c>
      <c r="F723" s="40">
        <f>+D723-E723</f>
        <v>0</v>
      </c>
      <c r="G723" s="2">
        <f>+ABS(D723)+ABS(E723)</f>
        <v>0</v>
      </c>
    </row>
    <row r="724" spans="1:7" s="15" customFormat="1">
      <c r="A724" s="37" t="s">
        <v>1354</v>
      </c>
      <c r="B724" s="53" t="s">
        <v>1355</v>
      </c>
      <c r="C724" s="44"/>
      <c r="D724" s="40">
        <v>929.17</v>
      </c>
      <c r="E724" s="40">
        <v>929.17</v>
      </c>
      <c r="F724" s="40">
        <f>+D724-E724</f>
        <v>0</v>
      </c>
      <c r="G724" s="2">
        <f>+ABS(D724)+ABS(E724)</f>
        <v>1858.34</v>
      </c>
    </row>
    <row r="725" spans="1:7" s="15" customFormat="1">
      <c r="A725" s="37" t="s">
        <v>1356</v>
      </c>
      <c r="B725" s="53" t="s">
        <v>1357</v>
      </c>
      <c r="C725" s="44"/>
      <c r="D725" s="40">
        <v>3943.57</v>
      </c>
      <c r="E725" s="40">
        <v>2816.52</v>
      </c>
      <c r="F725" s="40">
        <f>+D725-E725</f>
        <v>1127.05</v>
      </c>
      <c r="G725" s="2">
        <f>+ABS(D725)+ABS(E725)</f>
        <v>6760.09</v>
      </c>
    </row>
    <row r="726" spans="1:7" s="15" customFormat="1" hidden="1">
      <c r="A726" s="37" t="s">
        <v>1358</v>
      </c>
      <c r="B726" s="53" t="s">
        <v>1359</v>
      </c>
      <c r="C726" s="44"/>
      <c r="D726" s="40">
        <v>0</v>
      </c>
      <c r="E726" s="40">
        <v>0</v>
      </c>
      <c r="F726" s="40">
        <f>+D726-E726</f>
        <v>0</v>
      </c>
      <c r="G726" s="2">
        <f>+ABS(D726)+ABS(E726)</f>
        <v>0</v>
      </c>
    </row>
    <row r="727" spans="1:7" s="15" customFormat="1">
      <c r="A727" s="37" t="s">
        <v>1360</v>
      </c>
      <c r="B727" s="53" t="s">
        <v>1361</v>
      </c>
      <c r="C727" s="44"/>
      <c r="D727" s="40">
        <v>1902.07</v>
      </c>
      <c r="E727" s="40">
        <v>1902.07</v>
      </c>
      <c r="F727" s="40">
        <f>+D727-E727</f>
        <v>0</v>
      </c>
      <c r="G727" s="2">
        <f>+ABS(D727)+ABS(E727)</f>
        <v>3804.14</v>
      </c>
    </row>
    <row r="728" spans="1:7" s="15" customFormat="1" hidden="1">
      <c r="A728" s="37" t="s">
        <v>1362</v>
      </c>
      <c r="B728" s="53" t="s">
        <v>1363</v>
      </c>
      <c r="C728" s="44"/>
      <c r="D728" s="40">
        <v>0</v>
      </c>
      <c r="E728" s="40">
        <v>0</v>
      </c>
      <c r="F728" s="40">
        <f>+D728-E728</f>
        <v>0</v>
      </c>
      <c r="G728" s="2">
        <f>+ABS(D728)+ABS(E728)</f>
        <v>0</v>
      </c>
    </row>
    <row r="729" spans="1:7" s="15" customFormat="1">
      <c r="A729" s="37" t="s">
        <v>1364</v>
      </c>
      <c r="B729" s="53" t="s">
        <v>1365</v>
      </c>
      <c r="C729" s="44"/>
      <c r="D729" s="40">
        <v>2228.94</v>
      </c>
      <c r="E729" s="40">
        <v>2228.94</v>
      </c>
      <c r="F729" s="40">
        <f>+D729-E729</f>
        <v>0</v>
      </c>
      <c r="G729" s="2">
        <f>+ABS(D729)+ABS(E729)</f>
        <v>4457.88</v>
      </c>
    </row>
    <row r="730" spans="1:7" s="15" customFormat="1" hidden="1">
      <c r="A730" s="37" t="s">
        <v>1366</v>
      </c>
      <c r="B730" s="53" t="s">
        <v>1367</v>
      </c>
      <c r="C730" s="44"/>
      <c r="D730" s="40">
        <v>0</v>
      </c>
      <c r="E730" s="40">
        <v>0</v>
      </c>
      <c r="F730" s="40">
        <f>+D730-E730</f>
        <v>0</v>
      </c>
      <c r="G730" s="2">
        <f>+ABS(D730)+ABS(E730)</f>
        <v>0</v>
      </c>
    </row>
    <row r="731" spans="1:7" s="15" customFormat="1">
      <c r="A731" s="37" t="s">
        <v>1368</v>
      </c>
      <c r="B731" s="53" t="s">
        <v>1369</v>
      </c>
      <c r="C731" s="44"/>
      <c r="D731" s="40">
        <v>236121.57</v>
      </c>
      <c r="E731" s="40">
        <v>233737.91</v>
      </c>
      <c r="F731" s="40">
        <f>+D731-E731</f>
        <v>2383.66</v>
      </c>
      <c r="G731" s="2">
        <f>+ABS(D731)+ABS(E731)</f>
        <v>469859.48</v>
      </c>
    </row>
    <row r="732" spans="1:7" s="15" customFormat="1" hidden="1">
      <c r="A732" s="37" t="s">
        <v>1370</v>
      </c>
      <c r="B732" s="53" t="s">
        <v>1371</v>
      </c>
      <c r="C732" s="44"/>
      <c r="D732" s="40">
        <v>0</v>
      </c>
      <c r="E732" s="40">
        <v>0</v>
      </c>
      <c r="F732" s="40">
        <f>+D732-E732</f>
        <v>0</v>
      </c>
      <c r="G732" s="2">
        <f>+ABS(D732)+ABS(E732)</f>
        <v>0</v>
      </c>
    </row>
    <row r="733" spans="1:7" s="15" customFormat="1" hidden="1">
      <c r="A733" s="37" t="s">
        <v>1372</v>
      </c>
      <c r="B733" s="53" t="s">
        <v>1373</v>
      </c>
      <c r="C733" s="44"/>
      <c r="D733" s="40">
        <v>0</v>
      </c>
      <c r="E733" s="40">
        <v>0</v>
      </c>
      <c r="F733" s="40">
        <f>+D733-E733</f>
        <v>0</v>
      </c>
      <c r="G733" s="2">
        <f>+ABS(D733)+ABS(E733)</f>
        <v>0</v>
      </c>
    </row>
    <row r="734" spans="1:7" s="15" customFormat="1" hidden="1">
      <c r="A734" s="37" t="s">
        <v>1374</v>
      </c>
      <c r="B734" s="53" t="s">
        <v>1375</v>
      </c>
      <c r="C734" s="44"/>
      <c r="D734" s="40">
        <v>0</v>
      </c>
      <c r="E734" s="40">
        <v>0</v>
      </c>
      <c r="F734" s="40">
        <f>+D734-E734</f>
        <v>0</v>
      </c>
      <c r="G734" s="2">
        <f>+ABS(D734)+ABS(E734)</f>
        <v>0</v>
      </c>
    </row>
    <row r="735" spans="1:7" s="15" customFormat="1" hidden="1">
      <c r="A735" s="37" t="s">
        <v>1376</v>
      </c>
      <c r="B735" s="53" t="s">
        <v>1377</v>
      </c>
      <c r="C735" s="44"/>
      <c r="D735" s="40">
        <v>0</v>
      </c>
      <c r="E735" s="40">
        <v>0</v>
      </c>
      <c r="F735" s="40">
        <f>+D735-E735</f>
        <v>0</v>
      </c>
      <c r="G735" s="2">
        <f>+ABS(D735)+ABS(E735)</f>
        <v>0</v>
      </c>
    </row>
    <row r="736" spans="1:7" s="15" customFormat="1" hidden="1">
      <c r="A736" s="37" t="s">
        <v>1378</v>
      </c>
      <c r="B736" s="53" t="s">
        <v>1379</v>
      </c>
      <c r="C736" s="44"/>
      <c r="D736" s="40">
        <v>0</v>
      </c>
      <c r="E736" s="40">
        <v>0</v>
      </c>
      <c r="F736" s="40">
        <f>+D736-E736</f>
        <v>0</v>
      </c>
      <c r="G736" s="2">
        <f>+ABS(D736)+ABS(E736)</f>
        <v>0</v>
      </c>
    </row>
    <row r="737" spans="1:7" s="15" customFormat="1" hidden="1">
      <c r="A737" s="37" t="s">
        <v>1380</v>
      </c>
      <c r="B737" s="53" t="s">
        <v>1381</v>
      </c>
      <c r="C737" s="44"/>
      <c r="D737" s="40">
        <v>0</v>
      </c>
      <c r="E737" s="40">
        <v>0</v>
      </c>
      <c r="F737" s="40">
        <f>+D737-E737</f>
        <v>0</v>
      </c>
      <c r="G737" s="2">
        <f>+ABS(D737)+ABS(E737)</f>
        <v>0</v>
      </c>
    </row>
    <row r="738" spans="1:7" s="15" customFormat="1" hidden="1">
      <c r="A738" s="37" t="s">
        <v>1382</v>
      </c>
      <c r="B738" s="53" t="s">
        <v>1383</v>
      </c>
      <c r="C738" s="44"/>
      <c r="D738" s="40">
        <v>0</v>
      </c>
      <c r="E738" s="40">
        <v>0</v>
      </c>
      <c r="F738" s="40">
        <f>+D738-E738</f>
        <v>0</v>
      </c>
      <c r="G738" s="2">
        <f>+ABS(D738)+ABS(E738)</f>
        <v>0</v>
      </c>
    </row>
    <row r="739" spans="1:7" s="15" customFormat="1" hidden="1">
      <c r="A739" s="37" t="s">
        <v>1384</v>
      </c>
      <c r="B739" s="53" t="s">
        <v>1385</v>
      </c>
      <c r="C739" s="44"/>
      <c r="D739" s="40">
        <v>0</v>
      </c>
      <c r="E739" s="40">
        <v>0</v>
      </c>
      <c r="F739" s="40">
        <f>+D739-E739</f>
        <v>0</v>
      </c>
      <c r="G739" s="2">
        <f>+ABS(D739)+ABS(E739)</f>
        <v>0</v>
      </c>
    </row>
    <row r="740" spans="1:7" s="15" customFormat="1" hidden="1">
      <c r="A740" s="37" t="s">
        <v>1386</v>
      </c>
      <c r="B740" s="53" t="s">
        <v>1387</v>
      </c>
      <c r="C740" s="44"/>
      <c r="D740" s="40">
        <v>0</v>
      </c>
      <c r="E740" s="40">
        <v>0</v>
      </c>
      <c r="F740" s="40">
        <f>+D740-E740</f>
        <v>0</v>
      </c>
      <c r="G740" s="2">
        <f>+ABS(D740)+ABS(E740)</f>
        <v>0</v>
      </c>
    </row>
    <row r="741" spans="1:7" s="15" customFormat="1" hidden="1">
      <c r="A741" s="37" t="s">
        <v>1388</v>
      </c>
      <c r="B741" s="53" t="s">
        <v>1389</v>
      </c>
      <c r="C741" s="44"/>
      <c r="D741" s="40">
        <v>0</v>
      </c>
      <c r="E741" s="40">
        <v>0</v>
      </c>
      <c r="F741" s="40">
        <f>+D741-E741</f>
        <v>0</v>
      </c>
      <c r="G741" s="2">
        <f>+ABS(D741)+ABS(E741)</f>
        <v>0</v>
      </c>
    </row>
    <row r="742" spans="1:7" s="15" customFormat="1" hidden="1">
      <c r="A742" s="37" t="s">
        <v>1390</v>
      </c>
      <c r="B742" s="53" t="s">
        <v>1391</v>
      </c>
      <c r="C742" s="44"/>
      <c r="D742" s="40">
        <v>0</v>
      </c>
      <c r="E742" s="40">
        <v>0</v>
      </c>
      <c r="F742" s="40">
        <f>+D742-E742</f>
        <v>0</v>
      </c>
      <c r="G742" s="2">
        <f>+ABS(D742)+ABS(E742)</f>
        <v>0</v>
      </c>
    </row>
    <row r="743" spans="1:7" s="15" customFormat="1" hidden="1">
      <c r="A743" s="37" t="s">
        <v>1392</v>
      </c>
      <c r="B743" s="53" t="s">
        <v>1393</v>
      </c>
      <c r="C743" s="44"/>
      <c r="D743" s="40">
        <v>0</v>
      </c>
      <c r="E743" s="40">
        <v>0</v>
      </c>
      <c r="F743" s="40">
        <f>+D743-E743</f>
        <v>0</v>
      </c>
      <c r="G743" s="2">
        <f>+ABS(D743)+ABS(E743)</f>
        <v>0</v>
      </c>
    </row>
    <row r="744" spans="1:7" s="15" customFormat="1" hidden="1">
      <c r="A744" s="37" t="s">
        <v>1394</v>
      </c>
      <c r="B744" s="53" t="s">
        <v>1395</v>
      </c>
      <c r="C744" s="44"/>
      <c r="D744" s="40">
        <v>0</v>
      </c>
      <c r="E744" s="40">
        <v>0</v>
      </c>
      <c r="F744" s="40">
        <f>+D744-E744</f>
        <v>0</v>
      </c>
      <c r="G744" s="2">
        <f>+ABS(D744)+ABS(E744)</f>
        <v>0</v>
      </c>
    </row>
    <row r="745" spans="1:7" s="15" customFormat="1" hidden="1">
      <c r="A745" s="37" t="s">
        <v>1396</v>
      </c>
      <c r="B745" s="53" t="s">
        <v>1397</v>
      </c>
      <c r="C745" s="44"/>
      <c r="D745" s="40">
        <v>0</v>
      </c>
      <c r="E745" s="40">
        <v>0</v>
      </c>
      <c r="F745" s="40">
        <f>+D745-E745</f>
        <v>0</v>
      </c>
      <c r="G745" s="2">
        <f>+ABS(D745)+ABS(E745)</f>
        <v>0</v>
      </c>
    </row>
    <row r="746" spans="1:7" s="15" customFormat="1" hidden="1">
      <c r="A746" s="37" t="s">
        <v>1398</v>
      </c>
      <c r="B746" s="53" t="s">
        <v>1399</v>
      </c>
      <c r="C746" s="44"/>
      <c r="D746" s="40">
        <v>0</v>
      </c>
      <c r="E746" s="40">
        <v>0</v>
      </c>
      <c r="F746" s="40">
        <f>+D746-E746</f>
        <v>0</v>
      </c>
      <c r="G746" s="2">
        <f>+ABS(D746)+ABS(E746)</f>
        <v>0</v>
      </c>
    </row>
    <row r="747" spans="1:7" s="15" customFormat="1" hidden="1">
      <c r="A747" s="37" t="s">
        <v>1400</v>
      </c>
      <c r="B747" s="53" t="s">
        <v>1401</v>
      </c>
      <c r="C747" s="44"/>
      <c r="D747" s="40">
        <v>0</v>
      </c>
      <c r="E747" s="40">
        <v>0</v>
      </c>
      <c r="F747" s="40">
        <f>+D747-E747</f>
        <v>0</v>
      </c>
      <c r="G747" s="2">
        <f>+ABS(D747)+ABS(E747)</f>
        <v>0</v>
      </c>
    </row>
    <row r="748" spans="1:7" s="15" customFormat="1" hidden="1">
      <c r="A748" s="37" t="s">
        <v>1402</v>
      </c>
      <c r="B748" s="53" t="s">
        <v>1403</v>
      </c>
      <c r="C748" s="44"/>
      <c r="D748" s="40">
        <v>0</v>
      </c>
      <c r="E748" s="40">
        <v>0</v>
      </c>
      <c r="F748" s="40">
        <f>+D748-E748</f>
        <v>0</v>
      </c>
      <c r="G748" s="2">
        <f>+ABS(D748)+ABS(E748)</f>
        <v>0</v>
      </c>
    </row>
    <row r="749" spans="1:7" s="15" customFormat="1" hidden="1">
      <c r="A749" s="37" t="s">
        <v>1404</v>
      </c>
      <c r="B749" s="53" t="s">
        <v>1405</v>
      </c>
      <c r="C749" s="44"/>
      <c r="D749" s="40">
        <v>0</v>
      </c>
      <c r="E749" s="40">
        <v>0</v>
      </c>
      <c r="F749" s="40">
        <f>+D749-E749</f>
        <v>0</v>
      </c>
      <c r="G749" s="2">
        <f>+ABS(D749)+ABS(E749)</f>
        <v>0</v>
      </c>
    </row>
    <row r="750" spans="1:7" s="15" customFormat="1" hidden="1">
      <c r="A750" s="37" t="s">
        <v>1406</v>
      </c>
      <c r="B750" s="53" t="s">
        <v>1407</v>
      </c>
      <c r="C750" s="44"/>
      <c r="D750" s="40">
        <v>0</v>
      </c>
      <c r="E750" s="40">
        <v>0</v>
      </c>
      <c r="F750" s="40">
        <f>+D750-E750</f>
        <v>0</v>
      </c>
      <c r="G750" s="2">
        <f>+ABS(D750)+ABS(E750)</f>
        <v>0</v>
      </c>
    </row>
    <row r="751" spans="1:7" s="15" customFormat="1" hidden="1">
      <c r="A751" s="37" t="s">
        <v>1408</v>
      </c>
      <c r="B751" s="53" t="s">
        <v>1409</v>
      </c>
      <c r="C751" s="44"/>
      <c r="D751" s="40">
        <v>0</v>
      </c>
      <c r="E751" s="40">
        <v>0</v>
      </c>
      <c r="F751" s="40">
        <f>+D751-E751</f>
        <v>0</v>
      </c>
      <c r="G751" s="2">
        <f>+ABS(D751)+ABS(E751)</f>
        <v>0</v>
      </c>
    </row>
    <row r="752" spans="1:7" s="15" customFormat="1" hidden="1">
      <c r="A752" s="37" t="s">
        <v>1410</v>
      </c>
      <c r="B752" s="53" t="s">
        <v>1411</v>
      </c>
      <c r="C752" s="44"/>
      <c r="D752" s="40">
        <v>0</v>
      </c>
      <c r="E752" s="40">
        <v>0</v>
      </c>
      <c r="F752" s="40">
        <f>+D752-E752</f>
        <v>0</v>
      </c>
      <c r="G752" s="2">
        <f>+ABS(D752)+ABS(E752)</f>
        <v>0</v>
      </c>
    </row>
    <row r="753" spans="1:7" s="15" customFormat="1" hidden="1">
      <c r="A753" s="37" t="s">
        <v>1412</v>
      </c>
      <c r="B753" s="53" t="s">
        <v>1413</v>
      </c>
      <c r="C753" s="44"/>
      <c r="D753" s="40">
        <v>0</v>
      </c>
      <c r="E753" s="40">
        <v>0</v>
      </c>
      <c r="F753" s="40">
        <f>+D753-E753</f>
        <v>0</v>
      </c>
      <c r="G753" s="2">
        <f>+ABS(D753)+ABS(E753)</f>
        <v>0</v>
      </c>
    </row>
    <row r="754" spans="1:7" s="15" customFormat="1" hidden="1">
      <c r="A754" s="37" t="s">
        <v>1414</v>
      </c>
      <c r="B754" s="53" t="s">
        <v>1415</v>
      </c>
      <c r="C754" s="44"/>
      <c r="D754" s="40">
        <v>0</v>
      </c>
      <c r="E754" s="40">
        <v>0</v>
      </c>
      <c r="F754" s="40">
        <f>+D754-E754</f>
        <v>0</v>
      </c>
      <c r="G754" s="2">
        <f>+ABS(D754)+ABS(E754)</f>
        <v>0</v>
      </c>
    </row>
    <row r="755" spans="1:7" s="15" customFormat="1" hidden="1">
      <c r="A755" s="37" t="s">
        <v>1416</v>
      </c>
      <c r="B755" s="53" t="s">
        <v>1417</v>
      </c>
      <c r="C755" s="44"/>
      <c r="D755" s="40">
        <v>0</v>
      </c>
      <c r="E755" s="40">
        <v>0</v>
      </c>
      <c r="F755" s="40">
        <f>+D755-E755</f>
        <v>0</v>
      </c>
      <c r="G755" s="2">
        <f>+ABS(D755)+ABS(E755)</f>
        <v>0</v>
      </c>
    </row>
    <row r="756" spans="1:7" s="15" customFormat="1" hidden="1">
      <c r="A756" s="37" t="s">
        <v>1418</v>
      </c>
      <c r="B756" s="53" t="s">
        <v>1419</v>
      </c>
      <c r="C756" s="44"/>
      <c r="D756" s="40">
        <v>0</v>
      </c>
      <c r="E756" s="40">
        <v>0</v>
      </c>
      <c r="F756" s="40">
        <f>+D756-E756</f>
        <v>0</v>
      </c>
      <c r="G756" s="2">
        <f>+ABS(D756)+ABS(E756)</f>
        <v>0</v>
      </c>
    </row>
    <row r="757" spans="1:7" s="15" customFormat="1">
      <c r="A757" s="37" t="s">
        <v>1420</v>
      </c>
      <c r="B757" s="53" t="s">
        <v>1421</v>
      </c>
      <c r="C757" s="44"/>
      <c r="D757" s="40">
        <v>31212.92</v>
      </c>
      <c r="E757" s="40">
        <v>30127.75</v>
      </c>
      <c r="F757" s="40">
        <f>+D757-E757</f>
        <v>1085.17</v>
      </c>
      <c r="G757" s="2">
        <f>+ABS(D757)+ABS(E757)</f>
        <v>61340.67</v>
      </c>
    </row>
    <row r="758" spans="1:7" s="15" customFormat="1" hidden="1">
      <c r="A758" s="37" t="s">
        <v>1422</v>
      </c>
      <c r="B758" s="53" t="s">
        <v>1423</v>
      </c>
      <c r="C758" s="44"/>
      <c r="D758" s="40">
        <v>0</v>
      </c>
      <c r="E758" s="40">
        <v>0</v>
      </c>
      <c r="F758" s="40">
        <f>+D758-E758</f>
        <v>0</v>
      </c>
      <c r="G758" s="2">
        <f>+ABS(D758)+ABS(E758)</f>
        <v>0</v>
      </c>
    </row>
    <row r="759" spans="1:7" s="15" customFormat="1" hidden="1">
      <c r="A759" s="37" t="s">
        <v>1424</v>
      </c>
      <c r="B759" s="53" t="s">
        <v>1425</v>
      </c>
      <c r="C759" s="44"/>
      <c r="D759" s="40">
        <v>0</v>
      </c>
      <c r="E759" s="40">
        <v>0</v>
      </c>
      <c r="F759" s="40">
        <f>+D759-E759</f>
        <v>0</v>
      </c>
      <c r="G759" s="2">
        <f>+ABS(D759)+ABS(E759)</f>
        <v>0</v>
      </c>
    </row>
    <row r="760" spans="1:7" s="15" customFormat="1" hidden="1">
      <c r="A760" s="37" t="s">
        <v>1426</v>
      </c>
      <c r="B760" s="53" t="s">
        <v>1427</v>
      </c>
      <c r="C760" s="44"/>
      <c r="D760" s="40">
        <v>0</v>
      </c>
      <c r="E760" s="40">
        <v>0</v>
      </c>
      <c r="F760" s="40">
        <f>+D760-E760</f>
        <v>0</v>
      </c>
      <c r="G760" s="2">
        <f>+ABS(D760)+ABS(E760)</f>
        <v>0</v>
      </c>
    </row>
    <row r="761" spans="1:7" s="15" customFormat="1" hidden="1">
      <c r="A761" s="37" t="s">
        <v>1428</v>
      </c>
      <c r="B761" s="53" t="s">
        <v>1429</v>
      </c>
      <c r="C761" s="44"/>
      <c r="D761" s="40">
        <v>0</v>
      </c>
      <c r="E761" s="40">
        <v>0</v>
      </c>
      <c r="F761" s="40">
        <f>+D761-E761</f>
        <v>0</v>
      </c>
      <c r="G761" s="2">
        <f>+ABS(D761)+ABS(E761)</f>
        <v>0</v>
      </c>
    </row>
    <row r="762" spans="1:7" s="15" customFormat="1" hidden="1">
      <c r="A762" s="37" t="s">
        <v>1430</v>
      </c>
      <c r="B762" s="53" t="s">
        <v>1431</v>
      </c>
      <c r="C762" s="44"/>
      <c r="D762" s="40">
        <v>0</v>
      </c>
      <c r="E762" s="40">
        <v>0</v>
      </c>
      <c r="F762" s="40">
        <f>+D762-E762</f>
        <v>0</v>
      </c>
      <c r="G762" s="2">
        <f>+ABS(D762)+ABS(E762)</f>
        <v>0</v>
      </c>
    </row>
    <row r="763" spans="1:7" s="15" customFormat="1">
      <c r="A763" s="37" t="s">
        <v>1432</v>
      </c>
      <c r="B763" s="53" t="s">
        <v>1433</v>
      </c>
      <c r="C763" s="44"/>
      <c r="D763" s="40">
        <v>4193.18</v>
      </c>
      <c r="E763" s="40">
        <v>4193.18</v>
      </c>
      <c r="F763" s="40">
        <f>+D763-E763</f>
        <v>0</v>
      </c>
      <c r="G763" s="2">
        <f>+ABS(D763)+ABS(E763)</f>
        <v>8386.36</v>
      </c>
    </row>
    <row r="764" spans="1:7" s="15" customFormat="1" hidden="1">
      <c r="A764" s="37" t="s">
        <v>1434</v>
      </c>
      <c r="B764" s="53" t="s">
        <v>1435</v>
      </c>
      <c r="C764" s="44"/>
      <c r="D764" s="40">
        <v>0</v>
      </c>
      <c r="E764" s="40">
        <v>0</v>
      </c>
      <c r="F764" s="40">
        <f>+D764-E764</f>
        <v>0</v>
      </c>
      <c r="G764" s="2">
        <f>+ABS(D764)+ABS(E764)</f>
        <v>0</v>
      </c>
    </row>
    <row r="765" spans="1:7" s="15" customFormat="1" hidden="1">
      <c r="A765" s="37" t="s">
        <v>1436</v>
      </c>
      <c r="B765" s="53" t="s">
        <v>1437</v>
      </c>
      <c r="C765" s="44"/>
      <c r="D765" s="40">
        <v>0</v>
      </c>
      <c r="E765" s="40">
        <v>0</v>
      </c>
      <c r="F765" s="40">
        <f>+D765-E765</f>
        <v>0</v>
      </c>
      <c r="G765" s="2">
        <f>+ABS(D765)+ABS(E765)</f>
        <v>0</v>
      </c>
    </row>
    <row r="766" spans="1:7" s="15" customFormat="1" hidden="1">
      <c r="A766" s="37" t="s">
        <v>1438</v>
      </c>
      <c r="B766" s="53" t="s">
        <v>1439</v>
      </c>
      <c r="C766" s="44"/>
      <c r="D766" s="40">
        <v>0</v>
      </c>
      <c r="E766" s="40">
        <v>0</v>
      </c>
      <c r="F766" s="40">
        <f>+D766-E766</f>
        <v>0</v>
      </c>
      <c r="G766" s="2">
        <f>+ABS(D766)+ABS(E766)</f>
        <v>0</v>
      </c>
    </row>
    <row r="767" spans="1:7" s="15" customFormat="1" hidden="1">
      <c r="A767" s="37" t="s">
        <v>1440</v>
      </c>
      <c r="B767" s="53" t="s">
        <v>1441</v>
      </c>
      <c r="C767" s="44"/>
      <c r="D767" s="40">
        <v>0</v>
      </c>
      <c r="E767" s="40">
        <v>0</v>
      </c>
      <c r="F767" s="40">
        <f>+D767-E767</f>
        <v>0</v>
      </c>
      <c r="G767" s="2">
        <f>+ABS(D767)+ABS(E767)</f>
        <v>0</v>
      </c>
    </row>
    <row r="768" spans="1:7" s="15" customFormat="1" hidden="1">
      <c r="A768" s="37" t="s">
        <v>1442</v>
      </c>
      <c r="B768" s="53" t="s">
        <v>1443</v>
      </c>
      <c r="C768" s="44"/>
      <c r="D768" s="40">
        <v>0</v>
      </c>
      <c r="E768" s="40">
        <v>0</v>
      </c>
      <c r="F768" s="40">
        <f>+D768-E768</f>
        <v>0</v>
      </c>
      <c r="G768" s="2">
        <f>+ABS(D768)+ABS(E768)</f>
        <v>0</v>
      </c>
    </row>
    <row r="769" spans="1:7" s="15" customFormat="1" hidden="1">
      <c r="A769" s="37" t="s">
        <v>1444</v>
      </c>
      <c r="B769" s="53" t="s">
        <v>1445</v>
      </c>
      <c r="C769" s="44"/>
      <c r="D769" s="40">
        <v>0</v>
      </c>
      <c r="E769" s="40">
        <v>0</v>
      </c>
      <c r="F769" s="40">
        <f>+D769-E769</f>
        <v>0</v>
      </c>
      <c r="G769" s="2">
        <f>+ABS(D769)+ABS(E769)</f>
        <v>0</v>
      </c>
    </row>
    <row r="770" spans="1:7" s="15" customFormat="1" hidden="1">
      <c r="A770" s="37" t="s">
        <v>1446</v>
      </c>
      <c r="B770" s="53" t="s">
        <v>1447</v>
      </c>
      <c r="C770" s="44"/>
      <c r="D770" s="40">
        <v>0</v>
      </c>
      <c r="E770" s="40">
        <v>0</v>
      </c>
      <c r="F770" s="40">
        <f>+D770-E770</f>
        <v>0</v>
      </c>
      <c r="G770" s="2">
        <f>+ABS(D770)+ABS(E770)</f>
        <v>0</v>
      </c>
    </row>
    <row r="771" spans="1:7" s="15" customFormat="1" hidden="1">
      <c r="A771" s="37" t="s">
        <v>1448</v>
      </c>
      <c r="B771" s="53" t="s">
        <v>1449</v>
      </c>
      <c r="C771" s="44"/>
      <c r="D771" s="40">
        <v>0</v>
      </c>
      <c r="E771" s="40">
        <v>0</v>
      </c>
      <c r="F771" s="40">
        <f>+D771-E771</f>
        <v>0</v>
      </c>
      <c r="G771" s="2">
        <f>+ABS(D771)+ABS(E771)</f>
        <v>0</v>
      </c>
    </row>
    <row r="772" spans="1:7" s="15" customFormat="1" hidden="1">
      <c r="A772" s="37" t="s">
        <v>1450</v>
      </c>
      <c r="B772" s="53" t="s">
        <v>1451</v>
      </c>
      <c r="C772" s="44"/>
      <c r="D772" s="40">
        <v>0</v>
      </c>
      <c r="E772" s="40">
        <v>0</v>
      </c>
      <c r="F772" s="40">
        <f>+D772-E772</f>
        <v>0</v>
      </c>
      <c r="G772" s="2">
        <f>+ABS(D772)+ABS(E772)</f>
        <v>0</v>
      </c>
    </row>
    <row r="773" spans="1:7" s="15" customFormat="1" hidden="1">
      <c r="A773" s="37" t="s">
        <v>1452</v>
      </c>
      <c r="B773" s="53" t="s">
        <v>1453</v>
      </c>
      <c r="C773" s="44"/>
      <c r="D773" s="40">
        <v>0</v>
      </c>
      <c r="E773" s="40">
        <v>0</v>
      </c>
      <c r="F773" s="40">
        <f>+D773-E773</f>
        <v>0</v>
      </c>
      <c r="G773" s="2">
        <f>+ABS(D773)+ABS(E773)</f>
        <v>0</v>
      </c>
    </row>
    <row r="774" spans="1:7" s="15" customFormat="1" hidden="1">
      <c r="A774" s="37" t="s">
        <v>1454</v>
      </c>
      <c r="B774" s="53" t="s">
        <v>1455</v>
      </c>
      <c r="C774" s="44"/>
      <c r="D774" s="40">
        <v>0</v>
      </c>
      <c r="E774" s="40">
        <v>0</v>
      </c>
      <c r="F774" s="40">
        <f>+D774-E774</f>
        <v>0</v>
      </c>
      <c r="G774" s="2">
        <f>+ABS(D774)+ABS(E774)</f>
        <v>0</v>
      </c>
    </row>
    <row r="775" spans="1:7" s="15" customFormat="1" hidden="1">
      <c r="A775" s="37" t="s">
        <v>1456</v>
      </c>
      <c r="B775" s="53" t="s">
        <v>1457</v>
      </c>
      <c r="C775" s="44"/>
      <c r="D775" s="40">
        <v>0</v>
      </c>
      <c r="E775" s="40">
        <v>0</v>
      </c>
      <c r="F775" s="40">
        <f>+D775-E775</f>
        <v>0</v>
      </c>
      <c r="G775" s="2">
        <f>+ABS(D775)+ABS(E775)</f>
        <v>0</v>
      </c>
    </row>
    <row r="776" spans="1:7" s="15" customFormat="1" hidden="1">
      <c r="A776" s="37" t="s">
        <v>1458</v>
      </c>
      <c r="B776" s="53" t="s">
        <v>1459</v>
      </c>
      <c r="C776" s="44"/>
      <c r="D776" s="40">
        <v>0</v>
      </c>
      <c r="E776" s="40">
        <v>0</v>
      </c>
      <c r="F776" s="40">
        <f>+D776-E776</f>
        <v>0</v>
      </c>
      <c r="G776" s="2">
        <f>+ABS(D776)+ABS(E776)</f>
        <v>0</v>
      </c>
    </row>
    <row r="777" spans="1:7" s="15" customFormat="1" hidden="1">
      <c r="A777" s="37" t="s">
        <v>1460</v>
      </c>
      <c r="B777" s="53" t="s">
        <v>1461</v>
      </c>
      <c r="C777" s="44"/>
      <c r="D777" s="40">
        <v>0</v>
      </c>
      <c r="E777" s="40">
        <v>0</v>
      </c>
      <c r="F777" s="40">
        <f>+D777-E777</f>
        <v>0</v>
      </c>
      <c r="G777" s="2">
        <f>+ABS(D777)+ABS(E777)</f>
        <v>0</v>
      </c>
    </row>
    <row r="778" spans="1:7" s="15" customFormat="1" hidden="1">
      <c r="A778" s="37" t="s">
        <v>1462</v>
      </c>
      <c r="B778" s="53" t="s">
        <v>1463</v>
      </c>
      <c r="C778" s="44"/>
      <c r="D778" s="40">
        <v>0</v>
      </c>
      <c r="E778" s="40">
        <v>0</v>
      </c>
      <c r="F778" s="40">
        <f>+D778-E778</f>
        <v>0</v>
      </c>
      <c r="G778" s="2">
        <f>+ABS(D778)+ABS(E778)</f>
        <v>0</v>
      </c>
    </row>
    <row r="779" spans="1:7" s="15" customFormat="1" hidden="1">
      <c r="A779" s="37" t="s">
        <v>1464</v>
      </c>
      <c r="B779" s="53" t="s">
        <v>1465</v>
      </c>
      <c r="C779" s="44"/>
      <c r="D779" s="40">
        <v>0</v>
      </c>
      <c r="E779" s="40">
        <v>0</v>
      </c>
      <c r="F779" s="40">
        <f>+D779-E779</f>
        <v>0</v>
      </c>
      <c r="G779" s="2">
        <f>+ABS(D779)+ABS(E779)</f>
        <v>0</v>
      </c>
    </row>
    <row r="780" spans="1:7" s="15" customFormat="1" hidden="1">
      <c r="A780" s="37" t="s">
        <v>1466</v>
      </c>
      <c r="B780" s="53" t="s">
        <v>1467</v>
      </c>
      <c r="C780" s="44"/>
      <c r="D780" s="40">
        <v>0</v>
      </c>
      <c r="E780" s="40">
        <v>0</v>
      </c>
      <c r="F780" s="40">
        <f>+D780-E780</f>
        <v>0</v>
      </c>
      <c r="G780" s="2">
        <f>+ABS(D780)+ABS(E780)</f>
        <v>0</v>
      </c>
    </row>
    <row r="781" spans="1:7" s="15" customFormat="1" hidden="1">
      <c r="A781" s="37" t="s">
        <v>1468</v>
      </c>
      <c r="B781" s="53" t="s">
        <v>1469</v>
      </c>
      <c r="C781" s="44"/>
      <c r="D781" s="40">
        <v>0</v>
      </c>
      <c r="E781" s="40">
        <v>0</v>
      </c>
      <c r="F781" s="40">
        <f>+D781-E781</f>
        <v>0</v>
      </c>
      <c r="G781" s="2">
        <f>+ABS(D781)+ABS(E781)</f>
        <v>0</v>
      </c>
    </row>
    <row r="782" spans="1:7" s="15" customFormat="1" hidden="1">
      <c r="A782" s="37" t="s">
        <v>1470</v>
      </c>
      <c r="B782" s="53" t="s">
        <v>1471</v>
      </c>
      <c r="C782" s="44"/>
      <c r="D782" s="40">
        <v>0</v>
      </c>
      <c r="E782" s="40">
        <v>0</v>
      </c>
      <c r="F782" s="40">
        <f>+D782-E782</f>
        <v>0</v>
      </c>
      <c r="G782" s="2">
        <f>+ABS(D782)+ABS(E782)</f>
        <v>0</v>
      </c>
    </row>
    <row r="783" spans="1:7" s="15" customFormat="1" hidden="1">
      <c r="A783" s="37" t="s">
        <v>1472</v>
      </c>
      <c r="B783" s="53" t="s">
        <v>1473</v>
      </c>
      <c r="C783" s="44"/>
      <c r="D783" s="40">
        <v>0</v>
      </c>
      <c r="E783" s="40">
        <v>0</v>
      </c>
      <c r="F783" s="40">
        <f>+D783-E783</f>
        <v>0</v>
      </c>
      <c r="G783" s="2">
        <f>+ABS(D783)+ABS(E783)</f>
        <v>0</v>
      </c>
    </row>
    <row r="784" spans="1:7" s="15" customFormat="1" hidden="1">
      <c r="A784" s="37" t="s">
        <v>1474</v>
      </c>
      <c r="B784" s="53" t="s">
        <v>1475</v>
      </c>
      <c r="C784" s="44"/>
      <c r="D784" s="40">
        <v>0</v>
      </c>
      <c r="E784" s="40">
        <v>0</v>
      </c>
      <c r="F784" s="40">
        <f>+D784-E784</f>
        <v>0</v>
      </c>
      <c r="G784" s="2">
        <f>+ABS(D784)+ABS(E784)</f>
        <v>0</v>
      </c>
    </row>
    <row r="785" spans="1:7" s="15" customFormat="1" hidden="1">
      <c r="A785" s="37" t="s">
        <v>1476</v>
      </c>
      <c r="B785" s="53" t="s">
        <v>1477</v>
      </c>
      <c r="C785" s="44"/>
      <c r="D785" s="40">
        <v>0</v>
      </c>
      <c r="E785" s="40">
        <v>0</v>
      </c>
      <c r="F785" s="40">
        <f>+D785-E785</f>
        <v>0</v>
      </c>
      <c r="G785" s="2">
        <f>+ABS(D785)+ABS(E785)</f>
        <v>0</v>
      </c>
    </row>
    <row r="786" spans="1:7" s="15" customFormat="1" hidden="1">
      <c r="A786" s="37" t="s">
        <v>1478</v>
      </c>
      <c r="B786" s="53" t="s">
        <v>1479</v>
      </c>
      <c r="C786" s="44"/>
      <c r="D786" s="40">
        <v>0</v>
      </c>
      <c r="E786" s="40">
        <v>0</v>
      </c>
      <c r="F786" s="40">
        <f>+D786-E786</f>
        <v>0</v>
      </c>
      <c r="G786" s="2">
        <f>+ABS(D786)+ABS(E786)</f>
        <v>0</v>
      </c>
    </row>
    <row r="787" spans="1:7" s="15" customFormat="1" hidden="1">
      <c r="A787" s="37" t="s">
        <v>1480</v>
      </c>
      <c r="B787" s="53" t="s">
        <v>1481</v>
      </c>
      <c r="C787" s="44"/>
      <c r="D787" s="40">
        <v>0</v>
      </c>
      <c r="E787" s="40">
        <v>0</v>
      </c>
      <c r="F787" s="40">
        <f>+D787-E787</f>
        <v>0</v>
      </c>
      <c r="G787" s="2">
        <f>+ABS(D787)+ABS(E787)</f>
        <v>0</v>
      </c>
    </row>
    <row r="788" spans="1:7" s="15" customFormat="1" hidden="1">
      <c r="A788" s="37" t="s">
        <v>1482</v>
      </c>
      <c r="B788" s="53" t="s">
        <v>1483</v>
      </c>
      <c r="C788" s="44"/>
      <c r="D788" s="40">
        <v>0</v>
      </c>
      <c r="E788" s="40">
        <v>0</v>
      </c>
      <c r="F788" s="40">
        <f>+D788-E788</f>
        <v>0</v>
      </c>
      <c r="G788" s="2">
        <f>+ABS(D788)+ABS(E788)</f>
        <v>0</v>
      </c>
    </row>
    <row r="789" spans="1:7" s="15" customFormat="1" hidden="1">
      <c r="A789" s="37" t="s">
        <v>1484</v>
      </c>
      <c r="B789" s="53" t="s">
        <v>1485</v>
      </c>
      <c r="C789" s="44"/>
      <c r="D789" s="40">
        <v>0</v>
      </c>
      <c r="E789" s="40">
        <v>0</v>
      </c>
      <c r="F789" s="40">
        <f>+D789-E789</f>
        <v>0</v>
      </c>
      <c r="G789" s="2">
        <f>+ABS(D789)+ABS(E789)</f>
        <v>0</v>
      </c>
    </row>
    <row r="790" spans="1:7" s="15" customFormat="1" hidden="1">
      <c r="A790" s="37" t="s">
        <v>1486</v>
      </c>
      <c r="B790" s="53" t="s">
        <v>1487</v>
      </c>
      <c r="C790" s="44"/>
      <c r="D790" s="40">
        <v>0</v>
      </c>
      <c r="E790" s="40">
        <v>0</v>
      </c>
      <c r="F790" s="40">
        <f>+D790-E790</f>
        <v>0</v>
      </c>
      <c r="G790" s="2">
        <f>+ABS(D790)+ABS(E790)</f>
        <v>0</v>
      </c>
    </row>
    <row r="791" spans="1:7" s="15" customFormat="1" hidden="1">
      <c r="A791" s="37" t="s">
        <v>1488</v>
      </c>
      <c r="B791" s="53" t="s">
        <v>1489</v>
      </c>
      <c r="C791" s="44"/>
      <c r="D791" s="40">
        <v>0</v>
      </c>
      <c r="E791" s="40">
        <v>0</v>
      </c>
      <c r="F791" s="40">
        <f>+D791-E791</f>
        <v>0</v>
      </c>
      <c r="G791" s="2">
        <f>+ABS(D791)+ABS(E791)</f>
        <v>0</v>
      </c>
    </row>
    <row r="792" spans="1:7" s="15" customFormat="1" hidden="1">
      <c r="A792" s="37" t="s">
        <v>1490</v>
      </c>
      <c r="B792" s="53" t="s">
        <v>1491</v>
      </c>
      <c r="C792" s="44"/>
      <c r="D792" s="40">
        <v>0</v>
      </c>
      <c r="E792" s="40">
        <v>0</v>
      </c>
      <c r="F792" s="40">
        <f>+D792-E792</f>
        <v>0</v>
      </c>
      <c r="G792" s="2">
        <f>+ABS(D792)+ABS(E792)</f>
        <v>0</v>
      </c>
    </row>
    <row r="793" spans="1:7" s="15" customFormat="1" hidden="1">
      <c r="A793" s="37" t="s">
        <v>1492</v>
      </c>
      <c r="B793" s="53" t="s">
        <v>1493</v>
      </c>
      <c r="C793" s="44"/>
      <c r="D793" s="40">
        <v>0</v>
      </c>
      <c r="E793" s="40">
        <v>0</v>
      </c>
      <c r="F793" s="40">
        <f>+D793-E793</f>
        <v>0</v>
      </c>
      <c r="G793" s="2">
        <f>+ABS(D793)+ABS(E793)</f>
        <v>0</v>
      </c>
    </row>
    <row r="794" spans="1:7" s="15" customFormat="1" hidden="1">
      <c r="A794" s="37" t="s">
        <v>1494</v>
      </c>
      <c r="B794" s="53" t="s">
        <v>1495</v>
      </c>
      <c r="C794" s="44"/>
      <c r="D794" s="40">
        <v>0</v>
      </c>
      <c r="E794" s="40">
        <v>0</v>
      </c>
      <c r="F794" s="40">
        <f>+D794-E794</f>
        <v>0</v>
      </c>
      <c r="G794" s="2">
        <f>+ABS(D794)+ABS(E794)</f>
        <v>0</v>
      </c>
    </row>
    <row r="795" spans="1:7" s="15" customFormat="1" hidden="1">
      <c r="A795" s="37" t="s">
        <v>1496</v>
      </c>
      <c r="B795" s="53" t="s">
        <v>1497</v>
      </c>
      <c r="C795" s="44"/>
      <c r="D795" s="40">
        <v>0</v>
      </c>
      <c r="E795" s="40">
        <v>0</v>
      </c>
      <c r="F795" s="40">
        <f>+D795-E795</f>
        <v>0</v>
      </c>
      <c r="G795" s="2">
        <f>+ABS(D795)+ABS(E795)</f>
        <v>0</v>
      </c>
    </row>
    <row r="796" spans="1:7" s="15" customFormat="1" hidden="1">
      <c r="A796" s="37" t="s">
        <v>1498</v>
      </c>
      <c r="B796" s="53" t="s">
        <v>1499</v>
      </c>
      <c r="C796" s="44"/>
      <c r="D796" s="40">
        <v>0</v>
      </c>
      <c r="E796" s="40">
        <v>0</v>
      </c>
      <c r="F796" s="40">
        <f>+D796-E796</f>
        <v>0</v>
      </c>
      <c r="G796" s="2">
        <f>+ABS(D796)+ABS(E796)</f>
        <v>0</v>
      </c>
    </row>
    <row r="797" spans="1:7" s="15" customFormat="1" hidden="1">
      <c r="A797" s="37" t="s">
        <v>1500</v>
      </c>
      <c r="B797" s="53" t="s">
        <v>1501</v>
      </c>
      <c r="C797" s="44"/>
      <c r="D797" s="40">
        <v>0</v>
      </c>
      <c r="E797" s="40">
        <v>0</v>
      </c>
      <c r="F797" s="40">
        <f>+D797-E797</f>
        <v>0</v>
      </c>
      <c r="G797" s="2">
        <f>+ABS(D797)+ABS(E797)</f>
        <v>0</v>
      </c>
    </row>
    <row r="798" spans="1:7" s="15" customFormat="1" hidden="1">
      <c r="A798" s="37" t="s">
        <v>1502</v>
      </c>
      <c r="B798" s="53" t="s">
        <v>1503</v>
      </c>
      <c r="C798" s="44"/>
      <c r="D798" s="40">
        <v>0</v>
      </c>
      <c r="E798" s="40">
        <v>0</v>
      </c>
      <c r="F798" s="40">
        <f>+D798-E798</f>
        <v>0</v>
      </c>
      <c r="G798" s="2">
        <f>+ABS(D798)+ABS(E798)</f>
        <v>0</v>
      </c>
    </row>
    <row r="799" spans="1:7" s="15" customFormat="1" hidden="1">
      <c r="A799" s="37" t="s">
        <v>1504</v>
      </c>
      <c r="B799" s="53" t="s">
        <v>1505</v>
      </c>
      <c r="C799" s="44"/>
      <c r="D799" s="40">
        <v>0</v>
      </c>
      <c r="E799" s="40">
        <v>0</v>
      </c>
      <c r="F799" s="40">
        <f>+D799-E799</f>
        <v>0</v>
      </c>
      <c r="G799" s="2">
        <f>+ABS(D799)+ABS(E799)</f>
        <v>0</v>
      </c>
    </row>
    <row r="800" spans="1:7" s="15" customFormat="1" hidden="1">
      <c r="A800" s="37" t="s">
        <v>1506</v>
      </c>
      <c r="B800" s="53" t="s">
        <v>1507</v>
      </c>
      <c r="C800" s="44"/>
      <c r="D800" s="40">
        <v>0</v>
      </c>
      <c r="E800" s="40">
        <v>0</v>
      </c>
      <c r="F800" s="40">
        <f>+D800-E800</f>
        <v>0</v>
      </c>
      <c r="G800" s="2">
        <f>+ABS(D800)+ABS(E800)</f>
        <v>0</v>
      </c>
    </row>
    <row r="801" spans="1:7" s="15" customFormat="1" hidden="1">
      <c r="A801" s="37" t="s">
        <v>1508</v>
      </c>
      <c r="B801" s="53" t="s">
        <v>1509</v>
      </c>
      <c r="C801" s="44"/>
      <c r="D801" s="40">
        <v>0</v>
      </c>
      <c r="E801" s="40">
        <v>0</v>
      </c>
      <c r="F801" s="40">
        <f>+D801-E801</f>
        <v>0</v>
      </c>
      <c r="G801" s="2">
        <f>+ABS(D801)+ABS(E801)</f>
        <v>0</v>
      </c>
    </row>
    <row r="802" spans="1:7" s="15" customFormat="1" hidden="1">
      <c r="A802" s="37" t="s">
        <v>1510</v>
      </c>
      <c r="B802" s="53" t="s">
        <v>1511</v>
      </c>
      <c r="C802" s="44"/>
      <c r="D802" s="40">
        <v>0</v>
      </c>
      <c r="E802" s="40">
        <v>0</v>
      </c>
      <c r="F802" s="40">
        <f>+D802-E802</f>
        <v>0</v>
      </c>
      <c r="G802" s="2">
        <f>+ABS(D802)+ABS(E802)</f>
        <v>0</v>
      </c>
    </row>
    <row r="803" spans="1:7" s="15" customFormat="1" hidden="1">
      <c r="A803" s="37" t="s">
        <v>1512</v>
      </c>
      <c r="B803" s="53" t="s">
        <v>1513</v>
      </c>
      <c r="C803" s="44"/>
      <c r="D803" s="40">
        <v>0</v>
      </c>
      <c r="E803" s="40">
        <v>0</v>
      </c>
      <c r="F803" s="40">
        <f>+D803-E803</f>
        <v>0</v>
      </c>
      <c r="G803" s="2">
        <f>+ABS(D803)+ABS(E803)</f>
        <v>0</v>
      </c>
    </row>
    <row r="804" spans="1:7" s="15" customFormat="1" hidden="1">
      <c r="A804" s="37" t="s">
        <v>1514</v>
      </c>
      <c r="B804" s="53" t="s">
        <v>1515</v>
      </c>
      <c r="C804" s="44"/>
      <c r="D804" s="40">
        <v>0</v>
      </c>
      <c r="E804" s="40">
        <v>0</v>
      </c>
      <c r="F804" s="40">
        <f>+D804-E804</f>
        <v>0</v>
      </c>
      <c r="G804" s="2">
        <f>+ABS(D804)+ABS(E804)</f>
        <v>0</v>
      </c>
    </row>
    <row r="805" spans="1:7" s="15" customFormat="1" hidden="1">
      <c r="A805" s="37" t="s">
        <v>1516</v>
      </c>
      <c r="B805" s="53" t="s">
        <v>1517</v>
      </c>
      <c r="C805" s="44"/>
      <c r="D805" s="40">
        <v>0</v>
      </c>
      <c r="E805" s="40">
        <v>0</v>
      </c>
      <c r="F805" s="40">
        <f>+D805-E805</f>
        <v>0</v>
      </c>
      <c r="G805" s="2">
        <f>+ABS(D805)+ABS(E805)</f>
        <v>0</v>
      </c>
    </row>
    <row r="806" spans="1:7" s="15" customFormat="1" hidden="1">
      <c r="A806" s="37" t="s">
        <v>1518</v>
      </c>
      <c r="B806" s="53" t="s">
        <v>1519</v>
      </c>
      <c r="C806" s="44"/>
      <c r="D806" s="40">
        <v>0</v>
      </c>
      <c r="E806" s="40">
        <v>0</v>
      </c>
      <c r="F806" s="40">
        <f>+D806-E806</f>
        <v>0</v>
      </c>
      <c r="G806" s="2">
        <f>+ABS(D806)+ABS(E806)</f>
        <v>0</v>
      </c>
    </row>
    <row r="807" spans="1:7" s="15" customFormat="1" hidden="1">
      <c r="A807" s="37" t="s">
        <v>1520</v>
      </c>
      <c r="B807" s="53" t="s">
        <v>1521</v>
      </c>
      <c r="C807" s="44"/>
      <c r="D807" s="40">
        <v>0</v>
      </c>
      <c r="E807" s="40">
        <v>0</v>
      </c>
      <c r="F807" s="40">
        <f>+D807-E807</f>
        <v>0</v>
      </c>
      <c r="G807" s="2">
        <f>+ABS(D807)+ABS(E807)</f>
        <v>0</v>
      </c>
    </row>
    <row r="808" spans="1:7" s="15" customFormat="1" hidden="1">
      <c r="A808" s="37" t="s">
        <v>1522</v>
      </c>
      <c r="B808" s="53" t="s">
        <v>1523</v>
      </c>
      <c r="C808" s="44"/>
      <c r="D808" s="40">
        <v>0</v>
      </c>
      <c r="E808" s="40">
        <v>0</v>
      </c>
      <c r="F808" s="40">
        <f>+D808-E808</f>
        <v>0</v>
      </c>
      <c r="G808" s="2">
        <f>+ABS(D808)+ABS(E808)</f>
        <v>0</v>
      </c>
    </row>
    <row r="809" spans="1:7" s="15" customFormat="1" hidden="1">
      <c r="A809" s="37" t="s">
        <v>1524</v>
      </c>
      <c r="B809" s="53" t="s">
        <v>1525</v>
      </c>
      <c r="C809" s="44"/>
      <c r="D809" s="40">
        <v>0</v>
      </c>
      <c r="E809" s="40">
        <v>0</v>
      </c>
      <c r="F809" s="40">
        <f>+D809-E809</f>
        <v>0</v>
      </c>
      <c r="G809" s="2">
        <f>+ABS(D809)+ABS(E809)</f>
        <v>0</v>
      </c>
    </row>
    <row r="810" spans="1:7" s="15" customFormat="1" hidden="1">
      <c r="A810" s="37" t="s">
        <v>1526</v>
      </c>
      <c r="B810" s="53" t="s">
        <v>1527</v>
      </c>
      <c r="C810" s="44"/>
      <c r="D810" s="40">
        <v>0</v>
      </c>
      <c r="E810" s="40">
        <v>0</v>
      </c>
      <c r="F810" s="40">
        <f>+D810-E810</f>
        <v>0</v>
      </c>
      <c r="G810" s="2">
        <f>+ABS(D810)+ABS(E810)</f>
        <v>0</v>
      </c>
    </row>
    <row r="811" spans="1:7" s="15" customFormat="1" hidden="1">
      <c r="A811" s="37" t="s">
        <v>1528</v>
      </c>
      <c r="B811" s="53" t="s">
        <v>1529</v>
      </c>
      <c r="C811" s="44"/>
      <c r="D811" s="40">
        <v>0</v>
      </c>
      <c r="E811" s="40">
        <v>0</v>
      </c>
      <c r="F811" s="40">
        <f>+D811-E811</f>
        <v>0</v>
      </c>
      <c r="G811" s="2">
        <f>+ABS(D811)+ABS(E811)</f>
        <v>0</v>
      </c>
    </row>
    <row r="812" spans="1:7" s="15" customFormat="1" hidden="1">
      <c r="A812" s="37" t="s">
        <v>1530</v>
      </c>
      <c r="B812" s="53" t="s">
        <v>1531</v>
      </c>
      <c r="C812" s="44"/>
      <c r="D812" s="40">
        <v>0</v>
      </c>
      <c r="E812" s="40">
        <v>0</v>
      </c>
      <c r="F812" s="40">
        <f>+D812-E812</f>
        <v>0</v>
      </c>
      <c r="G812" s="2">
        <f>+ABS(D812)+ABS(E812)</f>
        <v>0</v>
      </c>
    </row>
    <row r="813" spans="1:7" s="15" customFormat="1" hidden="1">
      <c r="A813" s="37" t="s">
        <v>1532</v>
      </c>
      <c r="B813" s="53" t="s">
        <v>1533</v>
      </c>
      <c r="C813" s="44"/>
      <c r="D813" s="40">
        <v>0</v>
      </c>
      <c r="E813" s="40">
        <v>0</v>
      </c>
      <c r="F813" s="40">
        <f>+D813-E813</f>
        <v>0</v>
      </c>
      <c r="G813" s="2">
        <f>+ABS(D813)+ABS(E813)</f>
        <v>0</v>
      </c>
    </row>
    <row r="814" spans="1:7" s="15" customFormat="1" hidden="1">
      <c r="A814" s="37" t="s">
        <v>1534</v>
      </c>
      <c r="B814" s="53" t="s">
        <v>1535</v>
      </c>
      <c r="C814" s="44"/>
      <c r="D814" s="40">
        <v>0</v>
      </c>
      <c r="E814" s="40">
        <v>0</v>
      </c>
      <c r="F814" s="40">
        <f>+D814-E814</f>
        <v>0</v>
      </c>
      <c r="G814" s="2">
        <f>+ABS(D814)+ABS(E814)</f>
        <v>0</v>
      </c>
    </row>
    <row r="815" spans="1:7" s="15" customFormat="1">
      <c r="A815" s="37" t="s">
        <v>1536</v>
      </c>
      <c r="B815" s="53" t="s">
        <v>1537</v>
      </c>
      <c r="C815" s="44"/>
      <c r="D815" s="40">
        <v>1741.43</v>
      </c>
      <c r="E815" s="40">
        <v>1741.43</v>
      </c>
      <c r="F815" s="40">
        <f>+D815-E815</f>
        <v>0</v>
      </c>
      <c r="G815" s="2">
        <f>+ABS(D815)+ABS(E815)</f>
        <v>3482.86</v>
      </c>
    </row>
    <row r="816" spans="1:7" s="15" customFormat="1" hidden="1">
      <c r="A816" s="37" t="s">
        <v>1538</v>
      </c>
      <c r="B816" s="53" t="s">
        <v>1539</v>
      </c>
      <c r="C816" s="44"/>
      <c r="D816" s="40">
        <v>0</v>
      </c>
      <c r="E816" s="40">
        <v>0</v>
      </c>
      <c r="F816" s="40">
        <f>+D816-E816</f>
        <v>0</v>
      </c>
      <c r="G816" s="2">
        <f>+ABS(D816)+ABS(E816)</f>
        <v>0</v>
      </c>
    </row>
    <row r="817" spans="1:7" s="15" customFormat="1" hidden="1">
      <c r="A817" s="37" t="s">
        <v>1540</v>
      </c>
      <c r="B817" s="53" t="s">
        <v>1541</v>
      </c>
      <c r="C817" s="44"/>
      <c r="D817" s="40">
        <v>0</v>
      </c>
      <c r="E817" s="40">
        <v>0</v>
      </c>
      <c r="F817" s="40">
        <f>+D817-E817</f>
        <v>0</v>
      </c>
      <c r="G817" s="2">
        <f>+ABS(D817)+ABS(E817)</f>
        <v>0</v>
      </c>
    </row>
    <row r="818" spans="1:7" s="15" customFormat="1" hidden="1">
      <c r="A818" s="37" t="s">
        <v>1542</v>
      </c>
      <c r="B818" s="53" t="s">
        <v>1543</v>
      </c>
      <c r="C818" s="44"/>
      <c r="D818" s="40">
        <v>0</v>
      </c>
      <c r="E818" s="40">
        <v>0</v>
      </c>
      <c r="F818" s="40">
        <f>+D818-E818</f>
        <v>0</v>
      </c>
      <c r="G818" s="2">
        <f>+ABS(D818)+ABS(E818)</f>
        <v>0</v>
      </c>
    </row>
    <row r="819" spans="1:7" s="15" customFormat="1" hidden="1">
      <c r="A819" s="37" t="s">
        <v>1544</v>
      </c>
      <c r="B819" s="53" t="s">
        <v>1545</v>
      </c>
      <c r="C819" s="44"/>
      <c r="D819" s="40">
        <v>0</v>
      </c>
      <c r="E819" s="40">
        <v>0</v>
      </c>
      <c r="F819" s="40">
        <f>+D819-E819</f>
        <v>0</v>
      </c>
      <c r="G819" s="2">
        <f>+ABS(D819)+ABS(E819)</f>
        <v>0</v>
      </c>
    </row>
    <row r="820" spans="1:7" s="15" customFormat="1" hidden="1">
      <c r="A820" s="37" t="s">
        <v>1546</v>
      </c>
      <c r="B820" s="53" t="s">
        <v>1547</v>
      </c>
      <c r="C820" s="44"/>
      <c r="D820" s="40">
        <v>0</v>
      </c>
      <c r="E820" s="40">
        <v>0</v>
      </c>
      <c r="F820" s="40">
        <f>+D820-E820</f>
        <v>0</v>
      </c>
      <c r="G820" s="2">
        <f>+ABS(D820)+ABS(E820)</f>
        <v>0</v>
      </c>
    </row>
    <row r="821" spans="1:7" s="15" customFormat="1" hidden="1">
      <c r="A821" s="37" t="s">
        <v>1548</v>
      </c>
      <c r="B821" s="53" t="s">
        <v>1549</v>
      </c>
      <c r="C821" s="44"/>
      <c r="D821" s="40">
        <v>0</v>
      </c>
      <c r="E821" s="40">
        <v>0</v>
      </c>
      <c r="F821" s="40">
        <f>+D821-E821</f>
        <v>0</v>
      </c>
      <c r="G821" s="2">
        <f>+ABS(D821)+ABS(E821)</f>
        <v>0</v>
      </c>
    </row>
    <row r="822" spans="1:7" s="15" customFormat="1" hidden="1">
      <c r="A822" s="37" t="s">
        <v>1550</v>
      </c>
      <c r="B822" s="53" t="s">
        <v>1551</v>
      </c>
      <c r="C822" s="44"/>
      <c r="D822" s="40">
        <v>0</v>
      </c>
      <c r="E822" s="40">
        <v>0</v>
      </c>
      <c r="F822" s="40">
        <f>+D822-E822</f>
        <v>0</v>
      </c>
      <c r="G822" s="2">
        <f>+ABS(D822)+ABS(E822)</f>
        <v>0</v>
      </c>
    </row>
    <row r="823" spans="1:7" s="15" customFormat="1" hidden="1">
      <c r="A823" s="37" t="s">
        <v>1552</v>
      </c>
      <c r="B823" s="53" t="s">
        <v>1553</v>
      </c>
      <c r="C823" s="44"/>
      <c r="D823" s="40">
        <v>0</v>
      </c>
      <c r="E823" s="40">
        <v>0</v>
      </c>
      <c r="F823" s="40">
        <f>+D823-E823</f>
        <v>0</v>
      </c>
      <c r="G823" s="2">
        <f>+ABS(D823)+ABS(E823)</f>
        <v>0</v>
      </c>
    </row>
    <row r="824" spans="1:7" s="15" customFormat="1" hidden="1">
      <c r="A824" s="37" t="s">
        <v>1554</v>
      </c>
      <c r="B824" s="53" t="s">
        <v>1555</v>
      </c>
      <c r="C824" s="44"/>
      <c r="D824" s="40">
        <v>0</v>
      </c>
      <c r="E824" s="40">
        <v>0</v>
      </c>
      <c r="F824" s="40">
        <f>+D824-E824</f>
        <v>0</v>
      </c>
      <c r="G824" s="2">
        <f>+ABS(D824)+ABS(E824)</f>
        <v>0</v>
      </c>
    </row>
    <row r="825" spans="1:7" s="15" customFormat="1" hidden="1">
      <c r="A825" s="37" t="s">
        <v>1556</v>
      </c>
      <c r="B825" s="53" t="s">
        <v>1557</v>
      </c>
      <c r="C825" s="44"/>
      <c r="D825" s="40">
        <v>0</v>
      </c>
      <c r="E825" s="40">
        <v>0</v>
      </c>
      <c r="F825" s="40">
        <f>+D825-E825</f>
        <v>0</v>
      </c>
      <c r="G825" s="2">
        <f>+ABS(D825)+ABS(E825)</f>
        <v>0</v>
      </c>
    </row>
    <row r="826" spans="1:7" s="15" customFormat="1" hidden="1">
      <c r="A826" s="37" t="s">
        <v>1558</v>
      </c>
      <c r="B826" s="53" t="s">
        <v>1559</v>
      </c>
      <c r="C826" s="44"/>
      <c r="D826" s="40">
        <v>0</v>
      </c>
      <c r="E826" s="40">
        <v>0</v>
      </c>
      <c r="F826" s="40">
        <f>+D826-E826</f>
        <v>0</v>
      </c>
      <c r="G826" s="2">
        <f>+ABS(D826)+ABS(E826)</f>
        <v>0</v>
      </c>
    </row>
    <row r="827" spans="1:7" s="15" customFormat="1" hidden="1">
      <c r="A827" s="37" t="s">
        <v>1560</v>
      </c>
      <c r="B827" s="53" t="s">
        <v>1561</v>
      </c>
      <c r="C827" s="44"/>
      <c r="D827" s="40">
        <v>0</v>
      </c>
      <c r="E827" s="40">
        <v>0</v>
      </c>
      <c r="F827" s="40">
        <f>+D827-E827</f>
        <v>0</v>
      </c>
      <c r="G827" s="2">
        <f>+ABS(D827)+ABS(E827)</f>
        <v>0</v>
      </c>
    </row>
    <row r="828" spans="1:7" s="15" customFormat="1" hidden="1">
      <c r="A828" s="37" t="s">
        <v>1562</v>
      </c>
      <c r="B828" s="53" t="s">
        <v>1563</v>
      </c>
      <c r="C828" s="44"/>
      <c r="D828" s="40">
        <v>0</v>
      </c>
      <c r="E828" s="40">
        <v>0</v>
      </c>
      <c r="F828" s="40">
        <f>+D828-E828</f>
        <v>0</v>
      </c>
      <c r="G828" s="2">
        <f>+ABS(D828)+ABS(E828)</f>
        <v>0</v>
      </c>
    </row>
    <row r="829" spans="1:7" s="15" customFormat="1" hidden="1">
      <c r="A829" s="37" t="s">
        <v>1564</v>
      </c>
      <c r="B829" s="53" t="s">
        <v>1565</v>
      </c>
      <c r="C829" s="44"/>
      <c r="D829" s="40">
        <v>0</v>
      </c>
      <c r="E829" s="40">
        <v>0</v>
      </c>
      <c r="F829" s="40">
        <f>+D829-E829</f>
        <v>0</v>
      </c>
      <c r="G829" s="2">
        <f>+ABS(D829)+ABS(E829)</f>
        <v>0</v>
      </c>
    </row>
    <row r="830" spans="1:7" s="15" customFormat="1" hidden="1">
      <c r="A830" s="37" t="s">
        <v>1566</v>
      </c>
      <c r="B830" s="53" t="s">
        <v>1567</v>
      </c>
      <c r="C830" s="44"/>
      <c r="D830" s="40">
        <v>0</v>
      </c>
      <c r="E830" s="40">
        <v>0</v>
      </c>
      <c r="F830" s="40">
        <f>+D830-E830</f>
        <v>0</v>
      </c>
      <c r="G830" s="2">
        <f>+ABS(D830)+ABS(E830)</f>
        <v>0</v>
      </c>
    </row>
    <row r="831" spans="1:7" s="15" customFormat="1" hidden="1">
      <c r="A831" s="37" t="s">
        <v>1568</v>
      </c>
      <c r="B831" s="53" t="s">
        <v>1569</v>
      </c>
      <c r="C831" s="44"/>
      <c r="D831" s="40">
        <v>0</v>
      </c>
      <c r="E831" s="40">
        <v>0</v>
      </c>
      <c r="F831" s="40">
        <f>+D831-E831</f>
        <v>0</v>
      </c>
      <c r="G831" s="2">
        <f>+ABS(D831)+ABS(E831)</f>
        <v>0</v>
      </c>
    </row>
    <row r="832" spans="1:7" s="15" customFormat="1" hidden="1">
      <c r="A832" s="37" t="s">
        <v>1570</v>
      </c>
      <c r="B832" s="53" t="s">
        <v>1571</v>
      </c>
      <c r="C832" s="44"/>
      <c r="D832" s="40">
        <v>0</v>
      </c>
      <c r="E832" s="40">
        <v>0</v>
      </c>
      <c r="F832" s="40">
        <f>+D832-E832</f>
        <v>0</v>
      </c>
      <c r="G832" s="2">
        <f>+ABS(D832)+ABS(E832)</f>
        <v>0</v>
      </c>
    </row>
    <row r="833" spans="1:7" s="15" customFormat="1" hidden="1">
      <c r="A833" s="37" t="s">
        <v>1572</v>
      </c>
      <c r="B833" s="53" t="s">
        <v>1573</v>
      </c>
      <c r="C833" s="44"/>
      <c r="D833" s="40">
        <v>0</v>
      </c>
      <c r="E833" s="40">
        <v>0</v>
      </c>
      <c r="F833" s="40">
        <f>+D833-E833</f>
        <v>0</v>
      </c>
      <c r="G833" s="2">
        <f>+ABS(D833)+ABS(E833)</f>
        <v>0</v>
      </c>
    </row>
    <row r="834" spans="1:7" s="15" customFormat="1" hidden="1">
      <c r="A834" s="37" t="s">
        <v>1574</v>
      </c>
      <c r="B834" s="53" t="s">
        <v>1575</v>
      </c>
      <c r="C834" s="44"/>
      <c r="D834" s="40">
        <v>0</v>
      </c>
      <c r="E834" s="40">
        <v>0</v>
      </c>
      <c r="F834" s="40">
        <f>+D834-E834</f>
        <v>0</v>
      </c>
      <c r="G834" s="2">
        <f>+ABS(D834)+ABS(E834)</f>
        <v>0</v>
      </c>
    </row>
    <row r="835" spans="1:7" s="15" customFormat="1" hidden="1">
      <c r="A835" s="37" t="s">
        <v>1576</v>
      </c>
      <c r="B835" s="53" t="s">
        <v>1577</v>
      </c>
      <c r="C835" s="44"/>
      <c r="D835" s="40">
        <v>0</v>
      </c>
      <c r="E835" s="40">
        <v>0</v>
      </c>
      <c r="F835" s="40">
        <f>+D835-E835</f>
        <v>0</v>
      </c>
      <c r="G835" s="2">
        <f>+ABS(D835)+ABS(E835)</f>
        <v>0</v>
      </c>
    </row>
    <row r="836" spans="1:7" s="15" customFormat="1" hidden="1">
      <c r="A836" s="37" t="s">
        <v>1578</v>
      </c>
      <c r="B836" s="53" t="s">
        <v>1579</v>
      </c>
      <c r="C836" s="44"/>
      <c r="D836" s="40">
        <v>0</v>
      </c>
      <c r="E836" s="40">
        <v>0</v>
      </c>
      <c r="F836" s="40">
        <f>+D836-E836</f>
        <v>0</v>
      </c>
      <c r="G836" s="2">
        <f>+ABS(D836)+ABS(E836)</f>
        <v>0</v>
      </c>
    </row>
    <row r="837" spans="1:7" s="15" customFormat="1" hidden="1">
      <c r="A837" s="37" t="s">
        <v>1580</v>
      </c>
      <c r="B837" s="53" t="s">
        <v>1581</v>
      </c>
      <c r="C837" s="44"/>
      <c r="D837" s="40">
        <v>0</v>
      </c>
      <c r="E837" s="40">
        <v>0</v>
      </c>
      <c r="F837" s="40">
        <f>+D837-E837</f>
        <v>0</v>
      </c>
      <c r="G837" s="2">
        <f>+ABS(D837)+ABS(E837)</f>
        <v>0</v>
      </c>
    </row>
    <row r="838" spans="1:7" s="15" customFormat="1" hidden="1">
      <c r="A838" s="37" t="s">
        <v>1582</v>
      </c>
      <c r="B838" s="53" t="s">
        <v>1583</v>
      </c>
      <c r="C838" s="44"/>
      <c r="D838" s="40">
        <v>0</v>
      </c>
      <c r="E838" s="40">
        <v>0</v>
      </c>
      <c r="F838" s="40">
        <f>+D838-E838</f>
        <v>0</v>
      </c>
      <c r="G838" s="2">
        <f>+ABS(D838)+ABS(E838)</f>
        <v>0</v>
      </c>
    </row>
    <row r="839" spans="1:7" s="15" customFormat="1">
      <c r="A839" s="37" t="s">
        <v>1584</v>
      </c>
      <c r="B839" s="53" t="s">
        <v>1585</v>
      </c>
      <c r="C839" s="44"/>
      <c r="D839" s="40">
        <v>2055.6999999999998</v>
      </c>
      <c r="E839" s="40">
        <v>2055.6999999999998</v>
      </c>
      <c r="F839" s="40">
        <f>+D839-E839</f>
        <v>0</v>
      </c>
      <c r="G839" s="2">
        <f>+ABS(D839)+ABS(E839)</f>
        <v>4111.3999999999996</v>
      </c>
    </row>
    <row r="840" spans="1:7" s="15" customFormat="1" hidden="1">
      <c r="A840" s="37" t="s">
        <v>1586</v>
      </c>
      <c r="B840" s="53" t="s">
        <v>1587</v>
      </c>
      <c r="C840" s="44"/>
      <c r="D840" s="40">
        <v>0</v>
      </c>
      <c r="E840" s="40">
        <v>0</v>
      </c>
      <c r="F840" s="40">
        <f>+D840-E840</f>
        <v>0</v>
      </c>
      <c r="G840" s="2">
        <f>+ABS(D840)+ABS(E840)</f>
        <v>0</v>
      </c>
    </row>
    <row r="841" spans="1:7" s="15" customFormat="1" hidden="1">
      <c r="A841" s="37" t="s">
        <v>1588</v>
      </c>
      <c r="B841" s="53" t="s">
        <v>1589</v>
      </c>
      <c r="C841" s="44"/>
      <c r="D841" s="40">
        <v>0</v>
      </c>
      <c r="E841" s="40">
        <v>0</v>
      </c>
      <c r="F841" s="40">
        <f>+D841-E841</f>
        <v>0</v>
      </c>
      <c r="G841" s="2">
        <f>+ABS(D841)+ABS(E841)</f>
        <v>0</v>
      </c>
    </row>
    <row r="842" spans="1:7" s="15" customFormat="1" hidden="1">
      <c r="A842" s="37" t="s">
        <v>1590</v>
      </c>
      <c r="B842" s="53" t="s">
        <v>1591</v>
      </c>
      <c r="C842" s="44"/>
      <c r="D842" s="40">
        <v>0</v>
      </c>
      <c r="E842" s="40">
        <v>0</v>
      </c>
      <c r="F842" s="40">
        <f>+D842-E842</f>
        <v>0</v>
      </c>
      <c r="G842" s="2">
        <f>+ABS(D842)+ABS(E842)</f>
        <v>0</v>
      </c>
    </row>
    <row r="843" spans="1:7" s="15" customFormat="1" hidden="1">
      <c r="A843" s="37" t="s">
        <v>1592</v>
      </c>
      <c r="B843" s="53" t="s">
        <v>1593</v>
      </c>
      <c r="C843" s="44"/>
      <c r="D843" s="40">
        <v>0</v>
      </c>
      <c r="E843" s="40">
        <v>0</v>
      </c>
      <c r="F843" s="40">
        <f>+D843-E843</f>
        <v>0</v>
      </c>
      <c r="G843" s="2">
        <f>+ABS(D843)+ABS(E843)</f>
        <v>0</v>
      </c>
    </row>
    <row r="844" spans="1:7" s="15" customFormat="1">
      <c r="A844" s="37" t="s">
        <v>1594</v>
      </c>
      <c r="B844" s="53" t="s">
        <v>1595</v>
      </c>
      <c r="C844" s="44"/>
      <c r="D844" s="40">
        <v>14920.2</v>
      </c>
      <c r="E844" s="40">
        <v>14709.26</v>
      </c>
      <c r="F844" s="40">
        <f>+D844-E844</f>
        <v>210.94000000000099</v>
      </c>
      <c r="G844" s="2">
        <f>+ABS(D844)+ABS(E844)</f>
        <v>29629.46</v>
      </c>
    </row>
    <row r="845" spans="1:7" s="15" customFormat="1" hidden="1">
      <c r="A845" s="37" t="s">
        <v>1596</v>
      </c>
      <c r="B845" s="53" t="s">
        <v>1597</v>
      </c>
      <c r="C845" s="44"/>
      <c r="D845" s="40">
        <v>0</v>
      </c>
      <c r="E845" s="40">
        <v>0</v>
      </c>
      <c r="F845" s="40">
        <f>+D845-E845</f>
        <v>0</v>
      </c>
      <c r="G845" s="2">
        <f>+ABS(D845)+ABS(E845)</f>
        <v>0</v>
      </c>
    </row>
    <row r="846" spans="1:7" s="15" customFormat="1" hidden="1">
      <c r="A846" s="37" t="s">
        <v>1598</v>
      </c>
      <c r="B846" s="53" t="s">
        <v>1599</v>
      </c>
      <c r="C846" s="44"/>
      <c r="D846" s="40">
        <v>0</v>
      </c>
      <c r="E846" s="40">
        <v>0</v>
      </c>
      <c r="F846" s="40">
        <f>+D846-E846</f>
        <v>0</v>
      </c>
      <c r="G846" s="2">
        <f>+ABS(D846)+ABS(E846)</f>
        <v>0</v>
      </c>
    </row>
    <row r="847" spans="1:7" s="15" customFormat="1" hidden="1">
      <c r="A847" s="37" t="s">
        <v>1600</v>
      </c>
      <c r="B847" s="53" t="s">
        <v>1601</v>
      </c>
      <c r="C847" s="44"/>
      <c r="D847" s="40">
        <v>0</v>
      </c>
      <c r="E847" s="40">
        <v>0</v>
      </c>
      <c r="F847" s="40">
        <f>+D847-E847</f>
        <v>0</v>
      </c>
      <c r="G847" s="2">
        <f>+ABS(D847)+ABS(E847)</f>
        <v>0</v>
      </c>
    </row>
    <row r="848" spans="1:7" s="15" customFormat="1" hidden="1">
      <c r="A848" s="37" t="s">
        <v>1602</v>
      </c>
      <c r="B848" s="53" t="s">
        <v>1603</v>
      </c>
      <c r="C848" s="44"/>
      <c r="D848" s="40">
        <v>0</v>
      </c>
      <c r="E848" s="40">
        <v>0</v>
      </c>
      <c r="F848" s="40">
        <f>+D848-E848</f>
        <v>0</v>
      </c>
      <c r="G848" s="2">
        <f>+ABS(D848)+ABS(E848)</f>
        <v>0</v>
      </c>
    </row>
    <row r="849" spans="1:7" s="15" customFormat="1" hidden="1">
      <c r="A849" s="37" t="s">
        <v>1604</v>
      </c>
      <c r="B849" s="53" t="s">
        <v>1605</v>
      </c>
      <c r="C849" s="44"/>
      <c r="D849" s="40">
        <v>0</v>
      </c>
      <c r="E849" s="40">
        <v>0</v>
      </c>
      <c r="F849" s="40">
        <f>+D849-E849</f>
        <v>0</v>
      </c>
      <c r="G849" s="2">
        <f>+ABS(D849)+ABS(E849)</f>
        <v>0</v>
      </c>
    </row>
    <row r="850" spans="1:7" s="15" customFormat="1" hidden="1">
      <c r="A850" s="37" t="s">
        <v>1606</v>
      </c>
      <c r="B850" s="53" t="s">
        <v>1607</v>
      </c>
      <c r="C850" s="44"/>
      <c r="D850" s="40">
        <v>0</v>
      </c>
      <c r="E850" s="40">
        <v>0</v>
      </c>
      <c r="F850" s="40">
        <f>+D850-E850</f>
        <v>0</v>
      </c>
      <c r="G850" s="2">
        <f>+ABS(D850)+ABS(E850)</f>
        <v>0</v>
      </c>
    </row>
    <row r="851" spans="1:7" s="15" customFormat="1" hidden="1">
      <c r="A851" s="37" t="s">
        <v>1608</v>
      </c>
      <c r="B851" s="53" t="s">
        <v>1609</v>
      </c>
      <c r="C851" s="44"/>
      <c r="D851" s="40">
        <v>0</v>
      </c>
      <c r="E851" s="40">
        <v>0</v>
      </c>
      <c r="F851" s="40">
        <f>+D851-E851</f>
        <v>0</v>
      </c>
      <c r="G851" s="2">
        <f>+ABS(D851)+ABS(E851)</f>
        <v>0</v>
      </c>
    </row>
    <row r="852" spans="1:7" s="15" customFormat="1" hidden="1">
      <c r="A852" s="37" t="s">
        <v>1610</v>
      </c>
      <c r="B852" s="53" t="s">
        <v>1611</v>
      </c>
      <c r="C852" s="44"/>
      <c r="D852" s="40">
        <v>0</v>
      </c>
      <c r="E852" s="40">
        <v>0</v>
      </c>
      <c r="F852" s="40">
        <f>+D852-E852</f>
        <v>0</v>
      </c>
      <c r="G852" s="2">
        <f>+ABS(D852)+ABS(E852)</f>
        <v>0</v>
      </c>
    </row>
    <row r="853" spans="1:7" s="15" customFormat="1" hidden="1">
      <c r="A853" s="37" t="s">
        <v>1612</v>
      </c>
      <c r="B853" s="53" t="s">
        <v>1613</v>
      </c>
      <c r="C853" s="44"/>
      <c r="D853" s="40">
        <v>0</v>
      </c>
      <c r="E853" s="40">
        <v>0</v>
      </c>
      <c r="F853" s="40">
        <f>+D853-E853</f>
        <v>0</v>
      </c>
      <c r="G853" s="2">
        <f>+ABS(D853)+ABS(E853)</f>
        <v>0</v>
      </c>
    </row>
    <row r="854" spans="1:7" s="15" customFormat="1" hidden="1">
      <c r="A854" s="37" t="s">
        <v>1614</v>
      </c>
      <c r="B854" s="53" t="s">
        <v>1615</v>
      </c>
      <c r="C854" s="44"/>
      <c r="D854" s="40">
        <v>0</v>
      </c>
      <c r="E854" s="40">
        <v>0</v>
      </c>
      <c r="F854" s="40">
        <f>+D854-E854</f>
        <v>0</v>
      </c>
      <c r="G854" s="2">
        <f>+ABS(D854)+ABS(E854)</f>
        <v>0</v>
      </c>
    </row>
    <row r="855" spans="1:7" s="15" customFormat="1" hidden="1">
      <c r="A855" s="37" t="s">
        <v>1616</v>
      </c>
      <c r="B855" s="53" t="s">
        <v>1617</v>
      </c>
      <c r="C855" s="44"/>
      <c r="D855" s="40">
        <v>0</v>
      </c>
      <c r="E855" s="40">
        <v>0</v>
      </c>
      <c r="F855" s="40">
        <f>+D855-E855</f>
        <v>0</v>
      </c>
      <c r="G855" s="2">
        <f>+ABS(D855)+ABS(E855)</f>
        <v>0</v>
      </c>
    </row>
    <row r="856" spans="1:7" s="15" customFormat="1" hidden="1">
      <c r="A856" s="37" t="s">
        <v>1618</v>
      </c>
      <c r="B856" s="53" t="s">
        <v>1619</v>
      </c>
      <c r="C856" s="44"/>
      <c r="D856" s="40">
        <v>0</v>
      </c>
      <c r="E856" s="40">
        <v>0</v>
      </c>
      <c r="F856" s="40">
        <f>+D856-E856</f>
        <v>0</v>
      </c>
      <c r="G856" s="2">
        <f>+ABS(D856)+ABS(E856)</f>
        <v>0</v>
      </c>
    </row>
    <row r="857" spans="1:7" s="15" customFormat="1" hidden="1">
      <c r="A857" s="37" t="s">
        <v>1620</v>
      </c>
      <c r="B857" s="53" t="s">
        <v>1621</v>
      </c>
      <c r="C857" s="44"/>
      <c r="D857" s="40">
        <v>0</v>
      </c>
      <c r="E857" s="40">
        <v>0</v>
      </c>
      <c r="F857" s="40">
        <f>+D857-E857</f>
        <v>0</v>
      </c>
      <c r="G857" s="2">
        <f>+ABS(D857)+ABS(E857)</f>
        <v>0</v>
      </c>
    </row>
    <row r="858" spans="1:7" s="15" customFormat="1" hidden="1">
      <c r="A858" s="37" t="s">
        <v>1622</v>
      </c>
      <c r="B858" s="53" t="s">
        <v>1623</v>
      </c>
      <c r="C858" s="44"/>
      <c r="D858" s="40">
        <v>0</v>
      </c>
      <c r="E858" s="40">
        <v>0</v>
      </c>
      <c r="F858" s="40">
        <f>+D858-E858</f>
        <v>0</v>
      </c>
      <c r="G858" s="2">
        <f>+ABS(D858)+ABS(E858)</f>
        <v>0</v>
      </c>
    </row>
    <row r="859" spans="1:7" s="15" customFormat="1" hidden="1">
      <c r="A859" s="37" t="s">
        <v>1624</v>
      </c>
      <c r="B859" s="53" t="s">
        <v>1625</v>
      </c>
      <c r="C859" s="44"/>
      <c r="D859" s="40">
        <v>0</v>
      </c>
      <c r="E859" s="40">
        <v>0</v>
      </c>
      <c r="F859" s="40">
        <f>+D859-E859</f>
        <v>0</v>
      </c>
      <c r="G859" s="2">
        <f>+ABS(D859)+ABS(E859)</f>
        <v>0</v>
      </c>
    </row>
    <row r="860" spans="1:7" s="15" customFormat="1" hidden="1">
      <c r="A860" s="37" t="s">
        <v>1626</v>
      </c>
      <c r="B860" s="53" t="s">
        <v>1627</v>
      </c>
      <c r="C860" s="44"/>
      <c r="D860" s="40">
        <v>0</v>
      </c>
      <c r="E860" s="40">
        <v>0</v>
      </c>
      <c r="F860" s="40">
        <f>+D860-E860</f>
        <v>0</v>
      </c>
      <c r="G860" s="2">
        <f>+ABS(D860)+ABS(E860)</f>
        <v>0</v>
      </c>
    </row>
    <row r="861" spans="1:7" s="15" customFormat="1" hidden="1">
      <c r="A861" s="37" t="s">
        <v>1628</v>
      </c>
      <c r="B861" s="53" t="s">
        <v>1629</v>
      </c>
      <c r="C861" s="44"/>
      <c r="D861" s="40">
        <v>0</v>
      </c>
      <c r="E861" s="40">
        <v>0</v>
      </c>
      <c r="F861" s="40">
        <f>+D861-E861</f>
        <v>0</v>
      </c>
      <c r="G861" s="2">
        <f>+ABS(D861)+ABS(E861)</f>
        <v>0</v>
      </c>
    </row>
    <row r="862" spans="1:7" s="15" customFormat="1" hidden="1">
      <c r="A862" s="37" t="s">
        <v>1630</v>
      </c>
      <c r="B862" s="53" t="s">
        <v>1631</v>
      </c>
      <c r="C862" s="44"/>
      <c r="D862" s="40">
        <v>0</v>
      </c>
      <c r="E862" s="40">
        <v>0</v>
      </c>
      <c r="F862" s="40">
        <f>+D862-E862</f>
        <v>0</v>
      </c>
      <c r="G862" s="2">
        <f>+ABS(D862)+ABS(E862)</f>
        <v>0</v>
      </c>
    </row>
    <row r="863" spans="1:7" s="15" customFormat="1" hidden="1">
      <c r="A863" s="37" t="s">
        <v>1632</v>
      </c>
      <c r="B863" s="53" t="s">
        <v>1633</v>
      </c>
      <c r="C863" s="44"/>
      <c r="D863" s="40">
        <v>0</v>
      </c>
      <c r="E863" s="40">
        <v>0</v>
      </c>
      <c r="F863" s="40">
        <f>+D863-E863</f>
        <v>0</v>
      </c>
      <c r="G863" s="2">
        <f>+ABS(D863)+ABS(E863)</f>
        <v>0</v>
      </c>
    </row>
    <row r="864" spans="1:7" s="15" customFormat="1" hidden="1">
      <c r="A864" s="37" t="s">
        <v>1634</v>
      </c>
      <c r="B864" s="53" t="s">
        <v>1635</v>
      </c>
      <c r="C864" s="44"/>
      <c r="D864" s="40">
        <v>0</v>
      </c>
      <c r="E864" s="40">
        <v>0</v>
      </c>
      <c r="F864" s="40">
        <f>+D864-E864</f>
        <v>0</v>
      </c>
      <c r="G864" s="2">
        <f>+ABS(D864)+ABS(E864)</f>
        <v>0</v>
      </c>
    </row>
    <row r="865" spans="1:7" s="15" customFormat="1" hidden="1">
      <c r="A865" s="37" t="s">
        <v>1636</v>
      </c>
      <c r="B865" s="53" t="s">
        <v>1637</v>
      </c>
      <c r="C865" s="44"/>
      <c r="D865" s="40">
        <v>0</v>
      </c>
      <c r="E865" s="40">
        <v>0</v>
      </c>
      <c r="F865" s="40">
        <f>+D865-E865</f>
        <v>0</v>
      </c>
      <c r="G865" s="2">
        <f>+ABS(D865)+ABS(E865)</f>
        <v>0</v>
      </c>
    </row>
    <row r="866" spans="1:7" s="15" customFormat="1" hidden="1">
      <c r="A866" s="37" t="s">
        <v>1638</v>
      </c>
      <c r="B866" s="53" t="s">
        <v>1639</v>
      </c>
      <c r="C866" s="44"/>
      <c r="D866" s="40">
        <v>0</v>
      </c>
      <c r="E866" s="40">
        <v>0</v>
      </c>
      <c r="F866" s="40">
        <f>+D866-E866</f>
        <v>0</v>
      </c>
      <c r="G866" s="2">
        <f>+ABS(D866)+ABS(E866)</f>
        <v>0</v>
      </c>
    </row>
    <row r="867" spans="1:7" s="15" customFormat="1" hidden="1">
      <c r="A867" s="37" t="s">
        <v>1640</v>
      </c>
      <c r="B867" s="53" t="s">
        <v>1641</v>
      </c>
      <c r="C867" s="44"/>
      <c r="D867" s="40">
        <v>0</v>
      </c>
      <c r="E867" s="40">
        <v>0</v>
      </c>
      <c r="F867" s="40">
        <f>+D867-E867</f>
        <v>0</v>
      </c>
      <c r="G867" s="2">
        <f>+ABS(D867)+ABS(E867)</f>
        <v>0</v>
      </c>
    </row>
    <row r="868" spans="1:7" s="15" customFormat="1">
      <c r="A868" s="37" t="s">
        <v>1642</v>
      </c>
      <c r="B868" s="53" t="s">
        <v>1643</v>
      </c>
      <c r="C868" s="44"/>
      <c r="D868" s="40">
        <v>3327.58</v>
      </c>
      <c r="E868" s="40">
        <v>3327.58</v>
      </c>
      <c r="F868" s="40">
        <f>+D868-E868</f>
        <v>0</v>
      </c>
      <c r="G868" s="2">
        <f>+ABS(D868)+ABS(E868)</f>
        <v>6655.16</v>
      </c>
    </row>
    <row r="869" spans="1:7" s="15" customFormat="1" hidden="1">
      <c r="A869" s="37" t="s">
        <v>1644</v>
      </c>
      <c r="B869" s="53" t="s">
        <v>1645</v>
      </c>
      <c r="C869" s="44"/>
      <c r="D869" s="40">
        <v>0</v>
      </c>
      <c r="E869" s="40">
        <v>0</v>
      </c>
      <c r="F869" s="40">
        <f>+D869-E869</f>
        <v>0</v>
      </c>
      <c r="G869" s="2">
        <f>+ABS(D869)+ABS(E869)</f>
        <v>0</v>
      </c>
    </row>
    <row r="870" spans="1:7" s="15" customFormat="1" hidden="1">
      <c r="A870" s="37" t="s">
        <v>1646</v>
      </c>
      <c r="B870" s="53" t="s">
        <v>1647</v>
      </c>
      <c r="C870" s="44"/>
      <c r="D870" s="40">
        <v>0</v>
      </c>
      <c r="E870" s="40">
        <v>0</v>
      </c>
      <c r="F870" s="40">
        <f>+D870-E870</f>
        <v>0</v>
      </c>
      <c r="G870" s="2">
        <f>+ABS(D870)+ABS(E870)</f>
        <v>0</v>
      </c>
    </row>
    <row r="871" spans="1:7" s="15" customFormat="1" hidden="1">
      <c r="A871" s="37" t="s">
        <v>1648</v>
      </c>
      <c r="B871" s="53" t="s">
        <v>1649</v>
      </c>
      <c r="C871" s="44"/>
      <c r="D871" s="40">
        <v>0</v>
      </c>
      <c r="E871" s="40">
        <v>0</v>
      </c>
      <c r="F871" s="40">
        <f>+D871-E871</f>
        <v>0</v>
      </c>
      <c r="G871" s="2">
        <f>+ABS(D871)+ABS(E871)</f>
        <v>0</v>
      </c>
    </row>
    <row r="872" spans="1:7" s="15" customFormat="1" hidden="1">
      <c r="A872" s="37" t="s">
        <v>1650</v>
      </c>
      <c r="B872" s="53" t="s">
        <v>1651</v>
      </c>
      <c r="C872" s="44"/>
      <c r="D872" s="40">
        <v>0</v>
      </c>
      <c r="E872" s="40">
        <v>0</v>
      </c>
      <c r="F872" s="40">
        <f>+D872-E872</f>
        <v>0</v>
      </c>
      <c r="G872" s="2">
        <f>+ABS(D872)+ABS(E872)</f>
        <v>0</v>
      </c>
    </row>
    <row r="873" spans="1:7" s="15" customFormat="1" hidden="1">
      <c r="A873" s="37" t="s">
        <v>1652</v>
      </c>
      <c r="B873" s="53" t="s">
        <v>1653</v>
      </c>
      <c r="C873" s="44"/>
      <c r="D873" s="40">
        <v>0</v>
      </c>
      <c r="E873" s="40">
        <v>0</v>
      </c>
      <c r="F873" s="40">
        <f>+D873-E873</f>
        <v>0</v>
      </c>
      <c r="G873" s="2">
        <f>+ABS(D873)+ABS(E873)</f>
        <v>0</v>
      </c>
    </row>
    <row r="874" spans="1:7" s="15" customFormat="1" hidden="1">
      <c r="A874" s="37" t="s">
        <v>1654</v>
      </c>
      <c r="B874" s="53" t="s">
        <v>1655</v>
      </c>
      <c r="C874" s="44"/>
      <c r="D874" s="40">
        <v>0</v>
      </c>
      <c r="E874" s="40">
        <v>0</v>
      </c>
      <c r="F874" s="40">
        <f>+D874-E874</f>
        <v>0</v>
      </c>
      <c r="G874" s="2">
        <f>+ABS(D874)+ABS(E874)</f>
        <v>0</v>
      </c>
    </row>
    <row r="875" spans="1:7" s="15" customFormat="1" hidden="1">
      <c r="A875" s="37" t="s">
        <v>1656</v>
      </c>
      <c r="B875" s="53" t="s">
        <v>1657</v>
      </c>
      <c r="C875" s="44"/>
      <c r="D875" s="40">
        <v>0</v>
      </c>
      <c r="E875" s="40">
        <v>0</v>
      </c>
      <c r="F875" s="40">
        <f>+D875-E875</f>
        <v>0</v>
      </c>
      <c r="G875" s="2">
        <f>+ABS(D875)+ABS(E875)</f>
        <v>0</v>
      </c>
    </row>
    <row r="876" spans="1:7" s="15" customFormat="1" hidden="1">
      <c r="A876" s="37" t="s">
        <v>1658</v>
      </c>
      <c r="B876" s="53" t="s">
        <v>1659</v>
      </c>
      <c r="C876" s="44"/>
      <c r="D876" s="40">
        <v>0</v>
      </c>
      <c r="E876" s="40">
        <v>0</v>
      </c>
      <c r="F876" s="40">
        <f>+D876-E876</f>
        <v>0</v>
      </c>
      <c r="G876" s="2">
        <f>+ABS(D876)+ABS(E876)</f>
        <v>0</v>
      </c>
    </row>
    <row r="877" spans="1:7" s="15" customFormat="1" hidden="1">
      <c r="A877" s="37" t="s">
        <v>1660</v>
      </c>
      <c r="B877" s="53" t="s">
        <v>1661</v>
      </c>
      <c r="C877" s="44"/>
      <c r="D877" s="40">
        <v>0</v>
      </c>
      <c r="E877" s="40">
        <v>0</v>
      </c>
      <c r="F877" s="40">
        <f>+D877-E877</f>
        <v>0</v>
      </c>
      <c r="G877" s="2">
        <f>+ABS(D877)+ABS(E877)</f>
        <v>0</v>
      </c>
    </row>
    <row r="878" spans="1:7" s="15" customFormat="1" hidden="1">
      <c r="A878" s="37" t="s">
        <v>1662</v>
      </c>
      <c r="B878" s="53" t="s">
        <v>1663</v>
      </c>
      <c r="C878" s="44"/>
      <c r="D878" s="40">
        <v>0</v>
      </c>
      <c r="E878" s="40">
        <v>0</v>
      </c>
      <c r="F878" s="40">
        <f>+D878-E878</f>
        <v>0</v>
      </c>
      <c r="G878" s="2">
        <f>+ABS(D878)+ABS(E878)</f>
        <v>0</v>
      </c>
    </row>
    <row r="879" spans="1:7" s="15" customFormat="1" hidden="1">
      <c r="A879" s="37" t="s">
        <v>1664</v>
      </c>
      <c r="B879" s="53" t="s">
        <v>1665</v>
      </c>
      <c r="C879" s="44"/>
      <c r="D879" s="40">
        <v>0</v>
      </c>
      <c r="E879" s="40">
        <v>0</v>
      </c>
      <c r="F879" s="40">
        <f>+D879-E879</f>
        <v>0</v>
      </c>
      <c r="G879" s="2">
        <f>+ABS(D879)+ABS(E879)</f>
        <v>0</v>
      </c>
    </row>
    <row r="880" spans="1:7" s="15" customFormat="1" hidden="1">
      <c r="A880" s="37" t="s">
        <v>1666</v>
      </c>
      <c r="B880" s="53" t="s">
        <v>1667</v>
      </c>
      <c r="C880" s="44"/>
      <c r="D880" s="40">
        <v>0</v>
      </c>
      <c r="E880" s="40">
        <v>0</v>
      </c>
      <c r="F880" s="40">
        <f>+D880-E880</f>
        <v>0</v>
      </c>
      <c r="G880" s="2">
        <f>+ABS(D880)+ABS(E880)</f>
        <v>0</v>
      </c>
    </row>
    <row r="881" spans="1:7" s="15" customFormat="1" hidden="1">
      <c r="A881" s="37" t="s">
        <v>1668</v>
      </c>
      <c r="B881" s="53" t="s">
        <v>1669</v>
      </c>
      <c r="C881" s="44"/>
      <c r="D881" s="40">
        <v>0</v>
      </c>
      <c r="E881" s="40">
        <v>0</v>
      </c>
      <c r="F881" s="40">
        <f>+D881-E881</f>
        <v>0</v>
      </c>
      <c r="G881" s="2">
        <f>+ABS(D881)+ABS(E881)</f>
        <v>0</v>
      </c>
    </row>
    <row r="882" spans="1:7" s="15" customFormat="1" hidden="1">
      <c r="A882" s="37" t="s">
        <v>1670</v>
      </c>
      <c r="B882" s="53" t="s">
        <v>1671</v>
      </c>
      <c r="C882" s="44"/>
      <c r="D882" s="40">
        <v>0</v>
      </c>
      <c r="E882" s="40">
        <v>0</v>
      </c>
      <c r="F882" s="40">
        <f>+D882-E882</f>
        <v>0</v>
      </c>
      <c r="G882" s="2">
        <f>+ABS(D882)+ABS(E882)</f>
        <v>0</v>
      </c>
    </row>
    <row r="883" spans="1:7" s="15" customFormat="1" hidden="1">
      <c r="A883" s="37" t="s">
        <v>1672</v>
      </c>
      <c r="B883" s="53" t="s">
        <v>1673</v>
      </c>
      <c r="C883" s="44"/>
      <c r="D883" s="40">
        <v>0</v>
      </c>
      <c r="E883" s="40">
        <v>0</v>
      </c>
      <c r="F883" s="40">
        <f>+D883-E883</f>
        <v>0</v>
      </c>
      <c r="G883" s="2">
        <f>+ABS(D883)+ABS(E883)</f>
        <v>0</v>
      </c>
    </row>
    <row r="884" spans="1:7" s="15" customFormat="1" hidden="1">
      <c r="A884" s="37" t="s">
        <v>1674</v>
      </c>
      <c r="B884" s="53" t="s">
        <v>1675</v>
      </c>
      <c r="C884" s="44"/>
      <c r="D884" s="40">
        <v>0</v>
      </c>
      <c r="E884" s="40">
        <v>0</v>
      </c>
      <c r="F884" s="40">
        <f>+D884-E884</f>
        <v>0</v>
      </c>
      <c r="G884" s="2">
        <f>+ABS(D884)+ABS(E884)</f>
        <v>0</v>
      </c>
    </row>
    <row r="885" spans="1:7" s="15" customFormat="1" hidden="1">
      <c r="A885" s="37" t="s">
        <v>1676</v>
      </c>
      <c r="B885" s="53" t="s">
        <v>1677</v>
      </c>
      <c r="C885" s="44"/>
      <c r="D885" s="40">
        <v>0</v>
      </c>
      <c r="E885" s="40">
        <v>0</v>
      </c>
      <c r="F885" s="40">
        <f>+D885-E885</f>
        <v>0</v>
      </c>
      <c r="G885" s="2">
        <f>+ABS(D885)+ABS(E885)</f>
        <v>0</v>
      </c>
    </row>
    <row r="886" spans="1:7" s="15" customFormat="1" hidden="1">
      <c r="A886" s="37" t="s">
        <v>1678</v>
      </c>
      <c r="B886" s="53" t="s">
        <v>1679</v>
      </c>
      <c r="C886" s="44"/>
      <c r="D886" s="40">
        <v>0</v>
      </c>
      <c r="E886" s="40">
        <v>0</v>
      </c>
      <c r="F886" s="40">
        <f>+D886-E886</f>
        <v>0</v>
      </c>
      <c r="G886" s="2">
        <f>+ABS(D886)+ABS(E886)</f>
        <v>0</v>
      </c>
    </row>
    <row r="887" spans="1:7" s="15" customFormat="1" hidden="1">
      <c r="A887" s="37" t="s">
        <v>1680</v>
      </c>
      <c r="B887" s="53" t="s">
        <v>1651</v>
      </c>
      <c r="C887" s="44"/>
      <c r="D887" s="40">
        <v>0</v>
      </c>
      <c r="E887" s="40">
        <v>0</v>
      </c>
      <c r="F887" s="40">
        <f>+D887-E887</f>
        <v>0</v>
      </c>
      <c r="G887" s="2">
        <f>+ABS(D887)+ABS(E887)</f>
        <v>0</v>
      </c>
    </row>
    <row r="888" spans="1:7" s="15" customFormat="1" hidden="1">
      <c r="A888" s="37" t="s">
        <v>1681</v>
      </c>
      <c r="B888" s="53" t="s">
        <v>1682</v>
      </c>
      <c r="C888" s="44"/>
      <c r="D888" s="40">
        <v>0</v>
      </c>
      <c r="E888" s="40">
        <v>0</v>
      </c>
      <c r="F888" s="40">
        <f>+D888-E888</f>
        <v>0</v>
      </c>
      <c r="G888" s="2">
        <f>+ABS(D888)+ABS(E888)</f>
        <v>0</v>
      </c>
    </row>
    <row r="889" spans="1:7" s="15" customFormat="1" hidden="1">
      <c r="A889" s="37" t="s">
        <v>1683</v>
      </c>
      <c r="B889" s="53" t="s">
        <v>1684</v>
      </c>
      <c r="C889" s="44"/>
      <c r="D889" s="40">
        <v>0</v>
      </c>
      <c r="E889" s="40">
        <v>0</v>
      </c>
      <c r="F889" s="40">
        <f>+D889-E889</f>
        <v>0</v>
      </c>
      <c r="G889" s="2">
        <f>+ABS(D889)+ABS(E889)</f>
        <v>0</v>
      </c>
    </row>
    <row r="890" spans="1:7" s="15" customFormat="1" hidden="1">
      <c r="A890" s="37" t="s">
        <v>1685</v>
      </c>
      <c r="B890" s="53" t="s">
        <v>807</v>
      </c>
      <c r="C890" s="44"/>
      <c r="D890" s="40">
        <v>0</v>
      </c>
      <c r="E890" s="40">
        <v>0</v>
      </c>
      <c r="F890" s="40">
        <f>+D890-E890</f>
        <v>0</v>
      </c>
      <c r="G890" s="2">
        <f>+ABS(D890)+ABS(E890)</f>
        <v>0</v>
      </c>
    </row>
    <row r="891" spans="1:7" s="15" customFormat="1" hidden="1">
      <c r="A891" s="37" t="s">
        <v>1686</v>
      </c>
      <c r="B891" s="53" t="s">
        <v>1687</v>
      </c>
      <c r="C891" s="44"/>
      <c r="D891" s="40">
        <v>0</v>
      </c>
      <c r="E891" s="40">
        <v>0</v>
      </c>
      <c r="F891" s="40">
        <f>+D891-E891</f>
        <v>0</v>
      </c>
      <c r="G891" s="2">
        <f>+ABS(D891)+ABS(E891)</f>
        <v>0</v>
      </c>
    </row>
    <row r="892" spans="1:7" s="15" customFormat="1" hidden="1">
      <c r="A892" s="37" t="s">
        <v>1688</v>
      </c>
      <c r="B892" s="53" t="s">
        <v>1689</v>
      </c>
      <c r="C892" s="44"/>
      <c r="D892" s="40">
        <v>0</v>
      </c>
      <c r="E892" s="40">
        <v>0</v>
      </c>
      <c r="F892" s="40">
        <f>+D892-E892</f>
        <v>0</v>
      </c>
      <c r="G892" s="2">
        <f>+ABS(D892)+ABS(E892)</f>
        <v>0</v>
      </c>
    </row>
    <row r="893" spans="1:7" s="15" customFormat="1" hidden="1">
      <c r="A893" s="37" t="s">
        <v>1690</v>
      </c>
      <c r="B893" s="53" t="s">
        <v>1691</v>
      </c>
      <c r="C893" s="44"/>
      <c r="D893" s="40">
        <v>0</v>
      </c>
      <c r="E893" s="40">
        <v>0</v>
      </c>
      <c r="F893" s="40">
        <f>+D893-E893</f>
        <v>0</v>
      </c>
      <c r="G893" s="2">
        <f>+ABS(D893)+ABS(E893)</f>
        <v>0</v>
      </c>
    </row>
    <row r="894" spans="1:7" s="15" customFormat="1" hidden="1">
      <c r="A894" s="37" t="s">
        <v>1692</v>
      </c>
      <c r="B894" s="53" t="s">
        <v>1693</v>
      </c>
      <c r="C894" s="44"/>
      <c r="D894" s="40">
        <v>0</v>
      </c>
      <c r="E894" s="40">
        <v>0</v>
      </c>
      <c r="F894" s="40">
        <f>+D894-E894</f>
        <v>0</v>
      </c>
      <c r="G894" s="2">
        <f>+ABS(D894)+ABS(E894)</f>
        <v>0</v>
      </c>
    </row>
    <row r="895" spans="1:7" s="15" customFormat="1" hidden="1">
      <c r="A895" s="37" t="s">
        <v>1694</v>
      </c>
      <c r="B895" s="53" t="s">
        <v>1695</v>
      </c>
      <c r="C895" s="44"/>
      <c r="D895" s="40">
        <v>0</v>
      </c>
      <c r="E895" s="40">
        <v>0</v>
      </c>
      <c r="F895" s="40">
        <f>+D895-E895</f>
        <v>0</v>
      </c>
      <c r="G895" s="2">
        <f>+ABS(D895)+ABS(E895)</f>
        <v>0</v>
      </c>
    </row>
    <row r="896" spans="1:7" s="15" customFormat="1" hidden="1">
      <c r="A896" s="37" t="s">
        <v>1696</v>
      </c>
      <c r="B896" s="53" t="s">
        <v>1697</v>
      </c>
      <c r="C896" s="44"/>
      <c r="D896" s="40">
        <v>0</v>
      </c>
      <c r="E896" s="40">
        <v>0</v>
      </c>
      <c r="F896" s="40">
        <f>+D896-E896</f>
        <v>0</v>
      </c>
      <c r="G896" s="2">
        <f>+ABS(D896)+ABS(E896)</f>
        <v>0</v>
      </c>
    </row>
    <row r="897" spans="1:7" s="15" customFormat="1" hidden="1">
      <c r="A897" s="37" t="s">
        <v>1698</v>
      </c>
      <c r="B897" s="53" t="s">
        <v>1699</v>
      </c>
      <c r="C897" s="44"/>
      <c r="D897" s="40">
        <v>0</v>
      </c>
      <c r="E897" s="40">
        <v>0</v>
      </c>
      <c r="F897" s="40">
        <f>+D897-E897</f>
        <v>0</v>
      </c>
      <c r="G897" s="2">
        <f>+ABS(D897)+ABS(E897)</f>
        <v>0</v>
      </c>
    </row>
    <row r="898" spans="1:7" s="15" customFormat="1" hidden="1">
      <c r="A898" s="37" t="s">
        <v>1700</v>
      </c>
      <c r="B898" s="53" t="s">
        <v>1701</v>
      </c>
      <c r="C898" s="44"/>
      <c r="D898" s="40">
        <v>0</v>
      </c>
      <c r="E898" s="40">
        <v>0</v>
      </c>
      <c r="F898" s="40">
        <f>+D898-E898</f>
        <v>0</v>
      </c>
      <c r="G898" s="2">
        <f>+ABS(D898)+ABS(E898)</f>
        <v>0</v>
      </c>
    </row>
    <row r="899" spans="1:7" s="15" customFormat="1" hidden="1">
      <c r="A899" s="37" t="s">
        <v>1702</v>
      </c>
      <c r="B899" s="53" t="s">
        <v>1703</v>
      </c>
      <c r="C899" s="44"/>
      <c r="D899" s="40">
        <v>0</v>
      </c>
      <c r="E899" s="40">
        <v>0</v>
      </c>
      <c r="F899" s="40">
        <f>+D899-E899</f>
        <v>0</v>
      </c>
      <c r="G899" s="2">
        <f>+ABS(D899)+ABS(E899)</f>
        <v>0</v>
      </c>
    </row>
    <row r="900" spans="1:7" s="15" customFormat="1" hidden="1">
      <c r="A900" s="37" t="s">
        <v>1704</v>
      </c>
      <c r="B900" s="53" t="s">
        <v>1705</v>
      </c>
      <c r="C900" s="44"/>
      <c r="D900" s="40">
        <v>0</v>
      </c>
      <c r="E900" s="40">
        <v>0</v>
      </c>
      <c r="F900" s="40">
        <f>+D900-E900</f>
        <v>0</v>
      </c>
      <c r="G900" s="2">
        <f>+ABS(D900)+ABS(E900)</f>
        <v>0</v>
      </c>
    </row>
    <row r="901" spans="1:7" s="15" customFormat="1" hidden="1">
      <c r="A901" s="37" t="s">
        <v>1706</v>
      </c>
      <c r="B901" s="53" t="s">
        <v>1707</v>
      </c>
      <c r="C901" s="44"/>
      <c r="D901" s="40">
        <v>0</v>
      </c>
      <c r="E901" s="40">
        <v>0</v>
      </c>
      <c r="F901" s="40">
        <f>+D901-E901</f>
        <v>0</v>
      </c>
      <c r="G901" s="2">
        <f>+ABS(D901)+ABS(E901)</f>
        <v>0</v>
      </c>
    </row>
    <row r="902" spans="1:7" s="15" customFormat="1">
      <c r="A902" s="37" t="s">
        <v>1708</v>
      </c>
      <c r="B902" s="53" t="s">
        <v>1709</v>
      </c>
      <c r="C902" s="44"/>
      <c r="D902" s="40">
        <v>1728.68</v>
      </c>
      <c r="E902" s="40">
        <v>1728.68</v>
      </c>
      <c r="F902" s="40">
        <f>+D902-E902</f>
        <v>0</v>
      </c>
      <c r="G902" s="2">
        <f>+ABS(D902)+ABS(E902)</f>
        <v>3457.36</v>
      </c>
    </row>
    <row r="903" spans="1:7" s="15" customFormat="1" hidden="1">
      <c r="A903" s="37" t="s">
        <v>1710</v>
      </c>
      <c r="B903" s="53" t="s">
        <v>1711</v>
      </c>
      <c r="C903" s="44"/>
      <c r="D903" s="40">
        <v>0</v>
      </c>
      <c r="E903" s="40">
        <v>0</v>
      </c>
      <c r="F903" s="40">
        <f>+D903-E903</f>
        <v>0</v>
      </c>
      <c r="G903" s="2">
        <f>+ABS(D903)+ABS(E903)</f>
        <v>0</v>
      </c>
    </row>
    <row r="904" spans="1:7" s="15" customFormat="1" hidden="1">
      <c r="A904" s="37" t="s">
        <v>1712</v>
      </c>
      <c r="B904" s="53" t="s">
        <v>1713</v>
      </c>
      <c r="C904" s="44"/>
      <c r="D904" s="40">
        <v>0</v>
      </c>
      <c r="E904" s="40">
        <v>0</v>
      </c>
      <c r="F904" s="40">
        <f>+D904-E904</f>
        <v>0</v>
      </c>
      <c r="G904" s="2">
        <f>+ABS(D904)+ABS(E904)</f>
        <v>0</v>
      </c>
    </row>
    <row r="905" spans="1:7" s="15" customFormat="1">
      <c r="A905" s="37" t="s">
        <v>1714</v>
      </c>
      <c r="B905" s="53" t="s">
        <v>1715</v>
      </c>
      <c r="C905" s="44"/>
      <c r="D905" s="40">
        <v>1519.86</v>
      </c>
      <c r="E905" s="40">
        <v>1519.86</v>
      </c>
      <c r="F905" s="40">
        <f>+D905-E905</f>
        <v>0</v>
      </c>
      <c r="G905" s="2">
        <f>+ABS(D905)+ABS(E905)</f>
        <v>3039.72</v>
      </c>
    </row>
    <row r="906" spans="1:7" s="15" customFormat="1" hidden="1">
      <c r="A906" s="37" t="s">
        <v>1716</v>
      </c>
      <c r="B906" s="53" t="s">
        <v>1717</v>
      </c>
      <c r="C906" s="44"/>
      <c r="D906" s="40">
        <v>0</v>
      </c>
      <c r="E906" s="40">
        <v>0</v>
      </c>
      <c r="F906" s="40">
        <f>+D906-E906</f>
        <v>0</v>
      </c>
      <c r="G906" s="2">
        <f>+ABS(D906)+ABS(E906)</f>
        <v>0</v>
      </c>
    </row>
    <row r="907" spans="1:7" s="15" customFormat="1" hidden="1">
      <c r="A907" s="37" t="s">
        <v>1718</v>
      </c>
      <c r="B907" s="53" t="s">
        <v>1719</v>
      </c>
      <c r="C907" s="44"/>
      <c r="D907" s="40">
        <v>0</v>
      </c>
      <c r="E907" s="40">
        <v>0</v>
      </c>
      <c r="F907" s="40">
        <f>+D907-E907</f>
        <v>0</v>
      </c>
      <c r="G907" s="2">
        <f>+ABS(D907)+ABS(E907)</f>
        <v>0</v>
      </c>
    </row>
    <row r="908" spans="1:7" s="15" customFormat="1" hidden="1">
      <c r="A908" s="37" t="s">
        <v>1720</v>
      </c>
      <c r="B908" s="53" t="s">
        <v>1721</v>
      </c>
      <c r="C908" s="44"/>
      <c r="D908" s="40">
        <v>0</v>
      </c>
      <c r="E908" s="40">
        <v>0</v>
      </c>
      <c r="F908" s="40">
        <f>+D908-E908</f>
        <v>0</v>
      </c>
      <c r="G908" s="2">
        <f>+ABS(D908)+ABS(E908)</f>
        <v>0</v>
      </c>
    </row>
    <row r="909" spans="1:7" s="15" customFormat="1" hidden="1">
      <c r="A909" s="37" t="s">
        <v>1722</v>
      </c>
      <c r="B909" s="53" t="s">
        <v>1723</v>
      </c>
      <c r="C909" s="44"/>
      <c r="D909" s="40">
        <v>0</v>
      </c>
      <c r="E909" s="40">
        <v>0</v>
      </c>
      <c r="F909" s="40">
        <f>+D909-E909</f>
        <v>0</v>
      </c>
      <c r="G909" s="2">
        <f>+ABS(D909)+ABS(E909)</f>
        <v>0</v>
      </c>
    </row>
    <row r="910" spans="1:7" s="15" customFormat="1" hidden="1">
      <c r="A910" s="37" t="s">
        <v>1724</v>
      </c>
      <c r="B910" s="53" t="s">
        <v>1725</v>
      </c>
      <c r="C910" s="44"/>
      <c r="D910" s="40">
        <v>0</v>
      </c>
      <c r="E910" s="40">
        <v>0</v>
      </c>
      <c r="F910" s="40">
        <f>+D910-E910</f>
        <v>0</v>
      </c>
      <c r="G910" s="2">
        <f>+ABS(D910)+ABS(E910)</f>
        <v>0</v>
      </c>
    </row>
    <row r="911" spans="1:7" s="15" customFormat="1" hidden="1">
      <c r="A911" s="37" t="s">
        <v>1726</v>
      </c>
      <c r="B911" s="53" t="s">
        <v>1727</v>
      </c>
      <c r="C911" s="44"/>
      <c r="D911" s="40">
        <v>0</v>
      </c>
      <c r="E911" s="40">
        <v>0</v>
      </c>
      <c r="F911" s="40">
        <f>+D911-E911</f>
        <v>0</v>
      </c>
      <c r="G911" s="2">
        <f>+ABS(D911)+ABS(E911)</f>
        <v>0</v>
      </c>
    </row>
    <row r="912" spans="1:7" s="15" customFormat="1" hidden="1">
      <c r="A912" s="37" t="s">
        <v>1728</v>
      </c>
      <c r="B912" s="53" t="s">
        <v>1729</v>
      </c>
      <c r="C912" s="44"/>
      <c r="D912" s="40">
        <v>0</v>
      </c>
      <c r="E912" s="40">
        <v>0</v>
      </c>
      <c r="F912" s="40">
        <f>+D912-E912</f>
        <v>0</v>
      </c>
      <c r="G912" s="2">
        <f>+ABS(D912)+ABS(E912)</f>
        <v>0</v>
      </c>
    </row>
    <row r="913" spans="1:7" s="15" customFormat="1" hidden="1">
      <c r="A913" s="37" t="s">
        <v>1730</v>
      </c>
      <c r="B913" s="53" t="s">
        <v>1731</v>
      </c>
      <c r="C913" s="44"/>
      <c r="D913" s="40">
        <v>0</v>
      </c>
      <c r="E913" s="40">
        <v>0</v>
      </c>
      <c r="F913" s="40">
        <f>+D913-E913</f>
        <v>0</v>
      </c>
      <c r="G913" s="2">
        <f>+ABS(D913)+ABS(E913)</f>
        <v>0</v>
      </c>
    </row>
    <row r="914" spans="1:7" s="15" customFormat="1" hidden="1">
      <c r="A914" s="37" t="s">
        <v>1732</v>
      </c>
      <c r="B914" s="53" t="s">
        <v>1733</v>
      </c>
      <c r="C914" s="44"/>
      <c r="D914" s="40">
        <v>0</v>
      </c>
      <c r="E914" s="40">
        <v>0</v>
      </c>
      <c r="F914" s="40">
        <f>+D914-E914</f>
        <v>0</v>
      </c>
      <c r="G914" s="2">
        <f>+ABS(D914)+ABS(E914)</f>
        <v>0</v>
      </c>
    </row>
    <row r="915" spans="1:7" s="15" customFormat="1" hidden="1">
      <c r="A915" s="37" t="s">
        <v>1734</v>
      </c>
      <c r="B915" s="53" t="s">
        <v>1735</v>
      </c>
      <c r="C915" s="44"/>
      <c r="D915" s="40">
        <v>0</v>
      </c>
      <c r="E915" s="40">
        <v>0</v>
      </c>
      <c r="F915" s="40">
        <f>+D915-E915</f>
        <v>0</v>
      </c>
      <c r="G915" s="2">
        <f>+ABS(D915)+ABS(E915)</f>
        <v>0</v>
      </c>
    </row>
    <row r="916" spans="1:7" s="15" customFormat="1" hidden="1">
      <c r="A916" s="37" t="s">
        <v>1736</v>
      </c>
      <c r="B916" s="53" t="s">
        <v>1737</v>
      </c>
      <c r="C916" s="44"/>
      <c r="D916" s="40">
        <v>0</v>
      </c>
      <c r="E916" s="40">
        <v>0</v>
      </c>
      <c r="F916" s="40">
        <f>+D916-E916</f>
        <v>0</v>
      </c>
      <c r="G916" s="2">
        <f>+ABS(D916)+ABS(E916)</f>
        <v>0</v>
      </c>
    </row>
    <row r="917" spans="1:7" s="15" customFormat="1" hidden="1">
      <c r="A917" s="37" t="s">
        <v>1738</v>
      </c>
      <c r="B917" s="53" t="s">
        <v>1739</v>
      </c>
      <c r="C917" s="44"/>
      <c r="D917" s="40">
        <v>0</v>
      </c>
      <c r="E917" s="40">
        <v>0</v>
      </c>
      <c r="F917" s="40">
        <f>+D917-E917</f>
        <v>0</v>
      </c>
      <c r="G917" s="2">
        <f>+ABS(D917)+ABS(E917)</f>
        <v>0</v>
      </c>
    </row>
    <row r="918" spans="1:7" s="15" customFormat="1" hidden="1">
      <c r="A918" s="37" t="s">
        <v>1740</v>
      </c>
      <c r="B918" s="53" t="s">
        <v>1741</v>
      </c>
      <c r="C918" s="44"/>
      <c r="D918" s="40">
        <v>0</v>
      </c>
      <c r="E918" s="40">
        <v>0</v>
      </c>
      <c r="F918" s="40">
        <f>+D918-E918</f>
        <v>0</v>
      </c>
      <c r="G918" s="2">
        <f>+ABS(D918)+ABS(E918)</f>
        <v>0</v>
      </c>
    </row>
    <row r="919" spans="1:7" s="15" customFormat="1" hidden="1">
      <c r="A919" s="37" t="s">
        <v>1742</v>
      </c>
      <c r="B919" s="53" t="s">
        <v>1743</v>
      </c>
      <c r="C919" s="44"/>
      <c r="D919" s="40">
        <v>0</v>
      </c>
      <c r="E919" s="40">
        <v>0</v>
      </c>
      <c r="F919" s="40">
        <f>+D919-E919</f>
        <v>0</v>
      </c>
      <c r="G919" s="2">
        <f>+ABS(D919)+ABS(E919)</f>
        <v>0</v>
      </c>
    </row>
    <row r="920" spans="1:7" s="15" customFormat="1" hidden="1">
      <c r="A920" s="37" t="s">
        <v>1744</v>
      </c>
      <c r="B920" s="53" t="s">
        <v>1745</v>
      </c>
      <c r="C920" s="44"/>
      <c r="D920" s="40">
        <v>0</v>
      </c>
      <c r="E920" s="40">
        <v>0</v>
      </c>
      <c r="F920" s="40">
        <f>+D920-E920</f>
        <v>0</v>
      </c>
      <c r="G920" s="2">
        <f>+ABS(D920)+ABS(E920)</f>
        <v>0</v>
      </c>
    </row>
    <row r="921" spans="1:7" s="15" customFormat="1" hidden="1">
      <c r="A921" s="37" t="s">
        <v>1746</v>
      </c>
      <c r="B921" s="53" t="s">
        <v>1747</v>
      </c>
      <c r="C921" s="44"/>
      <c r="D921" s="40">
        <v>0</v>
      </c>
      <c r="E921" s="40">
        <v>0</v>
      </c>
      <c r="F921" s="40">
        <f>+D921-E921</f>
        <v>0</v>
      </c>
      <c r="G921" s="2">
        <f>+ABS(D921)+ABS(E921)</f>
        <v>0</v>
      </c>
    </row>
    <row r="922" spans="1:7" s="15" customFormat="1">
      <c r="A922" s="37" t="s">
        <v>1748</v>
      </c>
      <c r="B922" s="53" t="s">
        <v>1749</v>
      </c>
      <c r="C922" s="44"/>
      <c r="D922" s="40">
        <v>10912.7</v>
      </c>
      <c r="E922" s="40">
        <v>10912.7</v>
      </c>
      <c r="F922" s="40">
        <f>+D922-E922</f>
        <v>0</v>
      </c>
      <c r="G922" s="2">
        <f>+ABS(D922)+ABS(E922)</f>
        <v>21825.4</v>
      </c>
    </row>
    <row r="923" spans="1:7" s="15" customFormat="1" hidden="1">
      <c r="A923" s="37" t="s">
        <v>1750</v>
      </c>
      <c r="B923" s="53" t="s">
        <v>1751</v>
      </c>
      <c r="C923" s="44"/>
      <c r="D923" s="40">
        <v>0</v>
      </c>
      <c r="E923" s="40">
        <v>0</v>
      </c>
      <c r="F923" s="40">
        <f>+D923-E923</f>
        <v>0</v>
      </c>
      <c r="G923" s="2">
        <f>+ABS(D923)+ABS(E923)</f>
        <v>0</v>
      </c>
    </row>
    <row r="924" spans="1:7" s="15" customFormat="1" hidden="1">
      <c r="A924" s="37" t="s">
        <v>1752</v>
      </c>
      <c r="B924" s="53" t="s">
        <v>1753</v>
      </c>
      <c r="C924" s="44"/>
      <c r="D924" s="40">
        <v>0</v>
      </c>
      <c r="E924" s="40">
        <v>0</v>
      </c>
      <c r="F924" s="40">
        <f>+D924-E924</f>
        <v>0</v>
      </c>
      <c r="G924" s="2">
        <f>+ABS(D924)+ABS(E924)</f>
        <v>0</v>
      </c>
    </row>
    <row r="925" spans="1:7" s="15" customFormat="1" hidden="1">
      <c r="A925" s="37" t="s">
        <v>1754</v>
      </c>
      <c r="B925" s="53" t="s">
        <v>1755</v>
      </c>
      <c r="C925" s="44"/>
      <c r="D925" s="40">
        <v>0</v>
      </c>
      <c r="E925" s="40">
        <v>0</v>
      </c>
      <c r="F925" s="40">
        <f>+D925-E925</f>
        <v>0</v>
      </c>
      <c r="G925" s="2">
        <f>+ABS(D925)+ABS(E925)</f>
        <v>0</v>
      </c>
    </row>
    <row r="926" spans="1:7" s="15" customFormat="1" hidden="1">
      <c r="A926" s="37" t="s">
        <v>1756</v>
      </c>
      <c r="B926" s="53" t="s">
        <v>1757</v>
      </c>
      <c r="C926" s="44"/>
      <c r="D926" s="40">
        <v>0</v>
      </c>
      <c r="E926" s="40">
        <v>0</v>
      </c>
      <c r="F926" s="40">
        <f>+D926-E926</f>
        <v>0</v>
      </c>
      <c r="G926" s="2">
        <f>+ABS(D926)+ABS(E926)</f>
        <v>0</v>
      </c>
    </row>
    <row r="927" spans="1:7" s="15" customFormat="1" hidden="1">
      <c r="A927" s="37" t="s">
        <v>1758</v>
      </c>
      <c r="B927" s="53" t="s">
        <v>1759</v>
      </c>
      <c r="C927" s="44"/>
      <c r="D927" s="40">
        <v>0</v>
      </c>
      <c r="E927" s="40">
        <v>0</v>
      </c>
      <c r="F927" s="40">
        <f>+D927-E927</f>
        <v>0</v>
      </c>
      <c r="G927" s="2">
        <f>+ABS(D927)+ABS(E927)</f>
        <v>0</v>
      </c>
    </row>
    <row r="928" spans="1:7" s="15" customFormat="1" hidden="1">
      <c r="A928" s="37" t="s">
        <v>1760</v>
      </c>
      <c r="B928" s="53" t="s">
        <v>1761</v>
      </c>
      <c r="C928" s="44"/>
      <c r="D928" s="40">
        <v>0</v>
      </c>
      <c r="E928" s="40">
        <v>0</v>
      </c>
      <c r="F928" s="40">
        <f>+D928-E928</f>
        <v>0</v>
      </c>
      <c r="G928" s="2">
        <f>+ABS(D928)+ABS(E928)</f>
        <v>0</v>
      </c>
    </row>
    <row r="929" spans="1:7" s="15" customFormat="1" hidden="1">
      <c r="A929" s="37" t="s">
        <v>1762</v>
      </c>
      <c r="B929" s="53" t="s">
        <v>1763</v>
      </c>
      <c r="C929" s="44"/>
      <c r="D929" s="40">
        <v>0</v>
      </c>
      <c r="E929" s="40">
        <v>0</v>
      </c>
      <c r="F929" s="40">
        <f>+D929-E929</f>
        <v>0</v>
      </c>
      <c r="G929" s="2">
        <f>+ABS(D929)+ABS(E929)</f>
        <v>0</v>
      </c>
    </row>
    <row r="930" spans="1:7" s="15" customFormat="1" hidden="1">
      <c r="A930" s="37" t="s">
        <v>1764</v>
      </c>
      <c r="B930" s="53" t="s">
        <v>1765</v>
      </c>
      <c r="C930" s="44"/>
      <c r="D930" s="40">
        <v>0</v>
      </c>
      <c r="E930" s="40">
        <v>0</v>
      </c>
      <c r="F930" s="40">
        <f>+D930-E930</f>
        <v>0</v>
      </c>
      <c r="G930" s="2">
        <f>+ABS(D930)+ABS(E930)</f>
        <v>0</v>
      </c>
    </row>
    <row r="931" spans="1:7" s="15" customFormat="1" hidden="1">
      <c r="A931" s="37" t="s">
        <v>1766</v>
      </c>
      <c r="B931" s="53" t="s">
        <v>1767</v>
      </c>
      <c r="C931" s="44"/>
      <c r="D931" s="40">
        <v>0</v>
      </c>
      <c r="E931" s="40">
        <v>0</v>
      </c>
      <c r="F931" s="40">
        <f>+D931-E931</f>
        <v>0</v>
      </c>
      <c r="G931" s="2">
        <f>+ABS(D931)+ABS(E931)</f>
        <v>0</v>
      </c>
    </row>
    <row r="932" spans="1:7" s="15" customFormat="1" hidden="1">
      <c r="A932" s="37" t="s">
        <v>1768</v>
      </c>
      <c r="B932" s="53" t="s">
        <v>1769</v>
      </c>
      <c r="C932" s="44"/>
      <c r="D932" s="40">
        <v>0</v>
      </c>
      <c r="E932" s="40">
        <v>0</v>
      </c>
      <c r="F932" s="40">
        <f>+D932-E932</f>
        <v>0</v>
      </c>
      <c r="G932" s="2">
        <f>+ABS(D932)+ABS(E932)</f>
        <v>0</v>
      </c>
    </row>
    <row r="933" spans="1:7" s="15" customFormat="1" hidden="1">
      <c r="A933" s="37" t="s">
        <v>1770</v>
      </c>
      <c r="B933" s="53" t="s">
        <v>1771</v>
      </c>
      <c r="C933" s="44"/>
      <c r="D933" s="40">
        <v>0</v>
      </c>
      <c r="E933" s="40">
        <v>0</v>
      </c>
      <c r="F933" s="40">
        <f>+D933-E933</f>
        <v>0</v>
      </c>
      <c r="G933" s="2">
        <f>+ABS(D933)+ABS(E933)</f>
        <v>0</v>
      </c>
    </row>
    <row r="934" spans="1:7" s="15" customFormat="1" hidden="1">
      <c r="A934" s="37" t="s">
        <v>1772</v>
      </c>
      <c r="B934" s="53" t="s">
        <v>1773</v>
      </c>
      <c r="C934" s="44"/>
      <c r="D934" s="40">
        <v>0</v>
      </c>
      <c r="E934" s="40">
        <v>0</v>
      </c>
      <c r="F934" s="40">
        <f>+D934-E934</f>
        <v>0</v>
      </c>
      <c r="G934" s="2">
        <f>+ABS(D934)+ABS(E934)</f>
        <v>0</v>
      </c>
    </row>
    <row r="935" spans="1:7" s="15" customFormat="1" hidden="1">
      <c r="A935" s="37" t="s">
        <v>1774</v>
      </c>
      <c r="B935" s="53" t="s">
        <v>1775</v>
      </c>
      <c r="C935" s="44"/>
      <c r="D935" s="40">
        <v>0</v>
      </c>
      <c r="E935" s="40">
        <v>0</v>
      </c>
      <c r="F935" s="40">
        <f>+D935-E935</f>
        <v>0</v>
      </c>
      <c r="G935" s="2">
        <f>+ABS(D935)+ABS(E935)</f>
        <v>0</v>
      </c>
    </row>
    <row r="936" spans="1:7" s="15" customFormat="1" hidden="1">
      <c r="A936" s="37" t="s">
        <v>1776</v>
      </c>
      <c r="B936" s="53" t="s">
        <v>1777</v>
      </c>
      <c r="C936" s="44"/>
      <c r="D936" s="40">
        <v>0</v>
      </c>
      <c r="E936" s="40">
        <v>0</v>
      </c>
      <c r="F936" s="40">
        <f>+D936-E936</f>
        <v>0</v>
      </c>
      <c r="G936" s="2">
        <f>+ABS(D936)+ABS(E936)</f>
        <v>0</v>
      </c>
    </row>
    <row r="937" spans="1:7" s="15" customFormat="1" hidden="1">
      <c r="A937" s="37" t="s">
        <v>1778</v>
      </c>
      <c r="B937" s="53" t="s">
        <v>1779</v>
      </c>
      <c r="C937" s="44"/>
      <c r="D937" s="40">
        <v>0</v>
      </c>
      <c r="E937" s="40">
        <v>0</v>
      </c>
      <c r="F937" s="40">
        <f>+D937-E937</f>
        <v>0</v>
      </c>
      <c r="G937" s="2">
        <f>+ABS(D937)+ABS(E937)</f>
        <v>0</v>
      </c>
    </row>
    <row r="938" spans="1:7" s="15" customFormat="1" hidden="1">
      <c r="A938" s="37" t="s">
        <v>1780</v>
      </c>
      <c r="B938" s="53" t="s">
        <v>1781</v>
      </c>
      <c r="C938" s="44"/>
      <c r="D938" s="40">
        <v>0</v>
      </c>
      <c r="E938" s="40">
        <v>0</v>
      </c>
      <c r="F938" s="40">
        <f>+D938-E938</f>
        <v>0</v>
      </c>
      <c r="G938" s="2">
        <f>+ABS(D938)+ABS(E938)</f>
        <v>0</v>
      </c>
    </row>
    <row r="939" spans="1:7" s="15" customFormat="1" hidden="1">
      <c r="A939" s="37" t="s">
        <v>1782</v>
      </c>
      <c r="B939" s="53" t="s">
        <v>1783</v>
      </c>
      <c r="C939" s="44"/>
      <c r="D939" s="40">
        <v>0</v>
      </c>
      <c r="E939" s="40">
        <v>0</v>
      </c>
      <c r="F939" s="40">
        <f>+D939-E939</f>
        <v>0</v>
      </c>
      <c r="G939" s="2">
        <f>+ABS(D939)+ABS(E939)</f>
        <v>0</v>
      </c>
    </row>
    <row r="940" spans="1:7" s="15" customFormat="1" hidden="1">
      <c r="A940" s="37" t="s">
        <v>1784</v>
      </c>
      <c r="B940" s="53" t="s">
        <v>1785</v>
      </c>
      <c r="C940" s="44"/>
      <c r="D940" s="40">
        <v>0</v>
      </c>
      <c r="E940" s="40">
        <v>0</v>
      </c>
      <c r="F940" s="40">
        <f>+D940-E940</f>
        <v>0</v>
      </c>
      <c r="G940" s="2">
        <f>+ABS(D940)+ABS(E940)</f>
        <v>0</v>
      </c>
    </row>
    <row r="941" spans="1:7" s="15" customFormat="1" hidden="1">
      <c r="A941" s="37" t="s">
        <v>1786</v>
      </c>
      <c r="B941" s="53" t="s">
        <v>1787</v>
      </c>
      <c r="C941" s="44"/>
      <c r="D941" s="40">
        <v>0</v>
      </c>
      <c r="E941" s="40">
        <v>0</v>
      </c>
      <c r="F941" s="40">
        <f>+D941-E941</f>
        <v>0</v>
      </c>
      <c r="G941" s="2">
        <f>+ABS(D941)+ABS(E941)</f>
        <v>0</v>
      </c>
    </row>
    <row r="942" spans="1:7" s="15" customFormat="1" hidden="1">
      <c r="A942" s="37" t="s">
        <v>1788</v>
      </c>
      <c r="B942" s="53" t="s">
        <v>1789</v>
      </c>
      <c r="C942" s="44"/>
      <c r="D942" s="40">
        <v>0</v>
      </c>
      <c r="E942" s="40">
        <v>0</v>
      </c>
      <c r="F942" s="40">
        <f>+D942-E942</f>
        <v>0</v>
      </c>
      <c r="G942" s="2">
        <f>+ABS(D942)+ABS(E942)</f>
        <v>0</v>
      </c>
    </row>
    <row r="943" spans="1:7" s="15" customFormat="1" hidden="1">
      <c r="A943" s="37" t="s">
        <v>1790</v>
      </c>
      <c r="B943" s="53" t="s">
        <v>1791</v>
      </c>
      <c r="C943" s="44"/>
      <c r="D943" s="40">
        <v>0</v>
      </c>
      <c r="E943" s="40">
        <v>0</v>
      </c>
      <c r="F943" s="40">
        <f>+D943-E943</f>
        <v>0</v>
      </c>
      <c r="G943" s="2">
        <f>+ABS(D943)+ABS(E943)</f>
        <v>0</v>
      </c>
    </row>
    <row r="944" spans="1:7" s="15" customFormat="1" hidden="1">
      <c r="A944" s="37" t="s">
        <v>1792</v>
      </c>
      <c r="B944" s="53" t="s">
        <v>1793</v>
      </c>
      <c r="C944" s="44"/>
      <c r="D944" s="40">
        <v>0</v>
      </c>
      <c r="E944" s="40">
        <v>0</v>
      </c>
      <c r="F944" s="40">
        <f>+D944-E944</f>
        <v>0</v>
      </c>
      <c r="G944" s="2">
        <f>+ABS(D944)+ABS(E944)</f>
        <v>0</v>
      </c>
    </row>
    <row r="945" spans="1:7" s="15" customFormat="1" hidden="1">
      <c r="A945" s="37" t="s">
        <v>1794</v>
      </c>
      <c r="B945" s="53" t="s">
        <v>1795</v>
      </c>
      <c r="C945" s="44"/>
      <c r="D945" s="40">
        <v>0</v>
      </c>
      <c r="E945" s="40">
        <v>0</v>
      </c>
      <c r="F945" s="40">
        <f>+D945-E945</f>
        <v>0</v>
      </c>
      <c r="G945" s="2">
        <f>+ABS(D945)+ABS(E945)</f>
        <v>0</v>
      </c>
    </row>
    <row r="946" spans="1:7" s="15" customFormat="1" hidden="1">
      <c r="A946" s="37" t="s">
        <v>1796</v>
      </c>
      <c r="B946" s="53" t="s">
        <v>1797</v>
      </c>
      <c r="C946" s="44"/>
      <c r="D946" s="40">
        <v>0</v>
      </c>
      <c r="E946" s="40">
        <v>0</v>
      </c>
      <c r="F946" s="40">
        <f>+D946-E946</f>
        <v>0</v>
      </c>
      <c r="G946" s="2">
        <f>+ABS(D946)+ABS(E946)</f>
        <v>0</v>
      </c>
    </row>
    <row r="947" spans="1:7" s="15" customFormat="1" hidden="1">
      <c r="A947" s="37" t="s">
        <v>1798</v>
      </c>
      <c r="B947" s="53" t="s">
        <v>1799</v>
      </c>
      <c r="C947" s="44"/>
      <c r="D947" s="40">
        <v>0</v>
      </c>
      <c r="E947" s="40">
        <v>0</v>
      </c>
      <c r="F947" s="40">
        <f>+D947-E947</f>
        <v>0</v>
      </c>
      <c r="G947" s="2">
        <f>+ABS(D947)+ABS(E947)</f>
        <v>0</v>
      </c>
    </row>
    <row r="948" spans="1:7" s="15" customFormat="1" hidden="1">
      <c r="A948" s="37" t="s">
        <v>1800</v>
      </c>
      <c r="B948" s="53" t="s">
        <v>1801</v>
      </c>
      <c r="C948" s="44"/>
      <c r="D948" s="40">
        <v>0</v>
      </c>
      <c r="E948" s="40">
        <v>0</v>
      </c>
      <c r="F948" s="40">
        <f>+D948-E948</f>
        <v>0</v>
      </c>
      <c r="G948" s="2">
        <f>+ABS(D948)+ABS(E948)</f>
        <v>0</v>
      </c>
    </row>
    <row r="949" spans="1:7" s="15" customFormat="1" hidden="1">
      <c r="A949" s="37" t="s">
        <v>1802</v>
      </c>
      <c r="B949" s="53" t="s">
        <v>1803</v>
      </c>
      <c r="C949" s="44"/>
      <c r="D949" s="40">
        <v>0</v>
      </c>
      <c r="E949" s="40">
        <v>0</v>
      </c>
      <c r="F949" s="40">
        <f>+D949-E949</f>
        <v>0</v>
      </c>
      <c r="G949" s="2">
        <f>+ABS(D949)+ABS(E949)</f>
        <v>0</v>
      </c>
    </row>
    <row r="950" spans="1:7" s="15" customFormat="1" hidden="1">
      <c r="A950" s="37" t="s">
        <v>1804</v>
      </c>
      <c r="B950" s="53" t="s">
        <v>1805</v>
      </c>
      <c r="C950" s="44"/>
      <c r="D950" s="40">
        <v>0</v>
      </c>
      <c r="E950" s="40">
        <v>0</v>
      </c>
      <c r="F950" s="40">
        <f>+D950-E950</f>
        <v>0</v>
      </c>
      <c r="G950" s="2">
        <f>+ABS(D950)+ABS(E950)</f>
        <v>0</v>
      </c>
    </row>
    <row r="951" spans="1:7" s="15" customFormat="1" hidden="1">
      <c r="A951" s="37" t="s">
        <v>1806</v>
      </c>
      <c r="B951" s="53" t="s">
        <v>1807</v>
      </c>
      <c r="C951" s="44"/>
      <c r="D951" s="40">
        <v>0</v>
      </c>
      <c r="E951" s="40">
        <v>0</v>
      </c>
      <c r="F951" s="40">
        <f>+D951-E951</f>
        <v>0</v>
      </c>
      <c r="G951" s="2">
        <f>+ABS(D951)+ABS(E951)</f>
        <v>0</v>
      </c>
    </row>
    <row r="952" spans="1:7" s="15" customFormat="1" hidden="1">
      <c r="A952" s="37" t="s">
        <v>1808</v>
      </c>
      <c r="B952" s="53" t="s">
        <v>1809</v>
      </c>
      <c r="C952" s="44"/>
      <c r="D952" s="40">
        <v>0</v>
      </c>
      <c r="E952" s="40">
        <v>0</v>
      </c>
      <c r="F952" s="40">
        <f>+D952-E952</f>
        <v>0</v>
      </c>
      <c r="G952" s="2">
        <f>+ABS(D952)+ABS(E952)</f>
        <v>0</v>
      </c>
    </row>
    <row r="953" spans="1:7" s="15" customFormat="1" hidden="1">
      <c r="A953" s="37" t="s">
        <v>1810</v>
      </c>
      <c r="B953" s="53" t="s">
        <v>1811</v>
      </c>
      <c r="C953" s="44"/>
      <c r="D953" s="40">
        <v>0</v>
      </c>
      <c r="E953" s="40">
        <v>0</v>
      </c>
      <c r="F953" s="40">
        <f>+D953-E953</f>
        <v>0</v>
      </c>
      <c r="G953" s="2">
        <f>+ABS(D953)+ABS(E953)</f>
        <v>0</v>
      </c>
    </row>
    <row r="954" spans="1:7" s="15" customFormat="1" hidden="1">
      <c r="A954" s="37" t="s">
        <v>1812</v>
      </c>
      <c r="B954" s="53" t="s">
        <v>1813</v>
      </c>
      <c r="C954" s="44"/>
      <c r="D954" s="40">
        <v>0</v>
      </c>
      <c r="E954" s="40">
        <v>0</v>
      </c>
      <c r="F954" s="40">
        <f>+D954-E954</f>
        <v>0</v>
      </c>
      <c r="G954" s="2">
        <f>+ABS(D954)+ABS(E954)</f>
        <v>0</v>
      </c>
    </row>
    <row r="955" spans="1:7" s="15" customFormat="1" hidden="1">
      <c r="A955" s="37" t="s">
        <v>1814</v>
      </c>
      <c r="B955" s="53" t="s">
        <v>1815</v>
      </c>
      <c r="C955" s="44"/>
      <c r="D955" s="40">
        <v>0</v>
      </c>
      <c r="E955" s="40">
        <v>0</v>
      </c>
      <c r="F955" s="40">
        <f>+D955-E955</f>
        <v>0</v>
      </c>
      <c r="G955" s="2">
        <f>+ABS(D955)+ABS(E955)</f>
        <v>0</v>
      </c>
    </row>
    <row r="956" spans="1:7" s="15" customFormat="1" hidden="1">
      <c r="A956" s="37" t="s">
        <v>1816</v>
      </c>
      <c r="B956" s="53" t="s">
        <v>1817</v>
      </c>
      <c r="C956" s="44"/>
      <c r="D956" s="40">
        <v>0</v>
      </c>
      <c r="E956" s="40">
        <v>0</v>
      </c>
      <c r="F956" s="40">
        <f>+D956-E956</f>
        <v>0</v>
      </c>
      <c r="G956" s="2">
        <f>+ABS(D956)+ABS(E956)</f>
        <v>0</v>
      </c>
    </row>
    <row r="957" spans="1:7" s="15" customFormat="1" hidden="1">
      <c r="A957" s="37" t="s">
        <v>1818</v>
      </c>
      <c r="B957" s="53" t="s">
        <v>1819</v>
      </c>
      <c r="C957" s="44"/>
      <c r="D957" s="40">
        <v>0</v>
      </c>
      <c r="E957" s="40">
        <v>0</v>
      </c>
      <c r="F957" s="40">
        <f>+D957-E957</f>
        <v>0</v>
      </c>
      <c r="G957" s="2">
        <f>+ABS(D957)+ABS(E957)</f>
        <v>0</v>
      </c>
    </row>
    <row r="958" spans="1:7" s="15" customFormat="1" hidden="1">
      <c r="A958" s="37" t="s">
        <v>1820</v>
      </c>
      <c r="B958" s="53" t="s">
        <v>1821</v>
      </c>
      <c r="C958" s="44"/>
      <c r="D958" s="40">
        <v>0</v>
      </c>
      <c r="E958" s="40">
        <v>0</v>
      </c>
      <c r="F958" s="40">
        <f>+D958-E958</f>
        <v>0</v>
      </c>
      <c r="G958" s="2">
        <f>+ABS(D958)+ABS(E958)</f>
        <v>0</v>
      </c>
    </row>
    <row r="959" spans="1:7" s="15" customFormat="1" hidden="1">
      <c r="A959" s="37" t="s">
        <v>1822</v>
      </c>
      <c r="B959" s="53" t="s">
        <v>1823</v>
      </c>
      <c r="C959" s="44"/>
      <c r="D959" s="40">
        <v>0</v>
      </c>
      <c r="E959" s="40">
        <v>0</v>
      </c>
      <c r="F959" s="40">
        <f>+D959-E959</f>
        <v>0</v>
      </c>
      <c r="G959" s="2">
        <f>+ABS(D959)+ABS(E959)</f>
        <v>0</v>
      </c>
    </row>
    <row r="960" spans="1:7" s="15" customFormat="1" hidden="1">
      <c r="A960" s="37" t="s">
        <v>1824</v>
      </c>
      <c r="B960" s="53" t="s">
        <v>1825</v>
      </c>
      <c r="C960" s="44"/>
      <c r="D960" s="40">
        <v>0</v>
      </c>
      <c r="E960" s="40">
        <v>0</v>
      </c>
      <c r="F960" s="40">
        <f>+D960-E960</f>
        <v>0</v>
      </c>
      <c r="G960" s="2">
        <f>+ABS(D960)+ABS(E960)</f>
        <v>0</v>
      </c>
    </row>
    <row r="961" spans="1:7" s="15" customFormat="1" hidden="1">
      <c r="A961" s="37" t="s">
        <v>1826</v>
      </c>
      <c r="B961" s="53" t="s">
        <v>1827</v>
      </c>
      <c r="C961" s="44"/>
      <c r="D961" s="40">
        <v>0</v>
      </c>
      <c r="E961" s="40">
        <v>0</v>
      </c>
      <c r="F961" s="40">
        <f>+D961-E961</f>
        <v>0</v>
      </c>
      <c r="G961" s="2">
        <f>+ABS(D961)+ABS(E961)</f>
        <v>0</v>
      </c>
    </row>
    <row r="962" spans="1:7" s="15" customFormat="1" hidden="1">
      <c r="A962" s="37" t="s">
        <v>1828</v>
      </c>
      <c r="B962" s="53" t="s">
        <v>1829</v>
      </c>
      <c r="C962" s="44"/>
      <c r="D962" s="40">
        <v>0</v>
      </c>
      <c r="E962" s="40">
        <v>0</v>
      </c>
      <c r="F962" s="40">
        <f>+D962-E962</f>
        <v>0</v>
      </c>
      <c r="G962" s="2">
        <f>+ABS(D962)+ABS(E962)</f>
        <v>0</v>
      </c>
    </row>
    <row r="963" spans="1:7" s="15" customFormat="1" hidden="1">
      <c r="A963" s="37" t="s">
        <v>1830</v>
      </c>
      <c r="B963" s="53" t="s">
        <v>1831</v>
      </c>
      <c r="C963" s="44"/>
      <c r="D963" s="40">
        <v>0</v>
      </c>
      <c r="E963" s="40">
        <v>0</v>
      </c>
      <c r="F963" s="40">
        <f>+D963-E963</f>
        <v>0</v>
      </c>
      <c r="G963" s="2">
        <f>+ABS(D963)+ABS(E963)</f>
        <v>0</v>
      </c>
    </row>
    <row r="964" spans="1:7" s="15" customFormat="1" hidden="1">
      <c r="A964" s="37" t="s">
        <v>1832</v>
      </c>
      <c r="B964" s="53" t="s">
        <v>1833</v>
      </c>
      <c r="C964" s="44"/>
      <c r="D964" s="40">
        <v>0</v>
      </c>
      <c r="E964" s="40">
        <v>0</v>
      </c>
      <c r="F964" s="40">
        <f>+D964-E964</f>
        <v>0</v>
      </c>
      <c r="G964" s="2">
        <f>+ABS(D964)+ABS(E964)</f>
        <v>0</v>
      </c>
    </row>
    <row r="965" spans="1:7" s="15" customFormat="1" hidden="1">
      <c r="A965" s="37" t="s">
        <v>1834</v>
      </c>
      <c r="B965" s="53" t="s">
        <v>1835</v>
      </c>
      <c r="C965" s="44"/>
      <c r="D965" s="40">
        <v>0</v>
      </c>
      <c r="E965" s="40">
        <v>0</v>
      </c>
      <c r="F965" s="40">
        <f>+D965-E965</f>
        <v>0</v>
      </c>
      <c r="G965" s="2">
        <f>+ABS(D965)+ABS(E965)</f>
        <v>0</v>
      </c>
    </row>
    <row r="966" spans="1:7" s="15" customFormat="1" hidden="1">
      <c r="A966" s="37" t="s">
        <v>1836</v>
      </c>
      <c r="B966" s="53" t="s">
        <v>1837</v>
      </c>
      <c r="C966" s="44"/>
      <c r="D966" s="40">
        <v>0</v>
      </c>
      <c r="E966" s="40">
        <v>0</v>
      </c>
      <c r="F966" s="40">
        <f>+D966-E966</f>
        <v>0</v>
      </c>
      <c r="G966" s="2">
        <f>+ABS(D966)+ABS(E966)</f>
        <v>0</v>
      </c>
    </row>
    <row r="967" spans="1:7" s="15" customFormat="1" hidden="1">
      <c r="A967" s="37" t="s">
        <v>1838</v>
      </c>
      <c r="B967" s="53" t="s">
        <v>1839</v>
      </c>
      <c r="C967" s="44"/>
      <c r="D967" s="40">
        <v>0</v>
      </c>
      <c r="E967" s="40">
        <v>0</v>
      </c>
      <c r="F967" s="40">
        <f>+D967-E967</f>
        <v>0</v>
      </c>
      <c r="G967" s="2">
        <f>+ABS(D967)+ABS(E967)</f>
        <v>0</v>
      </c>
    </row>
    <row r="968" spans="1:7" s="15" customFormat="1" hidden="1">
      <c r="A968" s="37" t="s">
        <v>1840</v>
      </c>
      <c r="B968" s="53" t="s">
        <v>1841</v>
      </c>
      <c r="C968" s="44"/>
      <c r="D968" s="40">
        <v>0</v>
      </c>
      <c r="E968" s="40">
        <v>0</v>
      </c>
      <c r="F968" s="40">
        <f>+D968-E968</f>
        <v>0</v>
      </c>
      <c r="G968" s="2">
        <f>+ABS(D968)+ABS(E968)</f>
        <v>0</v>
      </c>
    </row>
    <row r="969" spans="1:7" s="15" customFormat="1" hidden="1">
      <c r="A969" s="37" t="s">
        <v>1842</v>
      </c>
      <c r="B969" s="53" t="s">
        <v>1843</v>
      </c>
      <c r="C969" s="44"/>
      <c r="D969" s="40">
        <v>0</v>
      </c>
      <c r="E969" s="40">
        <v>0</v>
      </c>
      <c r="F969" s="40">
        <f>+D969-E969</f>
        <v>0</v>
      </c>
      <c r="G969" s="2">
        <f>+ABS(D969)+ABS(E969)</f>
        <v>0</v>
      </c>
    </row>
    <row r="970" spans="1:7" s="15" customFormat="1" hidden="1">
      <c r="A970" s="37" t="s">
        <v>1844</v>
      </c>
      <c r="B970" s="53" t="s">
        <v>1845</v>
      </c>
      <c r="C970" s="44"/>
      <c r="D970" s="40">
        <v>0</v>
      </c>
      <c r="E970" s="40">
        <v>0</v>
      </c>
      <c r="F970" s="40">
        <f>+D970-E970</f>
        <v>0</v>
      </c>
      <c r="G970" s="2">
        <f>+ABS(D970)+ABS(E970)</f>
        <v>0</v>
      </c>
    </row>
    <row r="971" spans="1:7" s="15" customFormat="1" hidden="1">
      <c r="A971" s="37" t="s">
        <v>1846</v>
      </c>
      <c r="B971" s="53" t="s">
        <v>1847</v>
      </c>
      <c r="C971" s="44"/>
      <c r="D971" s="40">
        <v>0</v>
      </c>
      <c r="E971" s="40">
        <v>0</v>
      </c>
      <c r="F971" s="40">
        <f>+D971-E971</f>
        <v>0</v>
      </c>
      <c r="G971" s="2">
        <f>+ABS(D971)+ABS(E971)</f>
        <v>0</v>
      </c>
    </row>
    <row r="972" spans="1:7" s="15" customFormat="1" hidden="1">
      <c r="A972" s="37" t="s">
        <v>1848</v>
      </c>
      <c r="B972" s="53" t="s">
        <v>1849</v>
      </c>
      <c r="C972" s="44"/>
      <c r="D972" s="40">
        <v>0</v>
      </c>
      <c r="E972" s="40">
        <v>0</v>
      </c>
      <c r="F972" s="40">
        <f>+D972-E972</f>
        <v>0</v>
      </c>
      <c r="G972" s="2">
        <f>+ABS(D972)+ABS(E972)</f>
        <v>0</v>
      </c>
    </row>
    <row r="973" spans="1:7" s="15" customFormat="1" hidden="1">
      <c r="A973" s="37" t="s">
        <v>1850</v>
      </c>
      <c r="B973" s="53" t="s">
        <v>1851</v>
      </c>
      <c r="C973" s="44"/>
      <c r="D973" s="40">
        <v>0</v>
      </c>
      <c r="E973" s="40">
        <v>0</v>
      </c>
      <c r="F973" s="40">
        <f>+D973-E973</f>
        <v>0</v>
      </c>
      <c r="G973" s="2">
        <f>+ABS(D973)+ABS(E973)</f>
        <v>0</v>
      </c>
    </row>
    <row r="974" spans="1:7" s="15" customFormat="1" hidden="1">
      <c r="A974" s="37" t="s">
        <v>1852</v>
      </c>
      <c r="B974" s="53" t="s">
        <v>1853</v>
      </c>
      <c r="C974" s="44"/>
      <c r="D974" s="40">
        <v>0</v>
      </c>
      <c r="E974" s="40">
        <v>0</v>
      </c>
      <c r="F974" s="40">
        <f>+D974-E974</f>
        <v>0</v>
      </c>
      <c r="G974" s="2">
        <f>+ABS(D974)+ABS(E974)</f>
        <v>0</v>
      </c>
    </row>
    <row r="975" spans="1:7" s="15" customFormat="1" hidden="1">
      <c r="A975" s="37" t="s">
        <v>1854</v>
      </c>
      <c r="B975" s="53" t="s">
        <v>1855</v>
      </c>
      <c r="C975" s="44"/>
      <c r="D975" s="40">
        <v>0</v>
      </c>
      <c r="E975" s="40">
        <v>0</v>
      </c>
      <c r="F975" s="40">
        <f>+D975-E975</f>
        <v>0</v>
      </c>
      <c r="G975" s="2">
        <f>+ABS(D975)+ABS(E975)</f>
        <v>0</v>
      </c>
    </row>
    <row r="976" spans="1:7" s="15" customFormat="1" hidden="1">
      <c r="A976" s="37" t="s">
        <v>1856</v>
      </c>
      <c r="B976" s="53" t="s">
        <v>1857</v>
      </c>
      <c r="C976" s="44"/>
      <c r="D976" s="40">
        <v>0</v>
      </c>
      <c r="E976" s="40">
        <v>0</v>
      </c>
      <c r="F976" s="40">
        <f>+D976-E976</f>
        <v>0</v>
      </c>
      <c r="G976" s="2">
        <f>+ABS(D976)+ABS(E976)</f>
        <v>0</v>
      </c>
    </row>
    <row r="977" spans="1:7" s="15" customFormat="1" hidden="1">
      <c r="A977" s="37" t="s">
        <v>1858</v>
      </c>
      <c r="B977" s="53" t="s">
        <v>1859</v>
      </c>
      <c r="C977" s="44"/>
      <c r="D977" s="40">
        <v>0</v>
      </c>
      <c r="E977" s="40">
        <v>0</v>
      </c>
      <c r="F977" s="40">
        <f>+D977-E977</f>
        <v>0</v>
      </c>
      <c r="G977" s="2">
        <f>+ABS(D977)+ABS(E977)</f>
        <v>0</v>
      </c>
    </row>
    <row r="978" spans="1:7" s="15" customFormat="1" hidden="1">
      <c r="A978" s="37" t="s">
        <v>1860</v>
      </c>
      <c r="B978" s="53" t="s">
        <v>1861</v>
      </c>
      <c r="C978" s="44"/>
      <c r="D978" s="40">
        <v>0</v>
      </c>
      <c r="E978" s="40">
        <v>0</v>
      </c>
      <c r="F978" s="40">
        <f>+D978-E978</f>
        <v>0</v>
      </c>
      <c r="G978" s="2">
        <f>+ABS(D978)+ABS(E978)</f>
        <v>0</v>
      </c>
    </row>
    <row r="979" spans="1:7" s="15" customFormat="1" hidden="1">
      <c r="A979" s="37" t="s">
        <v>1862</v>
      </c>
      <c r="B979" s="53" t="s">
        <v>1863</v>
      </c>
      <c r="C979" s="44"/>
      <c r="D979" s="40">
        <v>0</v>
      </c>
      <c r="E979" s="40">
        <v>0</v>
      </c>
      <c r="F979" s="40">
        <f>+D979-E979</f>
        <v>0</v>
      </c>
      <c r="G979" s="2">
        <f>+ABS(D979)+ABS(E979)</f>
        <v>0</v>
      </c>
    </row>
    <row r="980" spans="1:7" s="15" customFormat="1" hidden="1">
      <c r="A980" s="37" t="s">
        <v>1864</v>
      </c>
      <c r="B980" s="53" t="s">
        <v>1865</v>
      </c>
      <c r="C980" s="44"/>
      <c r="D980" s="40">
        <v>0</v>
      </c>
      <c r="E980" s="40">
        <v>0</v>
      </c>
      <c r="F980" s="40">
        <f>+D980-E980</f>
        <v>0</v>
      </c>
      <c r="G980" s="2">
        <f>+ABS(D980)+ABS(E980)</f>
        <v>0</v>
      </c>
    </row>
    <row r="981" spans="1:7" s="15" customFormat="1" hidden="1">
      <c r="A981" s="37" t="s">
        <v>1866</v>
      </c>
      <c r="B981" s="53" t="s">
        <v>1867</v>
      </c>
      <c r="C981" s="44"/>
      <c r="D981" s="40">
        <v>0</v>
      </c>
      <c r="E981" s="40">
        <v>0</v>
      </c>
      <c r="F981" s="40">
        <f>+D981-E981</f>
        <v>0</v>
      </c>
      <c r="G981" s="2">
        <f>+ABS(D981)+ABS(E981)</f>
        <v>0</v>
      </c>
    </row>
    <row r="982" spans="1:7" s="15" customFormat="1" hidden="1">
      <c r="A982" s="37" t="s">
        <v>1868</v>
      </c>
      <c r="B982" s="53" t="s">
        <v>1867</v>
      </c>
      <c r="C982" s="44"/>
      <c r="D982" s="40">
        <v>0</v>
      </c>
      <c r="E982" s="40">
        <v>0</v>
      </c>
      <c r="F982" s="40">
        <f>+D982-E982</f>
        <v>0</v>
      </c>
      <c r="G982" s="2">
        <f>+ABS(D982)+ABS(E982)</f>
        <v>0</v>
      </c>
    </row>
    <row r="983" spans="1:7" s="15" customFormat="1" hidden="1">
      <c r="A983" s="37" t="s">
        <v>1869</v>
      </c>
      <c r="B983" s="53" t="s">
        <v>1867</v>
      </c>
      <c r="C983" s="44"/>
      <c r="D983" s="40">
        <v>0</v>
      </c>
      <c r="E983" s="40">
        <v>0</v>
      </c>
      <c r="F983" s="40">
        <f>+D983-E983</f>
        <v>0</v>
      </c>
      <c r="G983" s="2">
        <f>+ABS(D983)+ABS(E983)</f>
        <v>0</v>
      </c>
    </row>
    <row r="984" spans="1:7" s="15" customFormat="1" hidden="1">
      <c r="A984" s="37" t="s">
        <v>1870</v>
      </c>
      <c r="B984" s="53" t="s">
        <v>1871</v>
      </c>
      <c r="C984" s="44"/>
      <c r="D984" s="40">
        <v>0</v>
      </c>
      <c r="E984" s="40">
        <v>0</v>
      </c>
      <c r="F984" s="40">
        <f>+D984-E984</f>
        <v>0</v>
      </c>
      <c r="G984" s="2">
        <f>+ABS(D984)+ABS(E984)</f>
        <v>0</v>
      </c>
    </row>
    <row r="985" spans="1:7" s="15" customFormat="1" hidden="1">
      <c r="A985" s="37" t="s">
        <v>1872</v>
      </c>
      <c r="B985" s="53" t="s">
        <v>1873</v>
      </c>
      <c r="C985" s="44"/>
      <c r="D985" s="40">
        <v>0</v>
      </c>
      <c r="E985" s="40">
        <v>0</v>
      </c>
      <c r="F985" s="40">
        <f>+D985-E985</f>
        <v>0</v>
      </c>
      <c r="G985" s="2">
        <f>+ABS(D985)+ABS(E985)</f>
        <v>0</v>
      </c>
    </row>
    <row r="986" spans="1:7" s="15" customFormat="1" hidden="1">
      <c r="A986" s="37" t="s">
        <v>1874</v>
      </c>
      <c r="B986" s="53" t="s">
        <v>1875</v>
      </c>
      <c r="C986" s="44"/>
      <c r="D986" s="40">
        <v>0</v>
      </c>
      <c r="E986" s="40">
        <v>0</v>
      </c>
      <c r="F986" s="40">
        <f>+D986-E986</f>
        <v>0</v>
      </c>
      <c r="G986" s="2">
        <f>+ABS(D986)+ABS(E986)</f>
        <v>0</v>
      </c>
    </row>
    <row r="987" spans="1:7" s="15" customFormat="1" hidden="1">
      <c r="A987" s="37" t="s">
        <v>1876</v>
      </c>
      <c r="B987" s="53" t="s">
        <v>1877</v>
      </c>
      <c r="C987" s="44"/>
      <c r="D987" s="40">
        <v>0</v>
      </c>
      <c r="E987" s="40">
        <v>0</v>
      </c>
      <c r="F987" s="40">
        <f>+D987-E987</f>
        <v>0</v>
      </c>
      <c r="G987" s="2">
        <f>+ABS(D987)+ABS(E987)</f>
        <v>0</v>
      </c>
    </row>
    <row r="988" spans="1:7" s="15" customFormat="1" hidden="1">
      <c r="A988" s="37" t="s">
        <v>1878</v>
      </c>
      <c r="B988" s="53" t="s">
        <v>1879</v>
      </c>
      <c r="C988" s="44"/>
      <c r="D988" s="40">
        <v>0</v>
      </c>
      <c r="E988" s="40">
        <v>0</v>
      </c>
      <c r="F988" s="40">
        <f>+D988-E988</f>
        <v>0</v>
      </c>
      <c r="G988" s="2">
        <f>+ABS(D988)+ABS(E988)</f>
        <v>0</v>
      </c>
    </row>
    <row r="989" spans="1:7" s="15" customFormat="1" hidden="1">
      <c r="A989" s="37" t="s">
        <v>1880</v>
      </c>
      <c r="B989" s="53" t="s">
        <v>1881</v>
      </c>
      <c r="C989" s="44"/>
      <c r="D989" s="40">
        <v>0</v>
      </c>
      <c r="E989" s="40">
        <v>0</v>
      </c>
      <c r="F989" s="40">
        <f>+D989-E989</f>
        <v>0</v>
      </c>
      <c r="G989" s="2">
        <f>+ABS(D989)+ABS(E989)</f>
        <v>0</v>
      </c>
    </row>
    <row r="990" spans="1:7" s="15" customFormat="1" hidden="1">
      <c r="A990" s="37" t="s">
        <v>1882</v>
      </c>
      <c r="B990" s="53" t="s">
        <v>1883</v>
      </c>
      <c r="C990" s="44"/>
      <c r="D990" s="40">
        <v>0</v>
      </c>
      <c r="E990" s="40">
        <v>0</v>
      </c>
      <c r="F990" s="40">
        <f>+D990-E990</f>
        <v>0</v>
      </c>
      <c r="G990" s="2">
        <f>+ABS(D990)+ABS(E990)</f>
        <v>0</v>
      </c>
    </row>
    <row r="991" spans="1:7" s="15" customFormat="1" hidden="1">
      <c r="A991" s="37" t="s">
        <v>1884</v>
      </c>
      <c r="B991" s="53" t="s">
        <v>1885</v>
      </c>
      <c r="C991" s="44"/>
      <c r="D991" s="40">
        <v>0</v>
      </c>
      <c r="E991" s="40">
        <v>0</v>
      </c>
      <c r="F991" s="40">
        <f>+D991-E991</f>
        <v>0</v>
      </c>
      <c r="G991" s="2">
        <f>+ABS(D991)+ABS(E991)</f>
        <v>0</v>
      </c>
    </row>
    <row r="992" spans="1:7" s="15" customFormat="1" hidden="1">
      <c r="A992" s="37" t="s">
        <v>1886</v>
      </c>
      <c r="B992" s="53" t="s">
        <v>1887</v>
      </c>
      <c r="C992" s="44"/>
      <c r="D992" s="40">
        <v>0</v>
      </c>
      <c r="E992" s="40">
        <v>0</v>
      </c>
      <c r="F992" s="40">
        <f>+D992-E992</f>
        <v>0</v>
      </c>
      <c r="G992" s="2">
        <f>+ABS(D992)+ABS(E992)</f>
        <v>0</v>
      </c>
    </row>
    <row r="993" spans="1:7" s="15" customFormat="1" hidden="1">
      <c r="A993" s="37" t="s">
        <v>1888</v>
      </c>
      <c r="B993" s="53" t="s">
        <v>1889</v>
      </c>
      <c r="C993" s="44"/>
      <c r="D993" s="40">
        <v>0</v>
      </c>
      <c r="E993" s="40">
        <v>0</v>
      </c>
      <c r="F993" s="40">
        <f>+D993-E993</f>
        <v>0</v>
      </c>
      <c r="G993" s="2">
        <f>+ABS(D993)+ABS(E993)</f>
        <v>0</v>
      </c>
    </row>
    <row r="994" spans="1:7" s="15" customFormat="1" hidden="1">
      <c r="A994" s="37" t="s">
        <v>1890</v>
      </c>
      <c r="B994" s="53" t="s">
        <v>1891</v>
      </c>
      <c r="C994" s="44"/>
      <c r="D994" s="40">
        <v>0</v>
      </c>
      <c r="E994" s="40">
        <v>0</v>
      </c>
      <c r="F994" s="40">
        <f>+D994-E994</f>
        <v>0</v>
      </c>
      <c r="G994" s="2">
        <f>+ABS(D994)+ABS(E994)</f>
        <v>0</v>
      </c>
    </row>
    <row r="995" spans="1:7" s="15" customFormat="1" hidden="1">
      <c r="A995" s="37" t="s">
        <v>1892</v>
      </c>
      <c r="B995" s="53" t="s">
        <v>1318</v>
      </c>
      <c r="C995" s="44"/>
      <c r="D995" s="40">
        <v>0</v>
      </c>
      <c r="E995" s="40">
        <v>0</v>
      </c>
      <c r="F995" s="40">
        <f>+D995-E995</f>
        <v>0</v>
      </c>
      <c r="G995" s="2">
        <f>+ABS(D995)+ABS(E995)</f>
        <v>0</v>
      </c>
    </row>
    <row r="996" spans="1:7" s="15" customFormat="1" hidden="1">
      <c r="A996" s="37" t="s">
        <v>1893</v>
      </c>
      <c r="B996" s="53" t="s">
        <v>1894</v>
      </c>
      <c r="C996" s="44"/>
      <c r="D996" s="40">
        <v>0</v>
      </c>
      <c r="E996" s="40">
        <v>0</v>
      </c>
      <c r="F996" s="40">
        <f>+D996-E996</f>
        <v>0</v>
      </c>
      <c r="G996" s="2">
        <f>+ABS(D996)+ABS(E996)</f>
        <v>0</v>
      </c>
    </row>
    <row r="997" spans="1:7" s="15" customFormat="1" hidden="1">
      <c r="A997" s="37" t="s">
        <v>1895</v>
      </c>
      <c r="B997" s="53" t="s">
        <v>1896</v>
      </c>
      <c r="C997" s="44"/>
      <c r="D997" s="40">
        <v>0</v>
      </c>
      <c r="E997" s="40">
        <v>0</v>
      </c>
      <c r="F997" s="40">
        <f>+D997-E997</f>
        <v>0</v>
      </c>
      <c r="G997" s="2">
        <f>+ABS(D997)+ABS(E997)</f>
        <v>0</v>
      </c>
    </row>
    <row r="998" spans="1:7" s="15" customFormat="1" hidden="1">
      <c r="A998" s="37" t="s">
        <v>1897</v>
      </c>
      <c r="B998" s="53" t="s">
        <v>1898</v>
      </c>
      <c r="C998" s="44"/>
      <c r="D998" s="40">
        <v>0</v>
      </c>
      <c r="E998" s="40">
        <v>0</v>
      </c>
      <c r="F998" s="40">
        <f>+D998-E998</f>
        <v>0</v>
      </c>
      <c r="G998" s="2">
        <f>+ABS(D998)+ABS(E998)</f>
        <v>0</v>
      </c>
    </row>
    <row r="999" spans="1:7" s="15" customFormat="1" hidden="1">
      <c r="A999" s="37" t="s">
        <v>1899</v>
      </c>
      <c r="B999" s="53" t="s">
        <v>1900</v>
      </c>
      <c r="C999" s="44"/>
      <c r="D999" s="40">
        <v>0</v>
      </c>
      <c r="E999" s="40">
        <v>0</v>
      </c>
      <c r="F999" s="40">
        <f>+D999-E999</f>
        <v>0</v>
      </c>
      <c r="G999" s="2">
        <f>+ABS(D999)+ABS(E999)</f>
        <v>0</v>
      </c>
    </row>
    <row r="1000" spans="1:7" s="15" customFormat="1" hidden="1">
      <c r="A1000" s="37" t="s">
        <v>1901</v>
      </c>
      <c r="B1000" s="53" t="s">
        <v>1902</v>
      </c>
      <c r="C1000" s="44"/>
      <c r="D1000" s="40">
        <v>0</v>
      </c>
      <c r="E1000" s="40">
        <v>0</v>
      </c>
      <c r="F1000" s="40">
        <f>+D1000-E1000</f>
        <v>0</v>
      </c>
      <c r="G1000" s="2">
        <f>+ABS(D1000)+ABS(E1000)</f>
        <v>0</v>
      </c>
    </row>
    <row r="1001" spans="1:7" s="15" customFormat="1" hidden="1">
      <c r="A1001" s="37" t="s">
        <v>1903</v>
      </c>
      <c r="B1001" s="53" t="s">
        <v>1904</v>
      </c>
      <c r="C1001" s="44"/>
      <c r="D1001" s="40">
        <v>0</v>
      </c>
      <c r="E1001" s="40">
        <v>0</v>
      </c>
      <c r="F1001" s="40">
        <f>+D1001-E1001</f>
        <v>0</v>
      </c>
      <c r="G1001" s="2">
        <f>+ABS(D1001)+ABS(E1001)</f>
        <v>0</v>
      </c>
    </row>
    <row r="1002" spans="1:7" s="15" customFormat="1" hidden="1">
      <c r="A1002" s="37" t="s">
        <v>1905</v>
      </c>
      <c r="B1002" s="53" t="s">
        <v>1906</v>
      </c>
      <c r="C1002" s="44"/>
      <c r="D1002" s="40">
        <v>0</v>
      </c>
      <c r="E1002" s="40">
        <v>0</v>
      </c>
      <c r="F1002" s="40">
        <f>+D1002-E1002</f>
        <v>0</v>
      </c>
      <c r="G1002" s="2">
        <f>+ABS(D1002)+ABS(E1002)</f>
        <v>0</v>
      </c>
    </row>
    <row r="1003" spans="1:7" s="15" customFormat="1" hidden="1">
      <c r="A1003" s="37" t="s">
        <v>1907</v>
      </c>
      <c r="B1003" s="53" t="s">
        <v>1908</v>
      </c>
      <c r="C1003" s="44"/>
      <c r="D1003" s="40">
        <v>0</v>
      </c>
      <c r="E1003" s="40">
        <v>0</v>
      </c>
      <c r="F1003" s="40">
        <f>+D1003-E1003</f>
        <v>0</v>
      </c>
      <c r="G1003" s="2">
        <f>+ABS(D1003)+ABS(E1003)</f>
        <v>0</v>
      </c>
    </row>
    <row r="1004" spans="1:7" s="15" customFormat="1" hidden="1">
      <c r="A1004" s="37" t="s">
        <v>1909</v>
      </c>
      <c r="B1004" s="53" t="s">
        <v>1910</v>
      </c>
      <c r="C1004" s="44"/>
      <c r="D1004" s="40">
        <v>0</v>
      </c>
      <c r="E1004" s="40">
        <v>0</v>
      </c>
      <c r="F1004" s="40">
        <f>+D1004-E1004</f>
        <v>0</v>
      </c>
      <c r="G1004" s="2">
        <f>+ABS(D1004)+ABS(E1004)</f>
        <v>0</v>
      </c>
    </row>
    <row r="1005" spans="1:7" s="15" customFormat="1" hidden="1">
      <c r="A1005" s="37" t="s">
        <v>1911</v>
      </c>
      <c r="B1005" s="53" t="s">
        <v>1912</v>
      </c>
      <c r="C1005" s="44"/>
      <c r="D1005" s="40">
        <v>0</v>
      </c>
      <c r="E1005" s="40">
        <v>0</v>
      </c>
      <c r="F1005" s="40">
        <f>+D1005-E1005</f>
        <v>0</v>
      </c>
      <c r="G1005" s="2">
        <f>+ABS(D1005)+ABS(E1005)</f>
        <v>0</v>
      </c>
    </row>
    <row r="1006" spans="1:7" s="15" customFormat="1" hidden="1">
      <c r="A1006" s="37" t="s">
        <v>1913</v>
      </c>
      <c r="B1006" s="53" t="s">
        <v>1914</v>
      </c>
      <c r="C1006" s="44"/>
      <c r="D1006" s="40">
        <v>0</v>
      </c>
      <c r="E1006" s="40">
        <v>0</v>
      </c>
      <c r="F1006" s="40">
        <f>+D1006-E1006</f>
        <v>0</v>
      </c>
      <c r="G1006" s="2">
        <f>+ABS(D1006)+ABS(E1006)</f>
        <v>0</v>
      </c>
    </row>
    <row r="1007" spans="1:7" s="15" customFormat="1" hidden="1">
      <c r="A1007" s="37" t="s">
        <v>1915</v>
      </c>
      <c r="B1007" s="53" t="s">
        <v>1916</v>
      </c>
      <c r="C1007" s="44"/>
      <c r="D1007" s="40">
        <v>0</v>
      </c>
      <c r="E1007" s="40">
        <v>0</v>
      </c>
      <c r="F1007" s="40">
        <f>+D1007-E1007</f>
        <v>0</v>
      </c>
      <c r="G1007" s="2">
        <f>+ABS(D1007)+ABS(E1007)</f>
        <v>0</v>
      </c>
    </row>
    <row r="1008" spans="1:7" s="15" customFormat="1" hidden="1">
      <c r="A1008" s="37" t="s">
        <v>1917</v>
      </c>
      <c r="B1008" s="53" t="s">
        <v>1918</v>
      </c>
      <c r="C1008" s="44"/>
      <c r="D1008" s="40">
        <v>0</v>
      </c>
      <c r="E1008" s="40">
        <v>0</v>
      </c>
      <c r="F1008" s="40">
        <f>+D1008-E1008</f>
        <v>0</v>
      </c>
      <c r="G1008" s="2">
        <f>+ABS(D1008)+ABS(E1008)</f>
        <v>0</v>
      </c>
    </row>
    <row r="1009" spans="1:7" s="15" customFormat="1" hidden="1">
      <c r="A1009" s="37" t="s">
        <v>1919</v>
      </c>
      <c r="B1009" s="53" t="s">
        <v>1920</v>
      </c>
      <c r="C1009" s="44"/>
      <c r="D1009" s="40">
        <v>0</v>
      </c>
      <c r="E1009" s="40">
        <v>0</v>
      </c>
      <c r="F1009" s="40">
        <f>+D1009-E1009</f>
        <v>0</v>
      </c>
      <c r="G1009" s="2">
        <f>+ABS(D1009)+ABS(E1009)</f>
        <v>0</v>
      </c>
    </row>
    <row r="1010" spans="1:7" s="15" customFormat="1" hidden="1">
      <c r="A1010" s="37" t="s">
        <v>1921</v>
      </c>
      <c r="B1010" s="53" t="s">
        <v>1922</v>
      </c>
      <c r="C1010" s="44"/>
      <c r="D1010" s="40">
        <v>0</v>
      </c>
      <c r="E1010" s="40">
        <v>0</v>
      </c>
      <c r="F1010" s="40">
        <f>+D1010-E1010</f>
        <v>0</v>
      </c>
      <c r="G1010" s="2">
        <f>+ABS(D1010)+ABS(E1010)</f>
        <v>0</v>
      </c>
    </row>
    <row r="1011" spans="1:7" s="15" customFormat="1" hidden="1">
      <c r="A1011" s="37" t="s">
        <v>1923</v>
      </c>
      <c r="B1011" s="53" t="s">
        <v>1924</v>
      </c>
      <c r="C1011" s="44"/>
      <c r="D1011" s="40">
        <v>0</v>
      </c>
      <c r="E1011" s="40">
        <v>0</v>
      </c>
      <c r="F1011" s="40">
        <f>+D1011-E1011</f>
        <v>0</v>
      </c>
      <c r="G1011" s="2">
        <f>+ABS(D1011)+ABS(E1011)</f>
        <v>0</v>
      </c>
    </row>
    <row r="1012" spans="1:7" s="15" customFormat="1" hidden="1">
      <c r="A1012" s="37" t="s">
        <v>1925</v>
      </c>
      <c r="B1012" s="53" t="s">
        <v>1926</v>
      </c>
      <c r="C1012" s="44"/>
      <c r="D1012" s="40">
        <v>0</v>
      </c>
      <c r="E1012" s="40">
        <v>0</v>
      </c>
      <c r="F1012" s="40">
        <f>+D1012-E1012</f>
        <v>0</v>
      </c>
      <c r="G1012" s="2">
        <f>+ABS(D1012)+ABS(E1012)</f>
        <v>0</v>
      </c>
    </row>
    <row r="1013" spans="1:7" s="15" customFormat="1" hidden="1">
      <c r="A1013" s="37" t="s">
        <v>1927</v>
      </c>
      <c r="B1013" s="53" t="s">
        <v>1928</v>
      </c>
      <c r="C1013" s="44"/>
      <c r="D1013" s="40">
        <v>0</v>
      </c>
      <c r="E1013" s="40">
        <v>0</v>
      </c>
      <c r="F1013" s="40">
        <f>+D1013-E1013</f>
        <v>0</v>
      </c>
      <c r="G1013" s="2">
        <f>+ABS(D1013)+ABS(E1013)</f>
        <v>0</v>
      </c>
    </row>
    <row r="1014" spans="1:7" s="15" customFormat="1" hidden="1">
      <c r="A1014" s="37" t="s">
        <v>1929</v>
      </c>
      <c r="B1014" s="53" t="s">
        <v>1930</v>
      </c>
      <c r="C1014" s="44"/>
      <c r="D1014" s="40">
        <v>0</v>
      </c>
      <c r="E1014" s="40">
        <v>0</v>
      </c>
      <c r="F1014" s="40">
        <f>+D1014-E1014</f>
        <v>0</v>
      </c>
      <c r="G1014" s="2">
        <f>+ABS(D1014)+ABS(E1014)</f>
        <v>0</v>
      </c>
    </row>
    <row r="1015" spans="1:7" s="15" customFormat="1" hidden="1">
      <c r="A1015" s="37" t="s">
        <v>1931</v>
      </c>
      <c r="B1015" s="53" t="s">
        <v>1932</v>
      </c>
      <c r="C1015" s="44"/>
      <c r="D1015" s="40">
        <v>0</v>
      </c>
      <c r="E1015" s="40">
        <v>0</v>
      </c>
      <c r="F1015" s="40">
        <f>+D1015-E1015</f>
        <v>0</v>
      </c>
      <c r="G1015" s="2">
        <f>+ABS(D1015)+ABS(E1015)</f>
        <v>0</v>
      </c>
    </row>
    <row r="1016" spans="1:7" s="15" customFormat="1" hidden="1">
      <c r="A1016" s="37" t="s">
        <v>1933</v>
      </c>
      <c r="B1016" s="53" t="s">
        <v>1934</v>
      </c>
      <c r="C1016" s="44"/>
      <c r="D1016" s="40">
        <v>0</v>
      </c>
      <c r="E1016" s="40">
        <v>0</v>
      </c>
      <c r="F1016" s="40">
        <f>+D1016-E1016</f>
        <v>0</v>
      </c>
      <c r="G1016" s="2">
        <f>+ABS(D1016)+ABS(E1016)</f>
        <v>0</v>
      </c>
    </row>
    <row r="1017" spans="1:7" s="15" customFormat="1" hidden="1">
      <c r="A1017" s="37" t="s">
        <v>1935</v>
      </c>
      <c r="B1017" s="53" t="s">
        <v>1936</v>
      </c>
      <c r="C1017" s="44"/>
      <c r="D1017" s="40">
        <v>0</v>
      </c>
      <c r="E1017" s="40">
        <v>0</v>
      </c>
      <c r="F1017" s="40">
        <f>+D1017-E1017</f>
        <v>0</v>
      </c>
      <c r="G1017" s="2">
        <f>+ABS(D1017)+ABS(E1017)</f>
        <v>0</v>
      </c>
    </row>
    <row r="1018" spans="1:7" s="15" customFormat="1" hidden="1">
      <c r="A1018" s="37" t="s">
        <v>1937</v>
      </c>
      <c r="B1018" s="53" t="s">
        <v>1938</v>
      </c>
      <c r="C1018" s="44"/>
      <c r="D1018" s="40">
        <v>0</v>
      </c>
      <c r="E1018" s="40">
        <v>0</v>
      </c>
      <c r="F1018" s="40">
        <f>+D1018-E1018</f>
        <v>0</v>
      </c>
      <c r="G1018" s="2">
        <f>+ABS(D1018)+ABS(E1018)</f>
        <v>0</v>
      </c>
    </row>
    <row r="1019" spans="1:7" s="15" customFormat="1" hidden="1">
      <c r="A1019" s="37" t="s">
        <v>1939</v>
      </c>
      <c r="B1019" s="53" t="s">
        <v>1940</v>
      </c>
      <c r="C1019" s="44"/>
      <c r="D1019" s="40">
        <v>0</v>
      </c>
      <c r="E1019" s="40">
        <v>0</v>
      </c>
      <c r="F1019" s="40">
        <f>+D1019-E1019</f>
        <v>0</v>
      </c>
      <c r="G1019" s="2">
        <f>+ABS(D1019)+ABS(E1019)</f>
        <v>0</v>
      </c>
    </row>
    <row r="1020" spans="1:7" s="15" customFormat="1" hidden="1">
      <c r="A1020" s="37" t="s">
        <v>1941</v>
      </c>
      <c r="B1020" s="53" t="s">
        <v>1942</v>
      </c>
      <c r="C1020" s="44"/>
      <c r="D1020" s="40">
        <v>0</v>
      </c>
      <c r="E1020" s="40">
        <v>0</v>
      </c>
      <c r="F1020" s="40">
        <f>+D1020-E1020</f>
        <v>0</v>
      </c>
      <c r="G1020" s="2">
        <f>+ABS(D1020)+ABS(E1020)</f>
        <v>0</v>
      </c>
    </row>
    <row r="1021" spans="1:7" s="15" customFormat="1" hidden="1">
      <c r="A1021" s="37" t="s">
        <v>1943</v>
      </c>
      <c r="B1021" s="53" t="s">
        <v>1944</v>
      </c>
      <c r="C1021" s="44"/>
      <c r="D1021" s="40">
        <v>0</v>
      </c>
      <c r="E1021" s="40">
        <v>0</v>
      </c>
      <c r="F1021" s="40">
        <f>+D1021-E1021</f>
        <v>0</v>
      </c>
      <c r="G1021" s="2">
        <f>+ABS(D1021)+ABS(E1021)</f>
        <v>0</v>
      </c>
    </row>
    <row r="1022" spans="1:7" s="15" customFormat="1" hidden="1">
      <c r="A1022" s="37" t="s">
        <v>1945</v>
      </c>
      <c r="B1022" s="53" t="s">
        <v>1946</v>
      </c>
      <c r="C1022" s="44"/>
      <c r="D1022" s="40">
        <v>0</v>
      </c>
      <c r="E1022" s="40">
        <v>0</v>
      </c>
      <c r="F1022" s="40">
        <f>+D1022-E1022</f>
        <v>0</v>
      </c>
      <c r="G1022" s="2">
        <f>+ABS(D1022)+ABS(E1022)</f>
        <v>0</v>
      </c>
    </row>
    <row r="1023" spans="1:7" s="15" customFormat="1" hidden="1">
      <c r="A1023" s="37" t="s">
        <v>1947</v>
      </c>
      <c r="B1023" s="53" t="s">
        <v>1948</v>
      </c>
      <c r="C1023" s="44"/>
      <c r="D1023" s="40">
        <v>0</v>
      </c>
      <c r="E1023" s="40">
        <v>0</v>
      </c>
      <c r="F1023" s="40">
        <f>+D1023-E1023</f>
        <v>0</v>
      </c>
      <c r="G1023" s="2">
        <f>+ABS(D1023)+ABS(E1023)</f>
        <v>0</v>
      </c>
    </row>
    <row r="1024" spans="1:7" s="15" customFormat="1" hidden="1">
      <c r="A1024" s="37" t="s">
        <v>1949</v>
      </c>
      <c r="B1024" s="53" t="s">
        <v>1950</v>
      </c>
      <c r="C1024" s="44"/>
      <c r="D1024" s="40">
        <v>0</v>
      </c>
      <c r="E1024" s="40">
        <v>0</v>
      </c>
      <c r="F1024" s="40">
        <f>+D1024-E1024</f>
        <v>0</v>
      </c>
      <c r="G1024" s="2">
        <f>+ABS(D1024)+ABS(E1024)</f>
        <v>0</v>
      </c>
    </row>
    <row r="1025" spans="1:7" s="15" customFormat="1" hidden="1">
      <c r="A1025" s="37" t="s">
        <v>1951</v>
      </c>
      <c r="B1025" s="53" t="s">
        <v>1952</v>
      </c>
      <c r="C1025" s="44"/>
      <c r="D1025" s="40">
        <v>0</v>
      </c>
      <c r="E1025" s="40">
        <v>0</v>
      </c>
      <c r="F1025" s="40">
        <f>+D1025-E1025</f>
        <v>0</v>
      </c>
      <c r="G1025" s="2">
        <f>+ABS(D1025)+ABS(E1025)</f>
        <v>0</v>
      </c>
    </row>
    <row r="1026" spans="1:7" s="15" customFormat="1" hidden="1">
      <c r="A1026" s="37" t="s">
        <v>1953</v>
      </c>
      <c r="B1026" s="53" t="s">
        <v>1954</v>
      </c>
      <c r="C1026" s="44"/>
      <c r="D1026" s="40">
        <v>0</v>
      </c>
      <c r="E1026" s="40">
        <v>0</v>
      </c>
      <c r="F1026" s="40">
        <f>+D1026-E1026</f>
        <v>0</v>
      </c>
      <c r="G1026" s="2">
        <f>+ABS(D1026)+ABS(E1026)</f>
        <v>0</v>
      </c>
    </row>
    <row r="1027" spans="1:7" s="15" customFormat="1" hidden="1">
      <c r="A1027" s="37" t="s">
        <v>1955</v>
      </c>
      <c r="B1027" s="53" t="s">
        <v>1956</v>
      </c>
      <c r="C1027" s="44"/>
      <c r="D1027" s="40">
        <v>0</v>
      </c>
      <c r="E1027" s="40">
        <v>0</v>
      </c>
      <c r="F1027" s="40">
        <f>+D1027-E1027</f>
        <v>0</v>
      </c>
      <c r="G1027" s="2">
        <f>+ABS(D1027)+ABS(E1027)</f>
        <v>0</v>
      </c>
    </row>
    <row r="1028" spans="1:7" s="15" customFormat="1" hidden="1">
      <c r="A1028" s="37" t="s">
        <v>1957</v>
      </c>
      <c r="B1028" s="53" t="s">
        <v>1958</v>
      </c>
      <c r="C1028" s="44"/>
      <c r="D1028" s="40">
        <v>0</v>
      </c>
      <c r="E1028" s="40">
        <v>0</v>
      </c>
      <c r="F1028" s="40">
        <f>+D1028-E1028</f>
        <v>0</v>
      </c>
      <c r="G1028" s="2">
        <f>+ABS(D1028)+ABS(E1028)</f>
        <v>0</v>
      </c>
    </row>
    <row r="1029" spans="1:7" s="15" customFormat="1" hidden="1">
      <c r="A1029" s="37" t="s">
        <v>1959</v>
      </c>
      <c r="B1029" s="53" t="s">
        <v>1960</v>
      </c>
      <c r="C1029" s="44"/>
      <c r="D1029" s="40">
        <v>0</v>
      </c>
      <c r="E1029" s="40">
        <v>0</v>
      </c>
      <c r="F1029" s="40">
        <f>+D1029-E1029</f>
        <v>0</v>
      </c>
      <c r="G1029" s="2">
        <f>+ABS(D1029)+ABS(E1029)</f>
        <v>0</v>
      </c>
    </row>
    <row r="1030" spans="1:7" s="15" customFormat="1" hidden="1">
      <c r="A1030" s="37" t="s">
        <v>1961</v>
      </c>
      <c r="B1030" s="53" t="s">
        <v>1962</v>
      </c>
      <c r="C1030" s="44"/>
      <c r="D1030" s="40">
        <v>0</v>
      </c>
      <c r="E1030" s="40">
        <v>0</v>
      </c>
      <c r="F1030" s="40">
        <f>+D1030-E1030</f>
        <v>0</v>
      </c>
      <c r="G1030" s="2">
        <f>+ABS(D1030)+ABS(E1030)</f>
        <v>0</v>
      </c>
    </row>
    <row r="1031" spans="1:7" s="15" customFormat="1" hidden="1">
      <c r="A1031" s="37" t="s">
        <v>1963</v>
      </c>
      <c r="B1031" s="53" t="s">
        <v>1964</v>
      </c>
      <c r="C1031" s="44"/>
      <c r="D1031" s="40">
        <v>0</v>
      </c>
      <c r="E1031" s="40">
        <v>0</v>
      </c>
      <c r="F1031" s="40">
        <f>+D1031-E1031</f>
        <v>0</v>
      </c>
      <c r="G1031" s="2">
        <f>+ABS(D1031)+ABS(E1031)</f>
        <v>0</v>
      </c>
    </row>
    <row r="1032" spans="1:7" s="15" customFormat="1" hidden="1">
      <c r="A1032" s="37" t="s">
        <v>1965</v>
      </c>
      <c r="B1032" s="53" t="s">
        <v>1966</v>
      </c>
      <c r="C1032" s="44"/>
      <c r="D1032" s="40">
        <v>0</v>
      </c>
      <c r="E1032" s="40">
        <v>0</v>
      </c>
      <c r="F1032" s="40">
        <f>+D1032-E1032</f>
        <v>0</v>
      </c>
      <c r="G1032" s="2">
        <f>+ABS(D1032)+ABS(E1032)</f>
        <v>0</v>
      </c>
    </row>
    <row r="1033" spans="1:7" s="15" customFormat="1" hidden="1">
      <c r="A1033" s="37" t="s">
        <v>1967</v>
      </c>
      <c r="B1033" s="53" t="s">
        <v>1968</v>
      </c>
      <c r="C1033" s="44"/>
      <c r="D1033" s="40">
        <v>0</v>
      </c>
      <c r="E1033" s="40">
        <v>0</v>
      </c>
      <c r="F1033" s="40">
        <f>+D1033-E1033</f>
        <v>0</v>
      </c>
      <c r="G1033" s="2">
        <f>+ABS(D1033)+ABS(E1033)</f>
        <v>0</v>
      </c>
    </row>
    <row r="1034" spans="1:7" s="15" customFormat="1" hidden="1">
      <c r="A1034" s="37" t="s">
        <v>1969</v>
      </c>
      <c r="B1034" s="53" t="s">
        <v>1970</v>
      </c>
      <c r="C1034" s="44"/>
      <c r="D1034" s="40">
        <v>0</v>
      </c>
      <c r="E1034" s="40">
        <v>0</v>
      </c>
      <c r="F1034" s="40">
        <f>+D1034-E1034</f>
        <v>0</v>
      </c>
      <c r="G1034" s="2">
        <f>+ABS(D1034)+ABS(E1034)</f>
        <v>0</v>
      </c>
    </row>
    <row r="1035" spans="1:7" s="15" customFormat="1" hidden="1">
      <c r="A1035" s="37" t="s">
        <v>1971</v>
      </c>
      <c r="B1035" s="53" t="s">
        <v>1972</v>
      </c>
      <c r="C1035" s="44"/>
      <c r="D1035" s="40">
        <v>0</v>
      </c>
      <c r="E1035" s="40">
        <v>0</v>
      </c>
      <c r="F1035" s="40">
        <f>+D1035-E1035</f>
        <v>0</v>
      </c>
      <c r="G1035" s="2">
        <f>+ABS(D1035)+ABS(E1035)</f>
        <v>0</v>
      </c>
    </row>
    <row r="1036" spans="1:7" s="15" customFormat="1" hidden="1">
      <c r="A1036" s="37" t="s">
        <v>1973</v>
      </c>
      <c r="B1036" s="53" t="s">
        <v>1974</v>
      </c>
      <c r="C1036" s="44"/>
      <c r="D1036" s="40">
        <v>0</v>
      </c>
      <c r="E1036" s="40">
        <v>0</v>
      </c>
      <c r="F1036" s="40">
        <f>+D1036-E1036</f>
        <v>0</v>
      </c>
      <c r="G1036" s="2">
        <f>+ABS(D1036)+ABS(E1036)</f>
        <v>0</v>
      </c>
    </row>
    <row r="1037" spans="1:7" s="15" customFormat="1" hidden="1">
      <c r="A1037" s="37" t="s">
        <v>1975</v>
      </c>
      <c r="B1037" s="53" t="s">
        <v>1321</v>
      </c>
      <c r="C1037" s="44"/>
      <c r="D1037" s="40">
        <v>0</v>
      </c>
      <c r="E1037" s="40">
        <v>0</v>
      </c>
      <c r="F1037" s="40">
        <f>+D1037-E1037</f>
        <v>0</v>
      </c>
      <c r="G1037" s="2">
        <f>+ABS(D1037)+ABS(E1037)</f>
        <v>0</v>
      </c>
    </row>
    <row r="1038" spans="1:7" s="15" customFormat="1" hidden="1">
      <c r="A1038" s="37" t="s">
        <v>1976</v>
      </c>
      <c r="B1038" s="53" t="s">
        <v>1977</v>
      </c>
      <c r="C1038" s="44"/>
      <c r="D1038" s="40">
        <v>0</v>
      </c>
      <c r="E1038" s="40">
        <v>0</v>
      </c>
      <c r="F1038" s="40">
        <f>+D1038-E1038</f>
        <v>0</v>
      </c>
      <c r="G1038" s="2">
        <f>+ABS(D1038)+ABS(E1038)</f>
        <v>0</v>
      </c>
    </row>
    <row r="1039" spans="1:7" s="15" customFormat="1" hidden="1">
      <c r="A1039" s="37" t="s">
        <v>1978</v>
      </c>
      <c r="B1039" s="53" t="s">
        <v>1979</v>
      </c>
      <c r="C1039" s="44"/>
      <c r="D1039" s="40">
        <v>0</v>
      </c>
      <c r="E1039" s="40">
        <v>0</v>
      </c>
      <c r="F1039" s="40">
        <f>+D1039-E1039</f>
        <v>0</v>
      </c>
      <c r="G1039" s="2">
        <f>+ABS(D1039)+ABS(E1039)</f>
        <v>0</v>
      </c>
    </row>
    <row r="1040" spans="1:7" s="15" customFormat="1" hidden="1">
      <c r="A1040" s="37" t="s">
        <v>1980</v>
      </c>
      <c r="B1040" s="53" t="s">
        <v>1981</v>
      </c>
      <c r="C1040" s="44"/>
      <c r="D1040" s="40">
        <v>0</v>
      </c>
      <c r="E1040" s="40">
        <v>0</v>
      </c>
      <c r="F1040" s="40">
        <f>+D1040-E1040</f>
        <v>0</v>
      </c>
      <c r="G1040" s="2">
        <f>+ABS(D1040)+ABS(E1040)</f>
        <v>0</v>
      </c>
    </row>
    <row r="1041" spans="1:7" s="15" customFormat="1" hidden="1">
      <c r="A1041" s="37" t="s">
        <v>1982</v>
      </c>
      <c r="B1041" s="53" t="s">
        <v>1983</v>
      </c>
      <c r="C1041" s="44"/>
      <c r="D1041" s="40">
        <v>0</v>
      </c>
      <c r="E1041" s="40">
        <v>0</v>
      </c>
      <c r="F1041" s="40">
        <f>+D1041-E1041</f>
        <v>0</v>
      </c>
      <c r="G1041" s="2">
        <f>+ABS(D1041)+ABS(E1041)</f>
        <v>0</v>
      </c>
    </row>
    <row r="1042" spans="1:7" s="15" customFormat="1" hidden="1">
      <c r="A1042" s="37" t="s">
        <v>1984</v>
      </c>
      <c r="B1042" s="53" t="s">
        <v>1985</v>
      </c>
      <c r="C1042" s="44"/>
      <c r="D1042" s="40">
        <v>0</v>
      </c>
      <c r="E1042" s="40">
        <v>0</v>
      </c>
      <c r="F1042" s="40">
        <f>+D1042-E1042</f>
        <v>0</v>
      </c>
      <c r="G1042" s="2">
        <f>+ABS(D1042)+ABS(E1042)</f>
        <v>0</v>
      </c>
    </row>
    <row r="1043" spans="1:7" s="15" customFormat="1" hidden="1">
      <c r="A1043" s="37" t="s">
        <v>1986</v>
      </c>
      <c r="B1043" s="53" t="s">
        <v>1987</v>
      </c>
      <c r="C1043" s="44"/>
      <c r="D1043" s="40">
        <v>0</v>
      </c>
      <c r="E1043" s="40">
        <v>0</v>
      </c>
      <c r="F1043" s="40">
        <f>+D1043-E1043</f>
        <v>0</v>
      </c>
      <c r="G1043" s="2">
        <f>+ABS(D1043)+ABS(E1043)</f>
        <v>0</v>
      </c>
    </row>
    <row r="1044" spans="1:7" s="15" customFormat="1" hidden="1">
      <c r="A1044" s="37" t="s">
        <v>1988</v>
      </c>
      <c r="B1044" s="53" t="s">
        <v>1989</v>
      </c>
      <c r="C1044" s="44"/>
      <c r="D1044" s="40">
        <v>0</v>
      </c>
      <c r="E1044" s="40">
        <v>0</v>
      </c>
      <c r="F1044" s="40">
        <f>+D1044-E1044</f>
        <v>0</v>
      </c>
      <c r="G1044" s="2">
        <f>+ABS(D1044)+ABS(E1044)</f>
        <v>0</v>
      </c>
    </row>
    <row r="1045" spans="1:7" s="15" customFormat="1" hidden="1">
      <c r="A1045" s="37" t="s">
        <v>1990</v>
      </c>
      <c r="B1045" s="53" t="s">
        <v>1991</v>
      </c>
      <c r="C1045" s="44"/>
      <c r="D1045" s="40">
        <v>0</v>
      </c>
      <c r="E1045" s="40">
        <v>0</v>
      </c>
      <c r="F1045" s="40">
        <f>+D1045-E1045</f>
        <v>0</v>
      </c>
      <c r="G1045" s="2">
        <f>+ABS(D1045)+ABS(E1045)</f>
        <v>0</v>
      </c>
    </row>
    <row r="1046" spans="1:7" s="15" customFormat="1" hidden="1">
      <c r="A1046" s="37" t="s">
        <v>1992</v>
      </c>
      <c r="B1046" s="53" t="s">
        <v>1993</v>
      </c>
      <c r="C1046" s="44"/>
      <c r="D1046" s="40">
        <v>0</v>
      </c>
      <c r="E1046" s="40">
        <v>0</v>
      </c>
      <c r="F1046" s="40">
        <f>+D1046-E1046</f>
        <v>0</v>
      </c>
      <c r="G1046" s="2">
        <f>+ABS(D1046)+ABS(E1046)</f>
        <v>0</v>
      </c>
    </row>
    <row r="1047" spans="1:7" s="15" customFormat="1" hidden="1">
      <c r="A1047" s="37" t="s">
        <v>1994</v>
      </c>
      <c r="B1047" s="53" t="s">
        <v>1995</v>
      </c>
      <c r="C1047" s="44"/>
      <c r="D1047" s="40">
        <v>0</v>
      </c>
      <c r="E1047" s="40">
        <v>0</v>
      </c>
      <c r="F1047" s="40">
        <f>+D1047-E1047</f>
        <v>0</v>
      </c>
      <c r="G1047" s="2">
        <f>+ABS(D1047)+ABS(E1047)</f>
        <v>0</v>
      </c>
    </row>
    <row r="1048" spans="1:7" s="15" customFormat="1" hidden="1">
      <c r="A1048" s="37" t="s">
        <v>1996</v>
      </c>
      <c r="B1048" s="53" t="s">
        <v>1997</v>
      </c>
      <c r="C1048" s="44"/>
      <c r="D1048" s="40">
        <v>0</v>
      </c>
      <c r="E1048" s="40">
        <v>0</v>
      </c>
      <c r="F1048" s="40">
        <f>+D1048-E1048</f>
        <v>0</v>
      </c>
      <c r="G1048" s="2">
        <f>+ABS(D1048)+ABS(E1048)</f>
        <v>0</v>
      </c>
    </row>
    <row r="1049" spans="1:7" s="15" customFormat="1" hidden="1">
      <c r="A1049" s="37" t="s">
        <v>1998</v>
      </c>
      <c r="B1049" s="53" t="s">
        <v>1999</v>
      </c>
      <c r="C1049" s="44"/>
      <c r="D1049" s="40">
        <v>0</v>
      </c>
      <c r="E1049" s="40">
        <v>0</v>
      </c>
      <c r="F1049" s="40">
        <f>+D1049-E1049</f>
        <v>0</v>
      </c>
      <c r="G1049" s="2">
        <f>+ABS(D1049)+ABS(E1049)</f>
        <v>0</v>
      </c>
    </row>
    <row r="1050" spans="1:7" s="15" customFormat="1" hidden="1">
      <c r="A1050" s="37" t="s">
        <v>2000</v>
      </c>
      <c r="B1050" s="53" t="s">
        <v>2001</v>
      </c>
      <c r="C1050" s="44"/>
      <c r="D1050" s="40">
        <v>0</v>
      </c>
      <c r="E1050" s="40">
        <v>0</v>
      </c>
      <c r="F1050" s="40">
        <f>+D1050-E1050</f>
        <v>0</v>
      </c>
      <c r="G1050" s="2">
        <f>+ABS(D1050)+ABS(E1050)</f>
        <v>0</v>
      </c>
    </row>
    <row r="1051" spans="1:7" s="15" customFormat="1" hidden="1">
      <c r="A1051" s="37" t="s">
        <v>2002</v>
      </c>
      <c r="B1051" s="53" t="s">
        <v>2003</v>
      </c>
      <c r="C1051" s="44"/>
      <c r="D1051" s="40">
        <v>0</v>
      </c>
      <c r="E1051" s="40">
        <v>0</v>
      </c>
      <c r="F1051" s="40">
        <f>+D1051-E1051</f>
        <v>0</v>
      </c>
      <c r="G1051" s="2">
        <f>+ABS(D1051)+ABS(E1051)</f>
        <v>0</v>
      </c>
    </row>
    <row r="1052" spans="1:7" s="15" customFormat="1" hidden="1">
      <c r="A1052" s="37" t="s">
        <v>2004</v>
      </c>
      <c r="B1052" s="53" t="s">
        <v>2005</v>
      </c>
      <c r="C1052" s="44"/>
      <c r="D1052" s="40">
        <v>0</v>
      </c>
      <c r="E1052" s="40">
        <v>0</v>
      </c>
      <c r="F1052" s="40">
        <f>+D1052-E1052</f>
        <v>0</v>
      </c>
      <c r="G1052" s="2">
        <f>+ABS(D1052)+ABS(E1052)</f>
        <v>0</v>
      </c>
    </row>
    <row r="1053" spans="1:7" s="15" customFormat="1" hidden="1">
      <c r="A1053" s="37" t="s">
        <v>2006</v>
      </c>
      <c r="B1053" s="53" t="s">
        <v>2007</v>
      </c>
      <c r="C1053" s="44"/>
      <c r="D1053" s="40">
        <v>0</v>
      </c>
      <c r="E1053" s="40">
        <v>0</v>
      </c>
      <c r="F1053" s="40">
        <f>+D1053-E1053</f>
        <v>0</v>
      </c>
      <c r="G1053" s="2">
        <f>+ABS(D1053)+ABS(E1053)</f>
        <v>0</v>
      </c>
    </row>
    <row r="1054" spans="1:7" s="15" customFormat="1" hidden="1">
      <c r="A1054" s="37" t="s">
        <v>2008</v>
      </c>
      <c r="B1054" s="53" t="s">
        <v>2009</v>
      </c>
      <c r="C1054" s="44"/>
      <c r="D1054" s="40">
        <v>0</v>
      </c>
      <c r="E1054" s="40">
        <v>0</v>
      </c>
      <c r="F1054" s="40">
        <f>+D1054-E1054</f>
        <v>0</v>
      </c>
      <c r="G1054" s="2">
        <f>+ABS(D1054)+ABS(E1054)</f>
        <v>0</v>
      </c>
    </row>
    <row r="1055" spans="1:7" s="15" customFormat="1" hidden="1">
      <c r="A1055" s="37" t="s">
        <v>2010</v>
      </c>
      <c r="B1055" s="53" t="s">
        <v>2011</v>
      </c>
      <c r="C1055" s="44"/>
      <c r="D1055" s="40">
        <v>0</v>
      </c>
      <c r="E1055" s="40">
        <v>0</v>
      </c>
      <c r="F1055" s="40">
        <f>+D1055-E1055</f>
        <v>0</v>
      </c>
      <c r="G1055" s="2">
        <f>+ABS(D1055)+ABS(E1055)</f>
        <v>0</v>
      </c>
    </row>
    <row r="1056" spans="1:7" s="15" customFormat="1" hidden="1">
      <c r="A1056" s="37" t="s">
        <v>2012</v>
      </c>
      <c r="B1056" s="53" t="s">
        <v>2013</v>
      </c>
      <c r="C1056" s="44"/>
      <c r="D1056" s="40">
        <v>0</v>
      </c>
      <c r="E1056" s="40">
        <v>0</v>
      </c>
      <c r="F1056" s="40">
        <f>+D1056-E1056</f>
        <v>0</v>
      </c>
      <c r="G1056" s="2">
        <f>+ABS(D1056)+ABS(E1056)</f>
        <v>0</v>
      </c>
    </row>
    <row r="1057" spans="1:7" s="15" customFormat="1" hidden="1">
      <c r="A1057" s="37" t="s">
        <v>2014</v>
      </c>
      <c r="B1057" s="53" t="s">
        <v>2015</v>
      </c>
      <c r="C1057" s="44"/>
      <c r="D1057" s="40">
        <v>0</v>
      </c>
      <c r="E1057" s="40">
        <v>0</v>
      </c>
      <c r="F1057" s="40">
        <f>+D1057-E1057</f>
        <v>0</v>
      </c>
      <c r="G1057" s="2">
        <f>+ABS(D1057)+ABS(E1057)</f>
        <v>0</v>
      </c>
    </row>
    <row r="1058" spans="1:7" s="15" customFormat="1" hidden="1">
      <c r="A1058" s="37" t="s">
        <v>2016</v>
      </c>
      <c r="B1058" s="53" t="s">
        <v>2017</v>
      </c>
      <c r="C1058" s="44"/>
      <c r="D1058" s="40">
        <v>0</v>
      </c>
      <c r="E1058" s="40">
        <v>0</v>
      </c>
      <c r="F1058" s="40">
        <f>+D1058-E1058</f>
        <v>0</v>
      </c>
      <c r="G1058" s="2">
        <f>+ABS(D1058)+ABS(E1058)</f>
        <v>0</v>
      </c>
    </row>
    <row r="1059" spans="1:7" s="15" customFormat="1" hidden="1">
      <c r="A1059" s="37" t="s">
        <v>2018</v>
      </c>
      <c r="B1059" s="53" t="s">
        <v>2019</v>
      </c>
      <c r="C1059" s="44"/>
      <c r="D1059" s="40">
        <v>0</v>
      </c>
      <c r="E1059" s="40">
        <v>0</v>
      </c>
      <c r="F1059" s="40">
        <f>+D1059-E1059</f>
        <v>0</v>
      </c>
      <c r="G1059" s="2">
        <f>+ABS(D1059)+ABS(E1059)</f>
        <v>0</v>
      </c>
    </row>
    <row r="1060" spans="1:7" s="15" customFormat="1" hidden="1">
      <c r="A1060" s="37" t="s">
        <v>2020</v>
      </c>
      <c r="B1060" s="53" t="s">
        <v>2021</v>
      </c>
      <c r="C1060" s="44"/>
      <c r="D1060" s="40">
        <v>0</v>
      </c>
      <c r="E1060" s="40">
        <v>0</v>
      </c>
      <c r="F1060" s="40">
        <f>+D1060-E1060</f>
        <v>0</v>
      </c>
      <c r="G1060" s="2">
        <f>+ABS(D1060)+ABS(E1060)</f>
        <v>0</v>
      </c>
    </row>
    <row r="1061" spans="1:7" s="15" customFormat="1" hidden="1">
      <c r="A1061" s="37" t="s">
        <v>2022</v>
      </c>
      <c r="B1061" s="53" t="s">
        <v>2017</v>
      </c>
      <c r="C1061" s="44"/>
      <c r="D1061" s="40">
        <v>0</v>
      </c>
      <c r="E1061" s="40">
        <v>0</v>
      </c>
      <c r="F1061" s="40">
        <f>+D1061-E1061</f>
        <v>0</v>
      </c>
      <c r="G1061" s="2">
        <f>+ABS(D1061)+ABS(E1061)</f>
        <v>0</v>
      </c>
    </row>
    <row r="1062" spans="1:7" s="15" customFormat="1" hidden="1">
      <c r="A1062" s="37" t="s">
        <v>2023</v>
      </c>
      <c r="B1062" s="53" t="s">
        <v>2024</v>
      </c>
      <c r="C1062" s="44"/>
      <c r="D1062" s="40">
        <v>0</v>
      </c>
      <c r="E1062" s="40">
        <v>0</v>
      </c>
      <c r="F1062" s="40">
        <f>+D1062-E1062</f>
        <v>0</v>
      </c>
      <c r="G1062" s="2">
        <f>+ABS(D1062)+ABS(E1062)</f>
        <v>0</v>
      </c>
    </row>
    <row r="1063" spans="1:7" s="15" customFormat="1" hidden="1">
      <c r="A1063" s="37" t="s">
        <v>2025</v>
      </c>
      <c r="B1063" s="53" t="s">
        <v>2005</v>
      </c>
      <c r="C1063" s="44"/>
      <c r="D1063" s="40">
        <v>0</v>
      </c>
      <c r="E1063" s="40">
        <v>0</v>
      </c>
      <c r="F1063" s="40">
        <f>+D1063-E1063</f>
        <v>0</v>
      </c>
      <c r="G1063" s="2">
        <f>+ABS(D1063)+ABS(E1063)</f>
        <v>0</v>
      </c>
    </row>
    <row r="1064" spans="1:7" s="15" customFormat="1" hidden="1">
      <c r="A1064" s="37" t="s">
        <v>2026</v>
      </c>
      <c r="B1064" s="53" t="s">
        <v>2027</v>
      </c>
      <c r="C1064" s="44"/>
      <c r="D1064" s="40">
        <v>0</v>
      </c>
      <c r="E1064" s="40">
        <v>0</v>
      </c>
      <c r="F1064" s="40">
        <f>+D1064-E1064</f>
        <v>0</v>
      </c>
      <c r="G1064" s="2">
        <f>+ABS(D1064)+ABS(E1064)</f>
        <v>0</v>
      </c>
    </row>
    <row r="1065" spans="1:7" s="15" customFormat="1" hidden="1">
      <c r="A1065" s="37" t="s">
        <v>2028</v>
      </c>
      <c r="B1065" s="53" t="s">
        <v>2029</v>
      </c>
      <c r="C1065" s="44"/>
      <c r="D1065" s="40">
        <v>0</v>
      </c>
      <c r="E1065" s="40">
        <v>0</v>
      </c>
      <c r="F1065" s="40">
        <f>+D1065-E1065</f>
        <v>0</v>
      </c>
      <c r="G1065" s="2">
        <f>+ABS(D1065)+ABS(E1065)</f>
        <v>0</v>
      </c>
    </row>
    <row r="1066" spans="1:7" s="15" customFormat="1" hidden="1">
      <c r="A1066" s="37" t="s">
        <v>2030</v>
      </c>
      <c r="B1066" s="53" t="s">
        <v>2031</v>
      </c>
      <c r="C1066" s="44"/>
      <c r="D1066" s="40">
        <v>0</v>
      </c>
      <c r="E1066" s="40">
        <v>0</v>
      </c>
      <c r="F1066" s="40">
        <f>+D1066-E1066</f>
        <v>0</v>
      </c>
      <c r="G1066" s="2">
        <f>+ABS(D1066)+ABS(E1066)</f>
        <v>0</v>
      </c>
    </row>
    <row r="1067" spans="1:7" s="15" customFormat="1" hidden="1">
      <c r="A1067" s="37" t="s">
        <v>2032</v>
      </c>
      <c r="B1067" s="53" t="s">
        <v>2033</v>
      </c>
      <c r="C1067" s="44"/>
      <c r="D1067" s="40">
        <v>0</v>
      </c>
      <c r="E1067" s="40">
        <v>0</v>
      </c>
      <c r="F1067" s="40">
        <f>+D1067-E1067</f>
        <v>0</v>
      </c>
      <c r="G1067" s="2">
        <f>+ABS(D1067)+ABS(E1067)</f>
        <v>0</v>
      </c>
    </row>
    <row r="1068" spans="1:7" s="15" customFormat="1" hidden="1">
      <c r="A1068" s="37" t="s">
        <v>2034</v>
      </c>
      <c r="B1068" s="53" t="s">
        <v>2035</v>
      </c>
      <c r="C1068" s="44"/>
      <c r="D1068" s="40">
        <v>0</v>
      </c>
      <c r="E1068" s="40">
        <v>0</v>
      </c>
      <c r="F1068" s="40">
        <f>+D1068-E1068</f>
        <v>0</v>
      </c>
      <c r="G1068" s="2">
        <f>+ABS(D1068)+ABS(E1068)</f>
        <v>0</v>
      </c>
    </row>
    <row r="1069" spans="1:7" s="15" customFormat="1" hidden="1">
      <c r="A1069" s="37" t="s">
        <v>2036</v>
      </c>
      <c r="B1069" s="53" t="s">
        <v>2037</v>
      </c>
      <c r="C1069" s="44"/>
      <c r="D1069" s="40">
        <v>0</v>
      </c>
      <c r="E1069" s="40">
        <v>0</v>
      </c>
      <c r="F1069" s="40">
        <f>+D1069-E1069</f>
        <v>0</v>
      </c>
      <c r="G1069" s="2">
        <f>+ABS(D1069)+ABS(E1069)</f>
        <v>0</v>
      </c>
    </row>
    <row r="1070" spans="1:7" s="15" customFormat="1" hidden="1">
      <c r="A1070" s="37" t="s">
        <v>2038</v>
      </c>
      <c r="B1070" s="53" t="s">
        <v>2039</v>
      </c>
      <c r="C1070" s="44"/>
      <c r="D1070" s="40">
        <v>0</v>
      </c>
      <c r="E1070" s="40">
        <v>0</v>
      </c>
      <c r="F1070" s="40">
        <f>+D1070-E1070</f>
        <v>0</v>
      </c>
      <c r="G1070" s="2">
        <f>+ABS(D1070)+ABS(E1070)</f>
        <v>0</v>
      </c>
    </row>
    <row r="1071" spans="1:7" s="15" customFormat="1" hidden="1">
      <c r="A1071" s="37" t="s">
        <v>2040</v>
      </c>
      <c r="B1071" s="53" t="s">
        <v>2041</v>
      </c>
      <c r="C1071" s="44"/>
      <c r="D1071" s="40">
        <v>0</v>
      </c>
      <c r="E1071" s="40">
        <v>0</v>
      </c>
      <c r="F1071" s="40">
        <f>+D1071-E1071</f>
        <v>0</v>
      </c>
      <c r="G1071" s="2">
        <f>+ABS(D1071)+ABS(E1071)</f>
        <v>0</v>
      </c>
    </row>
    <row r="1072" spans="1:7" s="15" customFormat="1" hidden="1">
      <c r="A1072" s="37" t="s">
        <v>2042</v>
      </c>
      <c r="B1072" s="53" t="s">
        <v>2043</v>
      </c>
      <c r="C1072" s="44"/>
      <c r="D1072" s="40">
        <v>0</v>
      </c>
      <c r="E1072" s="40">
        <v>0</v>
      </c>
      <c r="F1072" s="40">
        <f>+D1072-E1072</f>
        <v>0</v>
      </c>
      <c r="G1072" s="2">
        <f>+ABS(D1072)+ABS(E1072)</f>
        <v>0</v>
      </c>
    </row>
    <row r="1073" spans="1:7" s="15" customFormat="1" hidden="1">
      <c r="A1073" s="37" t="s">
        <v>2044</v>
      </c>
      <c r="B1073" s="53" t="s">
        <v>2045</v>
      </c>
      <c r="C1073" s="44"/>
      <c r="D1073" s="40">
        <v>0</v>
      </c>
      <c r="E1073" s="40">
        <v>0</v>
      </c>
      <c r="F1073" s="40">
        <f>+D1073-E1073</f>
        <v>0</v>
      </c>
      <c r="G1073" s="2">
        <f>+ABS(D1073)+ABS(E1073)</f>
        <v>0</v>
      </c>
    </row>
    <row r="1074" spans="1:7" s="15" customFormat="1" hidden="1">
      <c r="A1074" s="37" t="s">
        <v>2046</v>
      </c>
      <c r="B1074" s="53" t="s">
        <v>2047</v>
      </c>
      <c r="C1074" s="44"/>
      <c r="D1074" s="40">
        <v>0</v>
      </c>
      <c r="E1074" s="40">
        <v>0</v>
      </c>
      <c r="F1074" s="40">
        <f>+D1074-E1074</f>
        <v>0</v>
      </c>
      <c r="G1074" s="2">
        <f>+ABS(D1074)+ABS(E1074)</f>
        <v>0</v>
      </c>
    </row>
    <row r="1075" spans="1:7" s="15" customFormat="1" hidden="1">
      <c r="A1075" s="37" t="s">
        <v>2048</v>
      </c>
      <c r="B1075" s="53" t="s">
        <v>2049</v>
      </c>
      <c r="C1075" s="44"/>
      <c r="D1075" s="40">
        <v>0</v>
      </c>
      <c r="E1075" s="40">
        <v>0</v>
      </c>
      <c r="F1075" s="40">
        <f>+D1075-E1075</f>
        <v>0</v>
      </c>
      <c r="G1075" s="2">
        <f>+ABS(D1075)+ABS(E1075)</f>
        <v>0</v>
      </c>
    </row>
    <row r="1076" spans="1:7" s="15" customFormat="1" hidden="1">
      <c r="A1076" s="37" t="s">
        <v>2050</v>
      </c>
      <c r="B1076" s="53" t="s">
        <v>2051</v>
      </c>
      <c r="C1076" s="44"/>
      <c r="D1076" s="40">
        <v>0</v>
      </c>
      <c r="E1076" s="40">
        <v>0</v>
      </c>
      <c r="F1076" s="40">
        <f>+D1076-E1076</f>
        <v>0</v>
      </c>
      <c r="G1076" s="2">
        <f>+ABS(D1076)+ABS(E1076)</f>
        <v>0</v>
      </c>
    </row>
    <row r="1077" spans="1:7" s="15" customFormat="1" hidden="1">
      <c r="A1077" s="37" t="s">
        <v>2052</v>
      </c>
      <c r="B1077" s="53" t="s">
        <v>2053</v>
      </c>
      <c r="C1077" s="44"/>
      <c r="D1077" s="40">
        <v>0</v>
      </c>
      <c r="E1077" s="40">
        <v>0</v>
      </c>
      <c r="F1077" s="40">
        <f>+D1077-E1077</f>
        <v>0</v>
      </c>
      <c r="G1077" s="2">
        <f>+ABS(D1077)+ABS(E1077)</f>
        <v>0</v>
      </c>
    </row>
    <row r="1078" spans="1:7" s="15" customFormat="1" hidden="1">
      <c r="A1078" s="37" t="s">
        <v>2054</v>
      </c>
      <c r="B1078" s="53" t="s">
        <v>2055</v>
      </c>
      <c r="C1078" s="44"/>
      <c r="D1078" s="40">
        <v>0</v>
      </c>
      <c r="E1078" s="40">
        <v>0</v>
      </c>
      <c r="F1078" s="40">
        <f>+D1078-E1078</f>
        <v>0</v>
      </c>
      <c r="G1078" s="2">
        <f>+ABS(D1078)+ABS(E1078)</f>
        <v>0</v>
      </c>
    </row>
    <row r="1079" spans="1:7" s="15" customFormat="1" hidden="1">
      <c r="A1079" s="37" t="s">
        <v>2056</v>
      </c>
      <c r="B1079" s="53" t="s">
        <v>2057</v>
      </c>
      <c r="C1079" s="44"/>
      <c r="D1079" s="40">
        <v>0</v>
      </c>
      <c r="E1079" s="40">
        <v>0</v>
      </c>
      <c r="F1079" s="40">
        <f>+D1079-E1079</f>
        <v>0</v>
      </c>
      <c r="G1079" s="2">
        <f>+ABS(D1079)+ABS(E1079)</f>
        <v>0</v>
      </c>
    </row>
    <row r="1080" spans="1:7" s="15" customFormat="1" hidden="1">
      <c r="A1080" s="37" t="s">
        <v>2058</v>
      </c>
      <c r="B1080" s="53" t="s">
        <v>2059</v>
      </c>
      <c r="C1080" s="44"/>
      <c r="D1080" s="40">
        <v>0</v>
      </c>
      <c r="E1080" s="40">
        <v>0</v>
      </c>
      <c r="F1080" s="40">
        <f>+D1080-E1080</f>
        <v>0</v>
      </c>
      <c r="G1080" s="2">
        <f>+ABS(D1080)+ABS(E1080)</f>
        <v>0</v>
      </c>
    </row>
    <row r="1081" spans="1:7" s="15" customFormat="1" hidden="1">
      <c r="A1081" s="37" t="s">
        <v>2060</v>
      </c>
      <c r="B1081" s="53" t="s">
        <v>2061</v>
      </c>
      <c r="C1081" s="44"/>
      <c r="D1081" s="40">
        <v>0</v>
      </c>
      <c r="E1081" s="40">
        <v>0</v>
      </c>
      <c r="F1081" s="40">
        <f>+D1081-E1081</f>
        <v>0</v>
      </c>
      <c r="G1081" s="2">
        <f>+ABS(D1081)+ABS(E1081)</f>
        <v>0</v>
      </c>
    </row>
    <row r="1082" spans="1:7" s="15" customFormat="1" hidden="1">
      <c r="A1082" s="37" t="s">
        <v>2062</v>
      </c>
      <c r="B1082" s="53" t="s">
        <v>2063</v>
      </c>
      <c r="C1082" s="44"/>
      <c r="D1082" s="40">
        <v>0</v>
      </c>
      <c r="E1082" s="40">
        <v>0</v>
      </c>
      <c r="F1082" s="40">
        <f>+D1082-E1082</f>
        <v>0</v>
      </c>
      <c r="G1082" s="2">
        <f>+ABS(D1082)+ABS(E1082)</f>
        <v>0</v>
      </c>
    </row>
    <row r="1083" spans="1:7" s="15" customFormat="1" hidden="1">
      <c r="A1083" s="37" t="s">
        <v>2064</v>
      </c>
      <c r="B1083" s="53" t="s">
        <v>2065</v>
      </c>
      <c r="C1083" s="44"/>
      <c r="D1083" s="40">
        <v>0</v>
      </c>
      <c r="E1083" s="40">
        <v>0</v>
      </c>
      <c r="F1083" s="40">
        <f>+D1083-E1083</f>
        <v>0</v>
      </c>
      <c r="G1083" s="2">
        <f>+ABS(D1083)+ABS(E1083)</f>
        <v>0</v>
      </c>
    </row>
    <row r="1084" spans="1:7" s="15" customFormat="1" hidden="1">
      <c r="A1084" s="37" t="s">
        <v>2066</v>
      </c>
      <c r="B1084" s="53" t="s">
        <v>2067</v>
      </c>
      <c r="C1084" s="44"/>
      <c r="D1084" s="40">
        <v>0</v>
      </c>
      <c r="E1084" s="40">
        <v>0</v>
      </c>
      <c r="F1084" s="40">
        <f>+D1084-E1084</f>
        <v>0</v>
      </c>
      <c r="G1084" s="2">
        <f>+ABS(D1084)+ABS(E1084)</f>
        <v>0</v>
      </c>
    </row>
    <row r="1085" spans="1:7" s="15" customFormat="1" hidden="1">
      <c r="A1085" s="37" t="s">
        <v>2068</v>
      </c>
      <c r="B1085" s="53" t="s">
        <v>2069</v>
      </c>
      <c r="C1085" s="44"/>
      <c r="D1085" s="40">
        <v>0</v>
      </c>
      <c r="E1085" s="40">
        <v>0</v>
      </c>
      <c r="F1085" s="40">
        <f>+D1085-E1085</f>
        <v>0</v>
      </c>
      <c r="G1085" s="2">
        <f>+ABS(D1085)+ABS(E1085)</f>
        <v>0</v>
      </c>
    </row>
    <row r="1086" spans="1:7" s="15" customFormat="1" hidden="1">
      <c r="A1086" s="37" t="s">
        <v>2070</v>
      </c>
      <c r="B1086" s="53" t="s">
        <v>2071</v>
      </c>
      <c r="C1086" s="44"/>
      <c r="D1086" s="40">
        <v>0</v>
      </c>
      <c r="E1086" s="40">
        <v>0</v>
      </c>
      <c r="F1086" s="40">
        <f>+D1086-E1086</f>
        <v>0</v>
      </c>
      <c r="G1086" s="2">
        <f>+ABS(D1086)+ABS(E1086)</f>
        <v>0</v>
      </c>
    </row>
    <row r="1087" spans="1:7" s="15" customFormat="1" hidden="1">
      <c r="A1087" s="37" t="s">
        <v>2072</v>
      </c>
      <c r="B1087" s="53" t="s">
        <v>2073</v>
      </c>
      <c r="C1087" s="44"/>
      <c r="D1087" s="40">
        <v>0</v>
      </c>
      <c r="E1087" s="40">
        <v>0</v>
      </c>
      <c r="F1087" s="40">
        <f>+D1087-E1087</f>
        <v>0</v>
      </c>
      <c r="G1087" s="2">
        <f>+ABS(D1087)+ABS(E1087)</f>
        <v>0</v>
      </c>
    </row>
    <row r="1088" spans="1:7" s="15" customFormat="1" hidden="1">
      <c r="A1088" s="37" t="s">
        <v>2074</v>
      </c>
      <c r="B1088" s="53" t="s">
        <v>2075</v>
      </c>
      <c r="C1088" s="44"/>
      <c r="D1088" s="40">
        <v>0</v>
      </c>
      <c r="E1088" s="40">
        <v>0</v>
      </c>
      <c r="F1088" s="40">
        <f>+D1088-E1088</f>
        <v>0</v>
      </c>
      <c r="G1088" s="2">
        <f>+ABS(D1088)+ABS(E1088)</f>
        <v>0</v>
      </c>
    </row>
    <row r="1089" spans="1:7" s="15" customFormat="1" hidden="1">
      <c r="A1089" s="37" t="s">
        <v>2076</v>
      </c>
      <c r="B1089" s="53" t="s">
        <v>2077</v>
      </c>
      <c r="C1089" s="44"/>
      <c r="D1089" s="40">
        <v>0</v>
      </c>
      <c r="E1089" s="40">
        <v>0</v>
      </c>
      <c r="F1089" s="40">
        <f>+D1089-E1089</f>
        <v>0</v>
      </c>
      <c r="G1089" s="2">
        <f>+ABS(D1089)+ABS(E1089)</f>
        <v>0</v>
      </c>
    </row>
    <row r="1090" spans="1:7" s="15" customFormat="1" hidden="1">
      <c r="A1090" s="37" t="s">
        <v>2078</v>
      </c>
      <c r="B1090" s="53" t="s">
        <v>2079</v>
      </c>
      <c r="C1090" s="44"/>
      <c r="D1090" s="40">
        <v>0</v>
      </c>
      <c r="E1090" s="40">
        <v>0</v>
      </c>
      <c r="F1090" s="40">
        <f>+D1090-E1090</f>
        <v>0</v>
      </c>
      <c r="G1090" s="2">
        <f>+ABS(D1090)+ABS(E1090)</f>
        <v>0</v>
      </c>
    </row>
    <row r="1091" spans="1:7" s="15" customFormat="1" hidden="1">
      <c r="A1091" s="37" t="s">
        <v>2080</v>
      </c>
      <c r="B1091" s="53" t="s">
        <v>2081</v>
      </c>
      <c r="C1091" s="44"/>
      <c r="D1091" s="40">
        <v>0</v>
      </c>
      <c r="E1091" s="40">
        <v>0</v>
      </c>
      <c r="F1091" s="40">
        <f>+D1091-E1091</f>
        <v>0</v>
      </c>
      <c r="G1091" s="2">
        <f>+ABS(D1091)+ABS(E1091)</f>
        <v>0</v>
      </c>
    </row>
    <row r="1092" spans="1:7" s="15" customFormat="1" hidden="1">
      <c r="A1092" s="37" t="s">
        <v>2082</v>
      </c>
      <c r="B1092" s="53" t="s">
        <v>2083</v>
      </c>
      <c r="C1092" s="44"/>
      <c r="D1092" s="40">
        <v>0</v>
      </c>
      <c r="E1092" s="40">
        <v>0</v>
      </c>
      <c r="F1092" s="40">
        <f>+D1092-E1092</f>
        <v>0</v>
      </c>
      <c r="G1092" s="2">
        <f>+ABS(D1092)+ABS(E1092)</f>
        <v>0</v>
      </c>
    </row>
    <row r="1093" spans="1:7" s="15" customFormat="1" hidden="1">
      <c r="A1093" s="37" t="s">
        <v>2084</v>
      </c>
      <c r="B1093" s="53" t="s">
        <v>2085</v>
      </c>
      <c r="C1093" s="44"/>
      <c r="D1093" s="40">
        <v>0</v>
      </c>
      <c r="E1093" s="40">
        <v>0</v>
      </c>
      <c r="F1093" s="40">
        <f>+D1093-E1093</f>
        <v>0</v>
      </c>
      <c r="G1093" s="2">
        <f>+ABS(D1093)+ABS(E1093)</f>
        <v>0</v>
      </c>
    </row>
    <row r="1094" spans="1:7" s="15" customFormat="1" hidden="1">
      <c r="A1094" s="37" t="s">
        <v>2086</v>
      </c>
      <c r="B1094" s="53" t="s">
        <v>2087</v>
      </c>
      <c r="C1094" s="44"/>
      <c r="D1094" s="40">
        <v>0</v>
      </c>
      <c r="E1094" s="40">
        <v>0</v>
      </c>
      <c r="F1094" s="40">
        <f>+D1094-E1094</f>
        <v>0</v>
      </c>
      <c r="G1094" s="2">
        <f>+ABS(D1094)+ABS(E1094)</f>
        <v>0</v>
      </c>
    </row>
    <row r="1095" spans="1:7" s="15" customFormat="1" hidden="1">
      <c r="A1095" s="37" t="s">
        <v>2088</v>
      </c>
      <c r="B1095" s="53" t="s">
        <v>2089</v>
      </c>
      <c r="C1095" s="44"/>
      <c r="D1095" s="40">
        <v>0</v>
      </c>
      <c r="E1095" s="40">
        <v>0</v>
      </c>
      <c r="F1095" s="40">
        <f>+D1095-E1095</f>
        <v>0</v>
      </c>
      <c r="G1095" s="2">
        <f>+ABS(D1095)+ABS(E1095)</f>
        <v>0</v>
      </c>
    </row>
    <row r="1096" spans="1:7" s="15" customFormat="1" hidden="1">
      <c r="A1096" s="37" t="s">
        <v>2090</v>
      </c>
      <c r="B1096" s="53" t="s">
        <v>2091</v>
      </c>
      <c r="C1096" s="44"/>
      <c r="D1096" s="40">
        <v>0</v>
      </c>
      <c r="E1096" s="40">
        <v>0</v>
      </c>
      <c r="F1096" s="40">
        <f>+D1096-E1096</f>
        <v>0</v>
      </c>
      <c r="G1096" s="2">
        <f>+ABS(D1096)+ABS(E1096)</f>
        <v>0</v>
      </c>
    </row>
    <row r="1097" spans="1:7" s="15" customFormat="1" hidden="1">
      <c r="A1097" s="37" t="s">
        <v>2092</v>
      </c>
      <c r="B1097" s="53" t="s">
        <v>2093</v>
      </c>
      <c r="C1097" s="44"/>
      <c r="D1097" s="40">
        <v>0</v>
      </c>
      <c r="E1097" s="40">
        <v>0</v>
      </c>
      <c r="F1097" s="40">
        <f>+D1097-E1097</f>
        <v>0</v>
      </c>
      <c r="G1097" s="2">
        <f>+ABS(D1097)+ABS(E1097)</f>
        <v>0</v>
      </c>
    </row>
    <row r="1098" spans="1:7" s="15" customFormat="1" hidden="1">
      <c r="A1098" s="37" t="s">
        <v>2094</v>
      </c>
      <c r="B1098" s="53" t="s">
        <v>2095</v>
      </c>
      <c r="C1098" s="44"/>
      <c r="D1098" s="40">
        <v>0</v>
      </c>
      <c r="E1098" s="40">
        <v>0</v>
      </c>
      <c r="F1098" s="40">
        <f>+D1098-E1098</f>
        <v>0</v>
      </c>
      <c r="G1098" s="2">
        <f>+ABS(D1098)+ABS(E1098)</f>
        <v>0</v>
      </c>
    </row>
    <row r="1099" spans="1:7" s="15" customFormat="1" hidden="1">
      <c r="A1099" s="37" t="s">
        <v>2096</v>
      </c>
      <c r="B1099" s="53" t="s">
        <v>2097</v>
      </c>
      <c r="C1099" s="44"/>
      <c r="D1099" s="40">
        <v>0</v>
      </c>
      <c r="E1099" s="40">
        <v>0</v>
      </c>
      <c r="F1099" s="40">
        <f>+D1099-E1099</f>
        <v>0</v>
      </c>
      <c r="G1099" s="2">
        <f>+ABS(D1099)+ABS(E1099)</f>
        <v>0</v>
      </c>
    </row>
    <row r="1100" spans="1:7" s="15" customFormat="1" hidden="1">
      <c r="A1100" s="37" t="s">
        <v>2098</v>
      </c>
      <c r="B1100" s="53" t="s">
        <v>2099</v>
      </c>
      <c r="C1100" s="44"/>
      <c r="D1100" s="40">
        <v>0</v>
      </c>
      <c r="E1100" s="40">
        <v>0</v>
      </c>
      <c r="F1100" s="40">
        <f>+D1100-E1100</f>
        <v>0</v>
      </c>
      <c r="G1100" s="2">
        <f>+ABS(D1100)+ABS(E1100)</f>
        <v>0</v>
      </c>
    </row>
    <row r="1101" spans="1:7" s="15" customFormat="1" hidden="1">
      <c r="A1101" s="37" t="s">
        <v>2100</v>
      </c>
      <c r="B1101" s="53" t="s">
        <v>2101</v>
      </c>
      <c r="C1101" s="44"/>
      <c r="D1101" s="40">
        <v>0</v>
      </c>
      <c r="E1101" s="40">
        <v>0</v>
      </c>
      <c r="F1101" s="40">
        <f>+D1101-E1101</f>
        <v>0</v>
      </c>
      <c r="G1101" s="2">
        <f>+ABS(D1101)+ABS(E1101)</f>
        <v>0</v>
      </c>
    </row>
    <row r="1102" spans="1:7" s="15" customFormat="1" hidden="1">
      <c r="A1102" s="37" t="s">
        <v>2102</v>
      </c>
      <c r="B1102" s="53" t="s">
        <v>2103</v>
      </c>
      <c r="C1102" s="44"/>
      <c r="D1102" s="40">
        <v>0</v>
      </c>
      <c r="E1102" s="40">
        <v>0</v>
      </c>
      <c r="F1102" s="40">
        <f>+D1102-E1102</f>
        <v>0</v>
      </c>
      <c r="G1102" s="2">
        <f>+ABS(D1102)+ABS(E1102)</f>
        <v>0</v>
      </c>
    </row>
    <row r="1103" spans="1:7" s="15" customFormat="1" hidden="1">
      <c r="A1103" s="37" t="s">
        <v>2104</v>
      </c>
      <c r="B1103" s="53" t="s">
        <v>2105</v>
      </c>
      <c r="C1103" s="44"/>
      <c r="D1103" s="40">
        <v>0</v>
      </c>
      <c r="E1103" s="40">
        <v>0</v>
      </c>
      <c r="F1103" s="40">
        <f>+D1103-E1103</f>
        <v>0</v>
      </c>
      <c r="G1103" s="2">
        <f>+ABS(D1103)+ABS(E1103)</f>
        <v>0</v>
      </c>
    </row>
    <row r="1104" spans="1:7" s="15" customFormat="1" hidden="1">
      <c r="A1104" s="37" t="s">
        <v>2106</v>
      </c>
      <c r="B1104" s="53" t="s">
        <v>2107</v>
      </c>
      <c r="C1104" s="44"/>
      <c r="D1104" s="40">
        <v>0</v>
      </c>
      <c r="E1104" s="40">
        <v>0</v>
      </c>
      <c r="F1104" s="40">
        <f>+D1104-E1104</f>
        <v>0</v>
      </c>
      <c r="G1104" s="2">
        <f>+ABS(D1104)+ABS(E1104)</f>
        <v>0</v>
      </c>
    </row>
    <row r="1105" spans="1:7" s="15" customFormat="1" hidden="1">
      <c r="A1105" s="37" t="s">
        <v>2108</v>
      </c>
      <c r="B1105" s="53" t="s">
        <v>2109</v>
      </c>
      <c r="C1105" s="44"/>
      <c r="D1105" s="40">
        <v>0</v>
      </c>
      <c r="E1105" s="40">
        <v>0</v>
      </c>
      <c r="F1105" s="40">
        <f>+D1105-E1105</f>
        <v>0</v>
      </c>
      <c r="G1105" s="2">
        <f>+ABS(D1105)+ABS(E1105)</f>
        <v>0</v>
      </c>
    </row>
    <row r="1106" spans="1:7" s="15" customFormat="1" hidden="1">
      <c r="A1106" s="37" t="s">
        <v>2110</v>
      </c>
      <c r="B1106" s="53" t="s">
        <v>2111</v>
      </c>
      <c r="C1106" s="44"/>
      <c r="D1106" s="40">
        <v>0</v>
      </c>
      <c r="E1106" s="40">
        <v>0</v>
      </c>
      <c r="F1106" s="40">
        <f>+D1106-E1106</f>
        <v>0</v>
      </c>
      <c r="G1106" s="2">
        <f>+ABS(D1106)+ABS(E1106)</f>
        <v>0</v>
      </c>
    </row>
    <row r="1107" spans="1:7" s="15" customFormat="1" hidden="1">
      <c r="A1107" s="37" t="s">
        <v>2112</v>
      </c>
      <c r="B1107" s="53" t="s">
        <v>2113</v>
      </c>
      <c r="C1107" s="44"/>
      <c r="D1107" s="40">
        <v>0</v>
      </c>
      <c r="E1107" s="40">
        <v>0</v>
      </c>
      <c r="F1107" s="40">
        <f>+D1107-E1107</f>
        <v>0</v>
      </c>
      <c r="G1107" s="2">
        <f>+ABS(D1107)+ABS(E1107)</f>
        <v>0</v>
      </c>
    </row>
    <row r="1108" spans="1:7" s="15" customFormat="1" hidden="1">
      <c r="A1108" s="37" t="s">
        <v>2114</v>
      </c>
      <c r="B1108" s="53" t="s">
        <v>2115</v>
      </c>
      <c r="C1108" s="44"/>
      <c r="D1108" s="40">
        <v>0</v>
      </c>
      <c r="E1108" s="40">
        <v>0</v>
      </c>
      <c r="F1108" s="40">
        <f>+D1108-E1108</f>
        <v>0</v>
      </c>
      <c r="G1108" s="2">
        <f>+ABS(D1108)+ABS(E1108)</f>
        <v>0</v>
      </c>
    </row>
    <row r="1109" spans="1:7" s="15" customFormat="1" hidden="1">
      <c r="A1109" s="37" t="s">
        <v>2116</v>
      </c>
      <c r="B1109" s="53" t="s">
        <v>2117</v>
      </c>
      <c r="C1109" s="44"/>
      <c r="D1109" s="40">
        <v>0</v>
      </c>
      <c r="E1109" s="40">
        <v>0</v>
      </c>
      <c r="F1109" s="40">
        <f>+D1109-E1109</f>
        <v>0</v>
      </c>
      <c r="G1109" s="2">
        <f>+ABS(D1109)+ABS(E1109)</f>
        <v>0</v>
      </c>
    </row>
    <row r="1110" spans="1:7" s="15" customFormat="1" hidden="1">
      <c r="A1110" s="37" t="s">
        <v>2118</v>
      </c>
      <c r="B1110" s="53" t="s">
        <v>2119</v>
      </c>
      <c r="C1110" s="44"/>
      <c r="D1110" s="40">
        <v>0</v>
      </c>
      <c r="E1110" s="40">
        <v>0</v>
      </c>
      <c r="F1110" s="40">
        <f>+D1110-E1110</f>
        <v>0</v>
      </c>
      <c r="G1110" s="2">
        <f>+ABS(D1110)+ABS(E1110)</f>
        <v>0</v>
      </c>
    </row>
    <row r="1111" spans="1:7" s="15" customFormat="1" hidden="1">
      <c r="A1111" s="37" t="s">
        <v>2120</v>
      </c>
      <c r="B1111" s="53" t="s">
        <v>2121</v>
      </c>
      <c r="C1111" s="44"/>
      <c r="D1111" s="40">
        <v>0</v>
      </c>
      <c r="E1111" s="40">
        <v>0</v>
      </c>
      <c r="F1111" s="40">
        <f>+D1111-E1111</f>
        <v>0</v>
      </c>
      <c r="G1111" s="2">
        <f>+ABS(D1111)+ABS(E1111)</f>
        <v>0</v>
      </c>
    </row>
    <row r="1112" spans="1:7" s="15" customFormat="1" hidden="1">
      <c r="A1112" s="37" t="s">
        <v>2122</v>
      </c>
      <c r="B1112" s="53" t="s">
        <v>2123</v>
      </c>
      <c r="C1112" s="44"/>
      <c r="D1112" s="40">
        <v>0</v>
      </c>
      <c r="E1112" s="40">
        <v>0</v>
      </c>
      <c r="F1112" s="40">
        <f>+D1112-E1112</f>
        <v>0</v>
      </c>
      <c r="G1112" s="2">
        <f>+ABS(D1112)+ABS(E1112)</f>
        <v>0</v>
      </c>
    </row>
    <row r="1113" spans="1:7" s="15" customFormat="1" hidden="1">
      <c r="A1113" s="37" t="s">
        <v>2124</v>
      </c>
      <c r="B1113" s="53" t="s">
        <v>2125</v>
      </c>
      <c r="C1113" s="44"/>
      <c r="D1113" s="40">
        <v>0</v>
      </c>
      <c r="E1113" s="40">
        <v>0</v>
      </c>
      <c r="F1113" s="40">
        <f>+D1113-E1113</f>
        <v>0</v>
      </c>
      <c r="G1113" s="2">
        <f>+ABS(D1113)+ABS(E1113)</f>
        <v>0</v>
      </c>
    </row>
    <row r="1114" spans="1:7" s="15" customFormat="1" hidden="1">
      <c r="A1114" s="37" t="s">
        <v>2126</v>
      </c>
      <c r="B1114" s="53" t="s">
        <v>2127</v>
      </c>
      <c r="C1114" s="44"/>
      <c r="D1114" s="40">
        <v>0</v>
      </c>
      <c r="E1114" s="40">
        <v>0</v>
      </c>
      <c r="F1114" s="40">
        <f>+D1114-E1114</f>
        <v>0</v>
      </c>
      <c r="G1114" s="2">
        <f>+ABS(D1114)+ABS(E1114)</f>
        <v>0</v>
      </c>
    </row>
    <row r="1115" spans="1:7" s="15" customFormat="1" hidden="1">
      <c r="A1115" s="37" t="s">
        <v>2128</v>
      </c>
      <c r="B1115" s="53" t="s">
        <v>2129</v>
      </c>
      <c r="C1115" s="44"/>
      <c r="D1115" s="40">
        <v>0</v>
      </c>
      <c r="E1115" s="40">
        <v>0</v>
      </c>
      <c r="F1115" s="40">
        <f>+D1115-E1115</f>
        <v>0</v>
      </c>
      <c r="G1115" s="2">
        <f>+ABS(D1115)+ABS(E1115)</f>
        <v>0</v>
      </c>
    </row>
    <row r="1116" spans="1:7" s="15" customFormat="1" hidden="1">
      <c r="A1116" s="37" t="s">
        <v>2130</v>
      </c>
      <c r="B1116" s="53" t="s">
        <v>2131</v>
      </c>
      <c r="C1116" s="44"/>
      <c r="D1116" s="40">
        <v>0</v>
      </c>
      <c r="E1116" s="40">
        <v>0</v>
      </c>
      <c r="F1116" s="40">
        <f>+D1116-E1116</f>
        <v>0</v>
      </c>
      <c r="G1116" s="2">
        <f>+ABS(D1116)+ABS(E1116)</f>
        <v>0</v>
      </c>
    </row>
    <row r="1117" spans="1:7" s="15" customFormat="1" hidden="1">
      <c r="A1117" s="37" t="s">
        <v>2132</v>
      </c>
      <c r="B1117" s="53" t="s">
        <v>2133</v>
      </c>
      <c r="C1117" s="44"/>
      <c r="D1117" s="40">
        <v>0</v>
      </c>
      <c r="E1117" s="40">
        <v>0</v>
      </c>
      <c r="F1117" s="40">
        <f>+D1117-E1117</f>
        <v>0</v>
      </c>
      <c r="G1117" s="2">
        <f>+ABS(D1117)+ABS(E1117)</f>
        <v>0</v>
      </c>
    </row>
    <row r="1118" spans="1:7" s="15" customFormat="1" hidden="1">
      <c r="A1118" s="37" t="s">
        <v>2134</v>
      </c>
      <c r="B1118" s="53" t="s">
        <v>2135</v>
      </c>
      <c r="C1118" s="44"/>
      <c r="D1118" s="40">
        <v>0</v>
      </c>
      <c r="E1118" s="40">
        <v>0</v>
      </c>
      <c r="F1118" s="40">
        <f>+D1118-E1118</f>
        <v>0</v>
      </c>
      <c r="G1118" s="2">
        <f>+ABS(D1118)+ABS(E1118)</f>
        <v>0</v>
      </c>
    </row>
    <row r="1119" spans="1:7" s="15" customFormat="1" hidden="1">
      <c r="A1119" s="37" t="s">
        <v>2136</v>
      </c>
      <c r="B1119" s="53" t="s">
        <v>2137</v>
      </c>
      <c r="C1119" s="44"/>
      <c r="D1119" s="40">
        <v>0</v>
      </c>
      <c r="E1119" s="40">
        <v>0</v>
      </c>
      <c r="F1119" s="40">
        <f>+D1119-E1119</f>
        <v>0</v>
      </c>
      <c r="G1119" s="2">
        <f>+ABS(D1119)+ABS(E1119)</f>
        <v>0</v>
      </c>
    </row>
    <row r="1120" spans="1:7" s="15" customFormat="1" hidden="1">
      <c r="A1120" s="37" t="s">
        <v>2138</v>
      </c>
      <c r="B1120" s="53" t="s">
        <v>2139</v>
      </c>
      <c r="C1120" s="44"/>
      <c r="D1120" s="40">
        <v>0</v>
      </c>
      <c r="E1120" s="40">
        <v>0</v>
      </c>
      <c r="F1120" s="40">
        <f>+D1120-E1120</f>
        <v>0</v>
      </c>
      <c r="G1120" s="2">
        <f>+ABS(D1120)+ABS(E1120)</f>
        <v>0</v>
      </c>
    </row>
    <row r="1121" spans="1:7" s="15" customFormat="1" hidden="1">
      <c r="A1121" s="37" t="s">
        <v>2140</v>
      </c>
      <c r="B1121" s="53" t="s">
        <v>2141</v>
      </c>
      <c r="C1121" s="44"/>
      <c r="D1121" s="40">
        <v>0</v>
      </c>
      <c r="E1121" s="40">
        <v>0</v>
      </c>
      <c r="F1121" s="40">
        <f>+D1121-E1121</f>
        <v>0</v>
      </c>
      <c r="G1121" s="2">
        <f>+ABS(D1121)+ABS(E1121)</f>
        <v>0</v>
      </c>
    </row>
    <row r="1122" spans="1:7" s="15" customFormat="1" hidden="1">
      <c r="A1122" s="37" t="s">
        <v>2142</v>
      </c>
      <c r="B1122" s="53" t="s">
        <v>2143</v>
      </c>
      <c r="C1122" s="44"/>
      <c r="D1122" s="40">
        <v>0</v>
      </c>
      <c r="E1122" s="40">
        <v>0</v>
      </c>
      <c r="F1122" s="40">
        <f>+D1122-E1122</f>
        <v>0</v>
      </c>
      <c r="G1122" s="2">
        <f>+ABS(D1122)+ABS(E1122)</f>
        <v>0</v>
      </c>
    </row>
    <row r="1123" spans="1:7" s="15" customFormat="1" hidden="1">
      <c r="A1123" s="37" t="s">
        <v>2144</v>
      </c>
      <c r="B1123" s="53" t="s">
        <v>2145</v>
      </c>
      <c r="C1123" s="44"/>
      <c r="D1123" s="40">
        <v>0</v>
      </c>
      <c r="E1123" s="40">
        <v>0</v>
      </c>
      <c r="F1123" s="40">
        <f>+D1123-E1123</f>
        <v>0</v>
      </c>
      <c r="G1123" s="2">
        <f>+ABS(D1123)+ABS(E1123)</f>
        <v>0</v>
      </c>
    </row>
    <row r="1124" spans="1:7" s="15" customFormat="1" hidden="1">
      <c r="A1124" s="37" t="s">
        <v>2146</v>
      </c>
      <c r="B1124" s="53" t="s">
        <v>2147</v>
      </c>
      <c r="C1124" s="44"/>
      <c r="D1124" s="40">
        <v>0</v>
      </c>
      <c r="E1124" s="40">
        <v>0</v>
      </c>
      <c r="F1124" s="40">
        <f>+D1124-E1124</f>
        <v>0</v>
      </c>
      <c r="G1124" s="2">
        <f>+ABS(D1124)+ABS(E1124)</f>
        <v>0</v>
      </c>
    </row>
    <row r="1125" spans="1:7" s="15" customFormat="1" hidden="1">
      <c r="A1125" s="37" t="s">
        <v>2148</v>
      </c>
      <c r="B1125" s="53" t="s">
        <v>2149</v>
      </c>
      <c r="C1125" s="44"/>
      <c r="D1125" s="40">
        <v>0</v>
      </c>
      <c r="E1125" s="40">
        <v>0</v>
      </c>
      <c r="F1125" s="40">
        <f>+D1125-E1125</f>
        <v>0</v>
      </c>
      <c r="G1125" s="2">
        <f>+ABS(D1125)+ABS(E1125)</f>
        <v>0</v>
      </c>
    </row>
    <row r="1126" spans="1:7" s="15" customFormat="1" hidden="1">
      <c r="A1126" s="37" t="s">
        <v>2150</v>
      </c>
      <c r="B1126" s="53" t="s">
        <v>2151</v>
      </c>
      <c r="C1126" s="44"/>
      <c r="D1126" s="40">
        <v>0</v>
      </c>
      <c r="E1126" s="40">
        <v>0</v>
      </c>
      <c r="F1126" s="40">
        <f>+D1126-E1126</f>
        <v>0</v>
      </c>
      <c r="G1126" s="2">
        <f>+ABS(D1126)+ABS(E1126)</f>
        <v>0</v>
      </c>
    </row>
    <row r="1127" spans="1:7" s="15" customFormat="1" hidden="1">
      <c r="A1127" s="37" t="s">
        <v>2152</v>
      </c>
      <c r="B1127" s="53" t="s">
        <v>2153</v>
      </c>
      <c r="C1127" s="44"/>
      <c r="D1127" s="40">
        <v>0</v>
      </c>
      <c r="E1127" s="40">
        <v>0</v>
      </c>
      <c r="F1127" s="40">
        <f>+D1127-E1127</f>
        <v>0</v>
      </c>
      <c r="G1127" s="2">
        <f>+ABS(D1127)+ABS(E1127)</f>
        <v>0</v>
      </c>
    </row>
    <row r="1128" spans="1:7" s="15" customFormat="1" hidden="1">
      <c r="A1128" s="37" t="s">
        <v>2154</v>
      </c>
      <c r="B1128" s="53" t="s">
        <v>2155</v>
      </c>
      <c r="C1128" s="44"/>
      <c r="D1128" s="40">
        <v>0</v>
      </c>
      <c r="E1128" s="40">
        <v>0</v>
      </c>
      <c r="F1128" s="40">
        <f>+D1128-E1128</f>
        <v>0</v>
      </c>
      <c r="G1128" s="2">
        <f>+ABS(D1128)+ABS(E1128)</f>
        <v>0</v>
      </c>
    </row>
    <row r="1129" spans="1:7" s="15" customFormat="1" hidden="1">
      <c r="A1129" s="37" t="s">
        <v>2156</v>
      </c>
      <c r="B1129" s="53" t="s">
        <v>2157</v>
      </c>
      <c r="C1129" s="44"/>
      <c r="D1129" s="40">
        <v>0</v>
      </c>
      <c r="E1129" s="40">
        <v>0</v>
      </c>
      <c r="F1129" s="40">
        <f>+D1129-E1129</f>
        <v>0</v>
      </c>
      <c r="G1129" s="2">
        <f>+ABS(D1129)+ABS(E1129)</f>
        <v>0</v>
      </c>
    </row>
    <row r="1130" spans="1:7" s="15" customFormat="1" hidden="1">
      <c r="A1130" s="37" t="s">
        <v>2158</v>
      </c>
      <c r="B1130" s="53" t="s">
        <v>2159</v>
      </c>
      <c r="C1130" s="44"/>
      <c r="D1130" s="40">
        <v>0</v>
      </c>
      <c r="E1130" s="40">
        <v>0</v>
      </c>
      <c r="F1130" s="40">
        <f>+D1130-E1130</f>
        <v>0</v>
      </c>
      <c r="G1130" s="2">
        <f>+ABS(D1130)+ABS(E1130)</f>
        <v>0</v>
      </c>
    </row>
    <row r="1131" spans="1:7" s="15" customFormat="1" hidden="1">
      <c r="A1131" s="37" t="s">
        <v>2160</v>
      </c>
      <c r="B1131" s="53" t="s">
        <v>2161</v>
      </c>
      <c r="C1131" s="44"/>
      <c r="D1131" s="40">
        <v>0</v>
      </c>
      <c r="E1131" s="40">
        <v>0</v>
      </c>
      <c r="F1131" s="40">
        <f>+D1131-E1131</f>
        <v>0</v>
      </c>
      <c r="G1131" s="2">
        <f>+ABS(D1131)+ABS(E1131)</f>
        <v>0</v>
      </c>
    </row>
    <row r="1132" spans="1:7" s="15" customFormat="1" hidden="1">
      <c r="A1132" s="37" t="s">
        <v>2162</v>
      </c>
      <c r="B1132" s="53" t="s">
        <v>2163</v>
      </c>
      <c r="C1132" s="44"/>
      <c r="D1132" s="40">
        <v>0</v>
      </c>
      <c r="E1132" s="40">
        <v>0</v>
      </c>
      <c r="F1132" s="40">
        <f>+D1132-E1132</f>
        <v>0</v>
      </c>
      <c r="G1132" s="2">
        <f>+ABS(D1132)+ABS(E1132)</f>
        <v>0</v>
      </c>
    </row>
    <row r="1133" spans="1:7" s="15" customFormat="1" hidden="1">
      <c r="A1133" s="37" t="s">
        <v>2164</v>
      </c>
      <c r="B1133" s="53" t="s">
        <v>2165</v>
      </c>
      <c r="C1133" s="44"/>
      <c r="D1133" s="40">
        <v>0</v>
      </c>
      <c r="E1133" s="40">
        <v>0</v>
      </c>
      <c r="F1133" s="40">
        <f>+D1133-E1133</f>
        <v>0</v>
      </c>
      <c r="G1133" s="2">
        <f>+ABS(D1133)+ABS(E1133)</f>
        <v>0</v>
      </c>
    </row>
    <row r="1134" spans="1:7" s="15" customFormat="1" hidden="1">
      <c r="A1134" s="37" t="s">
        <v>2166</v>
      </c>
      <c r="B1134" s="53" t="s">
        <v>2167</v>
      </c>
      <c r="C1134" s="44"/>
      <c r="D1134" s="40">
        <v>0</v>
      </c>
      <c r="E1134" s="40">
        <v>0</v>
      </c>
      <c r="F1134" s="40">
        <f>+D1134-E1134</f>
        <v>0</v>
      </c>
      <c r="G1134" s="2">
        <f>+ABS(D1134)+ABS(E1134)</f>
        <v>0</v>
      </c>
    </row>
    <row r="1135" spans="1:7" s="15" customFormat="1" hidden="1">
      <c r="A1135" s="37" t="s">
        <v>2168</v>
      </c>
      <c r="B1135" s="53" t="s">
        <v>2169</v>
      </c>
      <c r="C1135" s="44"/>
      <c r="D1135" s="40">
        <v>0</v>
      </c>
      <c r="E1135" s="40">
        <v>0</v>
      </c>
      <c r="F1135" s="40">
        <f>+D1135-E1135</f>
        <v>0</v>
      </c>
      <c r="G1135" s="2">
        <f>+ABS(D1135)+ABS(E1135)</f>
        <v>0</v>
      </c>
    </row>
    <row r="1136" spans="1:7" s="15" customFormat="1" hidden="1">
      <c r="A1136" s="37" t="s">
        <v>2170</v>
      </c>
      <c r="B1136" s="53" t="s">
        <v>2171</v>
      </c>
      <c r="C1136" s="44"/>
      <c r="D1136" s="40">
        <v>0</v>
      </c>
      <c r="E1136" s="40">
        <v>0</v>
      </c>
      <c r="F1136" s="40">
        <f>+D1136-E1136</f>
        <v>0</v>
      </c>
      <c r="G1136" s="2">
        <f>+ABS(D1136)+ABS(E1136)</f>
        <v>0</v>
      </c>
    </row>
    <row r="1137" spans="1:7" s="15" customFormat="1" hidden="1">
      <c r="A1137" s="37" t="s">
        <v>2172</v>
      </c>
      <c r="B1137" s="53" t="s">
        <v>2173</v>
      </c>
      <c r="C1137" s="44"/>
      <c r="D1137" s="40">
        <v>0</v>
      </c>
      <c r="E1137" s="40">
        <v>0</v>
      </c>
      <c r="F1137" s="40">
        <f>+D1137-E1137</f>
        <v>0</v>
      </c>
      <c r="G1137" s="2">
        <f>+ABS(D1137)+ABS(E1137)</f>
        <v>0</v>
      </c>
    </row>
    <row r="1138" spans="1:7" s="15" customFormat="1" hidden="1">
      <c r="A1138" s="37" t="s">
        <v>2174</v>
      </c>
      <c r="B1138" s="53" t="s">
        <v>2175</v>
      </c>
      <c r="C1138" s="44"/>
      <c r="D1138" s="40">
        <v>0</v>
      </c>
      <c r="E1138" s="40">
        <v>0</v>
      </c>
      <c r="F1138" s="40">
        <f>+D1138-E1138</f>
        <v>0</v>
      </c>
      <c r="G1138" s="2">
        <f>+ABS(D1138)+ABS(E1138)</f>
        <v>0</v>
      </c>
    </row>
    <row r="1139" spans="1:7" s="15" customFormat="1" hidden="1">
      <c r="A1139" s="37" t="s">
        <v>2176</v>
      </c>
      <c r="B1139" s="53" t="s">
        <v>2177</v>
      </c>
      <c r="C1139" s="44"/>
      <c r="D1139" s="40">
        <v>0</v>
      </c>
      <c r="E1139" s="40">
        <v>0</v>
      </c>
      <c r="F1139" s="40">
        <f>+D1139-E1139</f>
        <v>0</v>
      </c>
      <c r="G1139" s="2">
        <f>+ABS(D1139)+ABS(E1139)</f>
        <v>0</v>
      </c>
    </row>
    <row r="1140" spans="1:7" s="15" customFormat="1" hidden="1">
      <c r="A1140" s="37" t="s">
        <v>2178</v>
      </c>
      <c r="B1140" s="53" t="s">
        <v>2179</v>
      </c>
      <c r="C1140" s="44"/>
      <c r="D1140" s="40">
        <v>0</v>
      </c>
      <c r="E1140" s="40">
        <v>0</v>
      </c>
      <c r="F1140" s="40">
        <f>+D1140-E1140</f>
        <v>0</v>
      </c>
      <c r="G1140" s="2">
        <f>+ABS(D1140)+ABS(E1140)</f>
        <v>0</v>
      </c>
    </row>
    <row r="1141" spans="1:7" s="15" customFormat="1" hidden="1">
      <c r="A1141" s="37" t="s">
        <v>2180</v>
      </c>
      <c r="B1141" s="53" t="s">
        <v>2181</v>
      </c>
      <c r="C1141" s="44"/>
      <c r="D1141" s="40">
        <v>0</v>
      </c>
      <c r="E1141" s="40">
        <v>0</v>
      </c>
      <c r="F1141" s="40">
        <f>+D1141-E1141</f>
        <v>0</v>
      </c>
      <c r="G1141" s="2">
        <f>+ABS(D1141)+ABS(E1141)</f>
        <v>0</v>
      </c>
    </row>
    <row r="1142" spans="1:7" s="15" customFormat="1" hidden="1">
      <c r="A1142" s="37" t="s">
        <v>2182</v>
      </c>
      <c r="B1142" s="53" t="s">
        <v>2183</v>
      </c>
      <c r="C1142" s="44"/>
      <c r="D1142" s="40">
        <v>0</v>
      </c>
      <c r="E1142" s="40">
        <v>0</v>
      </c>
      <c r="F1142" s="40">
        <f>+D1142-E1142</f>
        <v>0</v>
      </c>
      <c r="G1142" s="2">
        <f>+ABS(D1142)+ABS(E1142)</f>
        <v>0</v>
      </c>
    </row>
    <row r="1143" spans="1:7" s="15" customFormat="1" hidden="1">
      <c r="A1143" s="37" t="s">
        <v>2184</v>
      </c>
      <c r="B1143" s="53" t="s">
        <v>2185</v>
      </c>
      <c r="C1143" s="44"/>
      <c r="D1143" s="40">
        <v>0</v>
      </c>
      <c r="E1143" s="40">
        <v>0</v>
      </c>
      <c r="F1143" s="40">
        <f>+D1143-E1143</f>
        <v>0</v>
      </c>
      <c r="G1143" s="2">
        <f>+ABS(D1143)+ABS(E1143)</f>
        <v>0</v>
      </c>
    </row>
    <row r="1144" spans="1:7" s="15" customFormat="1" hidden="1">
      <c r="A1144" s="37" t="s">
        <v>2186</v>
      </c>
      <c r="B1144" s="53" t="s">
        <v>2187</v>
      </c>
      <c r="C1144" s="44"/>
      <c r="D1144" s="40">
        <v>0</v>
      </c>
      <c r="E1144" s="40">
        <v>0</v>
      </c>
      <c r="F1144" s="40">
        <f>+D1144-E1144</f>
        <v>0</v>
      </c>
      <c r="G1144" s="2">
        <f>+ABS(D1144)+ABS(E1144)</f>
        <v>0</v>
      </c>
    </row>
    <row r="1145" spans="1:7" s="15" customFormat="1" hidden="1">
      <c r="A1145" s="37" t="s">
        <v>2188</v>
      </c>
      <c r="B1145" s="53" t="s">
        <v>2189</v>
      </c>
      <c r="C1145" s="44"/>
      <c r="D1145" s="40">
        <v>0</v>
      </c>
      <c r="E1145" s="40">
        <v>0</v>
      </c>
      <c r="F1145" s="40">
        <f>+D1145-E1145</f>
        <v>0</v>
      </c>
      <c r="G1145" s="2">
        <f>+ABS(D1145)+ABS(E1145)</f>
        <v>0</v>
      </c>
    </row>
    <row r="1146" spans="1:7" s="15" customFormat="1" hidden="1">
      <c r="A1146" s="37" t="s">
        <v>2190</v>
      </c>
      <c r="B1146" s="53" t="s">
        <v>2191</v>
      </c>
      <c r="C1146" s="44"/>
      <c r="D1146" s="40">
        <v>0</v>
      </c>
      <c r="E1146" s="40">
        <v>0</v>
      </c>
      <c r="F1146" s="40">
        <f>+D1146-E1146</f>
        <v>0</v>
      </c>
      <c r="G1146" s="2">
        <f>+ABS(D1146)+ABS(E1146)</f>
        <v>0</v>
      </c>
    </row>
    <row r="1147" spans="1:7" s="15" customFormat="1" hidden="1">
      <c r="A1147" s="37" t="s">
        <v>2192</v>
      </c>
      <c r="B1147" s="53" t="s">
        <v>2193</v>
      </c>
      <c r="C1147" s="44"/>
      <c r="D1147" s="40">
        <v>0</v>
      </c>
      <c r="E1147" s="40">
        <v>0</v>
      </c>
      <c r="F1147" s="40">
        <f>+D1147-E1147</f>
        <v>0</v>
      </c>
      <c r="G1147" s="2">
        <f>+ABS(D1147)+ABS(E1147)</f>
        <v>0</v>
      </c>
    </row>
    <row r="1148" spans="1:7" s="15" customFormat="1" hidden="1">
      <c r="A1148" s="37" t="s">
        <v>2194</v>
      </c>
      <c r="B1148" s="53" t="s">
        <v>2195</v>
      </c>
      <c r="C1148" s="44"/>
      <c r="D1148" s="40">
        <v>0</v>
      </c>
      <c r="E1148" s="40">
        <v>0</v>
      </c>
      <c r="F1148" s="40">
        <f>+D1148-E1148</f>
        <v>0</v>
      </c>
      <c r="G1148" s="2">
        <f>+ABS(D1148)+ABS(E1148)</f>
        <v>0</v>
      </c>
    </row>
    <row r="1149" spans="1:7" s="15" customFormat="1" hidden="1">
      <c r="A1149" s="37" t="s">
        <v>2196</v>
      </c>
      <c r="B1149" s="53" t="s">
        <v>2197</v>
      </c>
      <c r="C1149" s="44"/>
      <c r="D1149" s="40">
        <v>0</v>
      </c>
      <c r="E1149" s="40">
        <v>0</v>
      </c>
      <c r="F1149" s="40">
        <f>+D1149-E1149</f>
        <v>0</v>
      </c>
      <c r="G1149" s="2">
        <f>+ABS(D1149)+ABS(E1149)</f>
        <v>0</v>
      </c>
    </row>
    <row r="1150" spans="1:7" s="15" customFormat="1" hidden="1">
      <c r="A1150" s="37" t="s">
        <v>2198</v>
      </c>
      <c r="B1150" s="53" t="s">
        <v>2199</v>
      </c>
      <c r="C1150" s="44"/>
      <c r="D1150" s="40">
        <v>0</v>
      </c>
      <c r="E1150" s="40">
        <v>0</v>
      </c>
      <c r="F1150" s="40">
        <f>+D1150-E1150</f>
        <v>0</v>
      </c>
      <c r="G1150" s="2">
        <f>+ABS(D1150)+ABS(E1150)</f>
        <v>0</v>
      </c>
    </row>
    <row r="1151" spans="1:7" s="15" customFormat="1" hidden="1">
      <c r="A1151" s="37" t="s">
        <v>2200</v>
      </c>
      <c r="B1151" s="53" t="s">
        <v>2201</v>
      </c>
      <c r="C1151" s="44"/>
      <c r="D1151" s="40">
        <v>0</v>
      </c>
      <c r="E1151" s="40">
        <v>0</v>
      </c>
      <c r="F1151" s="40">
        <f>+D1151-E1151</f>
        <v>0</v>
      </c>
      <c r="G1151" s="2">
        <f>+ABS(D1151)+ABS(E1151)</f>
        <v>0</v>
      </c>
    </row>
    <row r="1152" spans="1:7" s="15" customFormat="1" hidden="1">
      <c r="A1152" s="37" t="s">
        <v>2202</v>
      </c>
      <c r="B1152" s="53" t="s">
        <v>2203</v>
      </c>
      <c r="C1152" s="44"/>
      <c r="D1152" s="40">
        <v>0</v>
      </c>
      <c r="E1152" s="40">
        <v>0</v>
      </c>
      <c r="F1152" s="40">
        <f>+D1152-E1152</f>
        <v>0</v>
      </c>
      <c r="G1152" s="2">
        <f>+ABS(D1152)+ABS(E1152)</f>
        <v>0</v>
      </c>
    </row>
    <row r="1153" spans="1:7" s="15" customFormat="1" hidden="1">
      <c r="A1153" s="37" t="s">
        <v>2204</v>
      </c>
      <c r="B1153" s="53" t="s">
        <v>2205</v>
      </c>
      <c r="C1153" s="44"/>
      <c r="D1153" s="40">
        <v>0</v>
      </c>
      <c r="E1153" s="40">
        <v>0</v>
      </c>
      <c r="F1153" s="40">
        <f>+D1153-E1153</f>
        <v>0</v>
      </c>
      <c r="G1153" s="2">
        <f>+ABS(D1153)+ABS(E1153)</f>
        <v>0</v>
      </c>
    </row>
    <row r="1154" spans="1:7" s="15" customFormat="1" hidden="1">
      <c r="A1154" s="37" t="s">
        <v>2206</v>
      </c>
      <c r="B1154" s="53" t="s">
        <v>2207</v>
      </c>
      <c r="C1154" s="44"/>
      <c r="D1154" s="40">
        <v>0</v>
      </c>
      <c r="E1154" s="40">
        <v>0</v>
      </c>
      <c r="F1154" s="40">
        <f>+D1154-E1154</f>
        <v>0</v>
      </c>
      <c r="G1154" s="2">
        <f>+ABS(D1154)+ABS(E1154)</f>
        <v>0</v>
      </c>
    </row>
    <row r="1155" spans="1:7" s="15" customFormat="1" hidden="1">
      <c r="A1155" s="37" t="s">
        <v>2208</v>
      </c>
      <c r="B1155" s="53" t="s">
        <v>2209</v>
      </c>
      <c r="C1155" s="44"/>
      <c r="D1155" s="40">
        <v>0</v>
      </c>
      <c r="E1155" s="40">
        <v>0</v>
      </c>
      <c r="F1155" s="40">
        <f>+D1155-E1155</f>
        <v>0</v>
      </c>
      <c r="G1155" s="2">
        <f>+ABS(D1155)+ABS(E1155)</f>
        <v>0</v>
      </c>
    </row>
    <row r="1156" spans="1:7" s="15" customFormat="1" hidden="1">
      <c r="A1156" s="37" t="s">
        <v>2210</v>
      </c>
      <c r="B1156" s="53" t="s">
        <v>2211</v>
      </c>
      <c r="C1156" s="44"/>
      <c r="D1156" s="40">
        <v>0</v>
      </c>
      <c r="E1156" s="40">
        <v>0</v>
      </c>
      <c r="F1156" s="40">
        <f>+D1156-E1156</f>
        <v>0</v>
      </c>
      <c r="G1156" s="2">
        <f>+ABS(D1156)+ABS(E1156)</f>
        <v>0</v>
      </c>
    </row>
    <row r="1157" spans="1:7" s="15" customFormat="1" hidden="1">
      <c r="A1157" s="37" t="s">
        <v>2212</v>
      </c>
      <c r="B1157" s="53" t="s">
        <v>2213</v>
      </c>
      <c r="C1157" s="44"/>
      <c r="D1157" s="40">
        <v>0</v>
      </c>
      <c r="E1157" s="40">
        <v>0</v>
      </c>
      <c r="F1157" s="40">
        <f>+D1157-E1157</f>
        <v>0</v>
      </c>
      <c r="G1157" s="2">
        <f>+ABS(D1157)+ABS(E1157)</f>
        <v>0</v>
      </c>
    </row>
    <row r="1158" spans="1:7" s="15" customFormat="1" hidden="1">
      <c r="A1158" s="37" t="s">
        <v>2214</v>
      </c>
      <c r="B1158" s="53" t="s">
        <v>2215</v>
      </c>
      <c r="C1158" s="44"/>
      <c r="D1158" s="40">
        <v>0</v>
      </c>
      <c r="E1158" s="40">
        <v>0</v>
      </c>
      <c r="F1158" s="40">
        <f>+D1158-E1158</f>
        <v>0</v>
      </c>
      <c r="G1158" s="2">
        <f>+ABS(D1158)+ABS(E1158)</f>
        <v>0</v>
      </c>
    </row>
    <row r="1159" spans="1:7" s="15" customFormat="1" hidden="1">
      <c r="A1159" s="37" t="s">
        <v>2216</v>
      </c>
      <c r="B1159" s="53" t="s">
        <v>2217</v>
      </c>
      <c r="C1159" s="44"/>
      <c r="D1159" s="40">
        <v>0</v>
      </c>
      <c r="E1159" s="40">
        <v>0</v>
      </c>
      <c r="F1159" s="40">
        <f>+D1159-E1159</f>
        <v>0</v>
      </c>
      <c r="G1159" s="2">
        <f>+ABS(D1159)+ABS(E1159)</f>
        <v>0</v>
      </c>
    </row>
    <row r="1160" spans="1:7" s="15" customFormat="1" hidden="1">
      <c r="A1160" s="37" t="s">
        <v>2218</v>
      </c>
      <c r="B1160" s="53" t="s">
        <v>2219</v>
      </c>
      <c r="C1160" s="44"/>
      <c r="D1160" s="40">
        <v>0</v>
      </c>
      <c r="E1160" s="40">
        <v>0</v>
      </c>
      <c r="F1160" s="40">
        <f>+D1160-E1160</f>
        <v>0</v>
      </c>
      <c r="G1160" s="2">
        <f>+ABS(D1160)+ABS(E1160)</f>
        <v>0</v>
      </c>
    </row>
    <row r="1161" spans="1:7" s="15" customFormat="1" hidden="1">
      <c r="A1161" s="37" t="s">
        <v>2220</v>
      </c>
      <c r="B1161" s="53" t="s">
        <v>2221</v>
      </c>
      <c r="C1161" s="44"/>
      <c r="D1161" s="40">
        <v>0</v>
      </c>
      <c r="E1161" s="40">
        <v>0</v>
      </c>
      <c r="F1161" s="40">
        <f>+D1161-E1161</f>
        <v>0</v>
      </c>
      <c r="G1161" s="2">
        <f>+ABS(D1161)+ABS(E1161)</f>
        <v>0</v>
      </c>
    </row>
    <row r="1162" spans="1:7" s="15" customFormat="1" hidden="1">
      <c r="A1162" s="37" t="s">
        <v>2222</v>
      </c>
      <c r="B1162" s="53" t="s">
        <v>2223</v>
      </c>
      <c r="C1162" s="44"/>
      <c r="D1162" s="40">
        <v>0</v>
      </c>
      <c r="E1162" s="40">
        <v>0</v>
      </c>
      <c r="F1162" s="40">
        <f>+D1162-E1162</f>
        <v>0</v>
      </c>
      <c r="G1162" s="2">
        <f>+ABS(D1162)+ABS(E1162)</f>
        <v>0</v>
      </c>
    </row>
    <row r="1163" spans="1:7" s="15" customFormat="1" hidden="1">
      <c r="A1163" s="37" t="s">
        <v>2224</v>
      </c>
      <c r="B1163" s="53" t="s">
        <v>2225</v>
      </c>
      <c r="C1163" s="44"/>
      <c r="D1163" s="40">
        <v>0</v>
      </c>
      <c r="E1163" s="40">
        <v>0</v>
      </c>
      <c r="F1163" s="40">
        <f>+D1163-E1163</f>
        <v>0</v>
      </c>
      <c r="G1163" s="2">
        <f>+ABS(D1163)+ABS(E1163)</f>
        <v>0</v>
      </c>
    </row>
    <row r="1164" spans="1:7" s="15" customFormat="1" hidden="1">
      <c r="A1164" s="37" t="s">
        <v>2226</v>
      </c>
      <c r="B1164" s="53" t="s">
        <v>2227</v>
      </c>
      <c r="C1164" s="44"/>
      <c r="D1164" s="40">
        <v>0</v>
      </c>
      <c r="E1164" s="40">
        <v>0</v>
      </c>
      <c r="F1164" s="40">
        <f>+D1164-E1164</f>
        <v>0</v>
      </c>
      <c r="G1164" s="2">
        <f>+ABS(D1164)+ABS(E1164)</f>
        <v>0</v>
      </c>
    </row>
    <row r="1165" spans="1:7" s="15" customFormat="1" hidden="1">
      <c r="A1165" s="37" t="s">
        <v>2228</v>
      </c>
      <c r="B1165" s="53" t="s">
        <v>2229</v>
      </c>
      <c r="C1165" s="44"/>
      <c r="D1165" s="40">
        <v>0</v>
      </c>
      <c r="E1165" s="40">
        <v>0</v>
      </c>
      <c r="F1165" s="40">
        <f>+D1165-E1165</f>
        <v>0</v>
      </c>
      <c r="G1165" s="2">
        <f>+ABS(D1165)+ABS(E1165)</f>
        <v>0</v>
      </c>
    </row>
    <row r="1166" spans="1:7" s="15" customFormat="1" hidden="1">
      <c r="A1166" s="37" t="s">
        <v>2230</v>
      </c>
      <c r="B1166" s="53" t="s">
        <v>2231</v>
      </c>
      <c r="C1166" s="44"/>
      <c r="D1166" s="40">
        <v>0</v>
      </c>
      <c r="E1166" s="40">
        <v>0</v>
      </c>
      <c r="F1166" s="40">
        <f>+D1166-E1166</f>
        <v>0</v>
      </c>
      <c r="G1166" s="2">
        <f>+ABS(D1166)+ABS(E1166)</f>
        <v>0</v>
      </c>
    </row>
    <row r="1167" spans="1:7" s="15" customFormat="1" hidden="1">
      <c r="A1167" s="37" t="s">
        <v>2232</v>
      </c>
      <c r="B1167" s="53" t="s">
        <v>2233</v>
      </c>
      <c r="C1167" s="44"/>
      <c r="D1167" s="40">
        <v>0</v>
      </c>
      <c r="E1167" s="40">
        <v>0</v>
      </c>
      <c r="F1167" s="40">
        <f>+D1167-E1167</f>
        <v>0</v>
      </c>
      <c r="G1167" s="2">
        <f>+ABS(D1167)+ABS(E1167)</f>
        <v>0</v>
      </c>
    </row>
    <row r="1168" spans="1:7" s="15" customFormat="1" hidden="1">
      <c r="A1168" s="37" t="s">
        <v>2234</v>
      </c>
      <c r="B1168" s="53" t="s">
        <v>2235</v>
      </c>
      <c r="C1168" s="44"/>
      <c r="D1168" s="40">
        <v>0</v>
      </c>
      <c r="E1168" s="40">
        <v>0</v>
      </c>
      <c r="F1168" s="40">
        <f>+D1168-E1168</f>
        <v>0</v>
      </c>
      <c r="G1168" s="2">
        <f>+ABS(D1168)+ABS(E1168)</f>
        <v>0</v>
      </c>
    </row>
    <row r="1169" spans="1:7" s="15" customFormat="1" hidden="1">
      <c r="A1169" s="37" t="s">
        <v>2236</v>
      </c>
      <c r="B1169" s="53" t="s">
        <v>2237</v>
      </c>
      <c r="C1169" s="44"/>
      <c r="D1169" s="40">
        <v>0</v>
      </c>
      <c r="E1169" s="40">
        <v>0</v>
      </c>
      <c r="F1169" s="40">
        <f>+D1169-E1169</f>
        <v>0</v>
      </c>
      <c r="G1169" s="2">
        <f>+ABS(D1169)+ABS(E1169)</f>
        <v>0</v>
      </c>
    </row>
    <row r="1170" spans="1:7" s="15" customFormat="1" hidden="1">
      <c r="A1170" s="37" t="s">
        <v>2238</v>
      </c>
      <c r="B1170" s="53" t="s">
        <v>2239</v>
      </c>
      <c r="C1170" s="44"/>
      <c r="D1170" s="40">
        <v>0</v>
      </c>
      <c r="E1170" s="40">
        <v>0</v>
      </c>
      <c r="F1170" s="40">
        <f>+D1170-E1170</f>
        <v>0</v>
      </c>
      <c r="G1170" s="2">
        <f>+ABS(D1170)+ABS(E1170)</f>
        <v>0</v>
      </c>
    </row>
    <row r="1171" spans="1:7" s="15" customFormat="1" hidden="1">
      <c r="A1171" s="37" t="s">
        <v>2240</v>
      </c>
      <c r="B1171" s="53" t="s">
        <v>2241</v>
      </c>
      <c r="C1171" s="44"/>
      <c r="D1171" s="40">
        <v>0</v>
      </c>
      <c r="E1171" s="40">
        <v>0</v>
      </c>
      <c r="F1171" s="40">
        <f>+D1171-E1171</f>
        <v>0</v>
      </c>
      <c r="G1171" s="2">
        <f>+ABS(D1171)+ABS(E1171)</f>
        <v>0</v>
      </c>
    </row>
    <row r="1172" spans="1:7" s="15" customFormat="1" hidden="1">
      <c r="A1172" s="37" t="s">
        <v>2242</v>
      </c>
      <c r="B1172" s="53" t="s">
        <v>2243</v>
      </c>
      <c r="C1172" s="44"/>
      <c r="D1172" s="40">
        <v>0</v>
      </c>
      <c r="E1172" s="40">
        <v>0</v>
      </c>
      <c r="F1172" s="40">
        <f>+D1172-E1172</f>
        <v>0</v>
      </c>
      <c r="G1172" s="2">
        <f>+ABS(D1172)+ABS(E1172)</f>
        <v>0</v>
      </c>
    </row>
    <row r="1173" spans="1:7" s="15" customFormat="1" hidden="1">
      <c r="A1173" s="37" t="s">
        <v>2244</v>
      </c>
      <c r="B1173" s="53" t="s">
        <v>2245</v>
      </c>
      <c r="C1173" s="44"/>
      <c r="D1173" s="40">
        <v>0</v>
      </c>
      <c r="E1173" s="40">
        <v>0</v>
      </c>
      <c r="F1173" s="40">
        <f>+D1173-E1173</f>
        <v>0</v>
      </c>
      <c r="G1173" s="2">
        <f>+ABS(D1173)+ABS(E1173)</f>
        <v>0</v>
      </c>
    </row>
    <row r="1174" spans="1:7" s="15" customFormat="1" hidden="1">
      <c r="A1174" s="37" t="s">
        <v>2246</v>
      </c>
      <c r="B1174" s="53" t="s">
        <v>2247</v>
      </c>
      <c r="C1174" s="44"/>
      <c r="D1174" s="40">
        <v>0</v>
      </c>
      <c r="E1174" s="40">
        <v>0</v>
      </c>
      <c r="F1174" s="40">
        <f>+D1174-E1174</f>
        <v>0</v>
      </c>
      <c r="G1174" s="2">
        <f>+ABS(D1174)+ABS(E1174)</f>
        <v>0</v>
      </c>
    </row>
    <row r="1175" spans="1:7" s="15" customFormat="1" hidden="1">
      <c r="A1175" s="37" t="s">
        <v>2248</v>
      </c>
      <c r="B1175" s="53" t="s">
        <v>2249</v>
      </c>
      <c r="C1175" s="44"/>
      <c r="D1175" s="40">
        <v>0</v>
      </c>
      <c r="E1175" s="40">
        <v>0</v>
      </c>
      <c r="F1175" s="40">
        <f>+D1175-E1175</f>
        <v>0</v>
      </c>
      <c r="G1175" s="2">
        <f>+ABS(D1175)+ABS(E1175)</f>
        <v>0</v>
      </c>
    </row>
    <row r="1176" spans="1:7" s="15" customFormat="1" hidden="1">
      <c r="A1176" s="37" t="s">
        <v>2250</v>
      </c>
      <c r="B1176" s="53" t="s">
        <v>2251</v>
      </c>
      <c r="C1176" s="44"/>
      <c r="D1176" s="40">
        <v>0</v>
      </c>
      <c r="E1176" s="40">
        <v>0</v>
      </c>
      <c r="F1176" s="40">
        <f>+D1176-E1176</f>
        <v>0</v>
      </c>
      <c r="G1176" s="2">
        <f>+ABS(D1176)+ABS(E1176)</f>
        <v>0</v>
      </c>
    </row>
    <row r="1177" spans="1:7" s="15" customFormat="1" hidden="1">
      <c r="A1177" s="37" t="s">
        <v>2252</v>
      </c>
      <c r="B1177" s="53" t="s">
        <v>2253</v>
      </c>
      <c r="C1177" s="44"/>
      <c r="D1177" s="40">
        <v>0</v>
      </c>
      <c r="E1177" s="40">
        <v>0</v>
      </c>
      <c r="F1177" s="40">
        <f>+D1177-E1177</f>
        <v>0</v>
      </c>
      <c r="G1177" s="2">
        <f>+ABS(D1177)+ABS(E1177)</f>
        <v>0</v>
      </c>
    </row>
    <row r="1178" spans="1:7" s="15" customFormat="1" hidden="1">
      <c r="A1178" s="37" t="s">
        <v>2254</v>
      </c>
      <c r="B1178" s="53" t="s">
        <v>2255</v>
      </c>
      <c r="C1178" s="44"/>
      <c r="D1178" s="40">
        <v>0</v>
      </c>
      <c r="E1178" s="40">
        <v>0</v>
      </c>
      <c r="F1178" s="40">
        <f>+D1178-E1178</f>
        <v>0</v>
      </c>
      <c r="G1178" s="2">
        <f>+ABS(D1178)+ABS(E1178)</f>
        <v>0</v>
      </c>
    </row>
    <row r="1179" spans="1:7" s="15" customFormat="1" hidden="1">
      <c r="A1179" s="37" t="s">
        <v>2256</v>
      </c>
      <c r="B1179" s="53" t="s">
        <v>2257</v>
      </c>
      <c r="C1179" s="44"/>
      <c r="D1179" s="40">
        <v>0</v>
      </c>
      <c r="E1179" s="40">
        <v>0</v>
      </c>
      <c r="F1179" s="40">
        <f>+D1179-E1179</f>
        <v>0</v>
      </c>
      <c r="G1179" s="2">
        <f>+ABS(D1179)+ABS(E1179)</f>
        <v>0</v>
      </c>
    </row>
    <row r="1180" spans="1:7" s="15" customFormat="1" hidden="1">
      <c r="A1180" s="37" t="s">
        <v>2258</v>
      </c>
      <c r="B1180" s="53" t="s">
        <v>2259</v>
      </c>
      <c r="C1180" s="44"/>
      <c r="D1180" s="40">
        <v>0</v>
      </c>
      <c r="E1180" s="40">
        <v>0</v>
      </c>
      <c r="F1180" s="40">
        <f>+D1180-E1180</f>
        <v>0</v>
      </c>
      <c r="G1180" s="2">
        <f>+ABS(D1180)+ABS(E1180)</f>
        <v>0</v>
      </c>
    </row>
    <row r="1181" spans="1:7" s="15" customFormat="1" hidden="1">
      <c r="A1181" s="37" t="s">
        <v>2260</v>
      </c>
      <c r="B1181" s="53" t="s">
        <v>2261</v>
      </c>
      <c r="C1181" s="44"/>
      <c r="D1181" s="40">
        <v>0</v>
      </c>
      <c r="E1181" s="40">
        <v>0</v>
      </c>
      <c r="F1181" s="40">
        <f>+D1181-E1181</f>
        <v>0</v>
      </c>
      <c r="G1181" s="2">
        <f>+ABS(D1181)+ABS(E1181)</f>
        <v>0</v>
      </c>
    </row>
    <row r="1182" spans="1:7" s="15" customFormat="1" hidden="1">
      <c r="A1182" s="37" t="s">
        <v>2262</v>
      </c>
      <c r="B1182" s="53" t="s">
        <v>2263</v>
      </c>
      <c r="C1182" s="44"/>
      <c r="D1182" s="40">
        <v>0</v>
      </c>
      <c r="E1182" s="40">
        <v>0</v>
      </c>
      <c r="F1182" s="40">
        <f>+D1182-E1182</f>
        <v>0</v>
      </c>
      <c r="G1182" s="2">
        <f>+ABS(D1182)+ABS(E1182)</f>
        <v>0</v>
      </c>
    </row>
    <row r="1183" spans="1:7" s="15" customFormat="1" hidden="1">
      <c r="A1183" s="37" t="s">
        <v>2264</v>
      </c>
      <c r="B1183" s="53" t="s">
        <v>2265</v>
      </c>
      <c r="C1183" s="44"/>
      <c r="D1183" s="40">
        <v>0</v>
      </c>
      <c r="E1183" s="40">
        <v>0</v>
      </c>
      <c r="F1183" s="40">
        <f>+D1183-E1183</f>
        <v>0</v>
      </c>
      <c r="G1183" s="2">
        <f>+ABS(D1183)+ABS(E1183)</f>
        <v>0</v>
      </c>
    </row>
    <row r="1184" spans="1:7" s="15" customFormat="1" hidden="1">
      <c r="A1184" s="37" t="s">
        <v>2266</v>
      </c>
      <c r="B1184" s="53" t="s">
        <v>2267</v>
      </c>
      <c r="C1184" s="44"/>
      <c r="D1184" s="40">
        <v>0</v>
      </c>
      <c r="E1184" s="40">
        <v>0</v>
      </c>
      <c r="F1184" s="40">
        <f>+D1184-E1184</f>
        <v>0</v>
      </c>
      <c r="G1184" s="2">
        <f>+ABS(D1184)+ABS(E1184)</f>
        <v>0</v>
      </c>
    </row>
    <row r="1185" spans="1:7" s="15" customFormat="1" hidden="1">
      <c r="A1185" s="37" t="s">
        <v>2268</v>
      </c>
      <c r="B1185" s="53" t="s">
        <v>2269</v>
      </c>
      <c r="C1185" s="44"/>
      <c r="D1185" s="40">
        <v>0</v>
      </c>
      <c r="E1185" s="40">
        <v>0</v>
      </c>
      <c r="F1185" s="40">
        <f>+D1185-E1185</f>
        <v>0</v>
      </c>
      <c r="G1185" s="2">
        <f>+ABS(D1185)+ABS(E1185)</f>
        <v>0</v>
      </c>
    </row>
    <row r="1186" spans="1:7" s="15" customFormat="1" hidden="1">
      <c r="A1186" s="37" t="s">
        <v>2270</v>
      </c>
      <c r="B1186" s="53" t="s">
        <v>2271</v>
      </c>
      <c r="C1186" s="44"/>
      <c r="D1186" s="40">
        <v>0</v>
      </c>
      <c r="E1186" s="40">
        <v>0</v>
      </c>
      <c r="F1186" s="40">
        <f>+D1186-E1186</f>
        <v>0</v>
      </c>
      <c r="G1186" s="2">
        <f>+ABS(D1186)+ABS(E1186)</f>
        <v>0</v>
      </c>
    </row>
    <row r="1187" spans="1:7" s="15" customFormat="1" hidden="1">
      <c r="A1187" s="37" t="s">
        <v>2272</v>
      </c>
      <c r="B1187" s="53" t="s">
        <v>2273</v>
      </c>
      <c r="C1187" s="44"/>
      <c r="D1187" s="40">
        <v>0</v>
      </c>
      <c r="E1187" s="40">
        <v>0</v>
      </c>
      <c r="F1187" s="40">
        <f>+D1187-E1187</f>
        <v>0</v>
      </c>
      <c r="G1187" s="2">
        <f>+ABS(D1187)+ABS(E1187)</f>
        <v>0</v>
      </c>
    </row>
    <row r="1188" spans="1:7" s="15" customFormat="1" hidden="1">
      <c r="A1188" s="37" t="s">
        <v>2274</v>
      </c>
      <c r="B1188" s="53" t="s">
        <v>2275</v>
      </c>
      <c r="C1188" s="44"/>
      <c r="D1188" s="40">
        <v>0</v>
      </c>
      <c r="E1188" s="40">
        <v>0</v>
      </c>
      <c r="F1188" s="40">
        <f>+D1188-E1188</f>
        <v>0</v>
      </c>
      <c r="G1188" s="2">
        <f>+ABS(D1188)+ABS(E1188)</f>
        <v>0</v>
      </c>
    </row>
    <row r="1189" spans="1:7" s="15" customFormat="1" hidden="1">
      <c r="A1189" s="37" t="s">
        <v>2276</v>
      </c>
      <c r="B1189" s="53" t="s">
        <v>2277</v>
      </c>
      <c r="C1189" s="44"/>
      <c r="D1189" s="40">
        <v>0</v>
      </c>
      <c r="E1189" s="40">
        <v>0</v>
      </c>
      <c r="F1189" s="40">
        <f>+D1189-E1189</f>
        <v>0</v>
      </c>
      <c r="G1189" s="2">
        <f>+ABS(D1189)+ABS(E1189)</f>
        <v>0</v>
      </c>
    </row>
    <row r="1190" spans="1:7" s="15" customFormat="1" hidden="1">
      <c r="A1190" s="37" t="s">
        <v>2278</v>
      </c>
      <c r="B1190" s="53" t="s">
        <v>2279</v>
      </c>
      <c r="C1190" s="44"/>
      <c r="D1190" s="40">
        <v>0</v>
      </c>
      <c r="E1190" s="40">
        <v>0</v>
      </c>
      <c r="F1190" s="40">
        <f>+D1190-E1190</f>
        <v>0</v>
      </c>
      <c r="G1190" s="2">
        <f>+ABS(D1190)+ABS(E1190)</f>
        <v>0</v>
      </c>
    </row>
    <row r="1191" spans="1:7" s="15" customFormat="1" hidden="1">
      <c r="A1191" s="37" t="s">
        <v>2280</v>
      </c>
      <c r="B1191" s="53" t="s">
        <v>2281</v>
      </c>
      <c r="C1191" s="44"/>
      <c r="D1191" s="40">
        <v>0</v>
      </c>
      <c r="E1191" s="40">
        <v>0</v>
      </c>
      <c r="F1191" s="40">
        <f>+D1191-E1191</f>
        <v>0</v>
      </c>
      <c r="G1191" s="2">
        <f>+ABS(D1191)+ABS(E1191)</f>
        <v>0</v>
      </c>
    </row>
    <row r="1192" spans="1:7" s="15" customFormat="1" hidden="1">
      <c r="A1192" s="37" t="s">
        <v>2282</v>
      </c>
      <c r="B1192" s="53" t="s">
        <v>2283</v>
      </c>
      <c r="C1192" s="44"/>
      <c r="D1192" s="40">
        <v>0</v>
      </c>
      <c r="E1192" s="40">
        <v>0</v>
      </c>
      <c r="F1192" s="40">
        <f>+D1192-E1192</f>
        <v>0</v>
      </c>
      <c r="G1192" s="2">
        <f>+ABS(D1192)+ABS(E1192)</f>
        <v>0</v>
      </c>
    </row>
    <row r="1193" spans="1:7" s="15" customFormat="1" hidden="1">
      <c r="A1193" s="37" t="s">
        <v>2284</v>
      </c>
      <c r="B1193" s="53" t="s">
        <v>2285</v>
      </c>
      <c r="C1193" s="44"/>
      <c r="D1193" s="40">
        <v>0</v>
      </c>
      <c r="E1193" s="40">
        <v>0</v>
      </c>
      <c r="F1193" s="40">
        <f>+D1193-E1193</f>
        <v>0</v>
      </c>
      <c r="G1193" s="2">
        <f>+ABS(D1193)+ABS(E1193)</f>
        <v>0</v>
      </c>
    </row>
    <row r="1194" spans="1:7" s="15" customFormat="1" hidden="1">
      <c r="A1194" s="37" t="s">
        <v>2286</v>
      </c>
      <c r="B1194" s="53" t="s">
        <v>2287</v>
      </c>
      <c r="C1194" s="44"/>
      <c r="D1194" s="40">
        <v>0</v>
      </c>
      <c r="E1194" s="40">
        <v>0</v>
      </c>
      <c r="F1194" s="40">
        <f>+D1194-E1194</f>
        <v>0</v>
      </c>
      <c r="G1194" s="2">
        <f>+ABS(D1194)+ABS(E1194)</f>
        <v>0</v>
      </c>
    </row>
    <row r="1195" spans="1:7" s="15" customFormat="1" hidden="1">
      <c r="A1195" s="37" t="s">
        <v>2288</v>
      </c>
      <c r="B1195" s="53" t="s">
        <v>2289</v>
      </c>
      <c r="C1195" s="44"/>
      <c r="D1195" s="40">
        <v>0</v>
      </c>
      <c r="E1195" s="40">
        <v>0</v>
      </c>
      <c r="F1195" s="40">
        <f>+D1195-E1195</f>
        <v>0</v>
      </c>
      <c r="G1195" s="2">
        <f>+ABS(D1195)+ABS(E1195)</f>
        <v>0</v>
      </c>
    </row>
    <row r="1196" spans="1:7" s="15" customFormat="1" hidden="1">
      <c r="A1196" s="37" t="s">
        <v>2290</v>
      </c>
      <c r="B1196" s="53" t="s">
        <v>2291</v>
      </c>
      <c r="C1196" s="44"/>
      <c r="D1196" s="40">
        <v>0</v>
      </c>
      <c r="E1196" s="40">
        <v>0</v>
      </c>
      <c r="F1196" s="40">
        <f>+D1196-E1196</f>
        <v>0</v>
      </c>
      <c r="G1196" s="2">
        <f>+ABS(D1196)+ABS(E1196)</f>
        <v>0</v>
      </c>
    </row>
    <row r="1197" spans="1:7" s="15" customFormat="1" hidden="1">
      <c r="A1197" s="37" t="s">
        <v>2292</v>
      </c>
      <c r="B1197" s="53" t="s">
        <v>2293</v>
      </c>
      <c r="C1197" s="44"/>
      <c r="D1197" s="40">
        <v>0</v>
      </c>
      <c r="E1197" s="40">
        <v>0</v>
      </c>
      <c r="F1197" s="40">
        <f>+D1197-E1197</f>
        <v>0</v>
      </c>
      <c r="G1197" s="2">
        <f>+ABS(D1197)+ABS(E1197)</f>
        <v>0</v>
      </c>
    </row>
    <row r="1198" spans="1:7" s="15" customFormat="1" hidden="1">
      <c r="A1198" s="37" t="s">
        <v>2294</v>
      </c>
      <c r="B1198" s="53" t="s">
        <v>2295</v>
      </c>
      <c r="C1198" s="44"/>
      <c r="D1198" s="40">
        <v>0</v>
      </c>
      <c r="E1198" s="40">
        <v>0</v>
      </c>
      <c r="F1198" s="40">
        <f>+D1198-E1198</f>
        <v>0</v>
      </c>
      <c r="G1198" s="2">
        <f>+ABS(D1198)+ABS(E1198)</f>
        <v>0</v>
      </c>
    </row>
    <row r="1199" spans="1:7" s="15" customFormat="1" hidden="1">
      <c r="A1199" s="37" t="s">
        <v>2296</v>
      </c>
      <c r="B1199" s="53" t="s">
        <v>2297</v>
      </c>
      <c r="C1199" s="44"/>
      <c r="D1199" s="40">
        <v>0</v>
      </c>
      <c r="E1199" s="40">
        <v>0</v>
      </c>
      <c r="F1199" s="40">
        <f>+D1199-E1199</f>
        <v>0</v>
      </c>
      <c r="G1199" s="2">
        <f>+ABS(D1199)+ABS(E1199)</f>
        <v>0</v>
      </c>
    </row>
    <row r="1200" spans="1:7" s="15" customFormat="1" hidden="1">
      <c r="A1200" s="37" t="s">
        <v>2298</v>
      </c>
      <c r="B1200" s="53" t="s">
        <v>2299</v>
      </c>
      <c r="C1200" s="44"/>
      <c r="D1200" s="40">
        <v>0</v>
      </c>
      <c r="E1200" s="40">
        <v>0</v>
      </c>
      <c r="F1200" s="40">
        <f>+D1200-E1200</f>
        <v>0</v>
      </c>
      <c r="G1200" s="2">
        <f>+ABS(D1200)+ABS(E1200)</f>
        <v>0</v>
      </c>
    </row>
    <row r="1201" spans="1:7" s="15" customFormat="1" hidden="1">
      <c r="A1201" s="37" t="s">
        <v>2300</v>
      </c>
      <c r="B1201" s="53" t="s">
        <v>2301</v>
      </c>
      <c r="C1201" s="44"/>
      <c r="D1201" s="40">
        <v>0</v>
      </c>
      <c r="E1201" s="40">
        <v>0</v>
      </c>
      <c r="F1201" s="40">
        <f>+D1201-E1201</f>
        <v>0</v>
      </c>
      <c r="G1201" s="2">
        <f>+ABS(D1201)+ABS(E1201)</f>
        <v>0</v>
      </c>
    </row>
    <row r="1202" spans="1:7" s="15" customFormat="1" hidden="1">
      <c r="A1202" s="37" t="s">
        <v>2302</v>
      </c>
      <c r="B1202" s="53" t="s">
        <v>1543</v>
      </c>
      <c r="C1202" s="44"/>
      <c r="D1202" s="40">
        <v>0</v>
      </c>
      <c r="E1202" s="40">
        <v>0</v>
      </c>
      <c r="F1202" s="40">
        <f>+D1202-E1202</f>
        <v>0</v>
      </c>
      <c r="G1202" s="2">
        <f>+ABS(D1202)+ABS(E1202)</f>
        <v>0</v>
      </c>
    </row>
    <row r="1203" spans="1:7" s="15" customFormat="1" hidden="1">
      <c r="A1203" s="37" t="s">
        <v>2303</v>
      </c>
      <c r="B1203" s="53" t="s">
        <v>2304</v>
      </c>
      <c r="C1203" s="44"/>
      <c r="D1203" s="40">
        <v>0</v>
      </c>
      <c r="E1203" s="40">
        <v>0</v>
      </c>
      <c r="F1203" s="40">
        <f>+D1203-E1203</f>
        <v>0</v>
      </c>
      <c r="G1203" s="2">
        <f>+ABS(D1203)+ABS(E1203)</f>
        <v>0</v>
      </c>
    </row>
    <row r="1204" spans="1:7" s="15" customFormat="1" hidden="1">
      <c r="A1204" s="37" t="s">
        <v>2305</v>
      </c>
      <c r="B1204" s="53" t="s">
        <v>2306</v>
      </c>
      <c r="C1204" s="44"/>
      <c r="D1204" s="40">
        <v>0</v>
      </c>
      <c r="E1204" s="40">
        <v>0</v>
      </c>
      <c r="F1204" s="40">
        <f>+D1204-E1204</f>
        <v>0</v>
      </c>
      <c r="G1204" s="2">
        <f>+ABS(D1204)+ABS(E1204)</f>
        <v>0</v>
      </c>
    </row>
    <row r="1205" spans="1:7" s="15" customFormat="1" hidden="1">
      <c r="A1205" s="37" t="s">
        <v>2307</v>
      </c>
      <c r="B1205" s="53" t="s">
        <v>2308</v>
      </c>
      <c r="C1205" s="44"/>
      <c r="D1205" s="40">
        <v>0</v>
      </c>
      <c r="E1205" s="40">
        <v>0</v>
      </c>
      <c r="F1205" s="40">
        <f>+D1205-E1205</f>
        <v>0</v>
      </c>
      <c r="G1205" s="2">
        <f>+ABS(D1205)+ABS(E1205)</f>
        <v>0</v>
      </c>
    </row>
    <row r="1206" spans="1:7" s="15" customFormat="1" hidden="1">
      <c r="A1206" s="37"/>
      <c r="B1206" s="53"/>
      <c r="C1206" s="44"/>
      <c r="D1206" s="40"/>
      <c r="E1206" s="40"/>
      <c r="F1206" s="40"/>
      <c r="G1206" s="2"/>
    </row>
    <row r="1207" spans="1:7" s="15" customFormat="1" hidden="1">
      <c r="A1207" s="37" t="s">
        <v>2309</v>
      </c>
      <c r="B1207" s="53" t="s">
        <v>2310</v>
      </c>
      <c r="C1207" s="44"/>
      <c r="D1207" s="40">
        <v>0</v>
      </c>
      <c r="E1207" s="40">
        <v>0</v>
      </c>
      <c r="F1207" s="40">
        <f>+D1207-E1207</f>
        <v>0</v>
      </c>
      <c r="G1207" s="2">
        <f>+ABS(D1207)+ABS(E1207)</f>
        <v>0</v>
      </c>
    </row>
    <row r="1208" spans="1:7" s="15" customFormat="1" hidden="1">
      <c r="A1208" s="37" t="s">
        <v>2311</v>
      </c>
      <c r="B1208" s="53" t="s">
        <v>2312</v>
      </c>
      <c r="C1208" s="44"/>
      <c r="D1208" s="40">
        <v>0</v>
      </c>
      <c r="E1208" s="40">
        <v>0</v>
      </c>
      <c r="F1208" s="40">
        <f>+D1208-E1208</f>
        <v>0</v>
      </c>
      <c r="G1208" s="2">
        <f>+ABS(D1208)+ABS(E1208)</f>
        <v>0</v>
      </c>
    </row>
    <row r="1209" spans="1:7" s="15" customFormat="1" hidden="1">
      <c r="A1209" s="37" t="s">
        <v>2313</v>
      </c>
      <c r="B1209" s="53" t="s">
        <v>2314</v>
      </c>
      <c r="C1209" s="44"/>
      <c r="D1209" s="40">
        <v>0</v>
      </c>
      <c r="E1209" s="40">
        <v>0</v>
      </c>
      <c r="F1209" s="40">
        <f>+D1209-E1209</f>
        <v>0</v>
      </c>
      <c r="G1209" s="2">
        <f>+ABS(D1209)+ABS(E1209)</f>
        <v>0</v>
      </c>
    </row>
    <row r="1210" spans="1:7" s="15" customFormat="1">
      <c r="A1210" s="37" t="s">
        <v>2315</v>
      </c>
      <c r="B1210" s="53" t="s">
        <v>2316</v>
      </c>
      <c r="C1210" s="44"/>
      <c r="D1210" s="40">
        <v>71200925</v>
      </c>
      <c r="E1210" s="40">
        <v>71200925</v>
      </c>
      <c r="F1210" s="40">
        <f>+D1210-E1210</f>
        <v>0</v>
      </c>
      <c r="G1210" s="2">
        <f>+ABS(D1210)+ABS(E1210)</f>
        <v>142401850</v>
      </c>
    </row>
    <row r="1211" spans="1:7" s="15" customFormat="1" hidden="1">
      <c r="A1211" s="37" t="s">
        <v>2317</v>
      </c>
      <c r="B1211" s="53" t="s">
        <v>2318</v>
      </c>
      <c r="C1211" s="44"/>
      <c r="D1211" s="40">
        <v>0</v>
      </c>
      <c r="E1211" s="40">
        <v>0</v>
      </c>
      <c r="F1211" s="40">
        <f>+D1211-E1211</f>
        <v>0</v>
      </c>
      <c r="G1211" s="2">
        <f>+ABS(D1211)+ABS(E1211)</f>
        <v>0</v>
      </c>
    </row>
    <row r="1212" spans="1:7" s="15" customFormat="1" hidden="1">
      <c r="A1212" s="37" t="s">
        <v>2319</v>
      </c>
      <c r="B1212" s="53" t="s">
        <v>2320</v>
      </c>
      <c r="C1212" s="44"/>
      <c r="D1212" s="40">
        <v>0</v>
      </c>
      <c r="E1212" s="40">
        <v>0</v>
      </c>
      <c r="F1212" s="40">
        <f>+D1212-E1212</f>
        <v>0</v>
      </c>
      <c r="G1212" s="2">
        <f>+ABS(D1212)+ABS(E1212)</f>
        <v>0</v>
      </c>
    </row>
    <row r="1213" spans="1:7" s="15" customFormat="1" hidden="1">
      <c r="A1213" s="37" t="s">
        <v>2321</v>
      </c>
      <c r="B1213" s="53" t="s">
        <v>2322</v>
      </c>
      <c r="C1213" s="44"/>
      <c r="D1213" s="40">
        <v>0</v>
      </c>
      <c r="E1213" s="40">
        <v>0</v>
      </c>
      <c r="F1213" s="40">
        <f>+D1213-E1213</f>
        <v>0</v>
      </c>
      <c r="G1213" s="2">
        <f>+ABS(D1213)+ABS(E1213)</f>
        <v>0</v>
      </c>
    </row>
    <row r="1214" spans="1:7" s="15" customFormat="1" hidden="1">
      <c r="A1214" s="37" t="s">
        <v>2323</v>
      </c>
      <c r="B1214" s="53" t="s">
        <v>2324</v>
      </c>
      <c r="C1214" s="44"/>
      <c r="D1214" s="40">
        <v>0</v>
      </c>
      <c r="E1214" s="40">
        <v>0</v>
      </c>
      <c r="F1214" s="40">
        <f>+D1214-E1214</f>
        <v>0</v>
      </c>
      <c r="G1214" s="2">
        <f>+ABS(D1214)+ABS(E1214)</f>
        <v>0</v>
      </c>
    </row>
    <row r="1215" spans="1:7" s="15" customFormat="1" hidden="1">
      <c r="A1215" s="37" t="s">
        <v>2325</v>
      </c>
      <c r="B1215" s="53" t="s">
        <v>2326</v>
      </c>
      <c r="C1215" s="44"/>
      <c r="D1215" s="40">
        <v>0</v>
      </c>
      <c r="E1215" s="40">
        <v>0</v>
      </c>
      <c r="F1215" s="40">
        <f>+D1215-E1215</f>
        <v>0</v>
      </c>
      <c r="G1215" s="2">
        <f>+ABS(D1215)+ABS(E1215)</f>
        <v>0</v>
      </c>
    </row>
    <row r="1216" spans="1:7" s="15" customFormat="1" hidden="1">
      <c r="A1216" s="37" t="s">
        <v>2327</v>
      </c>
      <c r="B1216" s="53" t="s">
        <v>2328</v>
      </c>
      <c r="C1216" s="44"/>
      <c r="D1216" s="40">
        <v>0</v>
      </c>
      <c r="E1216" s="40">
        <v>0</v>
      </c>
      <c r="F1216" s="40">
        <f>+D1216-E1216</f>
        <v>0</v>
      </c>
      <c r="G1216" s="2">
        <f>+ABS(D1216)+ABS(E1216)</f>
        <v>0</v>
      </c>
    </row>
    <row r="1217" spans="1:7" s="15" customFormat="1" hidden="1">
      <c r="A1217" s="37" t="s">
        <v>2329</v>
      </c>
      <c r="B1217" s="53" t="s">
        <v>2330</v>
      </c>
      <c r="C1217" s="44"/>
      <c r="D1217" s="40">
        <v>0</v>
      </c>
      <c r="E1217" s="40">
        <v>0</v>
      </c>
      <c r="F1217" s="40">
        <f>+D1217-E1217</f>
        <v>0</v>
      </c>
      <c r="G1217" s="2">
        <f>+ABS(D1217)+ABS(E1217)</f>
        <v>0</v>
      </c>
    </row>
    <row r="1218" spans="1:7" s="15" customFormat="1" hidden="1">
      <c r="A1218" s="37" t="s">
        <v>2331</v>
      </c>
      <c r="B1218" s="53" t="s">
        <v>1505</v>
      </c>
      <c r="C1218" s="44"/>
      <c r="D1218" s="40">
        <v>0</v>
      </c>
      <c r="E1218" s="40">
        <v>0</v>
      </c>
      <c r="F1218" s="40">
        <f>+D1218-E1218</f>
        <v>0</v>
      </c>
      <c r="G1218" s="2">
        <f>+ABS(D1218)+ABS(E1218)</f>
        <v>0</v>
      </c>
    </row>
    <row r="1219" spans="1:7" s="15" customFormat="1" hidden="1">
      <c r="A1219" s="37" t="s">
        <v>2332</v>
      </c>
      <c r="B1219" s="53" t="s">
        <v>1507</v>
      </c>
      <c r="C1219" s="44"/>
      <c r="D1219" s="40">
        <v>0</v>
      </c>
      <c r="E1219" s="40">
        <v>0</v>
      </c>
      <c r="F1219" s="40">
        <f>+D1219-E1219</f>
        <v>0</v>
      </c>
      <c r="G1219" s="2">
        <f>+ABS(D1219)+ABS(E1219)</f>
        <v>0</v>
      </c>
    </row>
    <row r="1220" spans="1:7" s="15" customFormat="1" hidden="1">
      <c r="A1220" s="37" t="s">
        <v>2333</v>
      </c>
      <c r="B1220" s="53" t="s">
        <v>2334</v>
      </c>
      <c r="C1220" s="44"/>
      <c r="D1220" s="40">
        <v>0</v>
      </c>
      <c r="E1220" s="40">
        <v>0</v>
      </c>
      <c r="F1220" s="40">
        <f>+D1220-E1220</f>
        <v>0</v>
      </c>
      <c r="G1220" s="2">
        <f>+ABS(D1220)+ABS(E1220)</f>
        <v>0</v>
      </c>
    </row>
    <row r="1221" spans="1:7" s="15" customFormat="1" hidden="1">
      <c r="A1221" s="37" t="s">
        <v>2335</v>
      </c>
      <c r="B1221" s="53" t="s">
        <v>2336</v>
      </c>
      <c r="C1221" s="44"/>
      <c r="D1221" s="40">
        <v>0</v>
      </c>
      <c r="E1221" s="40">
        <v>0</v>
      </c>
      <c r="F1221" s="40">
        <f>+D1221-E1221</f>
        <v>0</v>
      </c>
      <c r="G1221" s="2">
        <f>+ABS(D1221)+ABS(E1221)</f>
        <v>0</v>
      </c>
    </row>
    <row r="1222" spans="1:7" s="15" customFormat="1" hidden="1">
      <c r="A1222" s="37" t="s">
        <v>2337</v>
      </c>
      <c r="B1222" s="53" t="s">
        <v>2338</v>
      </c>
      <c r="C1222" s="44"/>
      <c r="D1222" s="40">
        <v>0</v>
      </c>
      <c r="E1222" s="40">
        <v>0</v>
      </c>
      <c r="F1222" s="40">
        <f>+D1222-E1222</f>
        <v>0</v>
      </c>
      <c r="G1222" s="2">
        <f>+ABS(D1222)+ABS(E1222)</f>
        <v>0</v>
      </c>
    </row>
    <row r="1223" spans="1:7" s="15" customFormat="1" hidden="1">
      <c r="A1223" s="37" t="s">
        <v>2339</v>
      </c>
      <c r="B1223" s="53" t="s">
        <v>2340</v>
      </c>
      <c r="C1223" s="44"/>
      <c r="D1223" s="40">
        <v>0</v>
      </c>
      <c r="E1223" s="40">
        <v>0</v>
      </c>
      <c r="F1223" s="40">
        <f>+D1223-E1223</f>
        <v>0</v>
      </c>
      <c r="G1223" s="2">
        <f>+ABS(D1223)+ABS(E1223)</f>
        <v>0</v>
      </c>
    </row>
    <row r="1224" spans="1:7" s="15" customFormat="1" hidden="1">
      <c r="A1224" s="37" t="s">
        <v>2341</v>
      </c>
      <c r="B1224" s="53" t="s">
        <v>2342</v>
      </c>
      <c r="C1224" s="44"/>
      <c r="D1224" s="40">
        <v>0</v>
      </c>
      <c r="E1224" s="40">
        <v>0</v>
      </c>
      <c r="F1224" s="40">
        <f>+D1224-E1224</f>
        <v>0</v>
      </c>
      <c r="G1224" s="2">
        <f>+ABS(D1224)+ABS(E1224)</f>
        <v>0</v>
      </c>
    </row>
    <row r="1225" spans="1:7" s="15" customFormat="1" hidden="1">
      <c r="A1225" s="37" t="s">
        <v>2343</v>
      </c>
      <c r="B1225" s="53" t="s">
        <v>2344</v>
      </c>
      <c r="C1225" s="44"/>
      <c r="D1225" s="40">
        <v>0</v>
      </c>
      <c r="E1225" s="40">
        <v>0</v>
      </c>
      <c r="F1225" s="40">
        <f>+D1225-E1225</f>
        <v>0</v>
      </c>
      <c r="G1225" s="2">
        <f>+ABS(D1225)+ABS(E1225)</f>
        <v>0</v>
      </c>
    </row>
    <row r="1226" spans="1:7" s="15" customFormat="1" hidden="1">
      <c r="A1226" s="37" t="s">
        <v>2345</v>
      </c>
      <c r="B1226" s="53" t="s">
        <v>2346</v>
      </c>
      <c r="C1226" s="44"/>
      <c r="D1226" s="40">
        <v>0</v>
      </c>
      <c r="E1226" s="40">
        <v>0</v>
      </c>
      <c r="F1226" s="40">
        <f>+D1226-E1226</f>
        <v>0</v>
      </c>
      <c r="G1226" s="2">
        <f>+ABS(D1226)+ABS(E1226)</f>
        <v>0</v>
      </c>
    </row>
    <row r="1227" spans="1:7" s="15" customFormat="1" hidden="1">
      <c r="A1227" s="37" t="s">
        <v>2347</v>
      </c>
      <c r="B1227" s="53" t="s">
        <v>2348</v>
      </c>
      <c r="C1227" s="44"/>
      <c r="D1227" s="40">
        <v>0</v>
      </c>
      <c r="E1227" s="40">
        <v>0</v>
      </c>
      <c r="F1227" s="40">
        <f>+D1227-E1227</f>
        <v>0</v>
      </c>
      <c r="G1227" s="2">
        <f>+ABS(D1227)+ABS(E1227)</f>
        <v>0</v>
      </c>
    </row>
    <row r="1228" spans="1:7" s="15" customFormat="1">
      <c r="A1228" s="37" t="s">
        <v>2349</v>
      </c>
      <c r="B1228" s="53" t="s">
        <v>2350</v>
      </c>
      <c r="C1228" s="44"/>
      <c r="D1228" s="40">
        <v>5510000</v>
      </c>
      <c r="E1228" s="40">
        <v>5510000</v>
      </c>
      <c r="F1228" s="40">
        <f>+D1228-E1228</f>
        <v>0</v>
      </c>
      <c r="G1228" s="2">
        <f>+ABS(D1228)+ABS(E1228)</f>
        <v>11020000</v>
      </c>
    </row>
    <row r="1229" spans="1:7" s="15" customFormat="1" hidden="1">
      <c r="A1229" s="37" t="s">
        <v>2351</v>
      </c>
      <c r="B1229" s="53" t="s">
        <v>2352</v>
      </c>
      <c r="C1229" s="44"/>
      <c r="D1229" s="40">
        <v>0</v>
      </c>
      <c r="E1229" s="40">
        <v>0</v>
      </c>
      <c r="F1229" s="40">
        <f>+D1229-E1229</f>
        <v>0</v>
      </c>
      <c r="G1229" s="2">
        <f>+ABS(D1229)+ABS(E1229)</f>
        <v>0</v>
      </c>
    </row>
    <row r="1230" spans="1:7" s="15" customFormat="1" hidden="1">
      <c r="A1230" s="37" t="s">
        <v>2353</v>
      </c>
      <c r="B1230" s="53" t="s">
        <v>2354</v>
      </c>
      <c r="C1230" s="44"/>
      <c r="D1230" s="40">
        <v>0</v>
      </c>
      <c r="E1230" s="40">
        <v>0</v>
      </c>
      <c r="F1230" s="40">
        <f>+D1230-E1230</f>
        <v>0</v>
      </c>
      <c r="G1230" s="2">
        <f>+ABS(D1230)+ABS(E1230)</f>
        <v>0</v>
      </c>
    </row>
    <row r="1231" spans="1:7" s="15" customFormat="1" hidden="1">
      <c r="A1231" s="37" t="s">
        <v>2355</v>
      </c>
      <c r="B1231" s="53" t="s">
        <v>2356</v>
      </c>
      <c r="C1231" s="44"/>
      <c r="D1231" s="40">
        <v>0</v>
      </c>
      <c r="E1231" s="40">
        <v>0</v>
      </c>
      <c r="F1231" s="40">
        <f>+D1231-E1231</f>
        <v>0</v>
      </c>
      <c r="G1231" s="2">
        <f>+ABS(D1231)+ABS(E1231)</f>
        <v>0</v>
      </c>
    </row>
    <row r="1232" spans="1:7" s="15" customFormat="1" hidden="1">
      <c r="A1232" s="37" t="s">
        <v>2357</v>
      </c>
      <c r="B1232" s="53" t="s">
        <v>2358</v>
      </c>
      <c r="C1232" s="44"/>
      <c r="D1232" s="40">
        <v>0</v>
      </c>
      <c r="E1232" s="40">
        <v>0</v>
      </c>
      <c r="F1232" s="40">
        <f>+D1232-E1232</f>
        <v>0</v>
      </c>
      <c r="G1232" s="2">
        <f>+ABS(D1232)+ABS(E1232)</f>
        <v>0</v>
      </c>
    </row>
    <row r="1233" spans="1:7" s="15" customFormat="1" hidden="1">
      <c r="A1233" s="37" t="s">
        <v>2359</v>
      </c>
      <c r="B1233" s="53" t="s">
        <v>2360</v>
      </c>
      <c r="C1233" s="44"/>
      <c r="D1233" s="40">
        <v>0</v>
      </c>
      <c r="E1233" s="40">
        <v>0</v>
      </c>
      <c r="F1233" s="40">
        <f>+D1233-E1233</f>
        <v>0</v>
      </c>
      <c r="G1233" s="2">
        <f>+ABS(D1233)+ABS(E1233)</f>
        <v>0</v>
      </c>
    </row>
    <row r="1234" spans="1:7" s="15" customFormat="1" hidden="1">
      <c r="A1234" s="37" t="s">
        <v>2361</v>
      </c>
      <c r="B1234" s="53" t="s">
        <v>2362</v>
      </c>
      <c r="C1234" s="44"/>
      <c r="D1234" s="40">
        <v>0</v>
      </c>
      <c r="E1234" s="40">
        <v>0</v>
      </c>
      <c r="F1234" s="40">
        <f>+D1234-E1234</f>
        <v>0</v>
      </c>
      <c r="G1234" s="2">
        <f>+ABS(D1234)+ABS(E1234)</f>
        <v>0</v>
      </c>
    </row>
    <row r="1235" spans="1:7" s="15" customFormat="1" hidden="1">
      <c r="A1235" s="37" t="s">
        <v>2363</v>
      </c>
      <c r="B1235" s="53" t="s">
        <v>2364</v>
      </c>
      <c r="C1235" s="44"/>
      <c r="D1235" s="40">
        <v>0</v>
      </c>
      <c r="E1235" s="40">
        <v>0</v>
      </c>
      <c r="F1235" s="40">
        <f>+D1235-E1235</f>
        <v>0</v>
      </c>
      <c r="G1235" s="2">
        <f>+ABS(D1235)+ABS(E1235)</f>
        <v>0</v>
      </c>
    </row>
    <row r="1236" spans="1:7" s="15" customFormat="1" hidden="1">
      <c r="A1236" s="37" t="s">
        <v>2365</v>
      </c>
      <c r="B1236" s="53" t="s">
        <v>2366</v>
      </c>
      <c r="C1236" s="44"/>
      <c r="D1236" s="40">
        <v>0</v>
      </c>
      <c r="E1236" s="40">
        <v>0</v>
      </c>
      <c r="F1236" s="40">
        <f>+D1236-E1236</f>
        <v>0</v>
      </c>
      <c r="G1236" s="2">
        <f>+ABS(D1236)+ABS(E1236)</f>
        <v>0</v>
      </c>
    </row>
    <row r="1237" spans="1:7" s="15" customFormat="1" hidden="1">
      <c r="A1237" s="37" t="s">
        <v>2367</v>
      </c>
      <c r="B1237" s="53" t="s">
        <v>2368</v>
      </c>
      <c r="C1237" s="44"/>
      <c r="D1237" s="40">
        <v>0</v>
      </c>
      <c r="E1237" s="40">
        <v>0</v>
      </c>
      <c r="F1237" s="40">
        <f>+D1237-E1237</f>
        <v>0</v>
      </c>
      <c r="G1237" s="2">
        <f>+ABS(D1237)+ABS(E1237)</f>
        <v>0</v>
      </c>
    </row>
    <row r="1238" spans="1:7" s="15" customFormat="1" hidden="1">
      <c r="A1238" s="37" t="s">
        <v>2369</v>
      </c>
      <c r="B1238" s="53" t="s">
        <v>2370</v>
      </c>
      <c r="C1238" s="44"/>
      <c r="D1238" s="40">
        <v>0</v>
      </c>
      <c r="E1238" s="40">
        <v>0</v>
      </c>
      <c r="F1238" s="40">
        <f>+D1238-E1238</f>
        <v>0</v>
      </c>
      <c r="G1238" s="2">
        <f>+ABS(D1238)+ABS(E1238)</f>
        <v>0</v>
      </c>
    </row>
    <row r="1239" spans="1:7" s="15" customFormat="1" hidden="1">
      <c r="A1239" s="37" t="s">
        <v>2371</v>
      </c>
      <c r="B1239" s="53" t="s">
        <v>2372</v>
      </c>
      <c r="C1239" s="44"/>
      <c r="D1239" s="40">
        <v>0</v>
      </c>
      <c r="E1239" s="40">
        <v>0</v>
      </c>
      <c r="F1239" s="40">
        <f>+D1239-E1239</f>
        <v>0</v>
      </c>
      <c r="G1239" s="2">
        <f>+ABS(D1239)+ABS(E1239)</f>
        <v>0</v>
      </c>
    </row>
    <row r="1240" spans="1:7" s="15" customFormat="1" hidden="1">
      <c r="A1240" s="37" t="s">
        <v>2373</v>
      </c>
      <c r="B1240" s="53" t="s">
        <v>2374</v>
      </c>
      <c r="C1240" s="44"/>
      <c r="D1240" s="40">
        <v>0</v>
      </c>
      <c r="E1240" s="40">
        <v>0</v>
      </c>
      <c r="F1240" s="40">
        <f>+D1240-E1240</f>
        <v>0</v>
      </c>
      <c r="G1240" s="2">
        <f>+ABS(D1240)+ABS(E1240)</f>
        <v>0</v>
      </c>
    </row>
    <row r="1241" spans="1:7" s="15" customFormat="1" hidden="1">
      <c r="A1241" s="37" t="s">
        <v>2375</v>
      </c>
      <c r="B1241" s="53" t="s">
        <v>2376</v>
      </c>
      <c r="C1241" s="44"/>
      <c r="D1241" s="40">
        <v>0</v>
      </c>
      <c r="E1241" s="40">
        <v>0</v>
      </c>
      <c r="F1241" s="40">
        <f>+D1241-E1241</f>
        <v>0</v>
      </c>
      <c r="G1241" s="2">
        <f>+ABS(D1241)+ABS(E1241)</f>
        <v>0</v>
      </c>
    </row>
    <row r="1242" spans="1:7" s="15" customFormat="1" hidden="1">
      <c r="A1242" s="37" t="s">
        <v>2377</v>
      </c>
      <c r="B1242" s="53" t="s">
        <v>2378</v>
      </c>
      <c r="C1242" s="44"/>
      <c r="D1242" s="40">
        <v>0</v>
      </c>
      <c r="E1242" s="40">
        <v>0</v>
      </c>
      <c r="F1242" s="40">
        <f>+D1242-E1242</f>
        <v>0</v>
      </c>
      <c r="G1242" s="2">
        <f>+ABS(D1242)+ABS(E1242)</f>
        <v>0</v>
      </c>
    </row>
    <row r="1243" spans="1:7" s="15" customFormat="1" hidden="1">
      <c r="A1243" s="37" t="s">
        <v>2379</v>
      </c>
      <c r="B1243" s="53" t="s">
        <v>2380</v>
      </c>
      <c r="C1243" s="44"/>
      <c r="D1243" s="40">
        <v>0</v>
      </c>
      <c r="E1243" s="40">
        <v>0</v>
      </c>
      <c r="F1243" s="40">
        <f>+D1243-E1243</f>
        <v>0</v>
      </c>
      <c r="G1243" s="2">
        <f>+ABS(D1243)+ABS(E1243)</f>
        <v>0</v>
      </c>
    </row>
    <row r="1244" spans="1:7" s="15" customFormat="1" hidden="1">
      <c r="A1244" s="37" t="s">
        <v>2381</v>
      </c>
      <c r="B1244" s="53" t="s">
        <v>2382</v>
      </c>
      <c r="C1244" s="44"/>
      <c r="D1244" s="40">
        <v>0</v>
      </c>
      <c r="E1244" s="40">
        <v>0</v>
      </c>
      <c r="F1244" s="40">
        <f>+D1244-E1244</f>
        <v>0</v>
      </c>
      <c r="G1244" s="2">
        <f>+ABS(D1244)+ABS(E1244)</f>
        <v>0</v>
      </c>
    </row>
    <row r="1245" spans="1:7" s="15" customFormat="1" hidden="1">
      <c r="A1245" s="37" t="s">
        <v>2383</v>
      </c>
      <c r="B1245" s="53" t="s">
        <v>2384</v>
      </c>
      <c r="C1245" s="44"/>
      <c r="D1245" s="40">
        <v>0</v>
      </c>
      <c r="E1245" s="40">
        <v>0</v>
      </c>
      <c r="F1245" s="40">
        <f>+D1245-E1245</f>
        <v>0</v>
      </c>
      <c r="G1245" s="2">
        <f>+ABS(D1245)+ABS(E1245)</f>
        <v>0</v>
      </c>
    </row>
    <row r="1246" spans="1:7" s="15" customFormat="1" hidden="1">
      <c r="A1246" s="37" t="s">
        <v>2385</v>
      </c>
      <c r="B1246" s="53" t="s">
        <v>2386</v>
      </c>
      <c r="C1246" s="44"/>
      <c r="D1246" s="40">
        <v>0</v>
      </c>
      <c r="E1246" s="40">
        <v>0</v>
      </c>
      <c r="F1246" s="40">
        <f>+D1246-E1246</f>
        <v>0</v>
      </c>
      <c r="G1246" s="2">
        <f>+ABS(D1246)+ABS(E1246)</f>
        <v>0</v>
      </c>
    </row>
    <row r="1247" spans="1:7" s="15" customFormat="1" hidden="1">
      <c r="A1247" s="37" t="s">
        <v>2387</v>
      </c>
      <c r="B1247" s="53" t="s">
        <v>2388</v>
      </c>
      <c r="C1247" s="44"/>
      <c r="D1247" s="40">
        <v>0</v>
      </c>
      <c r="E1247" s="40">
        <v>0</v>
      </c>
      <c r="F1247" s="40">
        <f>+D1247-E1247</f>
        <v>0</v>
      </c>
      <c r="G1247" s="2">
        <f>+ABS(D1247)+ABS(E1247)</f>
        <v>0</v>
      </c>
    </row>
    <row r="1248" spans="1:7" s="15" customFormat="1" hidden="1">
      <c r="A1248" s="37" t="s">
        <v>2389</v>
      </c>
      <c r="B1248" s="53" t="s">
        <v>2390</v>
      </c>
      <c r="C1248" s="44"/>
      <c r="D1248" s="40">
        <v>0</v>
      </c>
      <c r="E1248" s="40">
        <v>0</v>
      </c>
      <c r="F1248" s="40">
        <f>+D1248-E1248</f>
        <v>0</v>
      </c>
      <c r="G1248" s="2">
        <f>+ABS(D1248)+ABS(E1248)</f>
        <v>0</v>
      </c>
    </row>
    <row r="1249" spans="1:7" s="15" customFormat="1" hidden="1">
      <c r="A1249" s="37" t="s">
        <v>2391</v>
      </c>
      <c r="B1249" s="53" t="s">
        <v>2392</v>
      </c>
      <c r="C1249" s="44"/>
      <c r="D1249" s="40">
        <v>0</v>
      </c>
      <c r="E1249" s="40">
        <v>0</v>
      </c>
      <c r="F1249" s="40">
        <f>+D1249-E1249</f>
        <v>0</v>
      </c>
      <c r="G1249" s="2">
        <f>+ABS(D1249)+ABS(E1249)</f>
        <v>0</v>
      </c>
    </row>
    <row r="1250" spans="1:7" s="15" customFormat="1" hidden="1">
      <c r="A1250" s="37" t="s">
        <v>2393</v>
      </c>
      <c r="B1250" s="53" t="s">
        <v>2394</v>
      </c>
      <c r="C1250" s="44"/>
      <c r="D1250" s="40">
        <v>0</v>
      </c>
      <c r="E1250" s="40">
        <v>0</v>
      </c>
      <c r="F1250" s="40">
        <f>+D1250-E1250</f>
        <v>0</v>
      </c>
      <c r="G1250" s="2">
        <f>+ABS(D1250)+ABS(E1250)</f>
        <v>0</v>
      </c>
    </row>
    <row r="1251" spans="1:7" s="15" customFormat="1" hidden="1">
      <c r="A1251" s="37" t="s">
        <v>2395</v>
      </c>
      <c r="B1251" s="53" t="s">
        <v>2396</v>
      </c>
      <c r="C1251" s="44"/>
      <c r="D1251" s="40">
        <v>0</v>
      </c>
      <c r="E1251" s="40">
        <v>0</v>
      </c>
      <c r="F1251" s="40">
        <f>+D1251-E1251</f>
        <v>0</v>
      </c>
      <c r="G1251" s="2">
        <f>+ABS(D1251)+ABS(E1251)</f>
        <v>0</v>
      </c>
    </row>
    <row r="1252" spans="1:7" s="15" customFormat="1" hidden="1">
      <c r="A1252" s="37" t="s">
        <v>2397</v>
      </c>
      <c r="B1252" s="53" t="s">
        <v>2398</v>
      </c>
      <c r="C1252" s="44"/>
      <c r="D1252" s="40">
        <v>0</v>
      </c>
      <c r="E1252" s="40">
        <v>0</v>
      </c>
      <c r="F1252" s="40">
        <f>+D1252-E1252</f>
        <v>0</v>
      </c>
      <c r="G1252" s="2">
        <f>+ABS(D1252)+ABS(E1252)</f>
        <v>0</v>
      </c>
    </row>
    <row r="1253" spans="1:7" s="15" customFormat="1" hidden="1">
      <c r="A1253" s="37" t="s">
        <v>2399</v>
      </c>
      <c r="B1253" s="53" t="s">
        <v>2400</v>
      </c>
      <c r="C1253" s="44"/>
      <c r="D1253" s="40">
        <v>0</v>
      </c>
      <c r="E1253" s="40">
        <v>0</v>
      </c>
      <c r="F1253" s="40">
        <f>+D1253-E1253</f>
        <v>0</v>
      </c>
      <c r="G1253" s="2">
        <f>+ABS(D1253)+ABS(E1253)</f>
        <v>0</v>
      </c>
    </row>
    <row r="1254" spans="1:7" s="15" customFormat="1" hidden="1">
      <c r="A1254" s="37" t="s">
        <v>2401</v>
      </c>
      <c r="B1254" s="53" t="s">
        <v>2402</v>
      </c>
      <c r="C1254" s="44"/>
      <c r="D1254" s="40">
        <v>0</v>
      </c>
      <c r="E1254" s="40">
        <v>0</v>
      </c>
      <c r="F1254" s="40">
        <f>+D1254-E1254</f>
        <v>0</v>
      </c>
      <c r="G1254" s="2">
        <f>+ABS(D1254)+ABS(E1254)</f>
        <v>0</v>
      </c>
    </row>
    <row r="1255" spans="1:7" s="15" customFormat="1" hidden="1">
      <c r="A1255" s="37" t="s">
        <v>2403</v>
      </c>
      <c r="B1255" s="53" t="s">
        <v>2404</v>
      </c>
      <c r="C1255" s="44"/>
      <c r="D1255" s="40">
        <v>0</v>
      </c>
      <c r="E1255" s="40">
        <v>0</v>
      </c>
      <c r="F1255" s="40">
        <f>+D1255-E1255</f>
        <v>0</v>
      </c>
      <c r="G1255" s="2">
        <f>+ABS(D1255)+ABS(E1255)</f>
        <v>0</v>
      </c>
    </row>
    <row r="1256" spans="1:7" s="15" customFormat="1" hidden="1">
      <c r="A1256" s="37" t="s">
        <v>2405</v>
      </c>
      <c r="B1256" s="53" t="s">
        <v>2406</v>
      </c>
      <c r="C1256" s="44"/>
      <c r="D1256" s="40">
        <v>0</v>
      </c>
      <c r="E1256" s="40">
        <v>0</v>
      </c>
      <c r="F1256" s="40">
        <f>+D1256-E1256</f>
        <v>0</v>
      </c>
      <c r="G1256" s="2">
        <f>+ABS(D1256)+ABS(E1256)</f>
        <v>0</v>
      </c>
    </row>
    <row r="1257" spans="1:7" s="15" customFormat="1" hidden="1">
      <c r="A1257" s="37" t="s">
        <v>2407</v>
      </c>
      <c r="B1257" s="53" t="s">
        <v>2408</v>
      </c>
      <c r="C1257" s="44"/>
      <c r="D1257" s="40">
        <v>0</v>
      </c>
      <c r="E1257" s="40">
        <v>0</v>
      </c>
      <c r="F1257" s="40">
        <f>+D1257-E1257</f>
        <v>0</v>
      </c>
      <c r="G1257" s="2">
        <f>+ABS(D1257)+ABS(E1257)</f>
        <v>0</v>
      </c>
    </row>
    <row r="1258" spans="1:7" s="15" customFormat="1" hidden="1">
      <c r="A1258" s="37" t="s">
        <v>2409</v>
      </c>
      <c r="B1258" s="53" t="s">
        <v>2410</v>
      </c>
      <c r="C1258" s="44"/>
      <c r="D1258" s="40">
        <v>0</v>
      </c>
      <c r="E1258" s="40">
        <v>0</v>
      </c>
      <c r="F1258" s="40">
        <f>+D1258-E1258</f>
        <v>0</v>
      </c>
      <c r="G1258" s="2">
        <f>+ABS(D1258)+ABS(E1258)</f>
        <v>0</v>
      </c>
    </row>
    <row r="1259" spans="1:7" s="15" customFormat="1" hidden="1">
      <c r="A1259" s="37" t="s">
        <v>2411</v>
      </c>
      <c r="B1259" s="53" t="s">
        <v>2412</v>
      </c>
      <c r="C1259" s="44"/>
      <c r="D1259" s="40">
        <v>0</v>
      </c>
      <c r="E1259" s="40">
        <v>0</v>
      </c>
      <c r="F1259" s="40">
        <f>+D1259-E1259</f>
        <v>0</v>
      </c>
      <c r="G1259" s="2">
        <f>+ABS(D1259)+ABS(E1259)</f>
        <v>0</v>
      </c>
    </row>
    <row r="1260" spans="1:7" s="15" customFormat="1">
      <c r="A1260" s="37"/>
      <c r="B1260" s="53"/>
      <c r="C1260" s="44"/>
      <c r="D1260" s="40"/>
      <c r="E1260" s="40"/>
      <c r="F1260" s="40"/>
      <c r="G1260" s="2">
        <f>G1261</f>
        <v>154050518.31999999</v>
      </c>
    </row>
    <row r="1261" spans="1:7" s="15" customFormat="1">
      <c r="A1261" s="37"/>
      <c r="B1261" s="53" t="s">
        <v>2413</v>
      </c>
      <c r="C1261" s="44"/>
      <c r="D1261" s="45">
        <f>SUM(D706:D1260)</f>
        <v>77027662.569999993</v>
      </c>
      <c r="E1261" s="45">
        <f>SUM(E706:E1260)</f>
        <v>77022855.75</v>
      </c>
      <c r="F1261" s="45">
        <f>+D1261-E1261</f>
        <v>4806.8199999928502</v>
      </c>
      <c r="G1261" s="2">
        <f>+ABS(D1261)+ABS(E1261)</f>
        <v>154050518.31999999</v>
      </c>
    </row>
    <row r="1262" spans="1:7" s="15" customFormat="1">
      <c r="A1262" s="37"/>
      <c r="B1262" s="53"/>
      <c r="C1262" s="44"/>
      <c r="D1262" s="40"/>
      <c r="E1262" s="40"/>
      <c r="F1262" s="40"/>
      <c r="G1262" s="2">
        <f>G1261</f>
        <v>154050518.31999999</v>
      </c>
    </row>
    <row r="1263" spans="1:7" s="15" customFormat="1" hidden="1">
      <c r="A1263" s="37"/>
      <c r="B1263" s="48" t="s">
        <v>2414</v>
      </c>
      <c r="C1263" s="44"/>
      <c r="D1263" s="40"/>
      <c r="E1263" s="40"/>
      <c r="F1263" s="40"/>
      <c r="G1263" s="2">
        <f>G1633</f>
        <v>0</v>
      </c>
    </row>
    <row r="1264" spans="1:7" s="15" customFormat="1" hidden="1">
      <c r="A1264" s="37"/>
      <c r="B1264" s="53"/>
      <c r="C1264" s="44"/>
      <c r="D1264" s="40"/>
      <c r="E1264" s="40"/>
      <c r="F1264" s="40"/>
      <c r="G1264" s="2"/>
    </row>
    <row r="1265" spans="1:7" s="15" customFormat="1" hidden="1">
      <c r="A1265" s="37" t="s">
        <v>2415</v>
      </c>
      <c r="B1265" s="53" t="s">
        <v>2416</v>
      </c>
      <c r="C1265" s="44"/>
      <c r="D1265" s="40">
        <v>0</v>
      </c>
      <c r="E1265" s="40">
        <v>0</v>
      </c>
      <c r="F1265" s="40">
        <f>+D1265-E1265</f>
        <v>0</v>
      </c>
      <c r="G1265" s="2">
        <f>+ABS(D1265)+ABS(E1265)</f>
        <v>0</v>
      </c>
    </row>
    <row r="1266" spans="1:7" s="15" customFormat="1" hidden="1">
      <c r="A1266" s="37" t="s">
        <v>2417</v>
      </c>
      <c r="B1266" s="53" t="s">
        <v>2418</v>
      </c>
      <c r="C1266" s="44"/>
      <c r="D1266" s="40">
        <v>0</v>
      </c>
      <c r="E1266" s="40">
        <v>0</v>
      </c>
      <c r="F1266" s="40">
        <f>+D1266-E1266</f>
        <v>0</v>
      </c>
      <c r="G1266" s="2">
        <f>+ABS(D1266)+ABS(E1266)</f>
        <v>0</v>
      </c>
    </row>
    <row r="1267" spans="1:7" s="15" customFormat="1" hidden="1">
      <c r="A1267" s="37" t="s">
        <v>2419</v>
      </c>
      <c r="B1267" s="53" t="s">
        <v>2420</v>
      </c>
      <c r="C1267" s="44"/>
      <c r="D1267" s="40">
        <v>0</v>
      </c>
      <c r="E1267" s="40">
        <v>0</v>
      </c>
      <c r="F1267" s="40">
        <f>+D1267-E1267</f>
        <v>0</v>
      </c>
      <c r="G1267" s="2">
        <f>+ABS(D1267)+ABS(E1267)</f>
        <v>0</v>
      </c>
    </row>
    <row r="1268" spans="1:7" s="15" customFormat="1" hidden="1">
      <c r="A1268" s="37" t="s">
        <v>2421</v>
      </c>
      <c r="B1268" s="53" t="s">
        <v>2422</v>
      </c>
      <c r="C1268" s="44"/>
      <c r="D1268" s="40">
        <v>0</v>
      </c>
      <c r="E1268" s="40">
        <v>0</v>
      </c>
      <c r="F1268" s="40">
        <f>+D1268-E1268</f>
        <v>0</v>
      </c>
      <c r="G1268" s="2">
        <f>+ABS(D1268)+ABS(E1268)</f>
        <v>0</v>
      </c>
    </row>
    <row r="1269" spans="1:7" s="15" customFormat="1" hidden="1">
      <c r="A1269" s="37" t="s">
        <v>2423</v>
      </c>
      <c r="B1269" s="53" t="s">
        <v>2424</v>
      </c>
      <c r="C1269" s="44"/>
      <c r="D1269" s="40">
        <v>0</v>
      </c>
      <c r="E1269" s="40">
        <v>0</v>
      </c>
      <c r="F1269" s="40">
        <f>+D1269-E1269</f>
        <v>0</v>
      </c>
      <c r="G1269" s="2">
        <f>+ABS(D1269)+ABS(E1269)</f>
        <v>0</v>
      </c>
    </row>
    <row r="1270" spans="1:7" s="15" customFormat="1" hidden="1">
      <c r="A1270" s="37" t="s">
        <v>2425</v>
      </c>
      <c r="B1270" s="53" t="s">
        <v>2426</v>
      </c>
      <c r="C1270" s="44"/>
      <c r="D1270" s="40">
        <v>0</v>
      </c>
      <c r="E1270" s="40">
        <v>0</v>
      </c>
      <c r="F1270" s="40">
        <f>+D1270-E1270</f>
        <v>0</v>
      </c>
      <c r="G1270" s="2">
        <f>+ABS(D1270)+ABS(E1270)</f>
        <v>0</v>
      </c>
    </row>
    <row r="1271" spans="1:7" s="15" customFormat="1" hidden="1">
      <c r="A1271" s="37" t="s">
        <v>2427</v>
      </c>
      <c r="B1271" s="53" t="s">
        <v>2428</v>
      </c>
      <c r="C1271" s="44"/>
      <c r="D1271" s="40">
        <v>0</v>
      </c>
      <c r="E1271" s="40">
        <v>0</v>
      </c>
      <c r="F1271" s="40">
        <f>+D1271-E1271</f>
        <v>0</v>
      </c>
      <c r="G1271" s="2">
        <f>+ABS(D1271)+ABS(E1271)</f>
        <v>0</v>
      </c>
    </row>
    <row r="1272" spans="1:7" s="15" customFormat="1" hidden="1">
      <c r="A1272" s="37" t="s">
        <v>2429</v>
      </c>
      <c r="B1272" s="53" t="s">
        <v>2430</v>
      </c>
      <c r="C1272" s="44"/>
      <c r="D1272" s="40">
        <v>0</v>
      </c>
      <c r="E1272" s="40">
        <v>0</v>
      </c>
      <c r="F1272" s="40">
        <f>+D1272-E1272</f>
        <v>0</v>
      </c>
      <c r="G1272" s="2">
        <f>+ABS(D1272)+ABS(E1272)</f>
        <v>0</v>
      </c>
    </row>
    <row r="1273" spans="1:7" s="15" customFormat="1" hidden="1">
      <c r="A1273" s="37" t="s">
        <v>2431</v>
      </c>
      <c r="B1273" s="53" t="s">
        <v>2432</v>
      </c>
      <c r="C1273" s="44"/>
      <c r="D1273" s="40">
        <v>0</v>
      </c>
      <c r="E1273" s="40">
        <v>0</v>
      </c>
      <c r="F1273" s="40">
        <f>+D1273-E1273</f>
        <v>0</v>
      </c>
      <c r="G1273" s="2">
        <f>+ABS(D1273)+ABS(E1273)</f>
        <v>0</v>
      </c>
    </row>
    <row r="1274" spans="1:7" s="15" customFormat="1" hidden="1">
      <c r="A1274" s="37" t="s">
        <v>2433</v>
      </c>
      <c r="B1274" s="53" t="s">
        <v>2434</v>
      </c>
      <c r="C1274" s="44"/>
      <c r="D1274" s="40">
        <v>0</v>
      </c>
      <c r="E1274" s="40">
        <v>0</v>
      </c>
      <c r="F1274" s="40">
        <f>+D1274-E1274</f>
        <v>0</v>
      </c>
      <c r="G1274" s="2">
        <f>+ABS(D1274)+ABS(E1274)</f>
        <v>0</v>
      </c>
    </row>
    <row r="1275" spans="1:7" s="15" customFormat="1" hidden="1">
      <c r="A1275" s="37" t="s">
        <v>2435</v>
      </c>
      <c r="B1275" s="53" t="s">
        <v>2436</v>
      </c>
      <c r="C1275" s="44"/>
      <c r="D1275" s="40">
        <v>0</v>
      </c>
      <c r="E1275" s="40">
        <v>0</v>
      </c>
      <c r="F1275" s="40">
        <f>+D1275-E1275</f>
        <v>0</v>
      </c>
      <c r="G1275" s="2">
        <f>+ABS(D1275)+ABS(E1275)</f>
        <v>0</v>
      </c>
    </row>
    <row r="1276" spans="1:7" s="15" customFormat="1" hidden="1">
      <c r="A1276" s="37" t="s">
        <v>2437</v>
      </c>
      <c r="B1276" s="53" t="s">
        <v>2438</v>
      </c>
      <c r="C1276" s="44"/>
      <c r="D1276" s="40">
        <v>0</v>
      </c>
      <c r="E1276" s="40">
        <v>0</v>
      </c>
      <c r="F1276" s="40">
        <f>+D1276-E1276</f>
        <v>0</v>
      </c>
      <c r="G1276" s="2">
        <f>+ABS(D1276)+ABS(E1276)</f>
        <v>0</v>
      </c>
    </row>
    <row r="1277" spans="1:7" s="15" customFormat="1" hidden="1">
      <c r="A1277" s="37" t="s">
        <v>2439</v>
      </c>
      <c r="B1277" s="53" t="s">
        <v>2440</v>
      </c>
      <c r="C1277" s="44"/>
      <c r="D1277" s="40">
        <v>0</v>
      </c>
      <c r="E1277" s="40">
        <v>0</v>
      </c>
      <c r="F1277" s="40">
        <f>+D1277-E1277</f>
        <v>0</v>
      </c>
      <c r="G1277" s="2">
        <f>+ABS(D1277)+ABS(E1277)</f>
        <v>0</v>
      </c>
    </row>
    <row r="1278" spans="1:7" s="15" customFormat="1" hidden="1">
      <c r="A1278" s="37" t="s">
        <v>2441</v>
      </c>
      <c r="B1278" s="53" t="s">
        <v>2442</v>
      </c>
      <c r="C1278" s="44"/>
      <c r="D1278" s="40">
        <v>0</v>
      </c>
      <c r="E1278" s="40">
        <v>0</v>
      </c>
      <c r="F1278" s="40">
        <f>+D1278-E1278</f>
        <v>0</v>
      </c>
      <c r="G1278" s="2">
        <f>+ABS(D1278)+ABS(E1278)</f>
        <v>0</v>
      </c>
    </row>
    <row r="1279" spans="1:7" s="15" customFormat="1" hidden="1">
      <c r="A1279" s="37" t="s">
        <v>2443</v>
      </c>
      <c r="B1279" s="53" t="s">
        <v>2444</v>
      </c>
      <c r="C1279" s="44"/>
      <c r="D1279" s="40">
        <v>0</v>
      </c>
      <c r="E1279" s="40">
        <v>0</v>
      </c>
      <c r="F1279" s="40">
        <f>+D1279-E1279</f>
        <v>0</v>
      </c>
      <c r="G1279" s="2">
        <f>+ABS(D1279)+ABS(E1279)</f>
        <v>0</v>
      </c>
    </row>
    <row r="1280" spans="1:7" s="15" customFormat="1" hidden="1">
      <c r="A1280" s="37" t="s">
        <v>2445</v>
      </c>
      <c r="B1280" s="53" t="s">
        <v>2446</v>
      </c>
      <c r="C1280" s="44"/>
      <c r="D1280" s="40">
        <v>0</v>
      </c>
      <c r="E1280" s="40">
        <v>0</v>
      </c>
      <c r="F1280" s="40">
        <f>+D1280-E1280</f>
        <v>0</v>
      </c>
      <c r="G1280" s="2">
        <f>+ABS(D1280)+ABS(E1280)</f>
        <v>0</v>
      </c>
    </row>
    <row r="1281" spans="1:7" s="15" customFormat="1" hidden="1">
      <c r="A1281" s="37" t="s">
        <v>2447</v>
      </c>
      <c r="B1281" s="53" t="s">
        <v>2448</v>
      </c>
      <c r="C1281" s="44"/>
      <c r="D1281" s="40">
        <v>0</v>
      </c>
      <c r="E1281" s="40">
        <v>0</v>
      </c>
      <c r="F1281" s="40">
        <f>+D1281-E1281</f>
        <v>0</v>
      </c>
      <c r="G1281" s="2">
        <f>+ABS(D1281)+ABS(E1281)</f>
        <v>0</v>
      </c>
    </row>
    <row r="1282" spans="1:7" s="15" customFormat="1" hidden="1">
      <c r="A1282" s="37" t="s">
        <v>2449</v>
      </c>
      <c r="B1282" s="53" t="s">
        <v>2450</v>
      </c>
      <c r="C1282" s="44"/>
      <c r="D1282" s="40">
        <v>0</v>
      </c>
      <c r="E1282" s="40">
        <v>0</v>
      </c>
      <c r="F1282" s="40">
        <f>+D1282-E1282</f>
        <v>0</v>
      </c>
      <c r="G1282" s="2">
        <f>+ABS(D1282)+ABS(E1282)</f>
        <v>0</v>
      </c>
    </row>
    <row r="1283" spans="1:7" s="15" customFormat="1" hidden="1">
      <c r="A1283" s="37" t="s">
        <v>2451</v>
      </c>
      <c r="B1283" s="53" t="s">
        <v>2452</v>
      </c>
      <c r="C1283" s="44"/>
      <c r="D1283" s="40">
        <v>0</v>
      </c>
      <c r="E1283" s="40">
        <v>0</v>
      </c>
      <c r="F1283" s="40">
        <f>+D1283-E1283</f>
        <v>0</v>
      </c>
      <c r="G1283" s="2">
        <f>+ABS(D1283)+ABS(E1283)</f>
        <v>0</v>
      </c>
    </row>
    <row r="1284" spans="1:7" s="15" customFormat="1" hidden="1">
      <c r="A1284" s="37" t="s">
        <v>2453</v>
      </c>
      <c r="B1284" s="53" t="s">
        <v>2454</v>
      </c>
      <c r="C1284" s="44"/>
      <c r="D1284" s="40">
        <v>0</v>
      </c>
      <c r="E1284" s="40">
        <v>0</v>
      </c>
      <c r="F1284" s="40">
        <f>+D1284-E1284</f>
        <v>0</v>
      </c>
      <c r="G1284" s="2">
        <f>+ABS(D1284)+ABS(E1284)</f>
        <v>0</v>
      </c>
    </row>
    <row r="1285" spans="1:7" s="15" customFormat="1" hidden="1">
      <c r="A1285" s="37" t="s">
        <v>2455</v>
      </c>
      <c r="B1285" s="53" t="s">
        <v>2456</v>
      </c>
      <c r="C1285" s="44"/>
      <c r="D1285" s="40">
        <v>0</v>
      </c>
      <c r="E1285" s="40">
        <v>0</v>
      </c>
      <c r="F1285" s="40">
        <f>+D1285-E1285</f>
        <v>0</v>
      </c>
      <c r="G1285" s="2">
        <f>+ABS(D1285)+ABS(E1285)</f>
        <v>0</v>
      </c>
    </row>
    <row r="1286" spans="1:7" s="15" customFormat="1" hidden="1">
      <c r="A1286" s="37" t="s">
        <v>2457</v>
      </c>
      <c r="B1286" s="53" t="s">
        <v>2458</v>
      </c>
      <c r="C1286" s="44"/>
      <c r="D1286" s="40">
        <v>0</v>
      </c>
      <c r="E1286" s="40">
        <v>0</v>
      </c>
      <c r="F1286" s="40">
        <f>+D1286-E1286</f>
        <v>0</v>
      </c>
      <c r="G1286" s="2">
        <f>+ABS(D1286)+ABS(E1286)</f>
        <v>0</v>
      </c>
    </row>
    <row r="1287" spans="1:7" s="15" customFormat="1" hidden="1">
      <c r="A1287" s="37" t="s">
        <v>2459</v>
      </c>
      <c r="B1287" s="53" t="s">
        <v>2460</v>
      </c>
      <c r="C1287" s="44"/>
      <c r="D1287" s="40">
        <v>0</v>
      </c>
      <c r="E1287" s="40">
        <v>0</v>
      </c>
      <c r="F1287" s="40">
        <f>+D1287-E1287</f>
        <v>0</v>
      </c>
      <c r="G1287" s="2">
        <f>+ABS(D1287)+ABS(E1287)</f>
        <v>0</v>
      </c>
    </row>
    <row r="1288" spans="1:7" s="15" customFormat="1" hidden="1">
      <c r="A1288" s="37" t="s">
        <v>2461</v>
      </c>
      <c r="B1288" s="53" t="s">
        <v>2462</v>
      </c>
      <c r="C1288" s="44"/>
      <c r="D1288" s="40">
        <v>0</v>
      </c>
      <c r="E1288" s="40">
        <v>0</v>
      </c>
      <c r="F1288" s="40">
        <f>+D1288-E1288</f>
        <v>0</v>
      </c>
      <c r="G1288" s="2">
        <f>+ABS(D1288)+ABS(E1288)</f>
        <v>0</v>
      </c>
    </row>
    <row r="1289" spans="1:7" s="15" customFormat="1" hidden="1">
      <c r="A1289" s="37" t="s">
        <v>2463</v>
      </c>
      <c r="B1289" s="53" t="s">
        <v>2464</v>
      </c>
      <c r="C1289" s="44"/>
      <c r="D1289" s="40">
        <v>0</v>
      </c>
      <c r="E1289" s="40">
        <v>0</v>
      </c>
      <c r="F1289" s="40">
        <f>+D1289-E1289</f>
        <v>0</v>
      </c>
      <c r="G1289" s="2">
        <f>+ABS(D1289)+ABS(E1289)</f>
        <v>0</v>
      </c>
    </row>
    <row r="1290" spans="1:7" s="15" customFormat="1" hidden="1">
      <c r="A1290" s="37" t="s">
        <v>2465</v>
      </c>
      <c r="B1290" s="53" t="s">
        <v>2466</v>
      </c>
      <c r="C1290" s="44"/>
      <c r="D1290" s="40">
        <v>0</v>
      </c>
      <c r="E1290" s="40">
        <v>0</v>
      </c>
      <c r="F1290" s="40">
        <f>+D1290-E1290</f>
        <v>0</v>
      </c>
      <c r="G1290" s="2">
        <f>+ABS(D1290)+ABS(E1290)</f>
        <v>0</v>
      </c>
    </row>
    <row r="1291" spans="1:7" s="15" customFormat="1" hidden="1">
      <c r="A1291" s="37" t="s">
        <v>2467</v>
      </c>
      <c r="B1291" s="53" t="s">
        <v>2468</v>
      </c>
      <c r="C1291" s="44"/>
      <c r="D1291" s="40">
        <v>0</v>
      </c>
      <c r="E1291" s="40">
        <v>0</v>
      </c>
      <c r="F1291" s="40">
        <f>+D1291-E1291</f>
        <v>0</v>
      </c>
      <c r="G1291" s="2">
        <f>+ABS(D1291)+ABS(E1291)</f>
        <v>0</v>
      </c>
    </row>
    <row r="1292" spans="1:7" s="15" customFormat="1" hidden="1">
      <c r="A1292" s="37" t="s">
        <v>2469</v>
      </c>
      <c r="B1292" s="53" t="s">
        <v>2470</v>
      </c>
      <c r="C1292" s="44"/>
      <c r="D1292" s="40">
        <v>0</v>
      </c>
      <c r="E1292" s="40">
        <v>0</v>
      </c>
      <c r="F1292" s="40">
        <f>+D1292-E1292</f>
        <v>0</v>
      </c>
      <c r="G1292" s="2">
        <f>+ABS(D1292)+ABS(E1292)</f>
        <v>0</v>
      </c>
    </row>
    <row r="1293" spans="1:7" s="15" customFormat="1" hidden="1">
      <c r="A1293" s="37" t="s">
        <v>2471</v>
      </c>
      <c r="B1293" s="53" t="s">
        <v>2472</v>
      </c>
      <c r="C1293" s="44"/>
      <c r="D1293" s="40">
        <v>0</v>
      </c>
      <c r="E1293" s="40">
        <v>0</v>
      </c>
      <c r="F1293" s="40">
        <f>+D1293-E1293</f>
        <v>0</v>
      </c>
      <c r="G1293" s="2">
        <f>+ABS(D1293)+ABS(E1293)</f>
        <v>0</v>
      </c>
    </row>
    <row r="1294" spans="1:7" s="15" customFormat="1" hidden="1">
      <c r="A1294" s="37" t="s">
        <v>2473</v>
      </c>
      <c r="B1294" s="53" t="s">
        <v>2474</v>
      </c>
      <c r="C1294" s="44"/>
      <c r="D1294" s="40">
        <v>0</v>
      </c>
      <c r="E1294" s="40">
        <v>0</v>
      </c>
      <c r="F1294" s="40">
        <f>+D1294-E1294</f>
        <v>0</v>
      </c>
      <c r="G1294" s="2">
        <f>+ABS(D1294)+ABS(E1294)</f>
        <v>0</v>
      </c>
    </row>
    <row r="1295" spans="1:7" s="15" customFormat="1" hidden="1">
      <c r="A1295" s="37" t="s">
        <v>2475</v>
      </c>
      <c r="B1295" s="53" t="s">
        <v>2476</v>
      </c>
      <c r="C1295" s="44"/>
      <c r="D1295" s="40">
        <v>0</v>
      </c>
      <c r="E1295" s="40">
        <v>0</v>
      </c>
      <c r="F1295" s="40">
        <f>+D1295-E1295</f>
        <v>0</v>
      </c>
      <c r="G1295" s="2">
        <f>+ABS(D1295)+ABS(E1295)</f>
        <v>0</v>
      </c>
    </row>
    <row r="1296" spans="1:7" s="15" customFormat="1" hidden="1">
      <c r="A1296" s="37" t="s">
        <v>2477</v>
      </c>
      <c r="B1296" s="53" t="s">
        <v>2478</v>
      </c>
      <c r="C1296" s="44"/>
      <c r="D1296" s="40">
        <v>0</v>
      </c>
      <c r="E1296" s="40">
        <v>0</v>
      </c>
      <c r="F1296" s="40">
        <f>+D1296-E1296</f>
        <v>0</v>
      </c>
      <c r="G1296" s="2">
        <f>+ABS(D1296)+ABS(E1296)</f>
        <v>0</v>
      </c>
    </row>
    <row r="1297" spans="1:7" s="15" customFormat="1" hidden="1">
      <c r="A1297" s="37" t="s">
        <v>2479</v>
      </c>
      <c r="B1297" s="53" t="s">
        <v>2464</v>
      </c>
      <c r="C1297" s="44"/>
      <c r="D1297" s="40">
        <v>0</v>
      </c>
      <c r="E1297" s="40">
        <v>0</v>
      </c>
      <c r="F1297" s="40">
        <f>+D1297-E1297</f>
        <v>0</v>
      </c>
      <c r="G1297" s="2">
        <f>+ABS(D1297)+ABS(E1297)</f>
        <v>0</v>
      </c>
    </row>
    <row r="1298" spans="1:7" s="15" customFormat="1" hidden="1">
      <c r="A1298" s="37" t="s">
        <v>2480</v>
      </c>
      <c r="B1298" s="53" t="s">
        <v>2481</v>
      </c>
      <c r="C1298" s="44"/>
      <c r="D1298" s="40">
        <v>0</v>
      </c>
      <c r="E1298" s="40">
        <v>0</v>
      </c>
      <c r="F1298" s="40">
        <f>+D1298-E1298</f>
        <v>0</v>
      </c>
      <c r="G1298" s="2">
        <f>+ABS(D1298)+ABS(E1298)</f>
        <v>0</v>
      </c>
    </row>
    <row r="1299" spans="1:7" s="15" customFormat="1" hidden="1">
      <c r="A1299" s="37" t="s">
        <v>2482</v>
      </c>
      <c r="B1299" s="53" t="s">
        <v>2483</v>
      </c>
      <c r="C1299" s="44"/>
      <c r="D1299" s="40">
        <v>0</v>
      </c>
      <c r="E1299" s="40">
        <v>0</v>
      </c>
      <c r="F1299" s="40">
        <f>+D1299-E1299</f>
        <v>0</v>
      </c>
      <c r="G1299" s="2">
        <f>+ABS(D1299)+ABS(E1299)</f>
        <v>0</v>
      </c>
    </row>
    <row r="1300" spans="1:7" s="15" customFormat="1" hidden="1">
      <c r="A1300" s="37" t="s">
        <v>2484</v>
      </c>
      <c r="B1300" s="53" t="s">
        <v>2485</v>
      </c>
      <c r="C1300" s="44"/>
      <c r="D1300" s="40">
        <v>0</v>
      </c>
      <c r="E1300" s="40">
        <v>0</v>
      </c>
      <c r="F1300" s="40">
        <f>+D1300-E1300</f>
        <v>0</v>
      </c>
      <c r="G1300" s="2">
        <f>+ABS(D1300)+ABS(E1300)</f>
        <v>0</v>
      </c>
    </row>
    <row r="1301" spans="1:7" s="15" customFormat="1" hidden="1">
      <c r="A1301" s="37" t="s">
        <v>2486</v>
      </c>
      <c r="B1301" s="53" t="s">
        <v>2487</v>
      </c>
      <c r="C1301" s="44"/>
      <c r="D1301" s="40">
        <v>0</v>
      </c>
      <c r="E1301" s="40">
        <v>0</v>
      </c>
      <c r="F1301" s="40">
        <f>+D1301-E1301</f>
        <v>0</v>
      </c>
      <c r="G1301" s="2">
        <f>+ABS(D1301)+ABS(E1301)</f>
        <v>0</v>
      </c>
    </row>
    <row r="1302" spans="1:7" s="15" customFormat="1" hidden="1">
      <c r="A1302" s="37" t="s">
        <v>2488</v>
      </c>
      <c r="B1302" s="53" t="s">
        <v>2489</v>
      </c>
      <c r="C1302" s="44"/>
      <c r="D1302" s="40">
        <v>0</v>
      </c>
      <c r="E1302" s="40">
        <v>0</v>
      </c>
      <c r="F1302" s="40">
        <f>+D1302-E1302</f>
        <v>0</v>
      </c>
      <c r="G1302" s="2">
        <f>+ABS(D1302)+ABS(E1302)</f>
        <v>0</v>
      </c>
    </row>
    <row r="1303" spans="1:7" s="15" customFormat="1" hidden="1">
      <c r="A1303" s="37" t="s">
        <v>2490</v>
      </c>
      <c r="B1303" s="53" t="s">
        <v>2491</v>
      </c>
      <c r="C1303" s="44"/>
      <c r="D1303" s="40">
        <v>0</v>
      </c>
      <c r="E1303" s="40">
        <v>0</v>
      </c>
      <c r="F1303" s="40">
        <f>+D1303-E1303</f>
        <v>0</v>
      </c>
      <c r="G1303" s="2">
        <f>+ABS(D1303)+ABS(E1303)</f>
        <v>0</v>
      </c>
    </row>
    <row r="1304" spans="1:7" s="15" customFormat="1" hidden="1">
      <c r="A1304" s="37" t="s">
        <v>2492</v>
      </c>
      <c r="B1304" s="53" t="s">
        <v>2493</v>
      </c>
      <c r="C1304" s="44"/>
      <c r="D1304" s="40">
        <v>0</v>
      </c>
      <c r="E1304" s="40">
        <v>0</v>
      </c>
      <c r="F1304" s="40">
        <f>+D1304-E1304</f>
        <v>0</v>
      </c>
      <c r="G1304" s="2">
        <f>+ABS(D1304)+ABS(E1304)</f>
        <v>0</v>
      </c>
    </row>
    <row r="1305" spans="1:7" s="15" customFormat="1" hidden="1">
      <c r="A1305" s="37" t="s">
        <v>2494</v>
      </c>
      <c r="B1305" s="53" t="s">
        <v>2495</v>
      </c>
      <c r="C1305" s="44"/>
      <c r="D1305" s="40">
        <v>0</v>
      </c>
      <c r="E1305" s="40">
        <v>0</v>
      </c>
      <c r="F1305" s="40">
        <f>+D1305-E1305</f>
        <v>0</v>
      </c>
      <c r="G1305" s="2">
        <f>+ABS(D1305)+ABS(E1305)</f>
        <v>0</v>
      </c>
    </row>
    <row r="1306" spans="1:7" s="15" customFormat="1" hidden="1">
      <c r="A1306" s="37" t="s">
        <v>2496</v>
      </c>
      <c r="B1306" s="53" t="s">
        <v>2497</v>
      </c>
      <c r="C1306" s="44"/>
      <c r="D1306" s="40">
        <v>0</v>
      </c>
      <c r="E1306" s="40">
        <v>0</v>
      </c>
      <c r="F1306" s="40">
        <f>+D1306-E1306</f>
        <v>0</v>
      </c>
      <c r="G1306" s="2">
        <f>+ABS(D1306)+ABS(E1306)</f>
        <v>0</v>
      </c>
    </row>
    <row r="1307" spans="1:7" s="15" customFormat="1" hidden="1">
      <c r="A1307" s="37" t="s">
        <v>2498</v>
      </c>
      <c r="B1307" s="53" t="s">
        <v>2499</v>
      </c>
      <c r="C1307" s="44"/>
      <c r="D1307" s="40">
        <v>0</v>
      </c>
      <c r="E1307" s="40">
        <v>0</v>
      </c>
      <c r="F1307" s="40">
        <f>+D1307-E1307</f>
        <v>0</v>
      </c>
      <c r="G1307" s="2">
        <f>+ABS(D1307)+ABS(E1307)</f>
        <v>0</v>
      </c>
    </row>
    <row r="1308" spans="1:7" s="15" customFormat="1" hidden="1">
      <c r="A1308" s="37" t="s">
        <v>2500</v>
      </c>
      <c r="B1308" s="53" t="s">
        <v>2501</v>
      </c>
      <c r="C1308" s="44"/>
      <c r="D1308" s="40">
        <v>0</v>
      </c>
      <c r="E1308" s="40">
        <v>0</v>
      </c>
      <c r="F1308" s="40">
        <f>+D1308-E1308</f>
        <v>0</v>
      </c>
      <c r="G1308" s="2">
        <f>+ABS(D1308)+ABS(E1308)</f>
        <v>0</v>
      </c>
    </row>
    <row r="1309" spans="1:7" s="15" customFormat="1" hidden="1">
      <c r="A1309" s="37" t="s">
        <v>2502</v>
      </c>
      <c r="B1309" s="53" t="s">
        <v>2503</v>
      </c>
      <c r="C1309" s="44"/>
      <c r="D1309" s="40">
        <v>0</v>
      </c>
      <c r="E1309" s="40">
        <v>0</v>
      </c>
      <c r="F1309" s="40">
        <f>+D1309-E1309</f>
        <v>0</v>
      </c>
      <c r="G1309" s="2">
        <f>+ABS(D1309)+ABS(E1309)</f>
        <v>0</v>
      </c>
    </row>
    <row r="1310" spans="1:7" s="15" customFormat="1" hidden="1">
      <c r="A1310" s="37" t="s">
        <v>2504</v>
      </c>
      <c r="B1310" s="53" t="s">
        <v>2505</v>
      </c>
      <c r="C1310" s="44"/>
      <c r="D1310" s="40">
        <v>0</v>
      </c>
      <c r="E1310" s="40">
        <v>0</v>
      </c>
      <c r="F1310" s="40">
        <f>+D1310-E1310</f>
        <v>0</v>
      </c>
      <c r="G1310" s="2">
        <f>+ABS(D1310)+ABS(E1310)</f>
        <v>0</v>
      </c>
    </row>
    <row r="1311" spans="1:7" s="15" customFormat="1" hidden="1">
      <c r="A1311" s="37" t="s">
        <v>2506</v>
      </c>
      <c r="B1311" s="53" t="s">
        <v>2507</v>
      </c>
      <c r="C1311" s="44"/>
      <c r="D1311" s="40">
        <v>0</v>
      </c>
      <c r="E1311" s="40">
        <v>0</v>
      </c>
      <c r="F1311" s="40">
        <f>+D1311-E1311</f>
        <v>0</v>
      </c>
      <c r="G1311" s="2">
        <f>+ABS(D1311)+ABS(E1311)</f>
        <v>0</v>
      </c>
    </row>
    <row r="1312" spans="1:7" s="15" customFormat="1" hidden="1">
      <c r="A1312" s="37" t="s">
        <v>2508</v>
      </c>
      <c r="B1312" s="53" t="s">
        <v>2509</v>
      </c>
      <c r="C1312" s="44"/>
      <c r="D1312" s="40">
        <v>0</v>
      </c>
      <c r="E1312" s="40">
        <v>0</v>
      </c>
      <c r="F1312" s="40">
        <f>+D1312-E1312</f>
        <v>0</v>
      </c>
      <c r="G1312" s="2">
        <f>+ABS(D1312)+ABS(E1312)</f>
        <v>0</v>
      </c>
    </row>
    <row r="1313" spans="1:7" s="15" customFormat="1" hidden="1">
      <c r="A1313" s="37" t="s">
        <v>2510</v>
      </c>
      <c r="B1313" s="53" t="s">
        <v>2511</v>
      </c>
      <c r="C1313" s="44"/>
      <c r="D1313" s="40">
        <v>0</v>
      </c>
      <c r="E1313" s="40">
        <v>0</v>
      </c>
      <c r="F1313" s="40">
        <f>+D1313-E1313</f>
        <v>0</v>
      </c>
      <c r="G1313" s="2">
        <f>+ABS(D1313)+ABS(E1313)</f>
        <v>0</v>
      </c>
    </row>
    <row r="1314" spans="1:7" s="15" customFormat="1" hidden="1">
      <c r="A1314" s="37" t="s">
        <v>2512</v>
      </c>
      <c r="B1314" s="53" t="s">
        <v>2513</v>
      </c>
      <c r="C1314" s="44"/>
      <c r="D1314" s="40">
        <v>0</v>
      </c>
      <c r="E1314" s="40">
        <v>0</v>
      </c>
      <c r="F1314" s="40">
        <f>+D1314-E1314</f>
        <v>0</v>
      </c>
      <c r="G1314" s="2">
        <f>+ABS(D1314)+ABS(E1314)</f>
        <v>0</v>
      </c>
    </row>
    <row r="1315" spans="1:7" s="15" customFormat="1" hidden="1">
      <c r="A1315" s="37" t="s">
        <v>2514</v>
      </c>
      <c r="B1315" s="53" t="s">
        <v>2515</v>
      </c>
      <c r="C1315" s="44"/>
      <c r="D1315" s="40">
        <v>0</v>
      </c>
      <c r="E1315" s="40">
        <v>0</v>
      </c>
      <c r="F1315" s="40">
        <f>+D1315-E1315</f>
        <v>0</v>
      </c>
      <c r="G1315" s="2">
        <f>+ABS(D1315)+ABS(E1315)</f>
        <v>0</v>
      </c>
    </row>
    <row r="1316" spans="1:7" s="15" customFormat="1" hidden="1">
      <c r="A1316" s="37" t="s">
        <v>2516</v>
      </c>
      <c r="B1316" s="53" t="s">
        <v>2517</v>
      </c>
      <c r="C1316" s="44"/>
      <c r="D1316" s="40">
        <v>0</v>
      </c>
      <c r="E1316" s="40">
        <v>0</v>
      </c>
      <c r="F1316" s="40">
        <f>+D1316-E1316</f>
        <v>0</v>
      </c>
      <c r="G1316" s="2">
        <f>+ABS(D1316)+ABS(E1316)</f>
        <v>0</v>
      </c>
    </row>
    <row r="1317" spans="1:7" s="15" customFormat="1" hidden="1">
      <c r="A1317" s="37" t="s">
        <v>2518</v>
      </c>
      <c r="B1317" s="53" t="s">
        <v>2519</v>
      </c>
      <c r="C1317" s="44"/>
      <c r="D1317" s="40">
        <v>0</v>
      </c>
      <c r="E1317" s="40">
        <v>0</v>
      </c>
      <c r="F1317" s="40">
        <f>+D1317-E1317</f>
        <v>0</v>
      </c>
      <c r="G1317" s="2">
        <f>+ABS(D1317)+ABS(E1317)</f>
        <v>0</v>
      </c>
    </row>
    <row r="1318" spans="1:7" s="15" customFormat="1" hidden="1">
      <c r="A1318" s="37" t="s">
        <v>2520</v>
      </c>
      <c r="B1318" s="53" t="s">
        <v>2521</v>
      </c>
      <c r="C1318" s="44"/>
      <c r="D1318" s="40">
        <v>0</v>
      </c>
      <c r="E1318" s="40">
        <v>0</v>
      </c>
      <c r="F1318" s="40">
        <f>+D1318-E1318</f>
        <v>0</v>
      </c>
      <c r="G1318" s="2">
        <f>+ABS(D1318)+ABS(E1318)</f>
        <v>0</v>
      </c>
    </row>
    <row r="1319" spans="1:7" s="15" customFormat="1" hidden="1">
      <c r="A1319" s="37" t="s">
        <v>2522</v>
      </c>
      <c r="B1319" s="53" t="s">
        <v>2460</v>
      </c>
      <c r="C1319" s="44"/>
      <c r="D1319" s="40">
        <v>0</v>
      </c>
      <c r="E1319" s="40">
        <v>0</v>
      </c>
      <c r="F1319" s="40">
        <f>+D1319-E1319</f>
        <v>0</v>
      </c>
      <c r="G1319" s="2">
        <f>+ABS(D1319)+ABS(E1319)</f>
        <v>0</v>
      </c>
    </row>
    <row r="1320" spans="1:7" s="15" customFormat="1" hidden="1">
      <c r="A1320" s="37" t="s">
        <v>2523</v>
      </c>
      <c r="B1320" s="53" t="s">
        <v>2524</v>
      </c>
      <c r="C1320" s="44"/>
      <c r="D1320" s="40">
        <v>0</v>
      </c>
      <c r="E1320" s="40">
        <v>0</v>
      </c>
      <c r="F1320" s="40">
        <f>+D1320-E1320</f>
        <v>0</v>
      </c>
      <c r="G1320" s="2">
        <f>+ABS(D1320)+ABS(E1320)</f>
        <v>0</v>
      </c>
    </row>
    <row r="1321" spans="1:7" s="15" customFormat="1" hidden="1">
      <c r="A1321" s="37" t="s">
        <v>2525</v>
      </c>
      <c r="B1321" s="53" t="s">
        <v>2526</v>
      </c>
      <c r="C1321" s="44"/>
      <c r="D1321" s="40">
        <v>0</v>
      </c>
      <c r="E1321" s="40">
        <v>0</v>
      </c>
      <c r="F1321" s="40">
        <f>+D1321-E1321</f>
        <v>0</v>
      </c>
      <c r="G1321" s="2">
        <f>+ABS(D1321)+ABS(E1321)</f>
        <v>0</v>
      </c>
    </row>
    <row r="1322" spans="1:7" s="15" customFormat="1" hidden="1">
      <c r="A1322" s="37" t="s">
        <v>2527</v>
      </c>
      <c r="B1322" s="53" t="s">
        <v>2528</v>
      </c>
      <c r="C1322" s="44"/>
      <c r="D1322" s="40">
        <v>0</v>
      </c>
      <c r="E1322" s="40">
        <v>0</v>
      </c>
      <c r="F1322" s="40">
        <f>+D1322-E1322</f>
        <v>0</v>
      </c>
      <c r="G1322" s="2">
        <f>+ABS(D1322)+ABS(E1322)</f>
        <v>0</v>
      </c>
    </row>
    <row r="1323" spans="1:7" s="15" customFormat="1" hidden="1">
      <c r="A1323" s="37" t="s">
        <v>2529</v>
      </c>
      <c r="B1323" s="53" t="s">
        <v>2530</v>
      </c>
      <c r="C1323" s="44"/>
      <c r="D1323" s="40">
        <v>0</v>
      </c>
      <c r="E1323" s="40">
        <v>0</v>
      </c>
      <c r="F1323" s="40">
        <f>+D1323-E1323</f>
        <v>0</v>
      </c>
      <c r="G1323" s="2">
        <f>+ABS(D1323)+ABS(E1323)</f>
        <v>0</v>
      </c>
    </row>
    <row r="1324" spans="1:7" s="15" customFormat="1" hidden="1">
      <c r="A1324" s="37" t="s">
        <v>2531</v>
      </c>
      <c r="B1324" s="53" t="s">
        <v>2532</v>
      </c>
      <c r="C1324" s="44"/>
      <c r="D1324" s="40">
        <v>0</v>
      </c>
      <c r="E1324" s="40">
        <v>0</v>
      </c>
      <c r="F1324" s="40">
        <f>+D1324-E1324</f>
        <v>0</v>
      </c>
      <c r="G1324" s="2">
        <f>+ABS(D1324)+ABS(E1324)</f>
        <v>0</v>
      </c>
    </row>
    <row r="1325" spans="1:7" s="15" customFormat="1" hidden="1">
      <c r="A1325" s="37" t="s">
        <v>2533</v>
      </c>
      <c r="B1325" s="53" t="s">
        <v>2534</v>
      </c>
      <c r="C1325" s="44"/>
      <c r="D1325" s="40">
        <v>0</v>
      </c>
      <c r="E1325" s="40">
        <v>0</v>
      </c>
      <c r="F1325" s="40">
        <f>+D1325-E1325</f>
        <v>0</v>
      </c>
      <c r="G1325" s="2">
        <f>+ABS(D1325)+ABS(E1325)</f>
        <v>0</v>
      </c>
    </row>
    <row r="1326" spans="1:7" s="15" customFormat="1" hidden="1">
      <c r="A1326" s="37" t="s">
        <v>2535</v>
      </c>
      <c r="B1326" s="53" t="s">
        <v>2536</v>
      </c>
      <c r="C1326" s="44"/>
      <c r="D1326" s="40">
        <v>0</v>
      </c>
      <c r="E1326" s="40">
        <v>0</v>
      </c>
      <c r="F1326" s="40">
        <f>+D1326-E1326</f>
        <v>0</v>
      </c>
      <c r="G1326" s="2">
        <f>+ABS(D1326)+ABS(E1326)</f>
        <v>0</v>
      </c>
    </row>
    <row r="1327" spans="1:7" s="15" customFormat="1" hidden="1">
      <c r="A1327" s="37" t="s">
        <v>2537</v>
      </c>
      <c r="B1327" s="53" t="s">
        <v>2538</v>
      </c>
      <c r="C1327" s="44"/>
      <c r="D1327" s="40">
        <v>0</v>
      </c>
      <c r="E1327" s="40">
        <v>0</v>
      </c>
      <c r="F1327" s="40">
        <f>+D1327-E1327</f>
        <v>0</v>
      </c>
      <c r="G1327" s="2">
        <f>+ABS(D1327)+ABS(E1327)</f>
        <v>0</v>
      </c>
    </row>
    <row r="1328" spans="1:7" s="15" customFormat="1" hidden="1">
      <c r="A1328" s="37" t="s">
        <v>2539</v>
      </c>
      <c r="B1328" s="53" t="s">
        <v>2540</v>
      </c>
      <c r="C1328" s="44"/>
      <c r="D1328" s="40">
        <v>0</v>
      </c>
      <c r="E1328" s="40">
        <v>0</v>
      </c>
      <c r="F1328" s="40">
        <f>+D1328-E1328</f>
        <v>0</v>
      </c>
      <c r="G1328" s="2">
        <f>+ABS(D1328)+ABS(E1328)</f>
        <v>0</v>
      </c>
    </row>
    <row r="1329" spans="1:7" s="15" customFormat="1" hidden="1">
      <c r="A1329" s="37" t="s">
        <v>2541</v>
      </c>
      <c r="B1329" s="53" t="s">
        <v>2542</v>
      </c>
      <c r="C1329" s="44"/>
      <c r="D1329" s="40">
        <v>0</v>
      </c>
      <c r="E1329" s="40">
        <v>0</v>
      </c>
      <c r="F1329" s="40">
        <f>+D1329-E1329</f>
        <v>0</v>
      </c>
      <c r="G1329" s="2">
        <f>+ABS(D1329)+ABS(E1329)</f>
        <v>0</v>
      </c>
    </row>
    <row r="1330" spans="1:7" s="15" customFormat="1" hidden="1">
      <c r="A1330" s="37" t="s">
        <v>2543</v>
      </c>
      <c r="B1330" s="53" t="s">
        <v>2544</v>
      </c>
      <c r="C1330" s="44"/>
      <c r="D1330" s="40">
        <v>0</v>
      </c>
      <c r="E1330" s="40">
        <v>0</v>
      </c>
      <c r="F1330" s="40">
        <f>+D1330-E1330</f>
        <v>0</v>
      </c>
      <c r="G1330" s="2">
        <f>+ABS(D1330)+ABS(E1330)</f>
        <v>0</v>
      </c>
    </row>
    <row r="1331" spans="1:7" s="15" customFormat="1" hidden="1">
      <c r="A1331" s="37" t="s">
        <v>2545</v>
      </c>
      <c r="B1331" s="53" t="s">
        <v>2546</v>
      </c>
      <c r="C1331" s="44"/>
      <c r="D1331" s="40">
        <v>0</v>
      </c>
      <c r="E1331" s="40">
        <v>0</v>
      </c>
      <c r="F1331" s="40">
        <f>+D1331-E1331</f>
        <v>0</v>
      </c>
      <c r="G1331" s="2">
        <f>+ABS(D1331)+ABS(E1331)</f>
        <v>0</v>
      </c>
    </row>
    <row r="1332" spans="1:7" s="15" customFormat="1" hidden="1">
      <c r="A1332" s="37" t="s">
        <v>2547</v>
      </c>
      <c r="B1332" s="53" t="s">
        <v>2548</v>
      </c>
      <c r="C1332" s="44"/>
      <c r="D1332" s="40">
        <v>0</v>
      </c>
      <c r="E1332" s="40">
        <v>0</v>
      </c>
      <c r="F1332" s="40">
        <f>+D1332-E1332</f>
        <v>0</v>
      </c>
      <c r="G1332" s="2">
        <f>+ABS(D1332)+ABS(E1332)</f>
        <v>0</v>
      </c>
    </row>
    <row r="1333" spans="1:7" s="15" customFormat="1" hidden="1">
      <c r="A1333" s="37" t="s">
        <v>2549</v>
      </c>
      <c r="B1333" s="53" t="s">
        <v>2550</v>
      </c>
      <c r="C1333" s="44"/>
      <c r="D1333" s="40">
        <v>0</v>
      </c>
      <c r="E1333" s="40">
        <v>0</v>
      </c>
      <c r="F1333" s="40">
        <f>+D1333-E1333</f>
        <v>0</v>
      </c>
      <c r="G1333" s="2">
        <f>+ABS(D1333)+ABS(E1333)</f>
        <v>0</v>
      </c>
    </row>
    <row r="1334" spans="1:7" s="15" customFormat="1" hidden="1">
      <c r="A1334" s="37" t="s">
        <v>2551</v>
      </c>
      <c r="B1334" s="53" t="s">
        <v>2552</v>
      </c>
      <c r="C1334" s="44"/>
      <c r="D1334" s="40">
        <v>0</v>
      </c>
      <c r="E1334" s="40">
        <v>0</v>
      </c>
      <c r="F1334" s="40">
        <f>+D1334-E1334</f>
        <v>0</v>
      </c>
      <c r="G1334" s="2">
        <f>+ABS(D1334)+ABS(E1334)</f>
        <v>0</v>
      </c>
    </row>
    <row r="1335" spans="1:7" s="15" customFormat="1" hidden="1">
      <c r="A1335" s="37" t="s">
        <v>2553</v>
      </c>
      <c r="B1335" s="53" t="s">
        <v>2554</v>
      </c>
      <c r="C1335" s="44"/>
      <c r="D1335" s="40">
        <v>0</v>
      </c>
      <c r="E1335" s="40">
        <v>0</v>
      </c>
      <c r="F1335" s="40">
        <f>+D1335-E1335</f>
        <v>0</v>
      </c>
      <c r="G1335" s="2">
        <f>+ABS(D1335)+ABS(E1335)</f>
        <v>0</v>
      </c>
    </row>
    <row r="1336" spans="1:7" s="15" customFormat="1" hidden="1">
      <c r="A1336" s="37" t="s">
        <v>2555</v>
      </c>
      <c r="B1336" s="53" t="s">
        <v>2556</v>
      </c>
      <c r="C1336" s="44"/>
      <c r="D1336" s="40">
        <v>0</v>
      </c>
      <c r="E1336" s="40">
        <v>0</v>
      </c>
      <c r="F1336" s="40">
        <f>+D1336-E1336</f>
        <v>0</v>
      </c>
      <c r="G1336" s="2">
        <f>+ABS(D1336)+ABS(E1336)</f>
        <v>0</v>
      </c>
    </row>
    <row r="1337" spans="1:7" s="15" customFormat="1" hidden="1">
      <c r="A1337" s="37" t="s">
        <v>2557</v>
      </c>
      <c r="B1337" s="53" t="s">
        <v>2558</v>
      </c>
      <c r="C1337" s="44"/>
      <c r="D1337" s="40">
        <v>0</v>
      </c>
      <c r="E1337" s="40">
        <v>0</v>
      </c>
      <c r="F1337" s="40">
        <f>+D1337-E1337</f>
        <v>0</v>
      </c>
      <c r="G1337" s="2">
        <f>+ABS(D1337)+ABS(E1337)</f>
        <v>0</v>
      </c>
    </row>
    <row r="1338" spans="1:7" s="15" customFormat="1" hidden="1">
      <c r="A1338" s="37" t="s">
        <v>2559</v>
      </c>
      <c r="B1338" s="53" t="s">
        <v>2560</v>
      </c>
      <c r="C1338" s="44"/>
      <c r="D1338" s="40">
        <v>0</v>
      </c>
      <c r="E1338" s="40">
        <v>0</v>
      </c>
      <c r="F1338" s="40">
        <f>+D1338-E1338</f>
        <v>0</v>
      </c>
      <c r="G1338" s="2">
        <f>+ABS(D1338)+ABS(E1338)</f>
        <v>0</v>
      </c>
    </row>
    <row r="1339" spans="1:7" s="15" customFormat="1" hidden="1">
      <c r="A1339" s="37" t="s">
        <v>2561</v>
      </c>
      <c r="B1339" s="53" t="s">
        <v>2562</v>
      </c>
      <c r="C1339" s="44"/>
      <c r="D1339" s="40">
        <v>0</v>
      </c>
      <c r="E1339" s="40">
        <v>0</v>
      </c>
      <c r="F1339" s="40">
        <f>+D1339-E1339</f>
        <v>0</v>
      </c>
      <c r="G1339" s="2">
        <f>+ABS(D1339)+ABS(E1339)</f>
        <v>0</v>
      </c>
    </row>
    <row r="1340" spans="1:7" s="15" customFormat="1" hidden="1">
      <c r="A1340" s="37" t="s">
        <v>2563</v>
      </c>
      <c r="B1340" s="53" t="s">
        <v>2564</v>
      </c>
      <c r="C1340" s="44"/>
      <c r="D1340" s="40">
        <v>0</v>
      </c>
      <c r="E1340" s="40">
        <v>0</v>
      </c>
      <c r="F1340" s="40">
        <f>+D1340-E1340</f>
        <v>0</v>
      </c>
      <c r="G1340" s="2">
        <f>+ABS(D1340)+ABS(E1340)</f>
        <v>0</v>
      </c>
    </row>
    <row r="1341" spans="1:7" s="15" customFormat="1" hidden="1">
      <c r="A1341" s="37" t="s">
        <v>2565</v>
      </c>
      <c r="B1341" s="53" t="s">
        <v>2566</v>
      </c>
      <c r="C1341" s="44"/>
      <c r="D1341" s="40">
        <v>0</v>
      </c>
      <c r="E1341" s="40">
        <v>0</v>
      </c>
      <c r="F1341" s="40">
        <f>+D1341-E1341</f>
        <v>0</v>
      </c>
      <c r="G1341" s="2">
        <f>+ABS(D1341)+ABS(E1341)</f>
        <v>0</v>
      </c>
    </row>
    <row r="1342" spans="1:7" s="15" customFormat="1" hidden="1">
      <c r="A1342" s="37" t="s">
        <v>2567</v>
      </c>
      <c r="B1342" s="53" t="s">
        <v>2568</v>
      </c>
      <c r="C1342" s="44"/>
      <c r="D1342" s="40">
        <v>0</v>
      </c>
      <c r="E1342" s="40">
        <v>0</v>
      </c>
      <c r="F1342" s="40">
        <f>+D1342-E1342</f>
        <v>0</v>
      </c>
      <c r="G1342" s="2">
        <f>+ABS(D1342)+ABS(E1342)</f>
        <v>0</v>
      </c>
    </row>
    <row r="1343" spans="1:7" s="15" customFormat="1" hidden="1">
      <c r="A1343" s="37" t="s">
        <v>2569</v>
      </c>
      <c r="B1343" s="53" t="s">
        <v>2570</v>
      </c>
      <c r="C1343" s="44"/>
      <c r="D1343" s="40">
        <v>0</v>
      </c>
      <c r="E1343" s="40">
        <v>0</v>
      </c>
      <c r="F1343" s="40">
        <f>+D1343-E1343</f>
        <v>0</v>
      </c>
      <c r="G1343" s="2">
        <f>+ABS(D1343)+ABS(E1343)</f>
        <v>0</v>
      </c>
    </row>
    <row r="1344" spans="1:7" s="15" customFormat="1" hidden="1">
      <c r="A1344" s="37" t="s">
        <v>2571</v>
      </c>
      <c r="B1344" s="53" t="s">
        <v>2572</v>
      </c>
      <c r="C1344" s="44"/>
      <c r="D1344" s="40">
        <v>0</v>
      </c>
      <c r="E1344" s="40">
        <v>0</v>
      </c>
      <c r="F1344" s="40">
        <f>+D1344-E1344</f>
        <v>0</v>
      </c>
      <c r="G1344" s="2">
        <f>+ABS(D1344)+ABS(E1344)</f>
        <v>0</v>
      </c>
    </row>
    <row r="1345" spans="1:7" s="15" customFormat="1" hidden="1">
      <c r="A1345" s="37" t="s">
        <v>2573</v>
      </c>
      <c r="B1345" s="53" t="s">
        <v>2574</v>
      </c>
      <c r="C1345" s="44"/>
      <c r="D1345" s="40">
        <v>0</v>
      </c>
      <c r="E1345" s="40">
        <v>0</v>
      </c>
      <c r="F1345" s="40">
        <f>+D1345-E1345</f>
        <v>0</v>
      </c>
      <c r="G1345" s="2">
        <f>+ABS(D1345)+ABS(E1345)</f>
        <v>0</v>
      </c>
    </row>
    <row r="1346" spans="1:7" s="15" customFormat="1" hidden="1">
      <c r="A1346" s="37" t="s">
        <v>2575</v>
      </c>
      <c r="B1346" s="53" t="s">
        <v>2576</v>
      </c>
      <c r="C1346" s="44"/>
      <c r="D1346" s="40">
        <v>0</v>
      </c>
      <c r="E1346" s="40">
        <v>0</v>
      </c>
      <c r="F1346" s="40">
        <f>+D1346-E1346</f>
        <v>0</v>
      </c>
      <c r="G1346" s="2">
        <f>+ABS(D1346)+ABS(E1346)</f>
        <v>0</v>
      </c>
    </row>
    <row r="1347" spans="1:7" s="15" customFormat="1" hidden="1">
      <c r="A1347" s="37" t="s">
        <v>2577</v>
      </c>
      <c r="B1347" s="53" t="s">
        <v>2578</v>
      </c>
      <c r="C1347" s="44"/>
      <c r="D1347" s="40">
        <v>0</v>
      </c>
      <c r="E1347" s="40">
        <v>0</v>
      </c>
      <c r="F1347" s="40">
        <f>+D1347-E1347</f>
        <v>0</v>
      </c>
      <c r="G1347" s="2">
        <f>+ABS(D1347)+ABS(E1347)</f>
        <v>0</v>
      </c>
    </row>
    <row r="1348" spans="1:7" s="15" customFormat="1" hidden="1">
      <c r="A1348" s="37" t="s">
        <v>2579</v>
      </c>
      <c r="B1348" s="53" t="s">
        <v>2580</v>
      </c>
      <c r="C1348" s="44"/>
      <c r="D1348" s="40">
        <v>0</v>
      </c>
      <c r="E1348" s="40">
        <v>0</v>
      </c>
      <c r="F1348" s="40">
        <f>+D1348-E1348</f>
        <v>0</v>
      </c>
      <c r="G1348" s="2">
        <f>+ABS(D1348)+ABS(E1348)</f>
        <v>0</v>
      </c>
    </row>
    <row r="1349" spans="1:7" s="15" customFormat="1" hidden="1">
      <c r="A1349" s="37" t="s">
        <v>2581</v>
      </c>
      <c r="B1349" s="53" t="s">
        <v>2582</v>
      </c>
      <c r="C1349" s="44"/>
      <c r="D1349" s="40">
        <v>0</v>
      </c>
      <c r="E1349" s="40">
        <v>0</v>
      </c>
      <c r="F1349" s="40">
        <f>+D1349-E1349</f>
        <v>0</v>
      </c>
      <c r="G1349" s="2">
        <f>+ABS(D1349)+ABS(E1349)</f>
        <v>0</v>
      </c>
    </row>
    <row r="1350" spans="1:7" s="15" customFormat="1" hidden="1">
      <c r="A1350" s="37" t="s">
        <v>2583</v>
      </c>
      <c r="B1350" s="53" t="s">
        <v>2584</v>
      </c>
      <c r="C1350" s="44"/>
      <c r="D1350" s="40">
        <v>0</v>
      </c>
      <c r="E1350" s="40">
        <v>0</v>
      </c>
      <c r="F1350" s="40">
        <f>+D1350-E1350</f>
        <v>0</v>
      </c>
      <c r="G1350" s="2">
        <f>+ABS(D1350)+ABS(E1350)</f>
        <v>0</v>
      </c>
    </row>
    <row r="1351" spans="1:7" s="15" customFormat="1" hidden="1">
      <c r="A1351" s="37" t="s">
        <v>2585</v>
      </c>
      <c r="B1351" s="53" t="s">
        <v>2586</v>
      </c>
      <c r="C1351" s="44"/>
      <c r="D1351" s="40">
        <v>0</v>
      </c>
      <c r="E1351" s="40">
        <v>0</v>
      </c>
      <c r="F1351" s="40">
        <f>+D1351-E1351</f>
        <v>0</v>
      </c>
      <c r="G1351" s="2">
        <f>+ABS(D1351)+ABS(E1351)</f>
        <v>0</v>
      </c>
    </row>
    <row r="1352" spans="1:7" s="15" customFormat="1" hidden="1">
      <c r="A1352" s="37" t="s">
        <v>2587</v>
      </c>
      <c r="B1352" s="53" t="s">
        <v>2588</v>
      </c>
      <c r="C1352" s="44"/>
      <c r="D1352" s="40">
        <v>0</v>
      </c>
      <c r="E1352" s="40">
        <v>0</v>
      </c>
      <c r="F1352" s="40">
        <f>+D1352-E1352</f>
        <v>0</v>
      </c>
      <c r="G1352" s="2">
        <f>+ABS(D1352)+ABS(E1352)</f>
        <v>0</v>
      </c>
    </row>
    <row r="1353" spans="1:7" s="15" customFormat="1" hidden="1">
      <c r="A1353" s="37" t="s">
        <v>2589</v>
      </c>
      <c r="B1353" s="53" t="s">
        <v>2436</v>
      </c>
      <c r="C1353" s="44"/>
      <c r="D1353" s="40">
        <v>0</v>
      </c>
      <c r="E1353" s="40">
        <v>0</v>
      </c>
      <c r="F1353" s="40">
        <f>+D1353-E1353</f>
        <v>0</v>
      </c>
      <c r="G1353" s="2">
        <f>+ABS(D1353)+ABS(E1353)</f>
        <v>0</v>
      </c>
    </row>
    <row r="1354" spans="1:7" s="15" customFormat="1" hidden="1">
      <c r="A1354" s="37" t="s">
        <v>2590</v>
      </c>
      <c r="B1354" s="53" t="s">
        <v>2591</v>
      </c>
      <c r="C1354" s="44"/>
      <c r="D1354" s="40">
        <v>0</v>
      </c>
      <c r="E1354" s="40">
        <v>0</v>
      </c>
      <c r="F1354" s="40">
        <f>+D1354-E1354</f>
        <v>0</v>
      </c>
      <c r="G1354" s="2">
        <f>+ABS(D1354)+ABS(E1354)</f>
        <v>0</v>
      </c>
    </row>
    <row r="1355" spans="1:7" s="15" customFormat="1" hidden="1">
      <c r="A1355" s="37" t="s">
        <v>2592</v>
      </c>
      <c r="B1355" s="53" t="s">
        <v>2593</v>
      </c>
      <c r="C1355" s="44"/>
      <c r="D1355" s="40">
        <v>0</v>
      </c>
      <c r="E1355" s="40">
        <v>0</v>
      </c>
      <c r="F1355" s="40">
        <f>+D1355-E1355</f>
        <v>0</v>
      </c>
      <c r="G1355" s="2">
        <f>+ABS(D1355)+ABS(E1355)</f>
        <v>0</v>
      </c>
    </row>
    <row r="1356" spans="1:7" s="15" customFormat="1" hidden="1">
      <c r="A1356" s="37" t="s">
        <v>2594</v>
      </c>
      <c r="B1356" s="53" t="s">
        <v>2595</v>
      </c>
      <c r="C1356" s="44"/>
      <c r="D1356" s="40">
        <v>0</v>
      </c>
      <c r="E1356" s="40">
        <v>0</v>
      </c>
      <c r="F1356" s="40">
        <f>+D1356-E1356</f>
        <v>0</v>
      </c>
      <c r="G1356" s="2">
        <f>+ABS(D1356)+ABS(E1356)</f>
        <v>0</v>
      </c>
    </row>
    <row r="1357" spans="1:7" s="15" customFormat="1" hidden="1">
      <c r="A1357" s="37" t="s">
        <v>2596</v>
      </c>
      <c r="B1357" s="53" t="s">
        <v>2556</v>
      </c>
      <c r="C1357" s="44"/>
      <c r="D1357" s="40">
        <v>0</v>
      </c>
      <c r="E1357" s="40">
        <v>0</v>
      </c>
      <c r="F1357" s="40">
        <f>+D1357-E1357</f>
        <v>0</v>
      </c>
      <c r="G1357" s="2">
        <f>+ABS(D1357)+ABS(E1357)</f>
        <v>0</v>
      </c>
    </row>
    <row r="1358" spans="1:7" s="15" customFormat="1" hidden="1">
      <c r="A1358" s="37" t="s">
        <v>2597</v>
      </c>
      <c r="B1358" s="53" t="s">
        <v>2598</v>
      </c>
      <c r="C1358" s="44"/>
      <c r="D1358" s="40">
        <v>0</v>
      </c>
      <c r="E1358" s="40">
        <v>0</v>
      </c>
      <c r="F1358" s="40">
        <f>+D1358-E1358</f>
        <v>0</v>
      </c>
      <c r="G1358" s="2">
        <f>+ABS(D1358)+ABS(E1358)</f>
        <v>0</v>
      </c>
    </row>
    <row r="1359" spans="1:7" s="15" customFormat="1" hidden="1">
      <c r="A1359" s="37" t="s">
        <v>2599</v>
      </c>
      <c r="B1359" s="53" t="s">
        <v>2600</v>
      </c>
      <c r="C1359" s="44"/>
      <c r="D1359" s="40">
        <v>0</v>
      </c>
      <c r="E1359" s="40">
        <v>0</v>
      </c>
      <c r="F1359" s="40">
        <f>+D1359-E1359</f>
        <v>0</v>
      </c>
      <c r="G1359" s="2">
        <f>+ABS(D1359)+ABS(E1359)</f>
        <v>0</v>
      </c>
    </row>
    <row r="1360" spans="1:7" s="15" customFormat="1" hidden="1">
      <c r="A1360" s="37" t="s">
        <v>2601</v>
      </c>
      <c r="B1360" s="53" t="s">
        <v>2602</v>
      </c>
      <c r="C1360" s="44"/>
      <c r="D1360" s="40">
        <v>0</v>
      </c>
      <c r="E1360" s="40">
        <v>0</v>
      </c>
      <c r="F1360" s="40">
        <f>+D1360-E1360</f>
        <v>0</v>
      </c>
      <c r="G1360" s="2">
        <f>+ABS(D1360)+ABS(E1360)</f>
        <v>0</v>
      </c>
    </row>
    <row r="1361" spans="1:7" s="15" customFormat="1" hidden="1">
      <c r="A1361" s="37" t="s">
        <v>2603</v>
      </c>
      <c r="B1361" s="53" t="s">
        <v>2604</v>
      </c>
      <c r="C1361" s="44"/>
      <c r="D1361" s="40">
        <v>0</v>
      </c>
      <c r="E1361" s="40">
        <v>0</v>
      </c>
      <c r="F1361" s="40">
        <f>+D1361-E1361</f>
        <v>0</v>
      </c>
      <c r="G1361" s="2">
        <f>+ABS(D1361)+ABS(E1361)</f>
        <v>0</v>
      </c>
    </row>
    <row r="1362" spans="1:7" s="15" customFormat="1" hidden="1">
      <c r="A1362" s="37" t="s">
        <v>2605</v>
      </c>
      <c r="B1362" s="53" t="s">
        <v>2606</v>
      </c>
      <c r="C1362" s="44"/>
      <c r="D1362" s="40">
        <v>0</v>
      </c>
      <c r="E1362" s="40">
        <v>0</v>
      </c>
      <c r="F1362" s="40">
        <f>+D1362-E1362</f>
        <v>0</v>
      </c>
      <c r="G1362" s="2">
        <f>+ABS(D1362)+ABS(E1362)</f>
        <v>0</v>
      </c>
    </row>
    <row r="1363" spans="1:7" s="15" customFormat="1" hidden="1">
      <c r="A1363" s="37" t="s">
        <v>2607</v>
      </c>
      <c r="B1363" s="53" t="s">
        <v>2608</v>
      </c>
      <c r="C1363" s="44"/>
      <c r="D1363" s="40">
        <v>0</v>
      </c>
      <c r="E1363" s="40">
        <v>0</v>
      </c>
      <c r="F1363" s="40">
        <f>+D1363-E1363</f>
        <v>0</v>
      </c>
      <c r="G1363" s="2">
        <f>+ABS(D1363)+ABS(E1363)</f>
        <v>0</v>
      </c>
    </row>
    <row r="1364" spans="1:7" s="15" customFormat="1" hidden="1">
      <c r="A1364" s="37" t="s">
        <v>2609</v>
      </c>
      <c r="B1364" s="53" t="s">
        <v>2610</v>
      </c>
      <c r="C1364" s="44"/>
      <c r="D1364" s="40">
        <v>0</v>
      </c>
      <c r="E1364" s="40">
        <v>0</v>
      </c>
      <c r="F1364" s="40">
        <f>+D1364-E1364</f>
        <v>0</v>
      </c>
      <c r="G1364" s="2">
        <f>+ABS(D1364)+ABS(E1364)</f>
        <v>0</v>
      </c>
    </row>
    <row r="1365" spans="1:7" s="15" customFormat="1" hidden="1">
      <c r="A1365" s="37" t="s">
        <v>2611</v>
      </c>
      <c r="B1365" s="53" t="s">
        <v>2612</v>
      </c>
      <c r="C1365" s="44"/>
      <c r="D1365" s="40">
        <v>0</v>
      </c>
      <c r="E1365" s="40">
        <v>0</v>
      </c>
      <c r="F1365" s="40">
        <f>+D1365-E1365</f>
        <v>0</v>
      </c>
      <c r="G1365" s="2">
        <f>+ABS(D1365)+ABS(E1365)</f>
        <v>0</v>
      </c>
    </row>
    <row r="1366" spans="1:7" s="15" customFormat="1" hidden="1">
      <c r="A1366" s="37" t="s">
        <v>2613</v>
      </c>
      <c r="B1366" s="53" t="s">
        <v>2478</v>
      </c>
      <c r="C1366" s="44"/>
      <c r="D1366" s="40">
        <v>0</v>
      </c>
      <c r="E1366" s="40">
        <v>0</v>
      </c>
      <c r="F1366" s="40">
        <f>+D1366-E1366</f>
        <v>0</v>
      </c>
      <c r="G1366" s="2">
        <f>+ABS(D1366)+ABS(E1366)</f>
        <v>0</v>
      </c>
    </row>
    <row r="1367" spans="1:7" s="15" customFormat="1" hidden="1">
      <c r="A1367" s="37" t="s">
        <v>2614</v>
      </c>
      <c r="B1367" s="53" t="s">
        <v>2615</v>
      </c>
      <c r="C1367" s="44"/>
      <c r="D1367" s="40">
        <v>0</v>
      </c>
      <c r="E1367" s="40">
        <v>0</v>
      </c>
      <c r="F1367" s="40">
        <f>+D1367-E1367</f>
        <v>0</v>
      </c>
      <c r="G1367" s="2">
        <f>+ABS(D1367)+ABS(E1367)</f>
        <v>0</v>
      </c>
    </row>
    <row r="1368" spans="1:7" s="15" customFormat="1" hidden="1">
      <c r="A1368" s="37" t="s">
        <v>2616</v>
      </c>
      <c r="B1368" s="53" t="s">
        <v>2617</v>
      </c>
      <c r="C1368" s="44"/>
      <c r="D1368" s="40">
        <v>0</v>
      </c>
      <c r="E1368" s="40">
        <v>0</v>
      </c>
      <c r="F1368" s="40">
        <f>+D1368-E1368</f>
        <v>0</v>
      </c>
      <c r="G1368" s="2">
        <f>+ABS(D1368)+ABS(E1368)</f>
        <v>0</v>
      </c>
    </row>
    <row r="1369" spans="1:7" s="15" customFormat="1" hidden="1">
      <c r="A1369" s="37" t="s">
        <v>2618</v>
      </c>
      <c r="B1369" s="53" t="s">
        <v>2619</v>
      </c>
      <c r="C1369" s="44"/>
      <c r="D1369" s="40">
        <v>0</v>
      </c>
      <c r="E1369" s="40">
        <v>0</v>
      </c>
      <c r="F1369" s="40">
        <f>+D1369-E1369</f>
        <v>0</v>
      </c>
      <c r="G1369" s="2">
        <f>+ABS(D1369)+ABS(E1369)</f>
        <v>0</v>
      </c>
    </row>
    <row r="1370" spans="1:7" s="15" customFormat="1" hidden="1">
      <c r="A1370" s="37" t="s">
        <v>2620</v>
      </c>
      <c r="B1370" s="53" t="s">
        <v>2621</v>
      </c>
      <c r="C1370" s="44"/>
      <c r="D1370" s="40">
        <v>0</v>
      </c>
      <c r="E1370" s="40">
        <v>0</v>
      </c>
      <c r="F1370" s="40">
        <f>+D1370-E1370</f>
        <v>0</v>
      </c>
      <c r="G1370" s="2">
        <f>+ABS(D1370)+ABS(E1370)</f>
        <v>0</v>
      </c>
    </row>
    <row r="1371" spans="1:7" s="15" customFormat="1" hidden="1">
      <c r="A1371" s="37" t="s">
        <v>2622</v>
      </c>
      <c r="B1371" s="53" t="s">
        <v>2623</v>
      </c>
      <c r="C1371" s="44"/>
      <c r="D1371" s="40">
        <v>0</v>
      </c>
      <c r="E1371" s="40">
        <v>0</v>
      </c>
      <c r="F1371" s="40">
        <f>+D1371-E1371</f>
        <v>0</v>
      </c>
      <c r="G1371" s="2">
        <f>+ABS(D1371)+ABS(E1371)</f>
        <v>0</v>
      </c>
    </row>
    <row r="1372" spans="1:7" s="15" customFormat="1" hidden="1">
      <c r="A1372" s="37" t="s">
        <v>2624</v>
      </c>
      <c r="B1372" s="53" t="s">
        <v>2625</v>
      </c>
      <c r="C1372" s="44"/>
      <c r="D1372" s="40">
        <v>0</v>
      </c>
      <c r="E1372" s="40">
        <v>0</v>
      </c>
      <c r="F1372" s="40">
        <f>+D1372-E1372</f>
        <v>0</v>
      </c>
      <c r="G1372" s="2">
        <f>+ABS(D1372)+ABS(E1372)</f>
        <v>0</v>
      </c>
    </row>
    <row r="1373" spans="1:7" s="15" customFormat="1" hidden="1">
      <c r="A1373" s="37" t="s">
        <v>2626</v>
      </c>
      <c r="B1373" s="53" t="s">
        <v>2627</v>
      </c>
      <c r="C1373" s="44"/>
      <c r="D1373" s="40">
        <v>0</v>
      </c>
      <c r="E1373" s="40">
        <v>0</v>
      </c>
      <c r="F1373" s="40">
        <f>+D1373-E1373</f>
        <v>0</v>
      </c>
      <c r="G1373" s="2">
        <f>+ABS(D1373)+ABS(E1373)</f>
        <v>0</v>
      </c>
    </row>
    <row r="1374" spans="1:7" s="15" customFormat="1" hidden="1">
      <c r="A1374" s="37" t="s">
        <v>2628</v>
      </c>
      <c r="B1374" s="53" t="s">
        <v>2629</v>
      </c>
      <c r="C1374" s="44"/>
      <c r="D1374" s="40">
        <v>0</v>
      </c>
      <c r="E1374" s="40">
        <v>0</v>
      </c>
      <c r="F1374" s="40">
        <f>+D1374-E1374</f>
        <v>0</v>
      </c>
      <c r="G1374" s="2">
        <f>+ABS(D1374)+ABS(E1374)</f>
        <v>0</v>
      </c>
    </row>
    <row r="1375" spans="1:7" s="15" customFormat="1" hidden="1">
      <c r="A1375" s="37" t="s">
        <v>2630</v>
      </c>
      <c r="B1375" s="53" t="s">
        <v>2631</v>
      </c>
      <c r="C1375" s="44"/>
      <c r="D1375" s="40">
        <v>0</v>
      </c>
      <c r="E1375" s="40">
        <v>0</v>
      </c>
      <c r="F1375" s="40">
        <f>+D1375-E1375</f>
        <v>0</v>
      </c>
      <c r="G1375" s="2">
        <f>+ABS(D1375)+ABS(E1375)</f>
        <v>0</v>
      </c>
    </row>
    <row r="1376" spans="1:7" s="15" customFormat="1" hidden="1">
      <c r="A1376" s="37" t="s">
        <v>2632</v>
      </c>
      <c r="B1376" s="53" t="s">
        <v>2633</v>
      </c>
      <c r="C1376" s="44"/>
      <c r="D1376" s="40">
        <v>0</v>
      </c>
      <c r="E1376" s="40">
        <v>0</v>
      </c>
      <c r="F1376" s="40">
        <f>+D1376-E1376</f>
        <v>0</v>
      </c>
      <c r="G1376" s="2">
        <f>+ABS(D1376)+ABS(E1376)</f>
        <v>0</v>
      </c>
    </row>
    <row r="1377" spans="1:7" s="15" customFormat="1" hidden="1">
      <c r="A1377" s="37" t="s">
        <v>2634</v>
      </c>
      <c r="B1377" s="53" t="s">
        <v>2635</v>
      </c>
      <c r="C1377" s="44"/>
      <c r="D1377" s="40">
        <v>0</v>
      </c>
      <c r="E1377" s="40">
        <v>0</v>
      </c>
      <c r="F1377" s="40">
        <f>+D1377-E1377</f>
        <v>0</v>
      </c>
      <c r="G1377" s="2">
        <f>+ABS(D1377)+ABS(E1377)</f>
        <v>0</v>
      </c>
    </row>
    <row r="1378" spans="1:7" s="15" customFormat="1" hidden="1">
      <c r="A1378" s="37" t="s">
        <v>2636</v>
      </c>
      <c r="B1378" s="53" t="s">
        <v>2637</v>
      </c>
      <c r="C1378" s="44"/>
      <c r="D1378" s="40">
        <v>0</v>
      </c>
      <c r="E1378" s="40">
        <v>0</v>
      </c>
      <c r="F1378" s="40">
        <f>+D1378-E1378</f>
        <v>0</v>
      </c>
      <c r="G1378" s="2">
        <f>+ABS(D1378)+ABS(E1378)</f>
        <v>0</v>
      </c>
    </row>
    <row r="1379" spans="1:7" s="15" customFormat="1" hidden="1">
      <c r="A1379" s="37" t="s">
        <v>2638</v>
      </c>
      <c r="B1379" s="53" t="s">
        <v>2639</v>
      </c>
      <c r="C1379" s="44"/>
      <c r="D1379" s="40">
        <v>0</v>
      </c>
      <c r="E1379" s="40">
        <v>0</v>
      </c>
      <c r="F1379" s="40">
        <f>+D1379-E1379</f>
        <v>0</v>
      </c>
      <c r="G1379" s="2">
        <f>+ABS(D1379)+ABS(E1379)</f>
        <v>0</v>
      </c>
    </row>
    <row r="1380" spans="1:7" s="15" customFormat="1" hidden="1">
      <c r="A1380" s="37" t="s">
        <v>2640</v>
      </c>
      <c r="B1380" s="53" t="s">
        <v>2641</v>
      </c>
      <c r="C1380" s="44"/>
      <c r="D1380" s="40">
        <v>0</v>
      </c>
      <c r="E1380" s="40">
        <v>0</v>
      </c>
      <c r="F1380" s="40">
        <f>+D1380-E1380</f>
        <v>0</v>
      </c>
      <c r="G1380" s="2">
        <f>+ABS(D1380)+ABS(E1380)</f>
        <v>0</v>
      </c>
    </row>
    <row r="1381" spans="1:7" s="15" customFormat="1" hidden="1">
      <c r="A1381" s="37" t="s">
        <v>2642</v>
      </c>
      <c r="B1381" s="53" t="s">
        <v>2643</v>
      </c>
      <c r="C1381" s="44"/>
      <c r="D1381" s="40">
        <v>0</v>
      </c>
      <c r="E1381" s="40">
        <v>0</v>
      </c>
      <c r="F1381" s="40">
        <f>+D1381-E1381</f>
        <v>0</v>
      </c>
      <c r="G1381" s="2">
        <f>+ABS(D1381)+ABS(E1381)</f>
        <v>0</v>
      </c>
    </row>
    <row r="1382" spans="1:7" s="15" customFormat="1" hidden="1">
      <c r="A1382" s="37" t="s">
        <v>2644</v>
      </c>
      <c r="B1382" s="53" t="s">
        <v>2645</v>
      </c>
      <c r="C1382" s="44"/>
      <c r="D1382" s="40">
        <v>0</v>
      </c>
      <c r="E1382" s="40">
        <v>0</v>
      </c>
      <c r="F1382" s="40">
        <f>+D1382-E1382</f>
        <v>0</v>
      </c>
      <c r="G1382" s="2">
        <f>+ABS(D1382)+ABS(E1382)</f>
        <v>0</v>
      </c>
    </row>
    <row r="1383" spans="1:7" s="15" customFormat="1" hidden="1">
      <c r="A1383" s="37" t="s">
        <v>2646</v>
      </c>
      <c r="B1383" s="53" t="s">
        <v>2647</v>
      </c>
      <c r="C1383" s="44"/>
      <c r="D1383" s="40">
        <v>0</v>
      </c>
      <c r="E1383" s="40">
        <v>0</v>
      </c>
      <c r="F1383" s="40">
        <f>+D1383-E1383</f>
        <v>0</v>
      </c>
      <c r="G1383" s="2">
        <f>+ABS(D1383)+ABS(E1383)</f>
        <v>0</v>
      </c>
    </row>
    <row r="1384" spans="1:7" s="15" customFormat="1" hidden="1">
      <c r="A1384" s="37" t="s">
        <v>2648</v>
      </c>
      <c r="B1384" s="53" t="s">
        <v>2649</v>
      </c>
      <c r="C1384" s="44"/>
      <c r="D1384" s="40">
        <v>0</v>
      </c>
      <c r="E1384" s="40">
        <v>0</v>
      </c>
      <c r="F1384" s="40">
        <f>+D1384-E1384</f>
        <v>0</v>
      </c>
      <c r="G1384" s="2">
        <f>+ABS(D1384)+ABS(E1384)</f>
        <v>0</v>
      </c>
    </row>
    <row r="1385" spans="1:7" s="15" customFormat="1" hidden="1">
      <c r="A1385" s="37" t="s">
        <v>2650</v>
      </c>
      <c r="B1385" s="53" t="s">
        <v>2651</v>
      </c>
      <c r="C1385" s="44"/>
      <c r="D1385" s="40">
        <v>0</v>
      </c>
      <c r="E1385" s="40">
        <v>0</v>
      </c>
      <c r="F1385" s="40">
        <f>+D1385-E1385</f>
        <v>0</v>
      </c>
      <c r="G1385" s="2">
        <f>+ABS(D1385)+ABS(E1385)</f>
        <v>0</v>
      </c>
    </row>
    <row r="1386" spans="1:7" s="15" customFormat="1" hidden="1">
      <c r="A1386" s="37" t="s">
        <v>2652</v>
      </c>
      <c r="B1386" s="53" t="s">
        <v>2653</v>
      </c>
      <c r="C1386" s="44"/>
      <c r="D1386" s="40">
        <v>0</v>
      </c>
      <c r="E1386" s="40">
        <v>0</v>
      </c>
      <c r="F1386" s="40">
        <f>+D1386-E1386</f>
        <v>0</v>
      </c>
      <c r="G1386" s="2">
        <f>+ABS(D1386)+ABS(E1386)</f>
        <v>0</v>
      </c>
    </row>
    <row r="1387" spans="1:7" s="15" customFormat="1" hidden="1">
      <c r="A1387" s="37" t="s">
        <v>2654</v>
      </c>
      <c r="B1387" s="53" t="s">
        <v>2655</v>
      </c>
      <c r="C1387" s="44"/>
      <c r="D1387" s="40">
        <v>0</v>
      </c>
      <c r="E1387" s="40">
        <v>0</v>
      </c>
      <c r="F1387" s="40">
        <f>+D1387-E1387</f>
        <v>0</v>
      </c>
      <c r="G1387" s="2">
        <f>+ABS(D1387)+ABS(E1387)</f>
        <v>0</v>
      </c>
    </row>
    <row r="1388" spans="1:7" s="15" customFormat="1" hidden="1">
      <c r="A1388" s="37" t="s">
        <v>2656</v>
      </c>
      <c r="B1388" s="53" t="s">
        <v>2657</v>
      </c>
      <c r="C1388" s="44"/>
      <c r="D1388" s="40">
        <v>0</v>
      </c>
      <c r="E1388" s="40">
        <v>0</v>
      </c>
      <c r="F1388" s="40">
        <f>+D1388-E1388</f>
        <v>0</v>
      </c>
      <c r="G1388" s="2">
        <f>+ABS(D1388)+ABS(E1388)</f>
        <v>0</v>
      </c>
    </row>
    <row r="1389" spans="1:7" s="15" customFormat="1" hidden="1">
      <c r="A1389" s="37" t="s">
        <v>2658</v>
      </c>
      <c r="B1389" s="53" t="s">
        <v>2659</v>
      </c>
      <c r="C1389" s="44"/>
      <c r="D1389" s="40">
        <v>0</v>
      </c>
      <c r="E1389" s="40">
        <v>0</v>
      </c>
      <c r="F1389" s="40">
        <f>+D1389-E1389</f>
        <v>0</v>
      </c>
      <c r="G1389" s="2">
        <f>+ABS(D1389)+ABS(E1389)</f>
        <v>0</v>
      </c>
    </row>
    <row r="1390" spans="1:7" s="15" customFormat="1" hidden="1">
      <c r="A1390" s="37" t="s">
        <v>2660</v>
      </c>
      <c r="B1390" s="53" t="s">
        <v>2661</v>
      </c>
      <c r="C1390" s="44"/>
      <c r="D1390" s="40">
        <v>0</v>
      </c>
      <c r="E1390" s="40">
        <v>0</v>
      </c>
      <c r="F1390" s="40">
        <f>+D1390-E1390</f>
        <v>0</v>
      </c>
      <c r="G1390" s="2">
        <f>+ABS(D1390)+ABS(E1390)</f>
        <v>0</v>
      </c>
    </row>
    <row r="1391" spans="1:7" s="15" customFormat="1" hidden="1">
      <c r="A1391" s="37" t="s">
        <v>2662</v>
      </c>
      <c r="B1391" s="53" t="s">
        <v>2663</v>
      </c>
      <c r="C1391" s="44"/>
      <c r="D1391" s="40">
        <v>0</v>
      </c>
      <c r="E1391" s="40">
        <v>0</v>
      </c>
      <c r="F1391" s="40">
        <f>+D1391-E1391</f>
        <v>0</v>
      </c>
      <c r="G1391" s="2">
        <f>+ABS(D1391)+ABS(E1391)</f>
        <v>0</v>
      </c>
    </row>
    <row r="1392" spans="1:7" s="15" customFormat="1" hidden="1">
      <c r="A1392" s="37" t="s">
        <v>2664</v>
      </c>
      <c r="B1392" s="53" t="s">
        <v>2665</v>
      </c>
      <c r="C1392" s="44"/>
      <c r="D1392" s="40">
        <v>0</v>
      </c>
      <c r="E1392" s="40">
        <v>0</v>
      </c>
      <c r="F1392" s="40">
        <f>+D1392-E1392</f>
        <v>0</v>
      </c>
      <c r="G1392" s="2">
        <f>+ABS(D1392)+ABS(E1392)</f>
        <v>0</v>
      </c>
    </row>
    <row r="1393" spans="1:7" s="15" customFormat="1" hidden="1">
      <c r="A1393" s="37" t="s">
        <v>2666</v>
      </c>
      <c r="B1393" s="53" t="s">
        <v>2667</v>
      </c>
      <c r="C1393" s="44"/>
      <c r="D1393" s="40">
        <v>0</v>
      </c>
      <c r="E1393" s="40">
        <v>0</v>
      </c>
      <c r="F1393" s="40">
        <f>+D1393-E1393</f>
        <v>0</v>
      </c>
      <c r="G1393" s="2">
        <f>+ABS(D1393)+ABS(E1393)</f>
        <v>0</v>
      </c>
    </row>
    <row r="1394" spans="1:7" s="15" customFormat="1" hidden="1">
      <c r="A1394" s="37" t="s">
        <v>2668</v>
      </c>
      <c r="B1394" s="53" t="s">
        <v>2669</v>
      </c>
      <c r="C1394" s="44"/>
      <c r="D1394" s="40">
        <v>0</v>
      </c>
      <c r="E1394" s="40">
        <v>0</v>
      </c>
      <c r="F1394" s="40">
        <f>+D1394-E1394</f>
        <v>0</v>
      </c>
      <c r="G1394" s="2">
        <f>+ABS(D1394)+ABS(E1394)</f>
        <v>0</v>
      </c>
    </row>
    <row r="1395" spans="1:7" s="15" customFormat="1" hidden="1">
      <c r="A1395" s="37" t="s">
        <v>2670</v>
      </c>
      <c r="B1395" s="53" t="s">
        <v>2671</v>
      </c>
      <c r="C1395" s="44"/>
      <c r="D1395" s="40">
        <v>0</v>
      </c>
      <c r="E1395" s="40">
        <v>0</v>
      </c>
      <c r="F1395" s="40">
        <f>+D1395-E1395</f>
        <v>0</v>
      </c>
      <c r="G1395" s="2">
        <f>+ABS(D1395)+ABS(E1395)</f>
        <v>0</v>
      </c>
    </row>
    <row r="1396" spans="1:7" s="15" customFormat="1" hidden="1">
      <c r="A1396" s="37" t="s">
        <v>2672</v>
      </c>
      <c r="B1396" s="53" t="s">
        <v>2673</v>
      </c>
      <c r="C1396" s="44"/>
      <c r="D1396" s="40">
        <v>0</v>
      </c>
      <c r="E1396" s="40">
        <v>0</v>
      </c>
      <c r="F1396" s="40">
        <f>+D1396-E1396</f>
        <v>0</v>
      </c>
      <c r="G1396" s="2">
        <f>+ABS(D1396)+ABS(E1396)</f>
        <v>0</v>
      </c>
    </row>
    <row r="1397" spans="1:7" s="15" customFormat="1" hidden="1">
      <c r="A1397" s="37" t="s">
        <v>2674</v>
      </c>
      <c r="B1397" s="53" t="s">
        <v>2675</v>
      </c>
      <c r="C1397" s="44"/>
      <c r="D1397" s="40">
        <v>0</v>
      </c>
      <c r="E1397" s="40">
        <v>0</v>
      </c>
      <c r="F1397" s="40">
        <f>+D1397-E1397</f>
        <v>0</v>
      </c>
      <c r="G1397" s="2">
        <f>+ABS(D1397)+ABS(E1397)</f>
        <v>0</v>
      </c>
    </row>
    <row r="1398" spans="1:7" s="15" customFormat="1" hidden="1">
      <c r="A1398" s="37" t="s">
        <v>2676</v>
      </c>
      <c r="B1398" s="53" t="s">
        <v>2677</v>
      </c>
      <c r="C1398" s="44"/>
      <c r="D1398" s="40">
        <v>0</v>
      </c>
      <c r="E1398" s="40">
        <v>0</v>
      </c>
      <c r="F1398" s="40">
        <f>+D1398-E1398</f>
        <v>0</v>
      </c>
      <c r="G1398" s="2">
        <f>+ABS(D1398)+ABS(E1398)</f>
        <v>0</v>
      </c>
    </row>
    <row r="1399" spans="1:7" s="15" customFormat="1" hidden="1">
      <c r="A1399" s="37" t="s">
        <v>2678</v>
      </c>
      <c r="B1399" s="53" t="s">
        <v>2679</v>
      </c>
      <c r="C1399" s="44"/>
      <c r="D1399" s="40">
        <v>0</v>
      </c>
      <c r="E1399" s="40">
        <v>0</v>
      </c>
      <c r="F1399" s="40">
        <f>+D1399-E1399</f>
        <v>0</v>
      </c>
      <c r="G1399" s="2">
        <f>+ABS(D1399)+ABS(E1399)</f>
        <v>0</v>
      </c>
    </row>
    <row r="1400" spans="1:7" s="15" customFormat="1" hidden="1">
      <c r="A1400" s="37" t="s">
        <v>2680</v>
      </c>
      <c r="B1400" s="53" t="s">
        <v>2681</v>
      </c>
      <c r="C1400" s="44"/>
      <c r="D1400" s="40">
        <v>0</v>
      </c>
      <c r="E1400" s="40">
        <v>0</v>
      </c>
      <c r="F1400" s="40">
        <f>+D1400-E1400</f>
        <v>0</v>
      </c>
      <c r="G1400" s="2">
        <f>+ABS(D1400)+ABS(E1400)</f>
        <v>0</v>
      </c>
    </row>
    <row r="1401" spans="1:7" s="15" customFormat="1" hidden="1">
      <c r="A1401" s="37" t="s">
        <v>2682</v>
      </c>
      <c r="B1401" s="53" t="s">
        <v>2683</v>
      </c>
      <c r="C1401" s="44"/>
      <c r="D1401" s="40">
        <v>0</v>
      </c>
      <c r="E1401" s="40">
        <v>0</v>
      </c>
      <c r="F1401" s="40">
        <f>+D1401-E1401</f>
        <v>0</v>
      </c>
      <c r="G1401" s="2">
        <f>+ABS(D1401)+ABS(E1401)</f>
        <v>0</v>
      </c>
    </row>
    <row r="1402" spans="1:7" s="15" customFormat="1" hidden="1">
      <c r="A1402" s="37" t="s">
        <v>2684</v>
      </c>
      <c r="B1402" s="53" t="s">
        <v>2685</v>
      </c>
      <c r="C1402" s="44"/>
      <c r="D1402" s="40">
        <v>0</v>
      </c>
      <c r="E1402" s="40">
        <v>0</v>
      </c>
      <c r="F1402" s="40">
        <f>+D1402-E1402</f>
        <v>0</v>
      </c>
      <c r="G1402" s="2">
        <f>+ABS(D1402)+ABS(E1402)</f>
        <v>0</v>
      </c>
    </row>
    <row r="1403" spans="1:7" s="15" customFormat="1" hidden="1">
      <c r="A1403" s="37" t="s">
        <v>2686</v>
      </c>
      <c r="B1403" s="53" t="s">
        <v>2687</v>
      </c>
      <c r="C1403" s="44"/>
      <c r="D1403" s="40">
        <v>0</v>
      </c>
      <c r="E1403" s="40">
        <v>0</v>
      </c>
      <c r="F1403" s="40">
        <f>+D1403-E1403</f>
        <v>0</v>
      </c>
      <c r="G1403" s="2">
        <f>+ABS(D1403)+ABS(E1403)</f>
        <v>0</v>
      </c>
    </row>
    <row r="1404" spans="1:7" s="15" customFormat="1" hidden="1">
      <c r="A1404" s="37" t="s">
        <v>2688</v>
      </c>
      <c r="B1404" s="53" t="s">
        <v>2689</v>
      </c>
      <c r="C1404" s="44"/>
      <c r="D1404" s="40">
        <v>0</v>
      </c>
      <c r="E1404" s="40">
        <v>0</v>
      </c>
      <c r="F1404" s="40">
        <f>+D1404-E1404</f>
        <v>0</v>
      </c>
      <c r="G1404" s="2">
        <f>+ABS(D1404)+ABS(E1404)</f>
        <v>0</v>
      </c>
    </row>
    <row r="1405" spans="1:7" s="15" customFormat="1" hidden="1">
      <c r="A1405" s="37" t="s">
        <v>2690</v>
      </c>
      <c r="B1405" s="53" t="s">
        <v>2691</v>
      </c>
      <c r="C1405" s="44"/>
      <c r="D1405" s="40">
        <v>0</v>
      </c>
      <c r="E1405" s="40">
        <v>0</v>
      </c>
      <c r="F1405" s="40">
        <f>+D1405-E1405</f>
        <v>0</v>
      </c>
      <c r="G1405" s="2">
        <f>+ABS(D1405)+ABS(E1405)</f>
        <v>0</v>
      </c>
    </row>
    <row r="1406" spans="1:7" s="15" customFormat="1" hidden="1">
      <c r="A1406" s="37" t="s">
        <v>2692</v>
      </c>
      <c r="B1406" s="53" t="s">
        <v>2693</v>
      </c>
      <c r="C1406" s="44"/>
      <c r="D1406" s="40">
        <v>0</v>
      </c>
      <c r="E1406" s="40">
        <v>0</v>
      </c>
      <c r="F1406" s="40">
        <f>+D1406-E1406</f>
        <v>0</v>
      </c>
      <c r="G1406" s="2">
        <f>+ABS(D1406)+ABS(E1406)</f>
        <v>0</v>
      </c>
    </row>
    <row r="1407" spans="1:7" s="15" customFormat="1" hidden="1">
      <c r="A1407" s="37" t="s">
        <v>2694</v>
      </c>
      <c r="B1407" s="53" t="s">
        <v>2695</v>
      </c>
      <c r="C1407" s="44"/>
      <c r="D1407" s="40">
        <v>0</v>
      </c>
      <c r="E1407" s="40">
        <v>0</v>
      </c>
      <c r="F1407" s="40">
        <f>+D1407-E1407</f>
        <v>0</v>
      </c>
      <c r="G1407" s="2">
        <f>+ABS(D1407)+ABS(E1407)</f>
        <v>0</v>
      </c>
    </row>
    <row r="1408" spans="1:7" s="15" customFormat="1" hidden="1">
      <c r="A1408" s="37" t="s">
        <v>2696</v>
      </c>
      <c r="B1408" s="53" t="s">
        <v>2697</v>
      </c>
      <c r="C1408" s="44"/>
      <c r="D1408" s="40">
        <v>0</v>
      </c>
      <c r="E1408" s="40">
        <v>0</v>
      </c>
      <c r="F1408" s="40">
        <f>+D1408-E1408</f>
        <v>0</v>
      </c>
      <c r="G1408" s="2">
        <f>+ABS(D1408)+ABS(E1408)</f>
        <v>0</v>
      </c>
    </row>
    <row r="1409" spans="1:7" s="15" customFormat="1" hidden="1">
      <c r="A1409" s="37" t="s">
        <v>2698</v>
      </c>
      <c r="B1409" s="53" t="s">
        <v>2699</v>
      </c>
      <c r="C1409" s="44"/>
      <c r="D1409" s="40">
        <v>0</v>
      </c>
      <c r="E1409" s="40">
        <v>0</v>
      </c>
      <c r="F1409" s="40">
        <f>+D1409-E1409</f>
        <v>0</v>
      </c>
      <c r="G1409" s="2">
        <f>+ABS(D1409)+ABS(E1409)</f>
        <v>0</v>
      </c>
    </row>
    <row r="1410" spans="1:7" s="15" customFormat="1" hidden="1">
      <c r="A1410" s="37" t="s">
        <v>2700</v>
      </c>
      <c r="B1410" s="53" t="s">
        <v>2701</v>
      </c>
      <c r="C1410" s="44"/>
      <c r="D1410" s="40">
        <v>0</v>
      </c>
      <c r="E1410" s="40">
        <v>0</v>
      </c>
      <c r="F1410" s="40">
        <f>+D1410-E1410</f>
        <v>0</v>
      </c>
      <c r="G1410" s="2">
        <f>+ABS(D1410)+ABS(E1410)</f>
        <v>0</v>
      </c>
    </row>
    <row r="1411" spans="1:7" s="15" customFormat="1" hidden="1">
      <c r="A1411" s="37" t="s">
        <v>2702</v>
      </c>
      <c r="B1411" s="53" t="s">
        <v>2703</v>
      </c>
      <c r="C1411" s="44"/>
      <c r="D1411" s="40">
        <v>0</v>
      </c>
      <c r="E1411" s="40">
        <v>0</v>
      </c>
      <c r="F1411" s="40">
        <f>+D1411-E1411</f>
        <v>0</v>
      </c>
      <c r="G1411" s="2">
        <f>+ABS(D1411)+ABS(E1411)</f>
        <v>0</v>
      </c>
    </row>
    <row r="1412" spans="1:7" s="15" customFormat="1" hidden="1">
      <c r="A1412" s="37" t="s">
        <v>2704</v>
      </c>
      <c r="B1412" s="53" t="s">
        <v>2705</v>
      </c>
      <c r="C1412" s="44"/>
      <c r="D1412" s="40">
        <v>0</v>
      </c>
      <c r="E1412" s="40">
        <v>0</v>
      </c>
      <c r="F1412" s="40">
        <f>+D1412-E1412</f>
        <v>0</v>
      </c>
      <c r="G1412" s="2">
        <f>+ABS(D1412)+ABS(E1412)</f>
        <v>0</v>
      </c>
    </row>
    <row r="1413" spans="1:7" s="15" customFormat="1" hidden="1">
      <c r="A1413" s="37" t="s">
        <v>2706</v>
      </c>
      <c r="B1413" s="53" t="s">
        <v>2707</v>
      </c>
      <c r="C1413" s="44"/>
      <c r="D1413" s="40">
        <v>0</v>
      </c>
      <c r="E1413" s="40">
        <v>0</v>
      </c>
      <c r="F1413" s="40">
        <f>+D1413-E1413</f>
        <v>0</v>
      </c>
      <c r="G1413" s="2">
        <f>+ABS(D1413)+ABS(E1413)</f>
        <v>0</v>
      </c>
    </row>
    <row r="1414" spans="1:7" s="15" customFormat="1" hidden="1">
      <c r="A1414" s="37" t="s">
        <v>2708</v>
      </c>
      <c r="B1414" s="53" t="s">
        <v>2709</v>
      </c>
      <c r="C1414" s="44"/>
      <c r="D1414" s="40">
        <v>0</v>
      </c>
      <c r="E1414" s="40">
        <v>0</v>
      </c>
      <c r="F1414" s="40">
        <f>+D1414-E1414</f>
        <v>0</v>
      </c>
      <c r="G1414" s="2">
        <f>+ABS(D1414)+ABS(E1414)</f>
        <v>0</v>
      </c>
    </row>
    <row r="1415" spans="1:7" s="15" customFormat="1" hidden="1">
      <c r="A1415" s="37" t="s">
        <v>2710</v>
      </c>
      <c r="B1415" s="53" t="s">
        <v>2711</v>
      </c>
      <c r="C1415" s="44"/>
      <c r="D1415" s="40">
        <v>0</v>
      </c>
      <c r="E1415" s="40">
        <v>0</v>
      </c>
      <c r="F1415" s="40">
        <f>+D1415-E1415</f>
        <v>0</v>
      </c>
      <c r="G1415" s="2">
        <f>+ABS(D1415)+ABS(E1415)</f>
        <v>0</v>
      </c>
    </row>
    <row r="1416" spans="1:7" s="15" customFormat="1" hidden="1">
      <c r="A1416" s="37" t="s">
        <v>2712</v>
      </c>
      <c r="B1416" s="53" t="s">
        <v>2713</v>
      </c>
      <c r="C1416" s="44"/>
      <c r="D1416" s="40">
        <v>0</v>
      </c>
      <c r="E1416" s="40">
        <v>0</v>
      </c>
      <c r="F1416" s="40">
        <f>+D1416-E1416</f>
        <v>0</v>
      </c>
      <c r="G1416" s="2">
        <f>+ABS(D1416)+ABS(E1416)</f>
        <v>0</v>
      </c>
    </row>
    <row r="1417" spans="1:7" s="15" customFormat="1" hidden="1">
      <c r="A1417" s="37" t="s">
        <v>2714</v>
      </c>
      <c r="B1417" s="53" t="s">
        <v>2715</v>
      </c>
      <c r="C1417" s="44"/>
      <c r="D1417" s="40">
        <v>0</v>
      </c>
      <c r="E1417" s="40">
        <v>0</v>
      </c>
      <c r="F1417" s="40">
        <f>+D1417-E1417</f>
        <v>0</v>
      </c>
      <c r="G1417" s="2">
        <f>+ABS(D1417)+ABS(E1417)</f>
        <v>0</v>
      </c>
    </row>
    <row r="1418" spans="1:7" s="15" customFormat="1" hidden="1">
      <c r="A1418" s="37" t="s">
        <v>2716</v>
      </c>
      <c r="B1418" s="53" t="s">
        <v>2717</v>
      </c>
      <c r="C1418" s="44"/>
      <c r="D1418" s="40">
        <v>0</v>
      </c>
      <c r="E1418" s="40">
        <v>0</v>
      </c>
      <c r="F1418" s="40">
        <f>+D1418-E1418</f>
        <v>0</v>
      </c>
      <c r="G1418" s="2">
        <f>+ABS(D1418)+ABS(E1418)</f>
        <v>0</v>
      </c>
    </row>
    <row r="1419" spans="1:7" s="15" customFormat="1" hidden="1">
      <c r="A1419" s="37" t="s">
        <v>2718</v>
      </c>
      <c r="B1419" s="53" t="s">
        <v>2719</v>
      </c>
      <c r="C1419" s="44"/>
      <c r="D1419" s="40">
        <v>0</v>
      </c>
      <c r="E1419" s="40">
        <v>0</v>
      </c>
      <c r="F1419" s="40">
        <f>+D1419-E1419</f>
        <v>0</v>
      </c>
      <c r="G1419" s="2">
        <f>+ABS(D1419)+ABS(E1419)</f>
        <v>0</v>
      </c>
    </row>
    <row r="1420" spans="1:7" s="15" customFormat="1" hidden="1">
      <c r="A1420" s="37" t="s">
        <v>2720</v>
      </c>
      <c r="B1420" s="53" t="s">
        <v>2721</v>
      </c>
      <c r="C1420" s="44"/>
      <c r="D1420" s="40">
        <v>0</v>
      </c>
      <c r="E1420" s="40">
        <v>0</v>
      </c>
      <c r="F1420" s="40">
        <f>+D1420-E1420</f>
        <v>0</v>
      </c>
      <c r="G1420" s="2">
        <f>+ABS(D1420)+ABS(E1420)</f>
        <v>0</v>
      </c>
    </row>
    <row r="1421" spans="1:7" s="15" customFormat="1" hidden="1">
      <c r="A1421" s="37" t="s">
        <v>2722</v>
      </c>
      <c r="B1421" s="53" t="s">
        <v>2723</v>
      </c>
      <c r="C1421" s="44"/>
      <c r="D1421" s="40">
        <v>0</v>
      </c>
      <c r="E1421" s="40">
        <v>0</v>
      </c>
      <c r="F1421" s="40">
        <f>+D1421-E1421</f>
        <v>0</v>
      </c>
      <c r="G1421" s="2">
        <f>+ABS(D1421)+ABS(E1421)</f>
        <v>0</v>
      </c>
    </row>
    <row r="1422" spans="1:7" s="15" customFormat="1" hidden="1">
      <c r="A1422" s="37" t="s">
        <v>2724</v>
      </c>
      <c r="B1422" s="53" t="s">
        <v>2725</v>
      </c>
      <c r="C1422" s="44"/>
      <c r="D1422" s="40">
        <v>0</v>
      </c>
      <c r="E1422" s="40">
        <v>0</v>
      </c>
      <c r="F1422" s="40">
        <f>+D1422-E1422</f>
        <v>0</v>
      </c>
      <c r="G1422" s="2">
        <f>+ABS(D1422)+ABS(E1422)</f>
        <v>0</v>
      </c>
    </row>
    <row r="1423" spans="1:7" s="15" customFormat="1" hidden="1">
      <c r="A1423" s="37" t="s">
        <v>2726</v>
      </c>
      <c r="B1423" s="53" t="s">
        <v>2727</v>
      </c>
      <c r="C1423" s="44"/>
      <c r="D1423" s="40">
        <v>0</v>
      </c>
      <c r="E1423" s="40">
        <v>0</v>
      </c>
      <c r="F1423" s="40">
        <f>+D1423-E1423</f>
        <v>0</v>
      </c>
      <c r="G1423" s="2">
        <f>+ABS(D1423)+ABS(E1423)</f>
        <v>0</v>
      </c>
    </row>
    <row r="1424" spans="1:7" s="15" customFormat="1" hidden="1">
      <c r="A1424" s="37" t="s">
        <v>2728</v>
      </c>
      <c r="B1424" s="53" t="s">
        <v>2729</v>
      </c>
      <c r="C1424" s="44"/>
      <c r="D1424" s="40">
        <v>0</v>
      </c>
      <c r="E1424" s="40">
        <v>0</v>
      </c>
      <c r="F1424" s="40">
        <f>+D1424-E1424</f>
        <v>0</v>
      </c>
      <c r="G1424" s="2">
        <f>+ABS(D1424)+ABS(E1424)</f>
        <v>0</v>
      </c>
    </row>
    <row r="1425" spans="1:7" s="15" customFormat="1" hidden="1">
      <c r="A1425" s="37" t="s">
        <v>2730</v>
      </c>
      <c r="B1425" s="53" t="s">
        <v>2731</v>
      </c>
      <c r="C1425" s="44"/>
      <c r="D1425" s="40">
        <v>0</v>
      </c>
      <c r="E1425" s="40">
        <v>0</v>
      </c>
      <c r="F1425" s="40">
        <f>+D1425-E1425</f>
        <v>0</v>
      </c>
      <c r="G1425" s="2">
        <f>+ABS(D1425)+ABS(E1425)</f>
        <v>0</v>
      </c>
    </row>
    <row r="1426" spans="1:7" s="15" customFormat="1" hidden="1">
      <c r="A1426" s="37" t="s">
        <v>2732</v>
      </c>
      <c r="B1426" s="53" t="s">
        <v>2733</v>
      </c>
      <c r="C1426" s="44"/>
      <c r="D1426" s="40">
        <v>0</v>
      </c>
      <c r="E1426" s="40">
        <v>0</v>
      </c>
      <c r="F1426" s="40">
        <f>+D1426-E1426</f>
        <v>0</v>
      </c>
      <c r="G1426" s="2">
        <f>+ABS(D1426)+ABS(E1426)</f>
        <v>0</v>
      </c>
    </row>
    <row r="1427" spans="1:7" s="15" customFormat="1" hidden="1">
      <c r="A1427" s="37" t="s">
        <v>2734</v>
      </c>
      <c r="B1427" s="53" t="s">
        <v>2667</v>
      </c>
      <c r="C1427" s="44"/>
      <c r="D1427" s="40">
        <v>0</v>
      </c>
      <c r="E1427" s="40">
        <v>0</v>
      </c>
      <c r="F1427" s="40">
        <f>+D1427-E1427</f>
        <v>0</v>
      </c>
      <c r="G1427" s="2">
        <f>+ABS(D1427)+ABS(E1427)</f>
        <v>0</v>
      </c>
    </row>
    <row r="1428" spans="1:7" s="15" customFormat="1" hidden="1">
      <c r="A1428" s="37" t="s">
        <v>2735</v>
      </c>
      <c r="B1428" s="53" t="s">
        <v>2736</v>
      </c>
      <c r="C1428" s="44"/>
      <c r="D1428" s="40">
        <v>0</v>
      </c>
      <c r="E1428" s="40">
        <v>0</v>
      </c>
      <c r="F1428" s="40">
        <f>+D1428-E1428</f>
        <v>0</v>
      </c>
      <c r="G1428" s="2">
        <f>+ABS(D1428)+ABS(E1428)</f>
        <v>0</v>
      </c>
    </row>
    <row r="1429" spans="1:7" s="15" customFormat="1" hidden="1">
      <c r="A1429" s="37" t="s">
        <v>2737</v>
      </c>
      <c r="B1429" s="53" t="s">
        <v>2738</v>
      </c>
      <c r="C1429" s="44"/>
      <c r="D1429" s="40">
        <v>0</v>
      </c>
      <c r="E1429" s="40">
        <v>0</v>
      </c>
      <c r="F1429" s="40">
        <f>+D1429-E1429</f>
        <v>0</v>
      </c>
      <c r="G1429" s="2">
        <f>+ABS(D1429)+ABS(E1429)</f>
        <v>0</v>
      </c>
    </row>
    <row r="1430" spans="1:7" s="15" customFormat="1" hidden="1">
      <c r="A1430" s="37" t="s">
        <v>2739</v>
      </c>
      <c r="B1430" s="53" t="s">
        <v>2740</v>
      </c>
      <c r="C1430" s="44"/>
      <c r="D1430" s="40">
        <v>0</v>
      </c>
      <c r="E1430" s="40">
        <v>0</v>
      </c>
      <c r="F1430" s="40">
        <f>+D1430-E1430</f>
        <v>0</v>
      </c>
      <c r="G1430" s="2">
        <f>+ABS(D1430)+ABS(E1430)</f>
        <v>0</v>
      </c>
    </row>
    <row r="1431" spans="1:7" s="15" customFormat="1" hidden="1">
      <c r="A1431" s="37" t="s">
        <v>2741</v>
      </c>
      <c r="B1431" s="53" t="s">
        <v>2742</v>
      </c>
      <c r="C1431" s="44"/>
      <c r="D1431" s="40">
        <v>0</v>
      </c>
      <c r="E1431" s="40">
        <v>0</v>
      </c>
      <c r="F1431" s="40">
        <f>+D1431-E1431</f>
        <v>0</v>
      </c>
      <c r="G1431" s="2">
        <f>+ABS(D1431)+ABS(E1431)</f>
        <v>0</v>
      </c>
    </row>
    <row r="1432" spans="1:7" s="15" customFormat="1" hidden="1">
      <c r="A1432" s="37" t="s">
        <v>2743</v>
      </c>
      <c r="B1432" s="53" t="s">
        <v>2744</v>
      </c>
      <c r="C1432" s="44"/>
      <c r="D1432" s="40">
        <v>0</v>
      </c>
      <c r="E1432" s="40">
        <v>0</v>
      </c>
      <c r="F1432" s="40">
        <f>+D1432-E1432</f>
        <v>0</v>
      </c>
      <c r="G1432" s="2">
        <f>+ABS(D1432)+ABS(E1432)</f>
        <v>0</v>
      </c>
    </row>
    <row r="1433" spans="1:7" s="15" customFormat="1" hidden="1">
      <c r="A1433" s="37" t="s">
        <v>2745</v>
      </c>
      <c r="B1433" s="53" t="s">
        <v>2746</v>
      </c>
      <c r="C1433" s="44"/>
      <c r="D1433" s="40">
        <v>0</v>
      </c>
      <c r="E1433" s="40">
        <v>0</v>
      </c>
      <c r="F1433" s="40">
        <f>+D1433-E1433</f>
        <v>0</v>
      </c>
      <c r="G1433" s="2">
        <f>+ABS(D1433)+ABS(E1433)</f>
        <v>0</v>
      </c>
    </row>
    <row r="1434" spans="1:7" s="15" customFormat="1" hidden="1">
      <c r="A1434" s="37" t="s">
        <v>2747</v>
      </c>
      <c r="B1434" s="53" t="s">
        <v>2748</v>
      </c>
      <c r="C1434" s="44"/>
      <c r="D1434" s="40">
        <v>0</v>
      </c>
      <c r="E1434" s="40">
        <v>0</v>
      </c>
      <c r="F1434" s="40">
        <f>+D1434-E1434</f>
        <v>0</v>
      </c>
      <c r="G1434" s="2">
        <f>+ABS(D1434)+ABS(E1434)</f>
        <v>0</v>
      </c>
    </row>
    <row r="1435" spans="1:7" s="15" customFormat="1" hidden="1">
      <c r="A1435" s="37" t="s">
        <v>2749</v>
      </c>
      <c r="B1435" s="53" t="s">
        <v>2750</v>
      </c>
      <c r="C1435" s="44"/>
      <c r="D1435" s="40">
        <v>0</v>
      </c>
      <c r="E1435" s="40">
        <v>0</v>
      </c>
      <c r="F1435" s="40">
        <f>+D1435-E1435</f>
        <v>0</v>
      </c>
      <c r="G1435" s="2">
        <f>+ABS(D1435)+ABS(E1435)</f>
        <v>0</v>
      </c>
    </row>
    <row r="1436" spans="1:7" s="15" customFormat="1" hidden="1">
      <c r="A1436" s="37" t="s">
        <v>2751</v>
      </c>
      <c r="B1436" s="53" t="s">
        <v>2752</v>
      </c>
      <c r="C1436" s="44"/>
      <c r="D1436" s="40">
        <v>0</v>
      </c>
      <c r="E1436" s="40">
        <v>0</v>
      </c>
      <c r="F1436" s="40">
        <f>+D1436-E1436</f>
        <v>0</v>
      </c>
      <c r="G1436" s="2">
        <f>+ABS(D1436)+ABS(E1436)</f>
        <v>0</v>
      </c>
    </row>
    <row r="1437" spans="1:7" s="15" customFormat="1" hidden="1">
      <c r="A1437" s="37" t="s">
        <v>2753</v>
      </c>
      <c r="B1437" s="53" t="s">
        <v>2754</v>
      </c>
      <c r="C1437" s="44"/>
      <c r="D1437" s="40">
        <v>0</v>
      </c>
      <c r="E1437" s="40">
        <v>0</v>
      </c>
      <c r="F1437" s="40">
        <f>+D1437-E1437</f>
        <v>0</v>
      </c>
      <c r="G1437" s="2">
        <f>+ABS(D1437)+ABS(E1437)</f>
        <v>0</v>
      </c>
    </row>
    <row r="1438" spans="1:7" s="15" customFormat="1" hidden="1">
      <c r="A1438" s="37" t="s">
        <v>2755</v>
      </c>
      <c r="B1438" s="53" t="s">
        <v>2756</v>
      </c>
      <c r="C1438" s="44"/>
      <c r="D1438" s="40">
        <v>0</v>
      </c>
      <c r="E1438" s="40">
        <v>0</v>
      </c>
      <c r="F1438" s="40">
        <f>+D1438-E1438</f>
        <v>0</v>
      </c>
      <c r="G1438" s="2">
        <f>+ABS(D1438)+ABS(E1438)</f>
        <v>0</v>
      </c>
    </row>
    <row r="1439" spans="1:7" s="15" customFormat="1" hidden="1">
      <c r="A1439" s="37" t="s">
        <v>2757</v>
      </c>
      <c r="B1439" s="53" t="s">
        <v>2758</v>
      </c>
      <c r="C1439" s="44"/>
      <c r="D1439" s="40">
        <v>0</v>
      </c>
      <c r="E1439" s="40">
        <v>0</v>
      </c>
      <c r="F1439" s="40">
        <f>+D1439-E1439</f>
        <v>0</v>
      </c>
      <c r="G1439" s="2">
        <f>+ABS(D1439)+ABS(E1439)</f>
        <v>0</v>
      </c>
    </row>
    <row r="1440" spans="1:7" s="15" customFormat="1" hidden="1">
      <c r="A1440" s="37" t="s">
        <v>2759</v>
      </c>
      <c r="B1440" s="53" t="s">
        <v>2760</v>
      </c>
      <c r="C1440" s="44"/>
      <c r="D1440" s="40">
        <v>0</v>
      </c>
      <c r="E1440" s="40">
        <v>0</v>
      </c>
      <c r="F1440" s="40">
        <f>+D1440-E1440</f>
        <v>0</v>
      </c>
      <c r="G1440" s="2">
        <f>+ABS(D1440)+ABS(E1440)</f>
        <v>0</v>
      </c>
    </row>
    <row r="1441" spans="1:7" s="15" customFormat="1" hidden="1">
      <c r="A1441" s="37" t="s">
        <v>2761</v>
      </c>
      <c r="B1441" s="53" t="s">
        <v>2762</v>
      </c>
      <c r="C1441" s="44"/>
      <c r="D1441" s="40">
        <v>0</v>
      </c>
      <c r="E1441" s="40">
        <v>0</v>
      </c>
      <c r="F1441" s="40">
        <f>+D1441-E1441</f>
        <v>0</v>
      </c>
      <c r="G1441" s="2">
        <f>+ABS(D1441)+ABS(E1441)</f>
        <v>0</v>
      </c>
    </row>
    <row r="1442" spans="1:7" s="15" customFormat="1" hidden="1">
      <c r="A1442" s="37" t="s">
        <v>2763</v>
      </c>
      <c r="B1442" s="53" t="s">
        <v>2764</v>
      </c>
      <c r="C1442" s="44"/>
      <c r="D1442" s="40">
        <v>0</v>
      </c>
      <c r="E1442" s="40">
        <v>0</v>
      </c>
      <c r="F1442" s="40">
        <f>+D1442-E1442</f>
        <v>0</v>
      </c>
      <c r="G1442" s="2">
        <f>+ABS(D1442)+ABS(E1442)</f>
        <v>0</v>
      </c>
    </row>
    <row r="1443" spans="1:7" s="15" customFormat="1" hidden="1">
      <c r="A1443" s="37" t="s">
        <v>2765</v>
      </c>
      <c r="B1443" s="53" t="s">
        <v>2766</v>
      </c>
      <c r="C1443" s="44"/>
      <c r="D1443" s="40">
        <v>0</v>
      </c>
      <c r="E1443" s="40">
        <v>0</v>
      </c>
      <c r="F1443" s="40">
        <f>+D1443-E1443</f>
        <v>0</v>
      </c>
      <c r="G1443" s="2">
        <f>+ABS(D1443)+ABS(E1443)</f>
        <v>0</v>
      </c>
    </row>
    <row r="1444" spans="1:7" s="15" customFormat="1" hidden="1">
      <c r="A1444" s="37" t="s">
        <v>2767</v>
      </c>
      <c r="B1444" s="53" t="s">
        <v>2768</v>
      </c>
      <c r="C1444" s="44"/>
      <c r="D1444" s="40">
        <v>0</v>
      </c>
      <c r="E1444" s="40">
        <v>0</v>
      </c>
      <c r="F1444" s="40">
        <f>+D1444-E1444</f>
        <v>0</v>
      </c>
      <c r="G1444" s="2">
        <f>+ABS(D1444)+ABS(E1444)</f>
        <v>0</v>
      </c>
    </row>
    <row r="1445" spans="1:7" s="15" customFormat="1" hidden="1">
      <c r="A1445" s="37" t="s">
        <v>2769</v>
      </c>
      <c r="B1445" s="53" t="s">
        <v>2770</v>
      </c>
      <c r="C1445" s="44"/>
      <c r="D1445" s="40">
        <v>0</v>
      </c>
      <c r="E1445" s="40">
        <v>0</v>
      </c>
      <c r="F1445" s="40">
        <f>+D1445-E1445</f>
        <v>0</v>
      </c>
      <c r="G1445" s="2">
        <f>+ABS(D1445)+ABS(E1445)</f>
        <v>0</v>
      </c>
    </row>
    <row r="1446" spans="1:7" s="15" customFormat="1" hidden="1">
      <c r="A1446" s="37" t="s">
        <v>2771</v>
      </c>
      <c r="B1446" s="53" t="s">
        <v>2772</v>
      </c>
      <c r="C1446" s="44"/>
      <c r="D1446" s="40">
        <v>0</v>
      </c>
      <c r="E1446" s="40">
        <v>0</v>
      </c>
      <c r="F1446" s="40">
        <f>+D1446-E1446</f>
        <v>0</v>
      </c>
      <c r="G1446" s="2">
        <f>+ABS(D1446)+ABS(E1446)</f>
        <v>0</v>
      </c>
    </row>
    <row r="1447" spans="1:7" s="15" customFormat="1" hidden="1">
      <c r="A1447" s="37" t="s">
        <v>2773</v>
      </c>
      <c r="B1447" s="53" t="s">
        <v>2774</v>
      </c>
      <c r="C1447" s="44"/>
      <c r="D1447" s="40">
        <v>0</v>
      </c>
      <c r="E1447" s="40">
        <v>0</v>
      </c>
      <c r="F1447" s="40">
        <f>+D1447-E1447</f>
        <v>0</v>
      </c>
      <c r="G1447" s="2">
        <f>+ABS(D1447)+ABS(E1447)</f>
        <v>0</v>
      </c>
    </row>
    <row r="1448" spans="1:7" s="15" customFormat="1" hidden="1">
      <c r="A1448" s="37" t="s">
        <v>2775</v>
      </c>
      <c r="B1448" s="53" t="s">
        <v>2776</v>
      </c>
      <c r="C1448" s="44"/>
      <c r="D1448" s="40">
        <v>0</v>
      </c>
      <c r="E1448" s="40">
        <v>0</v>
      </c>
      <c r="F1448" s="40">
        <f>+D1448-E1448</f>
        <v>0</v>
      </c>
      <c r="G1448" s="2">
        <f>+ABS(D1448)+ABS(E1448)</f>
        <v>0</v>
      </c>
    </row>
    <row r="1449" spans="1:7" s="15" customFormat="1" hidden="1">
      <c r="A1449" s="37" t="s">
        <v>2777</v>
      </c>
      <c r="B1449" s="53" t="s">
        <v>2778</v>
      </c>
      <c r="C1449" s="44"/>
      <c r="D1449" s="40">
        <v>0</v>
      </c>
      <c r="E1449" s="40">
        <v>0</v>
      </c>
      <c r="F1449" s="40">
        <f>+D1449-E1449</f>
        <v>0</v>
      </c>
      <c r="G1449" s="2">
        <f>+ABS(D1449)+ABS(E1449)</f>
        <v>0</v>
      </c>
    </row>
    <row r="1450" spans="1:7" s="15" customFormat="1" hidden="1">
      <c r="A1450" s="37" t="s">
        <v>2779</v>
      </c>
      <c r="B1450" s="53" t="s">
        <v>2780</v>
      </c>
      <c r="C1450" s="44"/>
      <c r="D1450" s="40">
        <v>0</v>
      </c>
      <c r="E1450" s="40">
        <v>0</v>
      </c>
      <c r="F1450" s="40">
        <f>+D1450-E1450</f>
        <v>0</v>
      </c>
      <c r="G1450" s="2">
        <f>+ABS(D1450)+ABS(E1450)</f>
        <v>0</v>
      </c>
    </row>
    <row r="1451" spans="1:7" s="15" customFormat="1" hidden="1">
      <c r="A1451" s="37" t="s">
        <v>2781</v>
      </c>
      <c r="B1451" s="53" t="s">
        <v>2782</v>
      </c>
      <c r="C1451" s="44"/>
      <c r="D1451" s="40">
        <v>0</v>
      </c>
      <c r="E1451" s="40">
        <v>0</v>
      </c>
      <c r="F1451" s="40">
        <f>+D1451-E1451</f>
        <v>0</v>
      </c>
      <c r="G1451" s="2">
        <f>+ABS(D1451)+ABS(E1451)</f>
        <v>0</v>
      </c>
    </row>
    <row r="1452" spans="1:7" s="15" customFormat="1" hidden="1">
      <c r="A1452" s="37" t="s">
        <v>2783</v>
      </c>
      <c r="B1452" s="53" t="s">
        <v>2784</v>
      </c>
      <c r="C1452" s="44"/>
      <c r="D1452" s="40">
        <v>0</v>
      </c>
      <c r="E1452" s="40">
        <v>0</v>
      </c>
      <c r="F1452" s="40">
        <f>+D1452-E1452</f>
        <v>0</v>
      </c>
      <c r="G1452" s="2">
        <f>+ABS(D1452)+ABS(E1452)</f>
        <v>0</v>
      </c>
    </row>
    <row r="1453" spans="1:7" s="15" customFormat="1" hidden="1">
      <c r="A1453" s="37" t="s">
        <v>2785</v>
      </c>
      <c r="B1453" s="53" t="s">
        <v>2786</v>
      </c>
      <c r="C1453" s="44"/>
      <c r="D1453" s="40">
        <v>0</v>
      </c>
      <c r="E1453" s="40">
        <v>0</v>
      </c>
      <c r="F1453" s="40">
        <f>+D1453-E1453</f>
        <v>0</v>
      </c>
      <c r="G1453" s="2">
        <f>+ABS(D1453)+ABS(E1453)</f>
        <v>0</v>
      </c>
    </row>
    <row r="1454" spans="1:7" s="15" customFormat="1" hidden="1">
      <c r="A1454" s="37" t="s">
        <v>2787</v>
      </c>
      <c r="B1454" s="53" t="s">
        <v>2788</v>
      </c>
      <c r="C1454" s="44"/>
      <c r="D1454" s="40">
        <v>0</v>
      </c>
      <c r="E1454" s="40">
        <v>0</v>
      </c>
      <c r="F1454" s="40">
        <f>+D1454-E1454</f>
        <v>0</v>
      </c>
      <c r="G1454" s="2">
        <f>+ABS(D1454)+ABS(E1454)</f>
        <v>0</v>
      </c>
    </row>
    <row r="1455" spans="1:7" s="15" customFormat="1" hidden="1">
      <c r="A1455" s="37" t="s">
        <v>2789</v>
      </c>
      <c r="B1455" s="53" t="s">
        <v>2790</v>
      </c>
      <c r="C1455" s="44"/>
      <c r="D1455" s="40">
        <v>0</v>
      </c>
      <c r="E1455" s="40">
        <v>0</v>
      </c>
      <c r="F1455" s="40">
        <f>+D1455-E1455</f>
        <v>0</v>
      </c>
      <c r="G1455" s="2">
        <f>+ABS(D1455)+ABS(E1455)</f>
        <v>0</v>
      </c>
    </row>
    <row r="1456" spans="1:7" s="15" customFormat="1" hidden="1">
      <c r="A1456" s="37" t="s">
        <v>2791</v>
      </c>
      <c r="B1456" s="53" t="s">
        <v>2792</v>
      </c>
      <c r="C1456" s="44"/>
      <c r="D1456" s="40">
        <v>0</v>
      </c>
      <c r="E1456" s="40">
        <v>0</v>
      </c>
      <c r="F1456" s="40">
        <f>+D1456-E1456</f>
        <v>0</v>
      </c>
      <c r="G1456" s="2">
        <f>+ABS(D1456)+ABS(E1456)</f>
        <v>0</v>
      </c>
    </row>
    <row r="1457" spans="1:7" s="15" customFormat="1" hidden="1">
      <c r="A1457" s="37" t="s">
        <v>2793</v>
      </c>
      <c r="B1457" s="53" t="s">
        <v>2794</v>
      </c>
      <c r="C1457" s="44"/>
      <c r="D1457" s="40">
        <v>0</v>
      </c>
      <c r="E1457" s="40">
        <v>0</v>
      </c>
      <c r="F1457" s="40">
        <f>+D1457-E1457</f>
        <v>0</v>
      </c>
      <c r="G1457" s="2">
        <f>+ABS(D1457)+ABS(E1457)</f>
        <v>0</v>
      </c>
    </row>
    <row r="1458" spans="1:7" s="15" customFormat="1" hidden="1">
      <c r="A1458" s="37" t="s">
        <v>2795</v>
      </c>
      <c r="B1458" s="53" t="s">
        <v>2796</v>
      </c>
      <c r="C1458" s="44"/>
      <c r="D1458" s="40">
        <v>0</v>
      </c>
      <c r="E1458" s="40">
        <v>0</v>
      </c>
      <c r="F1458" s="40">
        <f>+D1458-E1458</f>
        <v>0</v>
      </c>
      <c r="G1458" s="2">
        <f>+ABS(D1458)+ABS(E1458)</f>
        <v>0</v>
      </c>
    </row>
    <row r="1459" spans="1:7" s="15" customFormat="1" hidden="1">
      <c r="A1459" s="37" t="s">
        <v>2797</v>
      </c>
      <c r="B1459" s="53" t="s">
        <v>2798</v>
      </c>
      <c r="C1459" s="44"/>
      <c r="D1459" s="40">
        <v>0</v>
      </c>
      <c r="E1459" s="40">
        <v>0</v>
      </c>
      <c r="F1459" s="40">
        <f>+D1459-E1459</f>
        <v>0</v>
      </c>
      <c r="G1459" s="2">
        <f>+ABS(D1459)+ABS(E1459)</f>
        <v>0</v>
      </c>
    </row>
    <row r="1460" spans="1:7" s="15" customFormat="1" hidden="1">
      <c r="A1460" s="37" t="s">
        <v>2799</v>
      </c>
      <c r="B1460" s="53" t="s">
        <v>2800</v>
      </c>
      <c r="C1460" s="44"/>
      <c r="D1460" s="40">
        <v>0</v>
      </c>
      <c r="E1460" s="40">
        <v>0</v>
      </c>
      <c r="F1460" s="40">
        <f>+D1460-E1460</f>
        <v>0</v>
      </c>
      <c r="G1460" s="2">
        <f>+ABS(D1460)+ABS(E1460)</f>
        <v>0</v>
      </c>
    </row>
    <row r="1461" spans="1:7" s="15" customFormat="1" hidden="1">
      <c r="A1461" s="37" t="s">
        <v>2801</v>
      </c>
      <c r="B1461" s="53" t="s">
        <v>2802</v>
      </c>
      <c r="C1461" s="44"/>
      <c r="D1461" s="40">
        <v>0</v>
      </c>
      <c r="E1461" s="40">
        <v>0</v>
      </c>
      <c r="F1461" s="40">
        <f>+D1461-E1461</f>
        <v>0</v>
      </c>
      <c r="G1461" s="2">
        <f>+ABS(D1461)+ABS(E1461)</f>
        <v>0</v>
      </c>
    </row>
    <row r="1462" spans="1:7" s="15" customFormat="1" hidden="1">
      <c r="A1462" s="37" t="s">
        <v>2803</v>
      </c>
      <c r="B1462" s="53" t="s">
        <v>2804</v>
      </c>
      <c r="C1462" s="44"/>
      <c r="D1462" s="40">
        <v>0</v>
      </c>
      <c r="E1462" s="40">
        <v>0</v>
      </c>
      <c r="F1462" s="40">
        <f>+D1462-E1462</f>
        <v>0</v>
      </c>
      <c r="G1462" s="2">
        <f>+ABS(D1462)+ABS(E1462)</f>
        <v>0</v>
      </c>
    </row>
    <row r="1463" spans="1:7" s="15" customFormat="1" hidden="1">
      <c r="A1463" s="37" t="s">
        <v>2805</v>
      </c>
      <c r="B1463" s="53" t="s">
        <v>2806</v>
      </c>
      <c r="C1463" s="44"/>
      <c r="D1463" s="40">
        <v>0</v>
      </c>
      <c r="E1463" s="40">
        <v>0</v>
      </c>
      <c r="F1463" s="40">
        <f>+D1463-E1463</f>
        <v>0</v>
      </c>
      <c r="G1463" s="2">
        <f>+ABS(D1463)+ABS(E1463)</f>
        <v>0</v>
      </c>
    </row>
    <row r="1464" spans="1:7" s="15" customFormat="1" hidden="1">
      <c r="A1464" s="37" t="s">
        <v>2807</v>
      </c>
      <c r="B1464" s="53" t="s">
        <v>2808</v>
      </c>
      <c r="C1464" s="44"/>
      <c r="D1464" s="40">
        <v>0</v>
      </c>
      <c r="E1464" s="40">
        <v>0</v>
      </c>
      <c r="F1464" s="40">
        <f>+D1464-E1464</f>
        <v>0</v>
      </c>
      <c r="G1464" s="2">
        <f>+ABS(D1464)+ABS(E1464)</f>
        <v>0</v>
      </c>
    </row>
    <row r="1465" spans="1:7" s="15" customFormat="1" hidden="1">
      <c r="A1465" s="37" t="s">
        <v>2809</v>
      </c>
      <c r="B1465" s="53" t="s">
        <v>2810</v>
      </c>
      <c r="C1465" s="44"/>
      <c r="D1465" s="40">
        <v>0</v>
      </c>
      <c r="E1465" s="40">
        <v>0</v>
      </c>
      <c r="F1465" s="40">
        <f>+D1465-E1465</f>
        <v>0</v>
      </c>
      <c r="G1465" s="2">
        <f>+ABS(D1465)+ABS(E1465)</f>
        <v>0</v>
      </c>
    </row>
    <row r="1466" spans="1:7" s="15" customFormat="1" hidden="1">
      <c r="A1466" s="37" t="s">
        <v>2811</v>
      </c>
      <c r="B1466" s="53" t="s">
        <v>2812</v>
      </c>
      <c r="C1466" s="44"/>
      <c r="D1466" s="40">
        <v>0</v>
      </c>
      <c r="E1466" s="40">
        <v>0</v>
      </c>
      <c r="F1466" s="40">
        <f>+D1466-E1466</f>
        <v>0</v>
      </c>
      <c r="G1466" s="2">
        <f>+ABS(D1466)+ABS(E1466)</f>
        <v>0</v>
      </c>
    </row>
    <row r="1467" spans="1:7" s="15" customFormat="1" hidden="1">
      <c r="A1467" s="37" t="s">
        <v>2813</v>
      </c>
      <c r="B1467" s="53" t="s">
        <v>2814</v>
      </c>
      <c r="C1467" s="44"/>
      <c r="D1467" s="40">
        <v>0</v>
      </c>
      <c r="E1467" s="40">
        <v>0</v>
      </c>
      <c r="F1467" s="40">
        <f>+D1467-E1467</f>
        <v>0</v>
      </c>
      <c r="G1467" s="2">
        <f>+ABS(D1467)+ABS(E1467)</f>
        <v>0</v>
      </c>
    </row>
    <row r="1468" spans="1:7" s="15" customFormat="1" hidden="1">
      <c r="A1468" s="37" t="s">
        <v>2815</v>
      </c>
      <c r="B1468" s="53" t="s">
        <v>2816</v>
      </c>
      <c r="C1468" s="44"/>
      <c r="D1468" s="40">
        <v>0</v>
      </c>
      <c r="E1468" s="40">
        <v>0</v>
      </c>
      <c r="F1468" s="40">
        <f>+D1468-E1468</f>
        <v>0</v>
      </c>
      <c r="G1468" s="2">
        <f>+ABS(D1468)+ABS(E1468)</f>
        <v>0</v>
      </c>
    </row>
    <row r="1469" spans="1:7" s="15" customFormat="1" hidden="1">
      <c r="A1469" s="37" t="s">
        <v>2817</v>
      </c>
      <c r="B1469" s="53" t="s">
        <v>2818</v>
      </c>
      <c r="C1469" s="44"/>
      <c r="D1469" s="40">
        <v>0</v>
      </c>
      <c r="E1469" s="40">
        <v>0</v>
      </c>
      <c r="F1469" s="40">
        <f>+D1469-E1469</f>
        <v>0</v>
      </c>
      <c r="G1469" s="2">
        <f>+ABS(D1469)+ABS(E1469)</f>
        <v>0</v>
      </c>
    </row>
    <row r="1470" spans="1:7" s="15" customFormat="1" hidden="1">
      <c r="A1470" s="37" t="s">
        <v>2819</v>
      </c>
      <c r="B1470" s="53" t="s">
        <v>2820</v>
      </c>
      <c r="C1470" s="44"/>
      <c r="D1470" s="40">
        <v>0</v>
      </c>
      <c r="E1470" s="40">
        <v>0</v>
      </c>
      <c r="F1470" s="40">
        <f>+D1470-E1470</f>
        <v>0</v>
      </c>
      <c r="G1470" s="2">
        <f>+ABS(D1470)+ABS(E1470)</f>
        <v>0</v>
      </c>
    </row>
    <row r="1471" spans="1:7" s="15" customFormat="1" hidden="1">
      <c r="A1471" s="37" t="s">
        <v>2821</v>
      </c>
      <c r="B1471" s="53" t="s">
        <v>2822</v>
      </c>
      <c r="C1471" s="44"/>
      <c r="D1471" s="40">
        <v>0</v>
      </c>
      <c r="E1471" s="40">
        <v>0</v>
      </c>
      <c r="F1471" s="40">
        <f>+D1471-E1471</f>
        <v>0</v>
      </c>
      <c r="G1471" s="2">
        <f>+ABS(D1471)+ABS(E1471)</f>
        <v>0</v>
      </c>
    </row>
    <row r="1472" spans="1:7" s="15" customFormat="1" hidden="1">
      <c r="A1472" s="37" t="s">
        <v>2823</v>
      </c>
      <c r="B1472" s="53" t="s">
        <v>2824</v>
      </c>
      <c r="C1472" s="44"/>
      <c r="D1472" s="40">
        <v>0</v>
      </c>
      <c r="E1472" s="40">
        <v>0</v>
      </c>
      <c r="F1472" s="40">
        <f>+D1472-E1472</f>
        <v>0</v>
      </c>
      <c r="G1472" s="2">
        <f>+ABS(D1472)+ABS(E1472)</f>
        <v>0</v>
      </c>
    </row>
    <row r="1473" spans="1:7" s="15" customFormat="1" hidden="1">
      <c r="A1473" s="37" t="s">
        <v>2825</v>
      </c>
      <c r="B1473" s="53" t="s">
        <v>2826</v>
      </c>
      <c r="C1473" s="44"/>
      <c r="D1473" s="40">
        <v>0</v>
      </c>
      <c r="E1473" s="40">
        <v>0</v>
      </c>
      <c r="F1473" s="40">
        <f>+D1473-E1473</f>
        <v>0</v>
      </c>
      <c r="G1473" s="2">
        <f>+ABS(D1473)+ABS(E1473)</f>
        <v>0</v>
      </c>
    </row>
    <row r="1474" spans="1:7" s="15" customFormat="1" hidden="1">
      <c r="A1474" s="37" t="s">
        <v>2827</v>
      </c>
      <c r="B1474" s="53" t="s">
        <v>2828</v>
      </c>
      <c r="C1474" s="44"/>
      <c r="D1474" s="40">
        <v>0</v>
      </c>
      <c r="E1474" s="40">
        <v>0</v>
      </c>
      <c r="F1474" s="40">
        <f>+D1474-E1474</f>
        <v>0</v>
      </c>
      <c r="G1474" s="2">
        <f>+ABS(D1474)+ABS(E1474)</f>
        <v>0</v>
      </c>
    </row>
    <row r="1475" spans="1:7" s="15" customFormat="1" hidden="1">
      <c r="A1475" s="37" t="s">
        <v>2829</v>
      </c>
      <c r="B1475" s="53" t="s">
        <v>2830</v>
      </c>
      <c r="C1475" s="44"/>
      <c r="D1475" s="40">
        <v>0</v>
      </c>
      <c r="E1475" s="40">
        <v>0</v>
      </c>
      <c r="F1475" s="40">
        <f>+D1475-E1475</f>
        <v>0</v>
      </c>
      <c r="G1475" s="2">
        <f>+ABS(D1475)+ABS(E1475)</f>
        <v>0</v>
      </c>
    </row>
    <row r="1476" spans="1:7" s="15" customFormat="1" hidden="1">
      <c r="A1476" s="37" t="s">
        <v>2831</v>
      </c>
      <c r="B1476" s="53" t="s">
        <v>2832</v>
      </c>
      <c r="C1476" s="44"/>
      <c r="D1476" s="40">
        <v>0</v>
      </c>
      <c r="E1476" s="40">
        <v>0</v>
      </c>
      <c r="F1476" s="40">
        <f>+D1476-E1476</f>
        <v>0</v>
      </c>
      <c r="G1476" s="2">
        <f>+ABS(D1476)+ABS(E1476)</f>
        <v>0</v>
      </c>
    </row>
    <row r="1477" spans="1:7" s="15" customFormat="1" hidden="1">
      <c r="A1477" s="37" t="s">
        <v>2833</v>
      </c>
      <c r="B1477" s="53" t="s">
        <v>2834</v>
      </c>
      <c r="C1477" s="44"/>
      <c r="D1477" s="40">
        <v>0</v>
      </c>
      <c r="E1477" s="40">
        <v>0</v>
      </c>
      <c r="F1477" s="40">
        <f>+D1477-E1477</f>
        <v>0</v>
      </c>
      <c r="G1477" s="2">
        <f>+ABS(D1477)+ABS(E1477)</f>
        <v>0</v>
      </c>
    </row>
    <row r="1478" spans="1:7" s="15" customFormat="1" hidden="1">
      <c r="A1478" s="37" t="s">
        <v>2835</v>
      </c>
      <c r="B1478" s="53" t="s">
        <v>2836</v>
      </c>
      <c r="C1478" s="44"/>
      <c r="D1478" s="40">
        <v>0</v>
      </c>
      <c r="E1478" s="40">
        <v>0</v>
      </c>
      <c r="F1478" s="40">
        <f>+D1478-E1478</f>
        <v>0</v>
      </c>
      <c r="G1478" s="2">
        <f>+ABS(D1478)+ABS(E1478)</f>
        <v>0</v>
      </c>
    </row>
    <row r="1479" spans="1:7" s="15" customFormat="1" hidden="1">
      <c r="A1479" s="37" t="s">
        <v>2837</v>
      </c>
      <c r="B1479" s="53" t="s">
        <v>2838</v>
      </c>
      <c r="C1479" s="44"/>
      <c r="D1479" s="40">
        <v>0</v>
      </c>
      <c r="E1479" s="40">
        <v>0</v>
      </c>
      <c r="F1479" s="40">
        <f>+D1479-E1479</f>
        <v>0</v>
      </c>
      <c r="G1479" s="2">
        <f>+ABS(D1479)+ABS(E1479)</f>
        <v>0</v>
      </c>
    </row>
    <row r="1480" spans="1:7" s="15" customFormat="1" hidden="1">
      <c r="A1480" s="37" t="s">
        <v>2839</v>
      </c>
      <c r="B1480" s="53" t="s">
        <v>2840</v>
      </c>
      <c r="C1480" s="44"/>
      <c r="D1480" s="40">
        <v>0</v>
      </c>
      <c r="E1480" s="40">
        <v>0</v>
      </c>
      <c r="F1480" s="40">
        <f>+D1480-E1480</f>
        <v>0</v>
      </c>
      <c r="G1480" s="2">
        <f>+ABS(D1480)+ABS(E1480)</f>
        <v>0</v>
      </c>
    </row>
    <row r="1481" spans="1:7" s="15" customFormat="1" hidden="1">
      <c r="A1481" s="37" t="s">
        <v>2841</v>
      </c>
      <c r="B1481" s="53" t="s">
        <v>2842</v>
      </c>
      <c r="C1481" s="44"/>
      <c r="D1481" s="40">
        <v>0</v>
      </c>
      <c r="E1481" s="40">
        <v>0</v>
      </c>
      <c r="F1481" s="40">
        <f>+D1481-E1481</f>
        <v>0</v>
      </c>
      <c r="G1481" s="2">
        <f>+ABS(D1481)+ABS(E1481)</f>
        <v>0</v>
      </c>
    </row>
    <row r="1482" spans="1:7" s="15" customFormat="1" hidden="1">
      <c r="A1482" s="37" t="s">
        <v>2843</v>
      </c>
      <c r="B1482" s="53" t="s">
        <v>2844</v>
      </c>
      <c r="C1482" s="44"/>
      <c r="D1482" s="40">
        <v>0</v>
      </c>
      <c r="E1482" s="40">
        <v>0</v>
      </c>
      <c r="F1482" s="40">
        <f>+D1482-E1482</f>
        <v>0</v>
      </c>
      <c r="G1482" s="2">
        <f>+ABS(D1482)+ABS(E1482)</f>
        <v>0</v>
      </c>
    </row>
    <row r="1483" spans="1:7" s="15" customFormat="1" hidden="1">
      <c r="A1483" s="37" t="s">
        <v>2845</v>
      </c>
      <c r="B1483" s="53" t="s">
        <v>2846</v>
      </c>
      <c r="C1483" s="44"/>
      <c r="D1483" s="40">
        <v>0</v>
      </c>
      <c r="E1483" s="40">
        <v>0</v>
      </c>
      <c r="F1483" s="40">
        <f>+D1483-E1483</f>
        <v>0</v>
      </c>
      <c r="G1483" s="2">
        <f>+ABS(D1483)+ABS(E1483)</f>
        <v>0</v>
      </c>
    </row>
    <row r="1484" spans="1:7" s="15" customFormat="1" hidden="1">
      <c r="A1484" s="37" t="s">
        <v>2847</v>
      </c>
      <c r="B1484" s="53" t="s">
        <v>2848</v>
      </c>
      <c r="C1484" s="44"/>
      <c r="D1484" s="40">
        <v>0</v>
      </c>
      <c r="E1484" s="40">
        <v>0</v>
      </c>
      <c r="F1484" s="40">
        <f>+D1484-E1484</f>
        <v>0</v>
      </c>
      <c r="G1484" s="2">
        <f>+ABS(D1484)+ABS(E1484)</f>
        <v>0</v>
      </c>
    </row>
    <row r="1485" spans="1:7" s="15" customFormat="1" hidden="1">
      <c r="A1485" s="37" t="s">
        <v>2849</v>
      </c>
      <c r="B1485" s="53" t="s">
        <v>2850</v>
      </c>
      <c r="C1485" s="44"/>
      <c r="D1485" s="40">
        <v>0</v>
      </c>
      <c r="E1485" s="40">
        <v>0</v>
      </c>
      <c r="F1485" s="40">
        <f>+D1485-E1485</f>
        <v>0</v>
      </c>
      <c r="G1485" s="2">
        <f>+ABS(D1485)+ABS(E1485)</f>
        <v>0</v>
      </c>
    </row>
    <row r="1486" spans="1:7" s="15" customFormat="1" hidden="1">
      <c r="A1486" s="37" t="s">
        <v>2851</v>
      </c>
      <c r="B1486" s="53" t="s">
        <v>2852</v>
      </c>
      <c r="C1486" s="44"/>
      <c r="D1486" s="40">
        <v>0</v>
      </c>
      <c r="E1486" s="40">
        <v>0</v>
      </c>
      <c r="F1486" s="40">
        <f>+D1486-E1486</f>
        <v>0</v>
      </c>
      <c r="G1486" s="2">
        <f>+ABS(D1486)+ABS(E1486)</f>
        <v>0</v>
      </c>
    </row>
    <row r="1487" spans="1:7" s="15" customFormat="1" hidden="1">
      <c r="A1487" s="37" t="s">
        <v>2853</v>
      </c>
      <c r="B1487" s="53" t="s">
        <v>2854</v>
      </c>
      <c r="C1487" s="44"/>
      <c r="D1487" s="40">
        <v>0</v>
      </c>
      <c r="E1487" s="40">
        <v>0</v>
      </c>
      <c r="F1487" s="40">
        <f>+D1487-E1487</f>
        <v>0</v>
      </c>
      <c r="G1487" s="2">
        <f>+ABS(D1487)+ABS(E1487)</f>
        <v>0</v>
      </c>
    </row>
    <row r="1488" spans="1:7" s="15" customFormat="1" hidden="1">
      <c r="A1488" s="37" t="s">
        <v>2855</v>
      </c>
      <c r="B1488" s="53" t="s">
        <v>2856</v>
      </c>
      <c r="C1488" s="44"/>
      <c r="D1488" s="40">
        <v>0</v>
      </c>
      <c r="E1488" s="40">
        <v>0</v>
      </c>
      <c r="F1488" s="40">
        <f>+D1488-E1488</f>
        <v>0</v>
      </c>
      <c r="G1488" s="2">
        <f>+ABS(D1488)+ABS(E1488)</f>
        <v>0</v>
      </c>
    </row>
    <row r="1489" spans="1:7" s="15" customFormat="1" hidden="1">
      <c r="A1489" s="37" t="s">
        <v>2857</v>
      </c>
      <c r="B1489" s="53" t="s">
        <v>2858</v>
      </c>
      <c r="C1489" s="44"/>
      <c r="D1489" s="40">
        <v>0</v>
      </c>
      <c r="E1489" s="40">
        <v>0</v>
      </c>
      <c r="F1489" s="40">
        <f>+D1489-E1489</f>
        <v>0</v>
      </c>
      <c r="G1489" s="2">
        <f>+ABS(D1489)+ABS(E1489)</f>
        <v>0</v>
      </c>
    </row>
    <row r="1490" spans="1:7" s="15" customFormat="1" hidden="1">
      <c r="A1490" s="37" t="s">
        <v>2859</v>
      </c>
      <c r="B1490" s="53" t="s">
        <v>2860</v>
      </c>
      <c r="C1490" s="44"/>
      <c r="D1490" s="40">
        <v>0</v>
      </c>
      <c r="E1490" s="40">
        <v>0</v>
      </c>
      <c r="F1490" s="40">
        <f>+D1490-E1490</f>
        <v>0</v>
      </c>
      <c r="G1490" s="2">
        <f>+ABS(D1490)+ABS(E1490)</f>
        <v>0</v>
      </c>
    </row>
    <row r="1491" spans="1:7" s="15" customFormat="1" hidden="1">
      <c r="A1491" s="37" t="s">
        <v>2861</v>
      </c>
      <c r="B1491" s="53" t="s">
        <v>2862</v>
      </c>
      <c r="C1491" s="44"/>
      <c r="D1491" s="40">
        <v>0</v>
      </c>
      <c r="E1491" s="40">
        <v>0</v>
      </c>
      <c r="F1491" s="40">
        <f>+D1491-E1491</f>
        <v>0</v>
      </c>
      <c r="G1491" s="2">
        <f>+ABS(D1491)+ABS(E1491)</f>
        <v>0</v>
      </c>
    </row>
    <row r="1492" spans="1:7" s="15" customFormat="1" hidden="1">
      <c r="A1492" s="37" t="s">
        <v>2863</v>
      </c>
      <c r="B1492" s="53" t="s">
        <v>2864</v>
      </c>
      <c r="C1492" s="44"/>
      <c r="D1492" s="40">
        <v>0</v>
      </c>
      <c r="E1492" s="40">
        <v>0</v>
      </c>
      <c r="F1492" s="40">
        <f>+D1492-E1492</f>
        <v>0</v>
      </c>
      <c r="G1492" s="2">
        <f>+ABS(D1492)+ABS(E1492)</f>
        <v>0</v>
      </c>
    </row>
    <row r="1493" spans="1:7" s="15" customFormat="1" hidden="1">
      <c r="A1493" s="37" t="s">
        <v>2865</v>
      </c>
      <c r="B1493" s="53" t="s">
        <v>2866</v>
      </c>
      <c r="C1493" s="44"/>
      <c r="D1493" s="40">
        <v>0</v>
      </c>
      <c r="E1493" s="40">
        <v>0</v>
      </c>
      <c r="F1493" s="40">
        <f>+D1493-E1493</f>
        <v>0</v>
      </c>
      <c r="G1493" s="2">
        <f>+ABS(D1493)+ABS(E1493)</f>
        <v>0</v>
      </c>
    </row>
    <row r="1494" spans="1:7" s="15" customFormat="1" hidden="1">
      <c r="A1494" s="37" t="s">
        <v>2867</v>
      </c>
      <c r="B1494" s="53" t="s">
        <v>2868</v>
      </c>
      <c r="C1494" s="44"/>
      <c r="D1494" s="40">
        <v>0</v>
      </c>
      <c r="E1494" s="40">
        <v>0</v>
      </c>
      <c r="F1494" s="40">
        <f>+D1494-E1494</f>
        <v>0</v>
      </c>
      <c r="G1494" s="2">
        <f>+ABS(D1494)+ABS(E1494)</f>
        <v>0</v>
      </c>
    </row>
    <row r="1495" spans="1:7" s="15" customFormat="1" hidden="1">
      <c r="A1495" s="37" t="s">
        <v>2869</v>
      </c>
      <c r="B1495" s="53" t="s">
        <v>2870</v>
      </c>
      <c r="C1495" s="44"/>
      <c r="D1495" s="40">
        <v>0</v>
      </c>
      <c r="E1495" s="40">
        <v>0</v>
      </c>
      <c r="F1495" s="40">
        <f>+D1495-E1495</f>
        <v>0</v>
      </c>
      <c r="G1495" s="2">
        <f>+ABS(D1495)+ABS(E1495)</f>
        <v>0</v>
      </c>
    </row>
    <row r="1496" spans="1:7" s="15" customFormat="1" hidden="1">
      <c r="A1496" s="37" t="s">
        <v>2871</v>
      </c>
      <c r="B1496" s="53" t="s">
        <v>2872</v>
      </c>
      <c r="C1496" s="44"/>
      <c r="D1496" s="40">
        <v>0</v>
      </c>
      <c r="E1496" s="40">
        <v>0</v>
      </c>
      <c r="F1496" s="40">
        <f>+D1496-E1496</f>
        <v>0</v>
      </c>
      <c r="G1496" s="2">
        <f>+ABS(D1496)+ABS(E1496)</f>
        <v>0</v>
      </c>
    </row>
    <row r="1497" spans="1:7" s="15" customFormat="1" hidden="1">
      <c r="A1497" s="37" t="s">
        <v>2873</v>
      </c>
      <c r="B1497" s="53" t="s">
        <v>2868</v>
      </c>
      <c r="C1497" s="44"/>
      <c r="D1497" s="40">
        <v>0</v>
      </c>
      <c r="E1497" s="40">
        <v>0</v>
      </c>
      <c r="F1497" s="40">
        <f>+D1497-E1497</f>
        <v>0</v>
      </c>
      <c r="G1497" s="2">
        <f>+ABS(D1497)+ABS(E1497)</f>
        <v>0</v>
      </c>
    </row>
    <row r="1498" spans="1:7" s="15" customFormat="1" hidden="1">
      <c r="A1498" s="37" t="s">
        <v>2874</v>
      </c>
      <c r="B1498" s="53" t="s">
        <v>2875</v>
      </c>
      <c r="C1498" s="44"/>
      <c r="D1498" s="40">
        <v>0</v>
      </c>
      <c r="E1498" s="40">
        <v>0</v>
      </c>
      <c r="F1498" s="40">
        <f>+D1498-E1498</f>
        <v>0</v>
      </c>
      <c r="G1498" s="2">
        <f>+ABS(D1498)+ABS(E1498)</f>
        <v>0</v>
      </c>
    </row>
    <row r="1499" spans="1:7" s="15" customFormat="1" hidden="1">
      <c r="A1499" s="37" t="s">
        <v>2876</v>
      </c>
      <c r="B1499" s="53" t="s">
        <v>2877</v>
      </c>
      <c r="C1499" s="44"/>
      <c r="D1499" s="40">
        <v>0</v>
      </c>
      <c r="E1499" s="40">
        <v>0</v>
      </c>
      <c r="F1499" s="40">
        <f>+D1499-E1499</f>
        <v>0</v>
      </c>
      <c r="G1499" s="2">
        <f>+ABS(D1499)+ABS(E1499)</f>
        <v>0</v>
      </c>
    </row>
    <row r="1500" spans="1:7" s="15" customFormat="1" hidden="1">
      <c r="A1500" s="37" t="s">
        <v>2878</v>
      </c>
      <c r="B1500" s="53" t="s">
        <v>2524</v>
      </c>
      <c r="C1500" s="44"/>
      <c r="D1500" s="40">
        <v>0</v>
      </c>
      <c r="E1500" s="40">
        <v>0</v>
      </c>
      <c r="F1500" s="40">
        <f>+D1500-E1500</f>
        <v>0</v>
      </c>
      <c r="G1500" s="2">
        <f>+ABS(D1500)+ABS(E1500)</f>
        <v>0</v>
      </c>
    </row>
    <row r="1501" spans="1:7" s="15" customFormat="1" hidden="1">
      <c r="A1501" s="37" t="s">
        <v>2879</v>
      </c>
      <c r="B1501" s="53" t="s">
        <v>2880</v>
      </c>
      <c r="C1501" s="44"/>
      <c r="D1501" s="40">
        <v>0</v>
      </c>
      <c r="E1501" s="40">
        <v>0</v>
      </c>
      <c r="F1501" s="40">
        <f>+D1501-E1501</f>
        <v>0</v>
      </c>
      <c r="G1501" s="2">
        <f>+ABS(D1501)+ABS(E1501)</f>
        <v>0</v>
      </c>
    </row>
    <row r="1502" spans="1:7" s="15" customFormat="1" hidden="1">
      <c r="A1502" s="37" t="s">
        <v>2881</v>
      </c>
      <c r="B1502" s="53" t="s">
        <v>2882</v>
      </c>
      <c r="C1502" s="44"/>
      <c r="D1502" s="40">
        <v>0</v>
      </c>
      <c r="E1502" s="40">
        <v>0</v>
      </c>
      <c r="F1502" s="40">
        <f>+D1502-E1502</f>
        <v>0</v>
      </c>
      <c r="G1502" s="2">
        <f>+ABS(D1502)+ABS(E1502)</f>
        <v>0</v>
      </c>
    </row>
    <row r="1503" spans="1:7" s="15" customFormat="1" hidden="1">
      <c r="A1503" s="37" t="s">
        <v>2883</v>
      </c>
      <c r="B1503" s="53" t="s">
        <v>2884</v>
      </c>
      <c r="C1503" s="44"/>
      <c r="D1503" s="40">
        <v>0</v>
      </c>
      <c r="E1503" s="40">
        <v>0</v>
      </c>
      <c r="F1503" s="40">
        <f>+D1503-E1503</f>
        <v>0</v>
      </c>
      <c r="G1503" s="2">
        <f>+ABS(D1503)+ABS(E1503)</f>
        <v>0</v>
      </c>
    </row>
    <row r="1504" spans="1:7" s="15" customFormat="1" hidden="1">
      <c r="A1504" s="37" t="s">
        <v>2885</v>
      </c>
      <c r="B1504" s="53" t="s">
        <v>2886</v>
      </c>
      <c r="C1504" s="44"/>
      <c r="D1504" s="40">
        <v>0</v>
      </c>
      <c r="E1504" s="40">
        <v>0</v>
      </c>
      <c r="F1504" s="40">
        <f>+D1504-E1504</f>
        <v>0</v>
      </c>
      <c r="G1504" s="2">
        <f>+ABS(D1504)+ABS(E1504)</f>
        <v>0</v>
      </c>
    </row>
    <row r="1505" spans="1:7" s="15" customFormat="1" hidden="1">
      <c r="A1505" s="37" t="s">
        <v>2887</v>
      </c>
      <c r="B1505" s="53" t="s">
        <v>2888</v>
      </c>
      <c r="C1505" s="44"/>
      <c r="D1505" s="40">
        <v>0</v>
      </c>
      <c r="E1505" s="40">
        <v>0</v>
      </c>
      <c r="F1505" s="40">
        <f>+D1505-E1505</f>
        <v>0</v>
      </c>
      <c r="G1505" s="2">
        <f>+ABS(D1505)+ABS(E1505)</f>
        <v>0</v>
      </c>
    </row>
    <row r="1506" spans="1:7" s="15" customFormat="1" hidden="1">
      <c r="A1506" s="37" t="s">
        <v>2889</v>
      </c>
      <c r="B1506" s="53" t="s">
        <v>2802</v>
      </c>
      <c r="C1506" s="44"/>
      <c r="D1506" s="40">
        <v>0</v>
      </c>
      <c r="E1506" s="40">
        <v>0</v>
      </c>
      <c r="F1506" s="40">
        <f>+D1506-E1506</f>
        <v>0</v>
      </c>
      <c r="G1506" s="2">
        <f>+ABS(D1506)+ABS(E1506)</f>
        <v>0</v>
      </c>
    </row>
    <row r="1507" spans="1:7" s="15" customFormat="1" hidden="1">
      <c r="A1507" s="37" t="s">
        <v>2890</v>
      </c>
      <c r="B1507" s="53" t="s">
        <v>2891</v>
      </c>
      <c r="C1507" s="44"/>
      <c r="D1507" s="40">
        <v>0</v>
      </c>
      <c r="E1507" s="40">
        <v>0</v>
      </c>
      <c r="F1507" s="40">
        <f>+D1507-E1507</f>
        <v>0</v>
      </c>
      <c r="G1507" s="2">
        <f>+ABS(D1507)+ABS(E1507)</f>
        <v>0</v>
      </c>
    </row>
    <row r="1508" spans="1:7" s="15" customFormat="1" hidden="1">
      <c r="A1508" s="37" t="s">
        <v>2892</v>
      </c>
      <c r="B1508" s="53" t="s">
        <v>2893</v>
      </c>
      <c r="C1508" s="44"/>
      <c r="D1508" s="40">
        <v>0</v>
      </c>
      <c r="E1508" s="40">
        <v>0</v>
      </c>
      <c r="F1508" s="40">
        <f>+D1508-E1508</f>
        <v>0</v>
      </c>
      <c r="G1508" s="2">
        <f>+ABS(D1508)+ABS(E1508)</f>
        <v>0</v>
      </c>
    </row>
    <row r="1509" spans="1:7" s="15" customFormat="1" hidden="1">
      <c r="A1509" s="37" t="s">
        <v>2894</v>
      </c>
      <c r="B1509" s="53" t="s">
        <v>2895</v>
      </c>
      <c r="C1509" s="44"/>
      <c r="D1509" s="40">
        <v>0</v>
      </c>
      <c r="E1509" s="40">
        <v>0</v>
      </c>
      <c r="F1509" s="40">
        <f>+D1509-E1509</f>
        <v>0</v>
      </c>
      <c r="G1509" s="2">
        <f>+ABS(D1509)+ABS(E1509)</f>
        <v>0</v>
      </c>
    </row>
    <row r="1510" spans="1:7" s="15" customFormat="1" hidden="1">
      <c r="A1510" s="37" t="s">
        <v>2896</v>
      </c>
      <c r="B1510" s="53" t="s">
        <v>2897</v>
      </c>
      <c r="C1510" s="44"/>
      <c r="D1510" s="40">
        <v>0</v>
      </c>
      <c r="E1510" s="40">
        <v>0</v>
      </c>
      <c r="F1510" s="40">
        <f>+D1510-E1510</f>
        <v>0</v>
      </c>
      <c r="G1510" s="2">
        <f>+ABS(D1510)+ABS(E1510)</f>
        <v>0</v>
      </c>
    </row>
    <row r="1511" spans="1:7" s="15" customFormat="1" hidden="1">
      <c r="A1511" s="37" t="s">
        <v>2898</v>
      </c>
      <c r="B1511" s="53" t="s">
        <v>2899</v>
      </c>
      <c r="C1511" s="44"/>
      <c r="D1511" s="40">
        <v>0</v>
      </c>
      <c r="E1511" s="40">
        <v>0</v>
      </c>
      <c r="F1511" s="40">
        <f>+D1511-E1511</f>
        <v>0</v>
      </c>
      <c r="G1511" s="2">
        <f>+ABS(D1511)+ABS(E1511)</f>
        <v>0</v>
      </c>
    </row>
    <row r="1512" spans="1:7" s="15" customFormat="1" hidden="1">
      <c r="A1512" s="37" t="s">
        <v>2900</v>
      </c>
      <c r="B1512" s="53" t="s">
        <v>2901</v>
      </c>
      <c r="C1512" s="44"/>
      <c r="D1512" s="40">
        <v>0</v>
      </c>
      <c r="E1512" s="40">
        <v>0</v>
      </c>
      <c r="F1512" s="40">
        <f>+D1512-E1512</f>
        <v>0</v>
      </c>
      <c r="G1512" s="2">
        <f>+ABS(D1512)+ABS(E1512)</f>
        <v>0</v>
      </c>
    </row>
    <row r="1513" spans="1:7" s="15" customFormat="1" hidden="1">
      <c r="A1513" s="37" t="s">
        <v>2902</v>
      </c>
      <c r="B1513" s="53" t="s">
        <v>2903</v>
      </c>
      <c r="C1513" s="44"/>
      <c r="D1513" s="40">
        <v>0</v>
      </c>
      <c r="E1513" s="40">
        <v>0</v>
      </c>
      <c r="F1513" s="40">
        <f>+D1513-E1513</f>
        <v>0</v>
      </c>
      <c r="G1513" s="2">
        <f>+ABS(D1513)+ABS(E1513)</f>
        <v>0</v>
      </c>
    </row>
    <row r="1514" spans="1:7" s="15" customFormat="1" hidden="1">
      <c r="A1514" s="37" t="s">
        <v>2904</v>
      </c>
      <c r="B1514" s="53" t="s">
        <v>2905</v>
      </c>
      <c r="C1514" s="44"/>
      <c r="D1514" s="40">
        <v>0</v>
      </c>
      <c r="E1514" s="40">
        <v>0</v>
      </c>
      <c r="F1514" s="40">
        <f>+D1514-E1514</f>
        <v>0</v>
      </c>
      <c r="G1514" s="2">
        <f>+ABS(D1514)+ABS(E1514)</f>
        <v>0</v>
      </c>
    </row>
    <row r="1515" spans="1:7" s="15" customFormat="1" hidden="1">
      <c r="A1515" s="37" t="s">
        <v>2906</v>
      </c>
      <c r="B1515" s="53" t="s">
        <v>2907</v>
      </c>
      <c r="C1515" s="44"/>
      <c r="D1515" s="40">
        <v>0</v>
      </c>
      <c r="E1515" s="40">
        <v>0</v>
      </c>
      <c r="F1515" s="40">
        <f>+D1515-E1515</f>
        <v>0</v>
      </c>
      <c r="G1515" s="2">
        <f>+ABS(D1515)+ABS(E1515)</f>
        <v>0</v>
      </c>
    </row>
    <row r="1516" spans="1:7" s="15" customFormat="1" hidden="1">
      <c r="A1516" s="37" t="s">
        <v>2908</v>
      </c>
      <c r="B1516" s="53" t="s">
        <v>2909</v>
      </c>
      <c r="C1516" s="44"/>
      <c r="D1516" s="40">
        <v>0</v>
      </c>
      <c r="E1516" s="40">
        <v>0</v>
      </c>
      <c r="F1516" s="40">
        <f>+D1516-E1516</f>
        <v>0</v>
      </c>
      <c r="G1516" s="2">
        <f>+ABS(D1516)+ABS(E1516)</f>
        <v>0</v>
      </c>
    </row>
    <row r="1517" spans="1:7" s="15" customFormat="1" hidden="1">
      <c r="A1517" s="37" t="s">
        <v>2910</v>
      </c>
      <c r="B1517" s="53" t="s">
        <v>2911</v>
      </c>
      <c r="C1517" s="44"/>
      <c r="D1517" s="40">
        <v>0</v>
      </c>
      <c r="E1517" s="40">
        <v>0</v>
      </c>
      <c r="F1517" s="40">
        <f>+D1517-E1517</f>
        <v>0</v>
      </c>
      <c r="G1517" s="2">
        <f>+ABS(D1517)+ABS(E1517)</f>
        <v>0</v>
      </c>
    </row>
    <row r="1518" spans="1:7" s="15" customFormat="1" hidden="1">
      <c r="A1518" s="37" t="s">
        <v>2912</v>
      </c>
      <c r="B1518" s="53" t="s">
        <v>2913</v>
      </c>
      <c r="C1518" s="44"/>
      <c r="D1518" s="40">
        <v>0</v>
      </c>
      <c r="E1518" s="40">
        <v>0</v>
      </c>
      <c r="F1518" s="40">
        <f>+D1518-E1518</f>
        <v>0</v>
      </c>
      <c r="G1518" s="2">
        <f>+ABS(D1518)+ABS(E1518)</f>
        <v>0</v>
      </c>
    </row>
    <row r="1519" spans="1:7" s="15" customFormat="1" hidden="1">
      <c r="A1519" s="37" t="s">
        <v>2914</v>
      </c>
      <c r="B1519" s="53" t="s">
        <v>2915</v>
      </c>
      <c r="C1519" s="44"/>
      <c r="D1519" s="40">
        <v>0</v>
      </c>
      <c r="E1519" s="40">
        <v>0</v>
      </c>
      <c r="F1519" s="40">
        <f>+D1519-E1519</f>
        <v>0</v>
      </c>
      <c r="G1519" s="2">
        <f>+ABS(D1519)+ABS(E1519)</f>
        <v>0</v>
      </c>
    </row>
    <row r="1520" spans="1:7" s="15" customFormat="1" hidden="1">
      <c r="A1520" s="37" t="s">
        <v>2916</v>
      </c>
      <c r="B1520" s="53" t="s">
        <v>2917</v>
      </c>
      <c r="C1520" s="44"/>
      <c r="D1520" s="40">
        <v>0</v>
      </c>
      <c r="E1520" s="40">
        <v>0</v>
      </c>
      <c r="F1520" s="40">
        <f>+D1520-E1520</f>
        <v>0</v>
      </c>
      <c r="G1520" s="2">
        <f>+ABS(D1520)+ABS(E1520)</f>
        <v>0</v>
      </c>
    </row>
    <row r="1521" spans="1:7" s="15" customFormat="1" hidden="1">
      <c r="A1521" s="37" t="s">
        <v>2918</v>
      </c>
      <c r="B1521" s="53" t="s">
        <v>2919</v>
      </c>
      <c r="C1521" s="44"/>
      <c r="D1521" s="40">
        <v>0</v>
      </c>
      <c r="E1521" s="40">
        <v>0</v>
      </c>
      <c r="F1521" s="40">
        <f>+D1521-E1521</f>
        <v>0</v>
      </c>
      <c r="G1521" s="2">
        <f>+ABS(D1521)+ABS(E1521)</f>
        <v>0</v>
      </c>
    </row>
    <row r="1522" spans="1:7" s="15" customFormat="1" hidden="1">
      <c r="A1522" s="37" t="s">
        <v>2920</v>
      </c>
      <c r="B1522" s="53" t="s">
        <v>2921</v>
      </c>
      <c r="C1522" s="44"/>
      <c r="D1522" s="40">
        <v>0</v>
      </c>
      <c r="E1522" s="40">
        <v>0</v>
      </c>
      <c r="F1522" s="40">
        <f>+D1522-E1522</f>
        <v>0</v>
      </c>
      <c r="G1522" s="2">
        <f>+ABS(D1522)+ABS(E1522)</f>
        <v>0</v>
      </c>
    </row>
    <row r="1523" spans="1:7" s="15" customFormat="1" hidden="1">
      <c r="A1523" s="37" t="s">
        <v>2922</v>
      </c>
      <c r="B1523" s="53" t="s">
        <v>2923</v>
      </c>
      <c r="C1523" s="44"/>
      <c r="D1523" s="40">
        <v>0</v>
      </c>
      <c r="E1523" s="40">
        <v>0</v>
      </c>
      <c r="F1523" s="40">
        <f>+D1523-E1523</f>
        <v>0</v>
      </c>
      <c r="G1523" s="2">
        <f>+ABS(D1523)+ABS(E1523)</f>
        <v>0</v>
      </c>
    </row>
    <row r="1524" spans="1:7" s="15" customFormat="1" hidden="1">
      <c r="A1524" s="37" t="s">
        <v>2924</v>
      </c>
      <c r="B1524" s="53" t="s">
        <v>2925</v>
      </c>
      <c r="C1524" s="44"/>
      <c r="D1524" s="40">
        <v>0</v>
      </c>
      <c r="E1524" s="40">
        <v>0</v>
      </c>
      <c r="F1524" s="40">
        <f>+D1524-E1524</f>
        <v>0</v>
      </c>
      <c r="G1524" s="2">
        <f>+ABS(D1524)+ABS(E1524)</f>
        <v>0</v>
      </c>
    </row>
    <row r="1525" spans="1:7" s="15" customFormat="1" hidden="1">
      <c r="A1525" s="37" t="s">
        <v>2926</v>
      </c>
      <c r="B1525" s="53" t="s">
        <v>2927</v>
      </c>
      <c r="C1525" s="44"/>
      <c r="D1525" s="40">
        <v>0</v>
      </c>
      <c r="E1525" s="40">
        <v>0</v>
      </c>
      <c r="F1525" s="40">
        <f>+D1525-E1525</f>
        <v>0</v>
      </c>
      <c r="G1525" s="2">
        <f>+ABS(D1525)+ABS(E1525)</f>
        <v>0</v>
      </c>
    </row>
    <row r="1526" spans="1:7" s="15" customFormat="1" hidden="1">
      <c r="A1526" s="37" t="s">
        <v>2928</v>
      </c>
      <c r="B1526" s="53" t="s">
        <v>2929</v>
      </c>
      <c r="C1526" s="44"/>
      <c r="D1526" s="40">
        <v>0</v>
      </c>
      <c r="E1526" s="40">
        <v>0</v>
      </c>
      <c r="F1526" s="40">
        <f>+D1526-E1526</f>
        <v>0</v>
      </c>
      <c r="G1526" s="2">
        <f>+ABS(D1526)+ABS(E1526)</f>
        <v>0</v>
      </c>
    </row>
    <row r="1527" spans="1:7" s="15" customFormat="1" hidden="1">
      <c r="A1527" s="37" t="s">
        <v>2930</v>
      </c>
      <c r="B1527" s="53" t="s">
        <v>2931</v>
      </c>
      <c r="C1527" s="44"/>
      <c r="D1527" s="40">
        <v>0</v>
      </c>
      <c r="E1527" s="40">
        <v>0</v>
      </c>
      <c r="F1527" s="40">
        <f>+D1527-E1527</f>
        <v>0</v>
      </c>
      <c r="G1527" s="2">
        <f>+ABS(D1527)+ABS(E1527)</f>
        <v>0</v>
      </c>
    </row>
    <row r="1528" spans="1:7" s="15" customFormat="1" hidden="1">
      <c r="A1528" s="37" t="s">
        <v>2932</v>
      </c>
      <c r="B1528" s="53" t="s">
        <v>2933</v>
      </c>
      <c r="C1528" s="44"/>
      <c r="D1528" s="40">
        <v>0</v>
      </c>
      <c r="E1528" s="40">
        <v>0</v>
      </c>
      <c r="F1528" s="40">
        <f>+D1528-E1528</f>
        <v>0</v>
      </c>
      <c r="G1528" s="2">
        <f>+ABS(D1528)+ABS(E1528)</f>
        <v>0</v>
      </c>
    </row>
    <row r="1529" spans="1:7" s="15" customFormat="1" hidden="1">
      <c r="A1529" s="37" t="s">
        <v>2934</v>
      </c>
      <c r="B1529" s="53" t="s">
        <v>2935</v>
      </c>
      <c r="C1529" s="44"/>
      <c r="D1529" s="40">
        <v>0</v>
      </c>
      <c r="E1529" s="40">
        <v>0</v>
      </c>
      <c r="F1529" s="40">
        <f>+D1529-E1529</f>
        <v>0</v>
      </c>
      <c r="G1529" s="2">
        <f>+ABS(D1529)+ABS(E1529)</f>
        <v>0</v>
      </c>
    </row>
    <row r="1530" spans="1:7" s="15" customFormat="1" hidden="1">
      <c r="A1530" s="37" t="s">
        <v>2936</v>
      </c>
      <c r="B1530" s="53" t="s">
        <v>2937</v>
      </c>
      <c r="C1530" s="44"/>
      <c r="D1530" s="40">
        <v>0</v>
      </c>
      <c r="E1530" s="40">
        <v>0</v>
      </c>
      <c r="F1530" s="40">
        <f>+D1530-E1530</f>
        <v>0</v>
      </c>
      <c r="G1530" s="2">
        <f>+ABS(D1530)+ABS(E1530)</f>
        <v>0</v>
      </c>
    </row>
    <row r="1531" spans="1:7" s="15" customFormat="1" hidden="1">
      <c r="A1531" s="37" t="s">
        <v>2938</v>
      </c>
      <c r="B1531" s="53" t="s">
        <v>2939</v>
      </c>
      <c r="C1531" s="44"/>
      <c r="D1531" s="40">
        <v>0</v>
      </c>
      <c r="E1531" s="40">
        <v>0</v>
      </c>
      <c r="F1531" s="40">
        <f>+D1531-E1531</f>
        <v>0</v>
      </c>
      <c r="G1531" s="2">
        <f>+ABS(D1531)+ABS(E1531)</f>
        <v>0</v>
      </c>
    </row>
    <row r="1532" spans="1:7" s="15" customFormat="1" hidden="1">
      <c r="A1532" s="37" t="s">
        <v>2940</v>
      </c>
      <c r="B1532" s="53" t="s">
        <v>2941</v>
      </c>
      <c r="C1532" s="44"/>
      <c r="D1532" s="40">
        <v>0</v>
      </c>
      <c r="E1532" s="40">
        <v>0</v>
      </c>
      <c r="F1532" s="40">
        <f>+D1532-E1532</f>
        <v>0</v>
      </c>
      <c r="G1532" s="2">
        <f>+ABS(D1532)+ABS(E1532)</f>
        <v>0</v>
      </c>
    </row>
    <row r="1533" spans="1:7" s="15" customFormat="1" hidden="1">
      <c r="A1533" s="37" t="s">
        <v>2942</v>
      </c>
      <c r="B1533" s="53" t="s">
        <v>2943</v>
      </c>
      <c r="C1533" s="44"/>
      <c r="D1533" s="40">
        <v>0</v>
      </c>
      <c r="E1533" s="40">
        <v>0</v>
      </c>
      <c r="F1533" s="40">
        <f>+D1533-E1533</f>
        <v>0</v>
      </c>
      <c r="G1533" s="2">
        <f>+ABS(D1533)+ABS(E1533)</f>
        <v>0</v>
      </c>
    </row>
    <row r="1534" spans="1:7" s="15" customFormat="1" hidden="1">
      <c r="A1534" s="37" t="s">
        <v>2944</v>
      </c>
      <c r="B1534" s="53" t="s">
        <v>2945</v>
      </c>
      <c r="C1534" s="44"/>
      <c r="D1534" s="40">
        <v>0</v>
      </c>
      <c r="E1534" s="40">
        <v>0</v>
      </c>
      <c r="F1534" s="40">
        <f>+D1534-E1534</f>
        <v>0</v>
      </c>
      <c r="G1534" s="2">
        <f>+ABS(D1534)+ABS(E1534)</f>
        <v>0</v>
      </c>
    </row>
    <row r="1535" spans="1:7" s="15" customFormat="1" hidden="1">
      <c r="A1535" s="37" t="s">
        <v>2946</v>
      </c>
      <c r="B1535" s="53" t="s">
        <v>2947</v>
      </c>
      <c r="C1535" s="44"/>
      <c r="D1535" s="40">
        <v>0</v>
      </c>
      <c r="E1535" s="40">
        <v>0</v>
      </c>
      <c r="F1535" s="40">
        <f>+D1535-E1535</f>
        <v>0</v>
      </c>
      <c r="G1535" s="2">
        <f>+ABS(D1535)+ABS(E1535)</f>
        <v>0</v>
      </c>
    </row>
    <row r="1536" spans="1:7" s="15" customFormat="1" hidden="1">
      <c r="A1536" s="37" t="s">
        <v>2948</v>
      </c>
      <c r="B1536" s="53" t="s">
        <v>2949</v>
      </c>
      <c r="C1536" s="44"/>
      <c r="D1536" s="40">
        <v>0</v>
      </c>
      <c r="E1536" s="40">
        <v>0</v>
      </c>
      <c r="F1536" s="40">
        <f>+D1536-E1536</f>
        <v>0</v>
      </c>
      <c r="G1536" s="2">
        <f>+ABS(D1536)+ABS(E1536)</f>
        <v>0</v>
      </c>
    </row>
    <row r="1537" spans="1:7" s="15" customFormat="1" hidden="1">
      <c r="A1537" s="37" t="s">
        <v>2950</v>
      </c>
      <c r="B1537" s="53" t="s">
        <v>2951</v>
      </c>
      <c r="C1537" s="44"/>
      <c r="D1537" s="40">
        <v>0</v>
      </c>
      <c r="E1537" s="40">
        <v>0</v>
      </c>
      <c r="F1537" s="40">
        <f>+D1537-E1537</f>
        <v>0</v>
      </c>
      <c r="G1537" s="2">
        <f>+ABS(D1537)+ABS(E1537)</f>
        <v>0</v>
      </c>
    </row>
    <row r="1538" spans="1:7" s="15" customFormat="1" hidden="1">
      <c r="A1538" s="37" t="s">
        <v>2952</v>
      </c>
      <c r="B1538" s="53" t="s">
        <v>2953</v>
      </c>
      <c r="C1538" s="44"/>
      <c r="D1538" s="40">
        <v>0</v>
      </c>
      <c r="E1538" s="40">
        <v>0</v>
      </c>
      <c r="F1538" s="40">
        <f>+D1538-E1538</f>
        <v>0</v>
      </c>
      <c r="G1538" s="2">
        <f>+ABS(D1538)+ABS(E1538)</f>
        <v>0</v>
      </c>
    </row>
    <row r="1539" spans="1:7" s="15" customFormat="1" hidden="1">
      <c r="A1539" s="37" t="s">
        <v>2954</v>
      </c>
      <c r="B1539" s="53" t="s">
        <v>2955</v>
      </c>
      <c r="C1539" s="44"/>
      <c r="D1539" s="40">
        <v>0</v>
      </c>
      <c r="E1539" s="40">
        <v>0</v>
      </c>
      <c r="F1539" s="40">
        <f>+D1539-E1539</f>
        <v>0</v>
      </c>
      <c r="G1539" s="2">
        <f>+ABS(D1539)+ABS(E1539)</f>
        <v>0</v>
      </c>
    </row>
    <row r="1540" spans="1:7" s="15" customFormat="1" hidden="1">
      <c r="A1540" s="37" t="s">
        <v>2956</v>
      </c>
      <c r="B1540" s="53" t="s">
        <v>2957</v>
      </c>
      <c r="C1540" s="44"/>
      <c r="D1540" s="40">
        <v>0</v>
      </c>
      <c r="E1540" s="40">
        <v>0</v>
      </c>
      <c r="F1540" s="40">
        <f>+D1540-E1540</f>
        <v>0</v>
      </c>
      <c r="G1540" s="2">
        <f>+ABS(D1540)+ABS(E1540)</f>
        <v>0</v>
      </c>
    </row>
    <row r="1541" spans="1:7" s="15" customFormat="1" hidden="1">
      <c r="A1541" s="37" t="s">
        <v>2958</v>
      </c>
      <c r="B1541" s="53" t="s">
        <v>2959</v>
      </c>
      <c r="C1541" s="44"/>
      <c r="D1541" s="40">
        <v>0</v>
      </c>
      <c r="E1541" s="40">
        <v>0</v>
      </c>
      <c r="F1541" s="40">
        <f>+D1541-E1541</f>
        <v>0</v>
      </c>
      <c r="G1541" s="2">
        <f>+ABS(D1541)+ABS(E1541)</f>
        <v>0</v>
      </c>
    </row>
    <row r="1542" spans="1:7" s="15" customFormat="1" hidden="1">
      <c r="A1542" s="37" t="s">
        <v>2960</v>
      </c>
      <c r="B1542" s="53" t="s">
        <v>2961</v>
      </c>
      <c r="C1542" s="44"/>
      <c r="D1542" s="40">
        <v>0</v>
      </c>
      <c r="E1542" s="40">
        <v>0</v>
      </c>
      <c r="F1542" s="40">
        <f>+D1542-E1542</f>
        <v>0</v>
      </c>
      <c r="G1542" s="2">
        <f>+ABS(D1542)+ABS(E1542)</f>
        <v>0</v>
      </c>
    </row>
    <row r="1543" spans="1:7" s="15" customFormat="1" hidden="1">
      <c r="A1543" s="37" t="s">
        <v>2962</v>
      </c>
      <c r="B1543" s="53" t="s">
        <v>2963</v>
      </c>
      <c r="C1543" s="44"/>
      <c r="D1543" s="40">
        <v>0</v>
      </c>
      <c r="E1543" s="40">
        <v>0</v>
      </c>
      <c r="F1543" s="40">
        <f>+D1543-E1543</f>
        <v>0</v>
      </c>
      <c r="G1543" s="2">
        <f>+ABS(D1543)+ABS(E1543)</f>
        <v>0</v>
      </c>
    </row>
    <row r="1544" spans="1:7" s="15" customFormat="1" hidden="1">
      <c r="A1544" s="37" t="s">
        <v>2964</v>
      </c>
      <c r="B1544" s="53" t="s">
        <v>2965</v>
      </c>
      <c r="C1544" s="44"/>
      <c r="D1544" s="40">
        <v>0</v>
      </c>
      <c r="E1544" s="40">
        <v>0</v>
      </c>
      <c r="F1544" s="40">
        <f>+D1544-E1544</f>
        <v>0</v>
      </c>
      <c r="G1544" s="2">
        <f>+ABS(D1544)+ABS(E1544)</f>
        <v>0</v>
      </c>
    </row>
    <row r="1545" spans="1:7" s="15" customFormat="1" hidden="1">
      <c r="A1545" s="37" t="s">
        <v>2966</v>
      </c>
      <c r="B1545" s="53" t="s">
        <v>2967</v>
      </c>
      <c r="C1545" s="44"/>
      <c r="D1545" s="40">
        <v>0</v>
      </c>
      <c r="E1545" s="40">
        <v>0</v>
      </c>
      <c r="F1545" s="40">
        <f>+D1545-E1545</f>
        <v>0</v>
      </c>
      <c r="G1545" s="2">
        <f>+ABS(D1545)+ABS(E1545)</f>
        <v>0</v>
      </c>
    </row>
    <row r="1546" spans="1:7" s="15" customFormat="1" hidden="1">
      <c r="A1546" s="37" t="s">
        <v>2968</v>
      </c>
      <c r="B1546" s="53" t="s">
        <v>2969</v>
      </c>
      <c r="C1546" s="44"/>
      <c r="D1546" s="40">
        <v>0</v>
      </c>
      <c r="E1546" s="40">
        <v>0</v>
      </c>
      <c r="F1546" s="40">
        <f>+D1546-E1546</f>
        <v>0</v>
      </c>
      <c r="G1546" s="2">
        <f>+ABS(D1546)+ABS(E1546)</f>
        <v>0</v>
      </c>
    </row>
    <row r="1547" spans="1:7" s="15" customFormat="1" hidden="1">
      <c r="A1547" s="37" t="s">
        <v>2970</v>
      </c>
      <c r="B1547" s="53" t="s">
        <v>2971</v>
      </c>
      <c r="C1547" s="44"/>
      <c r="D1547" s="40">
        <v>0</v>
      </c>
      <c r="E1547" s="40">
        <v>0</v>
      </c>
      <c r="F1547" s="40">
        <f>+D1547-E1547</f>
        <v>0</v>
      </c>
      <c r="G1547" s="2">
        <f>+ABS(D1547)+ABS(E1547)</f>
        <v>0</v>
      </c>
    </row>
    <row r="1548" spans="1:7" s="15" customFormat="1" hidden="1">
      <c r="A1548" s="37" t="s">
        <v>2972</v>
      </c>
      <c r="B1548" s="53" t="s">
        <v>2973</v>
      </c>
      <c r="C1548" s="44"/>
      <c r="D1548" s="40">
        <v>0</v>
      </c>
      <c r="E1548" s="40">
        <v>0</v>
      </c>
      <c r="F1548" s="40">
        <f>+D1548-E1548</f>
        <v>0</v>
      </c>
      <c r="G1548" s="2">
        <f>+ABS(D1548)+ABS(E1548)</f>
        <v>0</v>
      </c>
    </row>
    <row r="1549" spans="1:7" s="15" customFormat="1" hidden="1">
      <c r="A1549" s="37" t="s">
        <v>2974</v>
      </c>
      <c r="B1549" s="53" t="s">
        <v>2975</v>
      </c>
      <c r="C1549" s="44"/>
      <c r="D1549" s="40">
        <v>0</v>
      </c>
      <c r="E1549" s="40">
        <v>0</v>
      </c>
      <c r="F1549" s="40">
        <f>+D1549-E1549</f>
        <v>0</v>
      </c>
      <c r="G1549" s="2">
        <f>+ABS(D1549)+ABS(E1549)</f>
        <v>0</v>
      </c>
    </row>
    <row r="1550" spans="1:7" s="15" customFormat="1" hidden="1">
      <c r="A1550" s="37" t="s">
        <v>2976</v>
      </c>
      <c r="B1550" s="53" t="s">
        <v>2977</v>
      </c>
      <c r="C1550" s="44"/>
      <c r="D1550" s="40">
        <v>0</v>
      </c>
      <c r="E1550" s="40">
        <v>0</v>
      </c>
      <c r="F1550" s="40">
        <f>+D1550-E1550</f>
        <v>0</v>
      </c>
      <c r="G1550" s="2">
        <f>+ABS(D1550)+ABS(E1550)</f>
        <v>0</v>
      </c>
    </row>
    <row r="1551" spans="1:7" s="15" customFormat="1" hidden="1">
      <c r="A1551" s="37" t="s">
        <v>2978</v>
      </c>
      <c r="B1551" s="53" t="s">
        <v>2979</v>
      </c>
      <c r="C1551" s="44"/>
      <c r="D1551" s="40">
        <v>0</v>
      </c>
      <c r="E1551" s="40">
        <v>0</v>
      </c>
      <c r="F1551" s="40">
        <f>+D1551-E1551</f>
        <v>0</v>
      </c>
      <c r="G1551" s="2">
        <f>+ABS(D1551)+ABS(E1551)</f>
        <v>0</v>
      </c>
    </row>
    <row r="1552" spans="1:7" s="15" customFormat="1" hidden="1">
      <c r="A1552" s="37" t="s">
        <v>2980</v>
      </c>
      <c r="B1552" s="53" t="s">
        <v>2981</v>
      </c>
      <c r="C1552" s="44"/>
      <c r="D1552" s="40">
        <v>0</v>
      </c>
      <c r="E1552" s="40">
        <v>0</v>
      </c>
      <c r="F1552" s="40">
        <f>+D1552-E1552</f>
        <v>0</v>
      </c>
      <c r="G1552" s="2">
        <f>+ABS(D1552)+ABS(E1552)</f>
        <v>0</v>
      </c>
    </row>
    <row r="1553" spans="1:7" s="15" customFormat="1" hidden="1">
      <c r="A1553" s="37" t="s">
        <v>2982</v>
      </c>
      <c r="B1553" s="53" t="s">
        <v>2923</v>
      </c>
      <c r="C1553" s="44"/>
      <c r="D1553" s="40">
        <v>0</v>
      </c>
      <c r="E1553" s="40">
        <v>0</v>
      </c>
      <c r="F1553" s="40">
        <f>+D1553-E1553</f>
        <v>0</v>
      </c>
      <c r="G1553" s="2">
        <f>+ABS(D1553)+ABS(E1553)</f>
        <v>0</v>
      </c>
    </row>
    <row r="1554" spans="1:7" s="15" customFormat="1" hidden="1">
      <c r="A1554" s="37" t="s">
        <v>2983</v>
      </c>
      <c r="B1554" s="53" t="s">
        <v>2984</v>
      </c>
      <c r="C1554" s="44"/>
      <c r="D1554" s="40">
        <v>0</v>
      </c>
      <c r="E1554" s="40">
        <v>0</v>
      </c>
      <c r="F1554" s="40">
        <f>+D1554-E1554</f>
        <v>0</v>
      </c>
      <c r="G1554" s="2">
        <f>+ABS(D1554)+ABS(E1554)</f>
        <v>0</v>
      </c>
    </row>
    <row r="1555" spans="1:7" s="15" customFormat="1" hidden="1">
      <c r="A1555" s="37" t="s">
        <v>2985</v>
      </c>
      <c r="B1555" s="53" t="s">
        <v>2986</v>
      </c>
      <c r="C1555" s="44"/>
      <c r="D1555" s="40">
        <v>0</v>
      </c>
      <c r="E1555" s="40">
        <v>0</v>
      </c>
      <c r="F1555" s="40">
        <f>+D1555-E1555</f>
        <v>0</v>
      </c>
      <c r="G1555" s="2">
        <f>+ABS(D1555)+ABS(E1555)</f>
        <v>0</v>
      </c>
    </row>
    <row r="1556" spans="1:7" s="15" customFormat="1" hidden="1">
      <c r="A1556" s="37" t="s">
        <v>2987</v>
      </c>
      <c r="B1556" s="53" t="s">
        <v>2925</v>
      </c>
      <c r="C1556" s="44"/>
      <c r="D1556" s="40">
        <v>0</v>
      </c>
      <c r="E1556" s="40">
        <v>0</v>
      </c>
      <c r="F1556" s="40">
        <f>+D1556-E1556</f>
        <v>0</v>
      </c>
      <c r="G1556" s="2">
        <f>+ABS(D1556)+ABS(E1556)</f>
        <v>0</v>
      </c>
    </row>
    <row r="1557" spans="1:7" s="15" customFormat="1" hidden="1">
      <c r="A1557" s="37" t="s">
        <v>2988</v>
      </c>
      <c r="B1557" s="53" t="s">
        <v>2989</v>
      </c>
      <c r="C1557" s="44"/>
      <c r="D1557" s="40">
        <v>0</v>
      </c>
      <c r="E1557" s="40">
        <v>0</v>
      </c>
      <c r="F1557" s="40">
        <f>+D1557-E1557</f>
        <v>0</v>
      </c>
      <c r="G1557" s="2">
        <f>+ABS(D1557)+ABS(E1557)</f>
        <v>0</v>
      </c>
    </row>
    <row r="1558" spans="1:7" s="15" customFormat="1" hidden="1">
      <c r="A1558" s="37" t="s">
        <v>2990</v>
      </c>
      <c r="B1558" s="53" t="s">
        <v>2991</v>
      </c>
      <c r="C1558" s="44"/>
      <c r="D1558" s="40">
        <v>0</v>
      </c>
      <c r="E1558" s="40">
        <v>0</v>
      </c>
      <c r="F1558" s="40">
        <f>+D1558-E1558</f>
        <v>0</v>
      </c>
      <c r="G1558" s="2">
        <f>+ABS(D1558)+ABS(E1558)</f>
        <v>0</v>
      </c>
    </row>
    <row r="1559" spans="1:7" s="15" customFormat="1" hidden="1">
      <c r="A1559" s="37" t="s">
        <v>2992</v>
      </c>
      <c r="B1559" s="53" t="s">
        <v>2929</v>
      </c>
      <c r="C1559" s="44"/>
      <c r="D1559" s="40">
        <v>0</v>
      </c>
      <c r="E1559" s="40">
        <v>0</v>
      </c>
      <c r="F1559" s="40">
        <f>+D1559-E1559</f>
        <v>0</v>
      </c>
      <c r="G1559" s="2">
        <f>+ABS(D1559)+ABS(E1559)</f>
        <v>0</v>
      </c>
    </row>
    <row r="1560" spans="1:7" s="15" customFormat="1" hidden="1">
      <c r="A1560" s="37" t="s">
        <v>2993</v>
      </c>
      <c r="B1560" s="53" t="s">
        <v>2927</v>
      </c>
      <c r="C1560" s="44"/>
      <c r="D1560" s="40">
        <v>0</v>
      </c>
      <c r="E1560" s="40">
        <v>0</v>
      </c>
      <c r="F1560" s="40">
        <f>+D1560-E1560</f>
        <v>0</v>
      </c>
      <c r="G1560" s="2">
        <f>+ABS(D1560)+ABS(E1560)</f>
        <v>0</v>
      </c>
    </row>
    <row r="1561" spans="1:7" s="15" customFormat="1" hidden="1">
      <c r="A1561" s="37" t="s">
        <v>2994</v>
      </c>
      <c r="B1561" s="53" t="s">
        <v>2995</v>
      </c>
      <c r="C1561" s="44"/>
      <c r="D1561" s="40">
        <v>0</v>
      </c>
      <c r="E1561" s="40">
        <v>0</v>
      </c>
      <c r="F1561" s="40">
        <f>+D1561-E1561</f>
        <v>0</v>
      </c>
      <c r="G1561" s="2">
        <f>+ABS(D1561)+ABS(E1561)</f>
        <v>0</v>
      </c>
    </row>
    <row r="1562" spans="1:7" s="15" customFormat="1" hidden="1">
      <c r="A1562" s="37" t="s">
        <v>2996</v>
      </c>
      <c r="B1562" s="53" t="s">
        <v>2997</v>
      </c>
      <c r="C1562" s="44"/>
      <c r="D1562" s="40">
        <v>0</v>
      </c>
      <c r="E1562" s="40">
        <v>0</v>
      </c>
      <c r="F1562" s="40">
        <f>+D1562-E1562</f>
        <v>0</v>
      </c>
      <c r="G1562" s="2">
        <f>+ABS(D1562)+ABS(E1562)</f>
        <v>0</v>
      </c>
    </row>
    <row r="1563" spans="1:7" s="15" customFormat="1" hidden="1">
      <c r="A1563" s="37" t="s">
        <v>2998</v>
      </c>
      <c r="B1563" s="53" t="s">
        <v>2999</v>
      </c>
      <c r="C1563" s="44"/>
      <c r="D1563" s="40">
        <v>0</v>
      </c>
      <c r="E1563" s="40">
        <v>0</v>
      </c>
      <c r="F1563" s="40">
        <f>+D1563-E1563</f>
        <v>0</v>
      </c>
      <c r="G1563" s="2">
        <f>+ABS(D1563)+ABS(E1563)</f>
        <v>0</v>
      </c>
    </row>
    <row r="1564" spans="1:7" s="15" customFormat="1" hidden="1">
      <c r="A1564" s="37" t="s">
        <v>3000</v>
      </c>
      <c r="B1564" s="53" t="s">
        <v>3001</v>
      </c>
      <c r="C1564" s="44"/>
      <c r="D1564" s="40">
        <v>0</v>
      </c>
      <c r="E1564" s="40">
        <v>0</v>
      </c>
      <c r="F1564" s="40">
        <f>+D1564-E1564</f>
        <v>0</v>
      </c>
      <c r="G1564" s="2">
        <f>+ABS(D1564)+ABS(E1564)</f>
        <v>0</v>
      </c>
    </row>
    <row r="1565" spans="1:7" s="15" customFormat="1" hidden="1">
      <c r="A1565" s="37" t="s">
        <v>3002</v>
      </c>
      <c r="B1565" s="53" t="s">
        <v>3003</v>
      </c>
      <c r="C1565" s="44"/>
      <c r="D1565" s="40">
        <v>0</v>
      </c>
      <c r="E1565" s="40">
        <v>0</v>
      </c>
      <c r="F1565" s="40">
        <f>+D1565-E1565</f>
        <v>0</v>
      </c>
      <c r="G1565" s="2">
        <f>+ABS(D1565)+ABS(E1565)</f>
        <v>0</v>
      </c>
    </row>
    <row r="1566" spans="1:7" s="15" customFormat="1" hidden="1">
      <c r="A1566" s="37" t="s">
        <v>3004</v>
      </c>
      <c r="B1566" s="53" t="s">
        <v>3005</v>
      </c>
      <c r="C1566" s="44"/>
      <c r="D1566" s="40">
        <v>0</v>
      </c>
      <c r="E1566" s="40">
        <v>0</v>
      </c>
      <c r="F1566" s="40">
        <f>+D1566-E1566</f>
        <v>0</v>
      </c>
      <c r="G1566" s="2">
        <f>+ABS(D1566)+ABS(E1566)</f>
        <v>0</v>
      </c>
    </row>
    <row r="1567" spans="1:7" s="15" customFormat="1" hidden="1">
      <c r="A1567" s="37" t="s">
        <v>3006</v>
      </c>
      <c r="B1567" s="53" t="s">
        <v>3007</v>
      </c>
      <c r="C1567" s="44"/>
      <c r="D1567" s="40">
        <v>0</v>
      </c>
      <c r="E1567" s="40">
        <v>0</v>
      </c>
      <c r="F1567" s="40">
        <f>+D1567-E1567</f>
        <v>0</v>
      </c>
      <c r="G1567" s="2">
        <f>+ABS(D1567)+ABS(E1567)</f>
        <v>0</v>
      </c>
    </row>
    <row r="1568" spans="1:7" s="15" customFormat="1" hidden="1">
      <c r="A1568" s="37" t="s">
        <v>3008</v>
      </c>
      <c r="B1568" s="53" t="s">
        <v>3009</v>
      </c>
      <c r="C1568" s="44"/>
      <c r="D1568" s="40">
        <v>0</v>
      </c>
      <c r="E1568" s="40">
        <v>0</v>
      </c>
      <c r="F1568" s="40">
        <f>+D1568-E1568</f>
        <v>0</v>
      </c>
      <c r="G1568" s="2">
        <f>+ABS(D1568)+ABS(E1568)</f>
        <v>0</v>
      </c>
    </row>
    <row r="1569" spans="1:7" s="15" customFormat="1" hidden="1">
      <c r="A1569" s="37" t="s">
        <v>3010</v>
      </c>
      <c r="B1569" s="53" t="s">
        <v>2923</v>
      </c>
      <c r="C1569" s="44"/>
      <c r="D1569" s="40">
        <v>0</v>
      </c>
      <c r="E1569" s="40">
        <v>0</v>
      </c>
      <c r="F1569" s="40">
        <f>+D1569-E1569</f>
        <v>0</v>
      </c>
      <c r="G1569" s="2">
        <f>+ABS(D1569)+ABS(E1569)</f>
        <v>0</v>
      </c>
    </row>
    <row r="1570" spans="1:7" s="15" customFormat="1" hidden="1">
      <c r="A1570" s="37" t="s">
        <v>3011</v>
      </c>
      <c r="B1570" s="53" t="s">
        <v>3012</v>
      </c>
      <c r="C1570" s="44"/>
      <c r="D1570" s="40">
        <v>0</v>
      </c>
      <c r="E1570" s="40">
        <v>0</v>
      </c>
      <c r="F1570" s="40">
        <f>+D1570-E1570</f>
        <v>0</v>
      </c>
      <c r="G1570" s="2">
        <f>+ABS(D1570)+ABS(E1570)</f>
        <v>0</v>
      </c>
    </row>
    <row r="1571" spans="1:7" s="15" customFormat="1" hidden="1">
      <c r="A1571" s="37" t="s">
        <v>3013</v>
      </c>
      <c r="B1571" s="53" t="s">
        <v>3014</v>
      </c>
      <c r="C1571" s="44"/>
      <c r="D1571" s="40">
        <v>0</v>
      </c>
      <c r="E1571" s="40">
        <v>0</v>
      </c>
      <c r="F1571" s="40">
        <f>+D1571-E1571</f>
        <v>0</v>
      </c>
      <c r="G1571" s="2">
        <f>+ABS(D1571)+ABS(E1571)</f>
        <v>0</v>
      </c>
    </row>
    <row r="1572" spans="1:7" s="15" customFormat="1" hidden="1">
      <c r="A1572" s="37" t="s">
        <v>3015</v>
      </c>
      <c r="B1572" s="53" t="s">
        <v>2436</v>
      </c>
      <c r="C1572" s="44"/>
      <c r="D1572" s="40">
        <v>0</v>
      </c>
      <c r="E1572" s="40">
        <v>0</v>
      </c>
      <c r="F1572" s="40">
        <f>+D1572-E1572</f>
        <v>0</v>
      </c>
      <c r="G1572" s="2">
        <f>+ABS(D1572)+ABS(E1572)</f>
        <v>0</v>
      </c>
    </row>
    <row r="1573" spans="1:7" s="15" customFormat="1" hidden="1">
      <c r="A1573" s="37" t="s">
        <v>3016</v>
      </c>
      <c r="B1573" s="53" t="s">
        <v>3017</v>
      </c>
      <c r="C1573" s="44"/>
      <c r="D1573" s="40">
        <v>0</v>
      </c>
      <c r="E1573" s="40">
        <v>0</v>
      </c>
      <c r="F1573" s="40">
        <f>+D1573-E1573</f>
        <v>0</v>
      </c>
      <c r="G1573" s="2">
        <f>+ABS(D1573)+ABS(E1573)</f>
        <v>0</v>
      </c>
    </row>
    <row r="1574" spans="1:7" s="15" customFormat="1" hidden="1">
      <c r="A1574" s="37" t="s">
        <v>3018</v>
      </c>
      <c r="B1574" s="53" t="s">
        <v>3019</v>
      </c>
      <c r="C1574" s="44"/>
      <c r="D1574" s="40">
        <v>0</v>
      </c>
      <c r="E1574" s="40">
        <v>0</v>
      </c>
      <c r="F1574" s="40">
        <f>+D1574-E1574</f>
        <v>0</v>
      </c>
      <c r="G1574" s="2">
        <f>+ABS(D1574)+ABS(E1574)</f>
        <v>0</v>
      </c>
    </row>
    <row r="1575" spans="1:7" s="15" customFormat="1" hidden="1">
      <c r="A1575" s="37" t="s">
        <v>3020</v>
      </c>
      <c r="B1575" s="53" t="s">
        <v>3021</v>
      </c>
      <c r="C1575" s="44"/>
      <c r="D1575" s="40">
        <v>0</v>
      </c>
      <c r="E1575" s="40">
        <v>0</v>
      </c>
      <c r="F1575" s="40">
        <f>+D1575-E1575</f>
        <v>0</v>
      </c>
      <c r="G1575" s="2">
        <f>+ABS(D1575)+ABS(E1575)</f>
        <v>0</v>
      </c>
    </row>
    <row r="1576" spans="1:7" s="15" customFormat="1" hidden="1">
      <c r="A1576" s="37" t="s">
        <v>3022</v>
      </c>
      <c r="B1576" s="53" t="s">
        <v>3023</v>
      </c>
      <c r="C1576" s="44"/>
      <c r="D1576" s="40">
        <v>0</v>
      </c>
      <c r="E1576" s="40">
        <v>0</v>
      </c>
      <c r="F1576" s="40">
        <f>+D1576-E1576</f>
        <v>0</v>
      </c>
      <c r="G1576" s="2">
        <f>+ABS(D1576)+ABS(E1576)</f>
        <v>0</v>
      </c>
    </row>
    <row r="1577" spans="1:7" s="15" customFormat="1" hidden="1">
      <c r="A1577" s="37" t="s">
        <v>3024</v>
      </c>
      <c r="B1577" s="53" t="s">
        <v>3025</v>
      </c>
      <c r="C1577" s="44"/>
      <c r="D1577" s="40">
        <v>0</v>
      </c>
      <c r="E1577" s="40">
        <v>0</v>
      </c>
      <c r="F1577" s="40">
        <f>+D1577-E1577</f>
        <v>0</v>
      </c>
      <c r="G1577" s="2">
        <f>+ABS(D1577)+ABS(E1577)</f>
        <v>0</v>
      </c>
    </row>
    <row r="1578" spans="1:7" s="15" customFormat="1" hidden="1">
      <c r="A1578" s="37" t="s">
        <v>3026</v>
      </c>
      <c r="B1578" s="53" t="s">
        <v>3027</v>
      </c>
      <c r="C1578" s="44"/>
      <c r="D1578" s="40">
        <v>0</v>
      </c>
      <c r="E1578" s="40">
        <v>0</v>
      </c>
      <c r="F1578" s="40">
        <f>+D1578-E1578</f>
        <v>0</v>
      </c>
      <c r="G1578" s="2">
        <f>+ABS(D1578)+ABS(E1578)</f>
        <v>0</v>
      </c>
    </row>
    <row r="1579" spans="1:7" s="15" customFormat="1" hidden="1">
      <c r="A1579" s="37" t="s">
        <v>3028</v>
      </c>
      <c r="B1579" s="53" t="s">
        <v>3029</v>
      </c>
      <c r="C1579" s="44"/>
      <c r="D1579" s="40">
        <v>0</v>
      </c>
      <c r="E1579" s="40">
        <v>0</v>
      </c>
      <c r="F1579" s="40">
        <f>+D1579-E1579</f>
        <v>0</v>
      </c>
      <c r="G1579" s="2">
        <f>+ABS(D1579)+ABS(E1579)</f>
        <v>0</v>
      </c>
    </row>
    <row r="1580" spans="1:7" s="15" customFormat="1" hidden="1">
      <c r="A1580" s="37" t="s">
        <v>3030</v>
      </c>
      <c r="B1580" s="53" t="s">
        <v>3031</v>
      </c>
      <c r="C1580" s="44"/>
      <c r="D1580" s="40">
        <v>0</v>
      </c>
      <c r="E1580" s="40">
        <v>0</v>
      </c>
      <c r="F1580" s="40">
        <f>+D1580-E1580</f>
        <v>0</v>
      </c>
      <c r="G1580" s="2">
        <f>+ABS(D1580)+ABS(E1580)</f>
        <v>0</v>
      </c>
    </row>
    <row r="1581" spans="1:7" s="15" customFormat="1" hidden="1">
      <c r="A1581" s="37" t="s">
        <v>3032</v>
      </c>
      <c r="B1581" s="53" t="s">
        <v>3033</v>
      </c>
      <c r="C1581" s="44"/>
      <c r="D1581" s="40">
        <v>0</v>
      </c>
      <c r="E1581" s="40">
        <v>0</v>
      </c>
      <c r="F1581" s="40">
        <f>+D1581-E1581</f>
        <v>0</v>
      </c>
      <c r="G1581" s="2">
        <f>+ABS(D1581)+ABS(E1581)</f>
        <v>0</v>
      </c>
    </row>
    <row r="1582" spans="1:7" s="15" customFormat="1" hidden="1">
      <c r="A1582" s="37" t="s">
        <v>3034</v>
      </c>
      <c r="B1582" s="53" t="s">
        <v>3035</v>
      </c>
      <c r="C1582" s="44"/>
      <c r="D1582" s="40">
        <v>0</v>
      </c>
      <c r="E1582" s="40">
        <v>0</v>
      </c>
      <c r="F1582" s="40">
        <f>+D1582-E1582</f>
        <v>0</v>
      </c>
      <c r="G1582" s="2">
        <f>+ABS(D1582)+ABS(E1582)</f>
        <v>0</v>
      </c>
    </row>
    <row r="1583" spans="1:7" s="15" customFormat="1" hidden="1">
      <c r="A1583" s="37" t="s">
        <v>3036</v>
      </c>
      <c r="B1583" s="53" t="s">
        <v>3037</v>
      </c>
      <c r="C1583" s="44"/>
      <c r="D1583" s="40">
        <v>0</v>
      </c>
      <c r="E1583" s="40">
        <v>0</v>
      </c>
      <c r="F1583" s="40">
        <f>+D1583-E1583</f>
        <v>0</v>
      </c>
      <c r="G1583" s="2">
        <f>+ABS(D1583)+ABS(E1583)</f>
        <v>0</v>
      </c>
    </row>
    <row r="1584" spans="1:7" s="15" customFormat="1" hidden="1">
      <c r="A1584" s="37" t="s">
        <v>3038</v>
      </c>
      <c r="B1584" s="53" t="s">
        <v>3039</v>
      </c>
      <c r="C1584" s="44"/>
      <c r="D1584" s="40">
        <v>0</v>
      </c>
      <c r="E1584" s="40">
        <v>0</v>
      </c>
      <c r="F1584" s="40">
        <f>+D1584-E1584</f>
        <v>0</v>
      </c>
      <c r="G1584" s="2">
        <f>+ABS(D1584)+ABS(E1584)</f>
        <v>0</v>
      </c>
    </row>
    <row r="1585" spans="1:7" s="15" customFormat="1" hidden="1">
      <c r="A1585" s="37" t="s">
        <v>3040</v>
      </c>
      <c r="B1585" s="53" t="s">
        <v>3041</v>
      </c>
      <c r="C1585" s="44"/>
      <c r="D1585" s="40">
        <v>0</v>
      </c>
      <c r="E1585" s="40">
        <v>0</v>
      </c>
      <c r="F1585" s="40">
        <f>+D1585-E1585</f>
        <v>0</v>
      </c>
      <c r="G1585" s="2">
        <f>+ABS(D1585)+ABS(E1585)</f>
        <v>0</v>
      </c>
    </row>
    <row r="1586" spans="1:7" s="15" customFormat="1" hidden="1">
      <c r="A1586" s="37" t="s">
        <v>3042</v>
      </c>
      <c r="B1586" s="53" t="s">
        <v>3043</v>
      </c>
      <c r="C1586" s="44"/>
      <c r="D1586" s="40">
        <v>0</v>
      </c>
      <c r="E1586" s="40">
        <v>0</v>
      </c>
      <c r="F1586" s="40">
        <f>+D1586-E1586</f>
        <v>0</v>
      </c>
      <c r="G1586" s="2">
        <f>+ABS(D1586)+ABS(E1586)</f>
        <v>0</v>
      </c>
    </row>
    <row r="1587" spans="1:7" s="15" customFormat="1" hidden="1">
      <c r="A1587" s="37" t="s">
        <v>3044</v>
      </c>
      <c r="B1587" s="53" t="s">
        <v>3045</v>
      </c>
      <c r="C1587" s="44"/>
      <c r="D1587" s="40">
        <v>0</v>
      </c>
      <c r="E1587" s="40">
        <v>0</v>
      </c>
      <c r="F1587" s="40">
        <f>+D1587-E1587</f>
        <v>0</v>
      </c>
      <c r="G1587" s="2">
        <f>+ABS(D1587)+ABS(E1587)</f>
        <v>0</v>
      </c>
    </row>
    <row r="1588" spans="1:7" s="15" customFormat="1" hidden="1">
      <c r="A1588" s="37" t="s">
        <v>3046</v>
      </c>
      <c r="B1588" s="53" t="s">
        <v>3047</v>
      </c>
      <c r="C1588" s="44"/>
      <c r="D1588" s="40">
        <v>0</v>
      </c>
      <c r="E1588" s="40">
        <v>0</v>
      </c>
      <c r="F1588" s="40">
        <f>+D1588-E1588</f>
        <v>0</v>
      </c>
      <c r="G1588" s="2">
        <f>+ABS(D1588)+ABS(E1588)</f>
        <v>0</v>
      </c>
    </row>
    <row r="1589" spans="1:7" s="15" customFormat="1" hidden="1">
      <c r="A1589" s="37" t="s">
        <v>3048</v>
      </c>
      <c r="B1589" s="53" t="s">
        <v>3012</v>
      </c>
      <c r="C1589" s="44"/>
      <c r="D1589" s="40">
        <v>0</v>
      </c>
      <c r="E1589" s="40">
        <v>0</v>
      </c>
      <c r="F1589" s="40">
        <f>+D1589-E1589</f>
        <v>0</v>
      </c>
      <c r="G1589" s="2">
        <f>+ABS(D1589)+ABS(E1589)</f>
        <v>0</v>
      </c>
    </row>
    <row r="1590" spans="1:7" s="15" customFormat="1" hidden="1">
      <c r="A1590" s="37" t="s">
        <v>3049</v>
      </c>
      <c r="B1590" s="53" t="s">
        <v>3050</v>
      </c>
      <c r="C1590" s="44"/>
      <c r="D1590" s="40">
        <v>0</v>
      </c>
      <c r="E1590" s="40">
        <v>0</v>
      </c>
      <c r="F1590" s="40">
        <f>+D1590-E1590</f>
        <v>0</v>
      </c>
      <c r="G1590" s="2">
        <f>+ABS(D1590)+ABS(E1590)</f>
        <v>0</v>
      </c>
    </row>
    <row r="1591" spans="1:7" s="15" customFormat="1" hidden="1">
      <c r="A1591" s="37" t="s">
        <v>3051</v>
      </c>
      <c r="B1591" s="53" t="s">
        <v>3052</v>
      </c>
      <c r="C1591" s="44"/>
      <c r="D1591" s="40">
        <v>0</v>
      </c>
      <c r="E1591" s="40">
        <v>0</v>
      </c>
      <c r="F1591" s="40">
        <f>+D1591-E1591</f>
        <v>0</v>
      </c>
      <c r="G1591" s="2">
        <f>+ABS(D1591)+ABS(E1591)</f>
        <v>0</v>
      </c>
    </row>
    <row r="1592" spans="1:7" s="15" customFormat="1" hidden="1">
      <c r="A1592" s="37" t="s">
        <v>3053</v>
      </c>
      <c r="B1592" s="53" t="s">
        <v>3054</v>
      </c>
      <c r="C1592" s="44"/>
      <c r="D1592" s="40">
        <v>0</v>
      </c>
      <c r="E1592" s="40">
        <v>0</v>
      </c>
      <c r="F1592" s="40">
        <f>+D1592-E1592</f>
        <v>0</v>
      </c>
      <c r="G1592" s="2">
        <f>+ABS(D1592)+ABS(E1592)</f>
        <v>0</v>
      </c>
    </row>
    <row r="1593" spans="1:7" s="15" customFormat="1" hidden="1">
      <c r="A1593" s="37" t="s">
        <v>3055</v>
      </c>
      <c r="B1593" s="53" t="s">
        <v>3056</v>
      </c>
      <c r="C1593" s="44"/>
      <c r="D1593" s="40">
        <v>0</v>
      </c>
      <c r="E1593" s="40">
        <v>0</v>
      </c>
      <c r="F1593" s="40">
        <f>+D1593-E1593</f>
        <v>0</v>
      </c>
      <c r="G1593" s="2">
        <f>+ABS(D1593)+ABS(E1593)</f>
        <v>0</v>
      </c>
    </row>
    <row r="1594" spans="1:7" s="15" customFormat="1" hidden="1">
      <c r="A1594" s="37" t="s">
        <v>3057</v>
      </c>
      <c r="B1594" s="53" t="s">
        <v>3058</v>
      </c>
      <c r="C1594" s="44"/>
      <c r="D1594" s="40">
        <v>0</v>
      </c>
      <c r="E1594" s="40">
        <v>0</v>
      </c>
      <c r="F1594" s="40">
        <f>+D1594-E1594</f>
        <v>0</v>
      </c>
      <c r="G1594" s="2">
        <f>+ABS(D1594)+ABS(E1594)</f>
        <v>0</v>
      </c>
    </row>
    <row r="1595" spans="1:7" s="15" customFormat="1" hidden="1">
      <c r="A1595" s="37" t="s">
        <v>3059</v>
      </c>
      <c r="B1595" s="53" t="s">
        <v>3060</v>
      </c>
      <c r="C1595" s="44"/>
      <c r="D1595" s="40">
        <v>0</v>
      </c>
      <c r="E1595" s="40">
        <v>0</v>
      </c>
      <c r="F1595" s="40">
        <f>+D1595-E1595</f>
        <v>0</v>
      </c>
      <c r="G1595" s="2">
        <f>+ABS(D1595)+ABS(E1595)</f>
        <v>0</v>
      </c>
    </row>
    <row r="1596" spans="1:7" s="15" customFormat="1" hidden="1">
      <c r="A1596" s="37" t="s">
        <v>3061</v>
      </c>
      <c r="B1596" s="53" t="s">
        <v>3062</v>
      </c>
      <c r="C1596" s="44"/>
      <c r="D1596" s="40">
        <v>0</v>
      </c>
      <c r="E1596" s="40">
        <v>0</v>
      </c>
      <c r="F1596" s="40">
        <f>+D1596-E1596</f>
        <v>0</v>
      </c>
      <c r="G1596" s="2">
        <f>+ABS(D1596)+ABS(E1596)</f>
        <v>0</v>
      </c>
    </row>
    <row r="1597" spans="1:7" s="15" customFormat="1" hidden="1">
      <c r="A1597" s="37" t="s">
        <v>3063</v>
      </c>
      <c r="B1597" s="53" t="s">
        <v>3064</v>
      </c>
      <c r="C1597" s="44"/>
      <c r="D1597" s="40">
        <v>0</v>
      </c>
      <c r="E1597" s="40">
        <v>0</v>
      </c>
      <c r="F1597" s="40">
        <f>+D1597-E1597</f>
        <v>0</v>
      </c>
      <c r="G1597" s="2">
        <f>+ABS(D1597)+ABS(E1597)</f>
        <v>0</v>
      </c>
    </row>
    <row r="1598" spans="1:7" s="15" customFormat="1" hidden="1">
      <c r="A1598" s="37" t="s">
        <v>3065</v>
      </c>
      <c r="B1598" s="53" t="s">
        <v>3066</v>
      </c>
      <c r="C1598" s="44"/>
      <c r="D1598" s="40">
        <v>0</v>
      </c>
      <c r="E1598" s="40">
        <v>0</v>
      </c>
      <c r="F1598" s="40">
        <f>+D1598-E1598</f>
        <v>0</v>
      </c>
      <c r="G1598" s="2">
        <f>+ABS(D1598)+ABS(E1598)</f>
        <v>0</v>
      </c>
    </row>
    <row r="1599" spans="1:7" s="15" customFormat="1" hidden="1">
      <c r="A1599" s="37" t="s">
        <v>3067</v>
      </c>
      <c r="B1599" s="53" t="s">
        <v>3068</v>
      </c>
      <c r="C1599" s="44"/>
      <c r="D1599" s="40">
        <v>0</v>
      </c>
      <c r="E1599" s="40">
        <v>0</v>
      </c>
      <c r="F1599" s="40">
        <f>+D1599-E1599</f>
        <v>0</v>
      </c>
      <c r="G1599" s="2">
        <f>+ABS(D1599)+ABS(E1599)</f>
        <v>0</v>
      </c>
    </row>
    <row r="1600" spans="1:7" s="15" customFormat="1" hidden="1">
      <c r="A1600" s="37" t="s">
        <v>3069</v>
      </c>
      <c r="B1600" s="53" t="s">
        <v>1615</v>
      </c>
      <c r="C1600" s="44"/>
      <c r="D1600" s="40">
        <v>0</v>
      </c>
      <c r="E1600" s="40">
        <v>0</v>
      </c>
      <c r="F1600" s="40">
        <f>+D1600-E1600</f>
        <v>0</v>
      </c>
      <c r="G1600" s="2">
        <f>+ABS(D1600)+ABS(E1600)</f>
        <v>0</v>
      </c>
    </row>
    <row r="1601" spans="1:7" s="15" customFormat="1" hidden="1">
      <c r="A1601" s="37" t="s">
        <v>3070</v>
      </c>
      <c r="B1601" s="53" t="s">
        <v>3071</v>
      </c>
      <c r="C1601" s="44"/>
      <c r="D1601" s="40">
        <v>0</v>
      </c>
      <c r="E1601" s="40">
        <v>0</v>
      </c>
      <c r="F1601" s="40">
        <f>+D1601-E1601</f>
        <v>0</v>
      </c>
      <c r="G1601" s="2">
        <f>+ABS(D1601)+ABS(E1601)</f>
        <v>0</v>
      </c>
    </row>
    <row r="1602" spans="1:7" s="15" customFormat="1" hidden="1">
      <c r="A1602" s="37" t="s">
        <v>3072</v>
      </c>
      <c r="B1602" s="53" t="s">
        <v>3073</v>
      </c>
      <c r="C1602" s="44"/>
      <c r="D1602" s="40">
        <v>0</v>
      </c>
      <c r="E1602" s="40">
        <v>0</v>
      </c>
      <c r="F1602" s="40">
        <f>+D1602-E1602</f>
        <v>0</v>
      </c>
      <c r="G1602" s="2">
        <f>+ABS(D1602)+ABS(E1602)</f>
        <v>0</v>
      </c>
    </row>
    <row r="1603" spans="1:7" s="15" customFormat="1" hidden="1">
      <c r="A1603" s="37" t="s">
        <v>3074</v>
      </c>
      <c r="B1603" s="53" t="s">
        <v>3075</v>
      </c>
      <c r="C1603" s="44"/>
      <c r="D1603" s="40">
        <v>0</v>
      </c>
      <c r="E1603" s="40">
        <v>0</v>
      </c>
      <c r="F1603" s="40">
        <f>+D1603-E1603</f>
        <v>0</v>
      </c>
      <c r="G1603" s="2">
        <f>+ABS(D1603)+ABS(E1603)</f>
        <v>0</v>
      </c>
    </row>
    <row r="1604" spans="1:7" s="15" customFormat="1" hidden="1">
      <c r="A1604" s="37" t="s">
        <v>3076</v>
      </c>
      <c r="B1604" s="53" t="s">
        <v>3077</v>
      </c>
      <c r="C1604" s="44"/>
      <c r="D1604" s="40">
        <v>0</v>
      </c>
      <c r="E1604" s="40">
        <v>0</v>
      </c>
      <c r="F1604" s="40">
        <f>+D1604-E1604</f>
        <v>0</v>
      </c>
      <c r="G1604" s="2">
        <f>+ABS(D1604)+ABS(E1604)</f>
        <v>0</v>
      </c>
    </row>
    <row r="1605" spans="1:7" s="15" customFormat="1" hidden="1">
      <c r="A1605" s="37" t="s">
        <v>3078</v>
      </c>
      <c r="B1605" s="53" t="s">
        <v>3079</v>
      </c>
      <c r="C1605" s="44"/>
      <c r="D1605" s="40">
        <v>0</v>
      </c>
      <c r="E1605" s="40">
        <v>0</v>
      </c>
      <c r="F1605" s="40">
        <f>+D1605-E1605</f>
        <v>0</v>
      </c>
      <c r="G1605" s="2">
        <f>+ABS(D1605)+ABS(E1605)</f>
        <v>0</v>
      </c>
    </row>
    <row r="1606" spans="1:7" s="15" customFormat="1" hidden="1">
      <c r="A1606" s="37" t="s">
        <v>3080</v>
      </c>
      <c r="B1606" s="53" t="s">
        <v>3081</v>
      </c>
      <c r="C1606" s="44"/>
      <c r="D1606" s="40">
        <v>0</v>
      </c>
      <c r="E1606" s="40">
        <v>0</v>
      </c>
      <c r="F1606" s="40">
        <f>+D1606-E1606</f>
        <v>0</v>
      </c>
      <c r="G1606" s="2">
        <f>+ABS(D1606)+ABS(E1606)</f>
        <v>0</v>
      </c>
    </row>
    <row r="1607" spans="1:7" s="15" customFormat="1" hidden="1">
      <c r="A1607" s="37" t="s">
        <v>3082</v>
      </c>
      <c r="B1607" s="53" t="s">
        <v>3083</v>
      </c>
      <c r="C1607" s="44"/>
      <c r="D1607" s="40">
        <v>0</v>
      </c>
      <c r="E1607" s="40">
        <v>0</v>
      </c>
      <c r="F1607" s="40">
        <f>+D1607-E1607</f>
        <v>0</v>
      </c>
      <c r="G1607" s="2">
        <f>+ABS(D1607)+ABS(E1607)</f>
        <v>0</v>
      </c>
    </row>
    <row r="1608" spans="1:7" s="15" customFormat="1" hidden="1">
      <c r="A1608" s="37" t="s">
        <v>3084</v>
      </c>
      <c r="B1608" s="53" t="s">
        <v>3085</v>
      </c>
      <c r="C1608" s="44"/>
      <c r="D1608" s="40">
        <v>0</v>
      </c>
      <c r="E1608" s="40">
        <v>0</v>
      </c>
      <c r="F1608" s="40">
        <f>+D1608-E1608</f>
        <v>0</v>
      </c>
      <c r="G1608" s="2">
        <f>+ABS(D1608)+ABS(E1608)</f>
        <v>0</v>
      </c>
    </row>
    <row r="1609" spans="1:7" s="15" customFormat="1" hidden="1">
      <c r="A1609" s="37" t="s">
        <v>3086</v>
      </c>
      <c r="B1609" s="53" t="s">
        <v>3087</v>
      </c>
      <c r="C1609" s="44"/>
      <c r="D1609" s="40">
        <v>0</v>
      </c>
      <c r="E1609" s="40">
        <v>0</v>
      </c>
      <c r="F1609" s="40">
        <f>+D1609-E1609</f>
        <v>0</v>
      </c>
      <c r="G1609" s="2">
        <f>+ABS(D1609)+ABS(E1609)</f>
        <v>0</v>
      </c>
    </row>
    <row r="1610" spans="1:7" s="15" customFormat="1" hidden="1">
      <c r="A1610" s="37" t="s">
        <v>3088</v>
      </c>
      <c r="B1610" s="53" t="s">
        <v>3089</v>
      </c>
      <c r="C1610" s="44"/>
      <c r="D1610" s="40">
        <v>0</v>
      </c>
      <c r="E1610" s="40">
        <v>0</v>
      </c>
      <c r="F1610" s="40">
        <f>+D1610-E1610</f>
        <v>0</v>
      </c>
      <c r="G1610" s="2">
        <f>+ABS(D1610)+ABS(E1610)</f>
        <v>0</v>
      </c>
    </row>
    <row r="1611" spans="1:7" s="15" customFormat="1" hidden="1">
      <c r="A1611" s="37" t="s">
        <v>3090</v>
      </c>
      <c r="B1611" s="53" t="s">
        <v>3087</v>
      </c>
      <c r="C1611" s="44"/>
      <c r="D1611" s="40">
        <v>0</v>
      </c>
      <c r="E1611" s="40">
        <v>0</v>
      </c>
      <c r="F1611" s="40">
        <f>+D1611-E1611</f>
        <v>0</v>
      </c>
      <c r="G1611" s="2">
        <f>+ABS(D1611)+ABS(E1611)</f>
        <v>0</v>
      </c>
    </row>
    <row r="1612" spans="1:7" s="15" customFormat="1" hidden="1">
      <c r="A1612" s="37" t="s">
        <v>3091</v>
      </c>
      <c r="B1612" s="53" t="s">
        <v>3092</v>
      </c>
      <c r="C1612" s="44"/>
      <c r="D1612" s="40">
        <v>0</v>
      </c>
      <c r="E1612" s="40">
        <v>0</v>
      </c>
      <c r="F1612" s="40">
        <f>+D1612-E1612</f>
        <v>0</v>
      </c>
      <c r="G1612" s="2">
        <f>+ABS(D1612)+ABS(E1612)</f>
        <v>0</v>
      </c>
    </row>
    <row r="1613" spans="1:7" s="15" customFormat="1" hidden="1">
      <c r="A1613" s="37" t="s">
        <v>3093</v>
      </c>
      <c r="B1613" s="53" t="s">
        <v>3094</v>
      </c>
      <c r="C1613" s="44"/>
      <c r="D1613" s="40">
        <v>0</v>
      </c>
      <c r="E1613" s="40">
        <v>0</v>
      </c>
      <c r="F1613" s="40">
        <f>+D1613-E1613</f>
        <v>0</v>
      </c>
      <c r="G1613" s="2">
        <f>+ABS(D1613)+ABS(E1613)</f>
        <v>0</v>
      </c>
    </row>
    <row r="1614" spans="1:7" s="15" customFormat="1" hidden="1">
      <c r="A1614" s="37" t="s">
        <v>3095</v>
      </c>
      <c r="B1614" s="53" t="s">
        <v>3096</v>
      </c>
      <c r="C1614" s="44"/>
      <c r="D1614" s="40">
        <v>0</v>
      </c>
      <c r="E1614" s="40">
        <v>0</v>
      </c>
      <c r="F1614" s="40">
        <f>+D1614-E1614</f>
        <v>0</v>
      </c>
      <c r="G1614" s="2">
        <f>+ABS(D1614)+ABS(E1614)</f>
        <v>0</v>
      </c>
    </row>
    <row r="1615" spans="1:7" s="15" customFormat="1" hidden="1">
      <c r="A1615" s="37" t="s">
        <v>3097</v>
      </c>
      <c r="B1615" s="53" t="s">
        <v>3098</v>
      </c>
      <c r="C1615" s="44"/>
      <c r="D1615" s="40">
        <v>0</v>
      </c>
      <c r="E1615" s="40">
        <v>0</v>
      </c>
      <c r="F1615" s="40">
        <f>+D1615-E1615</f>
        <v>0</v>
      </c>
      <c r="G1615" s="2">
        <f>+ABS(D1615)+ABS(E1615)</f>
        <v>0</v>
      </c>
    </row>
    <row r="1616" spans="1:7" s="15" customFormat="1" hidden="1">
      <c r="A1616" s="37" t="s">
        <v>3099</v>
      </c>
      <c r="B1616" s="53" t="s">
        <v>1805</v>
      </c>
      <c r="C1616" s="44"/>
      <c r="D1616" s="40">
        <v>0</v>
      </c>
      <c r="E1616" s="40">
        <v>0</v>
      </c>
      <c r="F1616" s="40">
        <f>+D1616-E1616</f>
        <v>0</v>
      </c>
      <c r="G1616" s="2">
        <f>+ABS(D1616)+ABS(E1616)</f>
        <v>0</v>
      </c>
    </row>
    <row r="1617" spans="1:7" s="15" customFormat="1" hidden="1">
      <c r="A1617" s="37" t="s">
        <v>3100</v>
      </c>
      <c r="B1617" s="53" t="s">
        <v>1807</v>
      </c>
      <c r="C1617" s="44"/>
      <c r="D1617" s="40">
        <v>0</v>
      </c>
      <c r="E1617" s="40">
        <v>0</v>
      </c>
      <c r="F1617" s="40">
        <f>+D1617-E1617</f>
        <v>0</v>
      </c>
      <c r="G1617" s="2">
        <f>+ABS(D1617)+ABS(E1617)</f>
        <v>0</v>
      </c>
    </row>
    <row r="1618" spans="1:7" s="15" customFormat="1" hidden="1">
      <c r="A1618" s="37" t="s">
        <v>3101</v>
      </c>
      <c r="B1618" s="53" t="s">
        <v>1809</v>
      </c>
      <c r="C1618" s="44"/>
      <c r="D1618" s="40">
        <v>0</v>
      </c>
      <c r="E1618" s="40">
        <v>0</v>
      </c>
      <c r="F1618" s="40">
        <f>+D1618-E1618</f>
        <v>0</v>
      </c>
      <c r="G1618" s="2">
        <f>+ABS(D1618)+ABS(E1618)</f>
        <v>0</v>
      </c>
    </row>
    <row r="1619" spans="1:7" s="15" customFormat="1" hidden="1">
      <c r="A1619" s="37" t="s">
        <v>3102</v>
      </c>
      <c r="B1619" s="53" t="s">
        <v>3103</v>
      </c>
      <c r="C1619" s="44"/>
      <c r="D1619" s="40">
        <v>0</v>
      </c>
      <c r="E1619" s="40">
        <v>0</v>
      </c>
      <c r="F1619" s="40">
        <f>+D1619-E1619</f>
        <v>0</v>
      </c>
      <c r="G1619" s="2">
        <f>+ABS(D1619)+ABS(E1619)</f>
        <v>0</v>
      </c>
    </row>
    <row r="1620" spans="1:7" s="15" customFormat="1" hidden="1">
      <c r="A1620" s="37" t="s">
        <v>3104</v>
      </c>
      <c r="B1620" s="53" t="s">
        <v>3105</v>
      </c>
      <c r="C1620" s="44"/>
      <c r="D1620" s="40">
        <v>0</v>
      </c>
      <c r="E1620" s="40">
        <v>0</v>
      </c>
      <c r="F1620" s="40">
        <f>+D1620-E1620</f>
        <v>0</v>
      </c>
      <c r="G1620" s="2">
        <f>+ABS(D1620)+ABS(E1620)</f>
        <v>0</v>
      </c>
    </row>
    <row r="1621" spans="1:7" s="15" customFormat="1" hidden="1">
      <c r="A1621" s="37" t="s">
        <v>3106</v>
      </c>
      <c r="B1621" s="53" t="s">
        <v>3107</v>
      </c>
      <c r="C1621" s="44"/>
      <c r="D1621" s="40">
        <v>0</v>
      </c>
      <c r="E1621" s="40">
        <v>0</v>
      </c>
      <c r="F1621" s="40">
        <f>+D1621-E1621</f>
        <v>0</v>
      </c>
      <c r="G1621" s="2">
        <f>+ABS(D1621)+ABS(E1621)</f>
        <v>0</v>
      </c>
    </row>
    <row r="1622" spans="1:7" s="15" customFormat="1" hidden="1">
      <c r="A1622" s="37" t="s">
        <v>3108</v>
      </c>
      <c r="B1622" s="53" t="s">
        <v>3109</v>
      </c>
      <c r="C1622" s="44"/>
      <c r="D1622" s="40">
        <v>0</v>
      </c>
      <c r="E1622" s="40">
        <v>0</v>
      </c>
      <c r="F1622" s="40">
        <f>+D1622-E1622</f>
        <v>0</v>
      </c>
      <c r="G1622" s="2">
        <f>+ABS(D1622)+ABS(E1622)</f>
        <v>0</v>
      </c>
    </row>
    <row r="1623" spans="1:7" s="15" customFormat="1" hidden="1">
      <c r="A1623" s="37" t="s">
        <v>3110</v>
      </c>
      <c r="B1623" s="53" t="s">
        <v>3111</v>
      </c>
      <c r="C1623" s="44"/>
      <c r="D1623" s="40">
        <v>0</v>
      </c>
      <c r="E1623" s="40">
        <v>0</v>
      </c>
      <c r="F1623" s="40">
        <f>+D1623-E1623</f>
        <v>0</v>
      </c>
      <c r="G1623" s="2">
        <f>+ABS(D1623)+ABS(E1623)</f>
        <v>0</v>
      </c>
    </row>
    <row r="1624" spans="1:7" s="15" customFormat="1" hidden="1">
      <c r="A1624" s="37" t="s">
        <v>3112</v>
      </c>
      <c r="B1624" s="53" t="s">
        <v>3113</v>
      </c>
      <c r="C1624" s="44"/>
      <c r="D1624" s="40">
        <v>0</v>
      </c>
      <c r="E1624" s="40">
        <v>0</v>
      </c>
      <c r="F1624" s="40">
        <f>+D1624-E1624</f>
        <v>0</v>
      </c>
      <c r="G1624" s="2">
        <f>+ABS(D1624)+ABS(E1624)</f>
        <v>0</v>
      </c>
    </row>
    <row r="1625" spans="1:7" s="15" customFormat="1" hidden="1">
      <c r="A1625" s="37" t="s">
        <v>3114</v>
      </c>
      <c r="B1625" s="53" t="s">
        <v>3115</v>
      </c>
      <c r="C1625" s="44"/>
      <c r="D1625" s="40">
        <v>0</v>
      </c>
      <c r="E1625" s="40">
        <v>0</v>
      </c>
      <c r="F1625" s="40">
        <f>+D1625-E1625</f>
        <v>0</v>
      </c>
      <c r="G1625" s="2">
        <f>+ABS(D1625)+ABS(E1625)</f>
        <v>0</v>
      </c>
    </row>
    <row r="1626" spans="1:7" s="15" customFormat="1" hidden="1">
      <c r="A1626" s="37" t="s">
        <v>3116</v>
      </c>
      <c r="B1626" s="53" t="s">
        <v>3117</v>
      </c>
      <c r="C1626" s="44"/>
      <c r="D1626" s="40">
        <v>0</v>
      </c>
      <c r="E1626" s="40">
        <v>0</v>
      </c>
      <c r="F1626" s="40">
        <f>+D1626-E1626</f>
        <v>0</v>
      </c>
      <c r="G1626" s="2">
        <f>+ABS(D1626)+ABS(E1626)</f>
        <v>0</v>
      </c>
    </row>
    <row r="1627" spans="1:7" s="15" customFormat="1" hidden="1">
      <c r="A1627" s="37" t="s">
        <v>3118</v>
      </c>
      <c r="B1627" s="53" t="s">
        <v>3119</v>
      </c>
      <c r="C1627" s="44"/>
      <c r="D1627" s="40">
        <v>0</v>
      </c>
      <c r="E1627" s="40">
        <v>0</v>
      </c>
      <c r="F1627" s="40">
        <f>+D1627-E1627</f>
        <v>0</v>
      </c>
      <c r="G1627" s="2">
        <f>+ABS(D1627)+ABS(E1627)</f>
        <v>0</v>
      </c>
    </row>
    <row r="1628" spans="1:7" s="15" customFormat="1" hidden="1">
      <c r="A1628" s="37" t="s">
        <v>3120</v>
      </c>
      <c r="B1628" s="53" t="s">
        <v>3121</v>
      </c>
      <c r="C1628" s="44"/>
      <c r="D1628" s="40">
        <v>0</v>
      </c>
      <c r="E1628" s="40">
        <v>0</v>
      </c>
      <c r="F1628" s="40">
        <f>+D1628-E1628</f>
        <v>0</v>
      </c>
      <c r="G1628" s="2">
        <f>+ABS(D1628)+ABS(E1628)</f>
        <v>0</v>
      </c>
    </row>
    <row r="1629" spans="1:7" s="15" customFormat="1" hidden="1">
      <c r="A1629" s="37" t="s">
        <v>3122</v>
      </c>
      <c r="B1629" s="53" t="s">
        <v>3123</v>
      </c>
      <c r="C1629" s="44"/>
      <c r="D1629" s="40">
        <v>0</v>
      </c>
      <c r="E1629" s="40">
        <v>0</v>
      </c>
      <c r="F1629" s="40">
        <f>+D1629-E1629</f>
        <v>0</v>
      </c>
      <c r="G1629" s="2">
        <f>+ABS(D1629)+ABS(E1629)</f>
        <v>0</v>
      </c>
    </row>
    <row r="1630" spans="1:7" s="15" customFormat="1" hidden="1">
      <c r="A1630" s="37" t="s">
        <v>3124</v>
      </c>
      <c r="B1630" s="53" t="s">
        <v>3125</v>
      </c>
      <c r="C1630" s="44"/>
      <c r="D1630" s="40">
        <v>0</v>
      </c>
      <c r="E1630" s="40">
        <v>0</v>
      </c>
      <c r="F1630" s="40">
        <f>+D1630-E1630</f>
        <v>0</v>
      </c>
      <c r="G1630" s="2">
        <f>+ABS(D1630)+ABS(E1630)</f>
        <v>0</v>
      </c>
    </row>
    <row r="1631" spans="1:7" s="15" customFormat="1" hidden="1">
      <c r="A1631" s="37" t="s">
        <v>3126</v>
      </c>
      <c r="B1631" s="53" t="s">
        <v>3127</v>
      </c>
      <c r="C1631" s="44"/>
      <c r="D1631" s="40">
        <v>0</v>
      </c>
      <c r="E1631" s="40">
        <v>0</v>
      </c>
      <c r="F1631" s="40">
        <f>+D1631-E1631</f>
        <v>0</v>
      </c>
      <c r="G1631" s="2">
        <f>+ABS(D1631)+ABS(E1631)</f>
        <v>0</v>
      </c>
    </row>
    <row r="1632" spans="1:7" s="15" customFormat="1" hidden="1">
      <c r="A1632" s="37"/>
      <c r="B1632" s="48"/>
      <c r="C1632" s="44"/>
      <c r="D1632" s="40"/>
      <c r="E1632" s="40"/>
      <c r="F1632" s="40"/>
      <c r="G1632" s="2">
        <f>G1633</f>
        <v>0</v>
      </c>
    </row>
    <row r="1633" spans="1:7" hidden="1">
      <c r="A1633" s="37"/>
      <c r="B1633" s="48" t="s">
        <v>3128</v>
      </c>
      <c r="C1633" s="39"/>
      <c r="D1633" s="45">
        <f>SUM(D1264:D1632)</f>
        <v>0</v>
      </c>
      <c r="E1633" s="45">
        <f>SUM(E1264:E1632)</f>
        <v>0</v>
      </c>
      <c r="F1633" s="45">
        <f>+D1633-E1633</f>
        <v>0</v>
      </c>
      <c r="G1633" s="2">
        <f>+ABS(D1633)+ABS(E1633)</f>
        <v>0</v>
      </c>
    </row>
    <row r="1634" spans="1:7" hidden="1">
      <c r="A1634" s="37"/>
      <c r="B1634" s="48"/>
      <c r="C1634" s="39"/>
      <c r="D1634" s="40"/>
      <c r="E1634" s="40"/>
      <c r="F1634" s="40"/>
      <c r="G1634" s="2">
        <f>G1633</f>
        <v>0</v>
      </c>
    </row>
    <row r="1635" spans="1:7" s="15" customFormat="1" hidden="1">
      <c r="A1635" s="42" t="s">
        <v>11</v>
      </c>
      <c r="B1635" s="49" t="s">
        <v>3129</v>
      </c>
      <c r="C1635" s="44"/>
      <c r="D1635" s="45">
        <f>D1261+D1633</f>
        <v>77027662.569999993</v>
      </c>
      <c r="E1635" s="45">
        <f>E1261+E1633</f>
        <v>77022855.75</v>
      </c>
      <c r="F1635" s="45">
        <f>+D1635-E1635</f>
        <v>4806.8199999928502</v>
      </c>
      <c r="G1635" s="2">
        <f>G1634</f>
        <v>0</v>
      </c>
    </row>
    <row r="1636" spans="1:7" hidden="1">
      <c r="A1636" s="42"/>
      <c r="B1636" s="39"/>
      <c r="C1636" s="39"/>
      <c r="D1636" s="40"/>
      <c r="E1636" s="40"/>
      <c r="F1636" s="40"/>
      <c r="G1636" s="2">
        <f>G1635</f>
        <v>0</v>
      </c>
    </row>
    <row r="1637" spans="1:7" s="15" customFormat="1">
      <c r="A1637" s="46" t="s">
        <v>11</v>
      </c>
      <c r="B1637" s="44" t="s">
        <v>3130</v>
      </c>
      <c r="C1637" s="44"/>
      <c r="D1637" s="40"/>
      <c r="E1637" s="40"/>
      <c r="F1637" s="40"/>
      <c r="G1637" s="2">
        <f>G1666</f>
        <v>2721348.3</v>
      </c>
    </row>
    <row r="1638" spans="1:7" hidden="1">
      <c r="A1638" s="37"/>
      <c r="B1638" s="38"/>
      <c r="C1638" s="39"/>
      <c r="D1638" s="40"/>
      <c r="E1638" s="40"/>
      <c r="F1638" s="40"/>
    </row>
    <row r="1639" spans="1:7" hidden="1">
      <c r="A1639" s="37" t="s">
        <v>3131</v>
      </c>
      <c r="B1639" s="38" t="s">
        <v>3132</v>
      </c>
      <c r="C1639" s="39"/>
      <c r="D1639" s="40">
        <v>0</v>
      </c>
      <c r="E1639" s="40">
        <v>0</v>
      </c>
      <c r="F1639" s="40">
        <f>+D1639-E1639</f>
        <v>0</v>
      </c>
      <c r="G1639" s="2">
        <f>+ABS(D1639)+ABS(E1639)</f>
        <v>0</v>
      </c>
    </row>
    <row r="1640" spans="1:7">
      <c r="A1640" s="37" t="s">
        <v>3133</v>
      </c>
      <c r="B1640" s="38" t="s">
        <v>3134</v>
      </c>
      <c r="C1640" s="39"/>
      <c r="D1640" s="40">
        <v>1360674.15</v>
      </c>
      <c r="E1640" s="40">
        <v>1360674.15</v>
      </c>
      <c r="F1640" s="40">
        <f>+D1640-E1640</f>
        <v>0</v>
      </c>
      <c r="G1640" s="2">
        <f>+ABS(D1640)+ABS(E1640)</f>
        <v>2721348.3</v>
      </c>
    </row>
    <row r="1641" spans="1:7" hidden="1">
      <c r="A1641" s="37" t="s">
        <v>3135</v>
      </c>
      <c r="B1641" s="38" t="s">
        <v>3136</v>
      </c>
      <c r="C1641" s="39"/>
      <c r="D1641" s="40">
        <v>0</v>
      </c>
      <c r="E1641" s="40">
        <v>0</v>
      </c>
      <c r="F1641" s="40">
        <f>+D1641-E1641</f>
        <v>0</v>
      </c>
      <c r="G1641" s="2">
        <f>+ABS(D1641)+ABS(E1641)</f>
        <v>0</v>
      </c>
    </row>
    <row r="1642" spans="1:7" hidden="1">
      <c r="A1642" s="37" t="s">
        <v>3137</v>
      </c>
      <c r="B1642" s="38" t="s">
        <v>3138</v>
      </c>
      <c r="C1642" s="39"/>
      <c r="D1642" s="40">
        <v>0</v>
      </c>
      <c r="E1642" s="40">
        <v>0</v>
      </c>
      <c r="F1642" s="40">
        <f>+D1642-E1642</f>
        <v>0</v>
      </c>
      <c r="G1642" s="2">
        <f>+ABS(D1642)+ABS(E1642)</f>
        <v>0</v>
      </c>
    </row>
    <row r="1643" spans="1:7" hidden="1">
      <c r="A1643" s="37" t="s">
        <v>3139</v>
      </c>
      <c r="B1643" s="38" t="s">
        <v>3140</v>
      </c>
      <c r="C1643" s="39"/>
      <c r="D1643" s="40">
        <v>0</v>
      </c>
      <c r="E1643" s="40">
        <v>0</v>
      </c>
      <c r="F1643" s="40">
        <f>+D1643-E1643</f>
        <v>0</v>
      </c>
      <c r="G1643" s="2">
        <f>+ABS(D1643)+ABS(E1643)</f>
        <v>0</v>
      </c>
    </row>
    <row r="1644" spans="1:7">
      <c r="A1644" s="37" t="s">
        <v>3141</v>
      </c>
      <c r="B1644" s="38" t="s">
        <v>3142</v>
      </c>
      <c r="C1644" s="39"/>
      <c r="D1644" s="40">
        <v>127500</v>
      </c>
      <c r="E1644" s="40">
        <v>127500</v>
      </c>
      <c r="F1644" s="40">
        <f>+D1644-E1644</f>
        <v>0</v>
      </c>
      <c r="G1644" s="2">
        <f>+ABS(D1644)+ABS(E1644)</f>
        <v>255000</v>
      </c>
    </row>
    <row r="1645" spans="1:7">
      <c r="A1645" s="37" t="s">
        <v>3143</v>
      </c>
      <c r="B1645" s="38" t="s">
        <v>3144</v>
      </c>
      <c r="C1645" s="39"/>
      <c r="D1645" s="40">
        <v>664965</v>
      </c>
      <c r="E1645" s="40">
        <v>664965</v>
      </c>
      <c r="F1645" s="40">
        <f>+D1645-E1645</f>
        <v>0</v>
      </c>
      <c r="G1645" s="2">
        <f>+ABS(D1645)+ABS(E1645)</f>
        <v>1329930</v>
      </c>
    </row>
    <row r="1646" spans="1:7" hidden="1">
      <c r="A1646" s="37" t="s">
        <v>3145</v>
      </c>
      <c r="B1646" s="38" t="s">
        <v>3146</v>
      </c>
      <c r="C1646" s="39"/>
      <c r="D1646" s="40">
        <v>0</v>
      </c>
      <c r="E1646" s="40">
        <v>0</v>
      </c>
      <c r="F1646" s="40">
        <f>+D1646-E1646</f>
        <v>0</v>
      </c>
      <c r="G1646" s="2">
        <f>+ABS(D1646)+ABS(E1646)</f>
        <v>0</v>
      </c>
    </row>
    <row r="1647" spans="1:7" hidden="1">
      <c r="A1647" s="37" t="s">
        <v>3147</v>
      </c>
      <c r="B1647" s="38" t="s">
        <v>3148</v>
      </c>
      <c r="C1647" s="39"/>
      <c r="D1647" s="40">
        <v>0</v>
      </c>
      <c r="E1647" s="40">
        <v>0</v>
      </c>
      <c r="F1647" s="40">
        <f>+D1647-E1647</f>
        <v>0</v>
      </c>
      <c r="G1647" s="2">
        <f>+ABS(D1647)+ABS(E1647)</f>
        <v>0</v>
      </c>
    </row>
    <row r="1648" spans="1:7" hidden="1">
      <c r="A1648" s="37" t="s">
        <v>3149</v>
      </c>
      <c r="B1648" s="38" t="s">
        <v>3150</v>
      </c>
      <c r="C1648" s="39"/>
      <c r="D1648" s="40">
        <v>0</v>
      </c>
      <c r="E1648" s="40">
        <v>0</v>
      </c>
      <c r="F1648" s="40">
        <f>+D1648-E1648</f>
        <v>0</v>
      </c>
      <c r="G1648" s="2">
        <f>+ABS(D1648)+ABS(E1648)</f>
        <v>0</v>
      </c>
    </row>
    <row r="1649" spans="1:7" hidden="1">
      <c r="A1649" s="37" t="s">
        <v>3151</v>
      </c>
      <c r="B1649" s="38" t="s">
        <v>3152</v>
      </c>
      <c r="C1649" s="39"/>
      <c r="D1649" s="40">
        <v>0</v>
      </c>
      <c r="E1649" s="40">
        <v>0</v>
      </c>
      <c r="F1649" s="40">
        <f>+D1649-E1649</f>
        <v>0</v>
      </c>
      <c r="G1649" s="2">
        <f>+ABS(D1649)+ABS(E1649)</f>
        <v>0</v>
      </c>
    </row>
    <row r="1650" spans="1:7" hidden="1">
      <c r="A1650" s="37" t="s">
        <v>3153</v>
      </c>
      <c r="B1650" s="38" t="s">
        <v>3154</v>
      </c>
      <c r="C1650" s="39"/>
      <c r="D1650" s="40">
        <v>0</v>
      </c>
      <c r="E1650" s="40">
        <v>0</v>
      </c>
      <c r="F1650" s="40">
        <f>+D1650-E1650</f>
        <v>0</v>
      </c>
      <c r="G1650" s="2">
        <f>+ABS(D1650)+ABS(E1650)</f>
        <v>0</v>
      </c>
    </row>
    <row r="1651" spans="1:7" hidden="1">
      <c r="A1651" s="37" t="s">
        <v>3155</v>
      </c>
      <c r="B1651" s="38" t="s">
        <v>3156</v>
      </c>
      <c r="C1651" s="39"/>
      <c r="D1651" s="40">
        <v>0</v>
      </c>
      <c r="E1651" s="40">
        <v>0</v>
      </c>
      <c r="F1651" s="40">
        <f>+D1651-E1651</f>
        <v>0</v>
      </c>
      <c r="G1651" s="2">
        <f>+ABS(D1651)+ABS(E1651)</f>
        <v>0</v>
      </c>
    </row>
    <row r="1652" spans="1:7" hidden="1">
      <c r="A1652" s="37" t="s">
        <v>3157</v>
      </c>
      <c r="B1652" s="38" t="s">
        <v>3158</v>
      </c>
      <c r="C1652" s="39"/>
      <c r="D1652" s="40">
        <v>0</v>
      </c>
      <c r="E1652" s="40">
        <v>0</v>
      </c>
      <c r="F1652" s="40">
        <f>+D1652-E1652</f>
        <v>0</v>
      </c>
      <c r="G1652" s="2">
        <f>+ABS(D1652)+ABS(E1652)</f>
        <v>0</v>
      </c>
    </row>
    <row r="1653" spans="1:7" hidden="1">
      <c r="A1653" s="37" t="s">
        <v>3159</v>
      </c>
      <c r="B1653" s="38" t="s">
        <v>3160</v>
      </c>
      <c r="C1653" s="39"/>
      <c r="D1653" s="40">
        <v>0</v>
      </c>
      <c r="E1653" s="40">
        <v>0</v>
      </c>
      <c r="F1653" s="40">
        <f>+D1653-E1653</f>
        <v>0</v>
      </c>
      <c r="G1653" s="2">
        <f>+ABS(D1653)+ABS(E1653)</f>
        <v>0</v>
      </c>
    </row>
    <row r="1654" spans="1:7">
      <c r="A1654" s="37" t="s">
        <v>3161</v>
      </c>
      <c r="B1654" s="38" t="s">
        <v>3162</v>
      </c>
      <c r="C1654" s="39"/>
      <c r="D1654" s="40">
        <v>-792465</v>
      </c>
      <c r="E1654" s="40">
        <v>-792465</v>
      </c>
      <c r="F1654" s="40">
        <f>+D1654-E1654</f>
        <v>0</v>
      </c>
      <c r="G1654" s="2">
        <f>+ABS(D1654)+ABS(E1654)</f>
        <v>1584930</v>
      </c>
    </row>
    <row r="1655" spans="1:7" hidden="1">
      <c r="A1655" s="37" t="s">
        <v>3163</v>
      </c>
      <c r="B1655" s="38" t="s">
        <v>3164</v>
      </c>
      <c r="C1655" s="39"/>
      <c r="D1655" s="40">
        <v>0</v>
      </c>
      <c r="E1655" s="40">
        <v>0</v>
      </c>
      <c r="F1655" s="40">
        <f>+D1655-E1655</f>
        <v>0</v>
      </c>
      <c r="G1655" s="2">
        <f>+ABS(D1655)+ABS(E1655)</f>
        <v>0</v>
      </c>
    </row>
    <row r="1656" spans="1:7" hidden="1">
      <c r="A1656" s="37" t="s">
        <v>3165</v>
      </c>
      <c r="B1656" s="38" t="s">
        <v>3166</v>
      </c>
      <c r="C1656" s="39"/>
      <c r="D1656" s="40">
        <v>0</v>
      </c>
      <c r="E1656" s="40">
        <v>0</v>
      </c>
      <c r="F1656" s="40">
        <f>+D1656-E1656</f>
        <v>0</v>
      </c>
      <c r="G1656" s="2">
        <f>+ABS(D1656)+ABS(E1656)</f>
        <v>0</v>
      </c>
    </row>
    <row r="1657" spans="1:7" hidden="1">
      <c r="A1657" s="37" t="s">
        <v>3167</v>
      </c>
      <c r="B1657" s="38" t="s">
        <v>3168</v>
      </c>
      <c r="C1657" s="39"/>
      <c r="D1657" s="40">
        <v>0</v>
      </c>
      <c r="E1657" s="40">
        <v>0</v>
      </c>
      <c r="F1657" s="40">
        <f>+D1657-E1657</f>
        <v>0</v>
      </c>
      <c r="G1657" s="2">
        <f>+ABS(D1657)+ABS(E1657)</f>
        <v>0</v>
      </c>
    </row>
    <row r="1658" spans="1:7" hidden="1">
      <c r="A1658" s="37" t="s">
        <v>3169</v>
      </c>
      <c r="B1658" s="38" t="s">
        <v>3144</v>
      </c>
      <c r="C1658" s="39"/>
      <c r="D1658" s="40">
        <v>0</v>
      </c>
      <c r="E1658" s="40">
        <v>0</v>
      </c>
      <c r="F1658" s="40">
        <f>+D1658-E1658</f>
        <v>0</v>
      </c>
      <c r="G1658" s="2">
        <f>+ABS(D1658)+ABS(E1658)</f>
        <v>0</v>
      </c>
    </row>
    <row r="1659" spans="1:7" hidden="1">
      <c r="A1659" s="37" t="s">
        <v>3170</v>
      </c>
      <c r="B1659" s="38" t="s">
        <v>3171</v>
      </c>
      <c r="C1659" s="39"/>
      <c r="D1659" s="40">
        <v>0</v>
      </c>
      <c r="E1659" s="40">
        <v>0</v>
      </c>
      <c r="F1659" s="40">
        <f>+D1659-E1659</f>
        <v>0</v>
      </c>
      <c r="G1659" s="2">
        <f>+ABS(D1659)+ABS(E1659)</f>
        <v>0</v>
      </c>
    </row>
    <row r="1660" spans="1:7" hidden="1">
      <c r="A1660" s="37" t="s">
        <v>3172</v>
      </c>
      <c r="B1660" s="38" t="s">
        <v>3173</v>
      </c>
      <c r="C1660" s="39"/>
      <c r="D1660" s="40">
        <v>0</v>
      </c>
      <c r="E1660" s="40">
        <v>0</v>
      </c>
      <c r="F1660" s="40">
        <f>+D1660-E1660</f>
        <v>0</v>
      </c>
      <c r="G1660" s="2">
        <f>+ABS(D1660)+ABS(E1660)</f>
        <v>0</v>
      </c>
    </row>
    <row r="1661" spans="1:7" hidden="1">
      <c r="A1661" s="37" t="s">
        <v>3174</v>
      </c>
      <c r="B1661" s="38" t="s">
        <v>3175</v>
      </c>
      <c r="C1661" s="39"/>
      <c r="D1661" s="40">
        <v>0</v>
      </c>
      <c r="E1661" s="40">
        <v>0</v>
      </c>
      <c r="F1661" s="40">
        <f>+D1661-E1661</f>
        <v>0</v>
      </c>
      <c r="G1661" s="2">
        <f>+ABS(D1661)+ABS(E1661)</f>
        <v>0</v>
      </c>
    </row>
    <row r="1662" spans="1:7" hidden="1">
      <c r="A1662" s="37" t="s">
        <v>3176</v>
      </c>
      <c r="B1662" s="38" t="s">
        <v>3177</v>
      </c>
      <c r="C1662" s="39"/>
      <c r="D1662" s="40">
        <v>0</v>
      </c>
      <c r="E1662" s="40">
        <v>0</v>
      </c>
      <c r="F1662" s="40">
        <f>+D1662-E1662</f>
        <v>0</v>
      </c>
      <c r="G1662" s="2">
        <f>+ABS(D1662)+ABS(E1662)</f>
        <v>0</v>
      </c>
    </row>
    <row r="1663" spans="1:7" hidden="1">
      <c r="A1663" s="37" t="s">
        <v>3178</v>
      </c>
      <c r="B1663" s="38" t="s">
        <v>3179</v>
      </c>
      <c r="C1663" s="39"/>
      <c r="D1663" s="40">
        <v>0</v>
      </c>
      <c r="E1663" s="40">
        <v>0</v>
      </c>
      <c r="F1663" s="40">
        <f>+D1663-E1663</f>
        <v>0</v>
      </c>
      <c r="G1663" s="2">
        <f>+ABS(D1663)+ABS(E1663)</f>
        <v>0</v>
      </c>
    </row>
    <row r="1664" spans="1:7" hidden="1">
      <c r="A1664" s="37" t="s">
        <v>3180</v>
      </c>
      <c r="B1664" s="38" t="s">
        <v>3181</v>
      </c>
      <c r="C1664" s="39"/>
      <c r="D1664" s="40">
        <v>0</v>
      </c>
      <c r="E1664" s="40">
        <v>0</v>
      </c>
      <c r="F1664" s="40">
        <f>+D1664-E1664</f>
        <v>0</v>
      </c>
      <c r="G1664" s="2">
        <f>+ABS(D1664)+ABS(E1664)</f>
        <v>0</v>
      </c>
    </row>
    <row r="1665" spans="1:7">
      <c r="A1665" s="37"/>
      <c r="B1665" s="48"/>
      <c r="C1665" s="39"/>
      <c r="D1665" s="40"/>
      <c r="E1665" s="40"/>
      <c r="F1665" s="40"/>
      <c r="G1665" s="2">
        <f>+G1666</f>
        <v>2721348.3</v>
      </c>
    </row>
    <row r="1666" spans="1:7" s="15" customFormat="1">
      <c r="A1666" s="54" t="s">
        <v>11</v>
      </c>
      <c r="B1666" s="55" t="s">
        <v>3182</v>
      </c>
      <c r="C1666" s="44"/>
      <c r="D1666" s="45">
        <f>SUM(D1638:D1665)</f>
        <v>1360674.15</v>
      </c>
      <c r="E1666" s="45">
        <f>SUM(E1638:E1665)</f>
        <v>1360674.15</v>
      </c>
      <c r="F1666" s="45">
        <f>+D1666-E1666</f>
        <v>0</v>
      </c>
      <c r="G1666" s="2">
        <f>+ABS(D1666)+ABS(E1666)</f>
        <v>2721348.3</v>
      </c>
    </row>
    <row r="1667" spans="1:7">
      <c r="A1667" s="54"/>
      <c r="B1667" s="56"/>
      <c r="C1667" s="39"/>
      <c r="D1667" s="40"/>
      <c r="E1667" s="40"/>
      <c r="F1667" s="40"/>
      <c r="G1667" s="2">
        <f>G1666</f>
        <v>2721348.3</v>
      </c>
    </row>
    <row r="1668" spans="1:7" s="15" customFormat="1" hidden="1">
      <c r="A1668" s="46" t="s">
        <v>11</v>
      </c>
      <c r="B1668" s="44" t="s">
        <v>807</v>
      </c>
      <c r="C1668" s="44"/>
      <c r="D1668" s="40"/>
      <c r="E1668" s="40"/>
      <c r="F1668" s="40"/>
      <c r="G1668" s="2">
        <f>G1669</f>
        <v>0</v>
      </c>
    </row>
    <row r="1669" spans="1:7" hidden="1">
      <c r="A1669" s="37"/>
      <c r="B1669" s="38"/>
      <c r="C1669" s="39"/>
      <c r="D1669" s="40"/>
      <c r="E1669" s="40"/>
      <c r="F1669" s="40"/>
    </row>
    <row r="1670" spans="1:7" hidden="1">
      <c r="A1670" s="37" t="s">
        <v>3183</v>
      </c>
      <c r="B1670" s="38" t="s">
        <v>3184</v>
      </c>
      <c r="C1670" s="39"/>
      <c r="D1670" s="40">
        <v>0</v>
      </c>
      <c r="E1670" s="40">
        <v>0</v>
      </c>
      <c r="F1670" s="40">
        <f>+D1670-E1670</f>
        <v>0</v>
      </c>
      <c r="G1670" s="2">
        <f>+ABS(D1670)+ABS(E1670)</f>
        <v>0</v>
      </c>
    </row>
    <row r="1671" spans="1:7" hidden="1">
      <c r="A1671" s="37" t="s">
        <v>3185</v>
      </c>
      <c r="B1671" s="38" t="s">
        <v>3186</v>
      </c>
      <c r="C1671" s="39"/>
      <c r="D1671" s="40">
        <v>0</v>
      </c>
      <c r="E1671" s="40">
        <v>0</v>
      </c>
      <c r="F1671" s="40">
        <f>+D1671-E1671</f>
        <v>0</v>
      </c>
      <c r="G1671" s="2">
        <f>+ABS(D1671)+ABS(E1671)</f>
        <v>0</v>
      </c>
    </row>
    <row r="1672" spans="1:7">
      <c r="A1672" s="37" t="s">
        <v>3187</v>
      </c>
      <c r="B1672" s="38" t="s">
        <v>3188</v>
      </c>
      <c r="C1672" s="39"/>
      <c r="D1672" s="40">
        <v>194833.35</v>
      </c>
      <c r="E1672" s="40">
        <v>46666.68</v>
      </c>
      <c r="F1672" s="40">
        <f>+D1672-E1672</f>
        <v>148166.67000000001</v>
      </c>
      <c r="G1672" s="2">
        <f>+ABS(D1672)+ABS(E1672)</f>
        <v>241500.03</v>
      </c>
    </row>
    <row r="1673" spans="1:7">
      <c r="A1673" s="37" t="s">
        <v>3189</v>
      </c>
      <c r="B1673" s="38" t="s">
        <v>3190</v>
      </c>
      <c r="C1673" s="39"/>
      <c r="D1673" s="40">
        <v>23880</v>
      </c>
      <c r="E1673" s="40">
        <v>23880</v>
      </c>
      <c r="F1673" s="40">
        <f>+D1673-E1673</f>
        <v>0</v>
      </c>
      <c r="G1673" s="2">
        <f>+ABS(D1673)+ABS(E1673)</f>
        <v>47760</v>
      </c>
    </row>
    <row r="1674" spans="1:7" hidden="1">
      <c r="A1674" s="37" t="s">
        <v>3191</v>
      </c>
      <c r="B1674" s="38" t="s">
        <v>3192</v>
      </c>
      <c r="C1674" s="39"/>
      <c r="D1674" s="40">
        <v>0</v>
      </c>
      <c r="E1674" s="40">
        <v>0</v>
      </c>
      <c r="F1674" s="40">
        <f>+D1674-E1674</f>
        <v>0</v>
      </c>
      <c r="G1674" s="2">
        <f>+ABS(D1674)+ABS(E1674)</f>
        <v>0</v>
      </c>
    </row>
    <row r="1675" spans="1:7" hidden="1">
      <c r="A1675" s="37" t="s">
        <v>3193</v>
      </c>
      <c r="B1675" s="38" t="s">
        <v>3194</v>
      </c>
      <c r="C1675" s="39"/>
      <c r="D1675" s="40">
        <v>0</v>
      </c>
      <c r="E1675" s="40">
        <v>0</v>
      </c>
      <c r="F1675" s="40">
        <f>+D1675-E1675</f>
        <v>0</v>
      </c>
      <c r="G1675" s="2">
        <f>+ABS(D1675)+ABS(E1675)</f>
        <v>0</v>
      </c>
    </row>
    <row r="1676" spans="1:7" hidden="1">
      <c r="A1676" s="37" t="s">
        <v>3195</v>
      </c>
      <c r="B1676" s="38" t="s">
        <v>3196</v>
      </c>
      <c r="C1676" s="39"/>
      <c r="D1676" s="40">
        <v>0</v>
      </c>
      <c r="E1676" s="40">
        <v>0</v>
      </c>
      <c r="F1676" s="40">
        <f>+D1676-E1676</f>
        <v>0</v>
      </c>
      <c r="G1676" s="2">
        <f>+ABS(D1676)+ABS(E1676)</f>
        <v>0</v>
      </c>
    </row>
    <row r="1677" spans="1:7" hidden="1">
      <c r="A1677" s="37" t="s">
        <v>3197</v>
      </c>
      <c r="B1677" s="38" t="s">
        <v>3198</v>
      </c>
      <c r="C1677" s="39"/>
      <c r="D1677" s="40">
        <v>0</v>
      </c>
      <c r="E1677" s="40">
        <v>0</v>
      </c>
      <c r="F1677" s="40">
        <f>+D1677-E1677</f>
        <v>0</v>
      </c>
      <c r="G1677" s="2">
        <f>+ABS(D1677)+ABS(E1677)</f>
        <v>0</v>
      </c>
    </row>
    <row r="1678" spans="1:7" hidden="1">
      <c r="A1678" s="37" t="s">
        <v>3199</v>
      </c>
      <c r="B1678" s="38" t="s">
        <v>3200</v>
      </c>
      <c r="C1678" s="39"/>
      <c r="D1678" s="40">
        <v>0</v>
      </c>
      <c r="E1678" s="40">
        <v>0</v>
      </c>
      <c r="F1678" s="40">
        <f>+D1678-E1678</f>
        <v>0</v>
      </c>
      <c r="G1678" s="2">
        <f>+ABS(D1678)+ABS(E1678)</f>
        <v>0</v>
      </c>
    </row>
    <row r="1679" spans="1:7" hidden="1">
      <c r="A1679" s="37" t="s">
        <v>3201</v>
      </c>
      <c r="B1679" s="38" t="s">
        <v>3202</v>
      </c>
      <c r="C1679" s="39"/>
      <c r="D1679" s="40">
        <v>0</v>
      </c>
      <c r="E1679" s="40">
        <v>0</v>
      </c>
      <c r="F1679" s="40">
        <f>+D1679-E1679</f>
        <v>0</v>
      </c>
      <c r="G1679" s="2">
        <f>+ABS(D1679)+ABS(E1679)</f>
        <v>0</v>
      </c>
    </row>
    <row r="1680" spans="1:7" hidden="1">
      <c r="A1680" s="37" t="s">
        <v>3203</v>
      </c>
      <c r="B1680" s="38" t="s">
        <v>3204</v>
      </c>
      <c r="C1680" s="39"/>
      <c r="D1680" s="40">
        <v>0</v>
      </c>
      <c r="E1680" s="40">
        <v>0</v>
      </c>
      <c r="F1680" s="40">
        <f>+D1680-E1680</f>
        <v>0</v>
      </c>
      <c r="G1680" s="2">
        <f>+ABS(D1680)+ABS(E1680)</f>
        <v>0</v>
      </c>
    </row>
    <row r="1681" spans="1:7" hidden="1">
      <c r="A1681" s="37" t="s">
        <v>3205</v>
      </c>
      <c r="B1681" s="38" t="s">
        <v>3206</v>
      </c>
      <c r="C1681" s="39"/>
      <c r="D1681" s="40">
        <v>0</v>
      </c>
      <c r="E1681" s="40">
        <v>0</v>
      </c>
      <c r="F1681" s="40">
        <f>+D1681-E1681</f>
        <v>0</v>
      </c>
      <c r="G1681" s="2">
        <f>+ABS(D1681)+ABS(E1681)</f>
        <v>0</v>
      </c>
    </row>
    <row r="1682" spans="1:7" hidden="1">
      <c r="A1682" s="37" t="s">
        <v>3207</v>
      </c>
      <c r="B1682" s="38" t="s">
        <v>3208</v>
      </c>
      <c r="C1682" s="39"/>
      <c r="D1682" s="40">
        <v>0</v>
      </c>
      <c r="E1682" s="40">
        <v>0</v>
      </c>
      <c r="F1682" s="40">
        <f>+D1682-E1682</f>
        <v>0</v>
      </c>
      <c r="G1682" s="2">
        <f>+ABS(D1682)+ABS(E1682)</f>
        <v>0</v>
      </c>
    </row>
    <row r="1683" spans="1:7">
      <c r="A1683" s="37"/>
      <c r="B1683" s="48"/>
      <c r="C1683" s="39"/>
      <c r="D1683" s="40"/>
      <c r="E1683" s="40"/>
      <c r="F1683" s="40"/>
      <c r="G1683" s="2">
        <f>G1684</f>
        <v>289260.03000000003</v>
      </c>
    </row>
    <row r="1684" spans="1:7" s="15" customFormat="1">
      <c r="A1684" s="42"/>
      <c r="B1684" s="49" t="s">
        <v>3209</v>
      </c>
      <c r="C1684" s="44"/>
      <c r="D1684" s="45">
        <f>SUM(D1669:D1683)</f>
        <v>218713.35</v>
      </c>
      <c r="E1684" s="45">
        <f>SUM(E1669:E1683)</f>
        <v>70546.679999999993</v>
      </c>
      <c r="F1684" s="45">
        <f>+D1684-E1684</f>
        <v>148166.67000000001</v>
      </c>
      <c r="G1684" s="2">
        <f>+ABS(D1684)+ABS(E1684)</f>
        <v>289260.03000000003</v>
      </c>
    </row>
    <row r="1685" spans="1:7">
      <c r="A1685" s="42"/>
      <c r="B1685" s="39"/>
      <c r="C1685" s="39"/>
      <c r="D1685" s="40"/>
      <c r="E1685" s="40"/>
      <c r="F1685" s="40"/>
      <c r="G1685" s="2">
        <f>G1686</f>
        <v>157061126.65000001</v>
      </c>
    </row>
    <row r="1686" spans="1:7" s="15" customFormat="1">
      <c r="A1686" s="42" t="s">
        <v>11</v>
      </c>
      <c r="B1686" s="43" t="s">
        <v>3210</v>
      </c>
      <c r="C1686" s="44"/>
      <c r="D1686" s="45">
        <f>+D454+D621+D702+D1635+D1666+D1684</f>
        <v>78607050.069999993</v>
      </c>
      <c r="E1686" s="45">
        <f>+E454+E621+E702+E1635+E1666+E1684</f>
        <v>78454076.579999998</v>
      </c>
      <c r="F1686" s="45">
        <f>+D1686-E1686</f>
        <v>152973.48999998</v>
      </c>
      <c r="G1686" s="2">
        <f>+ABS(D1686)+ABS(E1686)</f>
        <v>157061126.65000001</v>
      </c>
    </row>
    <row r="1687" spans="1:7">
      <c r="A1687" s="42"/>
      <c r="B1687" s="39"/>
      <c r="C1687" s="39"/>
      <c r="D1687" s="40"/>
      <c r="E1687" s="40"/>
      <c r="F1687" s="40"/>
      <c r="G1687" s="2">
        <f>G1688</f>
        <v>160087438.03999999</v>
      </c>
    </row>
    <row r="1688" spans="1:7" ht="15.75">
      <c r="A1688" s="42" t="s">
        <v>11</v>
      </c>
      <c r="B1688" s="47" t="s">
        <v>3211</v>
      </c>
      <c r="C1688" s="39"/>
      <c r="D1688" s="57">
        <f>+D429+D1686</f>
        <v>80001343.930000007</v>
      </c>
      <c r="E1688" s="57">
        <f>+E429+E1686</f>
        <v>80086094.109999999</v>
      </c>
      <c r="F1688" s="57">
        <f>+D1688-E1688</f>
        <v>-84750.180000022097</v>
      </c>
      <c r="G1688" s="2">
        <f>+ABS(D1688)+ABS(E1688)</f>
        <v>160087438.03999999</v>
      </c>
    </row>
    <row r="1689" spans="1:7" ht="15.75">
      <c r="A1689" s="42"/>
      <c r="B1689" s="39"/>
      <c r="C1689" s="39"/>
      <c r="D1689" s="40"/>
      <c r="E1689" s="40"/>
      <c r="F1689" s="40"/>
      <c r="G1689" s="2">
        <f>G1688</f>
        <v>160087438.03999999</v>
      </c>
    </row>
    <row r="1690" spans="1:7">
      <c r="A1690" s="36" t="s">
        <v>11</v>
      </c>
      <c r="B1690" s="47" t="s">
        <v>3212</v>
      </c>
      <c r="C1690" s="39"/>
      <c r="D1690" s="40"/>
      <c r="E1690" s="40"/>
      <c r="F1690" s="40"/>
      <c r="G1690" s="2">
        <f>G2170</f>
        <v>160087438.03999999</v>
      </c>
    </row>
    <row r="1691" spans="1:7">
      <c r="A1691" s="36"/>
      <c r="B1691" s="58"/>
      <c r="C1691" s="39"/>
      <c r="D1691" s="40"/>
      <c r="E1691" s="40"/>
      <c r="F1691" s="40"/>
      <c r="G1691" s="2">
        <f>G1692</f>
        <v>1350532.11</v>
      </c>
    </row>
    <row r="1692" spans="1:7" s="15" customFormat="1">
      <c r="A1692" s="46" t="s">
        <v>11</v>
      </c>
      <c r="B1692" s="47" t="s">
        <v>3213</v>
      </c>
      <c r="C1692" s="44"/>
      <c r="D1692" s="40"/>
      <c r="E1692" s="40"/>
      <c r="F1692" s="40"/>
      <c r="G1692" s="2">
        <f>G1806</f>
        <v>1350532.11</v>
      </c>
    </row>
    <row r="1693" spans="1:7" s="15" customFormat="1">
      <c r="A1693" s="46"/>
      <c r="B1693" s="47"/>
      <c r="C1693" s="44"/>
      <c r="D1693" s="40"/>
      <c r="E1693" s="40"/>
      <c r="F1693" s="40"/>
      <c r="G1693" s="2">
        <f>G1806</f>
        <v>1350532.11</v>
      </c>
    </row>
    <row r="1694" spans="1:7" s="15" customFormat="1">
      <c r="A1694" s="46" t="s">
        <v>11</v>
      </c>
      <c r="B1694" s="44" t="s">
        <v>3214</v>
      </c>
      <c r="C1694" s="44"/>
      <c r="D1694" s="40"/>
      <c r="E1694" s="40"/>
      <c r="F1694" s="40"/>
      <c r="G1694" s="2">
        <f>G1722</f>
        <v>57865.91</v>
      </c>
    </row>
    <row r="1695" spans="1:7" hidden="1">
      <c r="A1695" s="37"/>
      <c r="B1695" s="38"/>
      <c r="C1695" s="39"/>
      <c r="D1695" s="40"/>
      <c r="E1695" s="40"/>
      <c r="F1695" s="40"/>
    </row>
    <row r="1696" spans="1:7" hidden="1">
      <c r="A1696" s="37" t="s">
        <v>3215</v>
      </c>
      <c r="B1696" s="38" t="s">
        <v>3216</v>
      </c>
      <c r="C1696" s="39"/>
      <c r="D1696" s="40">
        <v>0</v>
      </c>
      <c r="E1696" s="40">
        <v>0</v>
      </c>
      <c r="F1696" s="40">
        <f>+D1696-E1696</f>
        <v>0</v>
      </c>
      <c r="G1696" s="2">
        <f>+ABS(D1696)+ABS(E1696)</f>
        <v>0</v>
      </c>
    </row>
    <row r="1697" spans="1:7" hidden="1">
      <c r="A1697" s="37" t="s">
        <v>3217</v>
      </c>
      <c r="B1697" s="38" t="s">
        <v>3218</v>
      </c>
      <c r="C1697" s="39"/>
      <c r="D1697" s="40">
        <v>0</v>
      </c>
      <c r="E1697" s="40">
        <v>0</v>
      </c>
      <c r="F1697" s="40">
        <f>+D1697-E1697</f>
        <v>0</v>
      </c>
      <c r="G1697" s="2">
        <f>+ABS(D1697)+ABS(E1697)</f>
        <v>0</v>
      </c>
    </row>
    <row r="1698" spans="1:7" hidden="1">
      <c r="A1698" s="37" t="s">
        <v>3219</v>
      </c>
      <c r="B1698" s="38" t="s">
        <v>3220</v>
      </c>
      <c r="C1698" s="39"/>
      <c r="D1698" s="40">
        <v>0</v>
      </c>
      <c r="E1698" s="40">
        <v>0</v>
      </c>
      <c r="F1698" s="40">
        <f>+D1698-E1698</f>
        <v>0</v>
      </c>
      <c r="G1698" s="2">
        <f>+ABS(D1698)+ABS(E1698)</f>
        <v>0</v>
      </c>
    </row>
    <row r="1699" spans="1:7" hidden="1">
      <c r="A1699" s="37" t="s">
        <v>3221</v>
      </c>
      <c r="B1699" s="38" t="s">
        <v>3222</v>
      </c>
      <c r="C1699" s="39"/>
      <c r="D1699" s="40">
        <v>0</v>
      </c>
      <c r="E1699" s="40">
        <v>0</v>
      </c>
      <c r="F1699" s="40">
        <f>+D1699-E1699</f>
        <v>0</v>
      </c>
      <c r="G1699" s="2">
        <f>+ABS(D1699)+ABS(E1699)</f>
        <v>0</v>
      </c>
    </row>
    <row r="1700" spans="1:7">
      <c r="A1700" s="37" t="s">
        <v>3223</v>
      </c>
      <c r="B1700" s="38" t="s">
        <v>3214</v>
      </c>
      <c r="C1700" s="39"/>
      <c r="D1700" s="40">
        <v>11879.33</v>
      </c>
      <c r="E1700" s="40">
        <v>43565.51</v>
      </c>
      <c r="F1700" s="40">
        <f>+D1700-E1700</f>
        <v>-31686.18</v>
      </c>
      <c r="G1700" s="2">
        <f>+ABS(D1700)+ABS(E1700)</f>
        <v>55444.84</v>
      </c>
    </row>
    <row r="1701" spans="1:7" hidden="1">
      <c r="A1701" s="37" t="s">
        <v>3224</v>
      </c>
      <c r="B1701" s="38" t="s">
        <v>3225</v>
      </c>
      <c r="C1701" s="39"/>
      <c r="D1701" s="40">
        <v>0</v>
      </c>
      <c r="E1701" s="40">
        <v>0</v>
      </c>
      <c r="F1701" s="40">
        <f>+D1701-E1701</f>
        <v>0</v>
      </c>
      <c r="G1701" s="2">
        <f>+ABS(D1701)+ABS(E1701)</f>
        <v>0</v>
      </c>
    </row>
    <row r="1702" spans="1:7" hidden="1">
      <c r="A1702" s="37" t="s">
        <v>3226</v>
      </c>
      <c r="B1702" s="38" t="s">
        <v>3227</v>
      </c>
      <c r="C1702" s="39"/>
      <c r="D1702" s="40">
        <v>0</v>
      </c>
      <c r="E1702" s="40">
        <v>0</v>
      </c>
      <c r="F1702" s="40">
        <f>+D1702-E1702</f>
        <v>0</v>
      </c>
      <c r="G1702" s="2">
        <f>+ABS(D1702)+ABS(E1702)</f>
        <v>0</v>
      </c>
    </row>
    <row r="1703" spans="1:7" hidden="1">
      <c r="A1703" s="37" t="s">
        <v>3228</v>
      </c>
      <c r="B1703" s="38" t="s">
        <v>3229</v>
      </c>
      <c r="C1703" s="39"/>
      <c r="D1703" s="40">
        <v>0</v>
      </c>
      <c r="E1703" s="40">
        <v>0</v>
      </c>
      <c r="F1703" s="40">
        <f>+D1703-E1703</f>
        <v>0</v>
      </c>
      <c r="G1703" s="2">
        <f>+ABS(D1703)+ABS(E1703)</f>
        <v>0</v>
      </c>
    </row>
    <row r="1704" spans="1:7" hidden="1">
      <c r="A1704" s="37" t="s">
        <v>3230</v>
      </c>
      <c r="B1704" s="38" t="s">
        <v>3231</v>
      </c>
      <c r="C1704" s="39"/>
      <c r="D1704" s="40">
        <v>0</v>
      </c>
      <c r="E1704" s="40">
        <v>0</v>
      </c>
      <c r="F1704" s="40">
        <f>+D1704-E1704</f>
        <v>0</v>
      </c>
      <c r="G1704" s="2">
        <f>+ABS(D1704)+ABS(E1704)</f>
        <v>0</v>
      </c>
    </row>
    <row r="1705" spans="1:7" hidden="1">
      <c r="A1705" s="37" t="s">
        <v>3232</v>
      </c>
      <c r="B1705" s="38" t="s">
        <v>3233</v>
      </c>
      <c r="C1705" s="39"/>
      <c r="D1705" s="40">
        <v>0</v>
      </c>
      <c r="E1705" s="40">
        <v>0</v>
      </c>
      <c r="F1705" s="40">
        <f>+D1705-E1705</f>
        <v>0</v>
      </c>
      <c r="G1705" s="2">
        <f>+ABS(D1705)+ABS(E1705)</f>
        <v>0</v>
      </c>
    </row>
    <row r="1706" spans="1:7" hidden="1">
      <c r="A1706" s="37" t="s">
        <v>3234</v>
      </c>
      <c r="B1706" s="38" t="s">
        <v>3235</v>
      </c>
      <c r="C1706" s="39"/>
      <c r="D1706" s="40">
        <v>0</v>
      </c>
      <c r="E1706" s="40">
        <v>0</v>
      </c>
      <c r="F1706" s="40">
        <f>+D1706-E1706</f>
        <v>0</v>
      </c>
      <c r="G1706" s="2">
        <f>+ABS(D1706)+ABS(E1706)</f>
        <v>0</v>
      </c>
    </row>
    <row r="1707" spans="1:7" hidden="1">
      <c r="A1707" s="37" t="s">
        <v>3236</v>
      </c>
      <c r="B1707" s="38" t="s">
        <v>3237</v>
      </c>
      <c r="C1707" s="39"/>
      <c r="D1707" s="40">
        <v>0</v>
      </c>
      <c r="E1707" s="40">
        <v>0</v>
      </c>
      <c r="F1707" s="40">
        <f>+D1707-E1707</f>
        <v>0</v>
      </c>
      <c r="G1707" s="2">
        <f>+ABS(D1707)+ABS(E1707)</f>
        <v>0</v>
      </c>
    </row>
    <row r="1708" spans="1:7" hidden="1">
      <c r="A1708" s="37" t="s">
        <v>3238</v>
      </c>
      <c r="B1708" s="38" t="s">
        <v>3239</v>
      </c>
      <c r="C1708" s="39"/>
      <c r="D1708" s="40">
        <v>0</v>
      </c>
      <c r="E1708" s="40">
        <v>0</v>
      </c>
      <c r="F1708" s="40">
        <f>+D1708-E1708</f>
        <v>0</v>
      </c>
      <c r="G1708" s="2">
        <f>+ABS(D1708)+ABS(E1708)</f>
        <v>0</v>
      </c>
    </row>
    <row r="1709" spans="1:7">
      <c r="A1709" s="37" t="s">
        <v>3240</v>
      </c>
      <c r="B1709" s="38" t="s">
        <v>3241</v>
      </c>
      <c r="C1709" s="39"/>
      <c r="D1709" s="40">
        <v>1019.38</v>
      </c>
      <c r="E1709" s="40">
        <v>1401.69</v>
      </c>
      <c r="F1709" s="40">
        <f>+D1709-E1709</f>
        <v>-382.31</v>
      </c>
      <c r="G1709" s="2">
        <f>+ABS(D1709)+ABS(E1709)</f>
        <v>2421.0700000000002</v>
      </c>
    </row>
    <row r="1710" spans="1:7" hidden="1">
      <c r="A1710" s="37" t="s">
        <v>3242</v>
      </c>
      <c r="B1710" s="38" t="s">
        <v>3243</v>
      </c>
      <c r="C1710" s="39"/>
      <c r="D1710" s="40">
        <v>0</v>
      </c>
      <c r="E1710" s="40">
        <v>0</v>
      </c>
      <c r="F1710" s="40">
        <f>+D1710-E1710</f>
        <v>0</v>
      </c>
      <c r="G1710" s="2">
        <f>+ABS(D1710)+ABS(E1710)</f>
        <v>0</v>
      </c>
    </row>
    <row r="1711" spans="1:7" hidden="1">
      <c r="A1711" s="37" t="s">
        <v>3244</v>
      </c>
      <c r="B1711" s="38" t="s">
        <v>3245</v>
      </c>
      <c r="C1711" s="39"/>
      <c r="D1711" s="40">
        <v>0</v>
      </c>
      <c r="E1711" s="40">
        <v>0</v>
      </c>
      <c r="F1711" s="40">
        <f>+D1711-E1711</f>
        <v>0</v>
      </c>
      <c r="G1711" s="2">
        <f>+ABS(D1711)+ABS(E1711)</f>
        <v>0</v>
      </c>
    </row>
    <row r="1712" spans="1:7" hidden="1">
      <c r="A1712" s="37" t="s">
        <v>3246</v>
      </c>
      <c r="B1712" s="38" t="s">
        <v>3247</v>
      </c>
      <c r="C1712" s="39"/>
      <c r="D1712" s="40">
        <v>0</v>
      </c>
      <c r="E1712" s="40">
        <v>0</v>
      </c>
      <c r="F1712" s="40">
        <f>+D1712-E1712</f>
        <v>0</v>
      </c>
      <c r="G1712" s="2">
        <f>+ABS(D1712)+ABS(E1712)</f>
        <v>0</v>
      </c>
    </row>
    <row r="1713" spans="1:7" hidden="1">
      <c r="A1713" s="37" t="s">
        <v>3248</v>
      </c>
      <c r="B1713" s="38" t="s">
        <v>3249</v>
      </c>
      <c r="C1713" s="39"/>
      <c r="D1713" s="40">
        <v>0</v>
      </c>
      <c r="E1713" s="40">
        <v>0</v>
      </c>
      <c r="F1713" s="40">
        <f>+D1713-E1713</f>
        <v>0</v>
      </c>
      <c r="G1713" s="2">
        <f>+ABS(D1713)+ABS(E1713)</f>
        <v>0</v>
      </c>
    </row>
    <row r="1714" spans="1:7" hidden="1">
      <c r="A1714" s="37" t="s">
        <v>3250</v>
      </c>
      <c r="B1714" s="38" t="s">
        <v>3251</v>
      </c>
      <c r="C1714" s="39"/>
      <c r="D1714" s="40">
        <v>0</v>
      </c>
      <c r="E1714" s="40">
        <v>0</v>
      </c>
      <c r="F1714" s="40">
        <f>+D1714-E1714</f>
        <v>0</v>
      </c>
      <c r="G1714" s="2">
        <f>+ABS(D1714)+ABS(E1714)</f>
        <v>0</v>
      </c>
    </row>
    <row r="1715" spans="1:7" hidden="1">
      <c r="A1715" s="37" t="s">
        <v>3252</v>
      </c>
      <c r="B1715" s="38" t="s">
        <v>3253</v>
      </c>
      <c r="C1715" s="39"/>
      <c r="D1715" s="40">
        <v>0</v>
      </c>
      <c r="E1715" s="40">
        <v>0</v>
      </c>
      <c r="F1715" s="40">
        <f>+D1715-E1715</f>
        <v>0</v>
      </c>
      <c r="G1715" s="2">
        <f>+ABS(D1715)+ABS(E1715)</f>
        <v>0</v>
      </c>
    </row>
    <row r="1716" spans="1:7" hidden="1">
      <c r="A1716" s="37" t="s">
        <v>3254</v>
      </c>
      <c r="B1716" s="38" t="s">
        <v>3255</v>
      </c>
      <c r="C1716" s="39"/>
      <c r="D1716" s="40">
        <v>0</v>
      </c>
      <c r="E1716" s="40">
        <v>0</v>
      </c>
      <c r="F1716" s="40">
        <f>+D1716-E1716</f>
        <v>0</v>
      </c>
      <c r="G1716" s="2">
        <f>+ABS(D1716)+ABS(E1716)</f>
        <v>0</v>
      </c>
    </row>
    <row r="1717" spans="1:7" hidden="1">
      <c r="A1717" s="37"/>
      <c r="B1717" s="38"/>
      <c r="C1717" s="39"/>
      <c r="D1717" s="40"/>
      <c r="E1717" s="40"/>
      <c r="F1717" s="40"/>
    </row>
    <row r="1718" spans="1:7" hidden="1">
      <c r="A1718" s="37" t="s">
        <v>3256</v>
      </c>
      <c r="B1718" s="38" t="s">
        <v>3257</v>
      </c>
      <c r="C1718" s="39"/>
      <c r="D1718" s="40">
        <v>0</v>
      </c>
      <c r="E1718" s="40">
        <v>0</v>
      </c>
      <c r="F1718" s="40">
        <f>+D1718-E1718</f>
        <v>0</v>
      </c>
      <c r="G1718" s="2">
        <f>+ABS(D1718)+ABS(E1718)</f>
        <v>0</v>
      </c>
    </row>
    <row r="1719" spans="1:7" hidden="1">
      <c r="A1719" s="37" t="s">
        <v>3258</v>
      </c>
      <c r="B1719" s="38" t="s">
        <v>3259</v>
      </c>
      <c r="C1719" s="39"/>
      <c r="D1719" s="40">
        <v>0</v>
      </c>
      <c r="E1719" s="40">
        <v>0</v>
      </c>
      <c r="F1719" s="40">
        <f>+D1719-E1719</f>
        <v>0</v>
      </c>
      <c r="G1719" s="2">
        <f>+ABS(D1719)+ABS(E1719)</f>
        <v>0</v>
      </c>
    </row>
    <row r="1720" spans="1:7" hidden="1">
      <c r="A1720" s="37" t="s">
        <v>3260</v>
      </c>
      <c r="B1720" s="38" t="s">
        <v>3261</v>
      </c>
      <c r="C1720" s="39"/>
      <c r="D1720" s="40">
        <v>0</v>
      </c>
      <c r="E1720" s="40">
        <v>0</v>
      </c>
      <c r="F1720" s="40">
        <f>+D1720-E1720</f>
        <v>0</v>
      </c>
      <c r="G1720" s="2">
        <f>+ABS(D1720)+ABS(E1720)</f>
        <v>0</v>
      </c>
    </row>
    <row r="1721" spans="1:7">
      <c r="A1721" s="37"/>
      <c r="B1721" s="48"/>
      <c r="C1721" s="39"/>
      <c r="D1721" s="40"/>
      <c r="E1721" s="40"/>
      <c r="F1721" s="40"/>
      <c r="G1721" s="2">
        <f>G1722</f>
        <v>57865.91</v>
      </c>
    </row>
    <row r="1722" spans="1:7" s="15" customFormat="1">
      <c r="A1722" s="42" t="s">
        <v>11</v>
      </c>
      <c r="B1722" s="49" t="s">
        <v>3262</v>
      </c>
      <c r="C1722" s="44"/>
      <c r="D1722" s="45">
        <f>SUM(D1695:D1721)</f>
        <v>12898.71</v>
      </c>
      <c r="E1722" s="45">
        <f>SUM(E1695:E1721)</f>
        <v>44967.199999999997</v>
      </c>
      <c r="F1722" s="45">
        <f>+D1722-E1722</f>
        <v>-32068.49</v>
      </c>
      <c r="G1722" s="2">
        <f>+ABS(D1722)+ABS(E1722)</f>
        <v>57865.91</v>
      </c>
    </row>
    <row r="1723" spans="1:7">
      <c r="A1723" s="42"/>
      <c r="B1723" s="39"/>
      <c r="C1723" s="39"/>
      <c r="D1723" s="40"/>
      <c r="E1723" s="40"/>
      <c r="F1723" s="40"/>
      <c r="G1723" s="2">
        <f>G1722</f>
        <v>57865.91</v>
      </c>
    </row>
    <row r="1724" spans="1:7" s="15" customFormat="1">
      <c r="A1724" s="46" t="s">
        <v>11</v>
      </c>
      <c r="B1724" s="47" t="s">
        <v>3263</v>
      </c>
      <c r="C1724" s="44"/>
      <c r="D1724" s="40"/>
      <c r="E1724" s="40"/>
      <c r="F1724" s="40"/>
      <c r="G1724" s="2">
        <f>G1796</f>
        <v>975411.52</v>
      </c>
    </row>
    <row r="1725" spans="1:7" hidden="1">
      <c r="A1725" s="37"/>
      <c r="B1725" s="38"/>
      <c r="C1725" s="39"/>
      <c r="D1725" s="40"/>
      <c r="E1725" s="40"/>
      <c r="F1725" s="40"/>
    </row>
    <row r="1726" spans="1:7" hidden="1">
      <c r="A1726" s="37" t="s">
        <v>3264</v>
      </c>
      <c r="B1726" s="38" t="s">
        <v>3265</v>
      </c>
      <c r="C1726" s="39"/>
      <c r="D1726" s="40">
        <v>0</v>
      </c>
      <c r="E1726" s="40">
        <v>0</v>
      </c>
      <c r="F1726" s="40">
        <f>+D1726-E1726</f>
        <v>0</v>
      </c>
      <c r="G1726" s="2">
        <f>+ABS(D1726)+ABS(E1726)</f>
        <v>0</v>
      </c>
    </row>
    <row r="1727" spans="1:7" hidden="1">
      <c r="A1727" s="37" t="s">
        <v>3266</v>
      </c>
      <c r="B1727" s="38" t="s">
        <v>3267</v>
      </c>
      <c r="C1727" s="39"/>
      <c r="D1727" s="40">
        <v>0</v>
      </c>
      <c r="E1727" s="40">
        <v>0</v>
      </c>
      <c r="F1727" s="40">
        <f>+D1727-E1727</f>
        <v>0</v>
      </c>
      <c r="G1727" s="2">
        <f>+ABS(D1727)+ABS(E1727)</f>
        <v>0</v>
      </c>
    </row>
    <row r="1728" spans="1:7" hidden="1">
      <c r="A1728" s="37" t="s">
        <v>3268</v>
      </c>
      <c r="B1728" s="38" t="s">
        <v>3269</v>
      </c>
      <c r="C1728" s="39"/>
      <c r="D1728" s="40">
        <v>0</v>
      </c>
      <c r="E1728" s="40">
        <v>0</v>
      </c>
      <c r="F1728" s="40">
        <f>+D1728-E1728</f>
        <v>0</v>
      </c>
      <c r="G1728" s="2">
        <f>+ABS(D1728)+ABS(E1728)</f>
        <v>0</v>
      </c>
    </row>
    <row r="1729" spans="1:7" hidden="1">
      <c r="A1729" s="37" t="s">
        <v>3270</v>
      </c>
      <c r="B1729" s="38" t="s">
        <v>3271</v>
      </c>
      <c r="C1729" s="39"/>
      <c r="D1729" s="40">
        <v>0</v>
      </c>
      <c r="E1729" s="40">
        <v>0</v>
      </c>
      <c r="F1729" s="40">
        <f>+D1729-E1729</f>
        <v>0</v>
      </c>
      <c r="G1729" s="2">
        <f>+ABS(D1729)+ABS(E1729)</f>
        <v>0</v>
      </c>
    </row>
    <row r="1730" spans="1:7" hidden="1">
      <c r="A1730" s="37" t="s">
        <v>3272</v>
      </c>
      <c r="B1730" s="38" t="s">
        <v>3273</v>
      </c>
      <c r="C1730" s="39"/>
      <c r="D1730" s="40">
        <v>0</v>
      </c>
      <c r="E1730" s="40">
        <v>0</v>
      </c>
      <c r="F1730" s="40">
        <f>+D1730-E1730</f>
        <v>0</v>
      </c>
      <c r="G1730" s="2">
        <f>+ABS(D1730)+ABS(E1730)</f>
        <v>0</v>
      </c>
    </row>
    <row r="1731" spans="1:7" hidden="1">
      <c r="A1731" s="37" t="s">
        <v>3274</v>
      </c>
      <c r="B1731" s="38" t="s">
        <v>3275</v>
      </c>
      <c r="C1731" s="39"/>
      <c r="D1731" s="40">
        <v>0</v>
      </c>
      <c r="E1731" s="40">
        <v>0</v>
      </c>
      <c r="F1731" s="40">
        <f>+D1731-E1731</f>
        <v>0</v>
      </c>
      <c r="G1731" s="2">
        <f>+ABS(D1731)+ABS(E1731)</f>
        <v>0</v>
      </c>
    </row>
    <row r="1732" spans="1:7" hidden="1">
      <c r="A1732" s="37" t="s">
        <v>3276</v>
      </c>
      <c r="B1732" s="38" t="s">
        <v>3277</v>
      </c>
      <c r="C1732" s="39"/>
      <c r="D1732" s="40">
        <v>0</v>
      </c>
      <c r="E1732" s="40">
        <v>0</v>
      </c>
      <c r="F1732" s="40">
        <f>+D1732-E1732</f>
        <v>0</v>
      </c>
      <c r="G1732" s="2">
        <f>+ABS(D1732)+ABS(E1732)</f>
        <v>0</v>
      </c>
    </row>
    <row r="1733" spans="1:7" hidden="1">
      <c r="A1733" s="37" t="s">
        <v>3278</v>
      </c>
      <c r="B1733" s="38" t="s">
        <v>3279</v>
      </c>
      <c r="C1733" s="39"/>
      <c r="D1733" s="40">
        <v>0</v>
      </c>
      <c r="E1733" s="40">
        <v>0</v>
      </c>
      <c r="F1733" s="40">
        <f>+D1733-E1733</f>
        <v>0</v>
      </c>
      <c r="G1733" s="2">
        <f>+ABS(D1733)+ABS(E1733)</f>
        <v>0</v>
      </c>
    </row>
    <row r="1734" spans="1:7">
      <c r="A1734" s="37" t="s">
        <v>3280</v>
      </c>
      <c r="B1734" s="38" t="s">
        <v>3281</v>
      </c>
      <c r="C1734" s="39"/>
      <c r="D1734" s="40">
        <v>383058.29</v>
      </c>
      <c r="E1734" s="40">
        <v>369169.03</v>
      </c>
      <c r="F1734" s="40">
        <f>+D1734-E1734</f>
        <v>13889.26</v>
      </c>
      <c r="G1734" s="2">
        <f>+ABS(D1734)+ABS(E1734)</f>
        <v>752227.32</v>
      </c>
    </row>
    <row r="1735" spans="1:7" hidden="1">
      <c r="A1735" s="37" t="s">
        <v>3282</v>
      </c>
      <c r="B1735" s="38" t="s">
        <v>3283</v>
      </c>
      <c r="C1735" s="39"/>
      <c r="D1735" s="40">
        <v>0</v>
      </c>
      <c r="E1735" s="40">
        <v>0</v>
      </c>
      <c r="F1735" s="40">
        <f>+D1735-E1735</f>
        <v>0</v>
      </c>
      <c r="G1735" s="2">
        <f>+ABS(D1735)+ABS(E1735)</f>
        <v>0</v>
      </c>
    </row>
    <row r="1736" spans="1:7">
      <c r="A1736" s="37" t="s">
        <v>3284</v>
      </c>
      <c r="B1736" s="38" t="s">
        <v>3285</v>
      </c>
      <c r="C1736" s="39"/>
      <c r="D1736" s="40">
        <v>54430.59</v>
      </c>
      <c r="E1736" s="40">
        <v>47515.199999999997</v>
      </c>
      <c r="F1736" s="40">
        <f>+D1736-E1736</f>
        <v>6915.39</v>
      </c>
      <c r="G1736" s="2">
        <f>+ABS(D1736)+ABS(E1736)</f>
        <v>101945.79</v>
      </c>
    </row>
    <row r="1737" spans="1:7" hidden="1">
      <c r="A1737" s="37" t="s">
        <v>3286</v>
      </c>
      <c r="B1737" s="38" t="s">
        <v>3287</v>
      </c>
      <c r="C1737" s="39"/>
      <c r="D1737" s="40">
        <v>0</v>
      </c>
      <c r="E1737" s="40">
        <v>0</v>
      </c>
      <c r="F1737" s="40">
        <f>+D1737-E1737</f>
        <v>0</v>
      </c>
      <c r="G1737" s="2">
        <f>+ABS(D1737)+ABS(E1737)</f>
        <v>0</v>
      </c>
    </row>
    <row r="1738" spans="1:7" hidden="1">
      <c r="A1738" s="37" t="s">
        <v>3288</v>
      </c>
      <c r="B1738" s="38" t="s">
        <v>3289</v>
      </c>
      <c r="C1738" s="39"/>
      <c r="D1738" s="40">
        <v>0</v>
      </c>
      <c r="E1738" s="40">
        <v>0</v>
      </c>
      <c r="F1738" s="40">
        <f>+D1738-E1738</f>
        <v>0</v>
      </c>
      <c r="G1738" s="2">
        <f>+ABS(D1738)+ABS(E1738)</f>
        <v>0</v>
      </c>
    </row>
    <row r="1739" spans="1:7" hidden="1">
      <c r="A1739" s="37" t="s">
        <v>3290</v>
      </c>
      <c r="B1739" s="38" t="s">
        <v>3291</v>
      </c>
      <c r="C1739" s="39"/>
      <c r="D1739" s="40">
        <v>0</v>
      </c>
      <c r="E1739" s="40">
        <v>0</v>
      </c>
      <c r="F1739" s="40">
        <f>+D1739-E1739</f>
        <v>0</v>
      </c>
      <c r="G1739" s="2">
        <f>+ABS(D1739)+ABS(E1739)</f>
        <v>0</v>
      </c>
    </row>
    <row r="1740" spans="1:7">
      <c r="A1740" s="37" t="s">
        <v>3292</v>
      </c>
      <c r="B1740" s="38" t="s">
        <v>3293</v>
      </c>
      <c r="C1740" s="39"/>
      <c r="D1740" s="40">
        <v>5558.88</v>
      </c>
      <c r="E1740" s="40">
        <v>5327.61</v>
      </c>
      <c r="F1740" s="40">
        <f>+D1740-E1740</f>
        <v>231.27</v>
      </c>
      <c r="G1740" s="2">
        <f>+ABS(D1740)+ABS(E1740)</f>
        <v>10886.49</v>
      </c>
    </row>
    <row r="1741" spans="1:7" hidden="1">
      <c r="A1741" s="37" t="s">
        <v>3294</v>
      </c>
      <c r="B1741" s="38" t="s">
        <v>3295</v>
      </c>
      <c r="C1741" s="39"/>
      <c r="D1741" s="40">
        <v>0</v>
      </c>
      <c r="E1741" s="40">
        <v>0</v>
      </c>
      <c r="F1741" s="40">
        <f>+D1741-E1741</f>
        <v>0</v>
      </c>
      <c r="G1741" s="2">
        <f>+ABS(D1741)+ABS(E1741)</f>
        <v>0</v>
      </c>
    </row>
    <row r="1742" spans="1:7">
      <c r="A1742" s="37" t="s">
        <v>3296</v>
      </c>
      <c r="B1742" s="38" t="s">
        <v>3297</v>
      </c>
      <c r="C1742" s="39"/>
      <c r="D1742" s="40">
        <v>20366.189999999999</v>
      </c>
      <c r="E1742" s="40">
        <v>19784.46</v>
      </c>
      <c r="F1742" s="40">
        <f>+D1742-E1742</f>
        <v>581.73</v>
      </c>
      <c r="G1742" s="2">
        <f>+ABS(D1742)+ABS(E1742)</f>
        <v>40150.65</v>
      </c>
    </row>
    <row r="1743" spans="1:7">
      <c r="A1743" s="37" t="s">
        <v>3298</v>
      </c>
      <c r="B1743" s="38" t="s">
        <v>3299</v>
      </c>
      <c r="C1743" s="39"/>
      <c r="D1743" s="40">
        <v>5434.18</v>
      </c>
      <c r="E1743" s="40">
        <v>6173.67</v>
      </c>
      <c r="F1743" s="40">
        <f>+D1743-E1743</f>
        <v>-739.49</v>
      </c>
      <c r="G1743" s="2">
        <f>+ABS(D1743)+ABS(E1743)</f>
        <v>11607.85</v>
      </c>
    </row>
    <row r="1744" spans="1:7">
      <c r="A1744" s="37" t="s">
        <v>3300</v>
      </c>
      <c r="B1744" s="38" t="s">
        <v>3301</v>
      </c>
      <c r="C1744" s="39"/>
      <c r="D1744" s="40">
        <v>8198</v>
      </c>
      <c r="E1744" s="40">
        <v>8198</v>
      </c>
      <c r="F1744" s="40">
        <f>+D1744-E1744</f>
        <v>0</v>
      </c>
      <c r="G1744" s="2">
        <f>+ABS(D1744)+ABS(E1744)</f>
        <v>16396</v>
      </c>
    </row>
    <row r="1745" spans="1:7" hidden="1">
      <c r="A1745" s="37" t="s">
        <v>3302</v>
      </c>
      <c r="B1745" s="38" t="s">
        <v>3303</v>
      </c>
      <c r="C1745" s="39"/>
      <c r="D1745" s="40">
        <v>0</v>
      </c>
      <c r="E1745" s="40">
        <v>0</v>
      </c>
      <c r="F1745" s="40">
        <f>+D1745-E1745</f>
        <v>0</v>
      </c>
      <c r="G1745" s="2">
        <f>+ABS(D1745)+ABS(E1745)</f>
        <v>0</v>
      </c>
    </row>
    <row r="1746" spans="1:7" hidden="1">
      <c r="A1746" s="37" t="s">
        <v>3304</v>
      </c>
      <c r="B1746" s="38" t="s">
        <v>3305</v>
      </c>
      <c r="C1746" s="39"/>
      <c r="D1746" s="40">
        <v>0</v>
      </c>
      <c r="E1746" s="40">
        <v>0</v>
      </c>
      <c r="F1746" s="40">
        <f>+D1746-E1746</f>
        <v>0</v>
      </c>
      <c r="G1746" s="2">
        <f>+ABS(D1746)+ABS(E1746)</f>
        <v>0</v>
      </c>
    </row>
    <row r="1747" spans="1:7" hidden="1">
      <c r="A1747" s="37" t="s">
        <v>3306</v>
      </c>
      <c r="B1747" s="38" t="s">
        <v>3307</v>
      </c>
      <c r="C1747" s="39"/>
      <c r="D1747" s="40">
        <v>0</v>
      </c>
      <c r="E1747" s="40">
        <v>0</v>
      </c>
      <c r="F1747" s="40">
        <f>+D1747-E1747</f>
        <v>0</v>
      </c>
      <c r="G1747" s="2">
        <f>+ABS(D1747)+ABS(E1747)</f>
        <v>0</v>
      </c>
    </row>
    <row r="1748" spans="1:7" hidden="1">
      <c r="A1748" s="37" t="s">
        <v>3308</v>
      </c>
      <c r="B1748" s="38" t="s">
        <v>3309</v>
      </c>
      <c r="C1748" s="39"/>
      <c r="D1748" s="40">
        <v>0</v>
      </c>
      <c r="E1748" s="40">
        <v>0</v>
      </c>
      <c r="F1748" s="40">
        <f>+D1748-E1748</f>
        <v>0</v>
      </c>
      <c r="G1748" s="2">
        <f>+ABS(D1748)+ABS(E1748)</f>
        <v>0</v>
      </c>
    </row>
    <row r="1749" spans="1:7" hidden="1">
      <c r="A1749" s="37" t="s">
        <v>3310</v>
      </c>
      <c r="B1749" s="38" t="s">
        <v>3311</v>
      </c>
      <c r="C1749" s="39"/>
      <c r="D1749" s="40">
        <v>0</v>
      </c>
      <c r="E1749" s="40">
        <v>0</v>
      </c>
      <c r="F1749" s="40">
        <f>+D1749-E1749</f>
        <v>0</v>
      </c>
      <c r="G1749" s="2">
        <f>+ABS(D1749)+ABS(E1749)</f>
        <v>0</v>
      </c>
    </row>
    <row r="1750" spans="1:7">
      <c r="A1750" s="37" t="s">
        <v>3312</v>
      </c>
      <c r="B1750" s="38" t="s">
        <v>3313</v>
      </c>
      <c r="C1750" s="39"/>
      <c r="D1750" s="40">
        <v>18803.02</v>
      </c>
      <c r="E1750" s="40">
        <v>17411.150000000001</v>
      </c>
      <c r="F1750" s="40">
        <f>+D1750-E1750</f>
        <v>1391.87</v>
      </c>
      <c r="G1750" s="2">
        <f>+ABS(D1750)+ABS(E1750)</f>
        <v>36214.17</v>
      </c>
    </row>
    <row r="1751" spans="1:7" hidden="1">
      <c r="A1751" s="37" t="s">
        <v>3314</v>
      </c>
      <c r="B1751" s="38" t="s">
        <v>3315</v>
      </c>
      <c r="C1751" s="39"/>
      <c r="D1751" s="40">
        <v>0</v>
      </c>
      <c r="E1751" s="40">
        <v>0</v>
      </c>
      <c r="F1751" s="40">
        <f>+D1751-E1751</f>
        <v>0</v>
      </c>
      <c r="G1751" s="2">
        <f>+ABS(D1751)+ABS(E1751)</f>
        <v>0</v>
      </c>
    </row>
    <row r="1752" spans="1:7">
      <c r="A1752" s="37" t="s">
        <v>3316</v>
      </c>
      <c r="B1752" s="38" t="s">
        <v>3317</v>
      </c>
      <c r="C1752" s="39"/>
      <c r="D1752" s="40">
        <v>4200</v>
      </c>
      <c r="E1752" s="40">
        <v>0</v>
      </c>
      <c r="F1752" s="40">
        <f>+D1752-E1752</f>
        <v>4200</v>
      </c>
      <c r="G1752" s="2">
        <f>+ABS(D1752)+ABS(E1752)</f>
        <v>4200</v>
      </c>
    </row>
    <row r="1753" spans="1:7" hidden="1">
      <c r="A1753" s="37" t="s">
        <v>3318</v>
      </c>
      <c r="B1753" s="38" t="s">
        <v>3319</v>
      </c>
      <c r="C1753" s="39"/>
      <c r="D1753" s="40">
        <v>0</v>
      </c>
      <c r="E1753" s="40">
        <v>0</v>
      </c>
      <c r="F1753" s="40">
        <f>+D1753-E1753</f>
        <v>0</v>
      </c>
      <c r="G1753" s="2">
        <f>+ABS(D1753)+ABS(E1753)</f>
        <v>0</v>
      </c>
    </row>
    <row r="1754" spans="1:7" hidden="1">
      <c r="A1754" s="37" t="s">
        <v>3320</v>
      </c>
      <c r="B1754" s="38" t="s">
        <v>3321</v>
      </c>
      <c r="C1754" s="39"/>
      <c r="D1754" s="40">
        <v>0</v>
      </c>
      <c r="E1754" s="40">
        <v>0</v>
      </c>
      <c r="F1754" s="40">
        <f>+D1754-E1754</f>
        <v>0</v>
      </c>
      <c r="G1754" s="2">
        <f>+ABS(D1754)+ABS(E1754)</f>
        <v>0</v>
      </c>
    </row>
    <row r="1755" spans="1:7" hidden="1">
      <c r="A1755" s="37" t="s">
        <v>3322</v>
      </c>
      <c r="B1755" s="38" t="s">
        <v>3323</v>
      </c>
      <c r="C1755" s="39"/>
      <c r="D1755" s="40">
        <v>0</v>
      </c>
      <c r="E1755" s="40">
        <v>0</v>
      </c>
      <c r="F1755" s="40">
        <f>+D1755-E1755</f>
        <v>0</v>
      </c>
      <c r="G1755" s="2">
        <f>+ABS(D1755)+ABS(E1755)</f>
        <v>0</v>
      </c>
    </row>
    <row r="1756" spans="1:7" hidden="1">
      <c r="A1756" s="37" t="s">
        <v>3324</v>
      </c>
      <c r="B1756" s="38" t="s">
        <v>3325</v>
      </c>
      <c r="C1756" s="39"/>
      <c r="D1756" s="40">
        <v>0</v>
      </c>
      <c r="E1756" s="40">
        <v>0</v>
      </c>
      <c r="F1756" s="40">
        <f>+D1756-E1756</f>
        <v>0</v>
      </c>
      <c r="G1756" s="2">
        <f>+ABS(D1756)+ABS(E1756)</f>
        <v>0</v>
      </c>
    </row>
    <row r="1757" spans="1:7" hidden="1">
      <c r="A1757" s="37" t="s">
        <v>3326</v>
      </c>
      <c r="B1757" s="38" t="s">
        <v>3327</v>
      </c>
      <c r="C1757" s="39"/>
      <c r="D1757" s="40">
        <v>0</v>
      </c>
      <c r="E1757" s="40">
        <v>0</v>
      </c>
      <c r="F1757" s="40">
        <f>+D1757-E1757</f>
        <v>0</v>
      </c>
      <c r="G1757" s="2">
        <f>+ABS(D1757)+ABS(E1757)</f>
        <v>0</v>
      </c>
    </row>
    <row r="1758" spans="1:7" hidden="1">
      <c r="A1758" s="37" t="s">
        <v>3328</v>
      </c>
      <c r="B1758" s="38" t="s">
        <v>3329</v>
      </c>
      <c r="C1758" s="39"/>
      <c r="D1758" s="40">
        <v>0</v>
      </c>
      <c r="E1758" s="40">
        <v>0</v>
      </c>
      <c r="F1758" s="40">
        <f>+D1758-E1758</f>
        <v>0</v>
      </c>
      <c r="G1758" s="2">
        <f>+ABS(D1758)+ABS(E1758)</f>
        <v>0</v>
      </c>
    </row>
    <row r="1759" spans="1:7" hidden="1">
      <c r="A1759" s="37" t="s">
        <v>3330</v>
      </c>
      <c r="B1759" s="38" t="s">
        <v>3331</v>
      </c>
      <c r="C1759" s="39"/>
      <c r="D1759" s="40">
        <v>0</v>
      </c>
      <c r="E1759" s="40">
        <v>0</v>
      </c>
      <c r="F1759" s="40">
        <f>+D1759-E1759</f>
        <v>0</v>
      </c>
      <c r="G1759" s="2">
        <f>+ABS(D1759)+ABS(E1759)</f>
        <v>0</v>
      </c>
    </row>
    <row r="1760" spans="1:7" hidden="1">
      <c r="A1760" s="37" t="s">
        <v>3332</v>
      </c>
      <c r="B1760" s="38" t="s">
        <v>3333</v>
      </c>
      <c r="C1760" s="39"/>
      <c r="D1760" s="40">
        <v>0</v>
      </c>
      <c r="E1760" s="40">
        <v>0</v>
      </c>
      <c r="F1760" s="40">
        <f>+D1760-E1760</f>
        <v>0</v>
      </c>
      <c r="G1760" s="2">
        <f>+ABS(D1760)+ABS(E1760)</f>
        <v>0</v>
      </c>
    </row>
    <row r="1761" spans="1:7" hidden="1">
      <c r="A1761" s="37" t="s">
        <v>3334</v>
      </c>
      <c r="B1761" s="38" t="s">
        <v>3335</v>
      </c>
      <c r="C1761" s="39"/>
      <c r="D1761" s="40">
        <v>0</v>
      </c>
      <c r="E1761" s="40">
        <v>0</v>
      </c>
      <c r="F1761" s="40">
        <f>+D1761-E1761</f>
        <v>0</v>
      </c>
      <c r="G1761" s="2">
        <f>+ABS(D1761)+ABS(E1761)</f>
        <v>0</v>
      </c>
    </row>
    <row r="1762" spans="1:7" hidden="1">
      <c r="A1762" s="37" t="s">
        <v>3336</v>
      </c>
      <c r="B1762" s="38" t="s">
        <v>3337</v>
      </c>
      <c r="C1762" s="39"/>
      <c r="D1762" s="40">
        <v>0</v>
      </c>
      <c r="E1762" s="40">
        <v>0</v>
      </c>
      <c r="F1762" s="40">
        <f>+D1762-E1762</f>
        <v>0</v>
      </c>
      <c r="G1762" s="2">
        <f>+ABS(D1762)+ABS(E1762)</f>
        <v>0</v>
      </c>
    </row>
    <row r="1763" spans="1:7" hidden="1">
      <c r="A1763" s="37" t="s">
        <v>3338</v>
      </c>
      <c r="B1763" s="38" t="s">
        <v>3339</v>
      </c>
      <c r="C1763" s="39"/>
      <c r="D1763" s="40">
        <v>0</v>
      </c>
      <c r="E1763" s="40">
        <v>0</v>
      </c>
      <c r="F1763" s="40">
        <f>+D1763-E1763</f>
        <v>0</v>
      </c>
      <c r="G1763" s="2">
        <f>+ABS(D1763)+ABS(E1763)</f>
        <v>0</v>
      </c>
    </row>
    <row r="1764" spans="1:7" hidden="1">
      <c r="A1764" s="37" t="s">
        <v>3340</v>
      </c>
      <c r="B1764" s="38" t="s">
        <v>3341</v>
      </c>
      <c r="C1764" s="39"/>
      <c r="D1764" s="40">
        <v>0</v>
      </c>
      <c r="E1764" s="40">
        <v>0</v>
      </c>
      <c r="F1764" s="40">
        <f>+D1764-E1764</f>
        <v>0</v>
      </c>
      <c r="G1764" s="2">
        <f>+ABS(D1764)+ABS(E1764)</f>
        <v>0</v>
      </c>
    </row>
    <row r="1765" spans="1:7" hidden="1">
      <c r="A1765" s="37" t="s">
        <v>3342</v>
      </c>
      <c r="B1765" s="38" t="s">
        <v>3343</v>
      </c>
      <c r="C1765" s="39"/>
      <c r="D1765" s="40">
        <v>0</v>
      </c>
      <c r="E1765" s="40">
        <v>0</v>
      </c>
      <c r="F1765" s="40">
        <f>+D1765-E1765</f>
        <v>0</v>
      </c>
      <c r="G1765" s="2">
        <f>+ABS(D1765)+ABS(E1765)</f>
        <v>0</v>
      </c>
    </row>
    <row r="1766" spans="1:7" hidden="1">
      <c r="A1766" s="37" t="s">
        <v>3344</v>
      </c>
      <c r="B1766" s="38" t="s">
        <v>3345</v>
      </c>
      <c r="C1766" s="39"/>
      <c r="D1766" s="40">
        <v>0</v>
      </c>
      <c r="E1766" s="40">
        <v>0</v>
      </c>
      <c r="F1766" s="40">
        <f>+D1766-E1766</f>
        <v>0</v>
      </c>
      <c r="G1766" s="2">
        <f>+ABS(D1766)+ABS(E1766)</f>
        <v>0</v>
      </c>
    </row>
    <row r="1767" spans="1:7" hidden="1">
      <c r="A1767" s="37" t="s">
        <v>3346</v>
      </c>
      <c r="B1767" s="38" t="s">
        <v>3347</v>
      </c>
      <c r="C1767" s="39"/>
      <c r="D1767" s="40">
        <v>0</v>
      </c>
      <c r="E1767" s="40">
        <v>0</v>
      </c>
      <c r="F1767" s="40">
        <f>+D1767-E1767</f>
        <v>0</v>
      </c>
      <c r="G1767" s="2">
        <f>+ABS(D1767)+ABS(E1767)</f>
        <v>0</v>
      </c>
    </row>
    <row r="1768" spans="1:7" hidden="1">
      <c r="A1768" s="37" t="s">
        <v>3348</v>
      </c>
      <c r="B1768" s="38" t="s">
        <v>3349</v>
      </c>
      <c r="C1768" s="39"/>
      <c r="D1768" s="40">
        <v>0</v>
      </c>
      <c r="E1768" s="40">
        <v>0</v>
      </c>
      <c r="F1768" s="40">
        <f>+D1768-E1768</f>
        <v>0</v>
      </c>
      <c r="G1768" s="2">
        <f>+ABS(D1768)+ABS(E1768)</f>
        <v>0</v>
      </c>
    </row>
    <row r="1769" spans="1:7" hidden="1">
      <c r="A1769" s="37" t="s">
        <v>3350</v>
      </c>
      <c r="B1769" s="38" t="s">
        <v>3351</v>
      </c>
      <c r="C1769" s="39"/>
      <c r="D1769" s="40">
        <v>0</v>
      </c>
      <c r="E1769" s="40">
        <v>0</v>
      </c>
      <c r="F1769" s="40">
        <f>+D1769-E1769</f>
        <v>0</v>
      </c>
      <c r="G1769" s="2">
        <f>+ABS(D1769)+ABS(E1769)</f>
        <v>0</v>
      </c>
    </row>
    <row r="1770" spans="1:7" hidden="1">
      <c r="A1770" s="37" t="s">
        <v>3352</v>
      </c>
      <c r="B1770" s="38" t="s">
        <v>3353</v>
      </c>
      <c r="C1770" s="39"/>
      <c r="D1770" s="40">
        <v>0</v>
      </c>
      <c r="E1770" s="40">
        <v>0</v>
      </c>
      <c r="F1770" s="40">
        <f>+D1770-E1770</f>
        <v>0</v>
      </c>
      <c r="G1770" s="2">
        <f>+ABS(D1770)+ABS(E1770)</f>
        <v>0</v>
      </c>
    </row>
    <row r="1771" spans="1:7" hidden="1">
      <c r="A1771" s="37" t="s">
        <v>3354</v>
      </c>
      <c r="B1771" s="38" t="s">
        <v>3355</v>
      </c>
      <c r="C1771" s="39"/>
      <c r="D1771" s="40">
        <v>0</v>
      </c>
      <c r="E1771" s="40">
        <v>0</v>
      </c>
      <c r="F1771" s="40">
        <f>+D1771-E1771</f>
        <v>0</v>
      </c>
      <c r="G1771" s="2">
        <f>+ABS(D1771)+ABS(E1771)</f>
        <v>0</v>
      </c>
    </row>
    <row r="1772" spans="1:7">
      <c r="A1772" s="37" t="s">
        <v>3356</v>
      </c>
      <c r="B1772" s="38" t="s">
        <v>3357</v>
      </c>
      <c r="C1772" s="39"/>
      <c r="D1772" s="40">
        <v>610.19000000000005</v>
      </c>
      <c r="E1772" s="40">
        <v>1173.06</v>
      </c>
      <c r="F1772" s="40">
        <f>+D1772-E1772</f>
        <v>-562.87</v>
      </c>
      <c r="G1772" s="2">
        <f>+ABS(D1772)+ABS(E1772)</f>
        <v>1783.25</v>
      </c>
    </row>
    <row r="1773" spans="1:7" hidden="1">
      <c r="A1773" s="37" t="s">
        <v>3358</v>
      </c>
      <c r="B1773" s="38" t="s">
        <v>3359</v>
      </c>
      <c r="C1773" s="39"/>
      <c r="D1773" s="40">
        <v>0</v>
      </c>
      <c r="E1773" s="40">
        <v>0</v>
      </c>
      <c r="F1773" s="40">
        <f>+D1773-E1773</f>
        <v>0</v>
      </c>
      <c r="G1773" s="2">
        <f>+ABS(D1773)+ABS(E1773)</f>
        <v>0</v>
      </c>
    </row>
    <row r="1774" spans="1:7" hidden="1">
      <c r="A1774" s="37" t="s">
        <v>3360</v>
      </c>
      <c r="B1774" s="38" t="s">
        <v>3361</v>
      </c>
      <c r="C1774" s="39"/>
      <c r="D1774" s="40">
        <v>0</v>
      </c>
      <c r="E1774" s="40">
        <v>0</v>
      </c>
      <c r="F1774" s="40">
        <f>+D1774-E1774</f>
        <v>0</v>
      </c>
      <c r="G1774" s="2">
        <f>+ABS(D1774)+ABS(E1774)</f>
        <v>0</v>
      </c>
    </row>
    <row r="1775" spans="1:7" hidden="1">
      <c r="A1775" s="37" t="s">
        <v>3362</v>
      </c>
      <c r="B1775" s="38" t="s">
        <v>3363</v>
      </c>
      <c r="C1775" s="39"/>
      <c r="D1775" s="40">
        <v>0</v>
      </c>
      <c r="E1775" s="40">
        <v>0</v>
      </c>
      <c r="F1775" s="40">
        <f>+D1775-E1775</f>
        <v>0</v>
      </c>
      <c r="G1775" s="2">
        <f>+ABS(D1775)+ABS(E1775)</f>
        <v>0</v>
      </c>
    </row>
    <row r="1776" spans="1:7" hidden="1">
      <c r="A1776" s="37" t="s">
        <v>3364</v>
      </c>
      <c r="B1776" s="38" t="s">
        <v>3365</v>
      </c>
      <c r="C1776" s="39"/>
      <c r="D1776" s="40">
        <v>0</v>
      </c>
      <c r="E1776" s="40">
        <v>0</v>
      </c>
      <c r="F1776" s="40">
        <f>+D1776-E1776</f>
        <v>0</v>
      </c>
      <c r="G1776" s="2">
        <f>+ABS(D1776)+ABS(E1776)</f>
        <v>0</v>
      </c>
    </row>
    <row r="1777" spans="1:7" hidden="1">
      <c r="A1777" s="37" t="s">
        <v>3366</v>
      </c>
      <c r="B1777" s="38" t="s">
        <v>3367</v>
      </c>
      <c r="C1777" s="39"/>
      <c r="D1777" s="40">
        <v>0</v>
      </c>
      <c r="E1777" s="40">
        <v>0</v>
      </c>
      <c r="F1777" s="40">
        <f>+D1777-E1777</f>
        <v>0</v>
      </c>
      <c r="G1777" s="2">
        <f>+ABS(D1777)+ABS(E1777)</f>
        <v>0</v>
      </c>
    </row>
    <row r="1778" spans="1:7" hidden="1">
      <c r="A1778" s="37" t="s">
        <v>3368</v>
      </c>
      <c r="B1778" s="38" t="s">
        <v>3369</v>
      </c>
      <c r="C1778" s="39"/>
      <c r="D1778" s="40">
        <v>0</v>
      </c>
      <c r="E1778" s="40">
        <v>0</v>
      </c>
      <c r="F1778" s="40">
        <f>+D1778-E1778</f>
        <v>0</v>
      </c>
      <c r="G1778" s="2">
        <f>+ABS(D1778)+ABS(E1778)</f>
        <v>0</v>
      </c>
    </row>
    <row r="1779" spans="1:7" hidden="1">
      <c r="A1779" s="37" t="s">
        <v>3370</v>
      </c>
      <c r="B1779" s="38" t="s">
        <v>3371</v>
      </c>
      <c r="C1779" s="39"/>
      <c r="D1779" s="40">
        <v>0</v>
      </c>
      <c r="E1779" s="40">
        <v>0</v>
      </c>
      <c r="F1779" s="40">
        <f>+D1779-E1779</f>
        <v>0</v>
      </c>
      <c r="G1779" s="2">
        <f>+ABS(D1779)+ABS(E1779)</f>
        <v>0</v>
      </c>
    </row>
    <row r="1780" spans="1:7" hidden="1">
      <c r="A1780" s="37" t="s">
        <v>3372</v>
      </c>
      <c r="B1780" s="38" t="s">
        <v>3373</v>
      </c>
      <c r="C1780" s="39"/>
      <c r="D1780" s="40">
        <v>0</v>
      </c>
      <c r="E1780" s="40">
        <v>0</v>
      </c>
      <c r="F1780" s="40">
        <f>+D1780-E1780</f>
        <v>0</v>
      </c>
      <c r="G1780" s="2">
        <f>+ABS(D1780)+ABS(E1780)</f>
        <v>0</v>
      </c>
    </row>
    <row r="1781" spans="1:7" hidden="1">
      <c r="A1781" s="37" t="s">
        <v>3374</v>
      </c>
      <c r="B1781" s="38" t="s">
        <v>3375</v>
      </c>
      <c r="C1781" s="39"/>
      <c r="D1781" s="40">
        <v>0</v>
      </c>
      <c r="E1781" s="40">
        <v>0</v>
      </c>
      <c r="F1781" s="40">
        <f>+D1781-E1781</f>
        <v>0</v>
      </c>
      <c r="G1781" s="2">
        <f>+ABS(D1781)+ABS(E1781)</f>
        <v>0</v>
      </c>
    </row>
    <row r="1782" spans="1:7" hidden="1">
      <c r="A1782" s="37" t="s">
        <v>3376</v>
      </c>
      <c r="B1782" s="38" t="s">
        <v>3377</v>
      </c>
      <c r="C1782" s="39"/>
      <c r="D1782" s="40">
        <v>0</v>
      </c>
      <c r="E1782" s="40">
        <v>0</v>
      </c>
      <c r="F1782" s="40">
        <f>+D1782-E1782</f>
        <v>0</v>
      </c>
      <c r="G1782" s="2">
        <f>+ABS(D1782)+ABS(E1782)</f>
        <v>0</v>
      </c>
    </row>
    <row r="1783" spans="1:7" hidden="1">
      <c r="A1783" s="37" t="s">
        <v>3378</v>
      </c>
      <c r="B1783" s="38" t="s">
        <v>3379</v>
      </c>
      <c r="C1783" s="39"/>
      <c r="D1783" s="40">
        <v>0</v>
      </c>
      <c r="E1783" s="40">
        <v>0</v>
      </c>
      <c r="F1783" s="40">
        <f>+D1783-E1783</f>
        <v>0</v>
      </c>
      <c r="G1783" s="2">
        <f>+ABS(D1783)+ABS(E1783)</f>
        <v>0</v>
      </c>
    </row>
    <row r="1784" spans="1:7" hidden="1">
      <c r="A1784" s="37" t="s">
        <v>3380</v>
      </c>
      <c r="B1784" s="38" t="s">
        <v>3381</v>
      </c>
      <c r="C1784" s="39"/>
      <c r="D1784" s="40">
        <v>0</v>
      </c>
      <c r="E1784" s="40">
        <v>0</v>
      </c>
      <c r="F1784" s="40">
        <f>+D1784-E1784</f>
        <v>0</v>
      </c>
      <c r="G1784" s="2">
        <f>+ABS(D1784)+ABS(E1784)</f>
        <v>0</v>
      </c>
    </row>
    <row r="1785" spans="1:7" hidden="1">
      <c r="A1785" s="37" t="s">
        <v>3382</v>
      </c>
      <c r="B1785" s="38" t="s">
        <v>3383</v>
      </c>
      <c r="C1785" s="39"/>
      <c r="D1785" s="40">
        <v>0</v>
      </c>
      <c r="E1785" s="40">
        <v>0</v>
      </c>
      <c r="F1785" s="40">
        <f>+D1785-E1785</f>
        <v>0</v>
      </c>
      <c r="G1785" s="2">
        <f>+ABS(D1785)+ABS(E1785)</f>
        <v>0</v>
      </c>
    </row>
    <row r="1786" spans="1:7" hidden="1">
      <c r="A1786" s="37" t="s">
        <v>3384</v>
      </c>
      <c r="B1786" s="38" t="s">
        <v>3385</v>
      </c>
      <c r="C1786" s="39"/>
      <c r="D1786" s="40">
        <v>0</v>
      </c>
      <c r="E1786" s="40">
        <v>0</v>
      </c>
      <c r="F1786" s="40">
        <f>+D1786-E1786</f>
        <v>0</v>
      </c>
      <c r="G1786" s="2">
        <f>+ABS(D1786)+ABS(E1786)</f>
        <v>0</v>
      </c>
    </row>
    <row r="1787" spans="1:7" hidden="1">
      <c r="A1787" s="37" t="s">
        <v>3386</v>
      </c>
      <c r="B1787" s="38" t="s">
        <v>3387</v>
      </c>
      <c r="C1787" s="39"/>
      <c r="D1787" s="40">
        <v>0</v>
      </c>
      <c r="E1787" s="40">
        <v>0</v>
      </c>
      <c r="F1787" s="40">
        <f>+D1787-E1787</f>
        <v>0</v>
      </c>
      <c r="G1787" s="2">
        <f>+ABS(D1787)+ABS(E1787)</f>
        <v>0</v>
      </c>
    </row>
    <row r="1788" spans="1:7" hidden="1">
      <c r="A1788" s="37" t="s">
        <v>3388</v>
      </c>
      <c r="B1788" s="38" t="s">
        <v>3389</v>
      </c>
      <c r="C1788" s="39"/>
      <c r="D1788" s="40">
        <v>0</v>
      </c>
      <c r="E1788" s="40">
        <v>0</v>
      </c>
      <c r="F1788" s="40">
        <f>+D1788-E1788</f>
        <v>0</v>
      </c>
      <c r="G1788" s="2">
        <f>+ABS(D1788)+ABS(E1788)</f>
        <v>0</v>
      </c>
    </row>
    <row r="1789" spans="1:7" hidden="1">
      <c r="A1789" s="37" t="s">
        <v>3390</v>
      </c>
      <c r="B1789" s="38" t="s">
        <v>3391</v>
      </c>
      <c r="C1789" s="39"/>
      <c r="D1789" s="40">
        <v>0</v>
      </c>
      <c r="E1789" s="40">
        <v>0</v>
      </c>
      <c r="F1789" s="40">
        <f>+D1789-E1789</f>
        <v>0</v>
      </c>
      <c r="G1789" s="2">
        <f>+ABS(D1789)+ABS(E1789)</f>
        <v>0</v>
      </c>
    </row>
    <row r="1790" spans="1:7" hidden="1">
      <c r="A1790" s="37" t="s">
        <v>3392</v>
      </c>
      <c r="B1790" s="38" t="s">
        <v>3393</v>
      </c>
      <c r="C1790" s="39"/>
      <c r="D1790" s="40">
        <v>0</v>
      </c>
      <c r="E1790" s="40">
        <v>0</v>
      </c>
      <c r="F1790" s="40">
        <f>+D1790-E1790</f>
        <v>0</v>
      </c>
      <c r="G1790" s="2">
        <f>+ABS(D1790)+ABS(E1790)</f>
        <v>0</v>
      </c>
    </row>
    <row r="1791" spans="1:7" hidden="1">
      <c r="A1791" s="37" t="s">
        <v>3394</v>
      </c>
      <c r="B1791" s="38" t="s">
        <v>3395</v>
      </c>
      <c r="C1791" s="39"/>
      <c r="D1791" s="40">
        <v>0</v>
      </c>
      <c r="E1791" s="40">
        <v>0</v>
      </c>
      <c r="F1791" s="40">
        <f>+D1791-E1791</f>
        <v>0</v>
      </c>
      <c r="G1791" s="2">
        <f>+ABS(D1791)+ABS(E1791)</f>
        <v>0</v>
      </c>
    </row>
    <row r="1792" spans="1:7" hidden="1">
      <c r="A1792" s="37" t="s">
        <v>3396</v>
      </c>
      <c r="B1792" s="38" t="s">
        <v>3397</v>
      </c>
      <c r="C1792" s="39"/>
      <c r="D1792" s="40">
        <v>0</v>
      </c>
      <c r="E1792" s="40">
        <v>0</v>
      </c>
      <c r="F1792" s="40">
        <f>+D1792-E1792</f>
        <v>0</v>
      </c>
      <c r="G1792" s="2">
        <f>+ABS(D1792)+ABS(E1792)</f>
        <v>0</v>
      </c>
    </row>
    <row r="1793" spans="1:7" hidden="1">
      <c r="A1793" s="37"/>
      <c r="B1793" s="38"/>
      <c r="C1793" s="39"/>
      <c r="D1793" s="40"/>
      <c r="E1793" s="40"/>
      <c r="F1793" s="40"/>
    </row>
    <row r="1794" spans="1:7" hidden="1">
      <c r="A1794" s="37" t="s">
        <v>3398</v>
      </c>
      <c r="B1794" s="38" t="s">
        <v>3399</v>
      </c>
      <c r="C1794" s="39"/>
      <c r="D1794" s="40">
        <v>0</v>
      </c>
      <c r="E1794" s="40">
        <v>0</v>
      </c>
      <c r="F1794" s="40">
        <f>+D1794-E1794</f>
        <v>0</v>
      </c>
      <c r="G1794" s="2">
        <f>+ABS(D1794)+ABS(E1794)</f>
        <v>0</v>
      </c>
    </row>
    <row r="1795" spans="1:7">
      <c r="A1795" s="37"/>
      <c r="B1795" s="48"/>
      <c r="C1795" s="39"/>
      <c r="D1795" s="40"/>
      <c r="E1795" s="40"/>
      <c r="F1795" s="40"/>
      <c r="G1795" s="2">
        <f>G1796</f>
        <v>975411.52</v>
      </c>
    </row>
    <row r="1796" spans="1:7" s="15" customFormat="1">
      <c r="A1796" s="42" t="s">
        <v>11</v>
      </c>
      <c r="B1796" s="49" t="s">
        <v>3400</v>
      </c>
      <c r="C1796" s="44"/>
      <c r="D1796" s="45">
        <f>SUM(D1725:D1795)</f>
        <v>500659.34</v>
      </c>
      <c r="E1796" s="45">
        <f>SUM(E1725:E1795)</f>
        <v>474752.18</v>
      </c>
      <c r="F1796" s="45">
        <f>+D1796-E1796</f>
        <v>25907.16</v>
      </c>
      <c r="G1796" s="2">
        <f>+ABS(D1796)+ABS(E1796)</f>
        <v>975411.52</v>
      </c>
    </row>
    <row r="1797" spans="1:7" s="15" customFormat="1">
      <c r="A1797" s="42"/>
      <c r="B1797" s="44"/>
      <c r="C1797" s="44"/>
      <c r="D1797" s="40"/>
      <c r="E1797" s="40"/>
      <c r="F1797" s="40"/>
      <c r="G1797" s="2">
        <f>G1806</f>
        <v>1350532.11</v>
      </c>
    </row>
    <row r="1798" spans="1:7" s="15" customFormat="1">
      <c r="A1798" s="46" t="s">
        <v>11</v>
      </c>
      <c r="B1798" s="44" t="s">
        <v>3401</v>
      </c>
      <c r="C1798" s="44"/>
      <c r="D1798" s="40"/>
      <c r="E1798" s="40"/>
      <c r="F1798" s="40"/>
      <c r="G1798" s="2">
        <f>G1804</f>
        <v>317254.68</v>
      </c>
    </row>
    <row r="1799" spans="1:7" hidden="1">
      <c r="A1799" s="37"/>
      <c r="B1799" s="38"/>
      <c r="C1799" s="39"/>
      <c r="D1799" s="40"/>
      <c r="E1799" s="40"/>
      <c r="F1799" s="40"/>
    </row>
    <row r="1800" spans="1:7">
      <c r="A1800" s="37" t="s">
        <v>3402</v>
      </c>
      <c r="B1800" s="38" t="s">
        <v>3403</v>
      </c>
      <c r="C1800" s="39"/>
      <c r="D1800" s="40">
        <v>167993.41</v>
      </c>
      <c r="E1800" s="40">
        <v>149261.26999999999</v>
      </c>
      <c r="F1800" s="40">
        <f>+D1800-E1800</f>
        <v>18732.14</v>
      </c>
      <c r="G1800" s="2">
        <f>+ABS(D1800)+ABS(E1800)</f>
        <v>317254.68</v>
      </c>
    </row>
    <row r="1801" spans="1:7" hidden="1">
      <c r="A1801" s="37" t="s">
        <v>3404</v>
      </c>
      <c r="B1801" s="38" t="s">
        <v>3405</v>
      </c>
      <c r="C1801" s="39"/>
      <c r="D1801" s="40">
        <v>0</v>
      </c>
      <c r="E1801" s="40">
        <v>0</v>
      </c>
      <c r="F1801" s="40">
        <f>+D1801-E1801</f>
        <v>0</v>
      </c>
      <c r="G1801" s="2">
        <f>+ABS(D1801)+ABS(E1801)</f>
        <v>0</v>
      </c>
    </row>
    <row r="1802" spans="1:7" hidden="1">
      <c r="A1802" s="37" t="s">
        <v>3406</v>
      </c>
      <c r="B1802" s="38" t="s">
        <v>3407</v>
      </c>
      <c r="C1802" s="39"/>
      <c r="D1802" s="40">
        <v>0</v>
      </c>
      <c r="E1802" s="40">
        <v>0</v>
      </c>
      <c r="F1802" s="40">
        <f>+D1802-E1802</f>
        <v>0</v>
      </c>
      <c r="G1802" s="2">
        <f>+ABS(D1802)+ABS(E1802)</f>
        <v>0</v>
      </c>
    </row>
    <row r="1803" spans="1:7">
      <c r="A1803" s="37"/>
      <c r="B1803" s="38"/>
      <c r="C1803" s="39"/>
      <c r="D1803" s="40"/>
      <c r="E1803" s="40"/>
      <c r="F1803" s="40"/>
      <c r="G1803" s="2">
        <f>G1804</f>
        <v>317254.68</v>
      </c>
    </row>
    <row r="1804" spans="1:7" s="15" customFormat="1">
      <c r="A1804" s="42" t="s">
        <v>11</v>
      </c>
      <c r="B1804" s="49" t="s">
        <v>3408</v>
      </c>
      <c r="C1804" s="44"/>
      <c r="D1804" s="45">
        <f>SUM(D1799:D1803)</f>
        <v>167993.41</v>
      </c>
      <c r="E1804" s="45">
        <f>SUM(E1799:E1803)</f>
        <v>149261.26999999999</v>
      </c>
      <c r="F1804" s="45">
        <f>+D1804-E1804</f>
        <v>18732.14</v>
      </c>
      <c r="G1804" s="2">
        <f>+ABS(D1804)+ABS(E1804)</f>
        <v>317254.68</v>
      </c>
    </row>
    <row r="1805" spans="1:7">
      <c r="A1805" s="37"/>
      <c r="B1805" s="59"/>
      <c r="C1805" s="39"/>
      <c r="D1805" s="40"/>
      <c r="E1805" s="40"/>
      <c r="F1805" s="40"/>
      <c r="G1805" s="2">
        <f>G1806</f>
        <v>1350532.11</v>
      </c>
    </row>
    <row r="1806" spans="1:7" s="15" customFormat="1">
      <c r="A1806" s="42" t="s">
        <v>11</v>
      </c>
      <c r="B1806" s="43" t="s">
        <v>3409</v>
      </c>
      <c r="C1806" s="44"/>
      <c r="D1806" s="45">
        <f>+D1722+D1796+D1804</f>
        <v>681551.46</v>
      </c>
      <c r="E1806" s="45">
        <f>+E1722+E1796+E1804</f>
        <v>668980.65</v>
      </c>
      <c r="F1806" s="45">
        <f>+D1806-E1806</f>
        <v>12570.8100000001</v>
      </c>
      <c r="G1806" s="2">
        <f>+ABS(D1806)+ABS(E1806)</f>
        <v>1350532.11</v>
      </c>
    </row>
    <row r="1807" spans="1:7">
      <c r="A1807" s="42"/>
      <c r="B1807" s="39"/>
      <c r="C1807" s="39"/>
      <c r="D1807" s="40"/>
      <c r="E1807" s="40"/>
      <c r="F1807" s="40"/>
      <c r="G1807" s="2">
        <f>G1806</f>
        <v>1350532.11</v>
      </c>
    </row>
    <row r="1808" spans="1:7" s="15" customFormat="1">
      <c r="A1808" s="46" t="s">
        <v>11</v>
      </c>
      <c r="B1808" s="47" t="s">
        <v>3410</v>
      </c>
      <c r="C1808" s="44"/>
      <c r="D1808" s="40"/>
      <c r="E1808" s="40"/>
      <c r="F1808" s="40"/>
      <c r="G1808" s="2">
        <f>G1848</f>
        <v>102000000</v>
      </c>
    </row>
    <row r="1809" spans="1:7" s="15" customFormat="1">
      <c r="A1809" s="46"/>
      <c r="B1809" s="47"/>
      <c r="C1809" s="44"/>
      <c r="D1809" s="40"/>
      <c r="E1809" s="40"/>
      <c r="F1809" s="40"/>
      <c r="G1809" s="2">
        <f>G1848</f>
        <v>102000000</v>
      </c>
    </row>
    <row r="1810" spans="1:7" s="15" customFormat="1">
      <c r="A1810" s="46" t="s">
        <v>11</v>
      </c>
      <c r="B1810" s="44" t="s">
        <v>3411</v>
      </c>
      <c r="C1810" s="44"/>
      <c r="D1810" s="40"/>
      <c r="E1810" s="40"/>
      <c r="F1810" s="40"/>
      <c r="G1810" s="2">
        <f>G1848</f>
        <v>102000000</v>
      </c>
    </row>
    <row r="1811" spans="1:7">
      <c r="A1811" s="37" t="s">
        <v>3412</v>
      </c>
      <c r="B1811" s="48" t="s">
        <v>3413</v>
      </c>
      <c r="C1811" s="39"/>
      <c r="D1811" s="40">
        <v>51000000</v>
      </c>
      <c r="E1811" s="40">
        <v>51000000</v>
      </c>
      <c r="F1811" s="40">
        <f>+D1811-E1811</f>
        <v>0</v>
      </c>
      <c r="G1811" s="2">
        <f>+ABS(D1811)+ABS(E1811)</f>
        <v>102000000</v>
      </c>
    </row>
    <row r="1812" spans="1:7" hidden="1">
      <c r="A1812" s="37" t="s">
        <v>3414</v>
      </c>
      <c r="B1812" s="48" t="s">
        <v>3415</v>
      </c>
      <c r="C1812" s="39"/>
      <c r="D1812" s="40">
        <v>0</v>
      </c>
      <c r="E1812" s="40">
        <v>0</v>
      </c>
      <c r="F1812" s="40">
        <f>+D1812-E1812</f>
        <v>0</v>
      </c>
      <c r="G1812" s="2">
        <f>+ABS(D1812)+ABS(E1812)</f>
        <v>0</v>
      </c>
    </row>
    <row r="1813" spans="1:7" hidden="1">
      <c r="A1813" s="37" t="s">
        <v>3416</v>
      </c>
      <c r="B1813" s="48" t="s">
        <v>3417</v>
      </c>
      <c r="C1813" s="39"/>
      <c r="D1813" s="40">
        <v>0</v>
      </c>
      <c r="E1813" s="40">
        <v>0</v>
      </c>
      <c r="F1813" s="40">
        <f>+D1813-E1813</f>
        <v>0</v>
      </c>
      <c r="G1813" s="2">
        <f>+ABS(D1813)+ABS(E1813)</f>
        <v>0</v>
      </c>
    </row>
    <row r="1814" spans="1:7" hidden="1">
      <c r="A1814" s="37" t="s">
        <v>3418</v>
      </c>
      <c r="B1814" s="48" t="s">
        <v>3419</v>
      </c>
      <c r="C1814" s="39"/>
      <c r="D1814" s="40">
        <v>0</v>
      </c>
      <c r="E1814" s="40">
        <v>0</v>
      </c>
      <c r="F1814" s="40">
        <f>+D1814-E1814</f>
        <v>0</v>
      </c>
      <c r="G1814" s="2">
        <f>+ABS(D1814)+ABS(E1814)</f>
        <v>0</v>
      </c>
    </row>
    <row r="1815" spans="1:7" hidden="1">
      <c r="A1815" s="37" t="s">
        <v>3420</v>
      </c>
      <c r="B1815" s="48" t="s">
        <v>3421</v>
      </c>
      <c r="C1815" s="39"/>
      <c r="D1815" s="40">
        <v>0</v>
      </c>
      <c r="E1815" s="40">
        <v>0</v>
      </c>
      <c r="F1815" s="40">
        <f>+D1815-E1815</f>
        <v>0</v>
      </c>
      <c r="G1815" s="2">
        <f>+ABS(D1815)+ABS(E1815)</f>
        <v>0</v>
      </c>
    </row>
    <row r="1816" spans="1:7" hidden="1">
      <c r="A1816" s="37"/>
      <c r="B1816" s="38"/>
      <c r="C1816" s="39"/>
      <c r="D1816" s="40"/>
      <c r="E1816" s="40"/>
      <c r="F1816" s="40"/>
    </row>
    <row r="1817" spans="1:7" hidden="1">
      <c r="A1817" s="37" t="s">
        <v>3422</v>
      </c>
      <c r="B1817" s="38" t="s">
        <v>3423</v>
      </c>
      <c r="C1817" s="39"/>
      <c r="D1817" s="40">
        <v>0</v>
      </c>
      <c r="E1817" s="40">
        <v>0</v>
      </c>
      <c r="F1817" s="40">
        <f>+D1817-E1817</f>
        <v>0</v>
      </c>
      <c r="G1817" s="2">
        <f>+ABS(D1817)+ABS(E1817)</f>
        <v>0</v>
      </c>
    </row>
    <row r="1818" spans="1:7" hidden="1">
      <c r="A1818" s="37" t="s">
        <v>3424</v>
      </c>
      <c r="B1818" s="38" t="s">
        <v>3425</v>
      </c>
      <c r="C1818" s="39"/>
      <c r="D1818" s="40">
        <v>0</v>
      </c>
      <c r="E1818" s="40">
        <v>0</v>
      </c>
      <c r="F1818" s="40">
        <f>+D1818-E1818</f>
        <v>0</v>
      </c>
      <c r="G1818" s="2">
        <f>+ABS(D1818)+ABS(E1818)</f>
        <v>0</v>
      </c>
    </row>
    <row r="1819" spans="1:7" hidden="1">
      <c r="A1819" s="37" t="s">
        <v>3426</v>
      </c>
      <c r="B1819" s="38" t="s">
        <v>3427</v>
      </c>
      <c r="C1819" s="39"/>
      <c r="D1819" s="40">
        <v>0</v>
      </c>
      <c r="E1819" s="40">
        <v>0</v>
      </c>
      <c r="F1819" s="40">
        <f>+D1819-E1819</f>
        <v>0</v>
      </c>
      <c r="G1819" s="2">
        <f>+ABS(D1819)+ABS(E1819)</f>
        <v>0</v>
      </c>
    </row>
    <row r="1820" spans="1:7" hidden="1">
      <c r="A1820" s="37" t="s">
        <v>3428</v>
      </c>
      <c r="B1820" s="38" t="s">
        <v>3429</v>
      </c>
      <c r="C1820" s="39"/>
      <c r="D1820" s="40">
        <v>0</v>
      </c>
      <c r="E1820" s="40">
        <v>0</v>
      </c>
      <c r="F1820" s="40">
        <f>+D1820-E1820</f>
        <v>0</v>
      </c>
      <c r="G1820" s="2">
        <f>+ABS(D1820)+ABS(E1820)</f>
        <v>0</v>
      </c>
    </row>
    <row r="1821" spans="1:7" hidden="1">
      <c r="A1821" s="37" t="s">
        <v>3430</v>
      </c>
      <c r="B1821" s="38" t="s">
        <v>3431</v>
      </c>
      <c r="C1821" s="39"/>
      <c r="D1821" s="40">
        <v>0</v>
      </c>
      <c r="E1821" s="40">
        <v>0</v>
      </c>
      <c r="F1821" s="40">
        <f>+D1821-E1821</f>
        <v>0</v>
      </c>
      <c r="G1821" s="2">
        <f>+ABS(D1821)+ABS(E1821)</f>
        <v>0</v>
      </c>
    </row>
    <row r="1822" spans="1:7" hidden="1">
      <c r="A1822" s="37" t="s">
        <v>3432</v>
      </c>
      <c r="B1822" s="38" t="s">
        <v>3433</v>
      </c>
      <c r="C1822" s="39"/>
      <c r="D1822" s="40">
        <v>0</v>
      </c>
      <c r="E1822" s="40">
        <v>0</v>
      </c>
      <c r="F1822" s="40">
        <f>+D1822-E1822</f>
        <v>0</v>
      </c>
      <c r="G1822" s="2">
        <f>+ABS(D1822)+ABS(E1822)</f>
        <v>0</v>
      </c>
    </row>
    <row r="1823" spans="1:7" hidden="1">
      <c r="A1823" s="37" t="s">
        <v>3434</v>
      </c>
      <c r="B1823" s="38" t="s">
        <v>3435</v>
      </c>
      <c r="C1823" s="39"/>
      <c r="D1823" s="40">
        <v>0</v>
      </c>
      <c r="E1823" s="40">
        <v>0</v>
      </c>
      <c r="F1823" s="40">
        <f>+D1823-E1823</f>
        <v>0</v>
      </c>
      <c r="G1823" s="2">
        <f>+ABS(D1823)+ABS(E1823)</f>
        <v>0</v>
      </c>
    </row>
    <row r="1824" spans="1:7" hidden="1">
      <c r="A1824" s="37" t="s">
        <v>3436</v>
      </c>
      <c r="B1824" s="38" t="s">
        <v>3437</v>
      </c>
      <c r="C1824" s="39"/>
      <c r="D1824" s="40">
        <v>0</v>
      </c>
      <c r="E1824" s="40">
        <v>0</v>
      </c>
      <c r="F1824" s="40">
        <f>+D1824-E1824</f>
        <v>0</v>
      </c>
      <c r="G1824" s="2">
        <f>+ABS(D1824)+ABS(E1824)</f>
        <v>0</v>
      </c>
    </row>
    <row r="1825" spans="1:7" hidden="1">
      <c r="A1825" s="37" t="s">
        <v>3438</v>
      </c>
      <c r="B1825" s="38" t="s">
        <v>3439</v>
      </c>
      <c r="C1825" s="39"/>
      <c r="D1825" s="40">
        <v>0</v>
      </c>
      <c r="E1825" s="40">
        <v>0</v>
      </c>
      <c r="F1825" s="40">
        <f>+D1825-E1825</f>
        <v>0</v>
      </c>
      <c r="G1825" s="2">
        <f>+ABS(D1825)+ABS(E1825)</f>
        <v>0</v>
      </c>
    </row>
    <row r="1826" spans="1:7" hidden="1">
      <c r="A1826" s="37" t="s">
        <v>3440</v>
      </c>
      <c r="B1826" s="38" t="s">
        <v>3441</v>
      </c>
      <c r="C1826" s="39"/>
      <c r="D1826" s="40">
        <v>0</v>
      </c>
      <c r="E1826" s="40">
        <v>0</v>
      </c>
      <c r="F1826" s="40">
        <f>+D1826-E1826</f>
        <v>0</v>
      </c>
      <c r="G1826" s="2">
        <f>+ABS(D1826)+ABS(E1826)</f>
        <v>0</v>
      </c>
    </row>
    <row r="1827" spans="1:7" hidden="1">
      <c r="A1827" s="37" t="s">
        <v>3442</v>
      </c>
      <c r="B1827" s="38" t="s">
        <v>3443</v>
      </c>
      <c r="C1827" s="39"/>
      <c r="D1827" s="40">
        <v>0</v>
      </c>
      <c r="E1827" s="40">
        <v>0</v>
      </c>
      <c r="F1827" s="40">
        <f>+D1827-E1827</f>
        <v>0</v>
      </c>
      <c r="G1827" s="2">
        <f>+ABS(D1827)+ABS(E1827)</f>
        <v>0</v>
      </c>
    </row>
    <row r="1828" spans="1:7" hidden="1">
      <c r="A1828" s="37" t="s">
        <v>3444</v>
      </c>
      <c r="B1828" s="38" t="s">
        <v>3445</v>
      </c>
      <c r="C1828" s="39"/>
      <c r="D1828" s="40">
        <v>0</v>
      </c>
      <c r="E1828" s="40">
        <v>0</v>
      </c>
      <c r="F1828" s="40">
        <f>+D1828-E1828</f>
        <v>0</v>
      </c>
      <c r="G1828" s="2">
        <f>+ABS(D1828)+ABS(E1828)</f>
        <v>0</v>
      </c>
    </row>
    <row r="1829" spans="1:7" hidden="1">
      <c r="A1829" s="37" t="s">
        <v>3446</v>
      </c>
      <c r="B1829" s="38" t="s">
        <v>3447</v>
      </c>
      <c r="C1829" s="39"/>
      <c r="D1829" s="40">
        <v>0</v>
      </c>
      <c r="E1829" s="40">
        <v>0</v>
      </c>
      <c r="F1829" s="40">
        <f>+D1829-E1829</f>
        <v>0</v>
      </c>
      <c r="G1829" s="2">
        <f>+ABS(D1829)+ABS(E1829)</f>
        <v>0</v>
      </c>
    </row>
    <row r="1830" spans="1:7" hidden="1">
      <c r="A1830" s="37" t="s">
        <v>3448</v>
      </c>
      <c r="B1830" s="38" t="s">
        <v>3449</v>
      </c>
      <c r="C1830" s="39"/>
      <c r="D1830" s="40">
        <v>0</v>
      </c>
      <c r="E1830" s="40">
        <v>0</v>
      </c>
      <c r="F1830" s="40">
        <f>+D1830-E1830</f>
        <v>0</v>
      </c>
      <c r="G1830" s="2">
        <f>+ABS(D1830)+ABS(E1830)</f>
        <v>0</v>
      </c>
    </row>
    <row r="1831" spans="1:7" hidden="1">
      <c r="A1831" s="37" t="s">
        <v>3450</v>
      </c>
      <c r="B1831" s="38" t="s">
        <v>3451</v>
      </c>
      <c r="C1831" s="39"/>
      <c r="D1831" s="40">
        <v>0</v>
      </c>
      <c r="E1831" s="40">
        <v>0</v>
      </c>
      <c r="F1831" s="40">
        <f>+D1831-E1831</f>
        <v>0</v>
      </c>
      <c r="G1831" s="2">
        <f>+ABS(D1831)+ABS(E1831)</f>
        <v>0</v>
      </c>
    </row>
    <row r="1832" spans="1:7" hidden="1">
      <c r="A1832" s="37" t="s">
        <v>3452</v>
      </c>
      <c r="B1832" s="38" t="s">
        <v>3453</v>
      </c>
      <c r="C1832" s="39"/>
      <c r="D1832" s="40">
        <v>0</v>
      </c>
      <c r="E1832" s="40">
        <v>0</v>
      </c>
      <c r="F1832" s="40">
        <f>+D1832-E1832</f>
        <v>0</v>
      </c>
      <c r="G1832" s="2">
        <f>+ABS(D1832)+ABS(E1832)</f>
        <v>0</v>
      </c>
    </row>
    <row r="1833" spans="1:7" hidden="1">
      <c r="A1833" s="37" t="s">
        <v>3454</v>
      </c>
      <c r="B1833" s="38" t="s">
        <v>3455</v>
      </c>
      <c r="C1833" s="39"/>
      <c r="D1833" s="40">
        <v>0</v>
      </c>
      <c r="E1833" s="40">
        <v>0</v>
      </c>
      <c r="F1833" s="40">
        <f>+D1833-E1833</f>
        <v>0</v>
      </c>
      <c r="G1833" s="2">
        <f>+ABS(D1833)+ABS(E1833)</f>
        <v>0</v>
      </c>
    </row>
    <row r="1834" spans="1:7" hidden="1">
      <c r="A1834" s="37" t="s">
        <v>3456</v>
      </c>
      <c r="B1834" s="38" t="s">
        <v>3457</v>
      </c>
      <c r="C1834" s="39"/>
      <c r="D1834" s="40">
        <v>0</v>
      </c>
      <c r="E1834" s="40">
        <v>0</v>
      </c>
      <c r="F1834" s="40">
        <f>+D1834-E1834</f>
        <v>0</v>
      </c>
      <c r="G1834" s="2">
        <f>+ABS(D1834)+ABS(E1834)</f>
        <v>0</v>
      </c>
    </row>
    <row r="1835" spans="1:7" hidden="1">
      <c r="A1835" s="37" t="s">
        <v>3458</v>
      </c>
      <c r="B1835" s="38" t="s">
        <v>3459</v>
      </c>
      <c r="C1835" s="39"/>
      <c r="D1835" s="40">
        <v>0</v>
      </c>
      <c r="E1835" s="40">
        <v>0</v>
      </c>
      <c r="F1835" s="40">
        <f>+D1835-E1835</f>
        <v>0</v>
      </c>
      <c r="G1835" s="2">
        <f>+ABS(D1835)+ABS(E1835)</f>
        <v>0</v>
      </c>
    </row>
    <row r="1836" spans="1:7" hidden="1">
      <c r="A1836" s="37" t="s">
        <v>3460</v>
      </c>
      <c r="B1836" s="38" t="s">
        <v>3461</v>
      </c>
      <c r="C1836" s="39"/>
      <c r="D1836" s="40">
        <v>0</v>
      </c>
      <c r="E1836" s="40">
        <v>0</v>
      </c>
      <c r="F1836" s="40">
        <f>+D1836-E1836</f>
        <v>0</v>
      </c>
      <c r="G1836" s="2">
        <f>+ABS(D1836)+ABS(E1836)</f>
        <v>0</v>
      </c>
    </row>
    <row r="1837" spans="1:7" hidden="1">
      <c r="A1837" s="37" t="s">
        <v>3462</v>
      </c>
      <c r="B1837" s="38" t="s">
        <v>3463</v>
      </c>
      <c r="C1837" s="39"/>
      <c r="D1837" s="40">
        <v>0</v>
      </c>
      <c r="E1837" s="40">
        <v>0</v>
      </c>
      <c r="F1837" s="40">
        <f>+D1837-E1837</f>
        <v>0</v>
      </c>
      <c r="G1837" s="2">
        <f>+ABS(D1837)+ABS(E1837)</f>
        <v>0</v>
      </c>
    </row>
    <row r="1838" spans="1:7" hidden="1">
      <c r="A1838" s="37" t="s">
        <v>3464</v>
      </c>
      <c r="B1838" s="38" t="s">
        <v>3465</v>
      </c>
      <c r="C1838" s="39"/>
      <c r="D1838" s="40">
        <v>0</v>
      </c>
      <c r="E1838" s="40">
        <v>0</v>
      </c>
      <c r="F1838" s="40">
        <f>+D1838-E1838</f>
        <v>0</v>
      </c>
      <c r="G1838" s="2">
        <f>+ABS(D1838)+ABS(E1838)</f>
        <v>0</v>
      </c>
    </row>
    <row r="1839" spans="1:7" hidden="1">
      <c r="A1839" s="37" t="s">
        <v>3466</v>
      </c>
      <c r="B1839" s="38" t="s">
        <v>3467</v>
      </c>
      <c r="C1839" s="39"/>
      <c r="D1839" s="40">
        <v>0</v>
      </c>
      <c r="E1839" s="40">
        <v>0</v>
      </c>
      <c r="F1839" s="40">
        <f>+D1839-E1839</f>
        <v>0</v>
      </c>
      <c r="G1839" s="2">
        <f>+ABS(D1839)+ABS(E1839)</f>
        <v>0</v>
      </c>
    </row>
    <row r="1840" spans="1:7" hidden="1">
      <c r="A1840" s="37" t="s">
        <v>3468</v>
      </c>
      <c r="B1840" s="38" t="s">
        <v>3469</v>
      </c>
      <c r="C1840" s="39"/>
      <c r="D1840" s="40">
        <v>0</v>
      </c>
      <c r="E1840" s="40">
        <v>0</v>
      </c>
      <c r="F1840" s="40">
        <f>+D1840-E1840</f>
        <v>0</v>
      </c>
      <c r="G1840" s="2">
        <f>+ABS(D1840)+ABS(E1840)</f>
        <v>0</v>
      </c>
    </row>
    <row r="1841" spans="1:7" hidden="1">
      <c r="A1841" s="37" t="s">
        <v>3470</v>
      </c>
      <c r="B1841" s="38" t="s">
        <v>3471</v>
      </c>
      <c r="C1841" s="39"/>
      <c r="D1841" s="40">
        <v>0</v>
      </c>
      <c r="E1841" s="40">
        <v>0</v>
      </c>
      <c r="F1841" s="40">
        <f>+D1841-E1841</f>
        <v>0</v>
      </c>
      <c r="G1841" s="2">
        <f>+ABS(D1841)+ABS(E1841)</f>
        <v>0</v>
      </c>
    </row>
    <row r="1842" spans="1:7" hidden="1">
      <c r="A1842" s="37" t="s">
        <v>3472</v>
      </c>
      <c r="B1842" s="38" t="s">
        <v>3473</v>
      </c>
      <c r="C1842" s="39"/>
      <c r="D1842" s="40">
        <v>0</v>
      </c>
      <c r="E1842" s="40">
        <v>0</v>
      </c>
      <c r="F1842" s="40">
        <f>+D1842-E1842</f>
        <v>0</v>
      </c>
      <c r="G1842" s="2">
        <f>+ABS(D1842)+ABS(E1842)</f>
        <v>0</v>
      </c>
    </row>
    <row r="1843" spans="1:7" hidden="1">
      <c r="A1843" s="37" t="s">
        <v>3474</v>
      </c>
      <c r="B1843" s="38" t="s">
        <v>3475</v>
      </c>
      <c r="C1843" s="39"/>
      <c r="D1843" s="40">
        <v>0</v>
      </c>
      <c r="E1843" s="40">
        <v>0</v>
      </c>
      <c r="F1843" s="40">
        <f>+D1843-E1843</f>
        <v>0</v>
      </c>
      <c r="G1843" s="2">
        <f>+ABS(D1843)+ABS(E1843)</f>
        <v>0</v>
      </c>
    </row>
    <row r="1844" spans="1:7" hidden="1">
      <c r="A1844" s="37" t="s">
        <v>3476</v>
      </c>
      <c r="B1844" s="38" t="s">
        <v>3477</v>
      </c>
      <c r="C1844" s="39"/>
      <c r="D1844" s="40">
        <v>0</v>
      </c>
      <c r="E1844" s="40">
        <v>0</v>
      </c>
      <c r="F1844" s="40">
        <f>+D1844-E1844</f>
        <v>0</v>
      </c>
      <c r="G1844" s="2">
        <f>+ABS(D1844)+ABS(E1844)</f>
        <v>0</v>
      </c>
    </row>
    <row r="1845" spans="1:7" hidden="1">
      <c r="A1845" s="37" t="s">
        <v>3478</v>
      </c>
      <c r="B1845" s="38" t="s">
        <v>3479</v>
      </c>
      <c r="C1845" s="39"/>
      <c r="D1845" s="40">
        <v>0</v>
      </c>
      <c r="E1845" s="40">
        <v>0</v>
      </c>
      <c r="F1845" s="40">
        <f>+D1845-E1845</f>
        <v>0</v>
      </c>
      <c r="G1845" s="2">
        <f>+ABS(D1845)+ABS(E1845)</f>
        <v>0</v>
      </c>
    </row>
    <row r="1846" spans="1:7" hidden="1">
      <c r="A1846" s="37" t="s">
        <v>3480</v>
      </c>
      <c r="B1846" s="38" t="s">
        <v>3481</v>
      </c>
      <c r="C1846" s="39"/>
      <c r="D1846" s="40">
        <v>0</v>
      </c>
      <c r="E1846" s="40">
        <v>0</v>
      </c>
      <c r="F1846" s="40">
        <f>+D1846-E1846</f>
        <v>0</v>
      </c>
      <c r="G1846" s="2">
        <f>+ABS(D1846)+ABS(E1846)</f>
        <v>0</v>
      </c>
    </row>
    <row r="1847" spans="1:7">
      <c r="A1847" s="37"/>
      <c r="B1847" s="48"/>
      <c r="C1847" s="39"/>
      <c r="D1847" s="40"/>
      <c r="E1847" s="40"/>
      <c r="F1847" s="40"/>
      <c r="G1847" s="2">
        <f>G1848</f>
        <v>102000000</v>
      </c>
    </row>
    <row r="1848" spans="1:7" s="15" customFormat="1">
      <c r="A1848" s="42" t="s">
        <v>11</v>
      </c>
      <c r="B1848" s="49" t="s">
        <v>3482</v>
      </c>
      <c r="C1848" s="44"/>
      <c r="D1848" s="45">
        <f>SUM(D1811:D1847)</f>
        <v>51000000</v>
      </c>
      <c r="E1848" s="45">
        <f>SUM(E1811:E1847)</f>
        <v>51000000</v>
      </c>
      <c r="F1848" s="45">
        <f>+D1848-E1848</f>
        <v>0</v>
      </c>
      <c r="G1848" s="2">
        <f>+ABS(D1848)+ABS(E1848)</f>
        <v>102000000</v>
      </c>
    </row>
    <row r="1849" spans="1:7">
      <c r="A1849" s="42"/>
      <c r="B1849" s="39"/>
      <c r="C1849" s="39"/>
      <c r="D1849" s="40"/>
      <c r="E1849" s="40"/>
      <c r="F1849" s="40"/>
      <c r="G1849" s="2">
        <f>G1848</f>
        <v>102000000</v>
      </c>
    </row>
    <row r="1850" spans="1:7" s="15" customFormat="1" hidden="1">
      <c r="A1850" s="46" t="s">
        <v>11</v>
      </c>
      <c r="B1850" s="44" t="s">
        <v>3483</v>
      </c>
      <c r="C1850" s="44"/>
      <c r="D1850" s="40"/>
      <c r="E1850" s="40"/>
      <c r="F1850" s="40"/>
      <c r="G1850" s="2">
        <f>G1924</f>
        <v>0</v>
      </c>
    </row>
    <row r="1851" spans="1:7" hidden="1">
      <c r="A1851" s="37"/>
      <c r="B1851" s="38"/>
      <c r="C1851" s="39"/>
      <c r="D1851" s="40"/>
      <c r="E1851" s="40"/>
      <c r="F1851" s="40"/>
    </row>
    <row r="1852" spans="1:7" hidden="1">
      <c r="A1852" s="37" t="s">
        <v>3484</v>
      </c>
      <c r="B1852" s="38" t="s">
        <v>3485</v>
      </c>
      <c r="C1852" s="39"/>
      <c r="D1852" s="40">
        <v>0</v>
      </c>
      <c r="E1852" s="40">
        <v>0</v>
      </c>
      <c r="F1852" s="40">
        <f>+D1852-E1852</f>
        <v>0</v>
      </c>
      <c r="G1852" s="2">
        <f>+ABS(D1852)+ABS(E1852)</f>
        <v>0</v>
      </c>
    </row>
    <row r="1853" spans="1:7" hidden="1">
      <c r="A1853" s="37" t="s">
        <v>3486</v>
      </c>
      <c r="B1853" s="38" t="s">
        <v>3487</v>
      </c>
      <c r="C1853" s="39"/>
      <c r="D1853" s="40">
        <v>0</v>
      </c>
      <c r="E1853" s="40">
        <v>0</v>
      </c>
      <c r="F1853" s="40">
        <f>+D1853-E1853</f>
        <v>0</v>
      </c>
      <c r="G1853" s="2">
        <f>+ABS(D1853)+ABS(E1853)</f>
        <v>0</v>
      </c>
    </row>
    <row r="1854" spans="1:7" hidden="1">
      <c r="A1854" s="37" t="s">
        <v>3488</v>
      </c>
      <c r="B1854" s="38" t="s">
        <v>3489</v>
      </c>
      <c r="C1854" s="39"/>
      <c r="D1854" s="40">
        <v>0</v>
      </c>
      <c r="E1854" s="40">
        <v>0</v>
      </c>
      <c r="F1854" s="40">
        <f>+D1854-E1854</f>
        <v>0</v>
      </c>
      <c r="G1854" s="2">
        <f>+ABS(D1854)+ABS(E1854)</f>
        <v>0</v>
      </c>
    </row>
    <row r="1855" spans="1:7" hidden="1">
      <c r="A1855" s="37" t="s">
        <v>3490</v>
      </c>
      <c r="B1855" s="38" t="s">
        <v>3491</v>
      </c>
      <c r="C1855" s="39"/>
      <c r="D1855" s="40">
        <v>0</v>
      </c>
      <c r="E1855" s="40">
        <v>0</v>
      </c>
      <c r="F1855" s="40">
        <f>+D1855-E1855</f>
        <v>0</v>
      </c>
      <c r="G1855" s="2">
        <f>+ABS(D1855)+ABS(E1855)</f>
        <v>0</v>
      </c>
    </row>
    <row r="1856" spans="1:7" hidden="1">
      <c r="A1856" s="37" t="s">
        <v>3492</v>
      </c>
      <c r="B1856" s="38" t="s">
        <v>3493</v>
      </c>
      <c r="C1856" s="39"/>
      <c r="D1856" s="40">
        <v>0</v>
      </c>
      <c r="E1856" s="40">
        <v>0</v>
      </c>
      <c r="F1856" s="40">
        <f>+D1856-E1856</f>
        <v>0</v>
      </c>
      <c r="G1856" s="2">
        <f>+ABS(D1856)+ABS(E1856)</f>
        <v>0</v>
      </c>
    </row>
    <row r="1857" spans="1:7" hidden="1">
      <c r="A1857" s="37" t="s">
        <v>3494</v>
      </c>
      <c r="B1857" s="38" t="s">
        <v>3495</v>
      </c>
      <c r="C1857" s="39"/>
      <c r="D1857" s="40">
        <v>0</v>
      </c>
      <c r="E1857" s="40">
        <v>0</v>
      </c>
      <c r="F1857" s="40">
        <f>+D1857-E1857</f>
        <v>0</v>
      </c>
      <c r="G1857" s="2">
        <f>+ABS(D1857)+ABS(E1857)</f>
        <v>0</v>
      </c>
    </row>
    <row r="1858" spans="1:7" hidden="1">
      <c r="A1858" s="37" t="s">
        <v>3496</v>
      </c>
      <c r="B1858" s="38" t="s">
        <v>3497</v>
      </c>
      <c r="C1858" s="39"/>
      <c r="D1858" s="40">
        <v>0</v>
      </c>
      <c r="E1858" s="40">
        <v>0</v>
      </c>
      <c r="F1858" s="40">
        <f>+D1858-E1858</f>
        <v>0</v>
      </c>
      <c r="G1858" s="2">
        <f>+ABS(D1858)+ABS(E1858)</f>
        <v>0</v>
      </c>
    </row>
    <row r="1859" spans="1:7" hidden="1">
      <c r="A1859" s="37" t="s">
        <v>3498</v>
      </c>
      <c r="B1859" s="38" t="s">
        <v>3499</v>
      </c>
      <c r="C1859" s="39"/>
      <c r="D1859" s="40">
        <v>0</v>
      </c>
      <c r="E1859" s="40">
        <v>0</v>
      </c>
      <c r="F1859" s="40">
        <f>+D1859-E1859</f>
        <v>0</v>
      </c>
      <c r="G1859" s="2">
        <f>+ABS(D1859)+ABS(E1859)</f>
        <v>0</v>
      </c>
    </row>
    <row r="1860" spans="1:7" hidden="1">
      <c r="A1860" s="37" t="s">
        <v>3500</v>
      </c>
      <c r="B1860" s="38" t="s">
        <v>3501</v>
      </c>
      <c r="C1860" s="39"/>
      <c r="D1860" s="40">
        <v>0</v>
      </c>
      <c r="E1860" s="40">
        <v>0</v>
      </c>
      <c r="F1860" s="40">
        <f>+D1860-E1860</f>
        <v>0</v>
      </c>
      <c r="G1860" s="2">
        <f>+ABS(D1860)+ABS(E1860)</f>
        <v>0</v>
      </c>
    </row>
    <row r="1861" spans="1:7" hidden="1">
      <c r="A1861" s="37" t="s">
        <v>3502</v>
      </c>
      <c r="B1861" s="38" t="s">
        <v>3503</v>
      </c>
      <c r="C1861" s="39"/>
      <c r="D1861" s="40">
        <v>0</v>
      </c>
      <c r="E1861" s="40">
        <v>0</v>
      </c>
      <c r="F1861" s="40">
        <f>+D1861-E1861</f>
        <v>0</v>
      </c>
      <c r="G1861" s="2">
        <f>+ABS(D1861)+ABS(E1861)</f>
        <v>0</v>
      </c>
    </row>
    <row r="1862" spans="1:7" hidden="1">
      <c r="A1862" s="37" t="s">
        <v>3504</v>
      </c>
      <c r="B1862" s="38" t="s">
        <v>3505</v>
      </c>
      <c r="C1862" s="39"/>
      <c r="D1862" s="40">
        <v>0</v>
      </c>
      <c r="E1862" s="40">
        <v>0</v>
      </c>
      <c r="F1862" s="40">
        <f>+D1862-E1862</f>
        <v>0</v>
      </c>
      <c r="G1862" s="2">
        <f>+ABS(D1862)+ABS(E1862)</f>
        <v>0</v>
      </c>
    </row>
    <row r="1863" spans="1:7" hidden="1">
      <c r="A1863" s="37" t="s">
        <v>3506</v>
      </c>
      <c r="B1863" s="38" t="s">
        <v>3507</v>
      </c>
      <c r="C1863" s="39"/>
      <c r="D1863" s="40">
        <v>0</v>
      </c>
      <c r="E1863" s="40">
        <v>0</v>
      </c>
      <c r="F1863" s="40">
        <f>+D1863-E1863</f>
        <v>0</v>
      </c>
      <c r="G1863" s="2">
        <f>+ABS(D1863)+ABS(E1863)</f>
        <v>0</v>
      </c>
    </row>
    <row r="1864" spans="1:7" hidden="1">
      <c r="A1864" s="37" t="s">
        <v>3508</v>
      </c>
      <c r="B1864" s="38" t="s">
        <v>3509</v>
      </c>
      <c r="C1864" s="39"/>
      <c r="D1864" s="40">
        <v>0</v>
      </c>
      <c r="E1864" s="40">
        <v>0</v>
      </c>
      <c r="F1864" s="40">
        <f>+D1864-E1864</f>
        <v>0</v>
      </c>
      <c r="G1864" s="2">
        <f>+ABS(D1864)+ABS(E1864)</f>
        <v>0</v>
      </c>
    </row>
    <row r="1865" spans="1:7" hidden="1">
      <c r="A1865" s="37" t="s">
        <v>3510</v>
      </c>
      <c r="B1865" s="38" t="s">
        <v>3511</v>
      </c>
      <c r="C1865" s="39"/>
      <c r="D1865" s="40">
        <v>0</v>
      </c>
      <c r="E1865" s="40">
        <v>0</v>
      </c>
      <c r="F1865" s="40">
        <f>+D1865-E1865</f>
        <v>0</v>
      </c>
      <c r="G1865" s="2">
        <f>+ABS(D1865)+ABS(E1865)</f>
        <v>0</v>
      </c>
    </row>
    <row r="1866" spans="1:7" hidden="1">
      <c r="A1866" s="37" t="s">
        <v>3512</v>
      </c>
      <c r="B1866" s="38" t="s">
        <v>3513</v>
      </c>
      <c r="C1866" s="39"/>
      <c r="D1866" s="40">
        <v>0</v>
      </c>
      <c r="E1866" s="40">
        <v>0</v>
      </c>
      <c r="F1866" s="40">
        <f>+D1866-E1866</f>
        <v>0</v>
      </c>
      <c r="G1866" s="2">
        <f>+ABS(D1866)+ABS(E1866)</f>
        <v>0</v>
      </c>
    </row>
    <row r="1867" spans="1:7" hidden="1">
      <c r="A1867" s="37" t="s">
        <v>3514</v>
      </c>
      <c r="B1867" s="38" t="s">
        <v>3515</v>
      </c>
      <c r="C1867" s="39"/>
      <c r="D1867" s="40">
        <v>0</v>
      </c>
      <c r="E1867" s="40">
        <v>0</v>
      </c>
      <c r="F1867" s="40">
        <f>+D1867-E1867</f>
        <v>0</v>
      </c>
      <c r="G1867" s="2">
        <f>+ABS(D1867)+ABS(E1867)</f>
        <v>0</v>
      </c>
    </row>
    <row r="1868" spans="1:7" hidden="1">
      <c r="A1868" s="37" t="s">
        <v>3516</v>
      </c>
      <c r="B1868" s="38" t="s">
        <v>3517</v>
      </c>
      <c r="C1868" s="39"/>
      <c r="D1868" s="40">
        <v>0</v>
      </c>
      <c r="E1868" s="40">
        <v>0</v>
      </c>
      <c r="F1868" s="40">
        <f>+D1868-E1868</f>
        <v>0</v>
      </c>
      <c r="G1868" s="2">
        <f>+ABS(D1868)+ABS(E1868)</f>
        <v>0</v>
      </c>
    </row>
    <row r="1869" spans="1:7" hidden="1">
      <c r="A1869" s="37" t="s">
        <v>3518</v>
      </c>
      <c r="B1869" s="38" t="s">
        <v>3519</v>
      </c>
      <c r="C1869" s="39"/>
      <c r="D1869" s="40">
        <v>0</v>
      </c>
      <c r="E1869" s="40">
        <v>0</v>
      </c>
      <c r="F1869" s="40">
        <f>+D1869-E1869</f>
        <v>0</v>
      </c>
      <c r="G1869" s="2">
        <f>+ABS(D1869)+ABS(E1869)</f>
        <v>0</v>
      </c>
    </row>
    <row r="1870" spans="1:7" hidden="1">
      <c r="A1870" s="37" t="s">
        <v>3520</v>
      </c>
      <c r="B1870" s="38" t="s">
        <v>3521</v>
      </c>
      <c r="C1870" s="39"/>
      <c r="D1870" s="40">
        <v>0</v>
      </c>
      <c r="E1870" s="40">
        <v>0</v>
      </c>
      <c r="F1870" s="40">
        <f>+D1870-E1870</f>
        <v>0</v>
      </c>
      <c r="G1870" s="2">
        <f>+ABS(D1870)+ABS(E1870)</f>
        <v>0</v>
      </c>
    </row>
    <row r="1871" spans="1:7" hidden="1">
      <c r="A1871" s="37" t="s">
        <v>3522</v>
      </c>
      <c r="B1871" s="38" t="s">
        <v>3523</v>
      </c>
      <c r="C1871" s="39"/>
      <c r="D1871" s="40">
        <v>0</v>
      </c>
      <c r="E1871" s="40">
        <v>0</v>
      </c>
      <c r="F1871" s="40">
        <f>+D1871-E1871</f>
        <v>0</v>
      </c>
      <c r="G1871" s="2">
        <f>+ABS(D1871)+ABS(E1871)</f>
        <v>0</v>
      </c>
    </row>
    <row r="1872" spans="1:7" hidden="1">
      <c r="A1872" s="37" t="s">
        <v>3524</v>
      </c>
      <c r="B1872" s="38" t="s">
        <v>3525</v>
      </c>
      <c r="C1872" s="39"/>
      <c r="D1872" s="40">
        <v>0</v>
      </c>
      <c r="E1872" s="40">
        <v>0</v>
      </c>
      <c r="F1872" s="40">
        <f>+D1872-E1872</f>
        <v>0</v>
      </c>
      <c r="G1872" s="2">
        <f>+ABS(D1872)+ABS(E1872)</f>
        <v>0</v>
      </c>
    </row>
    <row r="1873" spans="1:7" hidden="1">
      <c r="A1873" s="37" t="s">
        <v>3526</v>
      </c>
      <c r="B1873" s="38" t="s">
        <v>3527</v>
      </c>
      <c r="C1873" s="39"/>
      <c r="D1873" s="40">
        <v>0</v>
      </c>
      <c r="E1873" s="40">
        <v>0</v>
      </c>
      <c r="F1873" s="40">
        <f>+D1873-E1873</f>
        <v>0</v>
      </c>
      <c r="G1873" s="2">
        <f>+ABS(D1873)+ABS(E1873)</f>
        <v>0</v>
      </c>
    </row>
    <row r="1874" spans="1:7" hidden="1">
      <c r="A1874" s="37" t="s">
        <v>3528</v>
      </c>
      <c r="B1874" s="38" t="s">
        <v>3529</v>
      </c>
      <c r="C1874" s="39"/>
      <c r="D1874" s="40">
        <v>0</v>
      </c>
      <c r="E1874" s="40">
        <v>0</v>
      </c>
      <c r="F1874" s="40">
        <f>+D1874-E1874</f>
        <v>0</v>
      </c>
      <c r="G1874" s="2">
        <f>+ABS(D1874)+ABS(E1874)</f>
        <v>0</v>
      </c>
    </row>
    <row r="1875" spans="1:7" hidden="1">
      <c r="A1875" s="37" t="s">
        <v>3530</v>
      </c>
      <c r="B1875" s="38" t="s">
        <v>3531</v>
      </c>
      <c r="C1875" s="39"/>
      <c r="D1875" s="40">
        <v>0</v>
      </c>
      <c r="E1875" s="40">
        <v>0</v>
      </c>
      <c r="F1875" s="40">
        <f>+D1875-E1875</f>
        <v>0</v>
      </c>
      <c r="G1875" s="2">
        <f>+ABS(D1875)+ABS(E1875)</f>
        <v>0</v>
      </c>
    </row>
    <row r="1876" spans="1:7" hidden="1">
      <c r="A1876" s="37" t="s">
        <v>3532</v>
      </c>
      <c r="B1876" s="38" t="s">
        <v>3533</v>
      </c>
      <c r="C1876" s="39"/>
      <c r="D1876" s="40">
        <v>0</v>
      </c>
      <c r="E1876" s="40">
        <v>0</v>
      </c>
      <c r="F1876" s="40">
        <f>+D1876-E1876</f>
        <v>0</v>
      </c>
      <c r="G1876" s="2">
        <f>+ABS(D1876)+ABS(E1876)</f>
        <v>0</v>
      </c>
    </row>
    <row r="1877" spans="1:7" hidden="1">
      <c r="A1877" s="37" t="s">
        <v>3534</v>
      </c>
      <c r="B1877" s="38" t="s">
        <v>3535</v>
      </c>
      <c r="C1877" s="39"/>
      <c r="D1877" s="40">
        <v>0</v>
      </c>
      <c r="E1877" s="40">
        <v>0</v>
      </c>
      <c r="F1877" s="40">
        <f>+D1877-E1877</f>
        <v>0</v>
      </c>
      <c r="G1877" s="2">
        <f>+ABS(D1877)+ABS(E1877)</f>
        <v>0</v>
      </c>
    </row>
    <row r="1878" spans="1:7" hidden="1">
      <c r="A1878" s="37" t="s">
        <v>3536</v>
      </c>
      <c r="B1878" s="38" t="s">
        <v>3537</v>
      </c>
      <c r="C1878" s="39"/>
      <c r="D1878" s="40">
        <v>0</v>
      </c>
      <c r="E1878" s="40">
        <v>0</v>
      </c>
      <c r="F1878" s="40">
        <f>+D1878-E1878</f>
        <v>0</v>
      </c>
      <c r="G1878" s="2">
        <f>+ABS(D1878)+ABS(E1878)</f>
        <v>0</v>
      </c>
    </row>
    <row r="1879" spans="1:7" hidden="1">
      <c r="A1879" s="37" t="s">
        <v>3538</v>
      </c>
      <c r="B1879" s="38" t="s">
        <v>3539</v>
      </c>
      <c r="C1879" s="39"/>
      <c r="D1879" s="40">
        <v>0</v>
      </c>
      <c r="E1879" s="40">
        <v>0</v>
      </c>
      <c r="F1879" s="40">
        <f>+D1879-E1879</f>
        <v>0</v>
      </c>
      <c r="G1879" s="2">
        <f>+ABS(D1879)+ABS(E1879)</f>
        <v>0</v>
      </c>
    </row>
    <row r="1880" spans="1:7" hidden="1">
      <c r="A1880" s="37" t="s">
        <v>3540</v>
      </c>
      <c r="B1880" s="38" t="s">
        <v>3541</v>
      </c>
      <c r="C1880" s="39"/>
      <c r="D1880" s="40">
        <v>0</v>
      </c>
      <c r="E1880" s="40">
        <v>0</v>
      </c>
      <c r="F1880" s="40">
        <f>+D1880-E1880</f>
        <v>0</v>
      </c>
      <c r="G1880" s="2">
        <f>+ABS(D1880)+ABS(E1880)</f>
        <v>0</v>
      </c>
    </row>
    <row r="1881" spans="1:7" hidden="1">
      <c r="A1881" s="37" t="s">
        <v>3542</v>
      </c>
      <c r="B1881" s="38" t="s">
        <v>3543</v>
      </c>
      <c r="C1881" s="39"/>
      <c r="D1881" s="40">
        <v>0</v>
      </c>
      <c r="E1881" s="40">
        <v>0</v>
      </c>
      <c r="F1881" s="40">
        <f>+D1881-E1881</f>
        <v>0</v>
      </c>
      <c r="G1881" s="2">
        <f>+ABS(D1881)+ABS(E1881)</f>
        <v>0</v>
      </c>
    </row>
    <row r="1882" spans="1:7" hidden="1">
      <c r="A1882" s="37" t="s">
        <v>3544</v>
      </c>
      <c r="B1882" s="38" t="s">
        <v>3545</v>
      </c>
      <c r="C1882" s="39"/>
      <c r="D1882" s="40">
        <v>0</v>
      </c>
      <c r="E1882" s="40">
        <v>0</v>
      </c>
      <c r="F1882" s="40">
        <f>+D1882-E1882</f>
        <v>0</v>
      </c>
      <c r="G1882" s="2">
        <f>+ABS(D1882)+ABS(E1882)</f>
        <v>0</v>
      </c>
    </row>
    <row r="1883" spans="1:7" hidden="1">
      <c r="A1883" s="37" t="s">
        <v>3546</v>
      </c>
      <c r="B1883" s="38" t="s">
        <v>3547</v>
      </c>
      <c r="C1883" s="39"/>
      <c r="D1883" s="40">
        <v>0</v>
      </c>
      <c r="E1883" s="40">
        <v>0</v>
      </c>
      <c r="F1883" s="40">
        <f>+D1883-E1883</f>
        <v>0</v>
      </c>
      <c r="G1883" s="2">
        <f>+ABS(D1883)+ABS(E1883)</f>
        <v>0</v>
      </c>
    </row>
    <row r="1884" spans="1:7" hidden="1">
      <c r="A1884" s="37" t="s">
        <v>3548</v>
      </c>
      <c r="B1884" s="38" t="s">
        <v>3549</v>
      </c>
      <c r="C1884" s="39"/>
      <c r="D1884" s="40">
        <v>0</v>
      </c>
      <c r="E1884" s="40">
        <v>0</v>
      </c>
      <c r="F1884" s="40">
        <f>+D1884-E1884</f>
        <v>0</v>
      </c>
      <c r="G1884" s="2">
        <f>+ABS(D1884)+ABS(E1884)</f>
        <v>0</v>
      </c>
    </row>
    <row r="1885" spans="1:7" hidden="1">
      <c r="A1885" s="37" t="s">
        <v>3550</v>
      </c>
      <c r="B1885" s="38" t="s">
        <v>3551</v>
      </c>
      <c r="C1885" s="39"/>
      <c r="D1885" s="40">
        <v>0</v>
      </c>
      <c r="E1885" s="40">
        <v>0</v>
      </c>
      <c r="F1885" s="40">
        <f>+D1885-E1885</f>
        <v>0</v>
      </c>
      <c r="G1885" s="2">
        <f>+ABS(D1885)+ABS(E1885)</f>
        <v>0</v>
      </c>
    </row>
    <row r="1886" spans="1:7" hidden="1">
      <c r="A1886" s="37" t="s">
        <v>3552</v>
      </c>
      <c r="B1886" s="38" t="s">
        <v>3553</v>
      </c>
      <c r="C1886" s="39"/>
      <c r="D1886" s="40">
        <v>0</v>
      </c>
      <c r="E1886" s="40">
        <v>0</v>
      </c>
      <c r="F1886" s="40">
        <f>+D1886-E1886</f>
        <v>0</v>
      </c>
      <c r="G1886" s="2">
        <f>+ABS(D1886)+ABS(E1886)</f>
        <v>0</v>
      </c>
    </row>
    <row r="1887" spans="1:7" hidden="1">
      <c r="A1887" s="37" t="s">
        <v>3554</v>
      </c>
      <c r="B1887" s="38" t="s">
        <v>3555</v>
      </c>
      <c r="C1887" s="39"/>
      <c r="D1887" s="40">
        <v>0</v>
      </c>
      <c r="E1887" s="40">
        <v>0</v>
      </c>
      <c r="F1887" s="40">
        <f>+D1887-E1887</f>
        <v>0</v>
      </c>
      <c r="G1887" s="2">
        <f>+ABS(D1887)+ABS(E1887)</f>
        <v>0</v>
      </c>
    </row>
    <row r="1888" spans="1:7" hidden="1">
      <c r="A1888" s="37" t="s">
        <v>3556</v>
      </c>
      <c r="B1888" s="38" t="s">
        <v>3557</v>
      </c>
      <c r="C1888" s="39"/>
      <c r="D1888" s="40">
        <v>0</v>
      </c>
      <c r="E1888" s="40">
        <v>0</v>
      </c>
      <c r="F1888" s="40">
        <f>+D1888-E1888</f>
        <v>0</v>
      </c>
      <c r="G1888" s="2">
        <f>+ABS(D1888)+ABS(E1888)</f>
        <v>0</v>
      </c>
    </row>
    <row r="1889" spans="1:7" hidden="1">
      <c r="A1889" s="37" t="s">
        <v>3558</v>
      </c>
      <c r="B1889" s="38" t="s">
        <v>3559</v>
      </c>
      <c r="C1889" s="39"/>
      <c r="D1889" s="40">
        <v>0</v>
      </c>
      <c r="E1889" s="40">
        <v>0</v>
      </c>
      <c r="F1889" s="40">
        <f>+D1889-E1889</f>
        <v>0</v>
      </c>
      <c r="G1889" s="2">
        <f>+ABS(D1889)+ABS(E1889)</f>
        <v>0</v>
      </c>
    </row>
    <row r="1890" spans="1:7" hidden="1">
      <c r="A1890" s="37" t="s">
        <v>3560</v>
      </c>
      <c r="B1890" s="38" t="s">
        <v>3561</v>
      </c>
      <c r="C1890" s="39"/>
      <c r="D1890" s="40">
        <v>0</v>
      </c>
      <c r="E1890" s="40">
        <v>0</v>
      </c>
      <c r="F1890" s="40">
        <f>+D1890-E1890</f>
        <v>0</v>
      </c>
      <c r="G1890" s="2">
        <f>+ABS(D1890)+ABS(E1890)</f>
        <v>0</v>
      </c>
    </row>
    <row r="1891" spans="1:7" hidden="1">
      <c r="A1891" s="37" t="s">
        <v>3562</v>
      </c>
      <c r="B1891" s="38" t="s">
        <v>3563</v>
      </c>
      <c r="C1891" s="39"/>
      <c r="D1891" s="40">
        <v>0</v>
      </c>
      <c r="E1891" s="40">
        <v>0</v>
      </c>
      <c r="F1891" s="40">
        <f>+D1891-E1891</f>
        <v>0</v>
      </c>
      <c r="G1891" s="2">
        <f>+ABS(D1891)+ABS(E1891)</f>
        <v>0</v>
      </c>
    </row>
    <row r="1892" spans="1:7" hidden="1">
      <c r="A1892" s="37" t="s">
        <v>3564</v>
      </c>
      <c r="B1892" s="38" t="s">
        <v>3565</v>
      </c>
      <c r="C1892" s="39"/>
      <c r="D1892" s="40">
        <v>0</v>
      </c>
      <c r="E1892" s="40">
        <v>0</v>
      </c>
      <c r="F1892" s="40">
        <f>+D1892-E1892</f>
        <v>0</v>
      </c>
      <c r="G1892" s="2">
        <f>+ABS(D1892)+ABS(E1892)</f>
        <v>0</v>
      </c>
    </row>
    <row r="1893" spans="1:7" hidden="1">
      <c r="A1893" s="37" t="s">
        <v>3566</v>
      </c>
      <c r="B1893" s="38" t="s">
        <v>3567</v>
      </c>
      <c r="C1893" s="39"/>
      <c r="D1893" s="40">
        <v>0</v>
      </c>
      <c r="E1893" s="40">
        <v>0</v>
      </c>
      <c r="F1893" s="40">
        <f>+D1893-E1893</f>
        <v>0</v>
      </c>
      <c r="G1893" s="2">
        <f>+ABS(D1893)+ABS(E1893)</f>
        <v>0</v>
      </c>
    </row>
    <row r="1894" spans="1:7" hidden="1">
      <c r="A1894" s="37" t="s">
        <v>3568</v>
      </c>
      <c r="B1894" s="38" t="s">
        <v>3569</v>
      </c>
      <c r="C1894" s="39"/>
      <c r="D1894" s="40">
        <v>0</v>
      </c>
      <c r="E1894" s="40">
        <v>0</v>
      </c>
      <c r="F1894" s="40">
        <f>+D1894-E1894</f>
        <v>0</v>
      </c>
      <c r="G1894" s="2">
        <f>+ABS(D1894)+ABS(E1894)</f>
        <v>0</v>
      </c>
    </row>
    <row r="1895" spans="1:7" hidden="1">
      <c r="A1895" s="37" t="s">
        <v>3570</v>
      </c>
      <c r="B1895" s="38" t="s">
        <v>3571</v>
      </c>
      <c r="C1895" s="39"/>
      <c r="D1895" s="40">
        <v>0</v>
      </c>
      <c r="E1895" s="40">
        <v>0</v>
      </c>
      <c r="F1895" s="40">
        <f>+D1895-E1895</f>
        <v>0</v>
      </c>
      <c r="G1895" s="2">
        <f>+ABS(D1895)+ABS(E1895)</f>
        <v>0</v>
      </c>
    </row>
    <row r="1896" spans="1:7" hidden="1">
      <c r="A1896" s="37" t="s">
        <v>3572</v>
      </c>
      <c r="B1896" s="38" t="s">
        <v>3573</v>
      </c>
      <c r="C1896" s="39"/>
      <c r="D1896" s="40">
        <v>0</v>
      </c>
      <c r="E1896" s="40">
        <v>0</v>
      </c>
      <c r="F1896" s="40">
        <f>+D1896-E1896</f>
        <v>0</v>
      </c>
      <c r="G1896" s="2">
        <f>+ABS(D1896)+ABS(E1896)</f>
        <v>0</v>
      </c>
    </row>
    <row r="1897" spans="1:7" hidden="1">
      <c r="A1897" s="37" t="s">
        <v>3574</v>
      </c>
      <c r="B1897" s="38" t="s">
        <v>3575</v>
      </c>
      <c r="C1897" s="39"/>
      <c r="D1897" s="40">
        <v>0</v>
      </c>
      <c r="E1897" s="40">
        <v>0</v>
      </c>
      <c r="F1897" s="40">
        <f>+D1897-E1897</f>
        <v>0</v>
      </c>
      <c r="G1897" s="2">
        <f>+ABS(D1897)+ABS(E1897)</f>
        <v>0</v>
      </c>
    </row>
    <row r="1898" spans="1:7" hidden="1">
      <c r="A1898" s="37" t="s">
        <v>3576</v>
      </c>
      <c r="B1898" s="38" t="s">
        <v>3577</v>
      </c>
      <c r="C1898" s="39"/>
      <c r="D1898" s="40">
        <v>0</v>
      </c>
      <c r="E1898" s="40">
        <v>0</v>
      </c>
      <c r="F1898" s="40">
        <f>+D1898-E1898</f>
        <v>0</v>
      </c>
      <c r="G1898" s="2">
        <f>+ABS(D1898)+ABS(E1898)</f>
        <v>0</v>
      </c>
    </row>
    <row r="1899" spans="1:7" hidden="1">
      <c r="A1899" s="37" t="s">
        <v>3578</v>
      </c>
      <c r="B1899" s="38" t="s">
        <v>3579</v>
      </c>
      <c r="C1899" s="39"/>
      <c r="D1899" s="40">
        <v>0</v>
      </c>
      <c r="E1899" s="40">
        <v>0</v>
      </c>
      <c r="F1899" s="40">
        <f>+D1899-E1899</f>
        <v>0</v>
      </c>
      <c r="G1899" s="2">
        <f>+ABS(D1899)+ABS(E1899)</f>
        <v>0</v>
      </c>
    </row>
    <row r="1900" spans="1:7" hidden="1">
      <c r="A1900" s="37" t="s">
        <v>3580</v>
      </c>
      <c r="B1900" s="38" t="s">
        <v>3581</v>
      </c>
      <c r="C1900" s="39"/>
      <c r="D1900" s="40">
        <v>0</v>
      </c>
      <c r="E1900" s="40">
        <v>0</v>
      </c>
      <c r="F1900" s="40">
        <f>+D1900-E1900</f>
        <v>0</v>
      </c>
      <c r="G1900" s="2">
        <f>+ABS(D1900)+ABS(E1900)</f>
        <v>0</v>
      </c>
    </row>
    <row r="1901" spans="1:7" hidden="1">
      <c r="A1901" s="37" t="s">
        <v>3582</v>
      </c>
      <c r="B1901" s="38" t="s">
        <v>3583</v>
      </c>
      <c r="C1901" s="39"/>
      <c r="D1901" s="40">
        <v>0</v>
      </c>
      <c r="E1901" s="40">
        <v>0</v>
      </c>
      <c r="F1901" s="40">
        <f>+D1901-E1901</f>
        <v>0</v>
      </c>
      <c r="G1901" s="2">
        <f>+ABS(D1901)+ABS(E1901)</f>
        <v>0</v>
      </c>
    </row>
    <row r="1902" spans="1:7" hidden="1">
      <c r="A1902" s="37" t="s">
        <v>3584</v>
      </c>
      <c r="B1902" s="38" t="s">
        <v>3585</v>
      </c>
      <c r="C1902" s="39"/>
      <c r="D1902" s="40">
        <v>0</v>
      </c>
      <c r="E1902" s="40">
        <v>0</v>
      </c>
      <c r="F1902" s="40">
        <f>+D1902-E1902</f>
        <v>0</v>
      </c>
      <c r="G1902" s="2">
        <f>+ABS(D1902)+ABS(E1902)</f>
        <v>0</v>
      </c>
    </row>
    <row r="1903" spans="1:7" hidden="1">
      <c r="A1903" s="37" t="s">
        <v>3586</v>
      </c>
      <c r="B1903" s="38" t="s">
        <v>3587</v>
      </c>
      <c r="C1903" s="39"/>
      <c r="D1903" s="40">
        <v>0</v>
      </c>
      <c r="E1903" s="40">
        <v>0</v>
      </c>
      <c r="F1903" s="40">
        <f>+D1903-E1903</f>
        <v>0</v>
      </c>
      <c r="G1903" s="2">
        <f>+ABS(D1903)+ABS(E1903)</f>
        <v>0</v>
      </c>
    </row>
    <row r="1904" spans="1:7" hidden="1">
      <c r="A1904" s="37" t="s">
        <v>3588</v>
      </c>
      <c r="B1904" s="38" t="s">
        <v>3589</v>
      </c>
      <c r="C1904" s="39"/>
      <c r="D1904" s="40">
        <v>0</v>
      </c>
      <c r="E1904" s="40">
        <v>0</v>
      </c>
      <c r="F1904" s="40">
        <f>+D1904-E1904</f>
        <v>0</v>
      </c>
      <c r="G1904" s="2">
        <f>+ABS(D1904)+ABS(E1904)</f>
        <v>0</v>
      </c>
    </row>
    <row r="1905" spans="1:7" hidden="1">
      <c r="A1905" s="37" t="s">
        <v>3590</v>
      </c>
      <c r="B1905" s="38" t="s">
        <v>3591</v>
      </c>
      <c r="C1905" s="39"/>
      <c r="D1905" s="40">
        <v>0</v>
      </c>
      <c r="E1905" s="40">
        <v>0</v>
      </c>
      <c r="F1905" s="40">
        <f>+D1905-E1905</f>
        <v>0</v>
      </c>
      <c r="G1905" s="2">
        <f>+ABS(D1905)+ABS(E1905)</f>
        <v>0</v>
      </c>
    </row>
    <row r="1906" spans="1:7" hidden="1">
      <c r="A1906" s="37" t="s">
        <v>3592</v>
      </c>
      <c r="B1906" s="38" t="s">
        <v>3593</v>
      </c>
      <c r="C1906" s="39"/>
      <c r="D1906" s="40">
        <v>0</v>
      </c>
      <c r="E1906" s="40">
        <v>0</v>
      </c>
      <c r="F1906" s="40">
        <f>+D1906-E1906</f>
        <v>0</v>
      </c>
      <c r="G1906" s="2">
        <f>+ABS(D1906)+ABS(E1906)</f>
        <v>0</v>
      </c>
    </row>
    <row r="1907" spans="1:7" hidden="1">
      <c r="A1907" s="37" t="s">
        <v>3594</v>
      </c>
      <c r="B1907" s="38" t="s">
        <v>3595</v>
      </c>
      <c r="C1907" s="39"/>
      <c r="D1907" s="40">
        <v>0</v>
      </c>
      <c r="E1907" s="40">
        <v>0</v>
      </c>
      <c r="F1907" s="40">
        <f>+D1907-E1907</f>
        <v>0</v>
      </c>
      <c r="G1907" s="2">
        <f>+ABS(D1907)+ABS(E1907)</f>
        <v>0</v>
      </c>
    </row>
    <row r="1908" spans="1:7" hidden="1">
      <c r="A1908" s="37" t="s">
        <v>3596</v>
      </c>
      <c r="B1908" s="38" t="s">
        <v>3597</v>
      </c>
      <c r="C1908" s="39"/>
      <c r="D1908" s="40">
        <v>0</v>
      </c>
      <c r="E1908" s="40">
        <v>0</v>
      </c>
      <c r="F1908" s="40">
        <f>+D1908-E1908</f>
        <v>0</v>
      </c>
      <c r="G1908" s="2">
        <f>+ABS(D1908)+ABS(E1908)</f>
        <v>0</v>
      </c>
    </row>
    <row r="1909" spans="1:7" hidden="1">
      <c r="A1909" s="37" t="s">
        <v>3598</v>
      </c>
      <c r="B1909" s="38" t="s">
        <v>3599</v>
      </c>
      <c r="C1909" s="39"/>
      <c r="D1909" s="40">
        <v>0</v>
      </c>
      <c r="E1909" s="40">
        <v>0</v>
      </c>
      <c r="F1909" s="40">
        <f>+D1909-E1909</f>
        <v>0</v>
      </c>
      <c r="G1909" s="2">
        <f>+ABS(D1909)+ABS(E1909)</f>
        <v>0</v>
      </c>
    </row>
    <row r="1910" spans="1:7" hidden="1">
      <c r="A1910" s="37" t="s">
        <v>3600</v>
      </c>
      <c r="B1910" s="38" t="s">
        <v>3601</v>
      </c>
      <c r="C1910" s="39"/>
      <c r="D1910" s="40">
        <v>0</v>
      </c>
      <c r="E1910" s="40">
        <v>0</v>
      </c>
      <c r="F1910" s="40">
        <f>+D1910-E1910</f>
        <v>0</v>
      </c>
      <c r="G1910" s="2">
        <f>+ABS(D1910)+ABS(E1910)</f>
        <v>0</v>
      </c>
    </row>
    <row r="1911" spans="1:7" hidden="1">
      <c r="A1911" s="37" t="s">
        <v>3602</v>
      </c>
      <c r="B1911" s="38" t="s">
        <v>3603</v>
      </c>
      <c r="C1911" s="39"/>
      <c r="D1911" s="40">
        <v>0</v>
      </c>
      <c r="E1911" s="40">
        <v>0</v>
      </c>
      <c r="F1911" s="40">
        <f>+D1911-E1911</f>
        <v>0</v>
      </c>
      <c r="G1911" s="2">
        <f>+ABS(D1911)+ABS(E1911)</f>
        <v>0</v>
      </c>
    </row>
    <row r="1912" spans="1:7" hidden="1">
      <c r="A1912" s="37" t="s">
        <v>3604</v>
      </c>
      <c r="B1912" s="38" t="s">
        <v>3605</v>
      </c>
      <c r="C1912" s="39"/>
      <c r="D1912" s="40">
        <v>0</v>
      </c>
      <c r="E1912" s="40">
        <v>0</v>
      </c>
      <c r="F1912" s="40">
        <f>+D1912-E1912</f>
        <v>0</v>
      </c>
      <c r="G1912" s="2">
        <f>+ABS(D1912)+ABS(E1912)</f>
        <v>0</v>
      </c>
    </row>
    <row r="1913" spans="1:7" hidden="1">
      <c r="A1913" s="37" t="s">
        <v>3606</v>
      </c>
      <c r="B1913" s="38" t="s">
        <v>3607</v>
      </c>
      <c r="C1913" s="39"/>
      <c r="D1913" s="40">
        <v>0</v>
      </c>
      <c r="E1913" s="40">
        <v>0</v>
      </c>
      <c r="F1913" s="40">
        <f>+D1913-E1913</f>
        <v>0</v>
      </c>
      <c r="G1913" s="2">
        <f>+ABS(D1913)+ABS(E1913)</f>
        <v>0</v>
      </c>
    </row>
    <row r="1914" spans="1:7" hidden="1">
      <c r="A1914" s="37" t="s">
        <v>3608</v>
      </c>
      <c r="B1914" s="38" t="s">
        <v>3609</v>
      </c>
      <c r="C1914" s="39"/>
      <c r="D1914" s="40">
        <v>0</v>
      </c>
      <c r="E1914" s="40">
        <v>0</v>
      </c>
      <c r="F1914" s="40">
        <f>+D1914-E1914</f>
        <v>0</v>
      </c>
      <c r="G1914" s="2">
        <f>+ABS(D1914)+ABS(E1914)</f>
        <v>0</v>
      </c>
    </row>
    <row r="1915" spans="1:7" hidden="1">
      <c r="A1915" s="37" t="s">
        <v>3610</v>
      </c>
      <c r="B1915" s="38" t="s">
        <v>3611</v>
      </c>
      <c r="C1915" s="39"/>
      <c r="D1915" s="40">
        <v>0</v>
      </c>
      <c r="E1915" s="40">
        <v>0</v>
      </c>
      <c r="F1915" s="40">
        <f>+D1915-E1915</f>
        <v>0</v>
      </c>
      <c r="G1915" s="2">
        <f>+ABS(D1915)+ABS(E1915)</f>
        <v>0</v>
      </c>
    </row>
    <row r="1916" spans="1:7" hidden="1">
      <c r="A1916" s="37" t="s">
        <v>3612</v>
      </c>
      <c r="B1916" s="38" t="s">
        <v>3613</v>
      </c>
      <c r="C1916" s="39"/>
      <c r="D1916" s="40">
        <v>0</v>
      </c>
      <c r="E1916" s="40">
        <v>0</v>
      </c>
      <c r="F1916" s="40">
        <f>+D1916-E1916</f>
        <v>0</v>
      </c>
      <c r="G1916" s="2">
        <f>+ABS(D1916)+ABS(E1916)</f>
        <v>0</v>
      </c>
    </row>
    <row r="1917" spans="1:7" hidden="1">
      <c r="A1917" s="37" t="s">
        <v>3614</v>
      </c>
      <c r="B1917" s="38" t="s">
        <v>3615</v>
      </c>
      <c r="C1917" s="39"/>
      <c r="D1917" s="40">
        <v>0</v>
      </c>
      <c r="E1917" s="40">
        <v>0</v>
      </c>
      <c r="F1917" s="40">
        <f>+D1917-E1917</f>
        <v>0</v>
      </c>
      <c r="G1917" s="2">
        <f>+ABS(D1917)+ABS(E1917)</f>
        <v>0</v>
      </c>
    </row>
    <row r="1918" spans="1:7" hidden="1">
      <c r="A1918" s="37" t="s">
        <v>3616</v>
      </c>
      <c r="B1918" s="38" t="s">
        <v>3617</v>
      </c>
      <c r="C1918" s="39"/>
      <c r="D1918" s="40">
        <v>0</v>
      </c>
      <c r="E1918" s="40">
        <v>0</v>
      </c>
      <c r="F1918" s="40">
        <f>+D1918-E1918</f>
        <v>0</v>
      </c>
      <c r="G1918" s="2">
        <f>+ABS(D1918)+ABS(E1918)</f>
        <v>0</v>
      </c>
    </row>
    <row r="1919" spans="1:7" hidden="1">
      <c r="A1919" s="37" t="s">
        <v>3618</v>
      </c>
      <c r="B1919" s="38" t="s">
        <v>3619</v>
      </c>
      <c r="C1919" s="39"/>
      <c r="D1919" s="40">
        <v>0</v>
      </c>
      <c r="E1919" s="40">
        <v>0</v>
      </c>
      <c r="F1919" s="40">
        <f>+D1919-E1919</f>
        <v>0</v>
      </c>
      <c r="G1919" s="2">
        <f>+ABS(D1919)+ABS(E1919)</f>
        <v>0</v>
      </c>
    </row>
    <row r="1920" spans="1:7" hidden="1">
      <c r="A1920" s="37" t="s">
        <v>3620</v>
      </c>
      <c r="B1920" s="38" t="s">
        <v>3621</v>
      </c>
      <c r="C1920" s="39"/>
      <c r="D1920" s="40">
        <v>0</v>
      </c>
      <c r="E1920" s="40">
        <v>0</v>
      </c>
      <c r="F1920" s="40">
        <f>+D1920-E1920</f>
        <v>0</v>
      </c>
      <c r="G1920" s="2">
        <f>+ABS(D1920)+ABS(E1920)</f>
        <v>0</v>
      </c>
    </row>
    <row r="1921" spans="1:7" hidden="1">
      <c r="A1921" s="37" t="s">
        <v>3622</v>
      </c>
      <c r="B1921" s="38" t="s">
        <v>3623</v>
      </c>
      <c r="C1921" s="39"/>
      <c r="D1921" s="40">
        <v>0</v>
      </c>
      <c r="E1921" s="40">
        <v>0</v>
      </c>
      <c r="F1921" s="40">
        <f>+D1921-E1921</f>
        <v>0</v>
      </c>
      <c r="G1921" s="2">
        <f>+ABS(D1921)+ABS(E1921)</f>
        <v>0</v>
      </c>
    </row>
    <row r="1922" spans="1:7" hidden="1">
      <c r="A1922" s="37" t="s">
        <v>3624</v>
      </c>
      <c r="B1922" s="38" t="s">
        <v>3625</v>
      </c>
      <c r="C1922" s="39"/>
      <c r="D1922" s="40">
        <v>0</v>
      </c>
      <c r="E1922" s="40">
        <v>0</v>
      </c>
      <c r="F1922" s="40">
        <f>+D1922-E1922</f>
        <v>0</v>
      </c>
      <c r="G1922" s="2">
        <f>+ABS(D1922)+ABS(E1922)</f>
        <v>0</v>
      </c>
    </row>
    <row r="1923" spans="1:7" hidden="1">
      <c r="A1923" s="37"/>
      <c r="B1923" s="48"/>
      <c r="C1923" s="39"/>
      <c r="D1923" s="40"/>
      <c r="E1923" s="40"/>
      <c r="F1923" s="40"/>
      <c r="G1923" s="2">
        <f>G1924</f>
        <v>0</v>
      </c>
    </row>
    <row r="1924" spans="1:7" s="15" customFormat="1" hidden="1">
      <c r="A1924" s="42" t="s">
        <v>11</v>
      </c>
      <c r="B1924" s="49" t="s">
        <v>3626</v>
      </c>
      <c r="C1924" s="44"/>
      <c r="D1924" s="45">
        <f>SUM(D1851:D1923)</f>
        <v>0</v>
      </c>
      <c r="E1924" s="45">
        <f>SUM(E1851:E1923)</f>
        <v>0</v>
      </c>
      <c r="F1924" s="45">
        <f>+D1924-E1924</f>
        <v>0</v>
      </c>
      <c r="G1924" s="2">
        <f>+ABS(D1924)+ABS(E1924)</f>
        <v>0</v>
      </c>
    </row>
    <row r="1925" spans="1:7" hidden="1">
      <c r="A1925" s="42"/>
      <c r="B1925" s="39"/>
      <c r="C1925" s="39"/>
      <c r="D1925" s="40"/>
      <c r="E1925" s="40"/>
      <c r="F1925" s="40"/>
      <c r="G1925" s="2">
        <f>G1924</f>
        <v>0</v>
      </c>
    </row>
    <row r="1926" spans="1:7" s="15" customFormat="1">
      <c r="A1926" s="46" t="s">
        <v>11</v>
      </c>
      <c r="B1926" s="44" t="s">
        <v>3627</v>
      </c>
      <c r="C1926" s="44"/>
      <c r="D1926" s="40"/>
      <c r="E1926" s="40"/>
      <c r="F1926" s="40"/>
      <c r="G1926" s="2">
        <f>G2086</f>
        <v>124076</v>
      </c>
    </row>
    <row r="1927" spans="1:7" hidden="1">
      <c r="A1927" s="37"/>
      <c r="B1927" s="38"/>
      <c r="C1927" s="39"/>
      <c r="D1927" s="40"/>
      <c r="E1927" s="40"/>
      <c r="F1927" s="40"/>
    </row>
    <row r="1928" spans="1:7" hidden="1">
      <c r="A1928" s="37" t="s">
        <v>3628</v>
      </c>
      <c r="B1928" s="38" t="s">
        <v>3629</v>
      </c>
      <c r="C1928" s="39"/>
      <c r="D1928" s="40">
        <v>0</v>
      </c>
      <c r="E1928" s="40">
        <v>0</v>
      </c>
      <c r="F1928" s="40">
        <f>+D1928-E1928</f>
        <v>0</v>
      </c>
      <c r="G1928" s="2">
        <f>+ABS(D1928)+ABS(E1928)</f>
        <v>0</v>
      </c>
    </row>
    <row r="1929" spans="1:7" hidden="1">
      <c r="A1929" s="37" t="s">
        <v>3630</v>
      </c>
      <c r="B1929" s="38" t="s">
        <v>3631</v>
      </c>
      <c r="C1929" s="39"/>
      <c r="D1929" s="40">
        <v>0</v>
      </c>
      <c r="E1929" s="40">
        <v>0</v>
      </c>
      <c r="F1929" s="40">
        <f>+D1929-E1929</f>
        <v>0</v>
      </c>
      <c r="G1929" s="2">
        <f>+ABS(D1929)+ABS(E1929)</f>
        <v>0</v>
      </c>
    </row>
    <row r="1930" spans="1:7" hidden="1">
      <c r="A1930" s="37" t="s">
        <v>3632</v>
      </c>
      <c r="B1930" s="38" t="s">
        <v>3633</v>
      </c>
      <c r="C1930" s="39"/>
      <c r="D1930" s="40">
        <v>0</v>
      </c>
      <c r="E1930" s="40">
        <v>0</v>
      </c>
      <c r="F1930" s="40">
        <f>+D1930-E1930</f>
        <v>0</v>
      </c>
      <c r="G1930" s="2">
        <f>+ABS(D1930)+ABS(E1930)</f>
        <v>0</v>
      </c>
    </row>
    <row r="1931" spans="1:7" hidden="1">
      <c r="A1931" s="37" t="s">
        <v>3634</v>
      </c>
      <c r="B1931" s="38" t="s">
        <v>3635</v>
      </c>
      <c r="C1931" s="39"/>
      <c r="D1931" s="40">
        <v>0</v>
      </c>
      <c r="E1931" s="40">
        <v>0</v>
      </c>
      <c r="F1931" s="40">
        <f>+D1931-E1931</f>
        <v>0</v>
      </c>
      <c r="G1931" s="2">
        <f>+ABS(D1931)+ABS(E1931)</f>
        <v>0</v>
      </c>
    </row>
    <row r="1932" spans="1:7" hidden="1">
      <c r="A1932" s="37" t="s">
        <v>3636</v>
      </c>
      <c r="B1932" s="38" t="s">
        <v>3637</v>
      </c>
      <c r="C1932" s="39"/>
      <c r="D1932" s="40">
        <v>0</v>
      </c>
      <c r="E1932" s="40">
        <v>0</v>
      </c>
      <c r="F1932" s="40">
        <f>+D1932-E1932</f>
        <v>0</v>
      </c>
      <c r="G1932" s="2">
        <f>+ABS(D1932)+ABS(E1932)</f>
        <v>0</v>
      </c>
    </row>
    <row r="1933" spans="1:7" hidden="1">
      <c r="A1933" s="37" t="s">
        <v>3638</v>
      </c>
      <c r="B1933" s="38" t="s">
        <v>3639</v>
      </c>
      <c r="C1933" s="39"/>
      <c r="D1933" s="40">
        <v>0</v>
      </c>
      <c r="E1933" s="40">
        <v>0</v>
      </c>
      <c r="F1933" s="40">
        <f>+D1933-E1933</f>
        <v>0</v>
      </c>
      <c r="G1933" s="2">
        <f>+ABS(D1933)+ABS(E1933)</f>
        <v>0</v>
      </c>
    </row>
    <row r="1934" spans="1:7" hidden="1">
      <c r="A1934" s="37" t="s">
        <v>3640</v>
      </c>
      <c r="B1934" s="38" t="s">
        <v>3641</v>
      </c>
      <c r="C1934" s="39"/>
      <c r="D1934" s="40">
        <v>0</v>
      </c>
      <c r="E1934" s="40">
        <v>0</v>
      </c>
      <c r="F1934" s="40">
        <f>+D1934-E1934</f>
        <v>0</v>
      </c>
      <c r="G1934" s="2">
        <f>+ABS(D1934)+ABS(E1934)</f>
        <v>0</v>
      </c>
    </row>
    <row r="1935" spans="1:7" hidden="1">
      <c r="A1935" s="37" t="s">
        <v>3642</v>
      </c>
      <c r="B1935" s="38" t="s">
        <v>3643</v>
      </c>
      <c r="C1935" s="39"/>
      <c r="D1935" s="40">
        <v>0</v>
      </c>
      <c r="E1935" s="40">
        <v>0</v>
      </c>
      <c r="F1935" s="40">
        <f>+D1935-E1935</f>
        <v>0</v>
      </c>
      <c r="G1935" s="2">
        <f>+ABS(D1935)+ABS(E1935)</f>
        <v>0</v>
      </c>
    </row>
    <row r="1936" spans="1:7" hidden="1">
      <c r="A1936" s="37" t="s">
        <v>3644</v>
      </c>
      <c r="B1936" s="38" t="s">
        <v>3645</v>
      </c>
      <c r="C1936" s="39"/>
      <c r="D1936" s="40">
        <v>0</v>
      </c>
      <c r="E1936" s="40">
        <v>0</v>
      </c>
      <c r="F1936" s="40">
        <f>+D1936-E1936</f>
        <v>0</v>
      </c>
      <c r="G1936" s="2">
        <f>+ABS(D1936)+ABS(E1936)</f>
        <v>0</v>
      </c>
    </row>
    <row r="1937" spans="1:7" hidden="1">
      <c r="A1937" s="37" t="s">
        <v>3646</v>
      </c>
      <c r="B1937" s="38" t="s">
        <v>3647</v>
      </c>
      <c r="C1937" s="39"/>
      <c r="D1937" s="40">
        <v>0</v>
      </c>
      <c r="E1937" s="40">
        <v>0</v>
      </c>
      <c r="F1937" s="40">
        <f>+D1937-E1937</f>
        <v>0</v>
      </c>
      <c r="G1937" s="2">
        <f>+ABS(D1937)+ABS(E1937)</f>
        <v>0</v>
      </c>
    </row>
    <row r="1938" spans="1:7" hidden="1">
      <c r="A1938" s="37" t="s">
        <v>3648</v>
      </c>
      <c r="B1938" s="38" t="s">
        <v>3649</v>
      </c>
      <c r="C1938" s="39"/>
      <c r="D1938" s="40">
        <v>0</v>
      </c>
      <c r="E1938" s="40">
        <v>0</v>
      </c>
      <c r="F1938" s="40">
        <f>+D1938-E1938</f>
        <v>0</v>
      </c>
      <c r="G1938" s="2">
        <f>+ABS(D1938)+ABS(E1938)</f>
        <v>0</v>
      </c>
    </row>
    <row r="1939" spans="1:7" hidden="1">
      <c r="A1939" s="37" t="s">
        <v>3650</v>
      </c>
      <c r="B1939" s="38" t="s">
        <v>3651</v>
      </c>
      <c r="C1939" s="39"/>
      <c r="D1939" s="40">
        <v>0</v>
      </c>
      <c r="E1939" s="40">
        <v>0</v>
      </c>
      <c r="F1939" s="40">
        <f>+D1939-E1939</f>
        <v>0</v>
      </c>
      <c r="G1939" s="2">
        <f>+ABS(D1939)+ABS(E1939)</f>
        <v>0</v>
      </c>
    </row>
    <row r="1940" spans="1:7" hidden="1">
      <c r="A1940" s="37" t="s">
        <v>3652</v>
      </c>
      <c r="B1940" s="38" t="s">
        <v>3653</v>
      </c>
      <c r="C1940" s="39"/>
      <c r="D1940" s="40">
        <v>0</v>
      </c>
      <c r="E1940" s="40">
        <v>0</v>
      </c>
      <c r="F1940" s="40">
        <f>+D1940-E1940</f>
        <v>0</v>
      </c>
      <c r="G1940" s="2">
        <f>+ABS(D1940)+ABS(E1940)</f>
        <v>0</v>
      </c>
    </row>
    <row r="1941" spans="1:7" hidden="1">
      <c r="A1941" s="37"/>
      <c r="B1941" s="38"/>
      <c r="C1941" s="39"/>
      <c r="D1941" s="40"/>
      <c r="E1941" s="40"/>
      <c r="F1941" s="40"/>
    </row>
    <row r="1942" spans="1:7" hidden="1">
      <c r="A1942" s="37" t="s">
        <v>3654</v>
      </c>
      <c r="B1942" s="38" t="s">
        <v>3655</v>
      </c>
      <c r="C1942" s="39"/>
      <c r="D1942" s="40">
        <v>0</v>
      </c>
      <c r="E1942" s="40">
        <v>0</v>
      </c>
      <c r="F1942" s="40">
        <f>+D1942-E1942</f>
        <v>0</v>
      </c>
      <c r="G1942" s="2">
        <f>+ABS(D1942)+ABS(E1942)</f>
        <v>0</v>
      </c>
    </row>
    <row r="1943" spans="1:7" hidden="1">
      <c r="A1943" s="37" t="s">
        <v>3656</v>
      </c>
      <c r="B1943" s="38" t="s">
        <v>3657</v>
      </c>
      <c r="C1943" s="39"/>
      <c r="D1943" s="40">
        <v>0</v>
      </c>
      <c r="E1943" s="40">
        <v>0</v>
      </c>
      <c r="F1943" s="40">
        <f>+D1943-E1943</f>
        <v>0</v>
      </c>
      <c r="G1943" s="2">
        <f>+ABS(D1943)+ABS(E1943)</f>
        <v>0</v>
      </c>
    </row>
    <row r="1944" spans="1:7" hidden="1">
      <c r="A1944" s="37" t="s">
        <v>3658</v>
      </c>
      <c r="B1944" s="38" t="s">
        <v>3659</v>
      </c>
      <c r="C1944" s="39"/>
      <c r="D1944" s="40">
        <v>0</v>
      </c>
      <c r="E1944" s="40">
        <v>0</v>
      </c>
      <c r="F1944" s="40">
        <f>+D1944-E1944</f>
        <v>0</v>
      </c>
      <c r="G1944" s="2">
        <f>+ABS(D1944)+ABS(E1944)</f>
        <v>0</v>
      </c>
    </row>
    <row r="1945" spans="1:7" hidden="1">
      <c r="A1945" s="37" t="s">
        <v>3660</v>
      </c>
      <c r="B1945" s="38" t="s">
        <v>3661</v>
      </c>
      <c r="C1945" s="39"/>
      <c r="D1945" s="40">
        <v>0</v>
      </c>
      <c r="E1945" s="40">
        <v>0</v>
      </c>
      <c r="F1945" s="40">
        <f>+D1945-E1945</f>
        <v>0</v>
      </c>
      <c r="G1945" s="2">
        <f>+ABS(D1945)+ABS(E1945)</f>
        <v>0</v>
      </c>
    </row>
    <row r="1946" spans="1:7" hidden="1">
      <c r="A1946" s="37" t="s">
        <v>3662</v>
      </c>
      <c r="B1946" s="38" t="s">
        <v>3663</v>
      </c>
      <c r="C1946" s="39"/>
      <c r="D1946" s="40">
        <v>0</v>
      </c>
      <c r="E1946" s="40">
        <v>0</v>
      </c>
      <c r="F1946" s="40">
        <f>+D1946-E1946</f>
        <v>0</v>
      </c>
      <c r="G1946" s="2">
        <f>+ABS(D1946)+ABS(E1946)</f>
        <v>0</v>
      </c>
    </row>
    <row r="1947" spans="1:7">
      <c r="A1947" s="37" t="s">
        <v>3664</v>
      </c>
      <c r="B1947" s="38" t="s">
        <v>3665</v>
      </c>
      <c r="C1947" s="39"/>
      <c r="D1947" s="40">
        <v>62088</v>
      </c>
      <c r="E1947" s="40">
        <v>61988</v>
      </c>
      <c r="F1947" s="40">
        <f>+D1947-E1947</f>
        <v>100</v>
      </c>
      <c r="G1947" s="2">
        <f>+ABS(D1947)+ABS(E1947)</f>
        <v>124076</v>
      </c>
    </row>
    <row r="1948" spans="1:7" hidden="1">
      <c r="A1948" s="37" t="s">
        <v>3666</v>
      </c>
      <c r="B1948" s="38" t="s">
        <v>3667</v>
      </c>
      <c r="C1948" s="39"/>
      <c r="D1948" s="40">
        <v>0</v>
      </c>
      <c r="E1948" s="40">
        <v>0</v>
      </c>
      <c r="F1948" s="40">
        <f>+D1948-E1948</f>
        <v>0</v>
      </c>
      <c r="G1948" s="2">
        <f>+ABS(D1948)+ABS(E1948)</f>
        <v>0</v>
      </c>
    </row>
    <row r="1949" spans="1:7" hidden="1">
      <c r="A1949" s="37" t="s">
        <v>3668</v>
      </c>
      <c r="B1949" s="38" t="s">
        <v>3669</v>
      </c>
      <c r="C1949" s="39"/>
      <c r="D1949" s="40">
        <v>0</v>
      </c>
      <c r="E1949" s="40">
        <v>0</v>
      </c>
      <c r="F1949" s="40">
        <f>+D1949-E1949</f>
        <v>0</v>
      </c>
      <c r="G1949" s="2">
        <f>+ABS(D1949)+ABS(E1949)</f>
        <v>0</v>
      </c>
    </row>
    <row r="1950" spans="1:7" hidden="1">
      <c r="A1950" s="37" t="s">
        <v>3670</v>
      </c>
      <c r="B1950" s="38" t="s">
        <v>3671</v>
      </c>
      <c r="C1950" s="39"/>
      <c r="D1950" s="40">
        <v>0</v>
      </c>
      <c r="E1950" s="40">
        <v>0</v>
      </c>
      <c r="F1950" s="40">
        <f>+D1950-E1950</f>
        <v>0</v>
      </c>
      <c r="G1950" s="2">
        <f>+ABS(D1950)+ABS(E1950)</f>
        <v>0</v>
      </c>
    </row>
    <row r="1951" spans="1:7" hidden="1">
      <c r="A1951" s="37" t="s">
        <v>3672</v>
      </c>
      <c r="B1951" s="38" t="s">
        <v>3673</v>
      </c>
      <c r="C1951" s="39"/>
      <c r="D1951" s="40">
        <v>0</v>
      </c>
      <c r="E1951" s="40">
        <v>0</v>
      </c>
      <c r="F1951" s="40">
        <f>+D1951-E1951</f>
        <v>0</v>
      </c>
      <c r="G1951" s="2">
        <f>+ABS(D1951)+ABS(E1951)</f>
        <v>0</v>
      </c>
    </row>
    <row r="1952" spans="1:7" hidden="1">
      <c r="A1952" s="37" t="s">
        <v>3674</v>
      </c>
      <c r="B1952" s="38" t="s">
        <v>3675</v>
      </c>
      <c r="C1952" s="39"/>
      <c r="D1952" s="40">
        <v>0</v>
      </c>
      <c r="E1952" s="40">
        <v>0</v>
      </c>
      <c r="F1952" s="40">
        <f>+D1952-E1952</f>
        <v>0</v>
      </c>
      <c r="G1952" s="2">
        <f>+ABS(D1952)+ABS(E1952)</f>
        <v>0</v>
      </c>
    </row>
    <row r="1953" spans="1:7" hidden="1">
      <c r="A1953" s="37" t="s">
        <v>3676</v>
      </c>
      <c r="B1953" s="38" t="s">
        <v>3677</v>
      </c>
      <c r="C1953" s="39"/>
      <c r="D1953" s="40">
        <v>0</v>
      </c>
      <c r="E1953" s="40">
        <v>0</v>
      </c>
      <c r="F1953" s="40">
        <f>+D1953-E1953</f>
        <v>0</v>
      </c>
      <c r="G1953" s="2">
        <f>+ABS(D1953)+ABS(E1953)</f>
        <v>0</v>
      </c>
    </row>
    <row r="1954" spans="1:7" hidden="1">
      <c r="A1954" s="37" t="s">
        <v>3678</v>
      </c>
      <c r="B1954" s="38" t="s">
        <v>3679</v>
      </c>
      <c r="C1954" s="39"/>
      <c r="D1954" s="40">
        <v>0</v>
      </c>
      <c r="E1954" s="40">
        <v>0</v>
      </c>
      <c r="F1954" s="40">
        <f>+D1954-E1954</f>
        <v>0</v>
      </c>
      <c r="G1954" s="2">
        <f>+ABS(D1954)+ABS(E1954)</f>
        <v>0</v>
      </c>
    </row>
    <row r="1955" spans="1:7" hidden="1">
      <c r="A1955" s="37" t="s">
        <v>3680</v>
      </c>
      <c r="B1955" s="38" t="s">
        <v>3681</v>
      </c>
      <c r="C1955" s="39"/>
      <c r="D1955" s="40">
        <v>0</v>
      </c>
      <c r="E1955" s="40">
        <v>0</v>
      </c>
      <c r="F1955" s="40">
        <f>+D1955-E1955</f>
        <v>0</v>
      </c>
      <c r="G1955" s="2">
        <f>+ABS(D1955)+ABS(E1955)</f>
        <v>0</v>
      </c>
    </row>
    <row r="1956" spans="1:7" hidden="1">
      <c r="A1956" s="37" t="s">
        <v>3682</v>
      </c>
      <c r="B1956" s="38" t="s">
        <v>3683</v>
      </c>
      <c r="C1956" s="39"/>
      <c r="D1956" s="40">
        <v>0</v>
      </c>
      <c r="E1956" s="40">
        <v>0</v>
      </c>
      <c r="F1956" s="40">
        <f>+D1956-E1956</f>
        <v>0</v>
      </c>
      <c r="G1956" s="2">
        <f>+ABS(D1956)+ABS(E1956)</f>
        <v>0</v>
      </c>
    </row>
    <row r="1957" spans="1:7" hidden="1">
      <c r="A1957" s="37" t="s">
        <v>3684</v>
      </c>
      <c r="B1957" s="38" t="s">
        <v>3685</v>
      </c>
      <c r="C1957" s="39"/>
      <c r="D1957" s="40">
        <v>0</v>
      </c>
      <c r="E1957" s="40">
        <v>0</v>
      </c>
      <c r="F1957" s="40">
        <f>+D1957-E1957</f>
        <v>0</v>
      </c>
      <c r="G1957" s="2">
        <f>+ABS(D1957)+ABS(E1957)</f>
        <v>0</v>
      </c>
    </row>
    <row r="1958" spans="1:7" hidden="1">
      <c r="A1958" s="37" t="s">
        <v>3686</v>
      </c>
      <c r="B1958" s="38" t="s">
        <v>3687</v>
      </c>
      <c r="C1958" s="39"/>
      <c r="D1958" s="40">
        <v>0</v>
      </c>
      <c r="E1958" s="40">
        <v>0</v>
      </c>
      <c r="F1958" s="40">
        <f>+D1958-E1958</f>
        <v>0</v>
      </c>
      <c r="G1958" s="2">
        <f>+ABS(D1958)+ABS(E1958)</f>
        <v>0</v>
      </c>
    </row>
    <row r="1959" spans="1:7" hidden="1">
      <c r="A1959" s="37" t="s">
        <v>3688</v>
      </c>
      <c r="B1959" s="38" t="s">
        <v>3689</v>
      </c>
      <c r="C1959" s="39"/>
      <c r="D1959" s="40">
        <v>0</v>
      </c>
      <c r="E1959" s="40">
        <v>0</v>
      </c>
      <c r="F1959" s="40">
        <f>+D1959-E1959</f>
        <v>0</v>
      </c>
      <c r="G1959" s="2">
        <f>+ABS(D1959)+ABS(E1959)</f>
        <v>0</v>
      </c>
    </row>
    <row r="1960" spans="1:7" hidden="1">
      <c r="A1960" s="37" t="s">
        <v>3690</v>
      </c>
      <c r="B1960" s="38" t="s">
        <v>3691</v>
      </c>
      <c r="C1960" s="39"/>
      <c r="D1960" s="40">
        <v>0</v>
      </c>
      <c r="E1960" s="40">
        <v>0</v>
      </c>
      <c r="F1960" s="40">
        <f>+D1960-E1960</f>
        <v>0</v>
      </c>
      <c r="G1960" s="2">
        <f>+ABS(D1960)+ABS(E1960)</f>
        <v>0</v>
      </c>
    </row>
    <row r="1961" spans="1:7" hidden="1">
      <c r="A1961" s="37" t="s">
        <v>3692</v>
      </c>
      <c r="B1961" s="38" t="s">
        <v>3693</v>
      </c>
      <c r="C1961" s="39"/>
      <c r="D1961" s="40">
        <v>0</v>
      </c>
      <c r="E1961" s="40">
        <v>0</v>
      </c>
      <c r="F1961" s="40">
        <f>+D1961-E1961</f>
        <v>0</v>
      </c>
      <c r="G1961" s="2">
        <f>+ABS(D1961)+ABS(E1961)</f>
        <v>0</v>
      </c>
    </row>
    <row r="1962" spans="1:7" hidden="1">
      <c r="A1962" s="37" t="s">
        <v>3694</v>
      </c>
      <c r="B1962" s="38" t="s">
        <v>3695</v>
      </c>
      <c r="C1962" s="39"/>
      <c r="D1962" s="40">
        <v>0</v>
      </c>
      <c r="E1962" s="40">
        <v>0</v>
      </c>
      <c r="F1962" s="40">
        <f>+D1962-E1962</f>
        <v>0</v>
      </c>
      <c r="G1962" s="2">
        <f>+ABS(D1962)+ABS(E1962)</f>
        <v>0</v>
      </c>
    </row>
    <row r="1963" spans="1:7" hidden="1">
      <c r="A1963" s="37" t="s">
        <v>3696</v>
      </c>
      <c r="B1963" s="38" t="s">
        <v>3697</v>
      </c>
      <c r="C1963" s="39"/>
      <c r="D1963" s="40">
        <v>0</v>
      </c>
      <c r="E1963" s="40">
        <v>0</v>
      </c>
      <c r="F1963" s="40">
        <f>+D1963-E1963</f>
        <v>0</v>
      </c>
      <c r="G1963" s="2">
        <f>+ABS(D1963)+ABS(E1963)</f>
        <v>0</v>
      </c>
    </row>
    <row r="1964" spans="1:7" hidden="1">
      <c r="A1964" s="37" t="s">
        <v>3698</v>
      </c>
      <c r="B1964" s="38" t="s">
        <v>3699</v>
      </c>
      <c r="C1964" s="39"/>
      <c r="D1964" s="40">
        <v>0</v>
      </c>
      <c r="E1964" s="40">
        <v>0</v>
      </c>
      <c r="F1964" s="40">
        <f>+D1964-E1964</f>
        <v>0</v>
      </c>
      <c r="G1964" s="2">
        <f>+ABS(D1964)+ABS(E1964)</f>
        <v>0</v>
      </c>
    </row>
    <row r="1965" spans="1:7" hidden="1">
      <c r="A1965" s="37" t="s">
        <v>3700</v>
      </c>
      <c r="B1965" s="38" t="s">
        <v>3701</v>
      </c>
      <c r="C1965" s="39"/>
      <c r="D1965" s="40">
        <v>0</v>
      </c>
      <c r="E1965" s="40">
        <v>0</v>
      </c>
      <c r="F1965" s="40">
        <f>+D1965-E1965</f>
        <v>0</v>
      </c>
      <c r="G1965" s="2">
        <f>+ABS(D1965)+ABS(E1965)</f>
        <v>0</v>
      </c>
    </row>
    <row r="1966" spans="1:7" hidden="1">
      <c r="A1966" s="37" t="s">
        <v>3702</v>
      </c>
      <c r="B1966" s="38" t="s">
        <v>3703</v>
      </c>
      <c r="C1966" s="39"/>
      <c r="D1966" s="40">
        <v>0</v>
      </c>
      <c r="E1966" s="40">
        <v>0</v>
      </c>
      <c r="F1966" s="40">
        <f>+D1966-E1966</f>
        <v>0</v>
      </c>
      <c r="G1966" s="2">
        <f>+ABS(D1966)+ABS(E1966)</f>
        <v>0</v>
      </c>
    </row>
    <row r="1967" spans="1:7" hidden="1">
      <c r="A1967" s="37" t="s">
        <v>3704</v>
      </c>
      <c r="B1967" s="38" t="s">
        <v>3705</v>
      </c>
      <c r="C1967" s="39"/>
      <c r="D1967" s="40">
        <v>0</v>
      </c>
      <c r="E1967" s="40">
        <v>0</v>
      </c>
      <c r="F1967" s="40">
        <f>+D1967-E1967</f>
        <v>0</v>
      </c>
      <c r="G1967" s="2">
        <f>+ABS(D1967)+ABS(E1967)</f>
        <v>0</v>
      </c>
    </row>
    <row r="1968" spans="1:7" hidden="1">
      <c r="A1968" s="37" t="s">
        <v>3706</v>
      </c>
      <c r="B1968" s="38" t="s">
        <v>3707</v>
      </c>
      <c r="C1968" s="39"/>
      <c r="D1968" s="40">
        <v>0</v>
      </c>
      <c r="E1968" s="40">
        <v>0</v>
      </c>
      <c r="F1968" s="40">
        <f>+D1968-E1968</f>
        <v>0</v>
      </c>
      <c r="G1968" s="2">
        <f>+ABS(D1968)+ABS(E1968)</f>
        <v>0</v>
      </c>
    </row>
    <row r="1969" spans="1:7" hidden="1">
      <c r="A1969" s="37" t="s">
        <v>3708</v>
      </c>
      <c r="B1969" s="38" t="s">
        <v>3709</v>
      </c>
      <c r="C1969" s="39"/>
      <c r="D1969" s="40">
        <v>0</v>
      </c>
      <c r="E1969" s="40">
        <v>0</v>
      </c>
      <c r="F1969" s="40">
        <f>+D1969-E1969</f>
        <v>0</v>
      </c>
      <c r="G1969" s="2">
        <f>+ABS(D1969)+ABS(E1969)</f>
        <v>0</v>
      </c>
    </row>
    <row r="1970" spans="1:7" hidden="1">
      <c r="A1970" s="37" t="s">
        <v>3710</v>
      </c>
      <c r="B1970" s="38" t="s">
        <v>3711</v>
      </c>
      <c r="C1970" s="39"/>
      <c r="D1970" s="40">
        <v>0</v>
      </c>
      <c r="E1970" s="40">
        <v>0</v>
      </c>
      <c r="F1970" s="40">
        <f>+D1970-E1970</f>
        <v>0</v>
      </c>
      <c r="G1970" s="2">
        <f>+ABS(D1970)+ABS(E1970)</f>
        <v>0</v>
      </c>
    </row>
    <row r="1971" spans="1:7" hidden="1">
      <c r="A1971" s="37" t="s">
        <v>3712</v>
      </c>
      <c r="B1971" s="38" t="s">
        <v>3713</v>
      </c>
      <c r="C1971" s="39"/>
      <c r="D1971" s="40">
        <v>0</v>
      </c>
      <c r="E1971" s="40">
        <v>0</v>
      </c>
      <c r="F1971" s="40">
        <f>+D1971-E1971</f>
        <v>0</v>
      </c>
      <c r="G1971" s="2">
        <f>+ABS(D1971)+ABS(E1971)</f>
        <v>0</v>
      </c>
    </row>
    <row r="1972" spans="1:7" hidden="1">
      <c r="A1972" s="37" t="s">
        <v>3714</v>
      </c>
      <c r="B1972" s="38" t="s">
        <v>3715</v>
      </c>
      <c r="C1972" s="39"/>
      <c r="D1972" s="40">
        <v>0</v>
      </c>
      <c r="E1972" s="40">
        <v>0</v>
      </c>
      <c r="F1972" s="40">
        <f>+D1972-E1972</f>
        <v>0</v>
      </c>
      <c r="G1972" s="2">
        <f>+ABS(D1972)+ABS(E1972)</f>
        <v>0</v>
      </c>
    </row>
    <row r="1973" spans="1:7" hidden="1">
      <c r="A1973" s="37" t="s">
        <v>3716</v>
      </c>
      <c r="B1973" s="38" t="s">
        <v>3717</v>
      </c>
      <c r="C1973" s="39"/>
      <c r="D1973" s="40">
        <v>0</v>
      </c>
      <c r="E1973" s="40">
        <v>0</v>
      </c>
      <c r="F1973" s="40">
        <f>+D1973-E1973</f>
        <v>0</v>
      </c>
      <c r="G1973" s="2">
        <f>+ABS(D1973)+ABS(E1973)</f>
        <v>0</v>
      </c>
    </row>
    <row r="1974" spans="1:7" hidden="1">
      <c r="A1974" s="37" t="s">
        <v>3718</v>
      </c>
      <c r="B1974" s="38" t="s">
        <v>3719</v>
      </c>
      <c r="C1974" s="39"/>
      <c r="D1974" s="40">
        <v>0</v>
      </c>
      <c r="E1974" s="40">
        <v>0</v>
      </c>
      <c r="F1974" s="40">
        <f>+D1974-E1974</f>
        <v>0</v>
      </c>
      <c r="G1974" s="2">
        <f>+ABS(D1974)+ABS(E1974)</f>
        <v>0</v>
      </c>
    </row>
    <row r="1975" spans="1:7" hidden="1">
      <c r="A1975" s="37" t="s">
        <v>3720</v>
      </c>
      <c r="B1975" s="38" t="s">
        <v>3721</v>
      </c>
      <c r="C1975" s="39"/>
      <c r="D1975" s="40">
        <v>0</v>
      </c>
      <c r="E1975" s="40">
        <v>0</v>
      </c>
      <c r="F1975" s="40">
        <f>+D1975-E1975</f>
        <v>0</v>
      </c>
      <c r="G1975" s="2">
        <f>+ABS(D1975)+ABS(E1975)</f>
        <v>0</v>
      </c>
    </row>
    <row r="1976" spans="1:7" hidden="1">
      <c r="A1976" s="37" t="s">
        <v>3722</v>
      </c>
      <c r="B1976" s="38" t="s">
        <v>3723</v>
      </c>
      <c r="C1976" s="39"/>
      <c r="D1976" s="40">
        <v>0</v>
      </c>
      <c r="E1976" s="40">
        <v>0</v>
      </c>
      <c r="F1976" s="40">
        <f>+D1976-E1976</f>
        <v>0</v>
      </c>
      <c r="G1976" s="2">
        <f>+ABS(D1976)+ABS(E1976)</f>
        <v>0</v>
      </c>
    </row>
    <row r="1977" spans="1:7" hidden="1">
      <c r="A1977" s="37" t="s">
        <v>3724</v>
      </c>
      <c r="B1977" s="38" t="s">
        <v>3725</v>
      </c>
      <c r="C1977" s="39"/>
      <c r="D1977" s="40">
        <v>0</v>
      </c>
      <c r="E1977" s="40">
        <v>0</v>
      </c>
      <c r="F1977" s="40">
        <f>+D1977-E1977</f>
        <v>0</v>
      </c>
      <c r="G1977" s="2">
        <f>+ABS(D1977)+ABS(E1977)</f>
        <v>0</v>
      </c>
    </row>
    <row r="1978" spans="1:7" hidden="1">
      <c r="A1978" s="37" t="s">
        <v>3726</v>
      </c>
      <c r="B1978" s="38" t="s">
        <v>3727</v>
      </c>
      <c r="C1978" s="39"/>
      <c r="D1978" s="40">
        <v>0</v>
      </c>
      <c r="E1978" s="40">
        <v>0</v>
      </c>
      <c r="F1978" s="40">
        <f>+D1978-E1978</f>
        <v>0</v>
      </c>
      <c r="G1978" s="2">
        <f>+ABS(D1978)+ABS(E1978)</f>
        <v>0</v>
      </c>
    </row>
    <row r="1979" spans="1:7" hidden="1">
      <c r="A1979" s="37" t="s">
        <v>3728</v>
      </c>
      <c r="B1979" s="38" t="s">
        <v>3729</v>
      </c>
      <c r="C1979" s="39"/>
      <c r="D1979" s="40">
        <v>0</v>
      </c>
      <c r="E1979" s="40">
        <v>0</v>
      </c>
      <c r="F1979" s="40">
        <f>+D1979-E1979</f>
        <v>0</v>
      </c>
      <c r="G1979" s="2">
        <f>+ABS(D1979)+ABS(E1979)</f>
        <v>0</v>
      </c>
    </row>
    <row r="1980" spans="1:7" hidden="1">
      <c r="A1980" s="37" t="s">
        <v>3730</v>
      </c>
      <c r="B1980" s="38" t="s">
        <v>3731</v>
      </c>
      <c r="C1980" s="39"/>
      <c r="D1980" s="40">
        <v>0</v>
      </c>
      <c r="E1980" s="40">
        <v>0</v>
      </c>
      <c r="F1980" s="40">
        <f>+D1980-E1980</f>
        <v>0</v>
      </c>
      <c r="G1980" s="2">
        <f>+ABS(D1980)+ABS(E1980)</f>
        <v>0</v>
      </c>
    </row>
    <row r="1981" spans="1:7" hidden="1">
      <c r="A1981" s="37" t="s">
        <v>3732</v>
      </c>
      <c r="B1981" s="38" t="s">
        <v>3733</v>
      </c>
      <c r="C1981" s="39"/>
      <c r="D1981" s="40">
        <v>0</v>
      </c>
      <c r="E1981" s="40">
        <v>0</v>
      </c>
      <c r="F1981" s="40">
        <f>+D1981-E1981</f>
        <v>0</v>
      </c>
      <c r="G1981" s="2">
        <f>+ABS(D1981)+ABS(E1981)</f>
        <v>0</v>
      </c>
    </row>
    <row r="1982" spans="1:7" hidden="1">
      <c r="A1982" s="37" t="s">
        <v>3734</v>
      </c>
      <c r="B1982" s="38" t="s">
        <v>3735</v>
      </c>
      <c r="C1982" s="39"/>
      <c r="D1982" s="40">
        <v>0</v>
      </c>
      <c r="E1982" s="40">
        <v>0</v>
      </c>
      <c r="F1982" s="40">
        <f>+D1982-E1982</f>
        <v>0</v>
      </c>
      <c r="G1982" s="2">
        <f>+ABS(D1982)+ABS(E1982)</f>
        <v>0</v>
      </c>
    </row>
    <row r="1983" spans="1:7" hidden="1">
      <c r="A1983" s="37" t="s">
        <v>3736</v>
      </c>
      <c r="B1983" s="38" t="s">
        <v>3737</v>
      </c>
      <c r="C1983" s="39"/>
      <c r="D1983" s="40">
        <v>0</v>
      </c>
      <c r="E1983" s="40">
        <v>0</v>
      </c>
      <c r="F1983" s="40">
        <f>+D1983-E1983</f>
        <v>0</v>
      </c>
      <c r="G1983" s="2">
        <f>+ABS(D1983)+ABS(E1983)</f>
        <v>0</v>
      </c>
    </row>
    <row r="1984" spans="1:7" hidden="1">
      <c r="A1984" s="37" t="s">
        <v>3738</v>
      </c>
      <c r="B1984" s="38" t="s">
        <v>3739</v>
      </c>
      <c r="C1984" s="39"/>
      <c r="D1984" s="40">
        <v>0</v>
      </c>
      <c r="E1984" s="40">
        <v>0</v>
      </c>
      <c r="F1984" s="40">
        <f>+D1984-E1984</f>
        <v>0</v>
      </c>
      <c r="G1984" s="2">
        <f>+ABS(D1984)+ABS(E1984)</f>
        <v>0</v>
      </c>
    </row>
    <row r="1985" spans="1:7" hidden="1">
      <c r="A1985" s="37" t="s">
        <v>3740</v>
      </c>
      <c r="B1985" s="38" t="s">
        <v>3741</v>
      </c>
      <c r="C1985" s="39"/>
      <c r="D1985" s="40">
        <v>0</v>
      </c>
      <c r="E1985" s="40">
        <v>0</v>
      </c>
      <c r="F1985" s="40">
        <f>+D1985-E1985</f>
        <v>0</v>
      </c>
      <c r="G1985" s="2">
        <f>+ABS(D1985)+ABS(E1985)</f>
        <v>0</v>
      </c>
    </row>
    <row r="1986" spans="1:7" hidden="1">
      <c r="A1986" s="37" t="s">
        <v>3742</v>
      </c>
      <c r="B1986" s="38" t="s">
        <v>3743</v>
      </c>
      <c r="C1986" s="39"/>
      <c r="D1986" s="40">
        <v>0</v>
      </c>
      <c r="E1986" s="40">
        <v>0</v>
      </c>
      <c r="F1986" s="40">
        <f>+D1986-E1986</f>
        <v>0</v>
      </c>
      <c r="G1986" s="2">
        <f>+ABS(D1986)+ABS(E1986)</f>
        <v>0</v>
      </c>
    </row>
    <row r="1987" spans="1:7" hidden="1">
      <c r="A1987" s="37" t="s">
        <v>3744</v>
      </c>
      <c r="B1987" s="38" t="s">
        <v>3745</v>
      </c>
      <c r="C1987" s="39"/>
      <c r="D1987" s="40">
        <v>0</v>
      </c>
      <c r="E1987" s="40">
        <v>0</v>
      </c>
      <c r="F1987" s="40">
        <f>+D1987-E1987</f>
        <v>0</v>
      </c>
      <c r="G1987" s="2">
        <f>+ABS(D1987)+ABS(E1987)</f>
        <v>0</v>
      </c>
    </row>
    <row r="1988" spans="1:7" hidden="1">
      <c r="A1988" s="37" t="s">
        <v>3746</v>
      </c>
      <c r="B1988" s="38" t="s">
        <v>3747</v>
      </c>
      <c r="C1988" s="39"/>
      <c r="D1988" s="40">
        <v>0</v>
      </c>
      <c r="E1988" s="40">
        <v>0</v>
      </c>
      <c r="F1988" s="40">
        <f>+D1988-E1988</f>
        <v>0</v>
      </c>
      <c r="G1988" s="2">
        <f>+ABS(D1988)+ABS(E1988)</f>
        <v>0</v>
      </c>
    </row>
    <row r="1989" spans="1:7" hidden="1">
      <c r="A1989" s="37" t="s">
        <v>3748</v>
      </c>
      <c r="B1989" s="38" t="s">
        <v>3749</v>
      </c>
      <c r="C1989" s="39"/>
      <c r="D1989" s="40">
        <v>0</v>
      </c>
      <c r="E1989" s="40">
        <v>0</v>
      </c>
      <c r="F1989" s="40">
        <f>+D1989-E1989</f>
        <v>0</v>
      </c>
      <c r="G1989" s="2">
        <f>+ABS(D1989)+ABS(E1989)</f>
        <v>0</v>
      </c>
    </row>
    <row r="1990" spans="1:7" hidden="1">
      <c r="A1990" s="37" t="s">
        <v>3750</v>
      </c>
      <c r="B1990" s="38" t="s">
        <v>3751</v>
      </c>
      <c r="C1990" s="39"/>
      <c r="D1990" s="40">
        <v>0</v>
      </c>
      <c r="E1990" s="40">
        <v>0</v>
      </c>
      <c r="F1990" s="40">
        <f>+D1990-E1990</f>
        <v>0</v>
      </c>
      <c r="G1990" s="2">
        <f>+ABS(D1990)+ABS(E1990)</f>
        <v>0</v>
      </c>
    </row>
    <row r="1991" spans="1:7" hidden="1">
      <c r="A1991" s="37" t="s">
        <v>3752</v>
      </c>
      <c r="B1991" s="38" t="s">
        <v>3753</v>
      </c>
      <c r="C1991" s="39"/>
      <c r="D1991" s="40">
        <v>0</v>
      </c>
      <c r="E1991" s="40">
        <v>0</v>
      </c>
      <c r="F1991" s="40">
        <f>+D1991-E1991</f>
        <v>0</v>
      </c>
      <c r="G1991" s="2">
        <f>+ABS(D1991)+ABS(E1991)</f>
        <v>0</v>
      </c>
    </row>
    <row r="1992" spans="1:7" hidden="1">
      <c r="A1992" s="37" t="s">
        <v>3754</v>
      </c>
      <c r="B1992" s="38" t="s">
        <v>3755</v>
      </c>
      <c r="C1992" s="39"/>
      <c r="D1992" s="40">
        <v>0</v>
      </c>
      <c r="E1992" s="40">
        <v>0</v>
      </c>
      <c r="F1992" s="40">
        <f>+D1992-E1992</f>
        <v>0</v>
      </c>
      <c r="G1992" s="2">
        <f>+ABS(D1992)+ABS(E1992)</f>
        <v>0</v>
      </c>
    </row>
    <row r="1993" spans="1:7" hidden="1">
      <c r="A1993" s="37" t="s">
        <v>3756</v>
      </c>
      <c r="B1993" s="38" t="s">
        <v>3757</v>
      </c>
      <c r="C1993" s="39"/>
      <c r="D1993" s="40">
        <v>0</v>
      </c>
      <c r="E1993" s="40">
        <v>0</v>
      </c>
      <c r="F1993" s="40">
        <f>+D1993-E1993</f>
        <v>0</v>
      </c>
      <c r="G1993" s="2">
        <f>+ABS(D1993)+ABS(E1993)</f>
        <v>0</v>
      </c>
    </row>
    <row r="1994" spans="1:7" hidden="1">
      <c r="A1994" s="37" t="s">
        <v>3758</v>
      </c>
      <c r="B1994" s="38" t="s">
        <v>3759</v>
      </c>
      <c r="C1994" s="39"/>
      <c r="D1994" s="40">
        <v>0</v>
      </c>
      <c r="E1994" s="40">
        <v>0</v>
      </c>
      <c r="F1994" s="40">
        <f>+D1994-E1994</f>
        <v>0</v>
      </c>
      <c r="G1994" s="2">
        <f>+ABS(D1994)+ABS(E1994)</f>
        <v>0</v>
      </c>
    </row>
    <row r="1995" spans="1:7" hidden="1">
      <c r="A1995" s="37" t="s">
        <v>3760</v>
      </c>
      <c r="B1995" s="38" t="s">
        <v>3761</v>
      </c>
      <c r="C1995" s="39"/>
      <c r="D1995" s="40">
        <v>0</v>
      </c>
      <c r="E1995" s="40">
        <v>0</v>
      </c>
      <c r="F1995" s="40">
        <f>+D1995-E1995</f>
        <v>0</v>
      </c>
      <c r="G1995" s="2">
        <f>+ABS(D1995)+ABS(E1995)</f>
        <v>0</v>
      </c>
    </row>
    <row r="1996" spans="1:7" hidden="1">
      <c r="A1996" s="37" t="s">
        <v>3762</v>
      </c>
      <c r="B1996" s="38" t="s">
        <v>3763</v>
      </c>
      <c r="C1996" s="39"/>
      <c r="D1996" s="40">
        <v>0</v>
      </c>
      <c r="E1996" s="40">
        <v>0</v>
      </c>
      <c r="F1996" s="40">
        <f>+D1996-E1996</f>
        <v>0</v>
      </c>
      <c r="G1996" s="2">
        <f>+ABS(D1996)+ABS(E1996)</f>
        <v>0</v>
      </c>
    </row>
    <row r="1997" spans="1:7" hidden="1">
      <c r="A1997" s="37" t="s">
        <v>3764</v>
      </c>
      <c r="B1997" s="38" t="s">
        <v>3765</v>
      </c>
      <c r="C1997" s="39"/>
      <c r="D1997" s="40">
        <v>0</v>
      </c>
      <c r="E1997" s="40">
        <v>0</v>
      </c>
      <c r="F1997" s="40">
        <f>+D1997-E1997</f>
        <v>0</v>
      </c>
      <c r="G1997" s="2">
        <f>+ABS(D1997)+ABS(E1997)</f>
        <v>0</v>
      </c>
    </row>
    <row r="1998" spans="1:7" hidden="1">
      <c r="A1998" s="37" t="s">
        <v>3766</v>
      </c>
      <c r="B1998" s="38" t="s">
        <v>3767</v>
      </c>
      <c r="C1998" s="39"/>
      <c r="D1998" s="40">
        <v>0</v>
      </c>
      <c r="E1998" s="40">
        <v>0</v>
      </c>
      <c r="F1998" s="40">
        <f>+D1998-E1998</f>
        <v>0</v>
      </c>
      <c r="G1998" s="2">
        <f>+ABS(D1998)+ABS(E1998)</f>
        <v>0</v>
      </c>
    </row>
    <row r="1999" spans="1:7" hidden="1">
      <c r="A1999" s="37" t="s">
        <v>3768</v>
      </c>
      <c r="B1999" s="38" t="s">
        <v>3769</v>
      </c>
      <c r="C1999" s="39"/>
      <c r="D1999" s="40">
        <v>0</v>
      </c>
      <c r="E1999" s="40">
        <v>0</v>
      </c>
      <c r="F1999" s="40">
        <f>+D1999-E1999</f>
        <v>0</v>
      </c>
      <c r="G1999" s="2">
        <f>+ABS(D1999)+ABS(E1999)</f>
        <v>0</v>
      </c>
    </row>
    <row r="2000" spans="1:7" hidden="1">
      <c r="A2000" s="37" t="s">
        <v>3770</v>
      </c>
      <c r="B2000" s="38" t="s">
        <v>3771</v>
      </c>
      <c r="C2000" s="39"/>
      <c r="D2000" s="40">
        <v>0</v>
      </c>
      <c r="E2000" s="40">
        <v>0</v>
      </c>
      <c r="F2000" s="40">
        <f>+D2000-E2000</f>
        <v>0</v>
      </c>
      <c r="G2000" s="2">
        <f>+ABS(D2000)+ABS(E2000)</f>
        <v>0</v>
      </c>
    </row>
    <row r="2001" spans="1:7" hidden="1">
      <c r="A2001" s="37" t="s">
        <v>3772</v>
      </c>
      <c r="B2001" s="38" t="s">
        <v>3773</v>
      </c>
      <c r="C2001" s="39"/>
      <c r="D2001" s="40">
        <v>0</v>
      </c>
      <c r="E2001" s="40">
        <v>0</v>
      </c>
      <c r="F2001" s="40">
        <f>+D2001-E2001</f>
        <v>0</v>
      </c>
      <c r="G2001" s="2">
        <f>+ABS(D2001)+ABS(E2001)</f>
        <v>0</v>
      </c>
    </row>
    <row r="2002" spans="1:7" hidden="1">
      <c r="A2002" s="37" t="s">
        <v>3774</v>
      </c>
      <c r="B2002" s="38" t="s">
        <v>3775</v>
      </c>
      <c r="C2002" s="39"/>
      <c r="D2002" s="40">
        <v>0</v>
      </c>
      <c r="E2002" s="40">
        <v>0</v>
      </c>
      <c r="F2002" s="40">
        <f>+D2002-E2002</f>
        <v>0</v>
      </c>
      <c r="G2002" s="2">
        <f>+ABS(D2002)+ABS(E2002)</f>
        <v>0</v>
      </c>
    </row>
    <row r="2003" spans="1:7" hidden="1">
      <c r="A2003" s="37" t="s">
        <v>3776</v>
      </c>
      <c r="B2003" s="38" t="s">
        <v>3777</v>
      </c>
      <c r="C2003" s="39"/>
      <c r="D2003" s="40">
        <v>0</v>
      </c>
      <c r="E2003" s="40">
        <v>0</v>
      </c>
      <c r="F2003" s="40">
        <f>+D2003-E2003</f>
        <v>0</v>
      </c>
      <c r="G2003" s="2">
        <f>+ABS(D2003)+ABS(E2003)</f>
        <v>0</v>
      </c>
    </row>
    <row r="2004" spans="1:7" hidden="1">
      <c r="A2004" s="37" t="s">
        <v>3778</v>
      </c>
      <c r="B2004" s="38" t="s">
        <v>3779</v>
      </c>
      <c r="C2004" s="39"/>
      <c r="D2004" s="40">
        <v>0</v>
      </c>
      <c r="E2004" s="40">
        <v>0</v>
      </c>
      <c r="F2004" s="40">
        <f>+D2004-E2004</f>
        <v>0</v>
      </c>
      <c r="G2004" s="2">
        <f>+ABS(D2004)+ABS(E2004)</f>
        <v>0</v>
      </c>
    </row>
    <row r="2005" spans="1:7" hidden="1">
      <c r="A2005" s="37" t="s">
        <v>3780</v>
      </c>
      <c r="B2005" s="38" t="s">
        <v>3781</v>
      </c>
      <c r="C2005" s="39"/>
      <c r="D2005" s="40">
        <v>0</v>
      </c>
      <c r="E2005" s="40">
        <v>0</v>
      </c>
      <c r="F2005" s="40">
        <f>+D2005-E2005</f>
        <v>0</v>
      </c>
      <c r="G2005" s="2">
        <f>+ABS(D2005)+ABS(E2005)</f>
        <v>0</v>
      </c>
    </row>
    <row r="2006" spans="1:7" hidden="1">
      <c r="A2006" s="37" t="s">
        <v>3782</v>
      </c>
      <c r="B2006" s="38" t="s">
        <v>3783</v>
      </c>
      <c r="C2006" s="39"/>
      <c r="D2006" s="40">
        <v>0</v>
      </c>
      <c r="E2006" s="40">
        <v>0</v>
      </c>
      <c r="F2006" s="40">
        <f>+D2006-E2006</f>
        <v>0</v>
      </c>
      <c r="G2006" s="2">
        <f>+ABS(D2006)+ABS(E2006)</f>
        <v>0</v>
      </c>
    </row>
    <row r="2007" spans="1:7" hidden="1">
      <c r="A2007" s="37" t="s">
        <v>3784</v>
      </c>
      <c r="B2007" s="38" t="s">
        <v>3785</v>
      </c>
      <c r="C2007" s="39"/>
      <c r="D2007" s="40">
        <v>0</v>
      </c>
      <c r="E2007" s="40">
        <v>0</v>
      </c>
      <c r="F2007" s="40">
        <f>+D2007-E2007</f>
        <v>0</v>
      </c>
      <c r="G2007" s="2">
        <f>+ABS(D2007)+ABS(E2007)</f>
        <v>0</v>
      </c>
    </row>
    <row r="2008" spans="1:7" hidden="1">
      <c r="A2008" s="37" t="s">
        <v>3786</v>
      </c>
      <c r="B2008" s="38" t="s">
        <v>3787</v>
      </c>
      <c r="C2008" s="39"/>
      <c r="D2008" s="40">
        <v>0</v>
      </c>
      <c r="E2008" s="40">
        <v>0</v>
      </c>
      <c r="F2008" s="40">
        <f>+D2008-E2008</f>
        <v>0</v>
      </c>
      <c r="G2008" s="2">
        <f>+ABS(D2008)+ABS(E2008)</f>
        <v>0</v>
      </c>
    </row>
    <row r="2009" spans="1:7" hidden="1">
      <c r="A2009" s="37" t="s">
        <v>3788</v>
      </c>
      <c r="B2009" s="38" t="s">
        <v>3789</v>
      </c>
      <c r="C2009" s="39"/>
      <c r="D2009" s="40">
        <v>0</v>
      </c>
      <c r="E2009" s="40">
        <v>0</v>
      </c>
      <c r="F2009" s="40">
        <f>+D2009-E2009</f>
        <v>0</v>
      </c>
      <c r="G2009" s="2">
        <f>+ABS(D2009)+ABS(E2009)</f>
        <v>0</v>
      </c>
    </row>
    <row r="2010" spans="1:7" hidden="1">
      <c r="A2010" s="37" t="s">
        <v>3790</v>
      </c>
      <c r="B2010" s="38" t="s">
        <v>3791</v>
      </c>
      <c r="C2010" s="39"/>
      <c r="D2010" s="40">
        <v>0</v>
      </c>
      <c r="E2010" s="40">
        <v>0</v>
      </c>
      <c r="F2010" s="40">
        <f>+D2010-E2010</f>
        <v>0</v>
      </c>
      <c r="G2010" s="2">
        <f>+ABS(D2010)+ABS(E2010)</f>
        <v>0</v>
      </c>
    </row>
    <row r="2011" spans="1:7" hidden="1">
      <c r="A2011" s="37" t="s">
        <v>3792</v>
      </c>
      <c r="B2011" s="38" t="s">
        <v>3793</v>
      </c>
      <c r="C2011" s="39"/>
      <c r="D2011" s="40">
        <v>0</v>
      </c>
      <c r="E2011" s="40">
        <v>0</v>
      </c>
      <c r="F2011" s="40">
        <f>+D2011-E2011</f>
        <v>0</v>
      </c>
      <c r="G2011" s="2">
        <f>+ABS(D2011)+ABS(E2011)</f>
        <v>0</v>
      </c>
    </row>
    <row r="2012" spans="1:7" hidden="1">
      <c r="A2012" s="37" t="s">
        <v>3794</v>
      </c>
      <c r="B2012" s="38" t="s">
        <v>3795</v>
      </c>
      <c r="C2012" s="39"/>
      <c r="D2012" s="40">
        <v>0</v>
      </c>
      <c r="E2012" s="40">
        <v>0</v>
      </c>
      <c r="F2012" s="40">
        <f>+D2012-E2012</f>
        <v>0</v>
      </c>
      <c r="G2012" s="2">
        <f>+ABS(D2012)+ABS(E2012)</f>
        <v>0</v>
      </c>
    </row>
    <row r="2013" spans="1:7" hidden="1">
      <c r="A2013" s="37" t="s">
        <v>3796</v>
      </c>
      <c r="B2013" s="38" t="s">
        <v>3797</v>
      </c>
      <c r="C2013" s="39"/>
      <c r="D2013" s="40">
        <v>0</v>
      </c>
      <c r="E2013" s="40">
        <v>0</v>
      </c>
      <c r="F2013" s="40">
        <f>+D2013-E2013</f>
        <v>0</v>
      </c>
      <c r="G2013" s="2">
        <f>+ABS(D2013)+ABS(E2013)</f>
        <v>0</v>
      </c>
    </row>
    <row r="2014" spans="1:7" hidden="1">
      <c r="A2014" s="37" t="s">
        <v>3798</v>
      </c>
      <c r="B2014" s="38" t="s">
        <v>3799</v>
      </c>
      <c r="C2014" s="39"/>
      <c r="D2014" s="40">
        <v>0</v>
      </c>
      <c r="E2014" s="40">
        <v>0</v>
      </c>
      <c r="F2014" s="40">
        <f>+D2014-E2014</f>
        <v>0</v>
      </c>
      <c r="G2014" s="2">
        <f>+ABS(D2014)+ABS(E2014)</f>
        <v>0</v>
      </c>
    </row>
    <row r="2015" spans="1:7" hidden="1">
      <c r="A2015" s="37" t="s">
        <v>3800</v>
      </c>
      <c r="B2015" s="38" t="s">
        <v>3801</v>
      </c>
      <c r="C2015" s="39"/>
      <c r="D2015" s="40">
        <v>0</v>
      </c>
      <c r="E2015" s="40">
        <v>0</v>
      </c>
      <c r="F2015" s="40">
        <f>+D2015-E2015</f>
        <v>0</v>
      </c>
      <c r="G2015" s="2">
        <f>+ABS(D2015)+ABS(E2015)</f>
        <v>0</v>
      </c>
    </row>
    <row r="2016" spans="1:7" hidden="1">
      <c r="A2016" s="37" t="s">
        <v>3802</v>
      </c>
      <c r="B2016" s="38" t="s">
        <v>3803</v>
      </c>
      <c r="C2016" s="39"/>
      <c r="D2016" s="40">
        <v>0</v>
      </c>
      <c r="E2016" s="40">
        <v>0</v>
      </c>
      <c r="F2016" s="40">
        <f>+D2016-E2016</f>
        <v>0</v>
      </c>
      <c r="G2016" s="2">
        <f>+ABS(D2016)+ABS(E2016)</f>
        <v>0</v>
      </c>
    </row>
    <row r="2017" spans="1:7" hidden="1">
      <c r="A2017" s="37" t="s">
        <v>3804</v>
      </c>
      <c r="B2017" s="38" t="s">
        <v>3727</v>
      </c>
      <c r="C2017" s="39"/>
      <c r="D2017" s="40">
        <v>0</v>
      </c>
      <c r="E2017" s="40">
        <v>0</v>
      </c>
      <c r="F2017" s="40">
        <f>+D2017-E2017</f>
        <v>0</v>
      </c>
      <c r="G2017" s="2">
        <f>+ABS(D2017)+ABS(E2017)</f>
        <v>0</v>
      </c>
    </row>
    <row r="2018" spans="1:7" hidden="1">
      <c r="A2018" s="37" t="s">
        <v>3805</v>
      </c>
      <c r="B2018" s="38" t="s">
        <v>3806</v>
      </c>
      <c r="C2018" s="39"/>
      <c r="D2018" s="40">
        <v>0</v>
      </c>
      <c r="E2018" s="40">
        <v>0</v>
      </c>
      <c r="F2018" s="40">
        <f>+D2018-E2018</f>
        <v>0</v>
      </c>
      <c r="G2018" s="2">
        <f>+ABS(D2018)+ABS(E2018)</f>
        <v>0</v>
      </c>
    </row>
    <row r="2019" spans="1:7" hidden="1">
      <c r="A2019" s="37" t="s">
        <v>3807</v>
      </c>
      <c r="B2019" s="38" t="s">
        <v>3808</v>
      </c>
      <c r="C2019" s="39"/>
      <c r="D2019" s="40">
        <v>0</v>
      </c>
      <c r="E2019" s="40">
        <v>0</v>
      </c>
      <c r="F2019" s="40">
        <f>+D2019-E2019</f>
        <v>0</v>
      </c>
      <c r="G2019" s="2">
        <f>+ABS(D2019)+ABS(E2019)</f>
        <v>0</v>
      </c>
    </row>
    <row r="2020" spans="1:7" hidden="1">
      <c r="A2020" s="37" t="s">
        <v>3809</v>
      </c>
      <c r="B2020" s="38" t="s">
        <v>3810</v>
      </c>
      <c r="C2020" s="39"/>
      <c r="D2020" s="40">
        <v>0</v>
      </c>
      <c r="E2020" s="40">
        <v>0</v>
      </c>
      <c r="F2020" s="40">
        <f>+D2020-E2020</f>
        <v>0</v>
      </c>
      <c r="G2020" s="2">
        <f>+ABS(D2020)+ABS(E2020)</f>
        <v>0</v>
      </c>
    </row>
    <row r="2021" spans="1:7" hidden="1">
      <c r="A2021" s="37" t="s">
        <v>3811</v>
      </c>
      <c r="B2021" s="38" t="s">
        <v>3812</v>
      </c>
      <c r="C2021" s="39"/>
      <c r="D2021" s="40">
        <v>0</v>
      </c>
      <c r="E2021" s="40">
        <v>0</v>
      </c>
      <c r="F2021" s="40">
        <f>+D2021-E2021</f>
        <v>0</v>
      </c>
      <c r="G2021" s="2">
        <f>+ABS(D2021)+ABS(E2021)</f>
        <v>0</v>
      </c>
    </row>
    <row r="2022" spans="1:7" hidden="1">
      <c r="A2022" s="37" t="s">
        <v>3813</v>
      </c>
      <c r="B2022" s="38" t="s">
        <v>3814</v>
      </c>
      <c r="C2022" s="39"/>
      <c r="D2022" s="40">
        <v>0</v>
      </c>
      <c r="E2022" s="40">
        <v>0</v>
      </c>
      <c r="F2022" s="40">
        <f>+D2022-E2022</f>
        <v>0</v>
      </c>
      <c r="G2022" s="2">
        <f>+ABS(D2022)+ABS(E2022)</f>
        <v>0</v>
      </c>
    </row>
    <row r="2023" spans="1:7" hidden="1">
      <c r="A2023" s="37" t="s">
        <v>3815</v>
      </c>
      <c r="B2023" s="38" t="s">
        <v>3816</v>
      </c>
      <c r="C2023" s="39"/>
      <c r="D2023" s="40">
        <v>0</v>
      </c>
      <c r="E2023" s="40">
        <v>0</v>
      </c>
      <c r="F2023" s="40">
        <f>+D2023-E2023</f>
        <v>0</v>
      </c>
      <c r="G2023" s="2">
        <f>+ABS(D2023)+ABS(E2023)</f>
        <v>0</v>
      </c>
    </row>
    <row r="2024" spans="1:7" hidden="1">
      <c r="A2024" s="37" t="s">
        <v>3817</v>
      </c>
      <c r="B2024" s="38" t="s">
        <v>3818</v>
      </c>
      <c r="C2024" s="39"/>
      <c r="D2024" s="40">
        <v>0</v>
      </c>
      <c r="E2024" s="40">
        <v>0</v>
      </c>
      <c r="F2024" s="40">
        <f>+D2024-E2024</f>
        <v>0</v>
      </c>
      <c r="G2024" s="2">
        <f>+ABS(D2024)+ABS(E2024)</f>
        <v>0</v>
      </c>
    </row>
    <row r="2025" spans="1:7" hidden="1">
      <c r="A2025" s="37" t="s">
        <v>3819</v>
      </c>
      <c r="B2025" s="38" t="s">
        <v>3820</v>
      </c>
      <c r="C2025" s="39"/>
      <c r="D2025" s="40">
        <v>0</v>
      </c>
      <c r="E2025" s="40">
        <v>0</v>
      </c>
      <c r="F2025" s="40">
        <f>+D2025-E2025</f>
        <v>0</v>
      </c>
      <c r="G2025" s="2">
        <f>+ABS(D2025)+ABS(E2025)</f>
        <v>0</v>
      </c>
    </row>
    <row r="2026" spans="1:7" hidden="1">
      <c r="A2026" s="37" t="s">
        <v>3821</v>
      </c>
      <c r="B2026" s="38" t="s">
        <v>3822</v>
      </c>
      <c r="C2026" s="39"/>
      <c r="D2026" s="40">
        <v>0</v>
      </c>
      <c r="E2026" s="40">
        <v>0</v>
      </c>
      <c r="F2026" s="40">
        <f>+D2026-E2026</f>
        <v>0</v>
      </c>
      <c r="G2026" s="2">
        <f>+ABS(D2026)+ABS(E2026)</f>
        <v>0</v>
      </c>
    </row>
    <row r="2027" spans="1:7" hidden="1">
      <c r="A2027" s="37" t="s">
        <v>3823</v>
      </c>
      <c r="B2027" s="38" t="s">
        <v>3824</v>
      </c>
      <c r="C2027" s="39"/>
      <c r="D2027" s="40">
        <v>0</v>
      </c>
      <c r="E2027" s="40">
        <v>0</v>
      </c>
      <c r="F2027" s="40">
        <f>+D2027-E2027</f>
        <v>0</v>
      </c>
      <c r="G2027" s="2">
        <f>+ABS(D2027)+ABS(E2027)</f>
        <v>0</v>
      </c>
    </row>
    <row r="2028" spans="1:7" hidden="1">
      <c r="A2028" s="37" t="s">
        <v>3825</v>
      </c>
      <c r="B2028" s="38" t="s">
        <v>3826</v>
      </c>
      <c r="C2028" s="39"/>
      <c r="D2028" s="40">
        <v>0</v>
      </c>
      <c r="E2028" s="40">
        <v>0</v>
      </c>
      <c r="F2028" s="40">
        <f>+D2028-E2028</f>
        <v>0</v>
      </c>
      <c r="G2028" s="2">
        <f>+ABS(D2028)+ABS(E2028)</f>
        <v>0</v>
      </c>
    </row>
    <row r="2029" spans="1:7" hidden="1">
      <c r="A2029" s="37" t="s">
        <v>3827</v>
      </c>
      <c r="B2029" s="38" t="s">
        <v>3828</v>
      </c>
      <c r="C2029" s="39"/>
      <c r="D2029" s="40">
        <v>0</v>
      </c>
      <c r="E2029" s="40">
        <v>0</v>
      </c>
      <c r="F2029" s="40">
        <f>+D2029-E2029</f>
        <v>0</v>
      </c>
      <c r="G2029" s="2">
        <f>+ABS(D2029)+ABS(E2029)</f>
        <v>0</v>
      </c>
    </row>
    <row r="2030" spans="1:7" hidden="1">
      <c r="A2030" s="37" t="s">
        <v>3829</v>
      </c>
      <c r="B2030" s="38" t="s">
        <v>3830</v>
      </c>
      <c r="C2030" s="39"/>
      <c r="D2030" s="40">
        <v>0</v>
      </c>
      <c r="E2030" s="40">
        <v>0</v>
      </c>
      <c r="F2030" s="40">
        <f>+D2030-E2030</f>
        <v>0</v>
      </c>
      <c r="G2030" s="2">
        <f>+ABS(D2030)+ABS(E2030)</f>
        <v>0</v>
      </c>
    </row>
    <row r="2031" spans="1:7" hidden="1">
      <c r="A2031" s="37" t="s">
        <v>3831</v>
      </c>
      <c r="B2031" s="38" t="s">
        <v>3832</v>
      </c>
      <c r="C2031" s="39"/>
      <c r="D2031" s="40">
        <v>0</v>
      </c>
      <c r="E2031" s="40">
        <v>0</v>
      </c>
      <c r="F2031" s="40">
        <f>+D2031-E2031</f>
        <v>0</v>
      </c>
      <c r="G2031" s="2">
        <f>+ABS(D2031)+ABS(E2031)</f>
        <v>0</v>
      </c>
    </row>
    <row r="2032" spans="1:7" hidden="1">
      <c r="A2032" s="37" t="s">
        <v>3833</v>
      </c>
      <c r="B2032" s="38" t="s">
        <v>3834</v>
      </c>
      <c r="C2032" s="39"/>
      <c r="D2032" s="40">
        <v>0</v>
      </c>
      <c r="E2032" s="40">
        <v>0</v>
      </c>
      <c r="F2032" s="40">
        <f>+D2032-E2032</f>
        <v>0</v>
      </c>
      <c r="G2032" s="2">
        <f>+ABS(D2032)+ABS(E2032)</f>
        <v>0</v>
      </c>
    </row>
    <row r="2033" spans="1:7" hidden="1">
      <c r="A2033" s="37" t="s">
        <v>3835</v>
      </c>
      <c r="B2033" s="38" t="s">
        <v>3836</v>
      </c>
      <c r="C2033" s="39"/>
      <c r="D2033" s="40">
        <v>0</v>
      </c>
      <c r="E2033" s="40">
        <v>0</v>
      </c>
      <c r="F2033" s="40">
        <f>+D2033-E2033</f>
        <v>0</v>
      </c>
      <c r="G2033" s="2">
        <f>+ABS(D2033)+ABS(E2033)</f>
        <v>0</v>
      </c>
    </row>
    <row r="2034" spans="1:7" hidden="1">
      <c r="A2034" s="37" t="s">
        <v>3837</v>
      </c>
      <c r="B2034" s="38" t="s">
        <v>3838</v>
      </c>
      <c r="C2034" s="39"/>
      <c r="D2034" s="40">
        <v>0</v>
      </c>
      <c r="E2034" s="40">
        <v>0</v>
      </c>
      <c r="F2034" s="40">
        <f>+D2034-E2034</f>
        <v>0</v>
      </c>
      <c r="G2034" s="2">
        <f>+ABS(D2034)+ABS(E2034)</f>
        <v>0</v>
      </c>
    </row>
    <row r="2035" spans="1:7" hidden="1">
      <c r="A2035" s="37" t="s">
        <v>3839</v>
      </c>
      <c r="B2035" s="38" t="s">
        <v>3840</v>
      </c>
      <c r="C2035" s="39"/>
      <c r="D2035" s="40">
        <v>0</v>
      </c>
      <c r="E2035" s="40">
        <v>0</v>
      </c>
      <c r="F2035" s="40">
        <f>+D2035-E2035</f>
        <v>0</v>
      </c>
      <c r="G2035" s="2">
        <f>+ABS(D2035)+ABS(E2035)</f>
        <v>0</v>
      </c>
    </row>
    <row r="2036" spans="1:7" hidden="1">
      <c r="A2036" s="37" t="s">
        <v>3841</v>
      </c>
      <c r="B2036" s="38" t="s">
        <v>3842</v>
      </c>
      <c r="C2036" s="39"/>
      <c r="D2036" s="40">
        <v>0</v>
      </c>
      <c r="E2036" s="40">
        <v>0</v>
      </c>
      <c r="F2036" s="40">
        <f>+D2036-E2036</f>
        <v>0</v>
      </c>
      <c r="G2036" s="2">
        <f>+ABS(D2036)+ABS(E2036)</f>
        <v>0</v>
      </c>
    </row>
    <row r="2037" spans="1:7" hidden="1">
      <c r="A2037" s="37" t="s">
        <v>3843</v>
      </c>
      <c r="B2037" s="38" t="s">
        <v>3844</v>
      </c>
      <c r="C2037" s="39"/>
      <c r="D2037" s="40">
        <v>0</v>
      </c>
      <c r="E2037" s="40">
        <v>0</v>
      </c>
      <c r="F2037" s="40">
        <f>+D2037-E2037</f>
        <v>0</v>
      </c>
      <c r="G2037" s="2">
        <f>+ABS(D2037)+ABS(E2037)</f>
        <v>0</v>
      </c>
    </row>
    <row r="2038" spans="1:7" hidden="1">
      <c r="A2038" s="37" t="s">
        <v>3845</v>
      </c>
      <c r="B2038" s="38" t="s">
        <v>3846</v>
      </c>
      <c r="C2038" s="39"/>
      <c r="D2038" s="40">
        <v>0</v>
      </c>
      <c r="E2038" s="40">
        <v>0</v>
      </c>
      <c r="F2038" s="40">
        <f>+D2038-E2038</f>
        <v>0</v>
      </c>
      <c r="G2038" s="2">
        <f>+ABS(D2038)+ABS(E2038)</f>
        <v>0</v>
      </c>
    </row>
    <row r="2039" spans="1:7" hidden="1">
      <c r="A2039" s="37" t="s">
        <v>3847</v>
      </c>
      <c r="B2039" s="38" t="s">
        <v>3848</v>
      </c>
      <c r="C2039" s="39"/>
      <c r="D2039" s="40">
        <v>0</v>
      </c>
      <c r="E2039" s="40">
        <v>0</v>
      </c>
      <c r="F2039" s="40">
        <f>+D2039-E2039</f>
        <v>0</v>
      </c>
      <c r="G2039" s="2">
        <f>+ABS(D2039)+ABS(E2039)</f>
        <v>0</v>
      </c>
    </row>
    <row r="2040" spans="1:7" hidden="1">
      <c r="A2040" s="37" t="s">
        <v>3849</v>
      </c>
      <c r="B2040" s="38" t="s">
        <v>3850</v>
      </c>
      <c r="C2040" s="39"/>
      <c r="D2040" s="40">
        <v>0</v>
      </c>
      <c r="E2040" s="40">
        <v>0</v>
      </c>
      <c r="F2040" s="40">
        <f>+D2040-E2040</f>
        <v>0</v>
      </c>
      <c r="G2040" s="2">
        <f>+ABS(D2040)+ABS(E2040)</f>
        <v>0</v>
      </c>
    </row>
    <row r="2041" spans="1:7" hidden="1">
      <c r="A2041" s="37" t="s">
        <v>3851</v>
      </c>
      <c r="B2041" s="38" t="s">
        <v>3852</v>
      </c>
      <c r="C2041" s="39"/>
      <c r="D2041" s="40">
        <v>0</v>
      </c>
      <c r="E2041" s="40">
        <v>0</v>
      </c>
      <c r="F2041" s="40">
        <f>+D2041-E2041</f>
        <v>0</v>
      </c>
      <c r="G2041" s="2">
        <f>+ABS(D2041)+ABS(E2041)</f>
        <v>0</v>
      </c>
    </row>
    <row r="2042" spans="1:7" hidden="1">
      <c r="A2042" s="37" t="s">
        <v>3853</v>
      </c>
      <c r="B2042" s="38" t="s">
        <v>3854</v>
      </c>
      <c r="C2042" s="39"/>
      <c r="D2042" s="40">
        <v>0</v>
      </c>
      <c r="E2042" s="40">
        <v>0</v>
      </c>
      <c r="F2042" s="40">
        <f>+D2042-E2042</f>
        <v>0</v>
      </c>
      <c r="G2042" s="2">
        <f>+ABS(D2042)+ABS(E2042)</f>
        <v>0</v>
      </c>
    </row>
    <row r="2043" spans="1:7" hidden="1">
      <c r="A2043" s="37" t="s">
        <v>3855</v>
      </c>
      <c r="B2043" s="38" t="s">
        <v>3856</v>
      </c>
      <c r="C2043" s="39"/>
      <c r="D2043" s="40">
        <v>0</v>
      </c>
      <c r="E2043" s="40">
        <v>0</v>
      </c>
      <c r="F2043" s="40">
        <f>+D2043-E2043</f>
        <v>0</v>
      </c>
      <c r="G2043" s="2">
        <f>+ABS(D2043)+ABS(E2043)</f>
        <v>0</v>
      </c>
    </row>
    <row r="2044" spans="1:7" hidden="1">
      <c r="A2044" s="37" t="s">
        <v>3857</v>
      </c>
      <c r="B2044" s="38" t="s">
        <v>3858</v>
      </c>
      <c r="C2044" s="39"/>
      <c r="D2044" s="40">
        <v>0</v>
      </c>
      <c r="E2044" s="40">
        <v>0</v>
      </c>
      <c r="F2044" s="40">
        <f>+D2044-E2044</f>
        <v>0</v>
      </c>
      <c r="G2044" s="2">
        <f>+ABS(D2044)+ABS(E2044)</f>
        <v>0</v>
      </c>
    </row>
    <row r="2045" spans="1:7" hidden="1">
      <c r="A2045" s="37" t="s">
        <v>3859</v>
      </c>
      <c r="B2045" s="38" t="s">
        <v>3860</v>
      </c>
      <c r="C2045" s="39"/>
      <c r="D2045" s="40">
        <v>0</v>
      </c>
      <c r="E2045" s="40">
        <v>0</v>
      </c>
      <c r="F2045" s="40">
        <f>+D2045-E2045</f>
        <v>0</v>
      </c>
      <c r="G2045" s="2">
        <f>+ABS(D2045)+ABS(E2045)</f>
        <v>0</v>
      </c>
    </row>
    <row r="2046" spans="1:7" hidden="1">
      <c r="A2046" s="37" t="s">
        <v>3861</v>
      </c>
      <c r="B2046" s="38" t="s">
        <v>3862</v>
      </c>
      <c r="C2046" s="39"/>
      <c r="D2046" s="40">
        <v>0</v>
      </c>
      <c r="E2046" s="40">
        <v>0</v>
      </c>
      <c r="F2046" s="40">
        <f>+D2046-E2046</f>
        <v>0</v>
      </c>
      <c r="G2046" s="2">
        <f>+ABS(D2046)+ABS(E2046)</f>
        <v>0</v>
      </c>
    </row>
    <row r="2047" spans="1:7" hidden="1">
      <c r="A2047" s="37" t="s">
        <v>3863</v>
      </c>
      <c r="B2047" s="38" t="s">
        <v>3864</v>
      </c>
      <c r="C2047" s="39"/>
      <c r="D2047" s="40">
        <v>0</v>
      </c>
      <c r="E2047" s="40">
        <v>0</v>
      </c>
      <c r="F2047" s="40">
        <f>+D2047-E2047</f>
        <v>0</v>
      </c>
      <c r="G2047" s="2">
        <f>+ABS(D2047)+ABS(E2047)</f>
        <v>0</v>
      </c>
    </row>
    <row r="2048" spans="1:7" hidden="1">
      <c r="A2048" s="37" t="s">
        <v>3865</v>
      </c>
      <c r="B2048" s="38" t="s">
        <v>3866</v>
      </c>
      <c r="C2048" s="39"/>
      <c r="D2048" s="40">
        <v>0</v>
      </c>
      <c r="E2048" s="40">
        <v>0</v>
      </c>
      <c r="F2048" s="40">
        <f>+D2048-E2048</f>
        <v>0</v>
      </c>
      <c r="G2048" s="2">
        <f>+ABS(D2048)+ABS(E2048)</f>
        <v>0</v>
      </c>
    </row>
    <row r="2049" spans="1:7" hidden="1">
      <c r="A2049" s="37" t="s">
        <v>3867</v>
      </c>
      <c r="B2049" s="38" t="s">
        <v>3868</v>
      </c>
      <c r="C2049" s="39"/>
      <c r="D2049" s="40">
        <v>0</v>
      </c>
      <c r="E2049" s="40">
        <v>0</v>
      </c>
      <c r="F2049" s="40">
        <f>+D2049-E2049</f>
        <v>0</v>
      </c>
      <c r="G2049" s="2">
        <f>+ABS(D2049)+ABS(E2049)</f>
        <v>0</v>
      </c>
    </row>
    <row r="2050" spans="1:7" hidden="1">
      <c r="A2050" s="37" t="s">
        <v>3869</v>
      </c>
      <c r="B2050" s="38" t="s">
        <v>3870</v>
      </c>
      <c r="C2050" s="39"/>
      <c r="D2050" s="40">
        <v>0</v>
      </c>
      <c r="E2050" s="40">
        <v>0</v>
      </c>
      <c r="F2050" s="40">
        <f>+D2050-E2050</f>
        <v>0</v>
      </c>
      <c r="G2050" s="2">
        <f>+ABS(D2050)+ABS(E2050)</f>
        <v>0</v>
      </c>
    </row>
    <row r="2051" spans="1:7" hidden="1">
      <c r="A2051" s="37" t="s">
        <v>3871</v>
      </c>
      <c r="B2051" s="38" t="s">
        <v>3872</v>
      </c>
      <c r="C2051" s="39"/>
      <c r="D2051" s="40">
        <v>0</v>
      </c>
      <c r="E2051" s="40">
        <v>0</v>
      </c>
      <c r="F2051" s="40">
        <f>+D2051-E2051</f>
        <v>0</v>
      </c>
      <c r="G2051" s="2">
        <f>+ABS(D2051)+ABS(E2051)</f>
        <v>0</v>
      </c>
    </row>
    <row r="2052" spans="1:7" hidden="1">
      <c r="A2052" s="37" t="s">
        <v>3873</v>
      </c>
      <c r="B2052" s="38" t="s">
        <v>3874</v>
      </c>
      <c r="C2052" s="39"/>
      <c r="D2052" s="40">
        <v>0</v>
      </c>
      <c r="E2052" s="40">
        <v>0</v>
      </c>
      <c r="F2052" s="40">
        <f>+D2052-E2052</f>
        <v>0</v>
      </c>
      <c r="G2052" s="2">
        <f>+ABS(D2052)+ABS(E2052)</f>
        <v>0</v>
      </c>
    </row>
    <row r="2053" spans="1:7" hidden="1">
      <c r="A2053" s="37" t="s">
        <v>3875</v>
      </c>
      <c r="B2053" s="38" t="s">
        <v>3876</v>
      </c>
      <c r="C2053" s="39"/>
      <c r="D2053" s="40">
        <v>0</v>
      </c>
      <c r="E2053" s="40">
        <v>0</v>
      </c>
      <c r="F2053" s="40">
        <f>+D2053-E2053</f>
        <v>0</v>
      </c>
      <c r="G2053" s="2">
        <f>+ABS(D2053)+ABS(E2053)</f>
        <v>0</v>
      </c>
    </row>
    <row r="2054" spans="1:7" hidden="1">
      <c r="A2054" s="37" t="s">
        <v>3877</v>
      </c>
      <c r="B2054" s="38" t="s">
        <v>3878</v>
      </c>
      <c r="C2054" s="39"/>
      <c r="D2054" s="40">
        <v>0</v>
      </c>
      <c r="E2054" s="40">
        <v>0</v>
      </c>
      <c r="F2054" s="40">
        <f>+D2054-E2054</f>
        <v>0</v>
      </c>
      <c r="G2054" s="2">
        <f>+ABS(D2054)+ABS(E2054)</f>
        <v>0</v>
      </c>
    </row>
    <row r="2055" spans="1:7" hidden="1">
      <c r="A2055" s="37" t="s">
        <v>3879</v>
      </c>
      <c r="B2055" s="38" t="s">
        <v>3880</v>
      </c>
      <c r="C2055" s="39"/>
      <c r="D2055" s="40">
        <v>0</v>
      </c>
      <c r="E2055" s="40">
        <v>0</v>
      </c>
      <c r="F2055" s="40">
        <f>+D2055-E2055</f>
        <v>0</v>
      </c>
      <c r="G2055" s="2">
        <f>+ABS(D2055)+ABS(E2055)</f>
        <v>0</v>
      </c>
    </row>
    <row r="2056" spans="1:7" hidden="1">
      <c r="A2056" s="37" t="s">
        <v>3881</v>
      </c>
      <c r="B2056" s="38" t="s">
        <v>3882</v>
      </c>
      <c r="C2056" s="39"/>
      <c r="D2056" s="40">
        <v>0</v>
      </c>
      <c r="E2056" s="40">
        <v>0</v>
      </c>
      <c r="F2056" s="40">
        <f>+D2056-E2056</f>
        <v>0</v>
      </c>
      <c r="G2056" s="2">
        <f>+ABS(D2056)+ABS(E2056)</f>
        <v>0</v>
      </c>
    </row>
    <row r="2057" spans="1:7" hidden="1">
      <c r="A2057" s="37" t="s">
        <v>3883</v>
      </c>
      <c r="B2057" s="38" t="s">
        <v>3884</v>
      </c>
      <c r="C2057" s="39"/>
      <c r="D2057" s="40">
        <v>0</v>
      </c>
      <c r="E2057" s="40">
        <v>0</v>
      </c>
      <c r="F2057" s="40">
        <f>+D2057-E2057</f>
        <v>0</v>
      </c>
      <c r="G2057" s="2">
        <f>+ABS(D2057)+ABS(E2057)</f>
        <v>0</v>
      </c>
    </row>
    <row r="2058" spans="1:7" hidden="1">
      <c r="A2058" s="37" t="s">
        <v>3885</v>
      </c>
      <c r="B2058" s="38" t="s">
        <v>3886</v>
      </c>
      <c r="C2058" s="39"/>
      <c r="D2058" s="40">
        <v>0</v>
      </c>
      <c r="E2058" s="40">
        <v>0</v>
      </c>
      <c r="F2058" s="40">
        <f>+D2058-E2058</f>
        <v>0</v>
      </c>
      <c r="G2058" s="2">
        <f>+ABS(D2058)+ABS(E2058)</f>
        <v>0</v>
      </c>
    </row>
    <row r="2059" spans="1:7" hidden="1">
      <c r="A2059" s="37" t="s">
        <v>3887</v>
      </c>
      <c r="B2059" s="38" t="s">
        <v>3888</v>
      </c>
      <c r="C2059" s="39"/>
      <c r="D2059" s="40">
        <v>0</v>
      </c>
      <c r="E2059" s="40">
        <v>0</v>
      </c>
      <c r="F2059" s="40">
        <f>+D2059-E2059</f>
        <v>0</v>
      </c>
      <c r="G2059" s="2">
        <f>+ABS(D2059)+ABS(E2059)</f>
        <v>0</v>
      </c>
    </row>
    <row r="2060" spans="1:7" hidden="1">
      <c r="A2060" s="37" t="s">
        <v>3889</v>
      </c>
      <c r="B2060" s="38" t="s">
        <v>3890</v>
      </c>
      <c r="C2060" s="39"/>
      <c r="D2060" s="40">
        <v>0</v>
      </c>
      <c r="E2060" s="40">
        <v>0</v>
      </c>
      <c r="F2060" s="40">
        <f>+D2060-E2060</f>
        <v>0</v>
      </c>
      <c r="G2060" s="2">
        <f>+ABS(D2060)+ABS(E2060)</f>
        <v>0</v>
      </c>
    </row>
    <row r="2061" spans="1:7" hidden="1">
      <c r="A2061" s="37" t="s">
        <v>3891</v>
      </c>
      <c r="B2061" s="38" t="s">
        <v>3892</v>
      </c>
      <c r="C2061" s="39"/>
      <c r="D2061" s="40">
        <v>0</v>
      </c>
      <c r="E2061" s="40">
        <v>0</v>
      </c>
      <c r="F2061" s="40">
        <f>+D2061-E2061</f>
        <v>0</v>
      </c>
      <c r="G2061" s="2">
        <f>+ABS(D2061)+ABS(E2061)</f>
        <v>0</v>
      </c>
    </row>
    <row r="2062" spans="1:7" hidden="1">
      <c r="A2062" s="37" t="s">
        <v>3893</v>
      </c>
      <c r="B2062" s="38" t="s">
        <v>3894</v>
      </c>
      <c r="C2062" s="39"/>
      <c r="D2062" s="40">
        <v>0</v>
      </c>
      <c r="E2062" s="40">
        <v>0</v>
      </c>
      <c r="F2062" s="40">
        <f>+D2062-E2062</f>
        <v>0</v>
      </c>
      <c r="G2062" s="2">
        <f>+ABS(D2062)+ABS(E2062)</f>
        <v>0</v>
      </c>
    </row>
    <row r="2063" spans="1:7" hidden="1">
      <c r="A2063" s="37" t="s">
        <v>3895</v>
      </c>
      <c r="B2063" s="38" t="s">
        <v>3896</v>
      </c>
      <c r="C2063" s="39"/>
      <c r="D2063" s="40">
        <v>0</v>
      </c>
      <c r="E2063" s="40">
        <v>0</v>
      </c>
      <c r="F2063" s="40">
        <f>+D2063-E2063</f>
        <v>0</v>
      </c>
      <c r="G2063" s="2">
        <f>+ABS(D2063)+ABS(E2063)</f>
        <v>0</v>
      </c>
    </row>
    <row r="2064" spans="1:7" hidden="1">
      <c r="A2064" s="37" t="s">
        <v>3897</v>
      </c>
      <c r="B2064" s="38" t="s">
        <v>3898</v>
      </c>
      <c r="C2064" s="39"/>
      <c r="D2064" s="40">
        <v>0</v>
      </c>
      <c r="E2064" s="40">
        <v>0</v>
      </c>
      <c r="F2064" s="40">
        <f>+D2064-E2064</f>
        <v>0</v>
      </c>
      <c r="G2064" s="2">
        <f>+ABS(D2064)+ABS(E2064)</f>
        <v>0</v>
      </c>
    </row>
    <row r="2065" spans="1:7" hidden="1">
      <c r="A2065" s="37" t="s">
        <v>3899</v>
      </c>
      <c r="B2065" s="38" t="s">
        <v>3900</v>
      </c>
      <c r="C2065" s="39"/>
      <c r="D2065" s="40">
        <v>0</v>
      </c>
      <c r="E2065" s="40">
        <v>0</v>
      </c>
      <c r="F2065" s="40">
        <f>+D2065-E2065</f>
        <v>0</v>
      </c>
      <c r="G2065" s="2">
        <f>+ABS(D2065)+ABS(E2065)</f>
        <v>0</v>
      </c>
    </row>
    <row r="2066" spans="1:7" hidden="1">
      <c r="A2066" s="37" t="s">
        <v>3901</v>
      </c>
      <c r="B2066" s="38" t="s">
        <v>3902</v>
      </c>
      <c r="C2066" s="39"/>
      <c r="D2066" s="40">
        <v>0</v>
      </c>
      <c r="E2066" s="40">
        <v>0</v>
      </c>
      <c r="F2066" s="40">
        <f>+D2066-E2066</f>
        <v>0</v>
      </c>
      <c r="G2066" s="2">
        <f>+ABS(D2066)+ABS(E2066)</f>
        <v>0</v>
      </c>
    </row>
    <row r="2067" spans="1:7" hidden="1">
      <c r="A2067" s="37" t="s">
        <v>3903</v>
      </c>
      <c r="B2067" s="38" t="s">
        <v>3904</v>
      </c>
      <c r="C2067" s="39"/>
      <c r="D2067" s="40">
        <v>0</v>
      </c>
      <c r="E2067" s="40">
        <v>0</v>
      </c>
      <c r="F2067" s="40">
        <f>+D2067-E2067</f>
        <v>0</v>
      </c>
      <c r="G2067" s="2">
        <f>+ABS(D2067)+ABS(E2067)</f>
        <v>0</v>
      </c>
    </row>
    <row r="2068" spans="1:7" hidden="1">
      <c r="A2068" s="37" t="s">
        <v>3905</v>
      </c>
      <c r="B2068" s="38" t="s">
        <v>3906</v>
      </c>
      <c r="C2068" s="39"/>
      <c r="D2068" s="40">
        <v>0</v>
      </c>
      <c r="E2068" s="40">
        <v>0</v>
      </c>
      <c r="F2068" s="40">
        <f>+D2068-E2068</f>
        <v>0</v>
      </c>
      <c r="G2068" s="2">
        <f>+ABS(D2068)+ABS(E2068)</f>
        <v>0</v>
      </c>
    </row>
    <row r="2069" spans="1:7" hidden="1">
      <c r="A2069" s="37" t="s">
        <v>3907</v>
      </c>
      <c r="B2069" s="38" t="s">
        <v>3908</v>
      </c>
      <c r="C2069" s="39"/>
      <c r="D2069" s="40">
        <v>0</v>
      </c>
      <c r="E2069" s="40">
        <v>0</v>
      </c>
      <c r="F2069" s="40">
        <f>+D2069-E2069</f>
        <v>0</v>
      </c>
      <c r="G2069" s="2">
        <f>+ABS(D2069)+ABS(E2069)</f>
        <v>0</v>
      </c>
    </row>
    <row r="2070" spans="1:7" hidden="1">
      <c r="A2070" s="37" t="s">
        <v>3909</v>
      </c>
      <c r="B2070" s="38" t="s">
        <v>3910</v>
      </c>
      <c r="C2070" s="39"/>
      <c r="D2070" s="40">
        <v>0</v>
      </c>
      <c r="E2070" s="40">
        <v>0</v>
      </c>
      <c r="F2070" s="40">
        <f>+D2070-E2070</f>
        <v>0</v>
      </c>
      <c r="G2070" s="2">
        <f>+ABS(D2070)+ABS(E2070)</f>
        <v>0</v>
      </c>
    </row>
    <row r="2071" spans="1:7" hidden="1">
      <c r="A2071" s="37" t="s">
        <v>3911</v>
      </c>
      <c r="B2071" s="38" t="s">
        <v>3912</v>
      </c>
      <c r="C2071" s="39"/>
      <c r="D2071" s="40">
        <v>0</v>
      </c>
      <c r="E2071" s="40">
        <v>0</v>
      </c>
      <c r="F2071" s="40">
        <f>+D2071-E2071</f>
        <v>0</v>
      </c>
      <c r="G2071" s="2">
        <f>+ABS(D2071)+ABS(E2071)</f>
        <v>0</v>
      </c>
    </row>
    <row r="2072" spans="1:7" hidden="1">
      <c r="A2072" s="37" t="s">
        <v>3913</v>
      </c>
      <c r="B2072" s="38" t="s">
        <v>3914</v>
      </c>
      <c r="C2072" s="39"/>
      <c r="D2072" s="40">
        <v>0</v>
      </c>
      <c r="E2072" s="40">
        <v>0</v>
      </c>
      <c r="F2072" s="40">
        <f>+D2072-E2072</f>
        <v>0</v>
      </c>
      <c r="G2072" s="2">
        <f>+ABS(D2072)+ABS(E2072)</f>
        <v>0</v>
      </c>
    </row>
    <row r="2073" spans="1:7" hidden="1">
      <c r="A2073" s="37" t="s">
        <v>3915</v>
      </c>
      <c r="B2073" s="38" t="s">
        <v>3916</v>
      </c>
      <c r="C2073" s="39"/>
      <c r="D2073" s="40">
        <v>0</v>
      </c>
      <c r="E2073" s="40">
        <v>0</v>
      </c>
      <c r="F2073" s="40">
        <f>+D2073-E2073</f>
        <v>0</v>
      </c>
      <c r="G2073" s="2">
        <f>+ABS(D2073)+ABS(E2073)</f>
        <v>0</v>
      </c>
    </row>
    <row r="2074" spans="1:7" hidden="1">
      <c r="A2074" s="37" t="s">
        <v>3917</v>
      </c>
      <c r="B2074" s="38" t="s">
        <v>3918</v>
      </c>
      <c r="C2074" s="39"/>
      <c r="D2074" s="40">
        <v>0</v>
      </c>
      <c r="E2074" s="40">
        <v>0</v>
      </c>
      <c r="F2074" s="40">
        <f>+D2074-E2074</f>
        <v>0</v>
      </c>
      <c r="G2074" s="2">
        <f>+ABS(D2074)+ABS(E2074)</f>
        <v>0</v>
      </c>
    </row>
    <row r="2075" spans="1:7" hidden="1">
      <c r="A2075" s="37" t="s">
        <v>3919</v>
      </c>
      <c r="B2075" s="38" t="s">
        <v>3920</v>
      </c>
      <c r="C2075" s="39"/>
      <c r="D2075" s="40">
        <v>0</v>
      </c>
      <c r="E2075" s="40">
        <v>0</v>
      </c>
      <c r="F2075" s="40">
        <f>+D2075-E2075</f>
        <v>0</v>
      </c>
      <c r="G2075" s="2">
        <f>+ABS(D2075)+ABS(E2075)</f>
        <v>0</v>
      </c>
    </row>
    <row r="2076" spans="1:7" hidden="1">
      <c r="A2076" s="37" t="s">
        <v>3921</v>
      </c>
      <c r="B2076" s="38" t="s">
        <v>3922</v>
      </c>
      <c r="C2076" s="39"/>
      <c r="D2076" s="40">
        <v>0</v>
      </c>
      <c r="E2076" s="40">
        <v>0</v>
      </c>
      <c r="F2076" s="40">
        <f>+D2076-E2076</f>
        <v>0</v>
      </c>
      <c r="G2076" s="2">
        <f>+ABS(D2076)+ABS(E2076)</f>
        <v>0</v>
      </c>
    </row>
    <row r="2077" spans="1:7" hidden="1">
      <c r="A2077" s="37" t="s">
        <v>3923</v>
      </c>
      <c r="B2077" s="38" t="s">
        <v>3924</v>
      </c>
      <c r="C2077" s="39"/>
      <c r="D2077" s="40">
        <v>0</v>
      </c>
      <c r="E2077" s="40">
        <v>0</v>
      </c>
      <c r="F2077" s="40">
        <f>+D2077-E2077</f>
        <v>0</v>
      </c>
      <c r="G2077" s="2">
        <f>+ABS(D2077)+ABS(E2077)</f>
        <v>0</v>
      </c>
    </row>
    <row r="2078" spans="1:7" hidden="1">
      <c r="A2078" s="37" t="s">
        <v>3925</v>
      </c>
      <c r="B2078" s="38" t="s">
        <v>3926</v>
      </c>
      <c r="C2078" s="39"/>
      <c r="D2078" s="40">
        <v>0</v>
      </c>
      <c r="E2078" s="40">
        <v>0</v>
      </c>
      <c r="F2078" s="40">
        <f>+D2078-E2078</f>
        <v>0</v>
      </c>
      <c r="G2078" s="2">
        <f>+ABS(D2078)+ABS(E2078)</f>
        <v>0</v>
      </c>
    </row>
    <row r="2079" spans="1:7" hidden="1">
      <c r="A2079" s="37" t="s">
        <v>3927</v>
      </c>
      <c r="B2079" s="38" t="s">
        <v>3928</v>
      </c>
      <c r="C2079" s="39"/>
      <c r="D2079" s="40">
        <v>0</v>
      </c>
      <c r="E2079" s="40">
        <v>0</v>
      </c>
      <c r="F2079" s="40">
        <f>+D2079-E2079</f>
        <v>0</v>
      </c>
      <c r="G2079" s="2">
        <f>+ABS(D2079)+ABS(E2079)</f>
        <v>0</v>
      </c>
    </row>
    <row r="2080" spans="1:7" hidden="1">
      <c r="A2080" s="37" t="s">
        <v>3929</v>
      </c>
      <c r="B2080" s="38" t="s">
        <v>3930</v>
      </c>
      <c r="C2080" s="39"/>
      <c r="D2080" s="40">
        <v>0</v>
      </c>
      <c r="E2080" s="40">
        <v>0</v>
      </c>
      <c r="F2080" s="40">
        <f>+D2080-E2080</f>
        <v>0</v>
      </c>
      <c r="G2080" s="2">
        <f>+ABS(D2080)+ABS(E2080)</f>
        <v>0</v>
      </c>
    </row>
    <row r="2081" spans="1:7" hidden="1">
      <c r="A2081" s="37" t="s">
        <v>3931</v>
      </c>
      <c r="B2081" s="38" t="s">
        <v>3395</v>
      </c>
      <c r="C2081" s="39"/>
      <c r="D2081" s="40">
        <v>0</v>
      </c>
      <c r="E2081" s="40">
        <v>0</v>
      </c>
      <c r="F2081" s="40">
        <f>+D2081-E2081</f>
        <v>0</v>
      </c>
      <c r="G2081" s="2">
        <f>+ABS(D2081)+ABS(E2081)</f>
        <v>0</v>
      </c>
    </row>
    <row r="2082" spans="1:7" hidden="1">
      <c r="A2082" s="37" t="s">
        <v>3932</v>
      </c>
      <c r="B2082" s="38" t="s">
        <v>3933</v>
      </c>
      <c r="C2082" s="39"/>
      <c r="D2082" s="40">
        <v>0</v>
      </c>
      <c r="E2082" s="40">
        <v>0</v>
      </c>
      <c r="F2082" s="40">
        <f>+D2082-E2082</f>
        <v>0</v>
      </c>
      <c r="G2082" s="2">
        <f>+ABS(D2082)+ABS(E2082)</f>
        <v>0</v>
      </c>
    </row>
    <row r="2083" spans="1:7" hidden="1">
      <c r="A2083" s="37" t="s">
        <v>3934</v>
      </c>
      <c r="B2083" s="38" t="s">
        <v>3935</v>
      </c>
      <c r="C2083" s="39"/>
      <c r="D2083" s="40">
        <v>0</v>
      </c>
      <c r="E2083" s="40">
        <v>0</v>
      </c>
      <c r="F2083" s="40">
        <f>+D2083-E2083</f>
        <v>0</v>
      </c>
      <c r="G2083" s="2">
        <f>+ABS(D2083)+ABS(E2083)</f>
        <v>0</v>
      </c>
    </row>
    <row r="2084" spans="1:7" hidden="1">
      <c r="A2084" s="37" t="s">
        <v>3936</v>
      </c>
      <c r="B2084" s="38" t="s">
        <v>3937</v>
      </c>
      <c r="C2084" s="39"/>
      <c r="D2084" s="40">
        <v>0</v>
      </c>
      <c r="E2084" s="40">
        <v>0</v>
      </c>
      <c r="F2084" s="40">
        <f>+D2084-E2084</f>
        <v>0</v>
      </c>
      <c r="G2084" s="2">
        <f>+ABS(D2084)+ABS(E2084)</f>
        <v>0</v>
      </c>
    </row>
    <row r="2085" spans="1:7">
      <c r="A2085" s="37"/>
      <c r="B2085" s="48"/>
      <c r="C2085" s="39"/>
      <c r="D2085" s="40"/>
      <c r="E2085" s="40"/>
      <c r="F2085" s="40"/>
      <c r="G2085" s="2">
        <f>G2086</f>
        <v>124076</v>
      </c>
    </row>
    <row r="2086" spans="1:7" s="15" customFormat="1">
      <c r="A2086" s="42" t="s">
        <v>11</v>
      </c>
      <c r="B2086" s="49" t="s">
        <v>3938</v>
      </c>
      <c r="C2086" s="44"/>
      <c r="D2086" s="45">
        <f>SUM(D1927:D2085)</f>
        <v>62088</v>
      </c>
      <c r="E2086" s="45">
        <f>SUM(E1927:E2085)</f>
        <v>61988</v>
      </c>
      <c r="F2086" s="45">
        <f>+D2086-E2086</f>
        <v>100</v>
      </c>
      <c r="G2086" s="2">
        <f>+ABS(D2086)+ABS(E2086)</f>
        <v>124076</v>
      </c>
    </row>
    <row r="2087" spans="1:7">
      <c r="A2087" s="42"/>
      <c r="B2087" s="39"/>
      <c r="C2087" s="39"/>
      <c r="D2087" s="40"/>
      <c r="E2087" s="40"/>
      <c r="F2087" s="40"/>
      <c r="G2087" s="2">
        <f>G2086</f>
        <v>124076</v>
      </c>
    </row>
    <row r="2088" spans="1:7" s="15" customFormat="1">
      <c r="A2088" s="42" t="s">
        <v>11</v>
      </c>
      <c r="B2088" s="43" t="s">
        <v>3939</v>
      </c>
      <c r="C2088" s="44"/>
      <c r="D2088" s="45">
        <f>+D1848+D2086+D1924</f>
        <v>51062088</v>
      </c>
      <c r="E2088" s="45">
        <f>+E1848+E2086+E1924</f>
        <v>51061988</v>
      </c>
      <c r="F2088" s="45">
        <f>+D2088-E2088</f>
        <v>100</v>
      </c>
      <c r="G2088" s="2">
        <f>+ABS(D2088)+ABS(E2088)</f>
        <v>102124076</v>
      </c>
    </row>
    <row r="2089" spans="1:7">
      <c r="A2089" s="42"/>
      <c r="B2089" s="39"/>
      <c r="C2089" s="39"/>
      <c r="D2089" s="40"/>
      <c r="E2089" s="40"/>
      <c r="F2089" s="40"/>
      <c r="G2089" s="2">
        <f>G2088</f>
        <v>102124076</v>
      </c>
    </row>
    <row r="2090" spans="1:7" ht="15.75">
      <c r="A2090" s="42" t="s">
        <v>11</v>
      </c>
      <c r="B2090" s="47" t="s">
        <v>3940</v>
      </c>
      <c r="C2090" s="44"/>
      <c r="D2090" s="57">
        <f>+D1806+D2088</f>
        <v>51743639.460000001</v>
      </c>
      <c r="E2090" s="57">
        <f>+E1806+E2088</f>
        <v>51730968.649999999</v>
      </c>
      <c r="F2090" s="57">
        <f>+D2090-E2090</f>
        <v>12670.810000002401</v>
      </c>
      <c r="G2090" s="2">
        <f>+ABS(D2090)+ABS(E2090)</f>
        <v>103474608.11</v>
      </c>
    </row>
    <row r="2091" spans="1:7" ht="15.75">
      <c r="A2091" s="42"/>
      <c r="B2091" s="39"/>
      <c r="C2091" s="39"/>
      <c r="D2091" s="40"/>
      <c r="E2091" s="40"/>
      <c r="F2091" s="40"/>
      <c r="G2091" s="2">
        <f>G2090</f>
        <v>103474608.11</v>
      </c>
    </row>
    <row r="2092" spans="1:7" s="15" customFormat="1">
      <c r="A2092" s="46" t="s">
        <v>11</v>
      </c>
      <c r="B2092" s="47" t="s">
        <v>3941</v>
      </c>
      <c r="C2092" s="44"/>
      <c r="D2092" s="40"/>
      <c r="E2092" s="40"/>
      <c r="F2092" s="40"/>
      <c r="G2092" s="2">
        <f>G2168</f>
        <v>56612829.93</v>
      </c>
    </row>
    <row r="2093" spans="1:7" hidden="1">
      <c r="A2093" s="37"/>
      <c r="B2093" s="38"/>
      <c r="C2093" s="39"/>
      <c r="D2093" s="40"/>
      <c r="E2093" s="40"/>
      <c r="F2093" s="40"/>
    </row>
    <row r="2094" spans="1:7" hidden="1">
      <c r="A2094" s="37" t="s">
        <v>3942</v>
      </c>
      <c r="B2094" s="38" t="s">
        <v>3943</v>
      </c>
      <c r="C2094" s="39"/>
      <c r="D2094" s="40">
        <v>0</v>
      </c>
      <c r="E2094" s="40">
        <v>0</v>
      </c>
      <c r="F2094" s="40">
        <f>+D2094-E2094</f>
        <v>0</v>
      </c>
      <c r="G2094" s="2">
        <f>+ABS(D2094)+ABS(E2094)</f>
        <v>0</v>
      </c>
    </row>
    <row r="2095" spans="1:7" hidden="1">
      <c r="A2095" s="37" t="s">
        <v>3944</v>
      </c>
      <c r="B2095" s="38" t="s">
        <v>3945</v>
      </c>
      <c r="C2095" s="39"/>
      <c r="D2095" s="40">
        <v>0</v>
      </c>
      <c r="E2095" s="40">
        <v>0</v>
      </c>
      <c r="F2095" s="40">
        <f>+D2095-E2095</f>
        <v>0</v>
      </c>
      <c r="G2095" s="2">
        <f>+ABS(D2095)+ABS(E2095)</f>
        <v>0</v>
      </c>
    </row>
    <row r="2096" spans="1:7" hidden="1">
      <c r="A2096" s="37" t="s">
        <v>3946</v>
      </c>
      <c r="B2096" s="38" t="s">
        <v>3947</v>
      </c>
      <c r="C2096" s="39"/>
      <c r="D2096" s="40">
        <v>0</v>
      </c>
      <c r="E2096" s="40">
        <v>0</v>
      </c>
      <c r="F2096" s="40">
        <f>+D2096-E2096</f>
        <v>0</v>
      </c>
      <c r="G2096" s="2">
        <f>+ABS(D2096)+ABS(E2096)</f>
        <v>0</v>
      </c>
    </row>
    <row r="2097" spans="1:7">
      <c r="A2097" s="37" t="s">
        <v>3948</v>
      </c>
      <c r="B2097" s="38" t="s">
        <v>3949</v>
      </c>
      <c r="C2097" s="39"/>
      <c r="D2097" s="40">
        <v>30361508.289999999</v>
      </c>
      <c r="E2097" s="40">
        <v>30361508.289999999</v>
      </c>
      <c r="F2097" s="40">
        <f>+D2097-E2097</f>
        <v>0</v>
      </c>
      <c r="G2097" s="2">
        <f>+ABS(D2097)+ABS(E2097)</f>
        <v>60723016.579999998</v>
      </c>
    </row>
    <row r="2098" spans="1:7" hidden="1">
      <c r="A2098" s="37" t="s">
        <v>3950</v>
      </c>
      <c r="B2098" s="38" t="s">
        <v>3951</v>
      </c>
      <c r="C2098" s="39"/>
      <c r="D2098" s="40">
        <v>0</v>
      </c>
      <c r="E2098" s="40">
        <v>0</v>
      </c>
      <c r="F2098" s="40">
        <f>+D2098-E2098</f>
        <v>0</v>
      </c>
      <c r="G2098" s="2">
        <f>+ABS(D2098)+ABS(E2098)</f>
        <v>0</v>
      </c>
    </row>
    <row r="2099" spans="1:7" hidden="1">
      <c r="A2099" s="37" t="s">
        <v>3952</v>
      </c>
      <c r="B2099" s="38" t="s">
        <v>3953</v>
      </c>
      <c r="C2099" s="39"/>
      <c r="D2099" s="40">
        <v>0</v>
      </c>
      <c r="E2099" s="40">
        <v>0</v>
      </c>
      <c r="F2099" s="40">
        <f>+D2099-E2099</f>
        <v>0</v>
      </c>
      <c r="G2099" s="2">
        <f>+ABS(D2099)+ABS(E2099)</f>
        <v>0</v>
      </c>
    </row>
    <row r="2100" spans="1:7" hidden="1">
      <c r="A2100" s="37" t="s">
        <v>3954</v>
      </c>
      <c r="B2100" s="38" t="s">
        <v>3955</v>
      </c>
      <c r="C2100" s="39"/>
      <c r="D2100" s="40">
        <v>0</v>
      </c>
      <c r="E2100" s="40">
        <v>0</v>
      </c>
      <c r="F2100" s="40">
        <f>+D2100-E2100</f>
        <v>0</v>
      </c>
      <c r="G2100" s="2">
        <f>+ABS(D2100)+ABS(E2100)</f>
        <v>0</v>
      </c>
    </row>
    <row r="2101" spans="1:7" hidden="1">
      <c r="A2101" s="37" t="s">
        <v>3956</v>
      </c>
      <c r="B2101" s="38" t="s">
        <v>3957</v>
      </c>
      <c r="C2101" s="39"/>
      <c r="D2101" s="40">
        <v>0</v>
      </c>
      <c r="E2101" s="40">
        <v>0</v>
      </c>
      <c r="F2101" s="40">
        <f>+D2101-E2101</f>
        <v>0</v>
      </c>
      <c r="G2101" s="2">
        <f>+ABS(D2101)+ABS(E2101)</f>
        <v>0</v>
      </c>
    </row>
    <row r="2102" spans="1:7" hidden="1">
      <c r="A2102" s="37" t="s">
        <v>3958</v>
      </c>
      <c r="B2102" s="38" t="s">
        <v>3959</v>
      </c>
      <c r="C2102" s="39"/>
      <c r="D2102" s="40">
        <v>0</v>
      </c>
      <c r="E2102" s="40">
        <v>0</v>
      </c>
      <c r="F2102" s="40">
        <f>+D2102-E2102</f>
        <v>0</v>
      </c>
      <c r="G2102" s="2">
        <f>+ABS(D2102)+ABS(E2102)</f>
        <v>0</v>
      </c>
    </row>
    <row r="2103" spans="1:7" hidden="1">
      <c r="A2103" s="37" t="s">
        <v>3960</v>
      </c>
      <c r="B2103" s="38" t="s">
        <v>3961</v>
      </c>
      <c r="C2103" s="39"/>
      <c r="D2103" s="40">
        <v>0</v>
      </c>
      <c r="E2103" s="40">
        <v>0</v>
      </c>
      <c r="F2103" s="40">
        <f>+D2103-E2103</f>
        <v>0</v>
      </c>
      <c r="G2103" s="2">
        <f>+ABS(D2103)+ABS(E2103)</f>
        <v>0</v>
      </c>
    </row>
    <row r="2104" spans="1:7" hidden="1">
      <c r="A2104" s="37" t="s">
        <v>3962</v>
      </c>
      <c r="B2104" s="38" t="s">
        <v>3963</v>
      </c>
      <c r="C2104" s="39"/>
      <c r="D2104" s="40">
        <v>0</v>
      </c>
      <c r="E2104" s="40">
        <v>0</v>
      </c>
      <c r="F2104" s="40">
        <f>+D2104-E2104</f>
        <v>0</v>
      </c>
      <c r="G2104" s="2">
        <f>+ABS(D2104)+ABS(E2104)</f>
        <v>0</v>
      </c>
    </row>
    <row r="2105" spans="1:7" hidden="1">
      <c r="A2105" s="37" t="s">
        <v>3964</v>
      </c>
      <c r="B2105" s="38" t="s">
        <v>3965</v>
      </c>
      <c r="C2105" s="39"/>
      <c r="D2105" s="40">
        <v>0</v>
      </c>
      <c r="E2105" s="40">
        <v>0</v>
      </c>
      <c r="F2105" s="40">
        <f>+D2105-E2105</f>
        <v>0</v>
      </c>
      <c r="G2105" s="2">
        <f>+ABS(D2105)+ABS(E2105)</f>
        <v>0</v>
      </c>
    </row>
    <row r="2106" spans="1:7" hidden="1">
      <c r="A2106" s="37" t="s">
        <v>3966</v>
      </c>
      <c r="B2106" s="38" t="s">
        <v>3967</v>
      </c>
      <c r="C2106" s="39"/>
      <c r="D2106" s="40">
        <v>0</v>
      </c>
      <c r="E2106" s="40">
        <v>0</v>
      </c>
      <c r="F2106" s="40">
        <f>+D2106-E2106</f>
        <v>0</v>
      </c>
      <c r="G2106" s="2">
        <f>+ABS(D2106)+ABS(E2106)</f>
        <v>0</v>
      </c>
    </row>
    <row r="2107" spans="1:7" hidden="1">
      <c r="A2107" s="37" t="s">
        <v>3968</v>
      </c>
      <c r="B2107" s="38" t="s">
        <v>3969</v>
      </c>
      <c r="C2107" s="39"/>
      <c r="D2107" s="40">
        <v>0</v>
      </c>
      <c r="E2107" s="40">
        <v>0</v>
      </c>
      <c r="F2107" s="40">
        <f>+D2107-E2107</f>
        <v>0</v>
      </c>
      <c r="G2107" s="2">
        <f>+ABS(D2107)+ABS(E2107)</f>
        <v>0</v>
      </c>
    </row>
    <row r="2108" spans="1:7" hidden="1">
      <c r="A2108" s="37" t="s">
        <v>3970</v>
      </c>
      <c r="B2108" s="38" t="s">
        <v>3971</v>
      </c>
      <c r="C2108" s="39"/>
      <c r="D2108" s="40">
        <v>0</v>
      </c>
      <c r="E2108" s="40">
        <v>0</v>
      </c>
      <c r="F2108" s="40">
        <f>+D2108-E2108</f>
        <v>0</v>
      </c>
      <c r="G2108" s="2">
        <f>+ABS(D2108)+ABS(E2108)</f>
        <v>0</v>
      </c>
    </row>
    <row r="2109" spans="1:7" hidden="1">
      <c r="A2109" s="37" t="s">
        <v>3972</v>
      </c>
      <c r="B2109" s="38" t="s">
        <v>3973</v>
      </c>
      <c r="C2109" s="39"/>
      <c r="D2109" s="40">
        <v>0</v>
      </c>
      <c r="E2109" s="40">
        <v>0</v>
      </c>
      <c r="F2109" s="40">
        <f>+D2109-E2109</f>
        <v>0</v>
      </c>
      <c r="G2109" s="2">
        <f>+ABS(D2109)+ABS(E2109)</f>
        <v>0</v>
      </c>
    </row>
    <row r="2110" spans="1:7" hidden="1">
      <c r="A2110" s="37" t="s">
        <v>3974</v>
      </c>
      <c r="B2110" s="38" t="s">
        <v>3975</v>
      </c>
      <c r="C2110" s="39"/>
      <c r="D2110" s="40">
        <v>0</v>
      </c>
      <c r="E2110" s="40">
        <v>0</v>
      </c>
      <c r="F2110" s="40">
        <f>+D2110-E2110</f>
        <v>0</v>
      </c>
      <c r="G2110" s="2">
        <f>+ABS(D2110)+ABS(E2110)</f>
        <v>0</v>
      </c>
    </row>
    <row r="2111" spans="1:7" hidden="1">
      <c r="A2111" s="37" t="s">
        <v>3976</v>
      </c>
      <c r="B2111" s="38" t="s">
        <v>3977</v>
      </c>
      <c r="C2111" s="39"/>
      <c r="D2111" s="40">
        <v>0</v>
      </c>
      <c r="E2111" s="40">
        <v>0</v>
      </c>
      <c r="F2111" s="40">
        <f>+D2111-E2111</f>
        <v>0</v>
      </c>
      <c r="G2111" s="2">
        <f>+ABS(D2111)+ABS(E2111)</f>
        <v>0</v>
      </c>
    </row>
    <row r="2112" spans="1:7" hidden="1">
      <c r="A2112" s="37" t="s">
        <v>3978</v>
      </c>
      <c r="B2112" s="38" t="s">
        <v>3979</v>
      </c>
      <c r="C2112" s="39"/>
      <c r="D2112" s="40">
        <v>0</v>
      </c>
      <c r="E2112" s="40">
        <v>0</v>
      </c>
      <c r="F2112" s="40">
        <f>+D2112-E2112</f>
        <v>0</v>
      </c>
      <c r="G2112" s="2">
        <f>+ABS(D2112)+ABS(E2112)</f>
        <v>0</v>
      </c>
    </row>
    <row r="2113" spans="1:7" hidden="1">
      <c r="A2113" s="37" t="s">
        <v>3980</v>
      </c>
      <c r="B2113" s="38" t="s">
        <v>3981</v>
      </c>
      <c r="C2113" s="39"/>
      <c r="D2113" s="40">
        <v>0</v>
      </c>
      <c r="E2113" s="40">
        <v>0</v>
      </c>
      <c r="F2113" s="40">
        <f>+D2113-E2113</f>
        <v>0</v>
      </c>
      <c r="G2113" s="2">
        <f>+ABS(D2113)+ABS(E2113)</f>
        <v>0</v>
      </c>
    </row>
    <row r="2114" spans="1:7">
      <c r="A2114" s="37" t="s">
        <v>3982</v>
      </c>
      <c r="B2114" s="38" t="s">
        <v>3983</v>
      </c>
      <c r="C2114" s="39"/>
      <c r="D2114" s="40">
        <v>-1593132</v>
      </c>
      <c r="E2114" s="40">
        <v>-1593132</v>
      </c>
      <c r="F2114" s="40">
        <f>+D2114-E2114</f>
        <v>0</v>
      </c>
      <c r="G2114" s="2">
        <f>+ABS(D2114)+ABS(E2114)</f>
        <v>3186264</v>
      </c>
    </row>
    <row r="2115" spans="1:7" hidden="1">
      <c r="A2115" s="37" t="s">
        <v>3984</v>
      </c>
      <c r="B2115" s="38" t="s">
        <v>3985</v>
      </c>
      <c r="C2115" s="39"/>
      <c r="D2115" s="40">
        <v>0</v>
      </c>
      <c r="E2115" s="40">
        <v>0</v>
      </c>
      <c r="F2115" s="40">
        <f>+D2115-E2115</f>
        <v>0</v>
      </c>
      <c r="G2115" s="2">
        <f>+ABS(D2115)+ABS(E2115)</f>
        <v>0</v>
      </c>
    </row>
    <row r="2116" spans="1:7" hidden="1">
      <c r="A2116" s="37" t="s">
        <v>3986</v>
      </c>
      <c r="B2116" s="38" t="s">
        <v>3987</v>
      </c>
      <c r="C2116" s="39"/>
      <c r="D2116" s="40">
        <v>0</v>
      </c>
      <c r="E2116" s="40">
        <v>0</v>
      </c>
      <c r="F2116" s="40">
        <f>+D2116-E2116</f>
        <v>0</v>
      </c>
      <c r="G2116" s="2">
        <f>+ABS(D2116)+ABS(E2116)</f>
        <v>0</v>
      </c>
    </row>
    <row r="2117" spans="1:7" hidden="1">
      <c r="A2117" s="37" t="s">
        <v>3988</v>
      </c>
      <c r="B2117" s="38" t="s">
        <v>3989</v>
      </c>
      <c r="C2117" s="39"/>
      <c r="D2117" s="40">
        <v>0</v>
      </c>
      <c r="E2117" s="40">
        <v>0</v>
      </c>
      <c r="F2117" s="40">
        <f>+D2117-E2117</f>
        <v>0</v>
      </c>
      <c r="G2117" s="2">
        <f>+ABS(D2117)+ABS(E2117)</f>
        <v>0</v>
      </c>
    </row>
    <row r="2118" spans="1:7" hidden="1">
      <c r="A2118" s="37" t="s">
        <v>3990</v>
      </c>
      <c r="B2118" s="38" t="s">
        <v>3991</v>
      </c>
      <c r="C2118" s="39"/>
      <c r="D2118" s="40">
        <v>0</v>
      </c>
      <c r="E2118" s="40">
        <v>0</v>
      </c>
      <c r="F2118" s="40">
        <f>+D2118-E2118</f>
        <v>0</v>
      </c>
      <c r="G2118" s="2">
        <f>+ABS(D2118)+ABS(E2118)</f>
        <v>0</v>
      </c>
    </row>
    <row r="2119" spans="1:7" hidden="1">
      <c r="A2119" s="37" t="s">
        <v>3992</v>
      </c>
      <c r="B2119" s="38" t="s">
        <v>3993</v>
      </c>
      <c r="C2119" s="39"/>
      <c r="D2119" s="40">
        <v>0</v>
      </c>
      <c r="E2119" s="40">
        <v>0</v>
      </c>
      <c r="F2119" s="40">
        <f>+D2119-E2119</f>
        <v>0</v>
      </c>
      <c r="G2119" s="2">
        <f>+ABS(D2119)+ABS(E2119)</f>
        <v>0</v>
      </c>
    </row>
    <row r="2120" spans="1:7" hidden="1">
      <c r="A2120" s="37" t="s">
        <v>3994</v>
      </c>
      <c r="B2120" s="38" t="s">
        <v>3995</v>
      </c>
      <c r="C2120" s="39"/>
      <c r="D2120" s="40">
        <v>0</v>
      </c>
      <c r="E2120" s="40">
        <v>0</v>
      </c>
      <c r="F2120" s="40">
        <f>+D2120-E2120</f>
        <v>0</v>
      </c>
      <c r="G2120" s="2">
        <f>+ABS(D2120)+ABS(E2120)</f>
        <v>0</v>
      </c>
    </row>
    <row r="2121" spans="1:7" hidden="1">
      <c r="A2121" s="37" t="s">
        <v>3996</v>
      </c>
      <c r="B2121" s="38" t="s">
        <v>3997</v>
      </c>
      <c r="C2121" s="39"/>
      <c r="D2121" s="40">
        <v>0</v>
      </c>
      <c r="E2121" s="40">
        <v>0</v>
      </c>
      <c r="F2121" s="40">
        <f>+D2121-E2121</f>
        <v>0</v>
      </c>
      <c r="G2121" s="2">
        <f>+ABS(D2121)+ABS(E2121)</f>
        <v>0</v>
      </c>
    </row>
    <row r="2122" spans="1:7" hidden="1">
      <c r="A2122" s="37" t="s">
        <v>3998</v>
      </c>
      <c r="B2122" s="38" t="s">
        <v>3999</v>
      </c>
      <c r="C2122" s="39"/>
      <c r="D2122" s="40">
        <v>0</v>
      </c>
      <c r="E2122" s="40">
        <v>0</v>
      </c>
      <c r="F2122" s="40">
        <f>+D2122-E2122</f>
        <v>0</v>
      </c>
      <c r="G2122" s="2">
        <f>+ABS(D2122)+ABS(E2122)</f>
        <v>0</v>
      </c>
    </row>
    <row r="2123" spans="1:7" hidden="1">
      <c r="A2123" s="37" t="s">
        <v>4000</v>
      </c>
      <c r="B2123" s="38" t="s">
        <v>4001</v>
      </c>
      <c r="C2123" s="39"/>
      <c r="D2123" s="40">
        <v>0</v>
      </c>
      <c r="E2123" s="40">
        <v>0</v>
      </c>
      <c r="F2123" s="40">
        <f>+D2123-E2123</f>
        <v>0</v>
      </c>
      <c r="G2123" s="2">
        <f>+ABS(D2123)+ABS(E2123)</f>
        <v>0</v>
      </c>
    </row>
    <row r="2124" spans="1:7" hidden="1">
      <c r="A2124" s="37" t="s">
        <v>4002</v>
      </c>
      <c r="B2124" s="38" t="s">
        <v>4003</v>
      </c>
      <c r="C2124" s="39"/>
      <c r="D2124" s="40">
        <v>0</v>
      </c>
      <c r="E2124" s="40">
        <v>0</v>
      </c>
      <c r="F2124" s="40">
        <f>+D2124-E2124</f>
        <v>0</v>
      </c>
      <c r="G2124" s="2">
        <f>+ABS(D2124)+ABS(E2124)</f>
        <v>0</v>
      </c>
    </row>
    <row r="2125" spans="1:7" hidden="1">
      <c r="A2125" s="37" t="s">
        <v>4004</v>
      </c>
      <c r="B2125" s="38" t="s">
        <v>4005</v>
      </c>
      <c r="C2125" s="39"/>
      <c r="D2125" s="40">
        <v>0</v>
      </c>
      <c r="E2125" s="40">
        <v>0</v>
      </c>
      <c r="F2125" s="40">
        <f>+D2125-E2125</f>
        <v>0</v>
      </c>
      <c r="G2125" s="2">
        <f>+ABS(D2125)+ABS(E2125)</f>
        <v>0</v>
      </c>
    </row>
    <row r="2126" spans="1:7" hidden="1">
      <c r="A2126" s="37" t="s">
        <v>4006</v>
      </c>
      <c r="B2126" s="38" t="s">
        <v>4007</v>
      </c>
      <c r="C2126" s="39"/>
      <c r="D2126" s="40">
        <v>0</v>
      </c>
      <c r="E2126" s="40">
        <v>0</v>
      </c>
      <c r="F2126" s="40">
        <f>+D2126-E2126</f>
        <v>0</v>
      </c>
      <c r="G2126" s="2">
        <f>+ABS(D2126)+ABS(E2126)</f>
        <v>0</v>
      </c>
    </row>
    <row r="2127" spans="1:7" hidden="1">
      <c r="A2127" s="37" t="s">
        <v>4008</v>
      </c>
      <c r="B2127" s="38" t="s">
        <v>4009</v>
      </c>
      <c r="C2127" s="39"/>
      <c r="D2127" s="40">
        <v>0</v>
      </c>
      <c r="E2127" s="40">
        <v>0</v>
      </c>
      <c r="F2127" s="40">
        <f>+D2127-E2127</f>
        <v>0</v>
      </c>
      <c r="G2127" s="2">
        <f>+ABS(D2127)+ABS(E2127)</f>
        <v>0</v>
      </c>
    </row>
    <row r="2128" spans="1:7" hidden="1">
      <c r="A2128" s="37" t="s">
        <v>4010</v>
      </c>
      <c r="B2128" s="38" t="s">
        <v>4011</v>
      </c>
      <c r="C2128" s="39"/>
      <c r="D2128" s="40">
        <v>0</v>
      </c>
      <c r="E2128" s="40">
        <v>0</v>
      </c>
      <c r="F2128" s="40">
        <f>+D2128-E2128</f>
        <v>0</v>
      </c>
      <c r="G2128" s="2">
        <f>+ABS(D2128)+ABS(E2128)</f>
        <v>0</v>
      </c>
    </row>
    <row r="2129" spans="1:7" hidden="1">
      <c r="A2129" s="37" t="s">
        <v>4012</v>
      </c>
      <c r="B2129" s="38" t="s">
        <v>4013</v>
      </c>
      <c r="C2129" s="39"/>
      <c r="D2129" s="40">
        <v>0</v>
      </c>
      <c r="E2129" s="40">
        <v>0</v>
      </c>
      <c r="F2129" s="40">
        <f>+D2129-E2129</f>
        <v>0</v>
      </c>
      <c r="G2129" s="2">
        <f>+ABS(D2129)+ABS(E2129)</f>
        <v>0</v>
      </c>
    </row>
    <row r="2130" spans="1:7" hidden="1">
      <c r="A2130" s="37" t="s">
        <v>4014</v>
      </c>
      <c r="B2130" s="38" t="s">
        <v>4015</v>
      </c>
      <c r="C2130" s="39"/>
      <c r="D2130" s="40">
        <v>0</v>
      </c>
      <c r="E2130" s="40">
        <v>0</v>
      </c>
      <c r="F2130" s="40">
        <f>+D2130-E2130</f>
        <v>0</v>
      </c>
      <c r="G2130" s="2">
        <f>+ABS(D2130)+ABS(E2130)</f>
        <v>0</v>
      </c>
    </row>
    <row r="2131" spans="1:7" hidden="1">
      <c r="A2131" s="37" t="s">
        <v>4016</v>
      </c>
      <c r="B2131" s="38" t="s">
        <v>4017</v>
      </c>
      <c r="C2131" s="39"/>
      <c r="D2131" s="40">
        <v>0</v>
      </c>
      <c r="E2131" s="40">
        <v>0</v>
      </c>
      <c r="F2131" s="40">
        <f>+D2131-E2131</f>
        <v>0</v>
      </c>
      <c r="G2131" s="2">
        <f>+ABS(D2131)+ABS(E2131)</f>
        <v>0</v>
      </c>
    </row>
    <row r="2132" spans="1:7" hidden="1">
      <c r="A2132" s="37" t="s">
        <v>4018</v>
      </c>
      <c r="B2132" s="38" t="s">
        <v>4019</v>
      </c>
      <c r="C2132" s="39"/>
      <c r="D2132" s="40">
        <v>0</v>
      </c>
      <c r="E2132" s="40">
        <v>0</v>
      </c>
      <c r="F2132" s="40">
        <f>+D2132-E2132</f>
        <v>0</v>
      </c>
      <c r="G2132" s="2">
        <f>+ABS(D2132)+ABS(E2132)</f>
        <v>0</v>
      </c>
    </row>
    <row r="2133" spans="1:7" hidden="1">
      <c r="A2133" s="37" t="s">
        <v>4020</v>
      </c>
      <c r="B2133" s="38" t="s">
        <v>4021</v>
      </c>
      <c r="C2133" s="39"/>
      <c r="D2133" s="40">
        <v>0</v>
      </c>
      <c r="E2133" s="40">
        <v>0</v>
      </c>
      <c r="F2133" s="40">
        <f>+D2133-E2133</f>
        <v>0</v>
      </c>
      <c r="G2133" s="2">
        <f>+ABS(D2133)+ABS(E2133)</f>
        <v>0</v>
      </c>
    </row>
    <row r="2134" spans="1:7" hidden="1">
      <c r="A2134" s="37" t="s">
        <v>4022</v>
      </c>
      <c r="B2134" s="38" t="s">
        <v>4023</v>
      </c>
      <c r="C2134" s="39"/>
      <c r="D2134" s="40">
        <v>0</v>
      </c>
      <c r="E2134" s="40">
        <v>0</v>
      </c>
      <c r="F2134" s="40">
        <f>+D2134-E2134</f>
        <v>0</v>
      </c>
      <c r="G2134" s="2">
        <f>+ABS(D2134)+ABS(E2134)</f>
        <v>0</v>
      </c>
    </row>
    <row r="2135" spans="1:7" hidden="1">
      <c r="A2135" s="37" t="s">
        <v>4024</v>
      </c>
      <c r="B2135" s="38" t="s">
        <v>4025</v>
      </c>
      <c r="C2135" s="39"/>
      <c r="D2135" s="40">
        <v>0</v>
      </c>
      <c r="E2135" s="40">
        <v>0</v>
      </c>
      <c r="F2135" s="40">
        <f>+D2135-E2135</f>
        <v>0</v>
      </c>
      <c r="G2135" s="2">
        <f>+ABS(D2135)+ABS(E2135)</f>
        <v>0</v>
      </c>
    </row>
    <row r="2136" spans="1:7" hidden="1">
      <c r="A2136" s="37" t="s">
        <v>4026</v>
      </c>
      <c r="B2136" s="38" t="s">
        <v>4027</v>
      </c>
      <c r="C2136" s="39"/>
      <c r="D2136" s="40">
        <v>0</v>
      </c>
      <c r="E2136" s="40">
        <v>0</v>
      </c>
      <c r="F2136" s="40">
        <f>+D2136-E2136</f>
        <v>0</v>
      </c>
      <c r="G2136" s="2">
        <f>+ABS(D2136)+ABS(E2136)</f>
        <v>0</v>
      </c>
    </row>
    <row r="2137" spans="1:7" hidden="1">
      <c r="A2137" s="37" t="s">
        <v>4028</v>
      </c>
      <c r="B2137" s="38" t="s">
        <v>4029</v>
      </c>
      <c r="C2137" s="39"/>
      <c r="D2137" s="40">
        <v>0</v>
      </c>
      <c r="E2137" s="40">
        <v>0</v>
      </c>
      <c r="F2137" s="40">
        <f>+D2137-E2137</f>
        <v>0</v>
      </c>
      <c r="G2137" s="2">
        <f>+ABS(D2137)+ABS(E2137)</f>
        <v>0</v>
      </c>
    </row>
    <row r="2138" spans="1:7" hidden="1">
      <c r="A2138" s="37" t="s">
        <v>4030</v>
      </c>
      <c r="B2138" s="38" t="s">
        <v>4031</v>
      </c>
      <c r="C2138" s="39"/>
      <c r="D2138" s="40">
        <v>0</v>
      </c>
      <c r="E2138" s="40">
        <v>0</v>
      </c>
      <c r="F2138" s="40">
        <f>+D2138-E2138</f>
        <v>0</v>
      </c>
      <c r="G2138" s="2">
        <f>+ABS(D2138)+ABS(E2138)</f>
        <v>0</v>
      </c>
    </row>
    <row r="2139" spans="1:7" hidden="1">
      <c r="A2139" s="37" t="s">
        <v>4032</v>
      </c>
      <c r="B2139" s="38" t="s">
        <v>4033</v>
      </c>
      <c r="C2139" s="39"/>
      <c r="D2139" s="40">
        <v>0</v>
      </c>
      <c r="E2139" s="40">
        <v>0</v>
      </c>
      <c r="F2139" s="40">
        <f>+D2139-E2139</f>
        <v>0</v>
      </c>
      <c r="G2139" s="2">
        <f>+ABS(D2139)+ABS(E2139)</f>
        <v>0</v>
      </c>
    </row>
    <row r="2140" spans="1:7" hidden="1">
      <c r="A2140" s="37" t="s">
        <v>4034</v>
      </c>
      <c r="B2140" s="38" t="s">
        <v>4035</v>
      </c>
      <c r="C2140" s="39"/>
      <c r="D2140" s="40">
        <v>0</v>
      </c>
      <c r="E2140" s="40">
        <v>0</v>
      </c>
      <c r="F2140" s="40">
        <f>+D2140-E2140</f>
        <v>0</v>
      </c>
      <c r="G2140" s="2">
        <f>+ABS(D2140)+ABS(E2140)</f>
        <v>0</v>
      </c>
    </row>
    <row r="2141" spans="1:7" hidden="1">
      <c r="A2141" s="37" t="s">
        <v>4036</v>
      </c>
      <c r="B2141" s="38" t="s">
        <v>4037</v>
      </c>
      <c r="C2141" s="39"/>
      <c r="D2141" s="40">
        <v>0</v>
      </c>
      <c r="E2141" s="40">
        <v>0</v>
      </c>
      <c r="F2141" s="40">
        <f>+D2141-E2141</f>
        <v>0</v>
      </c>
      <c r="G2141" s="2">
        <f>+ABS(D2141)+ABS(E2141)</f>
        <v>0</v>
      </c>
    </row>
    <row r="2142" spans="1:7" hidden="1">
      <c r="A2142" s="37" t="s">
        <v>4038</v>
      </c>
      <c r="B2142" s="38" t="s">
        <v>4039</v>
      </c>
      <c r="C2142" s="39"/>
      <c r="D2142" s="40">
        <v>0</v>
      </c>
      <c r="E2142" s="40">
        <v>0</v>
      </c>
      <c r="F2142" s="40">
        <f>+D2142-E2142</f>
        <v>0</v>
      </c>
      <c r="G2142" s="2">
        <f>+ABS(D2142)+ABS(E2142)</f>
        <v>0</v>
      </c>
    </row>
    <row r="2143" spans="1:7" hidden="1">
      <c r="A2143" s="37" t="s">
        <v>4040</v>
      </c>
      <c r="B2143" s="38" t="s">
        <v>4041</v>
      </c>
      <c r="C2143" s="39"/>
      <c r="D2143" s="40">
        <v>0</v>
      </c>
      <c r="E2143" s="40">
        <v>0</v>
      </c>
      <c r="F2143" s="40">
        <f>+D2143-E2143</f>
        <v>0</v>
      </c>
      <c r="G2143" s="2">
        <f>+ABS(D2143)+ABS(E2143)</f>
        <v>0</v>
      </c>
    </row>
    <row r="2144" spans="1:7" hidden="1">
      <c r="A2144" s="37" t="s">
        <v>4042</v>
      </c>
      <c r="B2144" s="38" t="s">
        <v>4043</v>
      </c>
      <c r="C2144" s="39"/>
      <c r="D2144" s="40">
        <v>0</v>
      </c>
      <c r="E2144" s="40">
        <v>0</v>
      </c>
      <c r="F2144" s="40">
        <f>+D2144-E2144</f>
        <v>0</v>
      </c>
      <c r="G2144" s="2">
        <f>+ABS(D2144)+ABS(E2144)</f>
        <v>0</v>
      </c>
    </row>
    <row r="2145" spans="1:7" hidden="1">
      <c r="A2145" s="37" t="s">
        <v>4044</v>
      </c>
      <c r="B2145" s="38" t="s">
        <v>4045</v>
      </c>
      <c r="C2145" s="39"/>
      <c r="D2145" s="40">
        <v>0</v>
      </c>
      <c r="E2145" s="40">
        <v>0</v>
      </c>
      <c r="F2145" s="40">
        <f>+D2145-E2145</f>
        <v>0</v>
      </c>
      <c r="G2145" s="2">
        <f>+ABS(D2145)+ABS(E2145)</f>
        <v>0</v>
      </c>
    </row>
    <row r="2146" spans="1:7" hidden="1">
      <c r="A2146" s="37" t="s">
        <v>4046</v>
      </c>
      <c r="B2146" s="38" t="s">
        <v>4047</v>
      </c>
      <c r="C2146" s="39"/>
      <c r="D2146" s="40">
        <v>0</v>
      </c>
      <c r="E2146" s="40">
        <v>0</v>
      </c>
      <c r="F2146" s="40">
        <f>+D2146-E2146</f>
        <v>0</v>
      </c>
      <c r="G2146" s="2">
        <f>+ABS(D2146)+ABS(E2146)</f>
        <v>0</v>
      </c>
    </row>
    <row r="2147" spans="1:7" hidden="1">
      <c r="A2147" s="37" t="s">
        <v>4048</v>
      </c>
      <c r="B2147" s="38" t="s">
        <v>4049</v>
      </c>
      <c r="C2147" s="39"/>
      <c r="D2147" s="40">
        <v>0</v>
      </c>
      <c r="E2147" s="40">
        <v>0</v>
      </c>
      <c r="F2147" s="40">
        <f>+D2147-E2147</f>
        <v>0</v>
      </c>
      <c r="G2147" s="2">
        <f>+ABS(D2147)+ABS(E2147)</f>
        <v>0</v>
      </c>
    </row>
    <row r="2148" spans="1:7" hidden="1">
      <c r="A2148" s="37" t="s">
        <v>4050</v>
      </c>
      <c r="B2148" s="38" t="s">
        <v>4051</v>
      </c>
      <c r="C2148" s="39"/>
      <c r="D2148" s="40">
        <v>0</v>
      </c>
      <c r="E2148" s="40">
        <v>0</v>
      </c>
      <c r="F2148" s="40">
        <f>+D2148-E2148</f>
        <v>0</v>
      </c>
      <c r="G2148" s="2">
        <f>+ABS(D2148)+ABS(E2148)</f>
        <v>0</v>
      </c>
    </row>
    <row r="2149" spans="1:7" hidden="1">
      <c r="A2149" s="37" t="s">
        <v>4052</v>
      </c>
      <c r="B2149" s="38" t="s">
        <v>4053</v>
      </c>
      <c r="C2149" s="39"/>
      <c r="D2149" s="40">
        <v>0</v>
      </c>
      <c r="E2149" s="40">
        <v>0</v>
      </c>
      <c r="F2149" s="40">
        <f>+D2149-E2149</f>
        <v>0</v>
      </c>
      <c r="G2149" s="2">
        <f>+ABS(D2149)+ABS(E2149)</f>
        <v>0</v>
      </c>
    </row>
    <row r="2150" spans="1:7" hidden="1">
      <c r="A2150" s="37" t="s">
        <v>4054</v>
      </c>
      <c r="B2150" s="38" t="s">
        <v>4055</v>
      </c>
      <c r="C2150" s="39"/>
      <c r="D2150" s="40">
        <v>0</v>
      </c>
      <c r="E2150" s="40">
        <v>0</v>
      </c>
      <c r="F2150" s="40">
        <f>+D2150-E2150</f>
        <v>0</v>
      </c>
      <c r="G2150" s="2">
        <f>+ABS(D2150)+ABS(E2150)</f>
        <v>0</v>
      </c>
    </row>
    <row r="2151" spans="1:7" hidden="1">
      <c r="A2151" s="37" t="s">
        <v>4056</v>
      </c>
      <c r="B2151" s="38" t="s">
        <v>4057</v>
      </c>
      <c r="C2151" s="39"/>
      <c r="D2151" s="40">
        <v>0</v>
      </c>
      <c r="E2151" s="40">
        <v>0</v>
      </c>
      <c r="F2151" s="40">
        <f>+D2151-E2151</f>
        <v>0</v>
      </c>
      <c r="G2151" s="2">
        <f>+ABS(D2151)+ABS(E2151)</f>
        <v>0</v>
      </c>
    </row>
    <row r="2152" spans="1:7" hidden="1">
      <c r="A2152" s="37" t="s">
        <v>4058</v>
      </c>
      <c r="B2152" s="38" t="s">
        <v>4059</v>
      </c>
      <c r="C2152" s="39"/>
      <c r="D2152" s="40">
        <v>0</v>
      </c>
      <c r="E2152" s="40">
        <v>0</v>
      </c>
      <c r="F2152" s="40">
        <f>+D2152-E2152</f>
        <v>0</v>
      </c>
      <c r="G2152" s="2">
        <f>+ABS(D2152)+ABS(E2152)</f>
        <v>0</v>
      </c>
    </row>
    <row r="2153" spans="1:7" hidden="1">
      <c r="A2153" s="37" t="s">
        <v>4060</v>
      </c>
      <c r="B2153" s="38" t="s">
        <v>4061</v>
      </c>
      <c r="C2153" s="39"/>
      <c r="D2153" s="40">
        <v>0</v>
      </c>
      <c r="E2153" s="40">
        <v>0</v>
      </c>
      <c r="F2153" s="40">
        <f>+D2153-E2153</f>
        <v>0</v>
      </c>
      <c r="G2153" s="2">
        <f>+ABS(D2153)+ABS(E2153)</f>
        <v>0</v>
      </c>
    </row>
    <row r="2154" spans="1:7" hidden="1">
      <c r="A2154" s="37" t="s">
        <v>4062</v>
      </c>
      <c r="B2154" s="38" t="s">
        <v>4063</v>
      </c>
      <c r="C2154" s="39"/>
      <c r="D2154" s="40">
        <v>0</v>
      </c>
      <c r="E2154" s="40">
        <v>0</v>
      </c>
      <c r="F2154" s="40">
        <f>+D2154-E2154</f>
        <v>0</v>
      </c>
      <c r="G2154" s="2">
        <f>+ABS(D2154)+ABS(E2154)</f>
        <v>0</v>
      </c>
    </row>
    <row r="2155" spans="1:7" hidden="1">
      <c r="A2155" s="37" t="s">
        <v>4064</v>
      </c>
      <c r="B2155" s="38" t="s">
        <v>4065</v>
      </c>
      <c r="C2155" s="39"/>
      <c r="D2155" s="40">
        <v>0</v>
      </c>
      <c r="E2155" s="40">
        <v>0</v>
      </c>
      <c r="F2155" s="40">
        <f>+D2155-E2155</f>
        <v>0</v>
      </c>
      <c r="G2155" s="2">
        <f>+ABS(D2155)+ABS(E2155)</f>
        <v>0</v>
      </c>
    </row>
    <row r="2156" spans="1:7" hidden="1">
      <c r="A2156" s="37" t="s">
        <v>4066</v>
      </c>
      <c r="B2156" s="38" t="s">
        <v>4067</v>
      </c>
      <c r="C2156" s="39"/>
      <c r="D2156" s="40">
        <v>0</v>
      </c>
      <c r="E2156" s="40">
        <v>0</v>
      </c>
      <c r="F2156" s="40">
        <f>+D2156-E2156</f>
        <v>0</v>
      </c>
      <c r="G2156" s="2">
        <f>+ABS(D2156)+ABS(E2156)</f>
        <v>0</v>
      </c>
    </row>
    <row r="2157" spans="1:7" hidden="1">
      <c r="A2157" s="37" t="s">
        <v>4068</v>
      </c>
      <c r="B2157" s="38" t="s">
        <v>4069</v>
      </c>
      <c r="C2157" s="39"/>
      <c r="D2157" s="40">
        <v>0</v>
      </c>
      <c r="E2157" s="40">
        <v>0</v>
      </c>
      <c r="F2157" s="40">
        <f>+D2157-E2157</f>
        <v>0</v>
      </c>
      <c r="G2157" s="2">
        <f>+ABS(D2157)+ABS(E2157)</f>
        <v>0</v>
      </c>
    </row>
    <row r="2158" spans="1:7" hidden="1">
      <c r="A2158" s="37" t="s">
        <v>4070</v>
      </c>
      <c r="B2158" s="38" t="s">
        <v>4071</v>
      </c>
      <c r="C2158" s="39"/>
      <c r="D2158" s="40">
        <v>0</v>
      </c>
      <c r="E2158" s="40">
        <v>0</v>
      </c>
      <c r="F2158" s="40">
        <f>+D2158-E2158</f>
        <v>0</v>
      </c>
      <c r="G2158" s="2">
        <f>+ABS(D2158)+ABS(E2158)</f>
        <v>0</v>
      </c>
    </row>
    <row r="2159" spans="1:7" hidden="1">
      <c r="A2159" s="37" t="s">
        <v>4072</v>
      </c>
      <c r="B2159" s="38" t="s">
        <v>4073</v>
      </c>
      <c r="C2159" s="39"/>
      <c r="D2159" s="40">
        <v>0</v>
      </c>
      <c r="E2159" s="40">
        <v>0</v>
      </c>
      <c r="F2159" s="40">
        <f>+D2159-E2159</f>
        <v>0</v>
      </c>
      <c r="G2159" s="2">
        <f>+ABS(D2159)+ABS(E2159)</f>
        <v>0</v>
      </c>
    </row>
    <row r="2160" spans="1:7">
      <c r="A2160" s="37" t="s">
        <v>4074</v>
      </c>
      <c r="B2160" s="38" t="s">
        <v>4075</v>
      </c>
      <c r="C2160" s="39"/>
      <c r="D2160" s="40">
        <v>-958078.27</v>
      </c>
      <c r="E2160" s="40">
        <v>-860657.28</v>
      </c>
      <c r="F2160" s="40">
        <f>+D2160-E2160</f>
        <v>-97420.99</v>
      </c>
      <c r="G2160" s="2">
        <f>+ABS(D2160)+ABS(E2160)</f>
        <v>1818735.55</v>
      </c>
    </row>
    <row r="2161" spans="1:7" hidden="1">
      <c r="A2161" s="37" t="s">
        <v>4076</v>
      </c>
      <c r="B2161" s="38" t="s">
        <v>4077</v>
      </c>
      <c r="C2161" s="39"/>
      <c r="D2161" s="40">
        <v>0</v>
      </c>
      <c r="E2161" s="40">
        <v>0</v>
      </c>
      <c r="F2161" s="40">
        <f>+D2161-E2161</f>
        <v>0</v>
      </c>
      <c r="G2161" s="2">
        <f>+ABS(D2161)+ABS(E2161)</f>
        <v>0</v>
      </c>
    </row>
    <row r="2162" spans="1:7">
      <c r="A2162" s="37" t="s">
        <v>4078</v>
      </c>
      <c r="B2162" s="38" t="s">
        <v>4079</v>
      </c>
      <c r="C2162" s="39"/>
      <c r="D2162" s="40">
        <v>447406.45</v>
      </c>
      <c r="E2162" s="40">
        <v>447406.45</v>
      </c>
      <c r="F2162" s="40">
        <f>+D2162-E2162</f>
        <v>0</v>
      </c>
      <c r="G2162" s="2">
        <f>+ABS(D2162)+ABS(E2162)</f>
        <v>894812.9</v>
      </c>
    </row>
    <row r="2163" spans="1:7" hidden="1">
      <c r="A2163" s="37" t="s">
        <v>4080</v>
      </c>
      <c r="B2163" s="38" t="s">
        <v>4081</v>
      </c>
      <c r="C2163" s="39"/>
      <c r="D2163" s="40">
        <v>0</v>
      </c>
      <c r="E2163" s="40">
        <v>0</v>
      </c>
      <c r="F2163" s="40">
        <f>+D2163-E2163</f>
        <v>0</v>
      </c>
      <c r="G2163" s="2">
        <f>+ABS(D2163)+ABS(E2163)</f>
        <v>0</v>
      </c>
    </row>
    <row r="2164" spans="1:7" hidden="1">
      <c r="A2164" s="37" t="s">
        <v>4082</v>
      </c>
      <c r="B2164" s="38" t="s">
        <v>4083</v>
      </c>
      <c r="C2164" s="39"/>
      <c r="D2164" s="40">
        <v>0</v>
      </c>
      <c r="E2164" s="40">
        <v>0</v>
      </c>
      <c r="F2164" s="40">
        <f>+D2164-E2164</f>
        <v>0</v>
      </c>
      <c r="G2164" s="2">
        <f>+ABS(D2164)+ABS(E2164)</f>
        <v>0</v>
      </c>
    </row>
    <row r="2165" spans="1:7" hidden="1">
      <c r="A2165" s="37" t="s">
        <v>4084</v>
      </c>
      <c r="B2165" s="38" t="s">
        <v>3967</v>
      </c>
      <c r="C2165" s="39"/>
      <c r="D2165" s="40">
        <v>0</v>
      </c>
      <c r="E2165" s="40">
        <v>0</v>
      </c>
      <c r="F2165" s="40">
        <f>+D2165-E2165</f>
        <v>0</v>
      </c>
      <c r="G2165" s="2">
        <f>+ABS(D2165)+ABS(E2165)</f>
        <v>0</v>
      </c>
    </row>
    <row r="2166" spans="1:7" hidden="1">
      <c r="A2166" s="37" t="s">
        <v>4085</v>
      </c>
      <c r="B2166" s="38" t="s">
        <v>4086</v>
      </c>
      <c r="C2166" s="39"/>
      <c r="D2166" s="40">
        <v>0</v>
      </c>
      <c r="E2166" s="40">
        <v>0</v>
      </c>
      <c r="F2166" s="40">
        <f>+D2166-E2166</f>
        <v>0</v>
      </c>
      <c r="G2166" s="2">
        <f>+ABS(D2166)+ABS(E2166)</f>
        <v>0</v>
      </c>
    </row>
    <row r="2167" spans="1:7">
      <c r="A2167" s="37"/>
      <c r="B2167" s="48"/>
      <c r="C2167" s="39"/>
      <c r="D2167" s="40"/>
      <c r="E2167" s="40"/>
      <c r="F2167" s="40"/>
      <c r="G2167" s="2">
        <f>G2168</f>
        <v>56612829.93</v>
      </c>
    </row>
    <row r="2168" spans="1:7">
      <c r="A2168" s="42" t="s">
        <v>11</v>
      </c>
      <c r="B2168" s="49" t="s">
        <v>4087</v>
      </c>
      <c r="C2168" s="44"/>
      <c r="D2168" s="45">
        <f>SUM(D2093:D2167)</f>
        <v>28257704.469999999</v>
      </c>
      <c r="E2168" s="45">
        <f>SUM(E2093:E2167)</f>
        <v>28355125.460000001</v>
      </c>
      <c r="F2168" s="45">
        <f>+D2168-E2168</f>
        <v>-97420.989999998405</v>
      </c>
      <c r="G2168" s="2">
        <f>+ABS(D2168)+ABS(E2168)</f>
        <v>56612829.93</v>
      </c>
    </row>
    <row r="2169" spans="1:7">
      <c r="A2169" s="42"/>
      <c r="B2169" s="39"/>
      <c r="C2169" s="39"/>
      <c r="D2169" s="40"/>
      <c r="E2169" s="40"/>
      <c r="F2169" s="40"/>
      <c r="G2169" s="2">
        <f>G2168</f>
        <v>56612829.93</v>
      </c>
    </row>
    <row r="2170" spans="1:7" ht="15.75">
      <c r="A2170" s="42" t="s">
        <v>11</v>
      </c>
      <c r="B2170" s="47" t="s">
        <v>4088</v>
      </c>
      <c r="C2170" s="39"/>
      <c r="D2170" s="57">
        <f>+D2090+D2168</f>
        <v>80001343.930000007</v>
      </c>
      <c r="E2170" s="57">
        <f>+E2090+E2168</f>
        <v>80086094.109999999</v>
      </c>
      <c r="F2170" s="57">
        <f>+D2170-E2170</f>
        <v>-84750.179999992295</v>
      </c>
      <c r="G2170" s="2">
        <f>+ABS(D2170)+ABS(E2170)</f>
        <v>160087438.03999999</v>
      </c>
    </row>
    <row r="2171" spans="1:7" ht="15.75">
      <c r="A2171" s="42"/>
      <c r="B2171" s="47"/>
      <c r="C2171" s="39"/>
      <c r="D2171" s="60"/>
      <c r="E2171" s="60"/>
      <c r="F2171" s="60"/>
      <c r="G2171" s="2">
        <f>G2170</f>
        <v>160087438.03999999</v>
      </c>
    </row>
    <row r="2172" spans="1:7">
      <c r="A2172" s="42"/>
      <c r="B2172" s="1" t="s">
        <v>4089</v>
      </c>
      <c r="C2172" s="1"/>
      <c r="D2172" s="1"/>
      <c r="E2172" s="1"/>
      <c r="F2172" s="1"/>
      <c r="G2172" s="2">
        <v>1</v>
      </c>
    </row>
    <row r="2173" spans="1:7">
      <c r="A2173" s="37"/>
      <c r="B2173" s="47"/>
      <c r="C2173" s="39"/>
      <c r="D2173" s="40">
        <f>+D1688-D2170</f>
        <v>-1.4901161193847699E-8</v>
      </c>
      <c r="E2173" s="40">
        <f>+E1688-E2170</f>
        <v>1.4901161193847699E-8</v>
      </c>
      <c r="F2173" s="40"/>
      <c r="G2173" s="2">
        <v>1</v>
      </c>
    </row>
    <row r="2174" spans="1:7">
      <c r="A2174" s="14"/>
      <c r="B2174" s="39"/>
      <c r="C2174" s="39"/>
    </row>
    <row r="2175" spans="1:7">
      <c r="A2175" s="37"/>
      <c r="B2175" s="58"/>
      <c r="C2175" s="39"/>
    </row>
    <row r="2176" spans="1:7">
      <c r="A2176" s="14"/>
      <c r="B2176" s="47"/>
      <c r="C2176" s="39"/>
      <c r="D2176" s="61"/>
      <c r="E2176" s="61"/>
    </row>
    <row r="2177" spans="1:5">
      <c r="A2177" s="14"/>
      <c r="B2177" s="58"/>
      <c r="C2177" s="39"/>
      <c r="D2177" s="61"/>
      <c r="E2177" s="61"/>
    </row>
    <row r="2178" spans="1:5">
      <c r="B2178" s="62"/>
      <c r="C2178" s="39"/>
    </row>
    <row r="2179" spans="1:5">
      <c r="B2179" s="62"/>
      <c r="C2179" s="39"/>
      <c r="D2179" s="63"/>
      <c r="E2179" s="63"/>
    </row>
    <row r="2180" spans="1:5">
      <c r="B2180" s="62"/>
      <c r="C2180" s="39"/>
      <c r="D2180" s="63"/>
      <c r="E2180" s="63"/>
    </row>
    <row r="2181" spans="1:5">
      <c r="B2181" s="39"/>
      <c r="C2181" s="39"/>
      <c r="D2181" s="64"/>
      <c r="E2181" s="64"/>
    </row>
    <row r="2182" spans="1:5">
      <c r="B2182" s="39"/>
      <c r="C2182" s="39"/>
    </row>
    <row r="2183" spans="1:5">
      <c r="B2183" s="39"/>
      <c r="C2183" s="39"/>
    </row>
    <row r="2184" spans="1:5">
      <c r="B2184" s="39"/>
      <c r="C2184" s="39"/>
    </row>
    <row r="2185" spans="1:5">
      <c r="B2185" s="39"/>
      <c r="C2185" s="39"/>
    </row>
    <row r="2186" spans="1:5">
      <c r="B2186" s="39"/>
      <c r="C2186" s="39"/>
    </row>
    <row r="2187" spans="1:5">
      <c r="B2187" s="39"/>
      <c r="C2187" s="39"/>
    </row>
    <row r="2188" spans="1:5">
      <c r="B2188" s="39"/>
      <c r="C2188" s="39"/>
    </row>
    <row r="2189" spans="1:5">
      <c r="B2189" s="39"/>
      <c r="C2189" s="39"/>
    </row>
    <row r="2190" spans="1:5">
      <c r="B2190" s="39"/>
      <c r="C2190" s="39"/>
    </row>
    <row r="2191" spans="1:5">
      <c r="B2191" s="39"/>
      <c r="C2191" s="39"/>
    </row>
    <row r="2192" spans="1:5">
      <c r="B2192" s="39"/>
      <c r="C2192" s="39"/>
    </row>
    <row r="2193" spans="2:3">
      <c r="B2193" s="39"/>
      <c r="C2193" s="39"/>
    </row>
    <row r="2194" spans="2:3">
      <c r="B2194" s="39"/>
      <c r="C2194" s="39"/>
    </row>
    <row r="2195" spans="2:3">
      <c r="B2195" s="39"/>
      <c r="C2195" s="39"/>
    </row>
    <row r="2196" spans="2:3">
      <c r="B2196" s="39"/>
      <c r="C2196" s="39"/>
    </row>
    <row r="2197" spans="2:3">
      <c r="B2197" s="39"/>
      <c r="C2197" s="39"/>
    </row>
    <row r="2198" spans="2:3">
      <c r="B2198" s="39"/>
      <c r="C2198" s="39"/>
    </row>
    <row r="2199" spans="2:3">
      <c r="B2199" s="39"/>
      <c r="C2199" s="39"/>
    </row>
    <row r="2200" spans="2:3">
      <c r="B2200" s="39"/>
      <c r="C2200" s="39"/>
    </row>
    <row r="2201" spans="2:3">
      <c r="B2201" s="39"/>
      <c r="C2201" s="39"/>
    </row>
    <row r="2202" spans="2:3">
      <c r="B2202" s="39"/>
      <c r="C2202" s="39"/>
    </row>
    <row r="2203" spans="2:3">
      <c r="B2203" s="39"/>
      <c r="C2203" s="39"/>
    </row>
    <row r="2204" spans="2:3">
      <c r="B2204" s="39"/>
      <c r="C2204" s="39"/>
    </row>
    <row r="2205" spans="2:3">
      <c r="B2205" s="39"/>
      <c r="C2205" s="39"/>
    </row>
    <row r="2206" spans="2:3">
      <c r="B2206" s="39"/>
      <c r="C2206" s="39"/>
    </row>
    <row r="2207" spans="2:3">
      <c r="B2207" s="39"/>
      <c r="C2207" s="39"/>
    </row>
    <row r="2208" spans="2:3">
      <c r="B2208" s="39"/>
      <c r="C2208" s="39"/>
    </row>
    <row r="2209" spans="2:3">
      <c r="B2209" s="39"/>
      <c r="C2209" s="39"/>
    </row>
    <row r="2210" spans="2:3">
      <c r="B2210" s="39"/>
      <c r="C2210" s="39"/>
    </row>
    <row r="2211" spans="2:3">
      <c r="B2211" s="39"/>
      <c r="C2211" s="39"/>
    </row>
    <row r="2212" spans="2:3">
      <c r="B2212" s="39"/>
      <c r="C2212" s="39"/>
    </row>
    <row r="2213" spans="2:3">
      <c r="B2213" s="39"/>
      <c r="C2213" s="39"/>
    </row>
    <row r="2214" spans="2:3">
      <c r="B2214" s="39"/>
      <c r="C2214" s="39"/>
    </row>
    <row r="2215" spans="2:3">
      <c r="B2215" s="39"/>
      <c r="C2215" s="39"/>
    </row>
    <row r="2216" spans="2:3">
      <c r="B2216" s="39"/>
      <c r="C2216" s="39"/>
    </row>
    <row r="2217" spans="2:3">
      <c r="B2217" s="39"/>
      <c r="C2217" s="39"/>
    </row>
    <row r="2218" spans="2:3">
      <c r="B2218" s="39"/>
      <c r="C2218" s="39"/>
    </row>
    <row r="2219" spans="2:3">
      <c r="B2219" s="39"/>
      <c r="C2219" s="39"/>
    </row>
    <row r="2220" spans="2:3">
      <c r="B2220" s="39"/>
      <c r="C2220" s="39"/>
    </row>
    <row r="2221" spans="2:3">
      <c r="B2221" s="39"/>
      <c r="C2221" s="39"/>
    </row>
    <row r="2222" spans="2:3">
      <c r="B2222" s="39"/>
      <c r="C2222" s="39"/>
    </row>
    <row r="2223" spans="2:3">
      <c r="B2223" s="39"/>
      <c r="C2223" s="39"/>
    </row>
    <row r="2224" spans="2:3">
      <c r="B2224" s="39"/>
      <c r="C2224" s="39"/>
    </row>
    <row r="2225" spans="2:3">
      <c r="B2225" s="39"/>
      <c r="C2225" s="39"/>
    </row>
    <row r="2226" spans="2:3">
      <c r="B2226" s="39"/>
      <c r="C2226" s="39"/>
    </row>
    <row r="2227" spans="2:3">
      <c r="B2227" s="39"/>
      <c r="C2227" s="39"/>
    </row>
    <row r="2228" spans="2:3">
      <c r="B2228" s="39"/>
      <c r="C2228" s="39"/>
    </row>
    <row r="2229" spans="2:3">
      <c r="B2229" s="39"/>
      <c r="C2229" s="39"/>
    </row>
    <row r="2230" spans="2:3">
      <c r="B2230" s="39"/>
      <c r="C2230" s="39"/>
    </row>
    <row r="2231" spans="2:3">
      <c r="B2231" s="39"/>
      <c r="C2231" s="39"/>
    </row>
    <row r="2232" spans="2:3">
      <c r="B2232" s="39"/>
      <c r="C2232" s="39"/>
    </row>
    <row r="2233" spans="2:3">
      <c r="B2233" s="39"/>
      <c r="C2233" s="39"/>
    </row>
    <row r="2234" spans="2:3">
      <c r="B2234" s="39"/>
      <c r="C2234" s="39"/>
    </row>
    <row r="2235" spans="2:3">
      <c r="B2235" s="39"/>
      <c r="C2235" s="39"/>
    </row>
    <row r="2236" spans="2:3">
      <c r="B2236" s="39"/>
      <c r="C2236" s="39"/>
    </row>
    <row r="2237" spans="2:3">
      <c r="B2237" s="39"/>
      <c r="C2237" s="39"/>
    </row>
    <row r="2238" spans="2:3">
      <c r="B2238" s="39"/>
      <c r="C2238" s="39"/>
    </row>
    <row r="2239" spans="2:3">
      <c r="B2239" s="39"/>
      <c r="C2239" s="39"/>
    </row>
    <row r="2240" spans="2:3">
      <c r="B2240" s="39"/>
      <c r="C2240" s="39"/>
    </row>
    <row r="2241" spans="2:3">
      <c r="B2241" s="39"/>
      <c r="C2241" s="39"/>
    </row>
    <row r="2242" spans="2:3">
      <c r="B2242" s="39"/>
      <c r="C2242" s="39"/>
    </row>
    <row r="2243" spans="2:3">
      <c r="B2243" s="39"/>
      <c r="C2243" s="39"/>
    </row>
    <row r="2244" spans="2:3">
      <c r="B2244" s="39"/>
      <c r="C2244" s="39"/>
    </row>
    <row r="2245" spans="2:3">
      <c r="B2245" s="39"/>
      <c r="C2245" s="39"/>
    </row>
    <row r="2246" spans="2:3">
      <c r="B2246" s="39"/>
      <c r="C2246" s="39"/>
    </row>
    <row r="2247" spans="2:3">
      <c r="B2247" s="39"/>
      <c r="C2247" s="39"/>
    </row>
    <row r="2248" spans="2:3">
      <c r="B2248" s="39"/>
      <c r="C2248" s="39"/>
    </row>
    <row r="2249" spans="2:3">
      <c r="B2249" s="39"/>
      <c r="C2249" s="39"/>
    </row>
    <row r="2250" spans="2:3">
      <c r="B2250" s="39"/>
      <c r="C2250" s="39"/>
    </row>
    <row r="2251" spans="2:3">
      <c r="B2251" s="39"/>
      <c r="C2251" s="39"/>
    </row>
    <row r="2252" spans="2:3">
      <c r="B2252" s="39"/>
      <c r="C2252" s="39"/>
    </row>
    <row r="2253" spans="2:3">
      <c r="B2253" s="39"/>
      <c r="C2253" s="39"/>
    </row>
    <row r="2254" spans="2:3">
      <c r="B2254" s="39"/>
      <c r="C2254" s="39"/>
    </row>
    <row r="2255" spans="2:3">
      <c r="B2255" s="39"/>
      <c r="C2255" s="39"/>
    </row>
    <row r="2256" spans="2:3">
      <c r="B2256" s="39"/>
      <c r="C2256" s="39"/>
    </row>
    <row r="2257" spans="2:3">
      <c r="B2257" s="39"/>
      <c r="C2257" s="39"/>
    </row>
    <row r="2258" spans="2:3">
      <c r="B2258" s="39"/>
      <c r="C2258" s="39"/>
    </row>
    <row r="2259" spans="2:3">
      <c r="B2259" s="39"/>
      <c r="C2259" s="39"/>
    </row>
    <row r="2260" spans="2:3">
      <c r="B2260" s="39"/>
      <c r="C2260" s="39"/>
    </row>
    <row r="2261" spans="2:3">
      <c r="B2261" s="39"/>
      <c r="C2261" s="39"/>
    </row>
    <row r="2262" spans="2:3">
      <c r="B2262" s="39"/>
      <c r="C2262" s="39"/>
    </row>
    <row r="2263" spans="2:3">
      <c r="B2263" s="39"/>
      <c r="C2263" s="39"/>
    </row>
    <row r="2264" spans="2:3">
      <c r="B2264" s="39"/>
      <c r="C2264" s="39"/>
    </row>
    <row r="2265" spans="2:3">
      <c r="B2265" s="39"/>
      <c r="C2265" s="39"/>
    </row>
    <row r="2266" spans="2:3">
      <c r="B2266" s="39"/>
      <c r="C2266" s="39"/>
    </row>
    <row r="2267" spans="2:3">
      <c r="B2267" s="39"/>
      <c r="C2267" s="39"/>
    </row>
    <row r="2268" spans="2:3">
      <c r="B2268" s="39"/>
      <c r="C2268" s="39"/>
    </row>
    <row r="2269" spans="2:3">
      <c r="B2269" s="39"/>
      <c r="C2269" s="39"/>
    </row>
    <row r="2270" spans="2:3">
      <c r="B2270" s="39"/>
      <c r="C2270" s="39"/>
    </row>
    <row r="2271" spans="2:3">
      <c r="B2271" s="39"/>
      <c r="C2271" s="39"/>
    </row>
    <row r="2272" spans="2:3">
      <c r="B2272" s="39"/>
      <c r="C2272" s="39"/>
    </row>
    <row r="2273" spans="2:3">
      <c r="B2273" s="39"/>
      <c r="C2273" s="39"/>
    </row>
    <row r="2274" spans="2:3">
      <c r="B2274" s="39"/>
      <c r="C2274" s="39"/>
    </row>
    <row r="2275" spans="2:3">
      <c r="B2275" s="39"/>
      <c r="C2275" s="39"/>
    </row>
    <row r="2276" spans="2:3">
      <c r="B2276" s="39"/>
      <c r="C2276" s="39"/>
    </row>
    <row r="2277" spans="2:3">
      <c r="B2277" s="39"/>
      <c r="C2277" s="39"/>
    </row>
    <row r="2278" spans="2:3">
      <c r="B2278" s="39"/>
      <c r="C2278" s="39"/>
    </row>
    <row r="2279" spans="2:3">
      <c r="B2279" s="39"/>
      <c r="C2279" s="39"/>
    </row>
    <row r="2280" spans="2:3">
      <c r="B2280" s="39"/>
      <c r="C2280" s="39"/>
    </row>
    <row r="2281" spans="2:3">
      <c r="B2281" s="39"/>
      <c r="C2281" s="39"/>
    </row>
    <row r="2282" spans="2:3">
      <c r="B2282" s="39"/>
      <c r="C2282" s="39"/>
    </row>
    <row r="2283" spans="2:3">
      <c r="B2283" s="39"/>
      <c r="C2283" s="39"/>
    </row>
    <row r="2284" spans="2:3">
      <c r="B2284" s="39"/>
      <c r="C2284" s="39"/>
    </row>
    <row r="2285" spans="2:3">
      <c r="B2285" s="39"/>
      <c r="C2285" s="39"/>
    </row>
    <row r="2286" spans="2:3">
      <c r="B2286" s="39"/>
      <c r="C2286" s="39"/>
    </row>
    <row r="2287" spans="2:3">
      <c r="B2287" s="39"/>
      <c r="C2287" s="39"/>
    </row>
    <row r="2288" spans="2:3">
      <c r="B2288" s="39"/>
      <c r="C2288" s="39"/>
    </row>
    <row r="2289" spans="2:3">
      <c r="B2289" s="39"/>
      <c r="C2289" s="39"/>
    </row>
    <row r="2290" spans="2:3">
      <c r="B2290" s="39"/>
      <c r="C2290" s="39"/>
    </row>
    <row r="2291" spans="2:3">
      <c r="B2291" s="39"/>
      <c r="C2291" s="39"/>
    </row>
    <row r="2292" spans="2:3">
      <c r="B2292" s="39"/>
      <c r="C2292" s="39"/>
    </row>
    <row r="2293" spans="2:3">
      <c r="B2293" s="39"/>
      <c r="C2293" s="39"/>
    </row>
    <row r="2294" spans="2:3">
      <c r="B2294" s="39"/>
      <c r="C2294" s="39"/>
    </row>
    <row r="2295" spans="2:3">
      <c r="B2295" s="39"/>
      <c r="C2295" s="39"/>
    </row>
    <row r="2296" spans="2:3">
      <c r="B2296" s="39"/>
      <c r="C2296" s="39"/>
    </row>
    <row r="2297" spans="2:3">
      <c r="B2297" s="39"/>
      <c r="C2297" s="39"/>
    </row>
    <row r="2298" spans="2:3">
      <c r="B2298" s="39"/>
      <c r="C2298" s="39"/>
    </row>
    <row r="2299" spans="2:3">
      <c r="B2299" s="39"/>
      <c r="C2299" s="39"/>
    </row>
    <row r="2300" spans="2:3">
      <c r="B2300" s="39"/>
      <c r="C2300" s="39"/>
    </row>
    <row r="2301" spans="2:3">
      <c r="B2301" s="39"/>
      <c r="C2301" s="39"/>
    </row>
    <row r="2302" spans="2:3">
      <c r="B2302" s="39"/>
      <c r="C2302" s="39"/>
    </row>
    <row r="2303" spans="2:3">
      <c r="B2303" s="39"/>
      <c r="C2303" s="39"/>
    </row>
    <row r="2304" spans="2:3">
      <c r="B2304" s="39"/>
      <c r="C2304" s="39"/>
    </row>
    <row r="2305" spans="2:3">
      <c r="B2305" s="39"/>
      <c r="C2305" s="39"/>
    </row>
    <row r="2306" spans="2:3">
      <c r="B2306" s="39"/>
      <c r="C2306" s="39"/>
    </row>
    <row r="2307" spans="2:3">
      <c r="B2307" s="39"/>
      <c r="C2307" s="39"/>
    </row>
    <row r="2308" spans="2:3">
      <c r="B2308" s="39"/>
      <c r="C2308" s="39"/>
    </row>
    <row r="2309" spans="2:3">
      <c r="B2309" s="39"/>
      <c r="C2309" s="39"/>
    </row>
    <row r="2310" spans="2:3">
      <c r="B2310" s="39"/>
      <c r="C2310" s="39"/>
    </row>
    <row r="2311" spans="2:3">
      <c r="B2311" s="39"/>
      <c r="C2311" s="39"/>
    </row>
    <row r="2312" spans="2:3">
      <c r="B2312" s="39"/>
      <c r="C2312" s="39"/>
    </row>
    <row r="2313" spans="2:3">
      <c r="B2313" s="39"/>
      <c r="C2313" s="39"/>
    </row>
    <row r="2314" spans="2:3">
      <c r="B2314" s="39"/>
      <c r="C2314" s="39"/>
    </row>
    <row r="2315" spans="2:3">
      <c r="B2315" s="39"/>
      <c r="C2315" s="39"/>
    </row>
    <row r="2316" spans="2:3">
      <c r="B2316" s="39"/>
      <c r="C2316" s="39"/>
    </row>
    <row r="2317" spans="2:3">
      <c r="B2317" s="39"/>
      <c r="C2317" s="39"/>
    </row>
    <row r="2318" spans="2:3">
      <c r="B2318" s="39"/>
      <c r="C2318" s="39"/>
    </row>
    <row r="2319" spans="2:3">
      <c r="B2319" s="39"/>
      <c r="C2319" s="39"/>
    </row>
    <row r="2320" spans="2:3">
      <c r="B2320" s="39"/>
      <c r="C2320" s="39"/>
    </row>
    <row r="2321" spans="2:3">
      <c r="B2321" s="39"/>
      <c r="C2321" s="39"/>
    </row>
    <row r="2322" spans="2:3">
      <c r="B2322" s="39"/>
      <c r="C2322" s="39"/>
    </row>
    <row r="2323" spans="2:3">
      <c r="B2323" s="39"/>
      <c r="C2323" s="39"/>
    </row>
    <row r="2324" spans="2:3">
      <c r="B2324" s="39"/>
      <c r="C2324" s="39"/>
    </row>
    <row r="2325" spans="2:3">
      <c r="B2325" s="39"/>
      <c r="C2325" s="39"/>
    </row>
    <row r="2326" spans="2:3">
      <c r="B2326" s="39"/>
      <c r="C2326" s="39"/>
    </row>
    <row r="2327" spans="2:3">
      <c r="B2327" s="39"/>
      <c r="C2327" s="39"/>
    </row>
    <row r="2328" spans="2:3">
      <c r="B2328" s="39"/>
      <c r="C2328" s="39"/>
    </row>
    <row r="2329" spans="2:3">
      <c r="B2329" s="39"/>
      <c r="C2329" s="39"/>
    </row>
    <row r="2330" spans="2:3">
      <c r="B2330" s="39"/>
      <c r="C2330" s="39"/>
    </row>
    <row r="2331" spans="2:3">
      <c r="B2331" s="39"/>
      <c r="C2331" s="39"/>
    </row>
    <row r="2332" spans="2:3">
      <c r="B2332" s="39"/>
      <c r="C2332" s="39"/>
    </row>
    <row r="2333" spans="2:3">
      <c r="B2333" s="39"/>
      <c r="C2333" s="39"/>
    </row>
    <row r="2334" spans="2:3">
      <c r="B2334" s="39"/>
      <c r="C2334" s="39"/>
    </row>
    <row r="2335" spans="2:3">
      <c r="B2335" s="39"/>
      <c r="C2335" s="39"/>
    </row>
    <row r="2336" spans="2:3">
      <c r="B2336" s="39"/>
      <c r="C2336" s="39"/>
    </row>
    <row r="2337" spans="2:3">
      <c r="B2337" s="39"/>
      <c r="C2337" s="39"/>
    </row>
    <row r="2338" spans="2:3">
      <c r="B2338" s="39"/>
      <c r="C2338" s="39"/>
    </row>
    <row r="2339" spans="2:3">
      <c r="B2339" s="39"/>
      <c r="C2339" s="39"/>
    </row>
    <row r="2340" spans="2:3">
      <c r="B2340" s="39"/>
      <c r="C2340" s="39"/>
    </row>
    <row r="2341" spans="2:3">
      <c r="B2341" s="39"/>
      <c r="C2341" s="39"/>
    </row>
    <row r="2342" spans="2:3">
      <c r="B2342" s="39"/>
      <c r="C2342" s="39"/>
    </row>
    <row r="2343" spans="2:3">
      <c r="B2343" s="39"/>
      <c r="C2343" s="39"/>
    </row>
    <row r="2344" spans="2:3">
      <c r="B2344" s="39"/>
      <c r="C2344" s="39"/>
    </row>
    <row r="2345" spans="2:3">
      <c r="B2345" s="39"/>
      <c r="C2345" s="39"/>
    </row>
    <row r="2346" spans="2:3">
      <c r="B2346" s="39"/>
      <c r="C2346" s="39"/>
    </row>
    <row r="2347" spans="2:3">
      <c r="B2347" s="39"/>
      <c r="C2347" s="39"/>
    </row>
    <row r="2348" spans="2:3">
      <c r="B2348" s="39"/>
      <c r="C2348" s="39"/>
    </row>
    <row r="2349" spans="2:3">
      <c r="B2349" s="39"/>
      <c r="C2349" s="39"/>
    </row>
    <row r="2350" spans="2:3">
      <c r="B2350" s="39"/>
      <c r="C2350" s="39"/>
    </row>
    <row r="2351" spans="2:3">
      <c r="B2351" s="39"/>
      <c r="C2351" s="39"/>
    </row>
    <row r="2352" spans="2:3">
      <c r="B2352" s="39"/>
      <c r="C2352" s="39"/>
    </row>
    <row r="2353" spans="2:3">
      <c r="B2353" s="39"/>
      <c r="C2353" s="39"/>
    </row>
    <row r="2354" spans="2:3">
      <c r="B2354" s="39"/>
      <c r="C2354" s="39"/>
    </row>
    <row r="2355" spans="2:3">
      <c r="B2355" s="39"/>
      <c r="C2355" s="39"/>
    </row>
    <row r="2356" spans="2:3">
      <c r="B2356" s="39"/>
      <c r="C2356" s="39"/>
    </row>
    <row r="2357" spans="2:3">
      <c r="B2357" s="39"/>
      <c r="C2357" s="39"/>
    </row>
    <row r="2358" spans="2:3">
      <c r="B2358" s="39"/>
      <c r="C2358" s="39"/>
    </row>
    <row r="2359" spans="2:3">
      <c r="B2359" s="39"/>
      <c r="C2359" s="39"/>
    </row>
    <row r="2360" spans="2:3">
      <c r="B2360" s="39"/>
      <c r="C2360" s="39"/>
    </row>
    <row r="2361" spans="2:3">
      <c r="B2361" s="39"/>
      <c r="C2361" s="39"/>
    </row>
    <row r="2362" spans="2:3">
      <c r="B2362" s="39"/>
      <c r="C2362" s="39"/>
    </row>
    <row r="2363" spans="2:3">
      <c r="B2363" s="39"/>
      <c r="C2363" s="39"/>
    </row>
    <row r="2364" spans="2:3">
      <c r="B2364" s="39"/>
      <c r="C2364" s="39"/>
    </row>
    <row r="2365" spans="2:3">
      <c r="B2365" s="39"/>
      <c r="C2365" s="39"/>
    </row>
    <row r="2366" spans="2:3">
      <c r="B2366" s="39"/>
      <c r="C2366" s="39"/>
    </row>
    <row r="2367" spans="2:3">
      <c r="B2367" s="39"/>
      <c r="C2367" s="39"/>
    </row>
    <row r="2368" spans="2:3">
      <c r="B2368" s="39"/>
      <c r="C2368" s="39"/>
    </row>
    <row r="2369" spans="2:3">
      <c r="B2369" s="39"/>
      <c r="C2369" s="39"/>
    </row>
    <row r="2370" spans="2:3">
      <c r="B2370" s="39"/>
      <c r="C2370" s="39"/>
    </row>
    <row r="2371" spans="2:3">
      <c r="B2371" s="39"/>
      <c r="C2371" s="39"/>
    </row>
    <row r="2372" spans="2:3">
      <c r="B2372" s="39"/>
      <c r="C2372" s="39"/>
    </row>
    <row r="2373" spans="2:3">
      <c r="B2373" s="39"/>
      <c r="C2373" s="39"/>
    </row>
    <row r="2374" spans="2:3">
      <c r="B2374" s="39"/>
      <c r="C2374" s="39"/>
    </row>
    <row r="2375" spans="2:3">
      <c r="B2375" s="39"/>
      <c r="C2375" s="39"/>
    </row>
    <row r="2376" spans="2:3">
      <c r="B2376" s="39"/>
      <c r="C2376" s="39"/>
    </row>
    <row r="2377" spans="2:3">
      <c r="B2377" s="39"/>
      <c r="C2377" s="39"/>
    </row>
    <row r="2378" spans="2:3">
      <c r="B2378" s="39"/>
      <c r="C2378" s="39"/>
    </row>
    <row r="2379" spans="2:3">
      <c r="B2379" s="39"/>
      <c r="C2379" s="39"/>
    </row>
    <row r="2380" spans="2:3">
      <c r="B2380" s="39"/>
      <c r="C2380" s="39"/>
    </row>
    <row r="2381" spans="2:3">
      <c r="B2381" s="39"/>
      <c r="C2381" s="39"/>
    </row>
    <row r="2382" spans="2:3">
      <c r="B2382" s="39"/>
      <c r="C2382" s="39"/>
    </row>
    <row r="2383" spans="2:3">
      <c r="B2383" s="39"/>
      <c r="C2383" s="39"/>
    </row>
    <row r="2384" spans="2:3">
      <c r="B2384" s="39"/>
      <c r="C2384" s="39"/>
    </row>
    <row r="2385" spans="2:3">
      <c r="B2385" s="39"/>
      <c r="C2385" s="39"/>
    </row>
    <row r="2386" spans="2:3">
      <c r="B2386" s="39"/>
      <c r="C2386" s="39"/>
    </row>
    <row r="2387" spans="2:3">
      <c r="B2387" s="39"/>
      <c r="C2387" s="39"/>
    </row>
    <row r="2388" spans="2:3">
      <c r="B2388" s="39"/>
      <c r="C2388" s="39"/>
    </row>
    <row r="2389" spans="2:3">
      <c r="B2389" s="39"/>
      <c r="C2389" s="39"/>
    </row>
    <row r="2390" spans="2:3">
      <c r="B2390" s="39"/>
      <c r="C2390" s="39"/>
    </row>
    <row r="2391" spans="2:3">
      <c r="B2391" s="39"/>
      <c r="C2391" s="39"/>
    </row>
    <row r="2392" spans="2:3">
      <c r="B2392" s="39"/>
      <c r="C2392" s="39"/>
    </row>
    <row r="2393" spans="2:3">
      <c r="B2393" s="39"/>
      <c r="C2393" s="39"/>
    </row>
    <row r="2394" spans="2:3">
      <c r="B2394" s="39"/>
      <c r="C2394" s="39"/>
    </row>
    <row r="2395" spans="2:3">
      <c r="B2395" s="39"/>
      <c r="C2395" s="39"/>
    </row>
    <row r="2396" spans="2:3">
      <c r="B2396" s="39"/>
      <c r="C2396" s="39"/>
    </row>
    <row r="2397" spans="2:3">
      <c r="B2397" s="39"/>
      <c r="C2397" s="39"/>
    </row>
    <row r="2398" spans="2:3">
      <c r="B2398" s="39"/>
      <c r="C2398" s="39"/>
    </row>
    <row r="2399" spans="2:3">
      <c r="B2399" s="39"/>
      <c r="C2399" s="39"/>
    </row>
    <row r="2400" spans="2:3">
      <c r="B2400" s="39"/>
      <c r="C2400" s="39"/>
    </row>
    <row r="2401" spans="2:3">
      <c r="B2401" s="39"/>
      <c r="C2401" s="39"/>
    </row>
    <row r="2402" spans="2:3">
      <c r="B2402" s="39"/>
      <c r="C2402" s="39"/>
    </row>
    <row r="2403" spans="2:3">
      <c r="B2403" s="39"/>
      <c r="C2403" s="39"/>
    </row>
    <row r="2404" spans="2:3">
      <c r="B2404" s="39"/>
      <c r="C2404" s="39"/>
    </row>
    <row r="2405" spans="2:3">
      <c r="B2405" s="39"/>
      <c r="C2405" s="39"/>
    </row>
    <row r="2406" spans="2:3">
      <c r="B2406" s="39"/>
      <c r="C2406" s="39"/>
    </row>
    <row r="2407" spans="2:3">
      <c r="B2407" s="39"/>
      <c r="C2407" s="39"/>
    </row>
    <row r="2408" spans="2:3">
      <c r="B2408" s="39"/>
      <c r="C2408" s="39"/>
    </row>
    <row r="2409" spans="2:3">
      <c r="B2409" s="39"/>
      <c r="C2409" s="39"/>
    </row>
    <row r="2410" spans="2:3">
      <c r="B2410" s="39"/>
      <c r="C2410" s="39"/>
    </row>
    <row r="2411" spans="2:3">
      <c r="B2411" s="39"/>
      <c r="C2411" s="39"/>
    </row>
    <row r="2412" spans="2:3">
      <c r="B2412" s="39"/>
      <c r="C2412" s="39"/>
    </row>
    <row r="2413" spans="2:3">
      <c r="B2413" s="39"/>
      <c r="C2413" s="39"/>
    </row>
    <row r="2414" spans="2:3">
      <c r="B2414" s="39"/>
      <c r="C2414" s="39"/>
    </row>
    <row r="2415" spans="2:3">
      <c r="B2415" s="39"/>
      <c r="C2415" s="39"/>
    </row>
    <row r="2416" spans="2:3">
      <c r="B2416" s="39"/>
      <c r="C2416" s="39"/>
    </row>
    <row r="2417" spans="2:3">
      <c r="B2417" s="39"/>
      <c r="C2417" s="39"/>
    </row>
    <row r="2418" spans="2:3">
      <c r="B2418" s="39"/>
      <c r="C2418" s="39"/>
    </row>
    <row r="2419" spans="2:3">
      <c r="B2419" s="39"/>
      <c r="C2419" s="39"/>
    </row>
    <row r="2420" spans="2:3">
      <c r="B2420" s="39"/>
      <c r="C2420" s="39"/>
    </row>
    <row r="2421" spans="2:3">
      <c r="B2421" s="39"/>
      <c r="C2421" s="39"/>
    </row>
    <row r="2422" spans="2:3">
      <c r="B2422" s="39"/>
      <c r="C2422" s="39"/>
    </row>
    <row r="2423" spans="2:3">
      <c r="B2423" s="39"/>
      <c r="C2423" s="39"/>
    </row>
    <row r="2424" spans="2:3">
      <c r="B2424" s="39"/>
      <c r="C2424" s="39"/>
    </row>
    <row r="2425" spans="2:3">
      <c r="B2425" s="39"/>
      <c r="C2425" s="39"/>
    </row>
    <row r="2426" spans="2:3">
      <c r="B2426" s="39"/>
      <c r="C2426" s="39"/>
    </row>
    <row r="2427" spans="2:3">
      <c r="B2427" s="39"/>
      <c r="C2427" s="39"/>
    </row>
    <row r="2428" spans="2:3">
      <c r="B2428" s="39"/>
      <c r="C2428" s="39"/>
    </row>
    <row r="2429" spans="2:3">
      <c r="B2429" s="39"/>
      <c r="C2429" s="39"/>
    </row>
    <row r="2430" spans="2:3">
      <c r="B2430" s="39"/>
      <c r="C2430" s="39"/>
    </row>
    <row r="2431" spans="2:3">
      <c r="B2431" s="39"/>
      <c r="C2431" s="39"/>
    </row>
    <row r="2432" spans="2:3">
      <c r="B2432" s="39"/>
      <c r="C2432" s="39"/>
    </row>
    <row r="2433" spans="2:3">
      <c r="B2433" s="39"/>
      <c r="C2433" s="39"/>
    </row>
    <row r="2434" spans="2:3">
      <c r="B2434" s="39"/>
      <c r="C2434" s="39"/>
    </row>
    <row r="2435" spans="2:3">
      <c r="B2435" s="39"/>
      <c r="C2435" s="39"/>
    </row>
    <row r="2436" spans="2:3">
      <c r="B2436" s="39"/>
      <c r="C2436" s="39"/>
    </row>
    <row r="2437" spans="2:3">
      <c r="B2437" s="39"/>
      <c r="C2437" s="39"/>
    </row>
    <row r="2438" spans="2:3">
      <c r="B2438" s="39"/>
      <c r="C2438" s="39"/>
    </row>
    <row r="2439" spans="2:3">
      <c r="B2439" s="39"/>
      <c r="C2439" s="39"/>
    </row>
    <row r="2440" spans="2:3">
      <c r="B2440" s="39"/>
      <c r="C2440" s="39"/>
    </row>
    <row r="2441" spans="2:3">
      <c r="B2441" s="39"/>
      <c r="C2441" s="39"/>
    </row>
    <row r="2442" spans="2:3">
      <c r="B2442" s="39"/>
      <c r="C2442" s="39"/>
    </row>
    <row r="2443" spans="2:3">
      <c r="B2443" s="39"/>
      <c r="C2443" s="39"/>
    </row>
    <row r="2444" spans="2:3">
      <c r="B2444" s="39"/>
      <c r="C2444" s="39"/>
    </row>
    <row r="2445" spans="2:3">
      <c r="B2445" s="39"/>
      <c r="C2445" s="39"/>
    </row>
    <row r="2446" spans="2:3">
      <c r="B2446" s="39"/>
      <c r="C2446" s="39"/>
    </row>
    <row r="2447" spans="2:3">
      <c r="B2447" s="39"/>
      <c r="C2447" s="39"/>
    </row>
    <row r="2448" spans="2:3">
      <c r="B2448" s="39"/>
      <c r="C2448" s="39"/>
    </row>
    <row r="2449" spans="2:3">
      <c r="B2449" s="39"/>
      <c r="C2449" s="39"/>
    </row>
    <row r="2450" spans="2:3">
      <c r="B2450" s="39"/>
      <c r="C2450" s="39"/>
    </row>
    <row r="2451" spans="2:3">
      <c r="B2451" s="39"/>
      <c r="C2451" s="39"/>
    </row>
    <row r="2452" spans="2:3">
      <c r="B2452" s="39"/>
      <c r="C2452" s="39"/>
    </row>
    <row r="2453" spans="2:3">
      <c r="B2453" s="39"/>
      <c r="C2453" s="39"/>
    </row>
    <row r="2454" spans="2:3">
      <c r="B2454" s="39"/>
      <c r="C2454" s="39"/>
    </row>
    <row r="2455" spans="2:3">
      <c r="B2455" s="39"/>
      <c r="C2455" s="39"/>
    </row>
    <row r="2456" spans="2:3">
      <c r="B2456" s="39"/>
      <c r="C2456" s="39"/>
    </row>
    <row r="2457" spans="2:3">
      <c r="B2457" s="39"/>
      <c r="C2457" s="39"/>
    </row>
    <row r="2458" spans="2:3">
      <c r="B2458" s="39"/>
      <c r="C2458" s="39"/>
    </row>
    <row r="2459" spans="2:3">
      <c r="B2459" s="39"/>
      <c r="C2459" s="39"/>
    </row>
    <row r="2460" spans="2:3">
      <c r="B2460" s="39"/>
      <c r="C2460" s="39"/>
    </row>
    <row r="2461" spans="2:3">
      <c r="B2461" s="39"/>
      <c r="C2461" s="39"/>
    </row>
    <row r="2462" spans="2:3">
      <c r="B2462" s="39"/>
      <c r="C2462" s="39"/>
    </row>
    <row r="2463" spans="2:3">
      <c r="B2463" s="39"/>
      <c r="C2463" s="39"/>
    </row>
    <row r="2464" spans="2:3">
      <c r="B2464" s="39"/>
      <c r="C2464" s="39"/>
    </row>
    <row r="2465" spans="2:3">
      <c r="B2465" s="39"/>
      <c r="C2465" s="39"/>
    </row>
    <row r="2466" spans="2:3">
      <c r="B2466" s="39"/>
      <c r="C2466" s="39"/>
    </row>
    <row r="2467" spans="2:3">
      <c r="B2467" s="39"/>
      <c r="C2467" s="39"/>
    </row>
    <row r="2468" spans="2:3">
      <c r="B2468" s="39"/>
      <c r="C2468" s="39"/>
    </row>
    <row r="2469" spans="2:3">
      <c r="B2469" s="39"/>
      <c r="C2469" s="39"/>
    </row>
    <row r="2470" spans="2:3">
      <c r="B2470" s="39"/>
      <c r="C2470" s="39"/>
    </row>
    <row r="2471" spans="2:3">
      <c r="B2471" s="39"/>
      <c r="C2471" s="39"/>
    </row>
    <row r="2472" spans="2:3">
      <c r="B2472" s="39"/>
      <c r="C2472" s="39"/>
    </row>
    <row r="2473" spans="2:3">
      <c r="B2473" s="39"/>
      <c r="C2473" s="39"/>
    </row>
    <row r="2474" spans="2:3">
      <c r="B2474" s="39"/>
      <c r="C2474" s="39"/>
    </row>
    <row r="2475" spans="2:3">
      <c r="B2475" s="39"/>
      <c r="C2475" s="39"/>
    </row>
    <row r="2476" spans="2:3">
      <c r="B2476" s="39"/>
      <c r="C2476" s="39"/>
    </row>
    <row r="2477" spans="2:3">
      <c r="B2477" s="39"/>
      <c r="C2477" s="39"/>
    </row>
    <row r="2478" spans="2:3">
      <c r="B2478" s="39"/>
      <c r="C2478" s="39"/>
    </row>
    <row r="2479" spans="2:3">
      <c r="B2479" s="39"/>
      <c r="C2479" s="39"/>
    </row>
    <row r="2480" spans="2:3">
      <c r="B2480" s="39"/>
      <c r="C2480" s="39"/>
    </row>
    <row r="2481" spans="2:3">
      <c r="B2481" s="39"/>
      <c r="C2481" s="39"/>
    </row>
    <row r="2482" spans="2:3">
      <c r="B2482" s="39"/>
      <c r="C2482" s="39"/>
    </row>
    <row r="2483" spans="2:3">
      <c r="B2483" s="39"/>
      <c r="C2483" s="39"/>
    </row>
    <row r="2484" spans="2:3">
      <c r="B2484" s="39"/>
      <c r="C2484" s="39"/>
    </row>
    <row r="2485" spans="2:3">
      <c r="B2485" s="39"/>
      <c r="C2485" s="39"/>
    </row>
    <row r="2486" spans="2:3">
      <c r="B2486" s="39"/>
      <c r="C2486" s="39"/>
    </row>
    <row r="2487" spans="2:3">
      <c r="B2487" s="39"/>
      <c r="C2487" s="39"/>
    </row>
    <row r="2488" spans="2:3">
      <c r="B2488" s="39"/>
      <c r="C2488" s="39"/>
    </row>
    <row r="2489" spans="2:3">
      <c r="B2489" s="39"/>
      <c r="C2489" s="39"/>
    </row>
    <row r="2490" spans="2:3">
      <c r="B2490" s="39"/>
      <c r="C2490" s="39"/>
    </row>
    <row r="2491" spans="2:3">
      <c r="B2491" s="39"/>
      <c r="C2491" s="39"/>
    </row>
    <row r="2492" spans="2:3">
      <c r="B2492" s="39"/>
      <c r="C2492" s="39"/>
    </row>
    <row r="2493" spans="2:3">
      <c r="B2493" s="39"/>
      <c r="C2493" s="39"/>
    </row>
    <row r="2494" spans="2:3">
      <c r="B2494" s="39"/>
      <c r="C2494" s="39"/>
    </row>
    <row r="2495" spans="2:3">
      <c r="B2495" s="39"/>
      <c r="C2495" s="39"/>
    </row>
    <row r="2496" spans="2:3">
      <c r="B2496" s="39"/>
      <c r="C2496" s="39"/>
    </row>
    <row r="2497" spans="2:3">
      <c r="B2497" s="39"/>
      <c r="C2497" s="39"/>
    </row>
    <row r="2498" spans="2:3">
      <c r="B2498" s="39"/>
      <c r="C2498" s="39"/>
    </row>
    <row r="2499" spans="2:3">
      <c r="B2499" s="39"/>
      <c r="C2499" s="39"/>
    </row>
    <row r="2500" spans="2:3">
      <c r="B2500" s="39"/>
      <c r="C2500" s="39"/>
    </row>
    <row r="2501" spans="2:3">
      <c r="B2501" s="39"/>
      <c r="C2501" s="39"/>
    </row>
    <row r="2502" spans="2:3">
      <c r="B2502" s="39"/>
      <c r="C2502" s="39"/>
    </row>
    <row r="2503" spans="2:3">
      <c r="B2503" s="39"/>
      <c r="C2503" s="39"/>
    </row>
    <row r="2504" spans="2:3">
      <c r="B2504" s="39"/>
      <c r="C2504" s="39"/>
    </row>
    <row r="2505" spans="2:3">
      <c r="B2505" s="39"/>
      <c r="C2505" s="39"/>
    </row>
    <row r="2506" spans="2:3">
      <c r="B2506" s="39"/>
      <c r="C2506" s="39"/>
    </row>
    <row r="2507" spans="2:3">
      <c r="B2507" s="39"/>
      <c r="C2507" s="39"/>
    </row>
    <row r="2508" spans="2:3">
      <c r="B2508" s="39"/>
      <c r="C2508" s="39"/>
    </row>
    <row r="2509" spans="2:3">
      <c r="B2509" s="39"/>
      <c r="C2509" s="39"/>
    </row>
    <row r="2510" spans="2:3">
      <c r="B2510" s="39"/>
      <c r="C2510" s="39"/>
    </row>
    <row r="2511" spans="2:3">
      <c r="B2511" s="39"/>
      <c r="C2511" s="39"/>
    </row>
    <row r="2512" spans="2:3">
      <c r="B2512" s="39"/>
      <c r="C2512" s="39"/>
    </row>
    <row r="2513" spans="2:3">
      <c r="B2513" s="39"/>
      <c r="C2513" s="39"/>
    </row>
    <row r="2514" spans="2:3">
      <c r="B2514" s="39"/>
      <c r="C2514" s="39"/>
    </row>
    <row r="2515" spans="2:3">
      <c r="B2515" s="39"/>
      <c r="C2515" s="39"/>
    </row>
    <row r="2516" spans="2:3">
      <c r="B2516" s="39"/>
      <c r="C2516" s="39"/>
    </row>
    <row r="2517" spans="2:3">
      <c r="B2517" s="39"/>
      <c r="C2517" s="39"/>
    </row>
    <row r="2518" spans="2:3">
      <c r="B2518" s="39"/>
      <c r="C2518" s="39"/>
    </row>
    <row r="2519" spans="2:3">
      <c r="B2519" s="39"/>
      <c r="C2519" s="39"/>
    </row>
    <row r="2520" spans="2:3">
      <c r="B2520" s="39"/>
      <c r="C2520" s="39"/>
    </row>
    <row r="2521" spans="2:3">
      <c r="B2521" s="39"/>
      <c r="C2521" s="39"/>
    </row>
    <row r="2522" spans="2:3">
      <c r="B2522" s="39"/>
      <c r="C2522" s="39"/>
    </row>
    <row r="2523" spans="2:3">
      <c r="B2523" s="39"/>
      <c r="C2523" s="39"/>
    </row>
    <row r="2524" spans="2:3">
      <c r="B2524" s="39"/>
      <c r="C2524" s="39"/>
    </row>
    <row r="2525" spans="2:3">
      <c r="B2525" s="39"/>
      <c r="C2525" s="39"/>
    </row>
    <row r="2526" spans="2:3">
      <c r="B2526" s="39"/>
      <c r="C2526" s="39"/>
    </row>
    <row r="2527" spans="2:3">
      <c r="B2527" s="39"/>
      <c r="C2527" s="39"/>
    </row>
    <row r="2528" spans="2:3">
      <c r="B2528" s="39"/>
      <c r="C2528" s="39"/>
    </row>
    <row r="2529" spans="2:3">
      <c r="B2529" s="39"/>
      <c r="C2529" s="39"/>
    </row>
    <row r="2530" spans="2:3">
      <c r="B2530" s="39"/>
      <c r="C2530" s="39"/>
    </row>
    <row r="2531" spans="2:3">
      <c r="B2531" s="39"/>
      <c r="C2531" s="39"/>
    </row>
    <row r="2532" spans="2:3">
      <c r="B2532" s="39"/>
      <c r="C2532" s="39"/>
    </row>
    <row r="2533" spans="2:3">
      <c r="B2533" s="39"/>
      <c r="C2533" s="39"/>
    </row>
    <row r="2534" spans="2:3">
      <c r="B2534" s="39"/>
      <c r="C2534" s="39"/>
    </row>
    <row r="2535" spans="2:3">
      <c r="B2535" s="39"/>
      <c r="C2535" s="39"/>
    </row>
    <row r="2536" spans="2:3">
      <c r="B2536" s="39"/>
      <c r="C2536" s="39"/>
    </row>
    <row r="2537" spans="2:3">
      <c r="B2537" s="39"/>
      <c r="C2537" s="39"/>
    </row>
    <row r="2538" spans="2:3">
      <c r="B2538" s="39"/>
      <c r="C2538" s="39"/>
    </row>
    <row r="2539" spans="2:3">
      <c r="B2539" s="39"/>
      <c r="C2539" s="39"/>
    </row>
    <row r="2540" spans="2:3">
      <c r="B2540" s="39"/>
      <c r="C2540" s="39"/>
    </row>
    <row r="2541" spans="2:3">
      <c r="B2541" s="39"/>
      <c r="C2541" s="39"/>
    </row>
    <row r="2542" spans="2:3">
      <c r="B2542" s="39"/>
      <c r="C2542" s="39"/>
    </row>
    <row r="2543" spans="2:3">
      <c r="B2543" s="39"/>
      <c r="C2543" s="39"/>
    </row>
    <row r="2544" spans="2:3">
      <c r="B2544" s="39"/>
      <c r="C2544" s="39"/>
    </row>
    <row r="2545" spans="2:3">
      <c r="B2545" s="39"/>
      <c r="C2545" s="39"/>
    </row>
    <row r="2546" spans="2:3">
      <c r="B2546" s="39"/>
      <c r="C2546" s="39"/>
    </row>
    <row r="2547" spans="2:3">
      <c r="B2547" s="39"/>
      <c r="C2547" s="39"/>
    </row>
    <row r="2548" spans="2:3">
      <c r="B2548" s="39"/>
      <c r="C2548" s="39"/>
    </row>
    <row r="2549" spans="2:3">
      <c r="B2549" s="39"/>
      <c r="C2549" s="39"/>
    </row>
    <row r="2550" spans="2:3">
      <c r="B2550" s="39"/>
      <c r="C2550" s="39"/>
    </row>
    <row r="2551" spans="2:3">
      <c r="B2551" s="39"/>
      <c r="C2551" s="39"/>
    </row>
    <row r="2552" spans="2:3">
      <c r="B2552" s="39"/>
      <c r="C2552" s="39"/>
    </row>
    <row r="2553" spans="2:3">
      <c r="B2553" s="39"/>
      <c r="C2553" s="39"/>
    </row>
    <row r="2554" spans="2:3">
      <c r="B2554" s="39"/>
      <c r="C2554" s="39"/>
    </row>
    <row r="2555" spans="2:3">
      <c r="B2555" s="39"/>
      <c r="C2555" s="39"/>
    </row>
    <row r="2556" spans="2:3">
      <c r="B2556" s="39"/>
      <c r="C2556" s="39"/>
    </row>
    <row r="2557" spans="2:3">
      <c r="B2557" s="39"/>
      <c r="C2557" s="39"/>
    </row>
    <row r="2558" spans="2:3">
      <c r="B2558" s="39"/>
      <c r="C2558" s="39"/>
    </row>
    <row r="2559" spans="2:3">
      <c r="B2559" s="39"/>
      <c r="C2559" s="39"/>
    </row>
    <row r="2560" spans="2:3">
      <c r="B2560" s="39"/>
      <c r="C2560" s="39"/>
    </row>
    <row r="2561" spans="2:3">
      <c r="B2561" s="39"/>
      <c r="C2561" s="39"/>
    </row>
    <row r="2562" spans="2:3">
      <c r="B2562" s="39"/>
      <c r="C2562" s="39"/>
    </row>
    <row r="2563" spans="2:3">
      <c r="B2563" s="39"/>
      <c r="C2563" s="39"/>
    </row>
    <row r="2564" spans="2:3">
      <c r="B2564" s="39"/>
      <c r="C2564" s="39"/>
    </row>
    <row r="2565" spans="2:3">
      <c r="B2565" s="39"/>
      <c r="C2565" s="39"/>
    </row>
    <row r="2566" spans="2:3">
      <c r="B2566" s="39"/>
      <c r="C2566" s="39"/>
    </row>
    <row r="2567" spans="2:3">
      <c r="B2567" s="39"/>
      <c r="C2567" s="39"/>
    </row>
    <row r="2568" spans="2:3">
      <c r="B2568" s="39"/>
      <c r="C2568" s="39"/>
    </row>
    <row r="2569" spans="2:3">
      <c r="B2569" s="39"/>
      <c r="C2569" s="39"/>
    </row>
    <row r="2570" spans="2:3">
      <c r="B2570" s="39"/>
      <c r="C2570" s="39"/>
    </row>
    <row r="2571" spans="2:3">
      <c r="B2571" s="39"/>
      <c r="C2571" s="39"/>
    </row>
    <row r="2572" spans="2:3">
      <c r="B2572" s="39"/>
      <c r="C2572" s="39"/>
    </row>
    <row r="2573" spans="2:3">
      <c r="B2573" s="39"/>
      <c r="C2573" s="39"/>
    </row>
    <row r="2574" spans="2:3">
      <c r="B2574" s="39"/>
      <c r="C2574" s="39"/>
    </row>
    <row r="2575" spans="2:3">
      <c r="B2575" s="39"/>
      <c r="C2575" s="39"/>
    </row>
    <row r="2576" spans="2:3">
      <c r="B2576" s="39"/>
      <c r="C2576" s="39"/>
    </row>
    <row r="2577" spans="2:3">
      <c r="B2577" s="39"/>
      <c r="C2577" s="39"/>
    </row>
    <row r="2578" spans="2:3">
      <c r="B2578" s="39"/>
      <c r="C2578" s="39"/>
    </row>
    <row r="2579" spans="2:3">
      <c r="B2579" s="39"/>
      <c r="C2579" s="39"/>
    </row>
    <row r="2580" spans="2:3">
      <c r="B2580" s="39"/>
      <c r="C2580" s="39"/>
    </row>
    <row r="2581" spans="2:3">
      <c r="B2581" s="39"/>
      <c r="C2581" s="39"/>
    </row>
    <row r="2582" spans="2:3">
      <c r="B2582" s="39"/>
      <c r="C2582" s="39"/>
    </row>
    <row r="2583" spans="2:3">
      <c r="B2583" s="39"/>
      <c r="C2583" s="39"/>
    </row>
    <row r="2584" spans="2:3">
      <c r="B2584" s="39"/>
      <c r="C2584" s="39"/>
    </row>
    <row r="2585" spans="2:3">
      <c r="B2585" s="39"/>
      <c r="C2585" s="39"/>
    </row>
    <row r="2586" spans="2:3">
      <c r="B2586" s="39"/>
      <c r="C2586" s="39"/>
    </row>
    <row r="2587" spans="2:3">
      <c r="B2587" s="39"/>
      <c r="C2587" s="39"/>
    </row>
    <row r="2588" spans="2:3">
      <c r="B2588" s="39"/>
      <c r="C2588" s="39"/>
    </row>
    <row r="2589" spans="2:3">
      <c r="B2589" s="39"/>
      <c r="C2589" s="39"/>
    </row>
    <row r="2590" spans="2:3">
      <c r="B2590" s="39"/>
      <c r="C2590" s="39"/>
    </row>
    <row r="2591" spans="2:3">
      <c r="B2591" s="39"/>
      <c r="C2591" s="39"/>
    </row>
    <row r="2592" spans="2:3">
      <c r="B2592" s="39"/>
      <c r="C2592" s="39"/>
    </row>
    <row r="2593" spans="2:3">
      <c r="B2593" s="39"/>
      <c r="C2593" s="39"/>
    </row>
    <row r="2594" spans="2:3">
      <c r="B2594" s="39"/>
      <c r="C2594" s="39"/>
    </row>
    <row r="2595" spans="2:3">
      <c r="B2595" s="39"/>
      <c r="C2595" s="39"/>
    </row>
    <row r="2596" spans="2:3">
      <c r="B2596" s="39"/>
      <c r="C2596" s="39"/>
    </row>
    <row r="2597" spans="2:3">
      <c r="B2597" s="39"/>
      <c r="C2597" s="39"/>
    </row>
    <row r="2598" spans="2:3">
      <c r="B2598" s="39"/>
      <c r="C2598" s="39"/>
    </row>
    <row r="2599" spans="2:3">
      <c r="B2599" s="39"/>
      <c r="C2599" s="39"/>
    </row>
    <row r="2600" spans="2:3">
      <c r="B2600" s="39"/>
      <c r="C2600" s="39"/>
    </row>
    <row r="2601" spans="2:3">
      <c r="B2601" s="39"/>
      <c r="C2601" s="39"/>
    </row>
    <row r="2602" spans="2:3">
      <c r="B2602" s="39"/>
      <c r="C2602" s="39"/>
    </row>
    <row r="2603" spans="2:3">
      <c r="B2603" s="39"/>
      <c r="C2603" s="39"/>
    </row>
    <row r="2604" spans="2:3">
      <c r="B2604" s="39"/>
      <c r="C2604" s="39"/>
    </row>
    <row r="2605" spans="2:3">
      <c r="B2605" s="39"/>
      <c r="C2605" s="39"/>
    </row>
    <row r="2606" spans="2:3">
      <c r="B2606" s="39"/>
      <c r="C2606" s="39"/>
    </row>
    <row r="2607" spans="2:3">
      <c r="B2607" s="39"/>
      <c r="C2607" s="39"/>
    </row>
    <row r="2608" spans="2:3">
      <c r="B2608" s="39"/>
      <c r="C2608" s="39"/>
    </row>
    <row r="2609" spans="2:3">
      <c r="B2609" s="39"/>
      <c r="C2609" s="39"/>
    </row>
    <row r="2610" spans="2:3">
      <c r="B2610" s="39"/>
      <c r="C2610" s="39"/>
    </row>
    <row r="2611" spans="2:3">
      <c r="B2611" s="39"/>
      <c r="C2611" s="39"/>
    </row>
    <row r="2612" spans="2:3">
      <c r="B2612" s="39"/>
      <c r="C2612" s="39"/>
    </row>
    <row r="2613" spans="2:3">
      <c r="B2613" s="39"/>
      <c r="C2613" s="39"/>
    </row>
    <row r="2614" spans="2:3">
      <c r="B2614" s="39"/>
      <c r="C2614" s="39"/>
    </row>
    <row r="2615" spans="2:3">
      <c r="B2615" s="39"/>
      <c r="C2615" s="39"/>
    </row>
    <row r="2616" spans="2:3">
      <c r="B2616" s="39"/>
      <c r="C2616" s="39"/>
    </row>
    <row r="2617" spans="2:3">
      <c r="B2617" s="39"/>
      <c r="C2617" s="39"/>
    </row>
    <row r="2618" spans="2:3">
      <c r="B2618" s="39"/>
      <c r="C2618" s="39"/>
    </row>
    <row r="2619" spans="2:3">
      <c r="B2619" s="39"/>
      <c r="C2619" s="39"/>
    </row>
    <row r="2620" spans="2:3">
      <c r="B2620" s="39"/>
      <c r="C2620" s="39"/>
    </row>
    <row r="2621" spans="2:3">
      <c r="B2621" s="39"/>
      <c r="C2621" s="39"/>
    </row>
    <row r="2622" spans="2:3">
      <c r="B2622" s="39"/>
      <c r="C2622" s="39"/>
    </row>
    <row r="2623" spans="2:3">
      <c r="B2623" s="39"/>
      <c r="C2623" s="39"/>
    </row>
    <row r="2624" spans="2:3">
      <c r="B2624" s="39"/>
      <c r="C2624" s="39"/>
    </row>
    <row r="2625" spans="2:3">
      <c r="B2625" s="39"/>
      <c r="C2625" s="39"/>
    </row>
    <row r="2626" spans="2:3">
      <c r="B2626" s="39"/>
      <c r="C2626" s="39"/>
    </row>
    <row r="2627" spans="2:3">
      <c r="B2627" s="39"/>
      <c r="C2627" s="39"/>
    </row>
    <row r="2628" spans="2:3">
      <c r="B2628" s="39"/>
      <c r="C2628" s="39"/>
    </row>
    <row r="2629" spans="2:3">
      <c r="B2629" s="39"/>
      <c r="C2629" s="39"/>
    </row>
    <row r="2630" spans="2:3">
      <c r="B2630" s="39"/>
      <c r="C2630" s="39"/>
    </row>
    <row r="2631" spans="2:3">
      <c r="B2631" s="39"/>
      <c r="C2631" s="39"/>
    </row>
    <row r="2632" spans="2:3">
      <c r="B2632" s="39"/>
      <c r="C2632" s="39"/>
    </row>
    <row r="2633" spans="2:3">
      <c r="B2633" s="39"/>
      <c r="C2633" s="39"/>
    </row>
    <row r="2634" spans="2:3">
      <c r="B2634" s="39"/>
      <c r="C2634" s="39"/>
    </row>
    <row r="2635" spans="2:3">
      <c r="B2635" s="39"/>
      <c r="C2635" s="39"/>
    </row>
    <row r="2636" spans="2:3">
      <c r="B2636" s="39"/>
      <c r="C2636" s="39"/>
    </row>
    <row r="2637" spans="2:3">
      <c r="B2637" s="39"/>
      <c r="C2637" s="39"/>
    </row>
    <row r="2638" spans="2:3">
      <c r="B2638" s="39"/>
      <c r="C2638" s="39"/>
    </row>
    <row r="2639" spans="2:3">
      <c r="B2639" s="39"/>
      <c r="C2639" s="39"/>
    </row>
    <row r="2640" spans="2:3">
      <c r="B2640" s="39"/>
      <c r="C2640" s="39"/>
    </row>
    <row r="2641" spans="2:3">
      <c r="B2641" s="39"/>
      <c r="C2641" s="39"/>
    </row>
    <row r="2642" spans="2:3">
      <c r="B2642" s="39"/>
      <c r="C2642" s="39"/>
    </row>
    <row r="2643" spans="2:3">
      <c r="B2643" s="39"/>
      <c r="C2643" s="39"/>
    </row>
    <row r="2644" spans="2:3">
      <c r="B2644" s="39"/>
      <c r="C2644" s="39"/>
    </row>
    <row r="2645" spans="2:3">
      <c r="B2645" s="39"/>
      <c r="C2645" s="39"/>
    </row>
    <row r="2646" spans="2:3">
      <c r="B2646" s="39"/>
      <c r="C2646" s="39"/>
    </row>
    <row r="2647" spans="2:3">
      <c r="B2647" s="39"/>
      <c r="C2647" s="39"/>
    </row>
    <row r="2648" spans="2:3">
      <c r="B2648" s="39"/>
      <c r="C2648" s="39"/>
    </row>
    <row r="2649" spans="2:3">
      <c r="B2649" s="39"/>
      <c r="C2649" s="39"/>
    </row>
    <row r="2650" spans="2:3">
      <c r="B2650" s="39"/>
      <c r="C2650" s="39"/>
    </row>
    <row r="2651" spans="2:3">
      <c r="B2651" s="39"/>
      <c r="C2651" s="39"/>
    </row>
    <row r="2652" spans="2:3">
      <c r="B2652" s="39"/>
      <c r="C2652" s="39"/>
    </row>
    <row r="2653" spans="2:3">
      <c r="B2653" s="39"/>
      <c r="C2653" s="39"/>
    </row>
    <row r="2654" spans="2:3">
      <c r="B2654" s="39"/>
      <c r="C2654" s="39"/>
    </row>
    <row r="2655" spans="2:3">
      <c r="B2655" s="39"/>
      <c r="C2655" s="39"/>
    </row>
    <row r="2656" spans="2:3">
      <c r="B2656" s="39"/>
      <c r="C2656" s="39"/>
    </row>
    <row r="2657" spans="2:3">
      <c r="B2657" s="39"/>
      <c r="C2657" s="39"/>
    </row>
    <row r="2658" spans="2:3">
      <c r="B2658" s="39"/>
      <c r="C2658" s="39"/>
    </row>
    <row r="2659" spans="2:3">
      <c r="B2659" s="39"/>
      <c r="C2659" s="39"/>
    </row>
    <row r="2660" spans="2:3">
      <c r="B2660" s="39"/>
      <c r="C2660" s="39"/>
    </row>
    <row r="2661" spans="2:3">
      <c r="B2661" s="39"/>
      <c r="C2661" s="39"/>
    </row>
    <row r="2662" spans="2:3">
      <c r="B2662" s="39"/>
      <c r="C2662" s="39"/>
    </row>
    <row r="2663" spans="2:3">
      <c r="B2663" s="39"/>
      <c r="C2663" s="39"/>
    </row>
    <row r="2664" spans="2:3">
      <c r="B2664" s="39"/>
      <c r="C2664" s="39"/>
    </row>
    <row r="2665" spans="2:3">
      <c r="B2665" s="39"/>
      <c r="C2665" s="39"/>
    </row>
    <row r="2666" spans="2:3">
      <c r="B2666" s="39"/>
      <c r="C2666" s="39"/>
    </row>
    <row r="2667" spans="2:3">
      <c r="B2667" s="39"/>
      <c r="C2667" s="39"/>
    </row>
    <row r="2668" spans="2:3">
      <c r="B2668" s="39"/>
      <c r="C2668" s="39"/>
    </row>
    <row r="2669" spans="2:3">
      <c r="B2669" s="39"/>
      <c r="C2669" s="39"/>
    </row>
    <row r="2670" spans="2:3">
      <c r="B2670" s="39"/>
      <c r="C2670" s="39"/>
    </row>
    <row r="2671" spans="2:3">
      <c r="B2671" s="39"/>
      <c r="C2671" s="39"/>
    </row>
    <row r="2672" spans="2:3">
      <c r="B2672" s="39"/>
      <c r="C2672" s="39"/>
    </row>
    <row r="2673" spans="2:3">
      <c r="B2673" s="39"/>
      <c r="C2673" s="39"/>
    </row>
    <row r="2674" spans="2:3">
      <c r="B2674" s="39"/>
      <c r="C2674" s="39"/>
    </row>
    <row r="2675" spans="2:3">
      <c r="B2675" s="39"/>
      <c r="C2675" s="39"/>
    </row>
    <row r="2676" spans="2:3">
      <c r="B2676" s="39"/>
      <c r="C2676" s="39"/>
    </row>
    <row r="2677" spans="2:3">
      <c r="B2677" s="39"/>
      <c r="C2677" s="39"/>
    </row>
    <row r="2678" spans="2:3">
      <c r="B2678" s="39"/>
      <c r="C2678" s="39"/>
    </row>
    <row r="2679" spans="2:3">
      <c r="B2679" s="39"/>
      <c r="C2679" s="39"/>
    </row>
    <row r="2680" spans="2:3">
      <c r="B2680" s="39"/>
      <c r="C2680" s="39"/>
    </row>
    <row r="2681" spans="2:3">
      <c r="B2681" s="39"/>
      <c r="C2681" s="39"/>
    </row>
    <row r="2682" spans="2:3">
      <c r="B2682" s="39"/>
      <c r="C2682" s="39"/>
    </row>
    <row r="2683" spans="2:3">
      <c r="B2683" s="39"/>
      <c r="C2683" s="39"/>
    </row>
    <row r="2684" spans="2:3">
      <c r="B2684" s="39"/>
      <c r="C2684" s="39"/>
    </row>
    <row r="2685" spans="2:3">
      <c r="B2685" s="39"/>
      <c r="C2685" s="39"/>
    </row>
    <row r="2686" spans="2:3">
      <c r="B2686" s="39"/>
      <c r="C2686" s="39"/>
    </row>
    <row r="2687" spans="2:3">
      <c r="B2687" s="39"/>
      <c r="C2687" s="39"/>
    </row>
    <row r="2688" spans="2:3">
      <c r="B2688" s="39"/>
      <c r="C2688" s="39"/>
    </row>
    <row r="2689" spans="2:3">
      <c r="B2689" s="39"/>
      <c r="C2689" s="39"/>
    </row>
    <row r="2690" spans="2:3">
      <c r="B2690" s="39"/>
      <c r="C2690" s="39"/>
    </row>
    <row r="2691" spans="2:3">
      <c r="B2691" s="39"/>
      <c r="C2691" s="39"/>
    </row>
    <row r="2692" spans="2:3">
      <c r="B2692" s="39"/>
      <c r="C2692" s="39"/>
    </row>
    <row r="2693" spans="2:3">
      <c r="B2693" s="39"/>
      <c r="C2693" s="39"/>
    </row>
    <row r="2694" spans="2:3">
      <c r="B2694" s="39"/>
      <c r="C2694" s="39"/>
    </row>
    <row r="2695" spans="2:3">
      <c r="B2695" s="39"/>
      <c r="C2695" s="39"/>
    </row>
    <row r="2696" spans="2:3">
      <c r="B2696" s="39"/>
      <c r="C2696" s="39"/>
    </row>
    <row r="2697" spans="2:3">
      <c r="B2697" s="39"/>
      <c r="C2697" s="39"/>
    </row>
    <row r="2698" spans="2:3">
      <c r="B2698" s="39"/>
      <c r="C2698" s="39"/>
    </row>
    <row r="2699" spans="2:3">
      <c r="B2699" s="39"/>
      <c r="C2699" s="39"/>
    </row>
    <row r="2700" spans="2:3">
      <c r="B2700" s="39"/>
      <c r="C2700" s="39"/>
    </row>
    <row r="2701" spans="2:3">
      <c r="B2701" s="39"/>
      <c r="C2701" s="39"/>
    </row>
    <row r="2702" spans="2:3">
      <c r="B2702" s="39"/>
      <c r="C2702" s="39"/>
    </row>
    <row r="2703" spans="2:3">
      <c r="B2703" s="39"/>
      <c r="C2703" s="39"/>
    </row>
    <row r="2704" spans="2:3">
      <c r="B2704" s="39"/>
      <c r="C2704" s="39"/>
    </row>
    <row r="2705" spans="2:3">
      <c r="B2705" s="39"/>
      <c r="C2705" s="39"/>
    </row>
    <row r="2706" spans="2:3">
      <c r="B2706" s="39"/>
      <c r="C2706" s="39"/>
    </row>
    <row r="2707" spans="2:3">
      <c r="B2707" s="39"/>
      <c r="C2707" s="39"/>
    </row>
    <row r="2708" spans="2:3">
      <c r="B2708" s="39"/>
      <c r="C2708" s="39"/>
    </row>
    <row r="2709" spans="2:3">
      <c r="B2709" s="39"/>
      <c r="C2709" s="39"/>
    </row>
    <row r="2710" spans="2:3">
      <c r="B2710" s="39"/>
      <c r="C2710" s="39"/>
    </row>
    <row r="2711" spans="2:3">
      <c r="B2711" s="39"/>
      <c r="C2711" s="39"/>
    </row>
    <row r="2712" spans="2:3">
      <c r="B2712" s="39"/>
      <c r="C2712" s="39"/>
    </row>
    <row r="2713" spans="2:3">
      <c r="B2713" s="39"/>
      <c r="C2713" s="39"/>
    </row>
    <row r="2714" spans="2:3">
      <c r="B2714" s="39"/>
      <c r="C2714" s="39"/>
    </row>
    <row r="2715" spans="2:3">
      <c r="B2715" s="39"/>
      <c r="C2715" s="39"/>
    </row>
    <row r="2716" spans="2:3">
      <c r="B2716" s="39"/>
      <c r="C2716" s="39"/>
    </row>
    <row r="2717" spans="2:3">
      <c r="B2717" s="39"/>
      <c r="C2717" s="39"/>
    </row>
    <row r="2718" spans="2:3">
      <c r="B2718" s="39"/>
      <c r="C2718" s="39"/>
    </row>
    <row r="2719" spans="2:3">
      <c r="B2719" s="39"/>
      <c r="C2719" s="39"/>
    </row>
    <row r="2720" spans="2:3">
      <c r="B2720" s="39"/>
      <c r="C2720" s="39"/>
    </row>
    <row r="2721" spans="2:3">
      <c r="B2721" s="39"/>
      <c r="C2721" s="39"/>
    </row>
    <row r="2722" spans="2:3">
      <c r="B2722" s="39"/>
      <c r="C2722" s="39"/>
    </row>
    <row r="2723" spans="2:3">
      <c r="B2723" s="39"/>
      <c r="C2723" s="39"/>
    </row>
    <row r="2724" spans="2:3">
      <c r="B2724" s="39"/>
      <c r="C2724" s="39"/>
    </row>
    <row r="2725" spans="2:3">
      <c r="B2725" s="39"/>
      <c r="C2725" s="39"/>
    </row>
    <row r="2726" spans="2:3">
      <c r="B2726" s="39"/>
      <c r="C2726" s="39"/>
    </row>
    <row r="2727" spans="2:3">
      <c r="B2727" s="39"/>
      <c r="C2727" s="39"/>
    </row>
    <row r="2728" spans="2:3">
      <c r="B2728" s="39"/>
      <c r="C2728" s="39"/>
    </row>
    <row r="2729" spans="2:3">
      <c r="B2729" s="39"/>
      <c r="C2729" s="39"/>
    </row>
    <row r="2730" spans="2:3">
      <c r="B2730" s="39"/>
      <c r="C2730" s="39"/>
    </row>
    <row r="2731" spans="2:3">
      <c r="B2731" s="39"/>
      <c r="C2731" s="39"/>
    </row>
    <row r="2732" spans="2:3">
      <c r="B2732" s="39"/>
      <c r="C2732" s="39"/>
    </row>
    <row r="2733" spans="2:3">
      <c r="B2733" s="39"/>
      <c r="C2733" s="39"/>
    </row>
    <row r="2734" spans="2:3">
      <c r="B2734" s="39"/>
      <c r="C2734" s="39"/>
    </row>
    <row r="2735" spans="2:3">
      <c r="B2735" s="39"/>
      <c r="C2735" s="39"/>
    </row>
    <row r="2736" spans="2:3">
      <c r="B2736" s="39"/>
      <c r="C2736" s="39"/>
    </row>
    <row r="2737" spans="2:3">
      <c r="B2737" s="39"/>
      <c r="C2737" s="39"/>
    </row>
    <row r="2738" spans="2:3">
      <c r="B2738" s="39"/>
      <c r="C2738" s="39"/>
    </row>
    <row r="2739" spans="2:3">
      <c r="B2739" s="39"/>
      <c r="C2739" s="39"/>
    </row>
    <row r="2740" spans="2:3">
      <c r="B2740" s="39"/>
      <c r="C2740" s="39"/>
    </row>
    <row r="2741" spans="2:3">
      <c r="B2741" s="39"/>
      <c r="C2741" s="39"/>
    </row>
    <row r="2742" spans="2:3">
      <c r="B2742" s="39"/>
      <c r="C2742" s="39"/>
    </row>
    <row r="2743" spans="2:3">
      <c r="B2743" s="39"/>
      <c r="C2743" s="39"/>
    </row>
    <row r="2744" spans="2:3">
      <c r="B2744" s="39"/>
      <c r="C2744" s="39"/>
    </row>
    <row r="2745" spans="2:3">
      <c r="B2745" s="39"/>
      <c r="C2745" s="39"/>
    </row>
    <row r="2746" spans="2:3">
      <c r="B2746" s="39"/>
      <c r="C2746" s="39"/>
    </row>
    <row r="2747" spans="2:3">
      <c r="B2747" s="39"/>
      <c r="C2747" s="39"/>
    </row>
    <row r="2748" spans="2:3">
      <c r="B2748" s="39"/>
      <c r="C2748" s="39"/>
    </row>
    <row r="2749" spans="2:3">
      <c r="B2749" s="39"/>
      <c r="C2749" s="39"/>
    </row>
    <row r="2750" spans="2:3">
      <c r="B2750" s="39"/>
      <c r="C2750" s="39"/>
    </row>
    <row r="2751" spans="2:3">
      <c r="B2751" s="39"/>
      <c r="C2751" s="39"/>
    </row>
    <row r="2752" spans="2:3">
      <c r="B2752" s="39"/>
      <c r="C2752" s="39"/>
    </row>
    <row r="2753" spans="2:3">
      <c r="B2753" s="39"/>
      <c r="C2753" s="39"/>
    </row>
    <row r="2754" spans="2:3">
      <c r="B2754" s="39"/>
      <c r="C2754" s="39"/>
    </row>
    <row r="2755" spans="2:3">
      <c r="B2755" s="39"/>
      <c r="C2755" s="39"/>
    </row>
    <row r="2756" spans="2:3">
      <c r="B2756" s="39"/>
      <c r="C2756" s="39"/>
    </row>
    <row r="2757" spans="2:3">
      <c r="B2757" s="39"/>
      <c r="C2757" s="39"/>
    </row>
    <row r="2758" spans="2:3">
      <c r="B2758" s="39"/>
      <c r="C2758" s="39"/>
    </row>
    <row r="2759" spans="2:3">
      <c r="B2759" s="39"/>
      <c r="C2759" s="39"/>
    </row>
    <row r="2760" spans="2:3">
      <c r="B2760" s="39"/>
      <c r="C2760" s="39"/>
    </row>
    <row r="2761" spans="2:3">
      <c r="B2761" s="39"/>
      <c r="C2761" s="39"/>
    </row>
    <row r="2762" spans="2:3">
      <c r="B2762" s="39"/>
      <c r="C2762" s="39"/>
    </row>
    <row r="2763" spans="2:3">
      <c r="B2763" s="39"/>
      <c r="C2763" s="39"/>
    </row>
    <row r="2764" spans="2:3">
      <c r="B2764" s="39"/>
      <c r="C2764" s="39"/>
    </row>
    <row r="2765" spans="2:3">
      <c r="B2765" s="39"/>
      <c r="C2765" s="39"/>
    </row>
    <row r="2766" spans="2:3">
      <c r="B2766" s="39"/>
      <c r="C2766" s="39"/>
    </row>
    <row r="2767" spans="2:3">
      <c r="B2767" s="39"/>
      <c r="C2767" s="39"/>
    </row>
    <row r="2768" spans="2:3">
      <c r="B2768" s="39"/>
      <c r="C2768" s="39"/>
    </row>
    <row r="2769" spans="2:3">
      <c r="B2769" s="39"/>
      <c r="C2769" s="39"/>
    </row>
    <row r="2770" spans="2:3">
      <c r="B2770" s="39"/>
      <c r="C2770" s="39"/>
    </row>
    <row r="2771" spans="2:3">
      <c r="B2771" s="39"/>
      <c r="C2771" s="39"/>
    </row>
    <row r="2772" spans="2:3">
      <c r="B2772" s="39"/>
      <c r="C2772" s="39"/>
    </row>
    <row r="2773" spans="2:3">
      <c r="B2773" s="39"/>
      <c r="C2773" s="39"/>
    </row>
    <row r="2774" spans="2:3">
      <c r="B2774" s="39"/>
      <c r="C2774" s="39"/>
    </row>
    <row r="2775" spans="2:3">
      <c r="B2775" s="39"/>
      <c r="C2775" s="39"/>
    </row>
    <row r="2776" spans="2:3">
      <c r="B2776" s="39"/>
      <c r="C2776" s="39"/>
    </row>
    <row r="2777" spans="2:3">
      <c r="B2777" s="39"/>
      <c r="C2777" s="39"/>
    </row>
    <row r="2778" spans="2:3">
      <c r="B2778" s="39"/>
      <c r="C2778" s="39"/>
    </row>
    <row r="2779" spans="2:3">
      <c r="B2779" s="39"/>
      <c r="C2779" s="39"/>
    </row>
    <row r="2780" spans="2:3">
      <c r="B2780" s="39"/>
      <c r="C2780" s="39"/>
    </row>
    <row r="2781" spans="2:3">
      <c r="B2781" s="39"/>
      <c r="C2781" s="39"/>
    </row>
    <row r="2782" spans="2:3">
      <c r="B2782" s="39"/>
      <c r="C2782" s="39"/>
    </row>
    <row r="2783" spans="2:3">
      <c r="B2783" s="39"/>
      <c r="C2783" s="39"/>
    </row>
    <row r="2784" spans="2:3">
      <c r="B2784" s="39"/>
      <c r="C2784" s="39"/>
    </row>
    <row r="2785" spans="2:3">
      <c r="B2785" s="39"/>
      <c r="C2785" s="39"/>
    </row>
    <row r="2786" spans="2:3">
      <c r="B2786" s="39"/>
      <c r="C2786" s="39"/>
    </row>
    <row r="2787" spans="2:3">
      <c r="B2787" s="39"/>
      <c r="C2787" s="39"/>
    </row>
    <row r="2788" spans="2:3">
      <c r="B2788" s="39"/>
      <c r="C2788" s="39"/>
    </row>
    <row r="2789" spans="2:3">
      <c r="B2789" s="39"/>
      <c r="C2789" s="39"/>
    </row>
    <row r="2790" spans="2:3">
      <c r="B2790" s="39"/>
      <c r="C2790" s="39"/>
    </row>
    <row r="2791" spans="2:3">
      <c r="B2791" s="39"/>
      <c r="C2791" s="39"/>
    </row>
    <row r="2792" spans="2:3">
      <c r="B2792" s="39"/>
      <c r="C2792" s="39"/>
    </row>
    <row r="2793" spans="2:3">
      <c r="B2793" s="39"/>
      <c r="C2793" s="39"/>
    </row>
    <row r="2794" spans="2:3">
      <c r="B2794" s="39"/>
      <c r="C2794" s="39"/>
    </row>
    <row r="2795" spans="2:3">
      <c r="B2795" s="39"/>
      <c r="C2795" s="39"/>
    </row>
    <row r="2796" spans="2:3">
      <c r="B2796" s="39"/>
      <c r="C2796" s="39"/>
    </row>
    <row r="2797" spans="2:3">
      <c r="B2797" s="39"/>
      <c r="C2797" s="39"/>
    </row>
    <row r="2798" spans="2:3">
      <c r="B2798" s="39"/>
      <c r="C2798" s="39"/>
    </row>
    <row r="2799" spans="2:3">
      <c r="B2799" s="39"/>
      <c r="C2799" s="39"/>
    </row>
    <row r="2800" spans="2:3">
      <c r="B2800" s="39"/>
      <c r="C2800" s="39"/>
    </row>
    <row r="2801" spans="2:3">
      <c r="B2801" s="39"/>
      <c r="C2801" s="39"/>
    </row>
    <row r="2802" spans="2:3">
      <c r="B2802" s="39"/>
      <c r="C2802" s="39"/>
    </row>
    <row r="2803" spans="2:3">
      <c r="B2803" s="39"/>
      <c r="C2803" s="39"/>
    </row>
    <row r="2804" spans="2:3">
      <c r="B2804" s="39"/>
      <c r="C2804" s="39"/>
    </row>
    <row r="2805" spans="2:3">
      <c r="B2805" s="39"/>
      <c r="C2805" s="39"/>
    </row>
    <row r="2806" spans="2:3">
      <c r="B2806" s="39"/>
      <c r="C2806" s="39"/>
    </row>
    <row r="2807" spans="2:3">
      <c r="B2807" s="39"/>
      <c r="C2807" s="39"/>
    </row>
    <row r="2808" spans="2:3">
      <c r="B2808" s="39"/>
      <c r="C2808" s="39"/>
    </row>
    <row r="2809" spans="2:3">
      <c r="B2809" s="39"/>
      <c r="C2809" s="39"/>
    </row>
    <row r="2810" spans="2:3">
      <c r="B2810" s="39"/>
      <c r="C2810" s="39"/>
    </row>
    <row r="2811" spans="2:3">
      <c r="B2811" s="39"/>
      <c r="C2811" s="39"/>
    </row>
    <row r="2812" spans="2:3">
      <c r="B2812" s="39"/>
      <c r="C2812" s="39"/>
    </row>
    <row r="2813" spans="2:3">
      <c r="B2813" s="39"/>
      <c r="C2813" s="39"/>
    </row>
    <row r="2814" spans="2:3">
      <c r="B2814" s="39"/>
      <c r="C2814" s="39"/>
    </row>
    <row r="2815" spans="2:3">
      <c r="B2815" s="39"/>
      <c r="C2815" s="39"/>
    </row>
    <row r="2816" spans="2:3">
      <c r="B2816" s="39"/>
      <c r="C2816" s="39"/>
    </row>
    <row r="2817" spans="2:3">
      <c r="B2817" s="39"/>
      <c r="C2817" s="39"/>
    </row>
    <row r="2818" spans="2:3">
      <c r="B2818" s="39"/>
      <c r="C2818" s="39"/>
    </row>
    <row r="2819" spans="2:3">
      <c r="B2819" s="39"/>
      <c r="C2819" s="39"/>
    </row>
    <row r="2820" spans="2:3">
      <c r="B2820" s="39"/>
      <c r="C2820" s="39"/>
    </row>
    <row r="2821" spans="2:3">
      <c r="B2821" s="39"/>
      <c r="C2821" s="39"/>
    </row>
    <row r="2822" spans="2:3">
      <c r="B2822" s="39"/>
      <c r="C2822" s="39"/>
    </row>
    <row r="2823" spans="2:3">
      <c r="B2823" s="39"/>
      <c r="C2823" s="39"/>
    </row>
    <row r="2824" spans="2:3">
      <c r="B2824" s="39"/>
      <c r="C2824" s="39"/>
    </row>
    <row r="2825" spans="2:3">
      <c r="B2825" s="39"/>
      <c r="C2825" s="39"/>
    </row>
    <row r="2826" spans="2:3">
      <c r="B2826" s="39"/>
      <c r="C2826" s="39"/>
    </row>
    <row r="2827" spans="2:3">
      <c r="B2827" s="39"/>
      <c r="C2827" s="39"/>
    </row>
    <row r="2828" spans="2:3">
      <c r="B2828" s="39"/>
      <c r="C2828" s="39"/>
    </row>
    <row r="2829" spans="2:3">
      <c r="B2829" s="39"/>
      <c r="C2829" s="39"/>
    </row>
    <row r="2830" spans="2:3">
      <c r="B2830" s="39"/>
      <c r="C2830" s="39"/>
    </row>
    <row r="2831" spans="2:3">
      <c r="B2831" s="39"/>
      <c r="C2831" s="39"/>
    </row>
    <row r="2832" spans="2:3">
      <c r="B2832" s="39"/>
      <c r="C2832" s="39"/>
    </row>
    <row r="2833" spans="2:3">
      <c r="B2833" s="39"/>
      <c r="C2833" s="39"/>
    </row>
    <row r="2834" spans="2:3">
      <c r="B2834" s="39"/>
      <c r="C2834" s="39"/>
    </row>
    <row r="2835" spans="2:3">
      <c r="B2835" s="39"/>
      <c r="C2835" s="39"/>
    </row>
    <row r="2836" spans="2:3">
      <c r="B2836" s="39"/>
      <c r="C2836" s="39"/>
    </row>
    <row r="2837" spans="2:3">
      <c r="B2837" s="39"/>
      <c r="C2837" s="39"/>
    </row>
    <row r="2838" spans="2:3">
      <c r="B2838" s="39"/>
      <c r="C2838" s="39"/>
    </row>
    <row r="2839" spans="2:3">
      <c r="B2839" s="39"/>
      <c r="C2839" s="39"/>
    </row>
    <row r="2840" spans="2:3">
      <c r="B2840" s="39"/>
      <c r="C2840" s="39"/>
    </row>
    <row r="2841" spans="2:3">
      <c r="B2841" s="39"/>
      <c r="C2841" s="39"/>
    </row>
    <row r="2842" spans="2:3">
      <c r="B2842" s="39"/>
      <c r="C2842" s="39"/>
    </row>
    <row r="2843" spans="2:3">
      <c r="B2843" s="39"/>
      <c r="C2843" s="39"/>
    </row>
    <row r="2844" spans="2:3">
      <c r="B2844" s="39"/>
      <c r="C2844" s="39"/>
    </row>
    <row r="2845" spans="2:3">
      <c r="B2845" s="39"/>
      <c r="C2845" s="39"/>
    </row>
    <row r="2846" spans="2:3">
      <c r="B2846" s="39"/>
      <c r="C2846" s="39"/>
    </row>
    <row r="2847" spans="2:3">
      <c r="B2847" s="39"/>
      <c r="C2847" s="39"/>
    </row>
    <row r="2848" spans="2:3">
      <c r="B2848" s="39"/>
      <c r="C2848" s="39"/>
    </row>
    <row r="2849" spans="2:3">
      <c r="B2849" s="39"/>
      <c r="C2849" s="39"/>
    </row>
    <row r="2850" spans="2:3">
      <c r="B2850" s="39"/>
      <c r="C2850" s="39"/>
    </row>
    <row r="2851" spans="2:3">
      <c r="B2851" s="39"/>
      <c r="C2851" s="39"/>
    </row>
    <row r="2852" spans="2:3">
      <c r="B2852" s="39"/>
      <c r="C2852" s="39"/>
    </row>
    <row r="2853" spans="2:3">
      <c r="B2853" s="39"/>
      <c r="C2853" s="39"/>
    </row>
    <row r="2854" spans="2:3">
      <c r="B2854" s="39"/>
      <c r="C2854" s="39"/>
    </row>
    <row r="2855" spans="2:3">
      <c r="B2855" s="39"/>
      <c r="C2855" s="39"/>
    </row>
    <row r="2856" spans="2:3">
      <c r="B2856" s="39"/>
      <c r="C2856" s="39"/>
    </row>
    <row r="2857" spans="2:3">
      <c r="B2857" s="39"/>
      <c r="C2857" s="39"/>
    </row>
    <row r="2858" spans="2:3">
      <c r="B2858" s="39"/>
      <c r="C2858" s="39"/>
    </row>
    <row r="2859" spans="2:3">
      <c r="B2859" s="39"/>
      <c r="C2859" s="39"/>
    </row>
    <row r="2860" spans="2:3">
      <c r="B2860" s="39"/>
      <c r="C2860" s="39"/>
    </row>
    <row r="2861" spans="2:3">
      <c r="B2861" s="39"/>
      <c r="C2861" s="39"/>
    </row>
    <row r="2862" spans="2:3">
      <c r="B2862" s="39"/>
      <c r="C2862" s="39"/>
    </row>
    <row r="2863" spans="2:3">
      <c r="B2863" s="39"/>
      <c r="C2863" s="39"/>
    </row>
    <row r="2864" spans="2:3">
      <c r="B2864" s="39"/>
      <c r="C2864" s="39"/>
    </row>
    <row r="2865" spans="2:3">
      <c r="B2865" s="39"/>
      <c r="C2865" s="39"/>
    </row>
    <row r="2866" spans="2:3">
      <c r="B2866" s="39"/>
      <c r="C2866" s="39"/>
    </row>
    <row r="2867" spans="2:3">
      <c r="B2867" s="39"/>
      <c r="C2867" s="39"/>
    </row>
    <row r="2868" spans="2:3">
      <c r="B2868" s="39"/>
      <c r="C2868" s="39"/>
    </row>
    <row r="2869" spans="2:3">
      <c r="B2869" s="39"/>
      <c r="C2869" s="39"/>
    </row>
    <row r="2870" spans="2:3">
      <c r="B2870" s="39"/>
      <c r="C2870" s="39"/>
    </row>
    <row r="2871" spans="2:3">
      <c r="B2871" s="39"/>
      <c r="C2871" s="39"/>
    </row>
    <row r="2872" spans="2:3">
      <c r="B2872" s="39"/>
      <c r="C2872" s="39"/>
    </row>
    <row r="2873" spans="2:3">
      <c r="B2873" s="39"/>
      <c r="C2873" s="39"/>
    </row>
    <row r="2874" spans="2:3">
      <c r="B2874" s="39"/>
      <c r="C2874" s="39"/>
    </row>
    <row r="2875" spans="2:3">
      <c r="B2875" s="39"/>
      <c r="C2875" s="39"/>
    </row>
    <row r="2876" spans="2:3">
      <c r="B2876" s="39"/>
      <c r="C2876" s="39"/>
    </row>
    <row r="2877" spans="2:3">
      <c r="B2877" s="39"/>
      <c r="C2877" s="39"/>
    </row>
    <row r="2878" spans="2:3">
      <c r="B2878" s="39"/>
      <c r="C2878" s="39"/>
    </row>
    <row r="2879" spans="2:3">
      <c r="B2879" s="39"/>
      <c r="C2879" s="39"/>
    </row>
    <row r="2880" spans="2:3">
      <c r="B2880" s="39"/>
      <c r="C2880" s="39"/>
    </row>
    <row r="2881" spans="2:3">
      <c r="B2881" s="39"/>
      <c r="C2881" s="39"/>
    </row>
    <row r="2882" spans="2:3">
      <c r="B2882" s="39"/>
      <c r="C2882" s="39"/>
    </row>
    <row r="2883" spans="2:3">
      <c r="B2883" s="39"/>
      <c r="C2883" s="39"/>
    </row>
    <row r="2884" spans="2:3">
      <c r="B2884" s="39"/>
      <c r="C2884" s="39"/>
    </row>
    <row r="2885" spans="2:3">
      <c r="B2885" s="39"/>
      <c r="C2885" s="39"/>
    </row>
    <row r="2886" spans="2:3">
      <c r="B2886" s="39"/>
      <c r="C2886" s="39"/>
    </row>
    <row r="2887" spans="2:3">
      <c r="B2887" s="39"/>
      <c r="C2887" s="39"/>
    </row>
    <row r="2888" spans="2:3">
      <c r="B2888" s="39"/>
      <c r="C2888" s="39"/>
    </row>
    <row r="2889" spans="2:3">
      <c r="B2889" s="39"/>
      <c r="C2889" s="39"/>
    </row>
    <row r="2890" spans="2:3">
      <c r="B2890" s="39"/>
      <c r="C2890" s="39"/>
    </row>
    <row r="2891" spans="2:3">
      <c r="B2891" s="39"/>
      <c r="C2891" s="39"/>
    </row>
    <row r="2892" spans="2:3">
      <c r="B2892" s="39"/>
      <c r="C2892" s="39"/>
    </row>
    <row r="2893" spans="2:3">
      <c r="B2893" s="39"/>
      <c r="C2893" s="39"/>
    </row>
    <row r="2894" spans="2:3">
      <c r="B2894" s="39"/>
      <c r="C2894" s="39"/>
    </row>
    <row r="2895" spans="2:3">
      <c r="B2895" s="39"/>
      <c r="C2895" s="39"/>
    </row>
    <row r="2896" spans="2:3">
      <c r="B2896" s="39"/>
      <c r="C2896" s="39"/>
    </row>
    <row r="2897" spans="2:3">
      <c r="B2897" s="39"/>
      <c r="C2897" s="39"/>
    </row>
    <row r="2898" spans="2:3">
      <c r="B2898" s="39"/>
      <c r="C2898" s="39"/>
    </row>
    <row r="2899" spans="2:3">
      <c r="B2899" s="39"/>
      <c r="C2899" s="39"/>
    </row>
    <row r="2900" spans="2:3">
      <c r="B2900" s="39"/>
      <c r="C2900" s="39"/>
    </row>
    <row r="2901" spans="2:3">
      <c r="B2901" s="39"/>
      <c r="C2901" s="39"/>
    </row>
    <row r="2902" spans="2:3">
      <c r="B2902" s="39"/>
      <c r="C2902" s="39"/>
    </row>
    <row r="2903" spans="2:3">
      <c r="B2903" s="39"/>
      <c r="C2903" s="39"/>
    </row>
    <row r="2904" spans="2:3">
      <c r="B2904" s="39"/>
      <c r="C2904" s="39"/>
    </row>
    <row r="2905" spans="2:3">
      <c r="B2905" s="39"/>
      <c r="C2905" s="39"/>
    </row>
    <row r="2906" spans="2:3">
      <c r="B2906" s="39"/>
      <c r="C2906" s="39"/>
    </row>
    <row r="2907" spans="2:3">
      <c r="B2907" s="39"/>
      <c r="C2907" s="39"/>
    </row>
    <row r="2908" spans="2:3">
      <c r="B2908" s="39"/>
      <c r="C2908" s="39"/>
    </row>
    <row r="2909" spans="2:3">
      <c r="B2909" s="39"/>
      <c r="C2909" s="39"/>
    </row>
    <row r="2910" spans="2:3">
      <c r="B2910" s="39"/>
      <c r="C2910" s="39"/>
    </row>
    <row r="2911" spans="2:3">
      <c r="B2911" s="39"/>
      <c r="C2911" s="39"/>
    </row>
    <row r="2912" spans="2:3">
      <c r="B2912" s="39"/>
      <c r="C2912" s="39"/>
    </row>
    <row r="2913" spans="2:3">
      <c r="B2913" s="39"/>
      <c r="C2913" s="39"/>
    </row>
    <row r="2914" spans="2:3">
      <c r="B2914" s="39"/>
      <c r="C2914" s="39"/>
    </row>
    <row r="2915" spans="2:3">
      <c r="B2915" s="39"/>
      <c r="C2915" s="39"/>
    </row>
    <row r="2916" spans="2:3">
      <c r="B2916" s="39"/>
      <c r="C2916" s="39"/>
    </row>
    <row r="2917" spans="2:3">
      <c r="B2917" s="39"/>
      <c r="C2917" s="39"/>
    </row>
    <row r="2918" spans="2:3">
      <c r="B2918" s="39"/>
      <c r="C2918" s="39"/>
    </row>
    <row r="2919" spans="2:3">
      <c r="B2919" s="39"/>
      <c r="C2919" s="39"/>
    </row>
    <row r="2920" spans="2:3">
      <c r="B2920" s="39"/>
      <c r="C2920" s="39"/>
    </row>
    <row r="2921" spans="2:3">
      <c r="B2921" s="39"/>
      <c r="C2921" s="39"/>
    </row>
    <row r="2922" spans="2:3">
      <c r="B2922" s="39"/>
      <c r="C2922" s="39"/>
    </row>
    <row r="2923" spans="2:3">
      <c r="B2923" s="39"/>
      <c r="C2923" s="39"/>
    </row>
    <row r="2924" spans="2:3">
      <c r="B2924" s="39"/>
      <c r="C2924" s="39"/>
    </row>
    <row r="2925" spans="2:3">
      <c r="B2925" s="39"/>
      <c r="C2925" s="39"/>
    </row>
    <row r="2926" spans="2:3">
      <c r="B2926" s="39"/>
      <c r="C2926" s="39"/>
    </row>
    <row r="2927" spans="2:3">
      <c r="B2927" s="39"/>
      <c r="C2927" s="39"/>
    </row>
    <row r="2928" spans="2:3">
      <c r="B2928" s="39"/>
      <c r="C2928" s="39"/>
    </row>
    <row r="2929" spans="2:3">
      <c r="B2929" s="39"/>
      <c r="C2929" s="39"/>
    </row>
    <row r="2930" spans="2:3">
      <c r="B2930" s="39"/>
      <c r="C2930" s="39"/>
    </row>
    <row r="2931" spans="2:3">
      <c r="B2931" s="39"/>
      <c r="C2931" s="39"/>
    </row>
    <row r="2932" spans="2:3">
      <c r="B2932" s="39"/>
      <c r="C2932" s="39"/>
    </row>
    <row r="2933" spans="2:3">
      <c r="B2933" s="39"/>
      <c r="C2933" s="39"/>
    </row>
    <row r="2934" spans="2:3">
      <c r="B2934" s="39"/>
      <c r="C2934" s="39"/>
    </row>
    <row r="2935" spans="2:3">
      <c r="B2935" s="39"/>
      <c r="C2935" s="39"/>
    </row>
    <row r="2936" spans="2:3">
      <c r="B2936" s="39"/>
      <c r="C2936" s="39"/>
    </row>
    <row r="2937" spans="2:3">
      <c r="B2937" s="39"/>
      <c r="C2937" s="39"/>
    </row>
    <row r="2938" spans="2:3">
      <c r="B2938" s="39"/>
      <c r="C2938" s="39"/>
    </row>
    <row r="2939" spans="2:3">
      <c r="B2939" s="39"/>
      <c r="C2939" s="39"/>
    </row>
    <row r="2940" spans="2:3">
      <c r="B2940" s="39"/>
      <c r="C2940" s="39"/>
    </row>
    <row r="2941" spans="2:3">
      <c r="B2941" s="39"/>
      <c r="C2941" s="39"/>
    </row>
    <row r="2942" spans="2:3">
      <c r="B2942" s="39"/>
      <c r="C2942" s="39"/>
    </row>
    <row r="2943" spans="2:3">
      <c r="B2943" s="39"/>
      <c r="C2943" s="39"/>
    </row>
    <row r="2944" spans="2:3">
      <c r="B2944" s="39"/>
      <c r="C2944" s="39"/>
    </row>
    <row r="2945" spans="2:3">
      <c r="B2945" s="39"/>
      <c r="C2945" s="39"/>
    </row>
    <row r="2946" spans="2:3">
      <c r="B2946" s="39"/>
      <c r="C2946" s="39"/>
    </row>
    <row r="2947" spans="2:3">
      <c r="B2947" s="39"/>
      <c r="C2947" s="39"/>
    </row>
    <row r="2948" spans="2:3">
      <c r="B2948" s="39"/>
      <c r="C2948" s="39"/>
    </row>
    <row r="2949" spans="2:3">
      <c r="B2949" s="39"/>
      <c r="C2949" s="39"/>
    </row>
    <row r="2950" spans="2:3">
      <c r="B2950" s="39"/>
      <c r="C2950" s="39"/>
    </row>
    <row r="2951" spans="2:3">
      <c r="B2951" s="39"/>
      <c r="C2951" s="39"/>
    </row>
    <row r="2952" spans="2:3">
      <c r="B2952" s="39"/>
      <c r="C2952" s="39"/>
    </row>
    <row r="2953" spans="2:3">
      <c r="B2953" s="39"/>
      <c r="C2953" s="39"/>
    </row>
    <row r="2954" spans="2:3">
      <c r="B2954" s="39"/>
      <c r="C2954" s="39"/>
    </row>
    <row r="2955" spans="2:3">
      <c r="B2955" s="39"/>
      <c r="C2955" s="39"/>
    </row>
    <row r="2956" spans="2:3">
      <c r="B2956" s="39"/>
      <c r="C2956" s="39"/>
    </row>
    <row r="2957" spans="2:3">
      <c r="B2957" s="39"/>
      <c r="C2957" s="39"/>
    </row>
    <row r="2958" spans="2:3">
      <c r="B2958" s="39"/>
      <c r="C2958" s="39"/>
    </row>
    <row r="2959" spans="2:3">
      <c r="B2959" s="39"/>
      <c r="C2959" s="39"/>
    </row>
    <row r="2960" spans="2:3">
      <c r="B2960" s="39"/>
      <c r="C2960" s="39"/>
    </row>
    <row r="2961" spans="2:3">
      <c r="B2961" s="39"/>
      <c r="C2961" s="39"/>
    </row>
    <row r="2962" spans="2:3">
      <c r="B2962" s="39"/>
      <c r="C2962" s="39"/>
    </row>
    <row r="2963" spans="2:3">
      <c r="B2963" s="39"/>
      <c r="C2963" s="39"/>
    </row>
    <row r="2964" spans="2:3">
      <c r="B2964" s="39"/>
      <c r="C2964" s="39"/>
    </row>
    <row r="2965" spans="2:3">
      <c r="B2965" s="39"/>
      <c r="C2965" s="39"/>
    </row>
    <row r="2966" spans="2:3">
      <c r="B2966" s="39"/>
      <c r="C2966" s="39"/>
    </row>
    <row r="2967" spans="2:3">
      <c r="B2967" s="39"/>
      <c r="C2967" s="39"/>
    </row>
    <row r="2968" spans="2:3">
      <c r="B2968" s="39"/>
      <c r="C2968" s="39"/>
    </row>
    <row r="2969" spans="2:3">
      <c r="B2969" s="39"/>
      <c r="C2969" s="39"/>
    </row>
    <row r="2970" spans="2:3">
      <c r="B2970" s="39"/>
      <c r="C2970" s="39"/>
    </row>
    <row r="2971" spans="2:3">
      <c r="B2971" s="39"/>
      <c r="C2971" s="39"/>
    </row>
    <row r="2972" spans="2:3">
      <c r="B2972" s="39"/>
      <c r="C2972" s="39"/>
    </row>
    <row r="2973" spans="2:3">
      <c r="B2973" s="39"/>
      <c r="C2973" s="39"/>
    </row>
    <row r="2974" spans="2:3">
      <c r="B2974" s="39"/>
      <c r="C2974" s="39"/>
    </row>
    <row r="2975" spans="2:3">
      <c r="B2975" s="39"/>
      <c r="C2975" s="39"/>
    </row>
    <row r="2976" spans="2:3">
      <c r="B2976" s="39"/>
      <c r="C2976" s="39"/>
    </row>
    <row r="2977" spans="2:3">
      <c r="B2977" s="39"/>
      <c r="C2977" s="39"/>
    </row>
    <row r="2978" spans="2:3">
      <c r="B2978" s="39"/>
      <c r="C2978" s="39"/>
    </row>
    <row r="2979" spans="2:3">
      <c r="B2979" s="39"/>
      <c r="C2979" s="39"/>
    </row>
    <row r="2980" spans="2:3">
      <c r="B2980" s="39"/>
      <c r="C2980" s="39"/>
    </row>
    <row r="2981" spans="2:3">
      <c r="B2981" s="39"/>
      <c r="C2981" s="39"/>
    </row>
    <row r="2982" spans="2:3">
      <c r="B2982" s="39"/>
      <c r="C2982" s="39"/>
    </row>
    <row r="2983" spans="2:3">
      <c r="B2983" s="39"/>
      <c r="C2983" s="39"/>
    </row>
    <row r="2984" spans="2:3">
      <c r="B2984" s="39"/>
      <c r="C2984" s="39"/>
    </row>
    <row r="2985" spans="2:3">
      <c r="B2985" s="39"/>
      <c r="C2985" s="39"/>
    </row>
    <row r="2986" spans="2:3">
      <c r="B2986" s="39"/>
      <c r="C2986" s="39"/>
    </row>
    <row r="2987" spans="2:3">
      <c r="B2987" s="39"/>
      <c r="C2987" s="39"/>
    </row>
    <row r="2988" spans="2:3">
      <c r="B2988" s="39"/>
      <c r="C2988" s="39"/>
    </row>
    <row r="2989" spans="2:3">
      <c r="B2989" s="39"/>
      <c r="C2989" s="39"/>
    </row>
    <row r="2990" spans="2:3">
      <c r="B2990" s="39"/>
      <c r="C2990" s="39"/>
    </row>
    <row r="2991" spans="2:3">
      <c r="B2991" s="39"/>
      <c r="C2991" s="39"/>
    </row>
    <row r="2992" spans="2:3">
      <c r="B2992" s="39"/>
      <c r="C2992" s="39"/>
    </row>
    <row r="2993" spans="2:3">
      <c r="B2993" s="39"/>
      <c r="C2993" s="39"/>
    </row>
    <row r="2994" spans="2:3">
      <c r="B2994" s="39"/>
      <c r="C2994" s="39"/>
    </row>
    <row r="2995" spans="2:3">
      <c r="B2995" s="39"/>
      <c r="C2995" s="39"/>
    </row>
    <row r="2996" spans="2:3">
      <c r="B2996" s="39"/>
      <c r="C2996" s="39"/>
    </row>
    <row r="2997" spans="2:3">
      <c r="B2997" s="39"/>
      <c r="C2997" s="39"/>
    </row>
    <row r="2998" spans="2:3">
      <c r="B2998" s="39"/>
      <c r="C2998" s="39"/>
    </row>
    <row r="2999" spans="2:3">
      <c r="B2999" s="39"/>
      <c r="C2999" s="39"/>
    </row>
    <row r="3000" spans="2:3">
      <c r="B3000" s="39"/>
      <c r="C3000" s="39"/>
    </row>
    <row r="3001" spans="2:3">
      <c r="B3001" s="39"/>
      <c r="C3001" s="39"/>
    </row>
    <row r="3002" spans="2:3">
      <c r="B3002" s="39"/>
      <c r="C3002" s="39"/>
    </row>
    <row r="3003" spans="2:3">
      <c r="B3003" s="39"/>
      <c r="C3003" s="39"/>
    </row>
    <row r="3004" spans="2:3">
      <c r="B3004" s="39"/>
      <c r="C3004" s="39"/>
    </row>
    <row r="3005" spans="2:3">
      <c r="B3005" s="39"/>
      <c r="C3005" s="39"/>
    </row>
    <row r="3006" spans="2:3">
      <c r="B3006" s="39"/>
      <c r="C3006" s="39"/>
    </row>
    <row r="3007" spans="2:3">
      <c r="B3007" s="39"/>
      <c r="C3007" s="39"/>
    </row>
    <row r="3008" spans="2:3">
      <c r="B3008" s="39"/>
      <c r="C3008" s="39"/>
    </row>
    <row r="3009" spans="2:3">
      <c r="B3009" s="39"/>
      <c r="C3009" s="39"/>
    </row>
    <row r="3010" spans="2:3">
      <c r="B3010" s="39"/>
      <c r="C3010" s="39"/>
    </row>
    <row r="3011" spans="2:3">
      <c r="B3011" s="39"/>
      <c r="C3011" s="39"/>
    </row>
    <row r="3012" spans="2:3">
      <c r="B3012" s="39"/>
      <c r="C3012" s="39"/>
    </row>
    <row r="3013" spans="2:3">
      <c r="B3013" s="39"/>
      <c r="C3013" s="39"/>
    </row>
    <row r="3014" spans="2:3">
      <c r="B3014" s="39"/>
      <c r="C3014" s="39"/>
    </row>
    <row r="3015" spans="2:3">
      <c r="B3015" s="39"/>
      <c r="C3015" s="39"/>
    </row>
    <row r="3016" spans="2:3">
      <c r="B3016" s="39"/>
      <c r="C3016" s="39"/>
    </row>
    <row r="3017" spans="2:3">
      <c r="B3017" s="39"/>
      <c r="C3017" s="39"/>
    </row>
    <row r="3018" spans="2:3">
      <c r="B3018" s="39"/>
      <c r="C3018" s="39"/>
    </row>
    <row r="3019" spans="2:3">
      <c r="B3019" s="39"/>
      <c r="C3019" s="39"/>
    </row>
    <row r="3020" spans="2:3">
      <c r="B3020" s="39"/>
      <c r="C3020" s="39"/>
    </row>
    <row r="3021" spans="2:3">
      <c r="B3021" s="39"/>
      <c r="C3021" s="39"/>
    </row>
    <row r="3022" spans="2:3">
      <c r="B3022" s="39"/>
      <c r="C3022" s="39"/>
    </row>
    <row r="3023" spans="2:3">
      <c r="B3023" s="39"/>
      <c r="C3023" s="39"/>
    </row>
    <row r="3024" spans="2:3">
      <c r="B3024" s="39"/>
      <c r="C3024" s="39"/>
    </row>
    <row r="3025" spans="2:3">
      <c r="B3025" s="39"/>
      <c r="C3025" s="39"/>
    </row>
    <row r="3026" spans="2:3">
      <c r="B3026" s="39"/>
      <c r="C3026" s="39"/>
    </row>
    <row r="3027" spans="2:3">
      <c r="B3027" s="39"/>
      <c r="C3027" s="39"/>
    </row>
    <row r="3028" spans="2:3">
      <c r="B3028" s="39"/>
      <c r="C3028" s="39"/>
    </row>
    <row r="3029" spans="2:3">
      <c r="B3029" s="39"/>
      <c r="C3029" s="39"/>
    </row>
    <row r="3030" spans="2:3">
      <c r="B3030" s="39"/>
      <c r="C3030" s="39"/>
    </row>
    <row r="3031" spans="2:3">
      <c r="B3031" s="39"/>
      <c r="C3031" s="39"/>
    </row>
    <row r="3032" spans="2:3">
      <c r="B3032" s="39"/>
      <c r="C3032" s="39"/>
    </row>
    <row r="3033" spans="2:3">
      <c r="B3033" s="39"/>
      <c r="C3033" s="39"/>
    </row>
    <row r="3034" spans="2:3">
      <c r="B3034" s="39"/>
      <c r="C3034" s="39"/>
    </row>
    <row r="3035" spans="2:3">
      <c r="B3035" s="39"/>
      <c r="C3035" s="39"/>
    </row>
    <row r="3036" spans="2:3">
      <c r="B3036" s="39"/>
      <c r="C3036" s="39"/>
    </row>
    <row r="3037" spans="2:3">
      <c r="B3037" s="39"/>
      <c r="C3037" s="39"/>
    </row>
    <row r="3038" spans="2:3">
      <c r="B3038" s="39"/>
      <c r="C3038" s="39"/>
    </row>
    <row r="3039" spans="2:3">
      <c r="B3039" s="39"/>
      <c r="C3039" s="39"/>
    </row>
    <row r="3040" spans="2:3">
      <c r="B3040" s="39"/>
      <c r="C3040" s="39"/>
    </row>
    <row r="3041" spans="2:3">
      <c r="B3041" s="39"/>
      <c r="C3041" s="39"/>
    </row>
    <row r="3042" spans="2:3">
      <c r="B3042" s="39"/>
      <c r="C3042" s="39"/>
    </row>
    <row r="3043" spans="2:3">
      <c r="B3043" s="39"/>
      <c r="C3043" s="39"/>
    </row>
    <row r="3044" spans="2:3">
      <c r="B3044" s="39"/>
      <c r="C3044" s="39"/>
    </row>
    <row r="3045" spans="2:3">
      <c r="B3045" s="39"/>
      <c r="C3045" s="39"/>
    </row>
    <row r="3046" spans="2:3">
      <c r="B3046" s="39"/>
      <c r="C3046" s="39"/>
    </row>
    <row r="3047" spans="2:3">
      <c r="B3047" s="39"/>
      <c r="C3047" s="39"/>
    </row>
    <row r="3048" spans="2:3">
      <c r="B3048" s="39"/>
      <c r="C3048" s="39"/>
    </row>
    <row r="3049" spans="2:3">
      <c r="B3049" s="39"/>
      <c r="C3049" s="39"/>
    </row>
    <row r="3050" spans="2:3">
      <c r="B3050" s="39"/>
      <c r="C3050" s="39"/>
    </row>
    <row r="3051" spans="2:3">
      <c r="B3051" s="39"/>
      <c r="C3051" s="39"/>
    </row>
    <row r="3052" spans="2:3">
      <c r="B3052" s="39"/>
      <c r="C3052" s="39"/>
    </row>
    <row r="3053" spans="2:3">
      <c r="B3053" s="39"/>
      <c r="C3053" s="39"/>
    </row>
    <row r="3054" spans="2:3">
      <c r="B3054" s="39"/>
      <c r="C3054" s="39"/>
    </row>
    <row r="3055" spans="2:3">
      <c r="B3055" s="39"/>
      <c r="C3055" s="39"/>
    </row>
    <row r="3056" spans="2:3">
      <c r="B3056" s="39"/>
      <c r="C3056" s="39"/>
    </row>
    <row r="3057" spans="2:3">
      <c r="B3057" s="39"/>
      <c r="C3057" s="39"/>
    </row>
    <row r="3058" spans="2:3">
      <c r="B3058" s="39"/>
      <c r="C3058" s="39"/>
    </row>
    <row r="3059" spans="2:3">
      <c r="B3059" s="39"/>
      <c r="C3059" s="39"/>
    </row>
    <row r="3060" spans="2:3">
      <c r="B3060" s="39"/>
      <c r="C3060" s="39"/>
    </row>
    <row r="3061" spans="2:3">
      <c r="B3061" s="39"/>
      <c r="C3061" s="39"/>
    </row>
    <row r="3062" spans="2:3">
      <c r="B3062" s="39"/>
      <c r="C3062" s="39"/>
    </row>
    <row r="3063" spans="2:3">
      <c r="B3063" s="39"/>
      <c r="C3063" s="39"/>
    </row>
    <row r="3064" spans="2:3">
      <c r="B3064" s="39"/>
      <c r="C3064" s="39"/>
    </row>
    <row r="3065" spans="2:3">
      <c r="B3065" s="39"/>
      <c r="C3065" s="39"/>
    </row>
    <row r="3066" spans="2:3">
      <c r="B3066" s="39"/>
      <c r="C3066" s="39"/>
    </row>
    <row r="3067" spans="2:3">
      <c r="B3067" s="39"/>
      <c r="C3067" s="39"/>
    </row>
    <row r="3068" spans="2:3">
      <c r="B3068" s="39"/>
      <c r="C3068" s="39"/>
    </row>
    <row r="3069" spans="2:3">
      <c r="B3069" s="39"/>
      <c r="C3069" s="39"/>
    </row>
    <row r="3070" spans="2:3">
      <c r="B3070" s="39"/>
      <c r="C3070" s="39"/>
    </row>
    <row r="3071" spans="2:3">
      <c r="B3071" s="39"/>
      <c r="C3071" s="39"/>
    </row>
    <row r="3072" spans="2:3">
      <c r="B3072" s="39"/>
      <c r="C3072" s="39"/>
    </row>
    <row r="3073" spans="2:3">
      <c r="B3073" s="39"/>
      <c r="C3073" s="39"/>
    </row>
    <row r="3074" spans="2:3">
      <c r="B3074" s="39"/>
      <c r="C3074" s="39"/>
    </row>
    <row r="3075" spans="2:3">
      <c r="B3075" s="39"/>
      <c r="C3075" s="39"/>
    </row>
    <row r="3076" spans="2:3">
      <c r="B3076" s="39"/>
      <c r="C3076" s="39"/>
    </row>
    <row r="3077" spans="2:3">
      <c r="B3077" s="39"/>
      <c r="C3077" s="39"/>
    </row>
    <row r="3078" spans="2:3">
      <c r="B3078" s="39"/>
      <c r="C3078" s="39"/>
    </row>
    <row r="3079" spans="2:3">
      <c r="B3079" s="39"/>
      <c r="C3079" s="39"/>
    </row>
    <row r="3080" spans="2:3">
      <c r="B3080" s="39"/>
      <c r="C3080" s="39"/>
    </row>
    <row r="3081" spans="2:3">
      <c r="B3081" s="39"/>
      <c r="C3081" s="39"/>
    </row>
    <row r="3082" spans="2:3">
      <c r="B3082" s="39"/>
      <c r="C3082" s="39"/>
    </row>
    <row r="3083" spans="2:3">
      <c r="B3083" s="39"/>
      <c r="C3083" s="39"/>
    </row>
    <row r="3084" spans="2:3">
      <c r="B3084" s="39"/>
      <c r="C3084" s="39"/>
    </row>
    <row r="3085" spans="2:3">
      <c r="B3085" s="39"/>
      <c r="C3085" s="39"/>
    </row>
    <row r="3086" spans="2:3">
      <c r="B3086" s="39"/>
      <c r="C3086" s="39"/>
    </row>
    <row r="3087" spans="2:3">
      <c r="B3087" s="39"/>
      <c r="C3087" s="39"/>
    </row>
    <row r="3088" spans="2:3">
      <c r="B3088" s="39"/>
      <c r="C3088" s="39"/>
    </row>
    <row r="3089" spans="2:3">
      <c r="B3089" s="39"/>
      <c r="C3089" s="39"/>
    </row>
    <row r="3090" spans="2:3">
      <c r="B3090" s="39"/>
      <c r="C3090" s="39"/>
    </row>
    <row r="3091" spans="2:3">
      <c r="B3091" s="39"/>
      <c r="C3091" s="39"/>
    </row>
    <row r="3092" spans="2:3">
      <c r="B3092" s="39"/>
      <c r="C3092" s="39"/>
    </row>
    <row r="3093" spans="2:3">
      <c r="B3093" s="39"/>
      <c r="C3093" s="39"/>
    </row>
    <row r="3094" spans="2:3">
      <c r="B3094" s="39"/>
      <c r="C3094" s="39"/>
    </row>
    <row r="3095" spans="2:3">
      <c r="B3095" s="39"/>
      <c r="C3095" s="39"/>
    </row>
    <row r="3096" spans="2:3">
      <c r="B3096" s="39"/>
      <c r="C3096" s="39"/>
    </row>
    <row r="3097" spans="2:3">
      <c r="B3097" s="39"/>
      <c r="C3097" s="39"/>
    </row>
    <row r="3098" spans="2:3">
      <c r="B3098" s="39"/>
      <c r="C3098" s="39"/>
    </row>
    <row r="3099" spans="2:3">
      <c r="B3099" s="39"/>
      <c r="C3099" s="39"/>
    </row>
    <row r="3100" spans="2:3">
      <c r="B3100" s="39"/>
      <c r="C3100" s="39"/>
    </row>
    <row r="3101" spans="2:3">
      <c r="B3101" s="39"/>
      <c r="C3101" s="39"/>
    </row>
    <row r="3102" spans="2:3">
      <c r="B3102" s="39"/>
      <c r="C3102" s="39"/>
    </row>
    <row r="3103" spans="2:3">
      <c r="B3103" s="39"/>
      <c r="C3103" s="39"/>
    </row>
    <row r="3104" spans="2:3">
      <c r="B3104" s="39"/>
      <c r="C3104" s="39"/>
    </row>
    <row r="3105" spans="2:3">
      <c r="B3105" s="39"/>
      <c r="C3105" s="39"/>
    </row>
    <row r="3106" spans="2:3">
      <c r="B3106" s="39"/>
      <c r="C3106" s="39"/>
    </row>
    <row r="3107" spans="2:3">
      <c r="B3107" s="39"/>
      <c r="C3107" s="39"/>
    </row>
    <row r="3108" spans="2:3">
      <c r="B3108" s="39"/>
      <c r="C3108" s="39"/>
    </row>
    <row r="3109" spans="2:3">
      <c r="B3109" s="39"/>
      <c r="C3109" s="39"/>
    </row>
    <row r="3110" spans="2:3">
      <c r="B3110" s="39"/>
      <c r="C3110" s="39"/>
    </row>
    <row r="3111" spans="2:3">
      <c r="B3111" s="39"/>
      <c r="C3111" s="39"/>
    </row>
    <row r="3112" spans="2:3">
      <c r="B3112" s="39"/>
      <c r="C3112" s="39"/>
    </row>
    <row r="3113" spans="2:3">
      <c r="B3113" s="39"/>
      <c r="C3113" s="39"/>
    </row>
    <row r="3114" spans="2:3">
      <c r="B3114" s="39"/>
      <c r="C3114" s="39"/>
    </row>
    <row r="3115" spans="2:3">
      <c r="B3115" s="39"/>
      <c r="C3115" s="39"/>
    </row>
    <row r="3116" spans="2:3">
      <c r="B3116" s="39"/>
      <c r="C3116" s="39"/>
    </row>
    <row r="3117" spans="2:3">
      <c r="B3117" s="39"/>
      <c r="C3117" s="39"/>
    </row>
    <row r="3118" spans="2:3">
      <c r="B3118" s="39"/>
      <c r="C3118" s="39"/>
    </row>
    <row r="3119" spans="2:3">
      <c r="B3119" s="39"/>
      <c r="C3119" s="39"/>
    </row>
    <row r="3120" spans="2:3">
      <c r="B3120" s="39"/>
      <c r="C3120" s="39"/>
    </row>
    <row r="3121" spans="2:3">
      <c r="B3121" s="39"/>
      <c r="C3121" s="39"/>
    </row>
    <row r="3122" spans="2:3">
      <c r="B3122" s="39"/>
      <c r="C3122" s="39"/>
    </row>
    <row r="3123" spans="2:3">
      <c r="B3123" s="39"/>
      <c r="C3123" s="39"/>
    </row>
    <row r="3124" spans="2:3">
      <c r="B3124" s="39"/>
      <c r="C3124" s="39"/>
    </row>
    <row r="3125" spans="2:3">
      <c r="B3125" s="39"/>
      <c r="C3125" s="39"/>
    </row>
    <row r="3126" spans="2:3">
      <c r="B3126" s="39"/>
      <c r="C3126" s="39"/>
    </row>
    <row r="3127" spans="2:3">
      <c r="B3127" s="39"/>
      <c r="C3127" s="39"/>
    </row>
    <row r="3128" spans="2:3">
      <c r="B3128" s="39"/>
      <c r="C3128" s="39"/>
    </row>
    <row r="3129" spans="2:3">
      <c r="B3129" s="39"/>
      <c r="C3129" s="39"/>
    </row>
    <row r="3130" spans="2:3">
      <c r="B3130" s="39"/>
      <c r="C3130" s="39"/>
    </row>
    <row r="3131" spans="2:3">
      <c r="B3131" s="39"/>
      <c r="C3131" s="39"/>
    </row>
    <row r="3132" spans="2:3">
      <c r="B3132" s="39"/>
      <c r="C3132" s="39"/>
    </row>
    <row r="3133" spans="2:3">
      <c r="B3133" s="39"/>
      <c r="C3133" s="39"/>
    </row>
    <row r="3134" spans="2:3">
      <c r="B3134" s="39"/>
      <c r="C3134" s="39"/>
    </row>
    <row r="3135" spans="2:3">
      <c r="B3135" s="39"/>
      <c r="C3135" s="39"/>
    </row>
    <row r="3136" spans="2:3">
      <c r="B3136" s="39"/>
      <c r="C3136" s="39"/>
    </row>
    <row r="3137" spans="2:3">
      <c r="B3137" s="39"/>
      <c r="C3137" s="39"/>
    </row>
    <row r="3138" spans="2:3">
      <c r="B3138" s="39"/>
      <c r="C3138" s="39"/>
    </row>
    <row r="3139" spans="2:3">
      <c r="B3139" s="39"/>
      <c r="C3139" s="39"/>
    </row>
    <row r="3140" spans="2:3">
      <c r="B3140" s="39"/>
      <c r="C3140" s="39"/>
    </row>
    <row r="3141" spans="2:3">
      <c r="B3141" s="39"/>
      <c r="C3141" s="39"/>
    </row>
    <row r="3142" spans="2:3">
      <c r="B3142" s="39"/>
      <c r="C3142" s="39"/>
    </row>
    <row r="3143" spans="2:3">
      <c r="B3143" s="39"/>
      <c r="C3143" s="39"/>
    </row>
    <row r="3144" spans="2:3">
      <c r="B3144" s="39"/>
      <c r="C3144" s="39"/>
    </row>
    <row r="3145" spans="2:3">
      <c r="B3145" s="39"/>
      <c r="C3145" s="39"/>
    </row>
    <row r="3146" spans="2:3">
      <c r="B3146" s="39"/>
      <c r="C3146" s="39"/>
    </row>
    <row r="3147" spans="2:3">
      <c r="B3147" s="39"/>
      <c r="C3147" s="39"/>
    </row>
    <row r="3148" spans="2:3">
      <c r="B3148" s="39"/>
      <c r="C3148" s="39"/>
    </row>
    <row r="3149" spans="2:3">
      <c r="B3149" s="39"/>
      <c r="C3149" s="39"/>
    </row>
    <row r="3150" spans="2:3">
      <c r="B3150" s="39"/>
      <c r="C3150" s="39"/>
    </row>
    <row r="3151" spans="2:3">
      <c r="B3151" s="39"/>
      <c r="C3151" s="39"/>
    </row>
    <row r="3152" spans="2:3">
      <c r="B3152" s="39"/>
      <c r="C3152" s="39"/>
    </row>
    <row r="3153" spans="2:3">
      <c r="B3153" s="39"/>
      <c r="C3153" s="39"/>
    </row>
    <row r="3154" spans="2:3">
      <c r="B3154" s="39"/>
      <c r="C3154" s="39"/>
    </row>
    <row r="3155" spans="2:3">
      <c r="B3155" s="39"/>
      <c r="C3155" s="39"/>
    </row>
    <row r="3156" spans="2:3">
      <c r="B3156" s="39"/>
      <c r="C3156" s="39"/>
    </row>
    <row r="3157" spans="2:3">
      <c r="B3157" s="39"/>
      <c r="C3157" s="39"/>
    </row>
    <row r="3158" spans="2:3">
      <c r="B3158" s="39"/>
      <c r="C3158" s="39"/>
    </row>
    <row r="3159" spans="2:3">
      <c r="B3159" s="39"/>
      <c r="C3159" s="39"/>
    </row>
    <row r="3160" spans="2:3">
      <c r="B3160" s="39"/>
      <c r="C3160" s="39"/>
    </row>
    <row r="3161" spans="2:3">
      <c r="B3161" s="39"/>
      <c r="C3161" s="39"/>
    </row>
    <row r="3162" spans="2:3">
      <c r="B3162" s="39"/>
      <c r="C3162" s="39"/>
    </row>
    <row r="3163" spans="2:3">
      <c r="B3163" s="39"/>
      <c r="C3163" s="39"/>
    </row>
    <row r="3164" spans="2:3">
      <c r="B3164" s="39"/>
      <c r="C3164" s="39"/>
    </row>
    <row r="3165" spans="2:3">
      <c r="B3165" s="39"/>
      <c r="C3165" s="39"/>
    </row>
    <row r="3166" spans="2:3">
      <c r="B3166" s="39"/>
      <c r="C3166" s="39"/>
    </row>
    <row r="3167" spans="2:3">
      <c r="B3167" s="39"/>
      <c r="C3167" s="39"/>
    </row>
    <row r="3168" spans="2:3">
      <c r="B3168" s="39"/>
      <c r="C3168" s="39"/>
    </row>
    <row r="3169" spans="2:3">
      <c r="B3169" s="39"/>
      <c r="C3169" s="39"/>
    </row>
    <row r="3170" spans="2:3">
      <c r="B3170" s="39"/>
      <c r="C3170" s="39"/>
    </row>
    <row r="3171" spans="2:3">
      <c r="B3171" s="39"/>
      <c r="C3171" s="39"/>
    </row>
    <row r="3172" spans="2:3">
      <c r="B3172" s="39"/>
      <c r="C3172" s="39"/>
    </row>
    <row r="3173" spans="2:3">
      <c r="B3173" s="39"/>
      <c r="C3173" s="39"/>
    </row>
    <row r="3174" spans="2:3">
      <c r="B3174" s="39"/>
      <c r="C3174" s="39"/>
    </row>
    <row r="3175" spans="2:3">
      <c r="B3175" s="39"/>
      <c r="C3175" s="39"/>
    </row>
    <row r="3176" spans="2:3">
      <c r="B3176" s="39"/>
      <c r="C3176" s="39"/>
    </row>
    <row r="3177" spans="2:3">
      <c r="B3177" s="39"/>
      <c r="C3177" s="39"/>
    </row>
    <row r="3178" spans="2:3">
      <c r="B3178" s="39"/>
      <c r="C3178" s="39"/>
    </row>
    <row r="3179" spans="2:3">
      <c r="B3179" s="39"/>
      <c r="C3179" s="39"/>
    </row>
    <row r="3180" spans="2:3">
      <c r="B3180" s="39"/>
      <c r="C3180" s="39"/>
    </row>
    <row r="3181" spans="2:3">
      <c r="B3181" s="39"/>
      <c r="C3181" s="39"/>
    </row>
    <row r="3182" spans="2:3">
      <c r="B3182" s="39"/>
      <c r="C3182" s="39"/>
    </row>
    <row r="3183" spans="2:3">
      <c r="B3183" s="39"/>
      <c r="C3183" s="39"/>
    </row>
    <row r="3184" spans="2:3">
      <c r="B3184" s="39"/>
      <c r="C3184" s="39"/>
    </row>
    <row r="3185" spans="2:3">
      <c r="B3185" s="39"/>
      <c r="C3185" s="39"/>
    </row>
    <row r="3186" spans="2:3">
      <c r="B3186" s="39"/>
      <c r="C3186" s="39"/>
    </row>
    <row r="3187" spans="2:3">
      <c r="B3187" s="39"/>
      <c r="C3187" s="39"/>
    </row>
    <row r="3188" spans="2:3">
      <c r="B3188" s="39"/>
      <c r="C3188" s="39"/>
    </row>
    <row r="3189" spans="2:3">
      <c r="B3189" s="39"/>
      <c r="C3189" s="39"/>
    </row>
    <row r="3190" spans="2:3">
      <c r="B3190" s="39"/>
      <c r="C3190" s="39"/>
    </row>
    <row r="3191" spans="2:3">
      <c r="B3191" s="39"/>
      <c r="C3191" s="39"/>
    </row>
    <row r="3192" spans="2:3">
      <c r="B3192" s="39"/>
      <c r="C3192" s="39"/>
    </row>
    <row r="3193" spans="2:3">
      <c r="B3193" s="39"/>
      <c r="C3193" s="39"/>
    </row>
    <row r="3194" spans="2:3">
      <c r="B3194" s="39"/>
      <c r="C3194" s="39"/>
    </row>
    <row r="3195" spans="2:3">
      <c r="B3195" s="39"/>
      <c r="C3195" s="39"/>
    </row>
    <row r="3196" spans="2:3">
      <c r="B3196" s="39"/>
      <c r="C3196" s="39"/>
    </row>
    <row r="3197" spans="2:3">
      <c r="B3197" s="39"/>
      <c r="C3197" s="39"/>
    </row>
    <row r="3198" spans="2:3">
      <c r="B3198" s="39"/>
      <c r="C3198" s="39"/>
    </row>
    <row r="3199" spans="2:3">
      <c r="B3199" s="39"/>
      <c r="C3199" s="39"/>
    </row>
    <row r="3200" spans="2:3">
      <c r="B3200" s="39"/>
      <c r="C3200" s="39"/>
    </row>
    <row r="3201" spans="2:3">
      <c r="B3201" s="39"/>
      <c r="C3201" s="39"/>
    </row>
    <row r="3202" spans="2:3">
      <c r="B3202" s="39"/>
      <c r="C3202" s="39"/>
    </row>
    <row r="3203" spans="2:3">
      <c r="B3203" s="39"/>
      <c r="C3203" s="39"/>
    </row>
    <row r="3204" spans="2:3">
      <c r="B3204" s="39"/>
      <c r="C3204" s="39"/>
    </row>
    <row r="3205" spans="2:3">
      <c r="B3205" s="39"/>
      <c r="C3205" s="39"/>
    </row>
    <row r="3206" spans="2:3">
      <c r="B3206" s="39"/>
      <c r="C3206" s="39"/>
    </row>
    <row r="3207" spans="2:3">
      <c r="B3207" s="39"/>
      <c r="C3207" s="39"/>
    </row>
    <row r="3208" spans="2:3">
      <c r="B3208" s="39"/>
      <c r="C3208" s="39"/>
    </row>
    <row r="3209" spans="2:3">
      <c r="B3209" s="39"/>
      <c r="C3209" s="39"/>
    </row>
    <row r="3210" spans="2:3">
      <c r="B3210" s="39"/>
      <c r="C3210" s="39"/>
    </row>
    <row r="3211" spans="2:3">
      <c r="B3211" s="39"/>
      <c r="C3211" s="39"/>
    </row>
    <row r="3212" spans="2:3">
      <c r="B3212" s="39"/>
      <c r="C3212" s="39"/>
    </row>
    <row r="3213" spans="2:3">
      <c r="B3213" s="39"/>
      <c r="C3213" s="39"/>
    </row>
    <row r="3214" spans="2:3">
      <c r="B3214" s="39"/>
      <c r="C3214" s="39"/>
    </row>
    <row r="3215" spans="2:3">
      <c r="B3215" s="39"/>
      <c r="C3215" s="39"/>
    </row>
    <row r="3216" spans="2:3">
      <c r="B3216" s="39"/>
      <c r="C3216" s="39"/>
    </row>
    <row r="3217" spans="2:3">
      <c r="B3217" s="39"/>
      <c r="C3217" s="39"/>
    </row>
    <row r="3218" spans="2:3">
      <c r="B3218" s="39"/>
      <c r="C3218" s="39"/>
    </row>
    <row r="3219" spans="2:3">
      <c r="B3219" s="39"/>
      <c r="C3219" s="39"/>
    </row>
    <row r="3220" spans="2:3">
      <c r="B3220" s="39"/>
      <c r="C3220" s="39"/>
    </row>
    <row r="3221" spans="2:3">
      <c r="B3221" s="39"/>
      <c r="C3221" s="39"/>
    </row>
    <row r="3222" spans="2:3">
      <c r="B3222" s="39"/>
      <c r="C3222" s="39"/>
    </row>
    <row r="3223" spans="2:3">
      <c r="B3223" s="39"/>
      <c r="C3223" s="39"/>
    </row>
    <row r="3224" spans="2:3">
      <c r="B3224" s="39"/>
      <c r="C3224" s="39"/>
    </row>
    <row r="3225" spans="2:3">
      <c r="B3225" s="39"/>
      <c r="C3225" s="39"/>
    </row>
    <row r="3226" spans="2:3">
      <c r="B3226" s="39"/>
      <c r="C3226" s="39"/>
    </row>
    <row r="3227" spans="2:3">
      <c r="B3227" s="39"/>
      <c r="C3227" s="39"/>
    </row>
    <row r="3228" spans="2:3">
      <c r="B3228" s="39"/>
      <c r="C3228" s="39"/>
    </row>
    <row r="3229" spans="2:3">
      <c r="B3229" s="39"/>
      <c r="C3229" s="39"/>
    </row>
    <row r="3230" spans="2:3">
      <c r="B3230" s="39"/>
      <c r="C3230" s="39"/>
    </row>
    <row r="3231" spans="2:3">
      <c r="B3231" s="39"/>
      <c r="C3231" s="39"/>
    </row>
    <row r="3232" spans="2:3">
      <c r="B3232" s="39"/>
      <c r="C3232" s="39"/>
    </row>
    <row r="3233" spans="2:3">
      <c r="B3233" s="39"/>
      <c r="C3233" s="39"/>
    </row>
    <row r="3234" spans="2:3">
      <c r="B3234" s="39"/>
      <c r="C3234" s="39"/>
    </row>
    <row r="3235" spans="2:3">
      <c r="B3235" s="39"/>
      <c r="C3235" s="39"/>
    </row>
    <row r="3236" spans="2:3">
      <c r="B3236" s="39"/>
      <c r="C3236" s="39"/>
    </row>
    <row r="3237" spans="2:3">
      <c r="B3237" s="39"/>
      <c r="C3237" s="39"/>
    </row>
    <row r="3238" spans="2:3">
      <c r="B3238" s="39"/>
      <c r="C3238" s="39"/>
    </row>
    <row r="3239" spans="2:3">
      <c r="B3239" s="39"/>
      <c r="C3239" s="39"/>
    </row>
    <row r="3240" spans="2:3">
      <c r="B3240" s="39"/>
      <c r="C3240" s="39"/>
    </row>
    <row r="3241" spans="2:3">
      <c r="B3241" s="39"/>
      <c r="C3241" s="39"/>
    </row>
    <row r="3242" spans="2:3">
      <c r="B3242" s="39"/>
      <c r="C3242" s="39"/>
    </row>
    <row r="3243" spans="2:3">
      <c r="B3243" s="39"/>
      <c r="C3243" s="39"/>
    </row>
    <row r="3244" spans="2:3">
      <c r="B3244" s="39"/>
      <c r="C3244" s="39"/>
    </row>
    <row r="3245" spans="2:3">
      <c r="B3245" s="39"/>
      <c r="C3245" s="39"/>
    </row>
    <row r="3246" spans="2:3">
      <c r="B3246" s="39"/>
      <c r="C3246" s="39"/>
    </row>
    <row r="3247" spans="2:3">
      <c r="B3247" s="39"/>
      <c r="C3247" s="39"/>
    </row>
    <row r="3248" spans="2:3">
      <c r="B3248" s="39"/>
      <c r="C3248" s="39"/>
    </row>
    <row r="3249" spans="2:3">
      <c r="B3249" s="39"/>
      <c r="C3249" s="39"/>
    </row>
    <row r="3250" spans="2:3">
      <c r="B3250" s="39"/>
      <c r="C3250" s="39"/>
    </row>
    <row r="3251" spans="2:3">
      <c r="B3251" s="39"/>
      <c r="C3251" s="39"/>
    </row>
    <row r="3252" spans="2:3">
      <c r="B3252" s="39"/>
      <c r="C3252" s="39"/>
    </row>
    <row r="3253" spans="2:3">
      <c r="B3253" s="39"/>
      <c r="C3253" s="39"/>
    </row>
    <row r="3254" spans="2:3">
      <c r="B3254" s="39"/>
      <c r="C3254" s="39"/>
    </row>
    <row r="3255" spans="2:3">
      <c r="B3255" s="39"/>
      <c r="C3255" s="39"/>
    </row>
    <row r="3256" spans="2:3">
      <c r="B3256" s="39"/>
      <c r="C3256" s="39"/>
    </row>
    <row r="3257" spans="2:3">
      <c r="B3257" s="39"/>
      <c r="C3257" s="39"/>
    </row>
    <row r="3258" spans="2:3">
      <c r="B3258" s="39"/>
      <c r="C3258" s="39"/>
    </row>
    <row r="3259" spans="2:3">
      <c r="B3259" s="39"/>
      <c r="C3259" s="39"/>
    </row>
    <row r="3260" spans="2:3">
      <c r="B3260" s="39"/>
      <c r="C3260" s="39"/>
    </row>
    <row r="3261" spans="2:3">
      <c r="B3261" s="39"/>
      <c r="C3261" s="39"/>
    </row>
    <row r="3262" spans="2:3">
      <c r="B3262" s="39"/>
      <c r="C3262" s="39"/>
    </row>
    <row r="3263" spans="2:3">
      <c r="B3263" s="39"/>
      <c r="C3263" s="39"/>
    </row>
    <row r="3264" spans="2:3">
      <c r="B3264" s="39"/>
      <c r="C3264" s="39"/>
    </row>
    <row r="3265" spans="2:3">
      <c r="B3265" s="39"/>
      <c r="C3265" s="39"/>
    </row>
    <row r="3266" spans="2:3">
      <c r="B3266" s="39"/>
      <c r="C3266" s="39"/>
    </row>
    <row r="3267" spans="2:3">
      <c r="B3267" s="39"/>
      <c r="C3267" s="39"/>
    </row>
    <row r="3268" spans="2:3">
      <c r="B3268" s="39"/>
      <c r="C3268" s="39"/>
    </row>
    <row r="3269" spans="2:3">
      <c r="B3269" s="39"/>
      <c r="C3269" s="39"/>
    </row>
    <row r="3270" spans="2:3">
      <c r="B3270" s="39"/>
      <c r="C3270" s="39"/>
    </row>
    <row r="3271" spans="2:3">
      <c r="B3271" s="39"/>
      <c r="C3271" s="39"/>
    </row>
    <row r="3272" spans="2:3">
      <c r="B3272" s="39"/>
      <c r="C3272" s="39"/>
    </row>
    <row r="3273" spans="2:3">
      <c r="B3273" s="39"/>
      <c r="C3273" s="39"/>
    </row>
    <row r="3274" spans="2:3">
      <c r="B3274" s="39"/>
      <c r="C3274" s="39"/>
    </row>
    <row r="3275" spans="2:3">
      <c r="B3275" s="39"/>
      <c r="C3275" s="39"/>
    </row>
    <row r="3276" spans="2:3">
      <c r="B3276" s="39"/>
      <c r="C3276" s="39"/>
    </row>
    <row r="3277" spans="2:3">
      <c r="B3277" s="39"/>
      <c r="C3277" s="39"/>
    </row>
    <row r="3278" spans="2:3">
      <c r="B3278" s="39"/>
      <c r="C3278" s="39"/>
    </row>
    <row r="3279" spans="2:3">
      <c r="B3279" s="39"/>
      <c r="C3279" s="39"/>
    </row>
    <row r="3280" spans="2:3">
      <c r="B3280" s="39"/>
      <c r="C3280" s="39"/>
    </row>
    <row r="3281" spans="2:3">
      <c r="B3281" s="39"/>
      <c r="C3281" s="39"/>
    </row>
    <row r="3282" spans="2:3">
      <c r="B3282" s="39"/>
      <c r="C3282" s="39"/>
    </row>
    <row r="3283" spans="2:3">
      <c r="B3283" s="39"/>
      <c r="C3283" s="39"/>
    </row>
    <row r="3284" spans="2:3">
      <c r="B3284" s="39"/>
      <c r="C3284" s="39"/>
    </row>
    <row r="3285" spans="2:3">
      <c r="B3285" s="39"/>
      <c r="C3285" s="39"/>
    </row>
    <row r="3286" spans="2:3">
      <c r="B3286" s="39"/>
      <c r="C3286" s="39"/>
    </row>
    <row r="3287" spans="2:3">
      <c r="B3287" s="39"/>
      <c r="C3287" s="39"/>
    </row>
    <row r="3288" spans="2:3">
      <c r="B3288" s="39"/>
      <c r="C3288" s="39"/>
    </row>
    <row r="3289" spans="2:3">
      <c r="B3289" s="39"/>
      <c r="C3289" s="39"/>
    </row>
    <row r="3290" spans="2:3">
      <c r="B3290" s="39"/>
      <c r="C3290" s="39"/>
    </row>
    <row r="3291" spans="2:3">
      <c r="B3291" s="39"/>
      <c r="C3291" s="39"/>
    </row>
    <row r="3292" spans="2:3">
      <c r="B3292" s="39"/>
      <c r="C3292" s="39"/>
    </row>
    <row r="3293" spans="2:3">
      <c r="B3293" s="39"/>
      <c r="C3293" s="39"/>
    </row>
    <row r="3294" spans="2:3">
      <c r="B3294" s="39"/>
      <c r="C3294" s="39"/>
    </row>
    <row r="3295" spans="2:3">
      <c r="B3295" s="39"/>
      <c r="C3295" s="39"/>
    </row>
    <row r="3296" spans="2:3">
      <c r="B3296" s="39"/>
      <c r="C3296" s="39"/>
    </row>
    <row r="3297" spans="2:3">
      <c r="B3297" s="39"/>
      <c r="C3297" s="39"/>
    </row>
    <row r="3298" spans="2:3">
      <c r="B3298" s="39"/>
      <c r="C3298" s="39"/>
    </row>
    <row r="3299" spans="2:3">
      <c r="B3299" s="39"/>
      <c r="C3299" s="39"/>
    </row>
    <row r="3300" spans="2:3">
      <c r="B3300" s="39"/>
      <c r="C3300" s="39"/>
    </row>
    <row r="3301" spans="2:3">
      <c r="B3301" s="39"/>
      <c r="C3301" s="39"/>
    </row>
    <row r="3302" spans="2:3">
      <c r="B3302" s="39"/>
      <c r="C3302" s="39"/>
    </row>
    <row r="3303" spans="2:3">
      <c r="B3303" s="39"/>
      <c r="C3303" s="39"/>
    </row>
    <row r="3304" spans="2:3">
      <c r="B3304" s="39"/>
      <c r="C3304" s="39"/>
    </row>
    <row r="3305" spans="2:3">
      <c r="B3305" s="39"/>
      <c r="C3305" s="39"/>
    </row>
    <row r="3306" spans="2:3">
      <c r="B3306" s="39"/>
      <c r="C3306" s="39"/>
    </row>
    <row r="3307" spans="2:3">
      <c r="B3307" s="39"/>
      <c r="C3307" s="39"/>
    </row>
    <row r="3308" spans="2:3">
      <c r="B3308" s="39"/>
      <c r="C3308" s="39"/>
    </row>
    <row r="3309" spans="2:3">
      <c r="B3309" s="39"/>
      <c r="C3309" s="39"/>
    </row>
    <row r="3310" spans="2:3">
      <c r="B3310" s="39"/>
      <c r="C3310" s="39"/>
    </row>
    <row r="3311" spans="2:3">
      <c r="B3311" s="39"/>
      <c r="C3311" s="39"/>
    </row>
    <row r="3312" spans="2:3">
      <c r="B3312" s="39"/>
      <c r="C3312" s="39"/>
    </row>
    <row r="3313" spans="2:3">
      <c r="B3313" s="39"/>
      <c r="C3313" s="39"/>
    </row>
    <row r="3314" spans="2:3">
      <c r="B3314" s="39"/>
      <c r="C3314" s="39"/>
    </row>
    <row r="3315" spans="2:3">
      <c r="B3315" s="39"/>
      <c r="C3315" s="39"/>
    </row>
    <row r="3316" spans="2:3">
      <c r="B3316" s="39"/>
      <c r="C3316" s="39"/>
    </row>
    <row r="3317" spans="2:3">
      <c r="B3317" s="39"/>
      <c r="C3317" s="39"/>
    </row>
    <row r="3318" spans="2:3">
      <c r="B3318" s="39"/>
      <c r="C3318" s="39"/>
    </row>
    <row r="3319" spans="2:3">
      <c r="B3319" s="39"/>
      <c r="C3319" s="39"/>
    </row>
    <row r="3320" spans="2:3">
      <c r="B3320" s="39"/>
      <c r="C3320" s="39"/>
    </row>
    <row r="3321" spans="2:3">
      <c r="B3321" s="39"/>
      <c r="C3321" s="39"/>
    </row>
    <row r="3322" spans="2:3">
      <c r="B3322" s="39"/>
      <c r="C3322" s="39"/>
    </row>
    <row r="3323" spans="2:3">
      <c r="B3323" s="39"/>
      <c r="C3323" s="39"/>
    </row>
    <row r="3324" spans="2:3">
      <c r="B3324" s="39"/>
      <c r="C3324" s="39"/>
    </row>
    <row r="3325" spans="2:3">
      <c r="B3325" s="39"/>
      <c r="C3325" s="39"/>
    </row>
    <row r="3326" spans="2:3">
      <c r="B3326" s="39"/>
      <c r="C3326" s="39"/>
    </row>
    <row r="3327" spans="2:3">
      <c r="B3327" s="39"/>
      <c r="C3327" s="39"/>
    </row>
    <row r="3328" spans="2:3">
      <c r="B3328" s="39"/>
      <c r="C3328" s="39"/>
    </row>
    <row r="3329" spans="2:3">
      <c r="B3329" s="39"/>
      <c r="C3329" s="39"/>
    </row>
    <row r="3330" spans="2:3">
      <c r="B3330" s="39"/>
      <c r="C3330" s="39"/>
    </row>
    <row r="3331" spans="2:3">
      <c r="B3331" s="39"/>
      <c r="C3331" s="39"/>
    </row>
    <row r="3332" spans="2:3">
      <c r="B3332" s="39"/>
      <c r="C3332" s="39"/>
    </row>
    <row r="3333" spans="2:3">
      <c r="B3333" s="39"/>
      <c r="C3333" s="39"/>
    </row>
    <row r="3334" spans="2:3">
      <c r="B3334" s="39"/>
      <c r="C3334" s="39"/>
    </row>
    <row r="3335" spans="2:3">
      <c r="B3335" s="39"/>
      <c r="C3335" s="39"/>
    </row>
    <row r="3336" spans="2:3">
      <c r="B3336" s="39"/>
      <c r="C3336" s="39"/>
    </row>
    <row r="3337" spans="2:3">
      <c r="B3337" s="39"/>
      <c r="C3337" s="39"/>
    </row>
    <row r="3338" spans="2:3">
      <c r="B3338" s="39"/>
      <c r="C3338" s="39"/>
    </row>
    <row r="3339" spans="2:3">
      <c r="B3339" s="39"/>
      <c r="C3339" s="39"/>
    </row>
    <row r="3340" spans="2:3">
      <c r="B3340" s="39"/>
      <c r="C3340" s="39"/>
    </row>
    <row r="3341" spans="2:3">
      <c r="B3341" s="39"/>
      <c r="C3341" s="39"/>
    </row>
    <row r="3342" spans="2:3">
      <c r="B3342" s="39"/>
      <c r="C3342" s="39"/>
    </row>
    <row r="3343" spans="2:3">
      <c r="B3343" s="39"/>
      <c r="C3343" s="39"/>
    </row>
    <row r="3344" spans="2:3">
      <c r="B3344" s="39"/>
      <c r="C3344" s="39"/>
    </row>
    <row r="3345" spans="2:3">
      <c r="B3345" s="39"/>
      <c r="C3345" s="39"/>
    </row>
    <row r="3346" spans="2:3">
      <c r="B3346" s="39"/>
      <c r="C3346" s="39"/>
    </row>
    <row r="3347" spans="2:3">
      <c r="B3347" s="39"/>
      <c r="C3347" s="39"/>
    </row>
    <row r="3348" spans="2:3">
      <c r="B3348" s="39"/>
      <c r="C3348" s="39"/>
    </row>
    <row r="3349" spans="2:3">
      <c r="B3349" s="39"/>
      <c r="C3349" s="39"/>
    </row>
    <row r="3350" spans="2:3">
      <c r="B3350" s="39"/>
      <c r="C3350" s="39"/>
    </row>
    <row r="3351" spans="2:3">
      <c r="B3351" s="39"/>
      <c r="C3351" s="39"/>
    </row>
    <row r="3352" spans="2:3">
      <c r="B3352" s="39"/>
      <c r="C3352" s="39"/>
    </row>
    <row r="3353" spans="2:3">
      <c r="B3353" s="39"/>
      <c r="C3353" s="39"/>
    </row>
    <row r="3354" spans="2:3">
      <c r="B3354" s="39"/>
      <c r="C3354" s="39"/>
    </row>
    <row r="3355" spans="2:3">
      <c r="B3355" s="39"/>
      <c r="C3355" s="39"/>
    </row>
    <row r="3356" spans="2:3">
      <c r="B3356" s="39"/>
      <c r="C3356" s="39"/>
    </row>
    <row r="3357" spans="2:3">
      <c r="B3357" s="39"/>
      <c r="C3357" s="39"/>
    </row>
    <row r="3358" spans="2:3">
      <c r="B3358" s="39"/>
      <c r="C3358" s="39"/>
    </row>
    <row r="3359" spans="2:3">
      <c r="B3359" s="39"/>
      <c r="C3359" s="39"/>
    </row>
    <row r="3360" spans="2:3">
      <c r="B3360" s="39"/>
      <c r="C3360" s="39"/>
    </row>
    <row r="3361" spans="2:3">
      <c r="B3361" s="39"/>
      <c r="C3361" s="39"/>
    </row>
    <row r="3362" spans="2:3">
      <c r="B3362" s="39"/>
      <c r="C3362" s="39"/>
    </row>
    <row r="3363" spans="2:3">
      <c r="B3363" s="39"/>
      <c r="C3363" s="39"/>
    </row>
    <row r="3364" spans="2:3">
      <c r="B3364" s="39"/>
      <c r="C3364" s="39"/>
    </row>
    <row r="3365" spans="2:3">
      <c r="B3365" s="39"/>
      <c r="C3365" s="39"/>
    </row>
    <row r="3366" spans="2:3">
      <c r="B3366" s="39"/>
      <c r="C3366" s="39"/>
    </row>
    <row r="3367" spans="2:3">
      <c r="B3367" s="39"/>
      <c r="C3367" s="39"/>
    </row>
    <row r="3368" spans="2:3">
      <c r="B3368" s="39"/>
      <c r="C3368" s="39"/>
    </row>
    <row r="3369" spans="2:3">
      <c r="B3369" s="39"/>
      <c r="C3369" s="39"/>
    </row>
    <row r="3370" spans="2:3">
      <c r="B3370" s="39"/>
      <c r="C3370" s="39"/>
    </row>
    <row r="3371" spans="2:3">
      <c r="B3371" s="39"/>
      <c r="C3371" s="39"/>
    </row>
    <row r="3372" spans="2:3">
      <c r="B3372" s="39"/>
      <c r="C3372" s="39"/>
    </row>
    <row r="3373" spans="2:3">
      <c r="B3373" s="39"/>
      <c r="C3373" s="39"/>
    </row>
    <row r="3374" spans="2:3">
      <c r="B3374" s="39"/>
      <c r="C3374" s="39"/>
    </row>
    <row r="3375" spans="2:3">
      <c r="B3375" s="39"/>
      <c r="C3375" s="39"/>
    </row>
    <row r="3376" spans="2:3">
      <c r="B3376" s="39"/>
      <c r="C3376" s="39"/>
    </row>
    <row r="3377" spans="2:3">
      <c r="B3377" s="39"/>
      <c r="C3377" s="39"/>
    </row>
    <row r="3378" spans="2:3">
      <c r="B3378" s="39"/>
      <c r="C3378" s="39"/>
    </row>
    <row r="3379" spans="2:3">
      <c r="B3379" s="39"/>
      <c r="C3379" s="39"/>
    </row>
    <row r="3380" spans="2:3">
      <c r="B3380" s="39"/>
      <c r="C3380" s="39"/>
    </row>
    <row r="3381" spans="2:3">
      <c r="B3381" s="39"/>
      <c r="C3381" s="39"/>
    </row>
    <row r="3382" spans="2:3">
      <c r="B3382" s="39"/>
      <c r="C3382" s="39"/>
    </row>
    <row r="3383" spans="2:3">
      <c r="B3383" s="39"/>
      <c r="C3383" s="39"/>
    </row>
    <row r="3384" spans="2:3">
      <c r="B3384" s="39"/>
      <c r="C3384" s="39"/>
    </row>
    <row r="3385" spans="2:3">
      <c r="B3385" s="39"/>
      <c r="C3385" s="39"/>
    </row>
    <row r="3386" spans="2:3">
      <c r="B3386" s="39"/>
      <c r="C3386" s="39"/>
    </row>
    <row r="3387" spans="2:3">
      <c r="B3387" s="39"/>
      <c r="C3387" s="39"/>
    </row>
    <row r="3388" spans="2:3">
      <c r="B3388" s="39"/>
      <c r="C3388" s="39"/>
    </row>
    <row r="3389" spans="2:3">
      <c r="B3389" s="39"/>
      <c r="C3389" s="39"/>
    </row>
    <row r="3390" spans="2:3">
      <c r="B3390" s="39"/>
      <c r="C3390" s="39"/>
    </row>
    <row r="3391" spans="2:3">
      <c r="B3391" s="39"/>
      <c r="C3391" s="39"/>
    </row>
    <row r="3392" spans="2:3">
      <c r="B3392" s="39"/>
      <c r="C3392" s="39"/>
    </row>
    <row r="3393" spans="2:3">
      <c r="B3393" s="39"/>
      <c r="C3393" s="39"/>
    </row>
    <row r="3394" spans="2:3">
      <c r="B3394" s="39"/>
      <c r="C3394" s="39"/>
    </row>
    <row r="3395" spans="2:3">
      <c r="B3395" s="39"/>
      <c r="C3395" s="39"/>
    </row>
    <row r="3396" spans="2:3">
      <c r="B3396" s="39"/>
      <c r="C3396" s="39"/>
    </row>
    <row r="3397" spans="2:3">
      <c r="B3397" s="39"/>
      <c r="C3397" s="39"/>
    </row>
    <row r="3398" spans="2:3">
      <c r="B3398" s="39"/>
      <c r="C3398" s="39"/>
    </row>
    <row r="3399" spans="2:3">
      <c r="B3399" s="39"/>
      <c r="C3399" s="39"/>
    </row>
    <row r="3400" spans="2:3">
      <c r="B3400" s="39"/>
      <c r="C3400" s="39"/>
    </row>
    <row r="3401" spans="2:3">
      <c r="B3401" s="39"/>
      <c r="C3401" s="39"/>
    </row>
    <row r="3402" spans="2:3">
      <c r="B3402" s="39"/>
      <c r="C3402" s="39"/>
    </row>
    <row r="3403" spans="2:3">
      <c r="B3403" s="39"/>
      <c r="C3403" s="39"/>
    </row>
    <row r="3404" spans="2:3">
      <c r="B3404" s="39"/>
      <c r="C3404" s="39"/>
    </row>
    <row r="3405" spans="2:3">
      <c r="B3405" s="39"/>
      <c r="C3405" s="39"/>
    </row>
    <row r="3406" spans="2:3">
      <c r="B3406" s="39"/>
      <c r="C3406" s="39"/>
    </row>
    <row r="3407" spans="2:3">
      <c r="B3407" s="39"/>
      <c r="C3407" s="39"/>
    </row>
    <row r="3408" spans="2:3">
      <c r="B3408" s="39"/>
      <c r="C3408" s="39"/>
    </row>
    <row r="3409" spans="2:3">
      <c r="B3409" s="39"/>
      <c r="C3409" s="39"/>
    </row>
    <row r="3410" spans="2:3">
      <c r="B3410" s="39"/>
      <c r="C3410" s="39"/>
    </row>
    <row r="3411" spans="2:3">
      <c r="B3411" s="39"/>
      <c r="C3411" s="39"/>
    </row>
    <row r="3412" spans="2:3">
      <c r="B3412" s="39"/>
      <c r="C3412" s="39"/>
    </row>
    <row r="3413" spans="2:3">
      <c r="B3413" s="39"/>
      <c r="C3413" s="39"/>
    </row>
    <row r="3414" spans="2:3">
      <c r="B3414" s="39"/>
      <c r="C3414" s="39"/>
    </row>
    <row r="3415" spans="2:3">
      <c r="B3415" s="39"/>
      <c r="C3415" s="39"/>
    </row>
    <row r="3416" spans="2:3">
      <c r="B3416" s="39"/>
      <c r="C3416" s="39"/>
    </row>
    <row r="3417" spans="2:3">
      <c r="B3417" s="39"/>
      <c r="C3417" s="39"/>
    </row>
    <row r="3418" spans="2:3">
      <c r="B3418" s="39"/>
      <c r="C3418" s="39"/>
    </row>
    <row r="3419" spans="2:3">
      <c r="B3419" s="39"/>
      <c r="C3419" s="39"/>
    </row>
    <row r="3420" spans="2:3">
      <c r="B3420" s="39"/>
      <c r="C3420" s="39"/>
    </row>
    <row r="3421" spans="2:3">
      <c r="B3421" s="39"/>
      <c r="C3421" s="39"/>
    </row>
    <row r="3422" spans="2:3">
      <c r="B3422" s="39"/>
      <c r="C3422" s="39"/>
    </row>
    <row r="3423" spans="2:3">
      <c r="B3423" s="39"/>
      <c r="C3423" s="39"/>
    </row>
    <row r="3424" spans="2:3">
      <c r="B3424" s="39"/>
      <c r="C3424" s="39"/>
    </row>
    <row r="3425" spans="2:3">
      <c r="B3425" s="39"/>
      <c r="C3425" s="39"/>
    </row>
    <row r="3426" spans="2:3">
      <c r="B3426" s="39"/>
      <c r="C3426" s="39"/>
    </row>
    <row r="3427" spans="2:3">
      <c r="B3427" s="39"/>
      <c r="C3427" s="39"/>
    </row>
    <row r="3428" spans="2:3">
      <c r="B3428" s="39"/>
      <c r="C3428" s="39"/>
    </row>
    <row r="3429" spans="2:3">
      <c r="B3429" s="39"/>
      <c r="C3429" s="39"/>
    </row>
    <row r="3430" spans="2:3">
      <c r="B3430" s="39"/>
      <c r="C3430" s="39"/>
    </row>
    <row r="3431" spans="2:3">
      <c r="B3431" s="39"/>
      <c r="C3431" s="39"/>
    </row>
    <row r="3432" spans="2:3">
      <c r="B3432" s="39"/>
      <c r="C3432" s="39"/>
    </row>
    <row r="3433" spans="2:3">
      <c r="B3433" s="39"/>
      <c r="C3433" s="39"/>
    </row>
    <row r="3434" spans="2:3">
      <c r="B3434" s="39"/>
      <c r="C3434" s="39"/>
    </row>
    <row r="3435" spans="2:3">
      <c r="B3435" s="39"/>
      <c r="C3435" s="39"/>
    </row>
    <row r="3436" spans="2:3">
      <c r="B3436" s="39"/>
      <c r="C3436" s="39"/>
    </row>
    <row r="3437" spans="2:3">
      <c r="B3437" s="39"/>
      <c r="C3437" s="39"/>
    </row>
    <row r="3438" spans="2:3">
      <c r="B3438" s="39"/>
      <c r="C3438" s="39"/>
    </row>
    <row r="3439" spans="2:3">
      <c r="B3439" s="39"/>
      <c r="C3439" s="39"/>
    </row>
    <row r="3440" spans="2:3">
      <c r="B3440" s="39"/>
      <c r="C3440" s="39"/>
    </row>
    <row r="3441" spans="2:3">
      <c r="B3441" s="39"/>
      <c r="C3441" s="39"/>
    </row>
    <row r="3442" spans="2:3">
      <c r="B3442" s="39"/>
      <c r="C3442" s="39"/>
    </row>
    <row r="3443" spans="2:3">
      <c r="B3443" s="39"/>
      <c r="C3443" s="39"/>
    </row>
    <row r="3444" spans="2:3">
      <c r="B3444" s="39"/>
      <c r="C3444" s="39"/>
    </row>
    <row r="3445" spans="2:3">
      <c r="B3445" s="39"/>
      <c r="C3445" s="39"/>
    </row>
    <row r="3446" spans="2:3">
      <c r="B3446" s="39"/>
      <c r="C3446" s="39"/>
    </row>
    <row r="3447" spans="2:3">
      <c r="B3447" s="39"/>
      <c r="C3447" s="39"/>
    </row>
    <row r="3448" spans="2:3">
      <c r="B3448" s="39"/>
      <c r="C3448" s="39"/>
    </row>
    <row r="3449" spans="2:3">
      <c r="B3449" s="39"/>
      <c r="C3449" s="39"/>
    </row>
    <row r="3450" spans="2:3">
      <c r="B3450" s="39"/>
      <c r="C3450" s="39"/>
    </row>
    <row r="3451" spans="2:3">
      <c r="B3451" s="39"/>
      <c r="C3451" s="39"/>
    </row>
    <row r="3452" spans="2:3">
      <c r="B3452" s="39"/>
      <c r="C3452" s="39"/>
    </row>
    <row r="3453" spans="2:3">
      <c r="B3453" s="39"/>
      <c r="C3453" s="39"/>
    </row>
    <row r="3454" spans="2:3">
      <c r="B3454" s="39"/>
      <c r="C3454" s="39"/>
    </row>
    <row r="3455" spans="2:3">
      <c r="B3455" s="39"/>
      <c r="C3455" s="39"/>
    </row>
    <row r="3456" spans="2:3">
      <c r="B3456" s="39"/>
      <c r="C3456" s="39"/>
    </row>
    <row r="3457" spans="2:3">
      <c r="B3457" s="39"/>
      <c r="C3457" s="39"/>
    </row>
    <row r="3458" spans="2:3">
      <c r="B3458" s="39"/>
      <c r="C3458" s="39"/>
    </row>
    <row r="3459" spans="2:3">
      <c r="B3459" s="39"/>
      <c r="C3459" s="39"/>
    </row>
    <row r="3460" spans="2:3">
      <c r="B3460" s="39"/>
      <c r="C3460" s="39"/>
    </row>
    <row r="3461" spans="2:3">
      <c r="B3461" s="39"/>
      <c r="C3461" s="39"/>
    </row>
    <row r="3462" spans="2:3">
      <c r="B3462" s="39"/>
      <c r="C3462" s="39"/>
    </row>
    <row r="3463" spans="2:3">
      <c r="B3463" s="39"/>
      <c r="C3463" s="39"/>
    </row>
    <row r="3464" spans="2:3">
      <c r="B3464" s="39"/>
      <c r="C3464" s="39"/>
    </row>
    <row r="3465" spans="2:3">
      <c r="B3465" s="39"/>
      <c r="C3465" s="39"/>
    </row>
    <row r="3466" spans="2:3">
      <c r="B3466" s="39"/>
      <c r="C3466" s="39"/>
    </row>
    <row r="3467" spans="2:3">
      <c r="B3467" s="39"/>
      <c r="C3467" s="39"/>
    </row>
    <row r="3468" spans="2:3">
      <c r="B3468" s="39"/>
      <c r="C3468" s="39"/>
    </row>
    <row r="3469" spans="2:3">
      <c r="B3469" s="39"/>
      <c r="C3469" s="39"/>
    </row>
    <row r="3470" spans="2:3">
      <c r="B3470" s="39"/>
      <c r="C3470" s="39"/>
    </row>
    <row r="3471" spans="2:3">
      <c r="B3471" s="39"/>
      <c r="C3471" s="39"/>
    </row>
    <row r="3472" spans="2:3">
      <c r="B3472" s="39"/>
      <c r="C3472" s="39"/>
    </row>
    <row r="3473" spans="2:3">
      <c r="B3473" s="39"/>
      <c r="C3473" s="39"/>
    </row>
    <row r="3474" spans="2:3">
      <c r="B3474" s="39"/>
      <c r="C3474" s="39"/>
    </row>
    <row r="3475" spans="2:3">
      <c r="B3475" s="39"/>
      <c r="C3475" s="39"/>
    </row>
    <row r="3476" spans="2:3">
      <c r="B3476" s="39"/>
      <c r="C3476" s="39"/>
    </row>
    <row r="3477" spans="2:3">
      <c r="B3477" s="39"/>
      <c r="C3477" s="39"/>
    </row>
    <row r="3478" spans="2:3">
      <c r="B3478" s="39"/>
      <c r="C3478" s="39"/>
    </row>
    <row r="3479" spans="2:3">
      <c r="B3479" s="39"/>
      <c r="C3479" s="39"/>
    </row>
    <row r="3480" spans="2:3">
      <c r="B3480" s="39"/>
      <c r="C3480" s="39"/>
    </row>
    <row r="3481" spans="2:3">
      <c r="B3481" s="39"/>
      <c r="C3481" s="39"/>
    </row>
    <row r="3482" spans="2:3">
      <c r="B3482" s="39"/>
      <c r="C3482" s="39"/>
    </row>
    <row r="3483" spans="2:3">
      <c r="B3483" s="39"/>
      <c r="C3483" s="39"/>
    </row>
    <row r="3484" spans="2:3">
      <c r="B3484" s="39"/>
      <c r="C3484" s="39"/>
    </row>
    <row r="3485" spans="2:3">
      <c r="B3485" s="39"/>
      <c r="C3485" s="39"/>
    </row>
    <row r="3486" spans="2:3">
      <c r="B3486" s="39"/>
      <c r="C3486" s="39"/>
    </row>
    <row r="3487" spans="2:3">
      <c r="B3487" s="39"/>
      <c r="C3487" s="39"/>
    </row>
    <row r="3488" spans="2:3">
      <c r="B3488" s="39"/>
      <c r="C3488" s="39"/>
    </row>
    <row r="3489" spans="2:3">
      <c r="B3489" s="39"/>
      <c r="C3489" s="39"/>
    </row>
    <row r="3490" spans="2:3">
      <c r="B3490" s="39"/>
      <c r="C3490" s="39"/>
    </row>
    <row r="3491" spans="2:3">
      <c r="B3491" s="39"/>
      <c r="C3491" s="39"/>
    </row>
    <row r="3492" spans="2:3">
      <c r="B3492" s="39"/>
      <c r="C3492" s="39"/>
    </row>
    <row r="3493" spans="2:3">
      <c r="B3493" s="39"/>
      <c r="C3493" s="39"/>
    </row>
    <row r="3494" spans="2:3">
      <c r="B3494" s="39"/>
      <c r="C3494" s="39"/>
    </row>
    <row r="3495" spans="2:3">
      <c r="B3495" s="39"/>
      <c r="C3495" s="39"/>
    </row>
    <row r="3496" spans="2:3">
      <c r="B3496" s="39"/>
      <c r="C3496" s="39"/>
    </row>
    <row r="3497" spans="2:3">
      <c r="B3497" s="39"/>
      <c r="C3497" s="39"/>
    </row>
    <row r="3498" spans="2:3">
      <c r="B3498" s="39"/>
      <c r="C3498" s="39"/>
    </row>
    <row r="3499" spans="2:3">
      <c r="B3499" s="39"/>
      <c r="C3499" s="39"/>
    </row>
    <row r="3500" spans="2:3">
      <c r="B3500" s="39"/>
      <c r="C3500" s="39"/>
    </row>
    <row r="3501" spans="2:3">
      <c r="B3501" s="39"/>
      <c r="C3501" s="39"/>
    </row>
    <row r="3502" spans="2:3">
      <c r="B3502" s="39"/>
      <c r="C3502" s="39"/>
    </row>
    <row r="3503" spans="2:3">
      <c r="B3503" s="39"/>
      <c r="C3503" s="39"/>
    </row>
    <row r="3504" spans="2:3">
      <c r="B3504" s="39"/>
      <c r="C3504" s="39"/>
    </row>
    <row r="3505" spans="2:3">
      <c r="B3505" s="39"/>
      <c r="C3505" s="39"/>
    </row>
    <row r="3506" spans="2:3">
      <c r="B3506" s="39"/>
      <c r="C3506" s="39"/>
    </row>
    <row r="3507" spans="2:3">
      <c r="B3507" s="39"/>
      <c r="C3507" s="39"/>
    </row>
    <row r="3508" spans="2:3">
      <c r="B3508" s="39"/>
      <c r="C3508" s="39"/>
    </row>
    <row r="3509" spans="2:3">
      <c r="B3509" s="39"/>
      <c r="C3509" s="39"/>
    </row>
    <row r="3510" spans="2:3">
      <c r="B3510" s="39"/>
      <c r="C3510" s="39"/>
    </row>
    <row r="3511" spans="2:3">
      <c r="B3511" s="39"/>
      <c r="C3511" s="39"/>
    </row>
    <row r="3512" spans="2:3">
      <c r="B3512" s="39"/>
      <c r="C3512" s="39"/>
    </row>
    <row r="3513" spans="2:3">
      <c r="B3513" s="39"/>
      <c r="C3513" s="39"/>
    </row>
    <row r="3514" spans="2:3">
      <c r="B3514" s="39"/>
      <c r="C3514" s="39"/>
    </row>
    <row r="3515" spans="2:3">
      <c r="B3515" s="39"/>
      <c r="C3515" s="39"/>
    </row>
    <row r="3516" spans="2:3">
      <c r="B3516" s="39"/>
      <c r="C3516" s="39"/>
    </row>
    <row r="3517" spans="2:3">
      <c r="B3517" s="39"/>
      <c r="C3517" s="39"/>
    </row>
    <row r="3518" spans="2:3">
      <c r="B3518" s="39"/>
      <c r="C3518" s="39"/>
    </row>
    <row r="3519" spans="2:3">
      <c r="B3519" s="39"/>
      <c r="C3519" s="39"/>
    </row>
    <row r="3520" spans="2:3">
      <c r="B3520" s="39"/>
      <c r="C3520" s="39"/>
    </row>
    <row r="3521" spans="2:3">
      <c r="B3521" s="39"/>
      <c r="C3521" s="39"/>
    </row>
    <row r="3522" spans="2:3">
      <c r="B3522" s="39"/>
      <c r="C3522" s="39"/>
    </row>
    <row r="3523" spans="2:3">
      <c r="B3523" s="39"/>
      <c r="C3523" s="39"/>
    </row>
    <row r="3524" spans="2:3">
      <c r="B3524" s="39"/>
      <c r="C3524" s="39"/>
    </row>
    <row r="3525" spans="2:3">
      <c r="B3525" s="39"/>
      <c r="C3525" s="39"/>
    </row>
    <row r="3526" spans="2:3">
      <c r="B3526" s="39"/>
      <c r="C3526" s="39"/>
    </row>
    <row r="3527" spans="2:3">
      <c r="B3527" s="39"/>
      <c r="C3527" s="39"/>
    </row>
    <row r="3528" spans="2:3">
      <c r="B3528" s="39"/>
      <c r="C3528" s="39"/>
    </row>
    <row r="3529" spans="2:3">
      <c r="B3529" s="39"/>
      <c r="C3529" s="39"/>
    </row>
    <row r="3530" spans="2:3">
      <c r="B3530" s="39"/>
      <c r="C3530" s="39"/>
    </row>
    <row r="3531" spans="2:3">
      <c r="B3531" s="39"/>
      <c r="C3531" s="39"/>
    </row>
    <row r="3532" spans="2:3">
      <c r="B3532" s="39"/>
      <c r="C3532" s="39"/>
    </row>
    <row r="3533" spans="2:3">
      <c r="B3533" s="39"/>
      <c r="C3533" s="39"/>
    </row>
    <row r="3534" spans="2:3">
      <c r="B3534" s="39"/>
      <c r="C3534" s="39"/>
    </row>
    <row r="3535" spans="2:3">
      <c r="B3535" s="39"/>
      <c r="C3535" s="39"/>
    </row>
    <row r="3536" spans="2:3">
      <c r="B3536" s="39"/>
      <c r="C3536" s="39"/>
    </row>
    <row r="3537" spans="2:3">
      <c r="B3537" s="39"/>
      <c r="C3537" s="39"/>
    </row>
    <row r="3538" spans="2:3">
      <c r="B3538" s="39"/>
      <c r="C3538" s="39"/>
    </row>
    <row r="3539" spans="2:3">
      <c r="B3539" s="39"/>
      <c r="C3539" s="39"/>
    </row>
    <row r="3540" spans="2:3">
      <c r="B3540" s="39"/>
      <c r="C3540" s="39"/>
    </row>
    <row r="3541" spans="2:3">
      <c r="B3541" s="39"/>
      <c r="C3541" s="39"/>
    </row>
    <row r="3542" spans="2:3">
      <c r="B3542" s="39"/>
      <c r="C3542" s="39"/>
    </row>
    <row r="3543" spans="2:3">
      <c r="B3543" s="39"/>
      <c r="C3543" s="39"/>
    </row>
    <row r="3544" spans="2:3">
      <c r="B3544" s="39"/>
      <c r="C3544" s="39"/>
    </row>
    <row r="3545" spans="2:3">
      <c r="B3545" s="39"/>
      <c r="C3545" s="39"/>
    </row>
    <row r="3546" spans="2:3">
      <c r="B3546" s="39"/>
      <c r="C3546" s="39"/>
    </row>
    <row r="3547" spans="2:3">
      <c r="B3547" s="39"/>
      <c r="C3547" s="39"/>
    </row>
    <row r="3548" spans="2:3">
      <c r="B3548" s="39"/>
      <c r="C3548" s="39"/>
    </row>
    <row r="3549" spans="2:3">
      <c r="B3549" s="39"/>
      <c r="C3549" s="39"/>
    </row>
    <row r="3550" spans="2:3">
      <c r="B3550" s="39"/>
      <c r="C3550" s="39"/>
    </row>
    <row r="3551" spans="2:3">
      <c r="B3551" s="39"/>
      <c r="C3551" s="39"/>
    </row>
    <row r="3552" spans="2:3">
      <c r="B3552" s="39"/>
      <c r="C3552" s="39"/>
    </row>
    <row r="3553" spans="2:3">
      <c r="B3553" s="39"/>
      <c r="C3553" s="39"/>
    </row>
    <row r="3554" spans="2:3">
      <c r="B3554" s="39"/>
      <c r="C3554" s="39"/>
    </row>
    <row r="3555" spans="2:3">
      <c r="B3555" s="39"/>
      <c r="C3555" s="39"/>
    </row>
    <row r="3556" spans="2:3">
      <c r="B3556" s="39"/>
      <c r="C3556" s="39"/>
    </row>
    <row r="3557" spans="2:3">
      <c r="B3557" s="39"/>
      <c r="C3557" s="39"/>
    </row>
    <row r="3558" spans="2:3">
      <c r="B3558" s="39"/>
      <c r="C3558" s="39"/>
    </row>
    <row r="3559" spans="2:3">
      <c r="B3559" s="39"/>
      <c r="C3559" s="39"/>
    </row>
    <row r="3560" spans="2:3">
      <c r="B3560" s="39"/>
      <c r="C3560" s="39"/>
    </row>
    <row r="3561" spans="2:3">
      <c r="B3561" s="39"/>
      <c r="C3561" s="39"/>
    </row>
    <row r="3562" spans="2:3">
      <c r="B3562" s="39"/>
      <c r="C3562" s="39"/>
    </row>
    <row r="3563" spans="2:3">
      <c r="B3563" s="39"/>
      <c r="C3563" s="39"/>
    </row>
    <row r="3564" spans="2:3">
      <c r="B3564" s="39"/>
      <c r="C3564" s="39"/>
    </row>
    <row r="3565" spans="2:3">
      <c r="B3565" s="39"/>
      <c r="C3565" s="39"/>
    </row>
    <row r="3566" spans="2:3">
      <c r="B3566" s="39"/>
      <c r="C3566" s="39"/>
    </row>
    <row r="3567" spans="2:3">
      <c r="B3567" s="39"/>
      <c r="C3567" s="39"/>
    </row>
    <row r="3568" spans="2:3">
      <c r="B3568" s="39"/>
      <c r="C3568" s="39"/>
    </row>
    <row r="3569" spans="2:3">
      <c r="B3569" s="39"/>
      <c r="C3569" s="39"/>
    </row>
    <row r="3570" spans="2:3">
      <c r="B3570" s="39"/>
      <c r="C3570" s="39"/>
    </row>
    <row r="3571" spans="2:3">
      <c r="B3571" s="39"/>
      <c r="C3571" s="39"/>
    </row>
    <row r="3572" spans="2:3">
      <c r="B3572" s="39"/>
      <c r="C3572" s="39"/>
    </row>
    <row r="3573" spans="2:3">
      <c r="B3573" s="39"/>
      <c r="C3573" s="39"/>
    </row>
    <row r="3574" spans="2:3">
      <c r="B3574" s="39"/>
      <c r="C3574" s="39"/>
    </row>
    <row r="3575" spans="2:3">
      <c r="B3575" s="39"/>
      <c r="C3575" s="39"/>
    </row>
    <row r="3576" spans="2:3">
      <c r="B3576" s="39"/>
      <c r="C3576" s="39"/>
    </row>
    <row r="3577" spans="2:3">
      <c r="B3577" s="39"/>
      <c r="C3577" s="39"/>
    </row>
    <row r="3578" spans="2:3">
      <c r="B3578" s="39"/>
      <c r="C3578" s="39"/>
    </row>
    <row r="3579" spans="2:3">
      <c r="B3579" s="39"/>
      <c r="C3579" s="39"/>
    </row>
    <row r="3580" spans="2:3">
      <c r="B3580" s="39"/>
      <c r="C3580" s="39"/>
    </row>
    <row r="3581" spans="2:3">
      <c r="B3581" s="39"/>
      <c r="C3581" s="39"/>
    </row>
    <row r="3582" spans="2:3">
      <c r="B3582" s="39"/>
      <c r="C3582" s="39"/>
    </row>
    <row r="3583" spans="2:3">
      <c r="B3583" s="39"/>
      <c r="C3583" s="39"/>
    </row>
    <row r="3584" spans="2:3">
      <c r="B3584" s="39"/>
      <c r="C3584" s="39"/>
    </row>
    <row r="3585" spans="2:3">
      <c r="B3585" s="39"/>
      <c r="C3585" s="39"/>
    </row>
    <row r="3586" spans="2:3">
      <c r="B3586" s="39"/>
      <c r="C3586" s="39"/>
    </row>
    <row r="3587" spans="2:3">
      <c r="B3587" s="39"/>
      <c r="C3587" s="39"/>
    </row>
    <row r="3588" spans="2:3">
      <c r="B3588" s="39"/>
      <c r="C3588" s="39"/>
    </row>
    <row r="3589" spans="2:3">
      <c r="B3589" s="39"/>
      <c r="C3589" s="39"/>
    </row>
    <row r="3590" spans="2:3">
      <c r="B3590" s="39"/>
      <c r="C3590" s="39"/>
    </row>
    <row r="3591" spans="2:3">
      <c r="B3591" s="39"/>
      <c r="C3591" s="39"/>
    </row>
    <row r="3592" spans="2:3">
      <c r="B3592" s="39"/>
      <c r="C3592" s="39"/>
    </row>
    <row r="3593" spans="2:3">
      <c r="B3593" s="39"/>
      <c r="C3593" s="39"/>
    </row>
    <row r="3594" spans="2:3">
      <c r="B3594" s="39"/>
      <c r="C3594" s="39"/>
    </row>
    <row r="3595" spans="2:3">
      <c r="B3595" s="39"/>
      <c r="C3595" s="39"/>
    </row>
    <row r="3596" spans="2:3">
      <c r="B3596" s="39"/>
      <c r="C3596" s="39"/>
    </row>
    <row r="3597" spans="2:3">
      <c r="B3597" s="39"/>
      <c r="C3597" s="39"/>
    </row>
    <row r="3598" spans="2:3">
      <c r="B3598" s="39"/>
      <c r="C3598" s="39"/>
    </row>
    <row r="3599" spans="2:3">
      <c r="B3599" s="39"/>
      <c r="C3599" s="39"/>
    </row>
    <row r="3600" spans="2:3">
      <c r="B3600" s="39"/>
      <c r="C3600" s="39"/>
    </row>
    <row r="3601" spans="2:3">
      <c r="B3601" s="39"/>
      <c r="C3601" s="39"/>
    </row>
    <row r="3602" spans="2:3">
      <c r="B3602" s="39"/>
      <c r="C3602" s="39"/>
    </row>
    <row r="3603" spans="2:3">
      <c r="B3603" s="39"/>
      <c r="C3603" s="39"/>
    </row>
    <row r="3604" spans="2:3">
      <c r="B3604" s="39"/>
      <c r="C3604" s="39"/>
    </row>
    <row r="3605" spans="2:3">
      <c r="B3605" s="39"/>
      <c r="C3605" s="39"/>
    </row>
    <row r="3606" spans="2:3">
      <c r="B3606" s="39"/>
      <c r="C3606" s="39"/>
    </row>
    <row r="3607" spans="2:3">
      <c r="B3607" s="39"/>
      <c r="C3607" s="39"/>
    </row>
    <row r="3608" spans="2:3">
      <c r="B3608" s="39"/>
      <c r="C3608" s="39"/>
    </row>
    <row r="3609" spans="2:3">
      <c r="B3609" s="39"/>
      <c r="C3609" s="39"/>
    </row>
    <row r="3610" spans="2:3">
      <c r="B3610" s="39"/>
      <c r="C3610" s="39"/>
    </row>
    <row r="3611" spans="2:3">
      <c r="B3611" s="39"/>
      <c r="C3611" s="39"/>
    </row>
    <row r="3612" spans="2:3">
      <c r="B3612" s="39"/>
      <c r="C3612" s="39"/>
    </row>
    <row r="3613" spans="2:3">
      <c r="B3613" s="39"/>
      <c r="C3613" s="39"/>
    </row>
    <row r="3614" spans="2:3">
      <c r="B3614" s="39"/>
      <c r="C3614" s="39"/>
    </row>
    <row r="3615" spans="2:3">
      <c r="B3615" s="39"/>
      <c r="C3615" s="39"/>
    </row>
    <row r="3616" spans="2:3">
      <c r="B3616" s="39"/>
      <c r="C3616" s="39"/>
    </row>
    <row r="3617" spans="2:3">
      <c r="B3617" s="39"/>
      <c r="C3617" s="39"/>
    </row>
    <row r="3618" spans="2:3">
      <c r="B3618" s="39"/>
      <c r="C3618" s="39"/>
    </row>
    <row r="3619" spans="2:3">
      <c r="B3619" s="39"/>
      <c r="C3619" s="39"/>
    </row>
    <row r="3620" spans="2:3">
      <c r="B3620" s="39"/>
      <c r="C3620" s="39"/>
    </row>
    <row r="3621" spans="2:3">
      <c r="B3621" s="39"/>
      <c r="C3621" s="39"/>
    </row>
    <row r="3622" spans="2:3">
      <c r="B3622" s="39"/>
      <c r="C3622" s="39"/>
    </row>
    <row r="3623" spans="2:3">
      <c r="B3623" s="39"/>
      <c r="C3623" s="39"/>
    </row>
    <row r="3624" spans="2:3">
      <c r="B3624" s="39"/>
      <c r="C3624" s="39"/>
    </row>
    <row r="3625" spans="2:3">
      <c r="B3625" s="39"/>
      <c r="C3625" s="39"/>
    </row>
    <row r="3626" spans="2:3">
      <c r="B3626" s="39"/>
      <c r="C3626" s="39"/>
    </row>
    <row r="3627" spans="2:3">
      <c r="B3627" s="39"/>
      <c r="C3627" s="39"/>
    </row>
    <row r="3628" spans="2:3">
      <c r="B3628" s="39"/>
      <c r="C3628" s="39"/>
    </row>
    <row r="3629" spans="2:3">
      <c r="B3629" s="39"/>
      <c r="C3629" s="39"/>
    </row>
    <row r="3630" spans="2:3">
      <c r="B3630" s="39"/>
      <c r="C3630" s="39"/>
    </row>
    <row r="3631" spans="2:3">
      <c r="B3631" s="39"/>
      <c r="C3631" s="39"/>
    </row>
    <row r="3632" spans="2:3">
      <c r="B3632" s="39"/>
      <c r="C3632" s="39"/>
    </row>
    <row r="3633" spans="2:3">
      <c r="B3633" s="39"/>
      <c r="C3633" s="39"/>
    </row>
    <row r="3634" spans="2:3">
      <c r="B3634" s="39"/>
      <c r="C3634" s="39"/>
    </row>
    <row r="3635" spans="2:3">
      <c r="B3635" s="39"/>
      <c r="C3635" s="39"/>
    </row>
    <row r="3636" spans="2:3">
      <c r="B3636" s="39"/>
      <c r="C3636" s="39"/>
    </row>
    <row r="3637" spans="2:3">
      <c r="B3637" s="39"/>
      <c r="C3637" s="39"/>
    </row>
    <row r="3638" spans="2:3">
      <c r="B3638" s="39"/>
      <c r="C3638" s="39"/>
    </row>
    <row r="3639" spans="2:3">
      <c r="B3639" s="39"/>
      <c r="C3639" s="39"/>
    </row>
    <row r="3640" spans="2:3">
      <c r="B3640" s="39"/>
      <c r="C3640" s="39"/>
    </row>
    <row r="3641" spans="2:3">
      <c r="B3641" s="39"/>
      <c r="C3641" s="39"/>
    </row>
    <row r="3642" spans="2:3">
      <c r="B3642" s="39"/>
      <c r="C3642" s="39"/>
    </row>
    <row r="3643" spans="2:3">
      <c r="B3643" s="39"/>
      <c r="C3643" s="39"/>
    </row>
    <row r="3644" spans="2:3">
      <c r="B3644" s="39"/>
      <c r="C3644" s="39"/>
    </row>
    <row r="3645" spans="2:3">
      <c r="B3645" s="39"/>
      <c r="C3645" s="39"/>
    </row>
    <row r="3646" spans="2:3">
      <c r="B3646" s="39"/>
      <c r="C3646" s="39"/>
    </row>
    <row r="3647" spans="2:3">
      <c r="B3647" s="39"/>
      <c r="C3647" s="39"/>
    </row>
    <row r="3648" spans="2:3">
      <c r="B3648" s="39"/>
      <c r="C3648" s="39"/>
    </row>
    <row r="3649" spans="2:3">
      <c r="B3649" s="39"/>
      <c r="C3649" s="39"/>
    </row>
    <row r="3650" spans="2:3">
      <c r="B3650" s="39"/>
      <c r="C3650" s="39"/>
    </row>
    <row r="3651" spans="2:3">
      <c r="B3651" s="39"/>
      <c r="C3651" s="39"/>
    </row>
    <row r="3652" spans="2:3">
      <c r="B3652" s="39"/>
      <c r="C3652" s="39"/>
    </row>
    <row r="3653" spans="2:3">
      <c r="B3653" s="39"/>
      <c r="C3653" s="39"/>
    </row>
    <row r="3654" spans="2:3">
      <c r="B3654" s="39"/>
      <c r="C3654" s="39"/>
    </row>
    <row r="3655" spans="2:3">
      <c r="B3655" s="39"/>
      <c r="C3655" s="39"/>
    </row>
    <row r="3656" spans="2:3">
      <c r="B3656" s="39"/>
      <c r="C3656" s="39"/>
    </row>
    <row r="3657" spans="2:3">
      <c r="B3657" s="39"/>
      <c r="C3657" s="39"/>
    </row>
    <row r="3658" spans="2:3">
      <c r="B3658" s="39"/>
      <c r="C3658" s="39"/>
    </row>
    <row r="3659" spans="2:3">
      <c r="B3659" s="39"/>
      <c r="C3659" s="39"/>
    </row>
    <row r="3660" spans="2:3">
      <c r="B3660" s="39"/>
      <c r="C3660" s="39"/>
    </row>
    <row r="3661" spans="2:3">
      <c r="B3661" s="39"/>
      <c r="C3661" s="39"/>
    </row>
    <row r="3662" spans="2:3">
      <c r="B3662" s="39"/>
      <c r="C3662" s="39"/>
    </row>
    <row r="3663" spans="2:3">
      <c r="B3663" s="39"/>
      <c r="C3663" s="39"/>
    </row>
    <row r="3664" spans="2:3">
      <c r="B3664" s="39"/>
      <c r="C3664" s="39"/>
    </row>
    <row r="3665" spans="2:3">
      <c r="B3665" s="39"/>
      <c r="C3665" s="39"/>
    </row>
    <row r="3666" spans="2:3">
      <c r="B3666" s="39"/>
      <c r="C3666" s="39"/>
    </row>
    <row r="3667" spans="2:3">
      <c r="B3667" s="39"/>
      <c r="C3667" s="39"/>
    </row>
    <row r="3668" spans="2:3">
      <c r="B3668" s="39"/>
      <c r="C3668" s="39"/>
    </row>
    <row r="3669" spans="2:3">
      <c r="B3669" s="39"/>
      <c r="C3669" s="39"/>
    </row>
    <row r="3670" spans="2:3">
      <c r="B3670" s="39"/>
      <c r="C3670" s="39"/>
    </row>
    <row r="3671" spans="2:3">
      <c r="B3671" s="39"/>
      <c r="C3671" s="39"/>
    </row>
    <row r="3672" spans="2:3">
      <c r="B3672" s="39"/>
      <c r="C3672" s="39"/>
    </row>
    <row r="3673" spans="2:3">
      <c r="B3673" s="39"/>
      <c r="C3673" s="39"/>
    </row>
    <row r="3674" spans="2:3">
      <c r="B3674" s="39"/>
      <c r="C3674" s="39"/>
    </row>
    <row r="3675" spans="2:3">
      <c r="B3675" s="39"/>
      <c r="C3675" s="39"/>
    </row>
    <row r="3676" spans="2:3">
      <c r="B3676" s="39"/>
      <c r="C3676" s="39"/>
    </row>
    <row r="3677" spans="2:3">
      <c r="B3677" s="39"/>
      <c r="C3677" s="39"/>
    </row>
    <row r="3678" spans="2:3">
      <c r="B3678" s="39"/>
      <c r="C3678" s="39"/>
    </row>
    <row r="3679" spans="2:3">
      <c r="B3679" s="39"/>
      <c r="C3679" s="39"/>
    </row>
    <row r="3680" spans="2:3">
      <c r="B3680" s="39"/>
      <c r="C3680" s="39"/>
    </row>
    <row r="3681" spans="2:3">
      <c r="B3681" s="39"/>
      <c r="C3681" s="39"/>
    </row>
    <row r="3682" spans="2:3">
      <c r="B3682" s="39"/>
      <c r="C3682" s="39"/>
    </row>
    <row r="3683" spans="2:3">
      <c r="B3683" s="39"/>
      <c r="C3683" s="39"/>
    </row>
    <row r="3684" spans="2:3">
      <c r="B3684" s="39"/>
      <c r="C3684" s="39"/>
    </row>
    <row r="3685" spans="2:3">
      <c r="B3685" s="39"/>
      <c r="C3685" s="39"/>
    </row>
    <row r="3686" spans="2:3">
      <c r="B3686" s="39"/>
      <c r="C3686" s="39"/>
    </row>
    <row r="3687" spans="2:3">
      <c r="B3687" s="39"/>
      <c r="C3687" s="39"/>
    </row>
    <row r="3688" spans="2:3">
      <c r="B3688" s="39"/>
      <c r="C3688" s="39"/>
    </row>
    <row r="3689" spans="2:3">
      <c r="B3689" s="39"/>
      <c r="C3689" s="39"/>
    </row>
    <row r="3690" spans="2:3">
      <c r="B3690" s="39"/>
      <c r="C3690" s="39"/>
    </row>
    <row r="3691" spans="2:3">
      <c r="B3691" s="39"/>
      <c r="C3691" s="39"/>
    </row>
    <row r="3692" spans="2:3">
      <c r="B3692" s="39"/>
      <c r="C3692" s="39"/>
    </row>
    <row r="3693" spans="2:3">
      <c r="B3693" s="39"/>
      <c r="C3693" s="39"/>
    </row>
    <row r="3694" spans="2:3">
      <c r="B3694" s="39"/>
      <c r="C3694" s="39"/>
    </row>
    <row r="3695" spans="2:3">
      <c r="B3695" s="39"/>
      <c r="C3695" s="39"/>
    </row>
    <row r="3696" spans="2:3">
      <c r="B3696" s="39"/>
      <c r="C3696" s="39"/>
    </row>
    <row r="3697" spans="2:3">
      <c r="B3697" s="39"/>
      <c r="C3697" s="39"/>
    </row>
    <row r="3698" spans="2:3">
      <c r="B3698" s="39"/>
      <c r="C3698" s="39"/>
    </row>
    <row r="3699" spans="2:3">
      <c r="B3699" s="39"/>
      <c r="C3699" s="39"/>
    </row>
    <row r="3700" spans="2:3">
      <c r="B3700" s="39"/>
      <c r="C3700" s="39"/>
    </row>
    <row r="3701" spans="2:3">
      <c r="B3701" s="39"/>
      <c r="C3701" s="39"/>
    </row>
    <row r="3702" spans="2:3">
      <c r="B3702" s="39"/>
      <c r="C3702" s="39"/>
    </row>
    <row r="3703" spans="2:3">
      <c r="B3703" s="39"/>
      <c r="C3703" s="39"/>
    </row>
    <row r="3704" spans="2:3">
      <c r="B3704" s="39"/>
      <c r="C3704" s="39"/>
    </row>
    <row r="3705" spans="2:3">
      <c r="B3705" s="39"/>
      <c r="C3705" s="39"/>
    </row>
    <row r="3706" spans="2:3">
      <c r="B3706" s="39"/>
      <c r="C3706" s="39"/>
    </row>
    <row r="3707" spans="2:3">
      <c r="B3707" s="39"/>
      <c r="C3707" s="39"/>
    </row>
    <row r="3708" spans="2:3">
      <c r="B3708" s="39"/>
      <c r="C3708" s="39"/>
    </row>
    <row r="3709" spans="2:3">
      <c r="B3709" s="39"/>
      <c r="C3709" s="39"/>
    </row>
    <row r="3710" spans="2:3">
      <c r="B3710" s="39"/>
      <c r="C3710" s="39"/>
    </row>
    <row r="3711" spans="2:3">
      <c r="B3711" s="39"/>
      <c r="C3711" s="39"/>
    </row>
    <row r="3712" spans="2:3">
      <c r="B3712" s="39"/>
      <c r="C3712" s="39"/>
    </row>
    <row r="3713" spans="2:3">
      <c r="B3713" s="39"/>
      <c r="C3713" s="39"/>
    </row>
    <row r="3714" spans="2:3">
      <c r="B3714" s="39"/>
      <c r="C3714" s="39"/>
    </row>
    <row r="3715" spans="2:3">
      <c r="B3715" s="39"/>
      <c r="C3715" s="39"/>
    </row>
    <row r="3716" spans="2:3">
      <c r="B3716" s="39"/>
      <c r="C3716" s="39"/>
    </row>
    <row r="3717" spans="2:3">
      <c r="B3717" s="39"/>
      <c r="C3717" s="39"/>
    </row>
    <row r="3718" spans="2:3">
      <c r="B3718" s="39"/>
      <c r="C3718" s="39"/>
    </row>
    <row r="3719" spans="2:3">
      <c r="B3719" s="39"/>
      <c r="C3719" s="39"/>
    </row>
    <row r="3720" spans="2:3">
      <c r="B3720" s="39"/>
      <c r="C3720" s="39"/>
    </row>
    <row r="3721" spans="2:3">
      <c r="B3721" s="39"/>
      <c r="C3721" s="39"/>
    </row>
    <row r="3722" spans="2:3">
      <c r="B3722" s="39"/>
      <c r="C3722" s="39"/>
    </row>
    <row r="3723" spans="2:3">
      <c r="B3723" s="39"/>
      <c r="C3723" s="39"/>
    </row>
    <row r="3724" spans="2:3">
      <c r="B3724" s="39"/>
      <c r="C3724" s="39"/>
    </row>
    <row r="3725" spans="2:3">
      <c r="B3725" s="39"/>
      <c r="C3725" s="39"/>
    </row>
    <row r="3726" spans="2:3">
      <c r="B3726" s="39"/>
      <c r="C3726" s="39"/>
    </row>
    <row r="3727" spans="2:3">
      <c r="B3727" s="39"/>
      <c r="C3727" s="39"/>
    </row>
    <row r="3728" spans="2:3">
      <c r="B3728" s="39"/>
      <c r="C3728" s="39"/>
    </row>
    <row r="3729" spans="2:3">
      <c r="B3729" s="39"/>
      <c r="C3729" s="39"/>
    </row>
    <row r="3730" spans="2:3">
      <c r="B3730" s="39"/>
      <c r="C3730" s="39"/>
    </row>
    <row r="3731" spans="2:3">
      <c r="B3731" s="39"/>
      <c r="C3731" s="39"/>
    </row>
    <row r="3732" spans="2:3">
      <c r="B3732" s="39"/>
      <c r="C3732" s="39"/>
    </row>
    <row r="3733" spans="2:3">
      <c r="B3733" s="39"/>
      <c r="C3733" s="39"/>
    </row>
    <row r="3734" spans="2:3">
      <c r="B3734" s="39"/>
      <c r="C3734" s="39"/>
    </row>
    <row r="3735" spans="2:3">
      <c r="B3735" s="39"/>
      <c r="C3735" s="39"/>
    </row>
    <row r="3736" spans="2:3">
      <c r="B3736" s="39"/>
      <c r="C3736" s="39"/>
    </row>
    <row r="3737" spans="2:3">
      <c r="B3737" s="39"/>
      <c r="C3737" s="39"/>
    </row>
    <row r="3738" spans="2:3">
      <c r="B3738" s="39"/>
      <c r="C3738" s="39"/>
    </row>
    <row r="3739" spans="2:3">
      <c r="B3739" s="39"/>
      <c r="C3739" s="39"/>
    </row>
    <row r="3740" spans="2:3">
      <c r="B3740" s="39"/>
      <c r="C3740" s="39"/>
    </row>
    <row r="3741" spans="2:3">
      <c r="B3741" s="39"/>
      <c r="C3741" s="39"/>
    </row>
    <row r="3742" spans="2:3">
      <c r="B3742" s="39"/>
      <c r="C3742" s="39"/>
    </row>
    <row r="3743" spans="2:3">
      <c r="B3743" s="39"/>
      <c r="C3743" s="39"/>
    </row>
    <row r="3744" spans="2:3">
      <c r="B3744" s="39"/>
      <c r="C3744" s="39"/>
    </row>
    <row r="3745" spans="2:3">
      <c r="B3745" s="39"/>
      <c r="C3745" s="39"/>
    </row>
    <row r="3746" spans="2:3">
      <c r="B3746" s="39"/>
      <c r="C3746" s="39"/>
    </row>
    <row r="3747" spans="2:3">
      <c r="B3747" s="39"/>
      <c r="C3747" s="39"/>
    </row>
    <row r="3748" spans="2:3">
      <c r="B3748" s="39"/>
      <c r="C3748" s="39"/>
    </row>
    <row r="3749" spans="2:3">
      <c r="B3749" s="39"/>
      <c r="C3749" s="39"/>
    </row>
    <row r="3750" spans="2:3">
      <c r="B3750" s="39"/>
      <c r="C3750" s="39"/>
    </row>
    <row r="3751" spans="2:3">
      <c r="B3751" s="39"/>
      <c r="C3751" s="39"/>
    </row>
    <row r="3752" spans="2:3">
      <c r="B3752" s="39"/>
      <c r="C3752" s="39"/>
    </row>
    <row r="3753" spans="2:3">
      <c r="B3753" s="39"/>
      <c r="C3753" s="39"/>
    </row>
    <row r="3754" spans="2:3">
      <c r="B3754" s="39"/>
      <c r="C3754" s="39"/>
    </row>
    <row r="3755" spans="2:3">
      <c r="B3755" s="39"/>
      <c r="C3755" s="39"/>
    </row>
    <row r="3756" spans="2:3">
      <c r="B3756" s="39"/>
      <c r="C3756" s="39"/>
    </row>
    <row r="3757" spans="2:3">
      <c r="B3757" s="39"/>
      <c r="C3757" s="39"/>
    </row>
    <row r="3758" spans="2:3">
      <c r="B3758" s="39"/>
      <c r="C3758" s="39"/>
    </row>
    <row r="3759" spans="2:3">
      <c r="B3759" s="39"/>
      <c r="C3759" s="39"/>
    </row>
    <row r="3760" spans="2:3">
      <c r="B3760" s="39"/>
      <c r="C3760" s="39"/>
    </row>
    <row r="3761" spans="2:3">
      <c r="B3761" s="39"/>
      <c r="C3761" s="39"/>
    </row>
    <row r="3762" spans="2:3">
      <c r="B3762" s="39"/>
      <c r="C3762" s="39"/>
    </row>
    <row r="3763" spans="2:3">
      <c r="B3763" s="39"/>
      <c r="C3763" s="39"/>
    </row>
    <row r="3764" spans="2:3">
      <c r="B3764" s="39"/>
      <c r="C3764" s="39"/>
    </row>
    <row r="3765" spans="2:3">
      <c r="B3765" s="39"/>
      <c r="C3765" s="39"/>
    </row>
    <row r="3766" spans="2:3">
      <c r="B3766" s="39"/>
      <c r="C3766" s="39"/>
    </row>
    <row r="3767" spans="2:3">
      <c r="B3767" s="39"/>
      <c r="C3767" s="39"/>
    </row>
    <row r="3768" spans="2:3">
      <c r="B3768" s="39"/>
      <c r="C3768" s="39"/>
    </row>
    <row r="3769" spans="2:3">
      <c r="B3769" s="39"/>
      <c r="C3769" s="39"/>
    </row>
    <row r="3770" spans="2:3">
      <c r="B3770" s="39"/>
      <c r="C3770" s="39"/>
    </row>
    <row r="3771" spans="2:3">
      <c r="B3771" s="39"/>
      <c r="C3771" s="39"/>
    </row>
    <row r="3772" spans="2:3">
      <c r="B3772" s="39"/>
      <c r="C3772" s="39"/>
    </row>
    <row r="3773" spans="2:3">
      <c r="B3773" s="39"/>
      <c r="C3773" s="39"/>
    </row>
    <row r="3774" spans="2:3">
      <c r="B3774" s="39"/>
      <c r="C3774" s="39"/>
    </row>
    <row r="3775" spans="2:3">
      <c r="B3775" s="39"/>
      <c r="C3775" s="39"/>
    </row>
    <row r="3776" spans="2:3">
      <c r="B3776" s="39"/>
      <c r="C3776" s="39"/>
    </row>
    <row r="3777" spans="2:3">
      <c r="B3777" s="39"/>
      <c r="C3777" s="39"/>
    </row>
    <row r="3778" spans="2:3">
      <c r="B3778" s="39"/>
      <c r="C3778" s="39"/>
    </row>
    <row r="3779" spans="2:3">
      <c r="B3779" s="39"/>
      <c r="C3779" s="39"/>
    </row>
    <row r="3780" spans="2:3">
      <c r="B3780" s="39"/>
      <c r="C3780" s="39"/>
    </row>
    <row r="3781" spans="2:3">
      <c r="B3781" s="39"/>
      <c r="C3781" s="39"/>
    </row>
    <row r="3782" spans="2:3">
      <c r="B3782" s="39"/>
      <c r="C3782" s="39"/>
    </row>
    <row r="3783" spans="2:3">
      <c r="B3783" s="39"/>
      <c r="C3783" s="39"/>
    </row>
    <row r="3784" spans="2:3">
      <c r="B3784" s="39"/>
      <c r="C3784" s="39"/>
    </row>
    <row r="3785" spans="2:3">
      <c r="B3785" s="39"/>
      <c r="C3785" s="39"/>
    </row>
    <row r="3786" spans="2:3">
      <c r="B3786" s="39"/>
      <c r="C3786" s="39"/>
    </row>
    <row r="3787" spans="2:3">
      <c r="B3787" s="39"/>
      <c r="C3787" s="39"/>
    </row>
    <row r="3788" spans="2:3">
      <c r="B3788" s="39"/>
      <c r="C3788" s="39"/>
    </row>
    <row r="3789" spans="2:3">
      <c r="B3789" s="39"/>
      <c r="C3789" s="39"/>
    </row>
    <row r="3790" spans="2:3">
      <c r="B3790" s="39"/>
      <c r="C3790" s="39"/>
    </row>
    <row r="3791" spans="2:3">
      <c r="B3791" s="39"/>
      <c r="C3791" s="39"/>
    </row>
    <row r="3792" spans="2:3">
      <c r="B3792" s="39"/>
      <c r="C3792" s="39"/>
    </row>
    <row r="3793" spans="2:3">
      <c r="B3793" s="39"/>
      <c r="C3793" s="39"/>
    </row>
    <row r="3794" spans="2:3">
      <c r="B3794" s="39"/>
      <c r="C3794" s="39"/>
    </row>
    <row r="3795" spans="2:3">
      <c r="B3795" s="39"/>
      <c r="C3795" s="39"/>
    </row>
    <row r="3796" spans="2:3">
      <c r="B3796" s="39"/>
      <c r="C3796" s="39"/>
    </row>
    <row r="3797" spans="2:3">
      <c r="B3797" s="39"/>
      <c r="C3797" s="39"/>
    </row>
    <row r="3798" spans="2:3">
      <c r="B3798" s="39"/>
      <c r="C3798" s="39"/>
    </row>
    <row r="3799" spans="2:3">
      <c r="B3799" s="39"/>
      <c r="C3799" s="39"/>
    </row>
    <row r="3800" spans="2:3">
      <c r="B3800" s="39"/>
      <c r="C3800" s="39"/>
    </row>
    <row r="3801" spans="2:3">
      <c r="B3801" s="39"/>
      <c r="C3801" s="39"/>
    </row>
    <row r="3802" spans="2:3">
      <c r="B3802" s="39"/>
      <c r="C3802" s="39"/>
    </row>
    <row r="3803" spans="2:3">
      <c r="B3803" s="39"/>
      <c r="C3803" s="39"/>
    </row>
    <row r="3804" spans="2:3">
      <c r="B3804" s="39"/>
      <c r="C3804" s="39"/>
    </row>
    <row r="3805" spans="2:3">
      <c r="B3805" s="39"/>
      <c r="C3805" s="39"/>
    </row>
    <row r="3806" spans="2:3">
      <c r="B3806" s="39"/>
      <c r="C3806" s="39"/>
    </row>
    <row r="3807" spans="2:3">
      <c r="B3807" s="39"/>
      <c r="C3807" s="39"/>
    </row>
    <row r="3808" spans="2:3">
      <c r="B3808" s="39"/>
      <c r="C3808" s="39"/>
    </row>
    <row r="3809" spans="2:3">
      <c r="B3809" s="39"/>
      <c r="C3809" s="39"/>
    </row>
    <row r="3810" spans="2:3">
      <c r="B3810" s="39"/>
      <c r="C3810" s="39"/>
    </row>
    <row r="3811" spans="2:3">
      <c r="B3811" s="39"/>
      <c r="C3811" s="39"/>
    </row>
    <row r="3812" spans="2:3">
      <c r="B3812" s="39"/>
      <c r="C3812" s="39"/>
    </row>
    <row r="3813" spans="2:3">
      <c r="B3813" s="39"/>
      <c r="C3813" s="39"/>
    </row>
    <row r="3814" spans="2:3">
      <c r="B3814" s="39"/>
      <c r="C3814" s="39"/>
    </row>
    <row r="3815" spans="2:3">
      <c r="B3815" s="39"/>
      <c r="C3815" s="39"/>
    </row>
    <row r="3816" spans="2:3">
      <c r="B3816" s="39"/>
      <c r="C3816" s="39"/>
    </row>
    <row r="3817" spans="2:3">
      <c r="B3817" s="39"/>
      <c r="C3817" s="39"/>
    </row>
    <row r="3818" spans="2:3">
      <c r="B3818" s="39"/>
      <c r="C3818" s="39"/>
    </row>
    <row r="3819" spans="2:3">
      <c r="B3819" s="39"/>
      <c r="C3819" s="39"/>
    </row>
    <row r="3820" spans="2:3">
      <c r="B3820" s="39"/>
      <c r="C3820" s="39"/>
    </row>
    <row r="3821" spans="2:3">
      <c r="B3821" s="39"/>
      <c r="C3821" s="39"/>
    </row>
    <row r="3822" spans="2:3">
      <c r="B3822" s="39"/>
      <c r="C3822" s="39"/>
    </row>
    <row r="3823" spans="2:3">
      <c r="B3823" s="39"/>
      <c r="C3823" s="39"/>
    </row>
    <row r="3824" spans="2:3">
      <c r="B3824" s="39"/>
      <c r="C3824" s="39"/>
    </row>
    <row r="3825" spans="2:3">
      <c r="B3825" s="39"/>
      <c r="C3825" s="39"/>
    </row>
    <row r="3826" spans="2:3">
      <c r="B3826" s="39"/>
      <c r="C3826" s="39"/>
    </row>
    <row r="3827" spans="2:3">
      <c r="B3827" s="39"/>
      <c r="C3827" s="39"/>
    </row>
    <row r="3828" spans="2:3">
      <c r="B3828" s="39"/>
      <c r="C3828" s="39"/>
    </row>
    <row r="3829" spans="2:3">
      <c r="B3829" s="39"/>
      <c r="C3829" s="39"/>
    </row>
    <row r="3830" spans="2:3">
      <c r="B3830" s="39"/>
      <c r="C3830" s="39"/>
    </row>
    <row r="3831" spans="2:3">
      <c r="B3831" s="39"/>
      <c r="C3831" s="39"/>
    </row>
    <row r="3832" spans="2:3">
      <c r="B3832" s="39"/>
      <c r="C3832" s="39"/>
    </row>
    <row r="3833" spans="2:3">
      <c r="B3833" s="39"/>
      <c r="C3833" s="39"/>
    </row>
    <row r="3834" spans="2:3">
      <c r="B3834" s="39"/>
      <c r="C3834" s="39"/>
    </row>
    <row r="3835" spans="2:3">
      <c r="B3835" s="39"/>
      <c r="C3835" s="39"/>
    </row>
    <row r="3836" spans="2:3">
      <c r="B3836" s="39"/>
      <c r="C3836" s="39"/>
    </row>
    <row r="3837" spans="2:3">
      <c r="B3837" s="39"/>
      <c r="C3837" s="39"/>
    </row>
    <row r="3838" spans="2:3">
      <c r="B3838" s="39"/>
      <c r="C3838" s="39"/>
    </row>
    <row r="3839" spans="2:3">
      <c r="B3839" s="39"/>
      <c r="C3839" s="39"/>
    </row>
    <row r="3840" spans="2:3">
      <c r="B3840" s="39"/>
      <c r="C3840" s="39"/>
    </row>
    <row r="3841" spans="2:3">
      <c r="B3841" s="39"/>
      <c r="C3841" s="39"/>
    </row>
    <row r="3842" spans="2:3">
      <c r="B3842" s="39"/>
      <c r="C3842" s="39"/>
    </row>
    <row r="3843" spans="2:3">
      <c r="B3843" s="39"/>
      <c r="C3843" s="39"/>
    </row>
    <row r="3844" spans="2:3">
      <c r="B3844" s="39"/>
      <c r="C3844" s="39"/>
    </row>
    <row r="3845" spans="2:3">
      <c r="B3845" s="39"/>
      <c r="C3845" s="39"/>
    </row>
    <row r="3846" spans="2:3">
      <c r="B3846" s="39"/>
      <c r="C3846" s="39"/>
    </row>
    <row r="3847" spans="2:3">
      <c r="B3847" s="39"/>
      <c r="C3847" s="39"/>
    </row>
    <row r="3848" spans="2:3">
      <c r="B3848" s="39"/>
      <c r="C3848" s="39"/>
    </row>
    <row r="3849" spans="2:3">
      <c r="B3849" s="39"/>
      <c r="C3849" s="39"/>
    </row>
    <row r="3850" spans="2:3">
      <c r="B3850" s="39"/>
      <c r="C3850" s="39"/>
    </row>
    <row r="3851" spans="2:3">
      <c r="B3851" s="39"/>
      <c r="C3851" s="39"/>
    </row>
    <row r="3852" spans="2:3">
      <c r="B3852" s="39"/>
      <c r="C3852" s="39"/>
    </row>
    <row r="3853" spans="2:3">
      <c r="B3853" s="39"/>
      <c r="C3853" s="39"/>
    </row>
    <row r="3854" spans="2:3">
      <c r="B3854" s="39"/>
      <c r="C3854" s="39"/>
    </row>
    <row r="3855" spans="2:3">
      <c r="B3855" s="39"/>
      <c r="C3855" s="39"/>
    </row>
    <row r="3856" spans="2:3">
      <c r="B3856" s="39"/>
      <c r="C3856" s="39"/>
    </row>
    <row r="3857" spans="2:3">
      <c r="B3857" s="39"/>
      <c r="C3857" s="39"/>
    </row>
    <row r="3858" spans="2:3">
      <c r="B3858" s="39"/>
      <c r="C3858" s="39"/>
    </row>
    <row r="3859" spans="2:3">
      <c r="B3859" s="39"/>
      <c r="C3859" s="39"/>
    </row>
    <row r="3860" spans="2:3">
      <c r="B3860" s="39"/>
      <c r="C3860" s="39"/>
    </row>
    <row r="3861" spans="2:3">
      <c r="B3861" s="39"/>
      <c r="C3861" s="39"/>
    </row>
    <row r="3862" spans="2:3">
      <c r="B3862" s="39"/>
      <c r="C3862" s="39"/>
    </row>
    <row r="3863" spans="2:3">
      <c r="B3863" s="39"/>
      <c r="C3863" s="39"/>
    </row>
    <row r="3864" spans="2:3">
      <c r="B3864" s="39"/>
      <c r="C3864" s="39"/>
    </row>
    <row r="3865" spans="2:3">
      <c r="B3865" s="39"/>
      <c r="C3865" s="39"/>
    </row>
    <row r="3866" spans="2:3">
      <c r="B3866" s="39"/>
      <c r="C3866" s="39"/>
    </row>
    <row r="3867" spans="2:3">
      <c r="B3867" s="39"/>
      <c r="C3867" s="39"/>
    </row>
    <row r="3868" spans="2:3">
      <c r="B3868" s="39"/>
      <c r="C3868" s="39"/>
    </row>
    <row r="3869" spans="2:3">
      <c r="B3869" s="39"/>
      <c r="C3869" s="39"/>
    </row>
    <row r="3870" spans="2:3">
      <c r="B3870" s="39"/>
      <c r="C3870" s="39"/>
    </row>
    <row r="3871" spans="2:3">
      <c r="B3871" s="39"/>
      <c r="C3871" s="39"/>
    </row>
    <row r="3872" spans="2:3">
      <c r="B3872" s="39"/>
      <c r="C3872" s="39"/>
    </row>
    <row r="3873" spans="2:3">
      <c r="B3873" s="39"/>
      <c r="C3873" s="39"/>
    </row>
    <row r="3874" spans="2:3">
      <c r="B3874" s="39"/>
      <c r="C3874" s="39"/>
    </row>
    <row r="3875" spans="2:3">
      <c r="B3875" s="39"/>
      <c r="C3875" s="39"/>
    </row>
    <row r="3876" spans="2:3">
      <c r="B3876" s="39"/>
      <c r="C3876" s="39"/>
    </row>
    <row r="3877" spans="2:3">
      <c r="B3877" s="39"/>
      <c r="C3877" s="39"/>
    </row>
    <row r="3878" spans="2:3">
      <c r="B3878" s="39"/>
      <c r="C3878" s="39"/>
    </row>
    <row r="3879" spans="2:3">
      <c r="B3879" s="39"/>
      <c r="C3879" s="39"/>
    </row>
    <row r="3880" spans="2:3">
      <c r="B3880" s="39"/>
      <c r="C3880" s="39"/>
    </row>
    <row r="3881" spans="2:3">
      <c r="B3881" s="39"/>
      <c r="C3881" s="39"/>
    </row>
    <row r="3882" spans="2:3">
      <c r="B3882" s="39"/>
      <c r="C3882" s="39"/>
    </row>
    <row r="3883" spans="2:3">
      <c r="B3883" s="39"/>
      <c r="C3883" s="39"/>
    </row>
    <row r="3884" spans="2:3">
      <c r="B3884" s="39"/>
      <c r="C3884" s="39"/>
    </row>
    <row r="3885" spans="2:3">
      <c r="B3885" s="39"/>
      <c r="C3885" s="39"/>
    </row>
    <row r="3886" spans="2:3">
      <c r="B3886" s="39"/>
      <c r="C3886" s="39"/>
    </row>
    <row r="3887" spans="2:3">
      <c r="B3887" s="39"/>
      <c r="C3887" s="39"/>
    </row>
    <row r="3888" spans="2:3">
      <c r="B3888" s="39"/>
      <c r="C3888" s="39"/>
    </row>
    <row r="3889" spans="2:3">
      <c r="B3889" s="39"/>
      <c r="C3889" s="39"/>
    </row>
    <row r="3890" spans="2:3">
      <c r="B3890" s="39"/>
      <c r="C3890" s="39"/>
    </row>
    <row r="3891" spans="2:3">
      <c r="B3891" s="39"/>
      <c r="C3891" s="39"/>
    </row>
    <row r="3892" spans="2:3">
      <c r="B3892" s="39"/>
      <c r="C3892" s="39"/>
    </row>
    <row r="3893" spans="2:3">
      <c r="B3893" s="39"/>
      <c r="C3893" s="39"/>
    </row>
    <row r="3894" spans="2:3">
      <c r="B3894" s="39"/>
      <c r="C3894" s="39"/>
    </row>
    <row r="3895" spans="2:3">
      <c r="B3895" s="39"/>
      <c r="C3895" s="39"/>
    </row>
    <row r="3896" spans="2:3">
      <c r="B3896" s="39"/>
      <c r="C3896" s="39"/>
    </row>
    <row r="3897" spans="2:3">
      <c r="B3897" s="39"/>
      <c r="C3897" s="39"/>
    </row>
    <row r="3898" spans="2:3">
      <c r="B3898" s="39"/>
      <c r="C3898" s="39"/>
    </row>
    <row r="3899" spans="2:3">
      <c r="B3899" s="39"/>
      <c r="C3899" s="39"/>
    </row>
    <row r="3900" spans="2:3">
      <c r="B3900" s="39"/>
      <c r="C3900" s="39"/>
    </row>
    <row r="3901" spans="2:3">
      <c r="B3901" s="39"/>
      <c r="C3901" s="39"/>
    </row>
    <row r="3902" spans="2:3">
      <c r="B3902" s="39"/>
      <c r="C3902" s="39"/>
    </row>
    <row r="3903" spans="2:3">
      <c r="B3903" s="39"/>
      <c r="C3903" s="39"/>
    </row>
    <row r="3904" spans="2:3">
      <c r="B3904" s="39"/>
      <c r="C3904" s="39"/>
    </row>
    <row r="3905" spans="2:3">
      <c r="B3905" s="39"/>
      <c r="C3905" s="39"/>
    </row>
    <row r="3906" spans="2:3">
      <c r="B3906" s="39"/>
      <c r="C3906" s="39"/>
    </row>
    <row r="3907" spans="2:3">
      <c r="B3907" s="39"/>
      <c r="C3907" s="39"/>
    </row>
    <row r="3908" spans="2:3">
      <c r="B3908" s="39"/>
      <c r="C3908" s="39"/>
    </row>
    <row r="3909" spans="2:3">
      <c r="B3909" s="39"/>
      <c r="C3909" s="39"/>
    </row>
    <row r="3910" spans="2:3">
      <c r="B3910" s="39"/>
      <c r="C3910" s="39"/>
    </row>
    <row r="3911" spans="2:3">
      <c r="B3911" s="39"/>
      <c r="C3911" s="39"/>
    </row>
    <row r="3912" spans="2:3">
      <c r="B3912" s="39"/>
      <c r="C3912" s="39"/>
    </row>
    <row r="3913" spans="2:3">
      <c r="B3913" s="39"/>
      <c r="C3913" s="39"/>
    </row>
    <row r="3914" spans="2:3">
      <c r="B3914" s="39"/>
      <c r="C3914" s="39"/>
    </row>
    <row r="3915" spans="2:3">
      <c r="B3915" s="39"/>
      <c r="C3915" s="39"/>
    </row>
    <row r="3916" spans="2:3">
      <c r="B3916" s="39"/>
      <c r="C3916" s="39"/>
    </row>
    <row r="3917" spans="2:3">
      <c r="B3917" s="39"/>
      <c r="C3917" s="39"/>
    </row>
    <row r="3918" spans="2:3">
      <c r="B3918" s="39"/>
      <c r="C3918" s="39"/>
    </row>
    <row r="3919" spans="2:3">
      <c r="B3919" s="39"/>
      <c r="C3919" s="39"/>
    </row>
    <row r="3920" spans="2:3">
      <c r="B3920" s="39"/>
      <c r="C3920" s="39"/>
    </row>
    <row r="3921" spans="2:3">
      <c r="B3921" s="39"/>
      <c r="C3921" s="39"/>
    </row>
    <row r="3922" spans="2:3">
      <c r="B3922" s="39"/>
      <c r="C3922" s="39"/>
    </row>
    <row r="3923" spans="2:3">
      <c r="B3923" s="39"/>
      <c r="C3923" s="39"/>
    </row>
    <row r="3924" spans="2:3">
      <c r="B3924" s="39"/>
      <c r="C3924" s="39"/>
    </row>
    <row r="3925" spans="2:3">
      <c r="B3925" s="39"/>
      <c r="C3925" s="39"/>
    </row>
    <row r="3926" spans="2:3">
      <c r="B3926" s="39"/>
      <c r="C3926" s="39"/>
    </row>
    <row r="3927" spans="2:3">
      <c r="B3927" s="39"/>
      <c r="C3927" s="39"/>
    </row>
    <row r="3928" spans="2:3">
      <c r="B3928" s="39"/>
      <c r="C3928" s="39"/>
    </row>
    <row r="3929" spans="2:3">
      <c r="B3929" s="39"/>
      <c r="C3929" s="39"/>
    </row>
    <row r="3930" spans="2:3">
      <c r="B3930" s="39"/>
      <c r="C3930" s="39"/>
    </row>
    <row r="3931" spans="2:3">
      <c r="B3931" s="39"/>
      <c r="C3931" s="39"/>
    </row>
    <row r="3932" spans="2:3">
      <c r="B3932" s="39"/>
      <c r="C3932" s="39"/>
    </row>
    <row r="3933" spans="2:3">
      <c r="B3933" s="39"/>
      <c r="C3933" s="39"/>
    </row>
    <row r="3934" spans="2:3">
      <c r="B3934" s="39"/>
      <c r="C3934" s="39"/>
    </row>
    <row r="3935" spans="2:3">
      <c r="B3935" s="39"/>
      <c r="C3935" s="39"/>
    </row>
    <row r="3936" spans="2:3">
      <c r="B3936" s="39"/>
      <c r="C3936" s="39"/>
    </row>
    <row r="3937" spans="2:3">
      <c r="B3937" s="39"/>
      <c r="C3937" s="39"/>
    </row>
    <row r="3938" spans="2:3">
      <c r="B3938" s="39"/>
      <c r="C3938" s="39"/>
    </row>
    <row r="3939" spans="2:3">
      <c r="B3939" s="39"/>
      <c r="C3939" s="39"/>
    </row>
    <row r="3940" spans="2:3">
      <c r="B3940" s="39"/>
      <c r="C3940" s="39"/>
    </row>
    <row r="3941" spans="2:3">
      <c r="B3941" s="39"/>
      <c r="C3941" s="39"/>
    </row>
    <row r="3942" spans="2:3">
      <c r="B3942" s="39"/>
      <c r="C3942" s="39"/>
    </row>
    <row r="3943" spans="2:3">
      <c r="B3943" s="39"/>
      <c r="C3943" s="39"/>
    </row>
    <row r="3944" spans="2:3">
      <c r="B3944" s="39"/>
      <c r="C3944" s="39"/>
    </row>
    <row r="3945" spans="2:3">
      <c r="B3945" s="39"/>
      <c r="C3945" s="39"/>
    </row>
    <row r="3946" spans="2:3">
      <c r="B3946" s="39"/>
      <c r="C3946" s="39"/>
    </row>
    <row r="3947" spans="2:3">
      <c r="B3947" s="39"/>
      <c r="C3947" s="39"/>
    </row>
    <row r="3948" spans="2:3">
      <c r="B3948" s="39"/>
      <c r="C3948" s="39"/>
    </row>
    <row r="3949" spans="2:3">
      <c r="B3949" s="39"/>
      <c r="C3949" s="39"/>
    </row>
    <row r="3950" spans="2:3">
      <c r="B3950" s="39"/>
      <c r="C3950" s="39"/>
    </row>
    <row r="3951" spans="2:3">
      <c r="B3951" s="39"/>
      <c r="C3951" s="39"/>
    </row>
    <row r="3952" spans="2:3">
      <c r="B3952" s="39"/>
      <c r="C3952" s="39"/>
    </row>
    <row r="3953" spans="2:3">
      <c r="B3953" s="39"/>
      <c r="C3953" s="39"/>
    </row>
    <row r="3954" spans="2:3">
      <c r="B3954" s="39"/>
      <c r="C3954" s="39"/>
    </row>
    <row r="3955" spans="2:3">
      <c r="B3955" s="39"/>
      <c r="C3955" s="39"/>
    </row>
    <row r="3956" spans="2:3">
      <c r="B3956" s="39"/>
      <c r="C3956" s="39"/>
    </row>
    <row r="3957" spans="2:3">
      <c r="B3957" s="39"/>
      <c r="C3957" s="39"/>
    </row>
    <row r="3958" spans="2:3">
      <c r="B3958" s="39"/>
      <c r="C3958" s="39"/>
    </row>
    <row r="3959" spans="2:3">
      <c r="B3959" s="39"/>
      <c r="C3959" s="39"/>
    </row>
    <row r="3960" spans="2:3">
      <c r="B3960" s="39"/>
      <c r="C3960" s="39"/>
    </row>
    <row r="3961" spans="2:3">
      <c r="B3961" s="39"/>
      <c r="C3961" s="39"/>
    </row>
    <row r="3962" spans="2:3">
      <c r="B3962" s="39"/>
      <c r="C3962" s="39"/>
    </row>
    <row r="3963" spans="2:3">
      <c r="B3963" s="39"/>
      <c r="C3963" s="39"/>
    </row>
    <row r="3964" spans="2:3">
      <c r="B3964" s="39"/>
      <c r="C3964" s="39"/>
    </row>
    <row r="3965" spans="2:3">
      <c r="B3965" s="39"/>
      <c r="C3965" s="39"/>
    </row>
    <row r="3966" spans="2:3">
      <c r="B3966" s="39"/>
      <c r="C3966" s="39"/>
    </row>
    <row r="3967" spans="2:3">
      <c r="B3967" s="39"/>
      <c r="C3967" s="39"/>
    </row>
    <row r="3968" spans="2:3">
      <c r="B3968" s="39"/>
      <c r="C3968" s="39"/>
    </row>
    <row r="3969" spans="2:3">
      <c r="B3969" s="39"/>
      <c r="C3969" s="39"/>
    </row>
    <row r="3970" spans="2:3">
      <c r="B3970" s="39"/>
      <c r="C3970" s="39"/>
    </row>
    <row r="3971" spans="2:3">
      <c r="B3971" s="39"/>
      <c r="C3971" s="39"/>
    </row>
    <row r="3972" spans="2:3">
      <c r="B3972" s="39"/>
      <c r="C3972" s="39"/>
    </row>
    <row r="3973" spans="2:3">
      <c r="B3973" s="39"/>
      <c r="C3973" s="39"/>
    </row>
    <row r="3974" spans="2:3">
      <c r="B3974" s="39"/>
      <c r="C3974" s="39"/>
    </row>
    <row r="3975" spans="2:3">
      <c r="B3975" s="39"/>
      <c r="C3975" s="39"/>
    </row>
    <row r="3976" spans="2:3">
      <c r="B3976" s="39"/>
      <c r="C3976" s="39"/>
    </row>
    <row r="3977" spans="2:3">
      <c r="B3977" s="39"/>
      <c r="C3977" s="39"/>
    </row>
    <row r="3978" spans="2:3">
      <c r="B3978" s="39"/>
      <c r="C3978" s="39"/>
    </row>
    <row r="3979" spans="2:3">
      <c r="B3979" s="39"/>
      <c r="C3979" s="39"/>
    </row>
    <row r="3980" spans="2:3">
      <c r="B3980" s="39"/>
      <c r="C3980" s="39"/>
    </row>
    <row r="3981" spans="2:3">
      <c r="B3981" s="39"/>
      <c r="C3981" s="39"/>
    </row>
    <row r="3982" spans="2:3">
      <c r="B3982" s="39"/>
      <c r="C3982" s="39"/>
    </row>
    <row r="3983" spans="2:3">
      <c r="B3983" s="39"/>
      <c r="C3983" s="39"/>
    </row>
    <row r="3984" spans="2:3">
      <c r="B3984" s="39"/>
      <c r="C3984" s="39"/>
    </row>
    <row r="3985" spans="2:3">
      <c r="B3985" s="39"/>
      <c r="C3985" s="39"/>
    </row>
    <row r="3986" spans="2:3">
      <c r="B3986" s="39"/>
      <c r="C3986" s="39"/>
    </row>
    <row r="3987" spans="2:3">
      <c r="B3987" s="39"/>
      <c r="C3987" s="39"/>
    </row>
    <row r="3988" spans="2:3">
      <c r="B3988" s="39"/>
      <c r="C3988" s="39"/>
    </row>
    <row r="3989" spans="2:3">
      <c r="B3989" s="39"/>
      <c r="C3989" s="39"/>
    </row>
    <row r="3990" spans="2:3">
      <c r="B3990" s="39"/>
      <c r="C3990" s="39"/>
    </row>
    <row r="3991" spans="2:3">
      <c r="B3991" s="39"/>
      <c r="C3991" s="39"/>
    </row>
    <row r="3992" spans="2:3">
      <c r="B3992" s="39"/>
      <c r="C3992" s="39"/>
    </row>
    <row r="3993" spans="2:3">
      <c r="B3993" s="39"/>
      <c r="C3993" s="39"/>
    </row>
    <row r="3994" spans="2:3">
      <c r="B3994" s="39"/>
      <c r="C3994" s="39"/>
    </row>
    <row r="3995" spans="2:3">
      <c r="B3995" s="39"/>
      <c r="C3995" s="39"/>
    </row>
    <row r="3996" spans="2:3">
      <c r="B3996" s="39"/>
      <c r="C3996" s="39"/>
    </row>
    <row r="3997" spans="2:3">
      <c r="B3997" s="39"/>
      <c r="C3997" s="39"/>
    </row>
    <row r="3998" spans="2:3">
      <c r="B3998" s="39"/>
      <c r="C3998" s="39"/>
    </row>
    <row r="3999" spans="2:3">
      <c r="B3999" s="39"/>
      <c r="C3999" s="39"/>
    </row>
    <row r="4000" spans="2:3">
      <c r="B4000" s="39"/>
      <c r="C4000" s="39"/>
    </row>
    <row r="4001" spans="2:3">
      <c r="B4001" s="39"/>
      <c r="C4001" s="39"/>
    </row>
    <row r="4002" spans="2:3">
      <c r="B4002" s="39"/>
      <c r="C4002" s="39"/>
    </row>
    <row r="4003" spans="2:3">
      <c r="B4003" s="39"/>
      <c r="C4003" s="39"/>
    </row>
    <row r="4004" spans="2:3">
      <c r="B4004" s="39"/>
      <c r="C4004" s="39"/>
    </row>
    <row r="4005" spans="2:3">
      <c r="B4005" s="39"/>
      <c r="C4005" s="39"/>
    </row>
    <row r="4006" spans="2:3">
      <c r="B4006" s="39"/>
      <c r="C4006" s="39"/>
    </row>
    <row r="4007" spans="2:3">
      <c r="B4007" s="39"/>
      <c r="C4007" s="39"/>
    </row>
    <row r="4008" spans="2:3">
      <c r="B4008" s="39"/>
      <c r="C4008" s="39"/>
    </row>
    <row r="4009" spans="2:3">
      <c r="B4009" s="39"/>
      <c r="C4009" s="39"/>
    </row>
    <row r="4010" spans="2:3">
      <c r="B4010" s="39"/>
      <c r="C4010" s="39"/>
    </row>
    <row r="4011" spans="2:3">
      <c r="B4011" s="39"/>
      <c r="C4011" s="39"/>
    </row>
    <row r="4012" spans="2:3">
      <c r="B4012" s="39"/>
      <c r="C4012" s="39"/>
    </row>
    <row r="4013" spans="2:3">
      <c r="B4013" s="39"/>
      <c r="C4013" s="39"/>
    </row>
    <row r="4014" spans="2:3">
      <c r="B4014" s="39"/>
      <c r="C4014" s="39"/>
    </row>
    <row r="4015" spans="2:3">
      <c r="B4015" s="39"/>
      <c r="C4015" s="39"/>
    </row>
    <row r="4016" spans="2:3">
      <c r="B4016" s="39"/>
      <c r="C4016" s="39"/>
    </row>
    <row r="4017" spans="2:3">
      <c r="B4017" s="39"/>
      <c r="C4017" s="39"/>
    </row>
    <row r="4018" spans="2:3">
      <c r="B4018" s="39"/>
      <c r="C4018" s="39"/>
    </row>
    <row r="4019" spans="2:3">
      <c r="B4019" s="39"/>
      <c r="C4019" s="39"/>
    </row>
    <row r="4020" spans="2:3">
      <c r="B4020" s="39"/>
      <c r="C4020" s="39"/>
    </row>
    <row r="4021" spans="2:3">
      <c r="B4021" s="39"/>
      <c r="C4021" s="39"/>
    </row>
    <row r="4022" spans="2:3">
      <c r="B4022" s="39"/>
      <c r="C4022" s="39"/>
    </row>
    <row r="4023" spans="2:3">
      <c r="B4023" s="39"/>
      <c r="C4023" s="39"/>
    </row>
    <row r="4024" spans="2:3">
      <c r="B4024" s="39"/>
      <c r="C4024" s="39"/>
    </row>
    <row r="4025" spans="2:3">
      <c r="B4025" s="39"/>
      <c r="C4025" s="39"/>
    </row>
    <row r="4026" spans="2:3">
      <c r="B4026" s="39"/>
      <c r="C4026" s="39"/>
    </row>
    <row r="4027" spans="2:3">
      <c r="B4027" s="39"/>
      <c r="C4027" s="39"/>
    </row>
    <row r="4028" spans="2:3">
      <c r="B4028" s="39"/>
      <c r="C4028" s="39"/>
    </row>
    <row r="4029" spans="2:3">
      <c r="B4029" s="39"/>
      <c r="C4029" s="39"/>
    </row>
    <row r="4030" spans="2:3">
      <c r="B4030" s="39"/>
      <c r="C4030" s="39"/>
    </row>
    <row r="4031" spans="2:3">
      <c r="B4031" s="39"/>
      <c r="C4031" s="39"/>
    </row>
    <row r="4032" spans="2:3">
      <c r="B4032" s="39"/>
      <c r="C4032" s="39"/>
    </row>
    <row r="4033" spans="2:3">
      <c r="B4033" s="39"/>
      <c r="C4033" s="39"/>
    </row>
    <row r="4034" spans="2:3">
      <c r="B4034" s="39"/>
      <c r="C4034" s="39"/>
    </row>
    <row r="4035" spans="2:3">
      <c r="B4035" s="39"/>
      <c r="C4035" s="39"/>
    </row>
    <row r="4036" spans="2:3">
      <c r="B4036" s="39"/>
      <c r="C4036" s="39"/>
    </row>
    <row r="4037" spans="2:3">
      <c r="B4037" s="39"/>
      <c r="C4037" s="39"/>
    </row>
    <row r="4038" spans="2:3">
      <c r="B4038" s="39"/>
      <c r="C4038" s="39"/>
    </row>
    <row r="4039" spans="2:3">
      <c r="B4039" s="39"/>
      <c r="C4039" s="39"/>
    </row>
    <row r="4040" spans="2:3">
      <c r="B4040" s="39"/>
      <c r="C4040" s="39"/>
    </row>
    <row r="4041" spans="2:3">
      <c r="B4041" s="39"/>
      <c r="C4041" s="39"/>
    </row>
    <row r="4042" spans="2:3">
      <c r="B4042" s="39"/>
      <c r="C4042" s="39"/>
    </row>
    <row r="4043" spans="2:3">
      <c r="B4043" s="39"/>
      <c r="C4043" s="39"/>
    </row>
    <row r="4044" spans="2:3">
      <c r="B4044" s="39"/>
      <c r="C4044" s="39"/>
    </row>
    <row r="4045" spans="2:3">
      <c r="B4045" s="39"/>
      <c r="C4045" s="39"/>
    </row>
    <row r="4046" spans="2:3">
      <c r="B4046" s="39"/>
      <c r="C4046" s="39"/>
    </row>
    <row r="4047" spans="2:3">
      <c r="B4047" s="39"/>
      <c r="C4047" s="39"/>
    </row>
    <row r="4048" spans="2:3">
      <c r="B4048" s="39"/>
      <c r="C4048" s="39"/>
    </row>
    <row r="4049" spans="2:3">
      <c r="B4049" s="39"/>
      <c r="C4049" s="39"/>
    </row>
    <row r="4050" spans="2:3">
      <c r="B4050" s="39"/>
      <c r="C4050" s="39"/>
    </row>
    <row r="4051" spans="2:3">
      <c r="B4051" s="39"/>
      <c r="C4051" s="39"/>
    </row>
    <row r="4052" spans="2:3">
      <c r="B4052" s="39"/>
      <c r="C4052" s="39"/>
    </row>
    <row r="4053" spans="2:3">
      <c r="B4053" s="39"/>
      <c r="C4053" s="39"/>
    </row>
    <row r="4054" spans="2:3">
      <c r="B4054" s="39"/>
      <c r="C4054" s="39"/>
    </row>
    <row r="4055" spans="2:3">
      <c r="B4055" s="39"/>
      <c r="C4055" s="39"/>
    </row>
    <row r="4056" spans="2:3">
      <c r="B4056" s="39"/>
      <c r="C4056" s="39"/>
    </row>
    <row r="4057" spans="2:3">
      <c r="B4057" s="39"/>
      <c r="C4057" s="39"/>
    </row>
    <row r="4058" spans="2:3">
      <c r="B4058" s="39"/>
      <c r="C4058" s="39"/>
    </row>
    <row r="4059" spans="2:3">
      <c r="B4059" s="39"/>
      <c r="C4059" s="39"/>
    </row>
    <row r="4060" spans="2:3">
      <c r="B4060" s="39"/>
      <c r="C4060" s="39"/>
    </row>
    <row r="4061" spans="2:3">
      <c r="B4061" s="39"/>
      <c r="C4061" s="39"/>
    </row>
    <row r="4062" spans="2:3">
      <c r="B4062" s="39"/>
      <c r="C4062" s="39"/>
    </row>
    <row r="4063" spans="2:3">
      <c r="B4063" s="39"/>
      <c r="C4063" s="39"/>
    </row>
    <row r="4064" spans="2:3">
      <c r="B4064" s="39"/>
      <c r="C4064" s="39"/>
    </row>
    <row r="4065" spans="2:3">
      <c r="B4065" s="39"/>
      <c r="C4065" s="39"/>
    </row>
    <row r="4066" spans="2:3">
      <c r="B4066" s="39"/>
      <c r="C4066" s="39"/>
    </row>
    <row r="4067" spans="2:3">
      <c r="B4067" s="39"/>
      <c r="C4067" s="39"/>
    </row>
    <row r="4068" spans="2:3">
      <c r="B4068" s="39"/>
      <c r="C4068" s="39"/>
    </row>
    <row r="4069" spans="2:3">
      <c r="B4069" s="39"/>
      <c r="C4069" s="39"/>
    </row>
    <row r="4070" spans="2:3">
      <c r="B4070" s="39"/>
      <c r="C4070" s="39"/>
    </row>
    <row r="4071" spans="2:3">
      <c r="B4071" s="39"/>
      <c r="C4071" s="39"/>
    </row>
    <row r="4072" spans="2:3">
      <c r="B4072" s="39"/>
      <c r="C4072" s="39"/>
    </row>
    <row r="4073" spans="2:3">
      <c r="B4073" s="39"/>
      <c r="C4073" s="39"/>
    </row>
    <row r="4074" spans="2:3">
      <c r="B4074" s="39"/>
      <c r="C4074" s="39"/>
    </row>
    <row r="4075" spans="2:3">
      <c r="B4075" s="39"/>
      <c r="C4075" s="39"/>
    </row>
    <row r="4076" spans="2:3">
      <c r="B4076" s="39"/>
      <c r="C4076" s="39"/>
    </row>
    <row r="4077" spans="2:3">
      <c r="B4077" s="39"/>
      <c r="C4077" s="39"/>
    </row>
    <row r="4078" spans="2:3">
      <c r="B4078" s="39"/>
      <c r="C4078" s="39"/>
    </row>
    <row r="4079" spans="2:3">
      <c r="B4079" s="39"/>
      <c r="C4079" s="39"/>
    </row>
    <row r="4080" spans="2:3">
      <c r="B4080" s="39"/>
      <c r="C4080" s="39"/>
    </row>
    <row r="4081" spans="2:3">
      <c r="B4081" s="39"/>
      <c r="C4081" s="39"/>
    </row>
    <row r="4082" spans="2:3">
      <c r="B4082" s="39"/>
      <c r="C4082" s="39"/>
    </row>
    <row r="4083" spans="2:3">
      <c r="B4083" s="39"/>
      <c r="C4083" s="39"/>
    </row>
    <row r="4084" spans="2:3">
      <c r="B4084" s="39"/>
      <c r="C4084" s="39"/>
    </row>
    <row r="4085" spans="2:3">
      <c r="B4085" s="39"/>
      <c r="C4085" s="39"/>
    </row>
    <row r="4086" spans="2:3">
      <c r="B4086" s="39"/>
      <c r="C4086" s="39"/>
    </row>
    <row r="4087" spans="2:3">
      <c r="B4087" s="39"/>
      <c r="C4087" s="39"/>
    </row>
    <row r="4088" spans="2:3">
      <c r="B4088" s="39"/>
      <c r="C4088" s="39"/>
    </row>
    <row r="4089" spans="2:3">
      <c r="B4089" s="39"/>
      <c r="C4089" s="39"/>
    </row>
    <row r="4090" spans="2:3">
      <c r="B4090" s="39"/>
      <c r="C4090" s="39"/>
    </row>
    <row r="4091" spans="2:3">
      <c r="B4091" s="39"/>
      <c r="C4091" s="39"/>
    </row>
    <row r="4092" spans="2:3">
      <c r="B4092" s="39"/>
      <c r="C4092" s="39"/>
    </row>
    <row r="4093" spans="2:3">
      <c r="B4093" s="39"/>
      <c r="C4093" s="39"/>
    </row>
    <row r="4094" spans="2:3">
      <c r="B4094" s="39"/>
      <c r="C4094" s="39"/>
    </row>
    <row r="4095" spans="2:3">
      <c r="B4095" s="39"/>
      <c r="C4095" s="39"/>
    </row>
    <row r="4096" spans="2:3">
      <c r="B4096" s="39"/>
      <c r="C4096" s="39"/>
    </row>
    <row r="4097" spans="2:3">
      <c r="B4097" s="39"/>
      <c r="C4097" s="39"/>
    </row>
    <row r="4098" spans="2:3">
      <c r="B4098" s="39"/>
      <c r="C4098" s="39"/>
    </row>
    <row r="4099" spans="2:3">
      <c r="B4099" s="39"/>
      <c r="C4099" s="39"/>
    </row>
    <row r="4100" spans="2:3">
      <c r="B4100" s="39"/>
      <c r="C4100" s="39"/>
    </row>
    <row r="4101" spans="2:3">
      <c r="B4101" s="39"/>
      <c r="C4101" s="39"/>
    </row>
    <row r="4102" spans="2:3">
      <c r="B4102" s="39"/>
      <c r="C4102" s="39"/>
    </row>
    <row r="4103" spans="2:3">
      <c r="B4103" s="39"/>
      <c r="C4103" s="39"/>
    </row>
    <row r="4104" spans="2:3">
      <c r="B4104" s="39"/>
      <c r="C4104" s="39"/>
    </row>
    <row r="4105" spans="2:3">
      <c r="B4105" s="39"/>
      <c r="C4105" s="39"/>
    </row>
    <row r="4106" spans="2:3">
      <c r="B4106" s="39"/>
      <c r="C4106" s="39"/>
    </row>
    <row r="4107" spans="2:3">
      <c r="B4107" s="39"/>
      <c r="C4107" s="39"/>
    </row>
    <row r="4108" spans="2:3">
      <c r="B4108" s="39"/>
      <c r="C4108" s="39"/>
    </row>
    <row r="4109" spans="2:3">
      <c r="B4109" s="39"/>
      <c r="C4109" s="39"/>
    </row>
    <row r="4110" spans="2:3">
      <c r="B4110" s="39"/>
      <c r="C4110" s="39"/>
    </row>
    <row r="4111" spans="2:3">
      <c r="B4111" s="39"/>
      <c r="C4111" s="39"/>
    </row>
    <row r="4112" spans="2:3">
      <c r="B4112" s="39"/>
      <c r="C4112" s="39"/>
    </row>
    <row r="4113" spans="2:3">
      <c r="B4113" s="39"/>
      <c r="C4113" s="39"/>
    </row>
    <row r="4114" spans="2:3">
      <c r="B4114" s="39"/>
      <c r="C4114" s="39"/>
    </row>
    <row r="4115" spans="2:3">
      <c r="B4115" s="39"/>
      <c r="C4115" s="39"/>
    </row>
    <row r="4116" spans="2:3">
      <c r="B4116" s="39"/>
      <c r="C4116" s="39"/>
    </row>
    <row r="4117" spans="2:3">
      <c r="B4117" s="39"/>
      <c r="C4117" s="39"/>
    </row>
    <row r="4118" spans="2:3">
      <c r="B4118" s="39"/>
      <c r="C4118" s="39"/>
    </row>
    <row r="4119" spans="2:3">
      <c r="B4119" s="39"/>
      <c r="C4119" s="39"/>
    </row>
    <row r="4120" spans="2:3">
      <c r="B4120" s="39"/>
      <c r="C4120" s="39"/>
    </row>
    <row r="4121" spans="2:3">
      <c r="B4121" s="39"/>
      <c r="C4121" s="39"/>
    </row>
    <row r="4122" spans="2:3">
      <c r="B4122" s="39"/>
      <c r="C4122" s="39"/>
    </row>
    <row r="4123" spans="2:3">
      <c r="B4123" s="39"/>
      <c r="C4123" s="39"/>
    </row>
    <row r="4124" spans="2:3">
      <c r="B4124" s="39"/>
      <c r="C4124" s="39"/>
    </row>
    <row r="4125" spans="2:3">
      <c r="B4125" s="39"/>
      <c r="C4125" s="39"/>
    </row>
    <row r="4126" spans="2:3">
      <c r="B4126" s="39"/>
      <c r="C4126" s="39"/>
    </row>
    <row r="4127" spans="2:3">
      <c r="B4127" s="39"/>
      <c r="C4127" s="39"/>
    </row>
    <row r="4128" spans="2:3">
      <c r="B4128" s="39"/>
      <c r="C4128" s="39"/>
    </row>
    <row r="4129" spans="2:3">
      <c r="B4129" s="39"/>
      <c r="C4129" s="39"/>
    </row>
    <row r="4130" spans="2:3">
      <c r="B4130" s="39"/>
      <c r="C4130" s="39"/>
    </row>
    <row r="4131" spans="2:3">
      <c r="B4131" s="39"/>
      <c r="C4131" s="39"/>
    </row>
    <row r="4132" spans="2:3">
      <c r="B4132" s="39"/>
      <c r="C4132" s="39"/>
    </row>
    <row r="4133" spans="2:3">
      <c r="B4133" s="39"/>
      <c r="C4133" s="39"/>
    </row>
    <row r="4134" spans="2:3">
      <c r="B4134" s="39"/>
      <c r="C4134" s="39"/>
    </row>
    <row r="4135" spans="2:3">
      <c r="B4135" s="39"/>
      <c r="C4135" s="39"/>
    </row>
    <row r="4136" spans="2:3">
      <c r="B4136" s="39"/>
      <c r="C4136" s="39"/>
    </row>
    <row r="4137" spans="2:3">
      <c r="B4137" s="39"/>
      <c r="C4137" s="39"/>
    </row>
    <row r="4138" spans="2:3">
      <c r="B4138" s="39"/>
      <c r="C4138" s="39"/>
    </row>
    <row r="4139" spans="2:3">
      <c r="B4139" s="39"/>
      <c r="C4139" s="39"/>
    </row>
    <row r="4140" spans="2:3">
      <c r="B4140" s="39"/>
      <c r="C4140" s="39"/>
    </row>
    <row r="4141" spans="2:3">
      <c r="B4141" s="39"/>
      <c r="C4141" s="39"/>
    </row>
    <row r="4142" spans="2:3">
      <c r="B4142" s="39"/>
      <c r="C4142" s="39"/>
    </row>
    <row r="4143" spans="2:3">
      <c r="B4143" s="39"/>
      <c r="C4143" s="39"/>
    </row>
    <row r="4144" spans="2:3">
      <c r="B4144" s="39"/>
      <c r="C4144" s="39"/>
    </row>
    <row r="4145" spans="2:3">
      <c r="B4145" s="39"/>
      <c r="C4145" s="39"/>
    </row>
    <row r="4146" spans="2:3">
      <c r="B4146" s="39"/>
      <c r="C4146" s="39"/>
    </row>
    <row r="4147" spans="2:3">
      <c r="B4147" s="39"/>
      <c r="C4147" s="39"/>
    </row>
    <row r="4148" spans="2:3">
      <c r="B4148" s="39"/>
      <c r="C4148" s="39"/>
    </row>
    <row r="4149" spans="2:3">
      <c r="B4149" s="39"/>
      <c r="C4149" s="39"/>
    </row>
    <row r="4150" spans="2:3">
      <c r="B4150" s="39"/>
      <c r="C4150" s="39"/>
    </row>
    <row r="4151" spans="2:3">
      <c r="B4151" s="39"/>
      <c r="C4151" s="39"/>
    </row>
    <row r="4152" spans="2:3">
      <c r="B4152" s="39"/>
      <c r="C4152" s="39"/>
    </row>
    <row r="4153" spans="2:3">
      <c r="B4153" s="39"/>
      <c r="C4153" s="39"/>
    </row>
    <row r="4154" spans="2:3">
      <c r="B4154" s="39"/>
      <c r="C4154" s="39"/>
    </row>
    <row r="4155" spans="2:3">
      <c r="B4155" s="39"/>
      <c r="C4155" s="39"/>
    </row>
    <row r="4156" spans="2:3">
      <c r="B4156" s="39"/>
      <c r="C4156" s="39"/>
    </row>
    <row r="4157" spans="2:3">
      <c r="B4157" s="39"/>
      <c r="C4157" s="39"/>
    </row>
    <row r="4158" spans="2:3">
      <c r="B4158" s="39"/>
      <c r="C4158" s="39"/>
    </row>
    <row r="4159" spans="2:3">
      <c r="B4159" s="39"/>
      <c r="C4159" s="39"/>
    </row>
    <row r="4160" spans="2:3">
      <c r="B4160" s="39"/>
      <c r="C4160" s="39"/>
    </row>
    <row r="4161" spans="2:3">
      <c r="B4161" s="39"/>
      <c r="C4161" s="39"/>
    </row>
    <row r="4162" spans="2:3">
      <c r="B4162" s="39"/>
      <c r="C4162" s="39"/>
    </row>
    <row r="4163" spans="2:3">
      <c r="B4163" s="39"/>
      <c r="C4163" s="39"/>
    </row>
    <row r="4164" spans="2:3">
      <c r="B4164" s="39"/>
      <c r="C4164" s="39"/>
    </row>
    <row r="4165" spans="2:3">
      <c r="B4165" s="39"/>
      <c r="C4165" s="39"/>
    </row>
    <row r="4166" spans="2:3">
      <c r="B4166" s="39"/>
      <c r="C4166" s="39"/>
    </row>
    <row r="4167" spans="2:3">
      <c r="B4167" s="39"/>
      <c r="C4167" s="39"/>
    </row>
    <row r="4168" spans="2:3">
      <c r="B4168" s="39"/>
      <c r="C4168" s="39"/>
    </row>
    <row r="4169" spans="2:3">
      <c r="B4169" s="39"/>
      <c r="C4169" s="39"/>
    </row>
    <row r="4170" spans="2:3">
      <c r="B4170" s="39"/>
      <c r="C4170" s="39"/>
    </row>
    <row r="4171" spans="2:3">
      <c r="B4171" s="39"/>
      <c r="C4171" s="39"/>
    </row>
    <row r="4172" spans="2:3">
      <c r="B4172" s="39"/>
      <c r="C4172" s="39"/>
    </row>
    <row r="4173" spans="2:3">
      <c r="B4173" s="39"/>
      <c r="C4173" s="39"/>
    </row>
    <row r="4174" spans="2:3">
      <c r="B4174" s="39"/>
      <c r="C4174" s="39"/>
    </row>
    <row r="4175" spans="2:3">
      <c r="B4175" s="39"/>
      <c r="C4175" s="39"/>
    </row>
    <row r="4176" spans="2:3">
      <c r="B4176" s="39"/>
      <c r="C4176" s="39"/>
    </row>
    <row r="4177" spans="2:3">
      <c r="B4177" s="39"/>
      <c r="C4177" s="39"/>
    </row>
    <row r="4178" spans="2:3">
      <c r="B4178" s="39"/>
      <c r="C4178" s="39"/>
    </row>
    <row r="4179" spans="2:3">
      <c r="B4179" s="39"/>
      <c r="C4179" s="39"/>
    </row>
    <row r="4180" spans="2:3">
      <c r="B4180" s="39"/>
      <c r="C4180" s="39"/>
    </row>
    <row r="4181" spans="2:3">
      <c r="B4181" s="39"/>
      <c r="C4181" s="39"/>
    </row>
    <row r="4182" spans="2:3">
      <c r="B4182" s="39"/>
      <c r="C4182" s="39"/>
    </row>
    <row r="4183" spans="2:3">
      <c r="B4183" s="39"/>
      <c r="C4183" s="39"/>
    </row>
    <row r="4184" spans="2:3">
      <c r="B4184" s="39"/>
      <c r="C4184" s="39"/>
    </row>
    <row r="4185" spans="2:3">
      <c r="B4185" s="39"/>
      <c r="C4185" s="39"/>
    </row>
    <row r="4186" spans="2:3">
      <c r="B4186" s="39"/>
      <c r="C4186" s="39"/>
    </row>
    <row r="4187" spans="2:3">
      <c r="B4187" s="39"/>
      <c r="C4187" s="39"/>
    </row>
    <row r="4188" spans="2:3">
      <c r="B4188" s="39"/>
      <c r="C4188" s="39"/>
    </row>
    <row r="4189" spans="2:3">
      <c r="B4189" s="39"/>
      <c r="C4189" s="39"/>
    </row>
    <row r="4190" spans="2:3">
      <c r="B4190" s="39"/>
      <c r="C4190" s="39"/>
    </row>
    <row r="4191" spans="2:3">
      <c r="B4191" s="39"/>
      <c r="C4191" s="39"/>
    </row>
    <row r="4192" spans="2:3">
      <c r="B4192" s="39"/>
      <c r="C4192" s="39"/>
    </row>
    <row r="4193" spans="2:3">
      <c r="B4193" s="39"/>
      <c r="C4193" s="39"/>
    </row>
    <row r="4194" spans="2:3">
      <c r="B4194" s="39"/>
      <c r="C4194" s="39"/>
    </row>
    <row r="4195" spans="2:3">
      <c r="B4195" s="39"/>
      <c r="C4195" s="39"/>
    </row>
    <row r="4196" spans="2:3">
      <c r="B4196" s="39"/>
      <c r="C4196" s="39"/>
    </row>
    <row r="4197" spans="2:3">
      <c r="B4197" s="39"/>
      <c r="C4197" s="39"/>
    </row>
    <row r="4198" spans="2:3">
      <c r="B4198" s="39"/>
      <c r="C4198" s="39"/>
    </row>
    <row r="4199" spans="2:3">
      <c r="B4199" s="39"/>
      <c r="C4199" s="39"/>
    </row>
    <row r="4200" spans="2:3">
      <c r="B4200" s="39"/>
      <c r="C4200" s="39"/>
    </row>
    <row r="4201" spans="2:3">
      <c r="B4201" s="39"/>
      <c r="C4201" s="39"/>
    </row>
    <row r="4202" spans="2:3">
      <c r="B4202" s="39"/>
      <c r="C4202" s="39"/>
    </row>
    <row r="4203" spans="2:3">
      <c r="B4203" s="39"/>
      <c r="C4203" s="39"/>
    </row>
    <row r="4204" spans="2:3">
      <c r="B4204" s="39"/>
      <c r="C4204" s="39"/>
    </row>
    <row r="4205" spans="2:3">
      <c r="B4205" s="39"/>
      <c r="C4205" s="39"/>
    </row>
    <row r="4206" spans="2:3">
      <c r="B4206" s="39"/>
      <c r="C4206" s="39"/>
    </row>
    <row r="4207" spans="2:3">
      <c r="B4207" s="39"/>
      <c r="C4207" s="39"/>
    </row>
    <row r="4208" spans="2:3">
      <c r="B4208" s="39"/>
      <c r="C4208" s="39"/>
    </row>
    <row r="4209" spans="2:3">
      <c r="B4209" s="39"/>
      <c r="C4209" s="39"/>
    </row>
    <row r="4210" spans="2:3">
      <c r="B4210" s="39"/>
      <c r="C4210" s="39"/>
    </row>
    <row r="4211" spans="2:3">
      <c r="B4211" s="39"/>
      <c r="C4211" s="39"/>
    </row>
    <row r="4212" spans="2:3">
      <c r="B4212" s="39"/>
      <c r="C4212" s="39"/>
    </row>
    <row r="4213" spans="2:3">
      <c r="B4213" s="39"/>
      <c r="C4213" s="39"/>
    </row>
    <row r="4214" spans="2:3">
      <c r="B4214" s="39"/>
      <c r="C4214" s="39"/>
    </row>
    <row r="4215" spans="2:3">
      <c r="B4215" s="39"/>
      <c r="C4215" s="39"/>
    </row>
    <row r="4216" spans="2:3">
      <c r="B4216" s="39"/>
      <c r="C4216" s="39"/>
    </row>
    <row r="4217" spans="2:3">
      <c r="B4217" s="39"/>
      <c r="C4217" s="39"/>
    </row>
    <row r="4218" spans="2:3">
      <c r="B4218" s="39"/>
      <c r="C4218" s="39"/>
    </row>
    <row r="4219" spans="2:3">
      <c r="B4219" s="39"/>
      <c r="C4219" s="39"/>
    </row>
    <row r="4220" spans="2:3">
      <c r="B4220" s="39"/>
      <c r="C4220" s="39"/>
    </row>
    <row r="4221" spans="2:3">
      <c r="B4221" s="39"/>
      <c r="C4221" s="39"/>
    </row>
    <row r="4222" spans="2:3">
      <c r="B4222" s="39"/>
      <c r="C4222" s="39"/>
    </row>
    <row r="4223" spans="2:3">
      <c r="B4223" s="39"/>
      <c r="C4223" s="39"/>
    </row>
    <row r="4224" spans="2:3">
      <c r="B4224" s="39"/>
      <c r="C4224" s="39"/>
    </row>
    <row r="4225" spans="2:3">
      <c r="B4225" s="39"/>
      <c r="C4225" s="39"/>
    </row>
    <row r="4226" spans="2:3">
      <c r="B4226" s="39"/>
      <c r="C4226" s="39"/>
    </row>
    <row r="4227" spans="2:3">
      <c r="B4227" s="39"/>
      <c r="C4227" s="39"/>
    </row>
    <row r="4228" spans="2:3">
      <c r="B4228" s="39"/>
      <c r="C4228" s="39"/>
    </row>
    <row r="4229" spans="2:3">
      <c r="B4229" s="39"/>
      <c r="C4229" s="39"/>
    </row>
    <row r="4230" spans="2:3">
      <c r="B4230" s="39"/>
      <c r="C4230" s="39"/>
    </row>
    <row r="4231" spans="2:3">
      <c r="B4231" s="39"/>
      <c r="C4231" s="39"/>
    </row>
    <row r="4232" spans="2:3">
      <c r="B4232" s="39"/>
      <c r="C4232" s="39"/>
    </row>
    <row r="4233" spans="2:3">
      <c r="B4233" s="39"/>
      <c r="C4233" s="39"/>
    </row>
    <row r="4234" spans="2:3">
      <c r="B4234" s="39"/>
      <c r="C4234" s="39"/>
    </row>
    <row r="4235" spans="2:3">
      <c r="B4235" s="39"/>
      <c r="C4235" s="39"/>
    </row>
    <row r="4236" spans="2:3">
      <c r="B4236" s="39"/>
      <c r="C4236" s="39"/>
    </row>
    <row r="4237" spans="2:3">
      <c r="B4237" s="39"/>
      <c r="C4237" s="39"/>
    </row>
    <row r="4238" spans="2:3">
      <c r="B4238" s="39"/>
      <c r="C4238" s="39"/>
    </row>
    <row r="4239" spans="2:3">
      <c r="B4239" s="39"/>
      <c r="C4239" s="39"/>
    </row>
    <row r="4240" spans="2:3">
      <c r="B4240" s="39"/>
      <c r="C4240" s="39"/>
    </row>
    <row r="4241" spans="2:3">
      <c r="B4241" s="39"/>
      <c r="C4241" s="39"/>
    </row>
    <row r="4242" spans="2:3">
      <c r="B4242" s="39"/>
      <c r="C4242" s="39"/>
    </row>
    <row r="4243" spans="2:3">
      <c r="B4243" s="39"/>
      <c r="C4243" s="39"/>
    </row>
    <row r="4244" spans="2:3">
      <c r="B4244" s="39"/>
      <c r="C4244" s="39"/>
    </row>
    <row r="4245" spans="2:3">
      <c r="B4245" s="39"/>
      <c r="C4245" s="39"/>
    </row>
    <row r="4246" spans="2:3">
      <c r="B4246" s="39"/>
      <c r="C4246" s="39"/>
    </row>
    <row r="4247" spans="2:3">
      <c r="B4247" s="39"/>
      <c r="C4247" s="39"/>
    </row>
    <row r="4248" spans="2:3">
      <c r="B4248" s="39"/>
      <c r="C4248" s="39"/>
    </row>
    <row r="4249" spans="2:3">
      <c r="B4249" s="39"/>
      <c r="C4249" s="39"/>
    </row>
    <row r="4250" spans="2:3">
      <c r="B4250" s="39"/>
      <c r="C4250" s="39"/>
    </row>
    <row r="4251" spans="2:3">
      <c r="B4251" s="39"/>
      <c r="C4251" s="39"/>
    </row>
    <row r="4252" spans="2:3">
      <c r="B4252" s="39"/>
      <c r="C4252" s="39"/>
    </row>
    <row r="4253" spans="2:3">
      <c r="B4253" s="39"/>
      <c r="C4253" s="39"/>
    </row>
    <row r="4254" spans="2:3">
      <c r="B4254" s="39"/>
      <c r="C4254" s="39"/>
    </row>
    <row r="4255" spans="2:3">
      <c r="B4255" s="39"/>
      <c r="C4255" s="39"/>
    </row>
    <row r="4256" spans="2:3">
      <c r="B4256" s="39"/>
      <c r="C4256" s="39"/>
    </row>
    <row r="4257" spans="2:3">
      <c r="B4257" s="39"/>
      <c r="C4257" s="39"/>
    </row>
    <row r="4258" spans="2:3">
      <c r="B4258" s="39"/>
      <c r="C4258" s="39"/>
    </row>
    <row r="4259" spans="2:3">
      <c r="B4259" s="39"/>
      <c r="C4259" s="39"/>
    </row>
    <row r="4260" spans="2:3">
      <c r="B4260" s="39"/>
      <c r="C4260" s="39"/>
    </row>
    <row r="4261" spans="2:3">
      <c r="B4261" s="39"/>
      <c r="C4261" s="39"/>
    </row>
    <row r="4262" spans="2:3">
      <c r="B4262" s="39"/>
      <c r="C4262" s="39"/>
    </row>
    <row r="4263" spans="2:3">
      <c r="B4263" s="39"/>
      <c r="C4263" s="39"/>
    </row>
    <row r="4264" spans="2:3">
      <c r="B4264" s="39"/>
      <c r="C4264" s="39"/>
    </row>
    <row r="4265" spans="2:3">
      <c r="B4265" s="39"/>
      <c r="C4265" s="39"/>
    </row>
    <row r="4266" spans="2:3">
      <c r="B4266" s="39"/>
      <c r="C4266" s="39"/>
    </row>
    <row r="4267" spans="2:3">
      <c r="B4267" s="39"/>
      <c r="C4267" s="39"/>
    </row>
    <row r="4268" spans="2:3">
      <c r="B4268" s="39"/>
      <c r="C4268" s="39"/>
    </row>
    <row r="4269" spans="2:3">
      <c r="B4269" s="39"/>
      <c r="C4269" s="39"/>
    </row>
    <row r="4270" spans="2:3">
      <c r="B4270" s="39"/>
      <c r="C4270" s="39"/>
    </row>
    <row r="4271" spans="2:3">
      <c r="B4271" s="39"/>
      <c r="C4271" s="39"/>
    </row>
    <row r="4272" spans="2:3">
      <c r="B4272" s="39"/>
      <c r="C4272" s="39"/>
    </row>
    <row r="4273" spans="2:3">
      <c r="B4273" s="39"/>
      <c r="C4273" s="39"/>
    </row>
    <row r="4274" spans="2:3">
      <c r="B4274" s="39"/>
      <c r="C4274" s="39"/>
    </row>
    <row r="4275" spans="2:3">
      <c r="B4275" s="39"/>
      <c r="C4275" s="39"/>
    </row>
    <row r="4276" spans="2:3">
      <c r="B4276" s="39"/>
      <c r="C4276" s="39"/>
    </row>
    <row r="4277" spans="2:3">
      <c r="B4277" s="39"/>
      <c r="C4277" s="39"/>
    </row>
    <row r="4278" spans="2:3">
      <c r="B4278" s="39"/>
      <c r="C4278" s="39"/>
    </row>
    <row r="4279" spans="2:3">
      <c r="B4279" s="39"/>
      <c r="C4279" s="39"/>
    </row>
    <row r="4280" spans="2:3">
      <c r="B4280" s="39"/>
      <c r="C4280" s="39"/>
    </row>
    <row r="4281" spans="2:3">
      <c r="B4281" s="39"/>
      <c r="C4281" s="39"/>
    </row>
    <row r="4282" spans="2:3">
      <c r="B4282" s="39"/>
      <c r="C4282" s="39"/>
    </row>
    <row r="4283" spans="2:3">
      <c r="B4283" s="39"/>
      <c r="C4283" s="39"/>
    </row>
    <row r="4284" spans="2:3">
      <c r="B4284" s="39"/>
      <c r="C4284" s="39"/>
    </row>
    <row r="4285" spans="2:3">
      <c r="B4285" s="39"/>
      <c r="C4285" s="39"/>
    </row>
    <row r="4286" spans="2:3">
      <c r="B4286" s="39"/>
      <c r="C4286" s="39"/>
    </row>
    <row r="4287" spans="2:3">
      <c r="B4287" s="39"/>
      <c r="C4287" s="39"/>
    </row>
    <row r="4288" spans="2:3">
      <c r="B4288" s="39"/>
      <c r="C4288" s="39"/>
    </row>
    <row r="4289" spans="2:3">
      <c r="B4289" s="39"/>
      <c r="C4289" s="39"/>
    </row>
    <row r="4290" spans="2:3">
      <c r="B4290" s="39"/>
      <c r="C4290" s="39"/>
    </row>
    <row r="4291" spans="2:3">
      <c r="B4291" s="39"/>
      <c r="C4291" s="39"/>
    </row>
    <row r="4292" spans="2:3">
      <c r="B4292" s="39"/>
      <c r="C4292" s="39"/>
    </row>
    <row r="4293" spans="2:3">
      <c r="B4293" s="39"/>
      <c r="C4293" s="39"/>
    </row>
    <row r="4294" spans="2:3">
      <c r="B4294" s="39"/>
      <c r="C4294" s="39"/>
    </row>
    <row r="4295" spans="2:3">
      <c r="B4295" s="39"/>
      <c r="C4295" s="39"/>
    </row>
    <row r="4296" spans="2:3">
      <c r="B4296" s="39"/>
      <c r="C4296" s="39"/>
    </row>
    <row r="4297" spans="2:3">
      <c r="B4297" s="39"/>
      <c r="C4297" s="39"/>
    </row>
    <row r="4298" spans="2:3">
      <c r="B4298" s="39"/>
      <c r="C4298" s="39"/>
    </row>
    <row r="4299" spans="2:3">
      <c r="B4299" s="39"/>
      <c r="C4299" s="39"/>
    </row>
    <row r="4300" spans="2:3">
      <c r="B4300" s="39"/>
      <c r="C4300" s="39"/>
    </row>
    <row r="4301" spans="2:3">
      <c r="B4301" s="39"/>
      <c r="C4301" s="39"/>
    </row>
    <row r="4302" spans="2:3">
      <c r="B4302" s="39"/>
      <c r="C4302" s="39"/>
    </row>
    <row r="4303" spans="2:3">
      <c r="B4303" s="39"/>
      <c r="C4303" s="39"/>
    </row>
    <row r="4304" spans="2:3">
      <c r="B4304" s="39"/>
      <c r="C4304" s="39"/>
    </row>
    <row r="4305" spans="2:3">
      <c r="B4305" s="39"/>
      <c r="C4305" s="39"/>
    </row>
    <row r="4306" spans="2:3">
      <c r="B4306" s="39"/>
      <c r="C4306" s="39"/>
    </row>
    <row r="4307" spans="2:3">
      <c r="B4307" s="39"/>
      <c r="C4307" s="39"/>
    </row>
    <row r="4308" spans="2:3">
      <c r="B4308" s="39"/>
      <c r="C4308" s="39"/>
    </row>
    <row r="4309" spans="2:3">
      <c r="B4309" s="39"/>
      <c r="C4309" s="39"/>
    </row>
    <row r="4310" spans="2:3">
      <c r="B4310" s="39"/>
      <c r="C4310" s="39"/>
    </row>
    <row r="4311" spans="2:3">
      <c r="B4311" s="39"/>
      <c r="C4311" s="39"/>
    </row>
    <row r="4312" spans="2:3">
      <c r="B4312" s="39"/>
      <c r="C4312" s="39"/>
    </row>
    <row r="4313" spans="2:3">
      <c r="B4313" s="39"/>
      <c r="C4313" s="39"/>
    </row>
    <row r="4314" spans="2:3">
      <c r="B4314" s="39"/>
      <c r="C4314" s="39"/>
    </row>
    <row r="4315" spans="2:3">
      <c r="B4315" s="39"/>
      <c r="C4315" s="39"/>
    </row>
    <row r="4316" spans="2:3">
      <c r="B4316" s="39"/>
      <c r="C4316" s="39"/>
    </row>
    <row r="4317" spans="2:3">
      <c r="B4317" s="39"/>
      <c r="C4317" s="39"/>
    </row>
    <row r="4318" spans="2:3">
      <c r="B4318" s="39"/>
      <c r="C4318" s="39"/>
    </row>
    <row r="4319" spans="2:3">
      <c r="B4319" s="39"/>
      <c r="C4319" s="39"/>
    </row>
    <row r="4320" spans="2:3">
      <c r="B4320" s="39"/>
      <c r="C4320" s="39"/>
    </row>
    <row r="4321" spans="2:3">
      <c r="B4321" s="39"/>
      <c r="C4321" s="39"/>
    </row>
    <row r="4322" spans="2:3">
      <c r="B4322" s="39"/>
      <c r="C4322" s="39"/>
    </row>
    <row r="4323" spans="2:3">
      <c r="B4323" s="39"/>
      <c r="C4323" s="39"/>
    </row>
    <row r="4324" spans="2:3">
      <c r="B4324" s="39"/>
      <c r="C4324" s="39"/>
    </row>
    <row r="4325" spans="2:3">
      <c r="B4325" s="39"/>
      <c r="C4325" s="39"/>
    </row>
    <row r="4326" spans="2:3">
      <c r="B4326" s="39"/>
      <c r="C4326" s="39"/>
    </row>
    <row r="4327" spans="2:3">
      <c r="B4327" s="39"/>
      <c r="C4327" s="39"/>
    </row>
    <row r="4328" spans="2:3">
      <c r="B4328" s="39"/>
      <c r="C4328" s="39"/>
    </row>
    <row r="4329" spans="2:3">
      <c r="B4329" s="39"/>
      <c r="C4329" s="39"/>
    </row>
    <row r="4330" spans="2:3">
      <c r="B4330" s="39"/>
      <c r="C4330" s="39"/>
    </row>
    <row r="4331" spans="2:3">
      <c r="B4331" s="39"/>
      <c r="C4331" s="39"/>
    </row>
    <row r="4332" spans="2:3">
      <c r="B4332" s="39"/>
      <c r="C4332" s="39"/>
    </row>
    <row r="4333" spans="2:3">
      <c r="B4333" s="39"/>
      <c r="C4333" s="39"/>
    </row>
    <row r="4334" spans="2:3">
      <c r="B4334" s="39"/>
      <c r="C4334" s="39"/>
    </row>
    <row r="4335" spans="2:3">
      <c r="B4335" s="39"/>
      <c r="C4335" s="39"/>
    </row>
    <row r="4336" spans="2:3">
      <c r="B4336" s="39"/>
      <c r="C4336" s="39"/>
    </row>
    <row r="4337" spans="2:3">
      <c r="B4337" s="39"/>
      <c r="C4337" s="39"/>
    </row>
    <row r="4338" spans="2:3">
      <c r="B4338" s="39"/>
      <c r="C4338" s="39"/>
    </row>
    <row r="4339" spans="2:3">
      <c r="B4339" s="39"/>
      <c r="C4339" s="39"/>
    </row>
    <row r="4340" spans="2:3">
      <c r="B4340" s="39"/>
      <c r="C4340" s="39"/>
    </row>
    <row r="4341" spans="2:3">
      <c r="B4341" s="39"/>
      <c r="C4341" s="39"/>
    </row>
    <row r="4342" spans="2:3">
      <c r="B4342" s="39"/>
      <c r="C4342" s="39"/>
    </row>
    <row r="4343" spans="2:3">
      <c r="B4343" s="39"/>
      <c r="C4343" s="39"/>
    </row>
    <row r="4344" spans="2:3">
      <c r="B4344" s="39"/>
      <c r="C4344" s="39"/>
    </row>
    <row r="4345" spans="2:3">
      <c r="B4345" s="39"/>
      <c r="C4345" s="39"/>
    </row>
    <row r="4346" spans="2:3">
      <c r="B4346" s="39"/>
      <c r="C4346" s="39"/>
    </row>
    <row r="4347" spans="2:3">
      <c r="B4347" s="39"/>
      <c r="C4347" s="39"/>
    </row>
    <row r="4348" spans="2:3">
      <c r="B4348" s="39"/>
      <c r="C4348" s="39"/>
    </row>
    <row r="4349" spans="2:3">
      <c r="B4349" s="39"/>
      <c r="C4349" s="39"/>
    </row>
    <row r="4350" spans="2:3">
      <c r="B4350" s="39"/>
      <c r="C4350" s="39"/>
    </row>
    <row r="4351" spans="2:3">
      <c r="B4351" s="39"/>
      <c r="C4351" s="39"/>
    </row>
    <row r="4352" spans="2:3">
      <c r="B4352" s="39"/>
      <c r="C4352" s="39"/>
    </row>
    <row r="4353" spans="2:3">
      <c r="B4353" s="39"/>
      <c r="C4353" s="39"/>
    </row>
    <row r="4354" spans="2:3">
      <c r="B4354" s="39"/>
      <c r="C4354" s="39"/>
    </row>
    <row r="4355" spans="2:3">
      <c r="B4355" s="39"/>
      <c r="C4355" s="39"/>
    </row>
    <row r="4356" spans="2:3">
      <c r="B4356" s="39"/>
      <c r="C4356" s="39"/>
    </row>
    <row r="4357" spans="2:3">
      <c r="B4357" s="39"/>
      <c r="C4357" s="39"/>
    </row>
    <row r="4358" spans="2:3">
      <c r="B4358" s="39"/>
      <c r="C4358" s="39"/>
    </row>
    <row r="4359" spans="2:3">
      <c r="B4359" s="39"/>
      <c r="C4359" s="39"/>
    </row>
    <row r="4360" spans="2:3">
      <c r="B4360" s="39"/>
      <c r="C4360" s="39"/>
    </row>
    <row r="4361" spans="2:3">
      <c r="B4361" s="39"/>
      <c r="C4361" s="39"/>
    </row>
    <row r="4362" spans="2:3">
      <c r="B4362" s="39"/>
      <c r="C4362" s="39"/>
    </row>
    <row r="4363" spans="2:3">
      <c r="B4363" s="39"/>
      <c r="C4363" s="39"/>
    </row>
    <row r="4364" spans="2:3">
      <c r="B4364" s="39"/>
      <c r="C4364" s="39"/>
    </row>
    <row r="4365" spans="2:3">
      <c r="B4365" s="39"/>
      <c r="C4365" s="39"/>
    </row>
    <row r="4366" spans="2:3">
      <c r="B4366" s="39"/>
      <c r="C4366" s="39"/>
    </row>
    <row r="4367" spans="2:3">
      <c r="B4367" s="39"/>
      <c r="C4367" s="39"/>
    </row>
    <row r="4368" spans="2:3">
      <c r="B4368" s="39"/>
      <c r="C4368" s="39"/>
    </row>
    <row r="4369" spans="2:3">
      <c r="B4369" s="39"/>
      <c r="C4369" s="39"/>
    </row>
    <row r="4370" spans="2:3">
      <c r="B4370" s="39"/>
      <c r="C4370" s="39"/>
    </row>
    <row r="4371" spans="2:3">
      <c r="B4371" s="39"/>
      <c r="C4371" s="39"/>
    </row>
    <row r="4372" spans="2:3">
      <c r="B4372" s="39"/>
      <c r="C4372" s="39"/>
    </row>
    <row r="4373" spans="2:3">
      <c r="B4373" s="39"/>
      <c r="C4373" s="39"/>
    </row>
    <row r="4374" spans="2:3">
      <c r="B4374" s="39"/>
      <c r="C4374" s="39"/>
    </row>
    <row r="4375" spans="2:3">
      <c r="B4375" s="39"/>
      <c r="C4375" s="39"/>
    </row>
    <row r="4376" spans="2:3">
      <c r="B4376" s="39"/>
      <c r="C4376" s="39"/>
    </row>
    <row r="4377" spans="2:3">
      <c r="B4377" s="39"/>
      <c r="C4377" s="39"/>
    </row>
    <row r="4378" spans="2:3">
      <c r="B4378" s="39"/>
      <c r="C4378" s="39"/>
    </row>
    <row r="4379" spans="2:3">
      <c r="B4379" s="39"/>
      <c r="C4379" s="39"/>
    </row>
    <row r="4380" spans="2:3">
      <c r="B4380" s="39"/>
      <c r="C4380" s="39"/>
    </row>
    <row r="4381" spans="2:3">
      <c r="B4381" s="39"/>
      <c r="C4381" s="39"/>
    </row>
    <row r="4382" spans="2:3">
      <c r="B4382" s="39"/>
      <c r="C4382" s="39"/>
    </row>
    <row r="4383" spans="2:3">
      <c r="B4383" s="39"/>
      <c r="C4383" s="39"/>
    </row>
    <row r="4384" spans="2:3">
      <c r="B4384" s="39"/>
      <c r="C4384" s="39"/>
    </row>
    <row r="4385" spans="2:3">
      <c r="B4385" s="39"/>
      <c r="C4385" s="39"/>
    </row>
    <row r="4386" spans="2:3">
      <c r="B4386" s="39"/>
      <c r="C4386" s="39"/>
    </row>
    <row r="4387" spans="2:3">
      <c r="B4387" s="39"/>
      <c r="C4387" s="39"/>
    </row>
    <row r="4388" spans="2:3">
      <c r="B4388" s="39"/>
      <c r="C4388" s="39"/>
    </row>
    <row r="4389" spans="2:3">
      <c r="B4389" s="39"/>
      <c r="C4389" s="39"/>
    </row>
    <row r="4390" spans="2:3">
      <c r="B4390" s="39"/>
      <c r="C4390" s="39"/>
    </row>
    <row r="4391" spans="2:3">
      <c r="B4391" s="39"/>
      <c r="C4391" s="39"/>
    </row>
    <row r="4392" spans="2:3">
      <c r="B4392" s="39"/>
      <c r="C4392" s="39"/>
    </row>
    <row r="4393" spans="2:3">
      <c r="B4393" s="39"/>
      <c r="C4393" s="39"/>
    </row>
    <row r="4394" spans="2:3">
      <c r="B4394" s="39"/>
      <c r="C4394" s="39"/>
    </row>
    <row r="4395" spans="2:3">
      <c r="B4395" s="39"/>
      <c r="C4395" s="39"/>
    </row>
    <row r="4396" spans="2:3">
      <c r="B4396" s="39"/>
      <c r="C4396" s="39"/>
    </row>
    <row r="4397" spans="2:3">
      <c r="B4397" s="39"/>
      <c r="C4397" s="39"/>
    </row>
    <row r="4398" spans="2:3">
      <c r="B4398" s="39"/>
      <c r="C4398" s="39"/>
    </row>
    <row r="4399" spans="2:3">
      <c r="B4399" s="39"/>
      <c r="C4399" s="39"/>
    </row>
    <row r="4400" spans="2:3">
      <c r="B4400" s="39"/>
      <c r="C4400" s="39"/>
    </row>
    <row r="4401" spans="2:3">
      <c r="B4401" s="39"/>
      <c r="C4401" s="39"/>
    </row>
    <row r="4402" spans="2:3">
      <c r="B4402" s="39"/>
      <c r="C4402" s="39"/>
    </row>
    <row r="4403" spans="2:3">
      <c r="B4403" s="39"/>
      <c r="C4403" s="39"/>
    </row>
    <row r="4404" spans="2:3">
      <c r="B4404" s="39"/>
      <c r="C4404" s="39"/>
    </row>
    <row r="4405" spans="2:3">
      <c r="B4405" s="39"/>
      <c r="C4405" s="39"/>
    </row>
    <row r="4406" spans="2:3">
      <c r="B4406" s="39"/>
      <c r="C4406" s="39"/>
    </row>
    <row r="4407" spans="2:3">
      <c r="B4407" s="39"/>
      <c r="C4407" s="39"/>
    </row>
    <row r="4408" spans="2:3">
      <c r="B4408" s="39"/>
      <c r="C4408" s="39"/>
    </row>
    <row r="4409" spans="2:3">
      <c r="B4409" s="39"/>
      <c r="C4409" s="39"/>
    </row>
    <row r="4410" spans="2:3">
      <c r="B4410" s="39"/>
      <c r="C4410" s="39"/>
    </row>
    <row r="4411" spans="2:3">
      <c r="B4411" s="39"/>
      <c r="C4411" s="39"/>
    </row>
    <row r="4412" spans="2:3">
      <c r="B4412" s="39"/>
      <c r="C4412" s="39"/>
    </row>
    <row r="4413" spans="2:3">
      <c r="B4413" s="39"/>
      <c r="C4413" s="39"/>
    </row>
    <row r="4414" spans="2:3">
      <c r="B4414" s="39"/>
      <c r="C4414" s="39"/>
    </row>
    <row r="4415" spans="2:3">
      <c r="B4415" s="39"/>
      <c r="C4415" s="39"/>
    </row>
    <row r="4416" spans="2:3">
      <c r="B4416" s="39"/>
      <c r="C4416" s="39"/>
    </row>
    <row r="4417" spans="2:3">
      <c r="B4417" s="39"/>
      <c r="C4417" s="39"/>
    </row>
    <row r="4418" spans="2:3">
      <c r="B4418" s="39"/>
      <c r="C4418" s="39"/>
    </row>
    <row r="4419" spans="2:3">
      <c r="B4419" s="39"/>
      <c r="C4419" s="39"/>
    </row>
    <row r="4420" spans="2:3">
      <c r="B4420" s="39"/>
      <c r="C4420" s="39"/>
    </row>
    <row r="4421" spans="2:3">
      <c r="B4421" s="39"/>
      <c r="C4421" s="39"/>
    </row>
    <row r="4422" spans="2:3">
      <c r="B4422" s="39"/>
      <c r="C4422" s="39"/>
    </row>
    <row r="4423" spans="2:3">
      <c r="B4423" s="39"/>
      <c r="C4423" s="39"/>
    </row>
    <row r="4424" spans="2:3">
      <c r="B4424" s="39"/>
      <c r="C4424" s="39"/>
    </row>
    <row r="4425" spans="2:3">
      <c r="B4425" s="39"/>
      <c r="C4425" s="39"/>
    </row>
    <row r="4426" spans="2:3">
      <c r="B4426" s="39"/>
      <c r="C4426" s="39"/>
    </row>
    <row r="4427" spans="2:3">
      <c r="B4427" s="39"/>
      <c r="C4427" s="39"/>
    </row>
    <row r="4428" spans="2:3">
      <c r="B4428" s="39"/>
      <c r="C4428" s="39"/>
    </row>
    <row r="4429" spans="2:3">
      <c r="B4429" s="39"/>
      <c r="C4429" s="39"/>
    </row>
    <row r="4430" spans="2:3">
      <c r="B4430" s="39"/>
      <c r="C4430" s="39"/>
    </row>
    <row r="4431" spans="2:3">
      <c r="B4431" s="39"/>
      <c r="C4431" s="39"/>
    </row>
    <row r="4432" spans="2:3">
      <c r="B4432" s="39"/>
      <c r="C4432" s="39"/>
    </row>
    <row r="4433" spans="2:3">
      <c r="B4433" s="39"/>
      <c r="C4433" s="39"/>
    </row>
    <row r="4434" spans="2:3">
      <c r="B4434" s="39"/>
      <c r="C4434" s="39"/>
    </row>
    <row r="4435" spans="2:3">
      <c r="B4435" s="39"/>
      <c r="C4435" s="39"/>
    </row>
    <row r="4436" spans="2:3">
      <c r="B4436" s="39"/>
      <c r="C4436" s="39"/>
    </row>
    <row r="4437" spans="2:3">
      <c r="B4437" s="39"/>
      <c r="C4437" s="39"/>
    </row>
    <row r="4438" spans="2:3">
      <c r="B4438" s="39"/>
      <c r="C4438" s="39"/>
    </row>
    <row r="4439" spans="2:3">
      <c r="B4439" s="39"/>
      <c r="C4439" s="39"/>
    </row>
    <row r="4440" spans="2:3">
      <c r="B4440" s="39"/>
      <c r="C4440" s="39"/>
    </row>
    <row r="4441" spans="2:3">
      <c r="B4441" s="39"/>
      <c r="C4441" s="39"/>
    </row>
    <row r="4442" spans="2:3">
      <c r="B4442" s="39"/>
      <c r="C4442" s="39"/>
    </row>
    <row r="4443" spans="2:3">
      <c r="B4443" s="39"/>
      <c r="C4443" s="39"/>
    </row>
    <row r="4444" spans="2:3">
      <c r="B4444" s="39"/>
      <c r="C4444" s="39"/>
    </row>
    <row r="4445" spans="2:3">
      <c r="B4445" s="39"/>
      <c r="C4445" s="39"/>
    </row>
    <row r="4446" spans="2:3">
      <c r="B4446" s="39"/>
      <c r="C4446" s="39"/>
    </row>
    <row r="4447" spans="2:3">
      <c r="B4447" s="39"/>
      <c r="C4447" s="39"/>
    </row>
    <row r="4448" spans="2:3">
      <c r="B4448" s="39"/>
      <c r="C4448" s="39"/>
    </row>
    <row r="4449" spans="2:3">
      <c r="B4449" s="39"/>
      <c r="C4449" s="39"/>
    </row>
    <row r="4450" spans="2:3">
      <c r="B4450" s="39"/>
      <c r="C4450" s="39"/>
    </row>
    <row r="4451" spans="2:3">
      <c r="B4451" s="39"/>
      <c r="C4451" s="39"/>
    </row>
    <row r="4452" spans="2:3">
      <c r="B4452" s="39"/>
      <c r="C4452" s="39"/>
    </row>
    <row r="4453" spans="2:3">
      <c r="B4453" s="39"/>
      <c r="C4453" s="39"/>
    </row>
    <row r="4454" spans="2:3">
      <c r="B4454" s="39"/>
      <c r="C4454" s="39"/>
    </row>
    <row r="4455" spans="2:3">
      <c r="B4455" s="39"/>
      <c r="C4455" s="39"/>
    </row>
    <row r="4456" spans="2:3">
      <c r="B4456" s="39"/>
      <c r="C4456" s="39"/>
    </row>
    <row r="4457" spans="2:3">
      <c r="B4457" s="39"/>
      <c r="C4457" s="39"/>
    </row>
    <row r="4458" spans="2:3">
      <c r="B4458" s="39"/>
      <c r="C4458" s="39"/>
    </row>
    <row r="4459" spans="2:3">
      <c r="B4459" s="39"/>
      <c r="C4459" s="39"/>
    </row>
    <row r="4460" spans="2:3">
      <c r="B4460" s="39"/>
      <c r="C4460" s="39"/>
    </row>
    <row r="4461" spans="2:3">
      <c r="B4461" s="39"/>
      <c r="C4461" s="39"/>
    </row>
    <row r="4462" spans="2:3">
      <c r="B4462" s="39"/>
      <c r="C4462" s="39"/>
    </row>
    <row r="4463" spans="2:3">
      <c r="B4463" s="39"/>
      <c r="C4463" s="39"/>
    </row>
    <row r="4464" spans="2:3">
      <c r="B4464" s="39"/>
      <c r="C4464" s="39"/>
    </row>
    <row r="4465" spans="2:3">
      <c r="B4465" s="39"/>
      <c r="C4465" s="39"/>
    </row>
    <row r="4466" spans="2:3">
      <c r="B4466" s="39"/>
      <c r="C4466" s="39"/>
    </row>
    <row r="4467" spans="2:3">
      <c r="B4467" s="39"/>
      <c r="C4467" s="39"/>
    </row>
    <row r="4468" spans="2:3">
      <c r="B4468" s="39"/>
      <c r="C4468" s="39"/>
    </row>
    <row r="4469" spans="2:3">
      <c r="B4469" s="39"/>
      <c r="C4469" s="39"/>
    </row>
    <row r="4470" spans="2:3">
      <c r="B4470" s="39"/>
      <c r="C4470" s="39"/>
    </row>
    <row r="4471" spans="2:3">
      <c r="B4471" s="39"/>
      <c r="C4471" s="39"/>
    </row>
    <row r="4472" spans="2:3">
      <c r="B4472" s="39"/>
      <c r="C4472" s="39"/>
    </row>
    <row r="4473" spans="2:3">
      <c r="B4473" s="39"/>
      <c r="C4473" s="39"/>
    </row>
    <row r="4474" spans="2:3">
      <c r="B4474" s="39"/>
      <c r="C4474" s="39"/>
    </row>
    <row r="4475" spans="2:3">
      <c r="B4475" s="39"/>
      <c r="C4475" s="39"/>
    </row>
    <row r="4476" spans="2:3">
      <c r="B4476" s="39"/>
      <c r="C4476" s="39"/>
    </row>
    <row r="4477" spans="2:3">
      <c r="B4477" s="39"/>
      <c r="C4477" s="39"/>
    </row>
    <row r="4478" spans="2:3">
      <c r="B4478" s="39"/>
      <c r="C4478" s="39"/>
    </row>
    <row r="4479" spans="2:3">
      <c r="B4479" s="39"/>
      <c r="C4479" s="39"/>
    </row>
    <row r="4480" spans="2:3">
      <c r="B4480" s="39"/>
      <c r="C4480" s="39"/>
    </row>
    <row r="4481" spans="2:3">
      <c r="B4481" s="39"/>
      <c r="C4481" s="39"/>
    </row>
    <row r="4482" spans="2:3">
      <c r="B4482" s="39"/>
      <c r="C4482" s="39"/>
    </row>
    <row r="4483" spans="2:3">
      <c r="B4483" s="39"/>
      <c r="C4483" s="39"/>
    </row>
    <row r="4484" spans="2:3">
      <c r="B4484" s="39"/>
      <c r="C4484" s="39"/>
    </row>
    <row r="4485" spans="2:3">
      <c r="B4485" s="39"/>
      <c r="C4485" s="39"/>
    </row>
    <row r="4486" spans="2:3">
      <c r="B4486" s="39"/>
      <c r="C4486" s="39"/>
    </row>
    <row r="4487" spans="2:3">
      <c r="B4487" s="39"/>
      <c r="C4487" s="39"/>
    </row>
    <row r="4488" spans="2:3">
      <c r="B4488" s="39"/>
      <c r="C4488" s="39"/>
    </row>
    <row r="4489" spans="2:3">
      <c r="B4489" s="39"/>
      <c r="C4489" s="39"/>
    </row>
    <row r="4490" spans="2:3">
      <c r="B4490" s="39"/>
      <c r="C4490" s="39"/>
    </row>
    <row r="4491" spans="2:3">
      <c r="B4491" s="39"/>
      <c r="C4491" s="39"/>
    </row>
    <row r="4492" spans="2:3">
      <c r="B4492" s="39"/>
      <c r="C4492" s="39"/>
    </row>
    <row r="4493" spans="2:3">
      <c r="B4493" s="39"/>
      <c r="C4493" s="39"/>
    </row>
    <row r="4494" spans="2:3">
      <c r="B4494" s="39"/>
      <c r="C4494" s="39"/>
    </row>
    <row r="4495" spans="2:3">
      <c r="B4495" s="39"/>
      <c r="C4495" s="39"/>
    </row>
    <row r="4496" spans="2:3">
      <c r="B4496" s="39"/>
      <c r="C4496" s="39"/>
    </row>
    <row r="4497" spans="2:3">
      <c r="B4497" s="39"/>
      <c r="C4497" s="39"/>
    </row>
    <row r="4498" spans="2:3">
      <c r="B4498" s="39"/>
      <c r="C4498" s="39"/>
    </row>
    <row r="4499" spans="2:3">
      <c r="B4499" s="39"/>
      <c r="C4499" s="39"/>
    </row>
    <row r="4500" spans="2:3">
      <c r="B4500" s="39"/>
      <c r="C4500" s="39"/>
    </row>
    <row r="4501" spans="2:3">
      <c r="B4501" s="39"/>
      <c r="C4501" s="39"/>
    </row>
    <row r="4502" spans="2:3">
      <c r="B4502" s="39"/>
      <c r="C4502" s="39"/>
    </row>
    <row r="4503" spans="2:3">
      <c r="B4503" s="39"/>
      <c r="C4503" s="39"/>
    </row>
    <row r="4504" spans="2:3">
      <c r="B4504" s="39"/>
      <c r="C4504" s="39"/>
    </row>
    <row r="4505" spans="2:3">
      <c r="B4505" s="39"/>
      <c r="C4505" s="39"/>
    </row>
    <row r="4506" spans="2:3">
      <c r="B4506" s="39"/>
      <c r="C4506" s="39"/>
    </row>
    <row r="4507" spans="2:3">
      <c r="B4507" s="39"/>
      <c r="C4507" s="39"/>
    </row>
    <row r="4508" spans="2:3">
      <c r="B4508" s="39"/>
      <c r="C4508" s="39"/>
    </row>
    <row r="4509" spans="2:3">
      <c r="B4509" s="39"/>
      <c r="C4509" s="39"/>
    </row>
    <row r="4510" spans="2:3">
      <c r="B4510" s="39"/>
      <c r="C4510" s="39"/>
    </row>
    <row r="4511" spans="2:3">
      <c r="B4511" s="39"/>
      <c r="C4511" s="39"/>
    </row>
    <row r="4512" spans="2:3">
      <c r="B4512" s="39"/>
      <c r="C4512" s="39"/>
    </row>
    <row r="4513" spans="2:3">
      <c r="B4513" s="39"/>
      <c r="C4513" s="39"/>
    </row>
    <row r="4514" spans="2:3">
      <c r="B4514" s="39"/>
      <c r="C4514" s="39"/>
    </row>
    <row r="4515" spans="2:3">
      <c r="B4515" s="39"/>
      <c r="C4515" s="39"/>
    </row>
    <row r="4516" spans="2:3">
      <c r="B4516" s="39"/>
      <c r="C4516" s="39"/>
    </row>
    <row r="4517" spans="2:3">
      <c r="B4517" s="39"/>
      <c r="C4517" s="39"/>
    </row>
    <row r="4518" spans="2:3">
      <c r="B4518" s="39"/>
      <c r="C4518" s="39"/>
    </row>
    <row r="4519" spans="2:3">
      <c r="B4519" s="39"/>
      <c r="C4519" s="39"/>
    </row>
    <row r="4520" spans="2:3">
      <c r="B4520" s="39"/>
      <c r="C4520" s="39"/>
    </row>
    <row r="4521" spans="2:3">
      <c r="B4521" s="39"/>
      <c r="C4521" s="39"/>
    </row>
    <row r="4522" spans="2:3">
      <c r="B4522" s="39"/>
      <c r="C4522" s="39"/>
    </row>
    <row r="4523" spans="2:3">
      <c r="B4523" s="39"/>
      <c r="C4523" s="39"/>
    </row>
    <row r="4524" spans="2:3">
      <c r="B4524" s="39"/>
      <c r="C4524" s="39"/>
    </row>
    <row r="4525" spans="2:3">
      <c r="B4525" s="39"/>
      <c r="C4525" s="39"/>
    </row>
    <row r="4526" spans="2:3">
      <c r="B4526" s="39"/>
      <c r="C4526" s="39"/>
    </row>
    <row r="4527" spans="2:3">
      <c r="B4527" s="39"/>
      <c r="C4527" s="39"/>
    </row>
    <row r="4528" spans="2:3">
      <c r="B4528" s="39"/>
      <c r="C4528" s="39"/>
    </row>
    <row r="4529" spans="2:3">
      <c r="B4529" s="39"/>
      <c r="C4529" s="39"/>
    </row>
    <row r="4530" spans="2:3">
      <c r="B4530" s="39"/>
      <c r="C4530" s="39"/>
    </row>
    <row r="4531" spans="2:3">
      <c r="B4531" s="39"/>
      <c r="C4531" s="39"/>
    </row>
    <row r="4532" spans="2:3">
      <c r="B4532" s="39"/>
      <c r="C4532" s="39"/>
    </row>
    <row r="4533" spans="2:3">
      <c r="B4533" s="39"/>
      <c r="C4533" s="39"/>
    </row>
    <row r="4534" spans="2:3">
      <c r="B4534" s="39"/>
      <c r="C4534" s="39"/>
    </row>
    <row r="4535" spans="2:3">
      <c r="B4535" s="39"/>
      <c r="C4535" s="39"/>
    </row>
    <row r="4536" spans="2:3">
      <c r="B4536" s="39"/>
      <c r="C4536" s="39"/>
    </row>
    <row r="4537" spans="2:3">
      <c r="B4537" s="39"/>
      <c r="C4537" s="39"/>
    </row>
    <row r="4538" spans="2:3">
      <c r="B4538" s="39"/>
      <c r="C4538" s="39"/>
    </row>
    <row r="4539" spans="2:3">
      <c r="B4539" s="39"/>
      <c r="C4539" s="39"/>
    </row>
    <row r="4540" spans="2:3">
      <c r="B4540" s="39"/>
      <c r="C4540" s="39"/>
    </row>
    <row r="4541" spans="2:3">
      <c r="B4541" s="39"/>
      <c r="C4541" s="39"/>
    </row>
    <row r="4542" spans="2:3">
      <c r="B4542" s="39"/>
      <c r="C4542" s="39"/>
    </row>
    <row r="4543" spans="2:3">
      <c r="B4543" s="39"/>
      <c r="C4543" s="39"/>
    </row>
    <row r="4544" spans="2:3">
      <c r="B4544" s="39"/>
      <c r="C4544" s="39"/>
    </row>
    <row r="4545" spans="2:3">
      <c r="B4545" s="39"/>
      <c r="C4545" s="39"/>
    </row>
    <row r="4546" spans="2:3">
      <c r="B4546" s="39"/>
      <c r="C4546" s="39"/>
    </row>
    <row r="4547" spans="2:3">
      <c r="B4547" s="39"/>
      <c r="C4547" s="39"/>
    </row>
    <row r="4548" spans="2:3">
      <c r="B4548" s="39"/>
      <c r="C4548" s="39"/>
    </row>
    <row r="4549" spans="2:3">
      <c r="B4549" s="39"/>
      <c r="C4549" s="39"/>
    </row>
    <row r="4550" spans="2:3">
      <c r="B4550" s="39"/>
      <c r="C4550" s="39"/>
    </row>
    <row r="4551" spans="2:3">
      <c r="B4551" s="39"/>
      <c r="C4551" s="39"/>
    </row>
    <row r="4552" spans="2:3">
      <c r="B4552" s="39"/>
      <c r="C4552" s="39"/>
    </row>
    <row r="4553" spans="2:3">
      <c r="B4553" s="39"/>
      <c r="C4553" s="39"/>
    </row>
    <row r="4554" spans="2:3">
      <c r="B4554" s="39"/>
      <c r="C4554" s="39"/>
    </row>
    <row r="4555" spans="2:3">
      <c r="B4555" s="39"/>
      <c r="C4555" s="39"/>
    </row>
    <row r="4556" spans="2:3">
      <c r="B4556" s="39"/>
      <c r="C4556" s="39"/>
    </row>
    <row r="4557" spans="2:3">
      <c r="B4557" s="39"/>
      <c r="C4557" s="39"/>
    </row>
    <row r="4558" spans="2:3">
      <c r="B4558" s="39"/>
      <c r="C4558" s="39"/>
    </row>
    <row r="4559" spans="2:3">
      <c r="B4559" s="39"/>
      <c r="C4559" s="39"/>
    </row>
    <row r="4560" spans="2:3">
      <c r="B4560" s="39"/>
      <c r="C4560" s="39"/>
    </row>
    <row r="4561" spans="2:3">
      <c r="B4561" s="39"/>
      <c r="C4561" s="39"/>
    </row>
    <row r="4562" spans="2:3">
      <c r="B4562" s="39"/>
      <c r="C4562" s="39"/>
    </row>
    <row r="4563" spans="2:3">
      <c r="B4563" s="39"/>
      <c r="C4563" s="39"/>
    </row>
    <row r="4564" spans="2:3">
      <c r="B4564" s="39"/>
      <c r="C4564" s="39"/>
    </row>
    <row r="4565" spans="2:3">
      <c r="B4565" s="39"/>
      <c r="C4565" s="39"/>
    </row>
    <row r="4566" spans="2:3">
      <c r="B4566" s="39"/>
      <c r="C4566" s="39"/>
    </row>
    <row r="4567" spans="2:3">
      <c r="B4567" s="39"/>
      <c r="C4567" s="39"/>
    </row>
    <row r="4568" spans="2:3">
      <c r="B4568" s="39"/>
      <c r="C4568" s="39"/>
    </row>
    <row r="4569" spans="2:3">
      <c r="B4569" s="39"/>
      <c r="C4569" s="39"/>
    </row>
    <row r="4570" spans="2:3">
      <c r="B4570" s="39"/>
      <c r="C4570" s="39"/>
    </row>
    <row r="4571" spans="2:3">
      <c r="B4571" s="39"/>
      <c r="C4571" s="39"/>
    </row>
    <row r="4572" spans="2:3">
      <c r="B4572" s="39"/>
      <c r="C4572" s="39"/>
    </row>
    <row r="4573" spans="2:3">
      <c r="B4573" s="39"/>
      <c r="C4573" s="39"/>
    </row>
    <row r="4574" spans="2:3">
      <c r="B4574" s="39"/>
      <c r="C4574" s="39"/>
    </row>
    <row r="4575" spans="2:3">
      <c r="B4575" s="39"/>
      <c r="C4575" s="39"/>
    </row>
    <row r="4576" spans="2:3">
      <c r="B4576" s="39"/>
      <c r="C4576" s="39"/>
    </row>
    <row r="4577" spans="2:3">
      <c r="B4577" s="39"/>
      <c r="C4577" s="39"/>
    </row>
    <row r="4578" spans="2:3">
      <c r="B4578" s="39"/>
      <c r="C4578" s="39"/>
    </row>
    <row r="4579" spans="2:3">
      <c r="B4579" s="39"/>
      <c r="C4579" s="39"/>
    </row>
    <row r="4580" spans="2:3">
      <c r="B4580" s="39"/>
      <c r="C4580" s="39"/>
    </row>
    <row r="4581" spans="2:3">
      <c r="B4581" s="39"/>
      <c r="C4581" s="39"/>
    </row>
    <row r="4582" spans="2:3">
      <c r="B4582" s="39"/>
      <c r="C4582" s="39"/>
    </row>
    <row r="4583" spans="2:3">
      <c r="B4583" s="39"/>
      <c r="C4583" s="39"/>
    </row>
    <row r="4584" spans="2:3">
      <c r="B4584" s="39"/>
      <c r="C4584" s="39"/>
    </row>
    <row r="4585" spans="2:3">
      <c r="B4585" s="39"/>
      <c r="C4585" s="39"/>
    </row>
    <row r="4586" spans="2:3">
      <c r="B4586" s="39"/>
      <c r="C4586" s="39"/>
    </row>
    <row r="4587" spans="2:3">
      <c r="B4587" s="39"/>
      <c r="C4587" s="39"/>
    </row>
    <row r="4588" spans="2:3">
      <c r="B4588" s="39"/>
      <c r="C4588" s="39"/>
    </row>
    <row r="4589" spans="2:3">
      <c r="B4589" s="39"/>
      <c r="C4589" s="39"/>
    </row>
    <row r="4590" spans="2:3">
      <c r="B4590" s="39"/>
      <c r="C4590" s="39"/>
    </row>
    <row r="4591" spans="2:3">
      <c r="B4591" s="39"/>
      <c r="C4591" s="39"/>
    </row>
    <row r="4592" spans="2:3">
      <c r="B4592" s="39"/>
      <c r="C4592" s="39"/>
    </row>
    <row r="4593" spans="2:3">
      <c r="B4593" s="39"/>
      <c r="C4593" s="39"/>
    </row>
    <row r="4594" spans="2:3">
      <c r="B4594" s="39"/>
      <c r="C4594" s="39"/>
    </row>
    <row r="4595" spans="2:3">
      <c r="B4595" s="39"/>
      <c r="C4595" s="39"/>
    </row>
    <row r="4596" spans="2:3">
      <c r="B4596" s="39"/>
      <c r="C4596" s="39"/>
    </row>
    <row r="4597" spans="2:3">
      <c r="B4597" s="39"/>
      <c r="C4597" s="39"/>
    </row>
    <row r="4598" spans="2:3">
      <c r="B4598" s="39"/>
      <c r="C4598" s="39"/>
    </row>
    <row r="4599" spans="2:3">
      <c r="B4599" s="39"/>
      <c r="C4599" s="39"/>
    </row>
    <row r="4600" spans="2:3">
      <c r="B4600" s="39"/>
      <c r="C4600" s="39"/>
    </row>
    <row r="4601" spans="2:3">
      <c r="B4601" s="39"/>
      <c r="C4601" s="39"/>
    </row>
    <row r="4602" spans="2:3">
      <c r="B4602" s="39"/>
      <c r="C4602" s="39"/>
    </row>
    <row r="4603" spans="2:3">
      <c r="B4603" s="39"/>
      <c r="C4603" s="39"/>
    </row>
    <row r="4604" spans="2:3">
      <c r="B4604" s="39"/>
      <c r="C4604" s="39"/>
    </row>
    <row r="4605" spans="2:3">
      <c r="B4605" s="39"/>
      <c r="C4605" s="39"/>
    </row>
    <row r="4606" spans="2:3">
      <c r="B4606" s="39"/>
      <c r="C4606" s="39"/>
    </row>
    <row r="4607" spans="2:3">
      <c r="B4607" s="39"/>
      <c r="C4607" s="39"/>
    </row>
    <row r="4608" spans="2:3">
      <c r="B4608" s="39"/>
      <c r="C4608" s="39"/>
    </row>
    <row r="4609" spans="2:3">
      <c r="B4609" s="39"/>
      <c r="C4609" s="39"/>
    </row>
    <row r="4610" spans="2:3">
      <c r="B4610" s="39"/>
      <c r="C4610" s="39"/>
    </row>
    <row r="4611" spans="2:3">
      <c r="B4611" s="39"/>
      <c r="C4611" s="39"/>
    </row>
    <row r="4612" spans="2:3">
      <c r="B4612" s="39"/>
      <c r="C4612" s="39"/>
    </row>
    <row r="4613" spans="2:3">
      <c r="B4613" s="39"/>
      <c r="C4613" s="39"/>
    </row>
    <row r="4614" spans="2:3">
      <c r="B4614" s="39"/>
      <c r="C4614" s="39"/>
    </row>
    <row r="4615" spans="2:3">
      <c r="B4615" s="39"/>
      <c r="C4615" s="39"/>
    </row>
    <row r="4616" spans="2:3">
      <c r="B4616" s="39"/>
      <c r="C4616" s="39"/>
    </row>
    <row r="4617" spans="2:3">
      <c r="B4617" s="39"/>
      <c r="C4617" s="39"/>
    </row>
    <row r="4618" spans="2:3">
      <c r="B4618" s="39"/>
      <c r="C4618" s="39"/>
    </row>
    <row r="4619" spans="2:3">
      <c r="B4619" s="39"/>
      <c r="C4619" s="39"/>
    </row>
    <row r="4620" spans="2:3">
      <c r="B4620" s="39"/>
      <c r="C4620" s="39"/>
    </row>
    <row r="4621" spans="2:3">
      <c r="B4621" s="39"/>
      <c r="C4621" s="39"/>
    </row>
    <row r="4622" spans="2:3">
      <c r="B4622" s="39"/>
      <c r="C4622" s="39"/>
    </row>
    <row r="4623" spans="2:3">
      <c r="B4623" s="39"/>
      <c r="C4623" s="39"/>
    </row>
    <row r="4624" spans="2:3">
      <c r="B4624" s="39"/>
      <c r="C4624" s="39"/>
    </row>
    <row r="4625" spans="2:3">
      <c r="B4625" s="39"/>
      <c r="C4625" s="39"/>
    </row>
    <row r="4626" spans="2:3">
      <c r="B4626" s="39"/>
      <c r="C4626" s="39"/>
    </row>
    <row r="4627" spans="2:3">
      <c r="B4627" s="39"/>
      <c r="C4627" s="39"/>
    </row>
    <row r="4628" spans="2:3">
      <c r="B4628" s="39"/>
      <c r="C4628" s="39"/>
    </row>
    <row r="4629" spans="2:3">
      <c r="B4629" s="39"/>
      <c r="C4629" s="39"/>
    </row>
    <row r="4630" spans="2:3">
      <c r="B4630" s="39"/>
      <c r="C4630" s="39"/>
    </row>
    <row r="4631" spans="2:3">
      <c r="B4631" s="39"/>
      <c r="C4631" s="39"/>
    </row>
    <row r="4632" spans="2:3">
      <c r="B4632" s="39"/>
      <c r="C4632" s="39"/>
    </row>
    <row r="4633" spans="2:3">
      <c r="B4633" s="39"/>
      <c r="C4633" s="39"/>
    </row>
    <row r="4634" spans="2:3">
      <c r="B4634" s="39"/>
      <c r="C4634" s="39"/>
    </row>
    <row r="4635" spans="2:3">
      <c r="B4635" s="39"/>
      <c r="C4635" s="39"/>
    </row>
    <row r="4636" spans="2:3">
      <c r="B4636" s="39"/>
      <c r="C4636" s="39"/>
    </row>
    <row r="4637" spans="2:3">
      <c r="B4637" s="39"/>
      <c r="C4637" s="39"/>
    </row>
    <row r="4638" spans="2:3">
      <c r="B4638" s="39"/>
      <c r="C4638" s="39"/>
    </row>
    <row r="4639" spans="2:3">
      <c r="B4639" s="39"/>
      <c r="C4639" s="39"/>
    </row>
    <row r="4640" spans="2:3">
      <c r="B4640" s="39"/>
      <c r="C4640" s="39"/>
    </row>
    <row r="4641" spans="2:3">
      <c r="B4641" s="39"/>
      <c r="C4641" s="39"/>
    </row>
    <row r="4642" spans="2:3">
      <c r="B4642" s="39"/>
      <c r="C4642" s="39"/>
    </row>
    <row r="4643" spans="2:3">
      <c r="B4643" s="39"/>
      <c r="C4643" s="39"/>
    </row>
    <row r="4644" spans="2:3">
      <c r="B4644" s="39"/>
      <c r="C4644" s="39"/>
    </row>
  </sheetData>
  <mergeCells count="1">
    <mergeCell ref="B2172:F2172"/>
  </mergeCells>
  <conditionalFormatting sqref="B1665:C1665">
    <cfRule type="cellIs" dxfId="1" priority="2" stopIfTrue="1" operator="notEqual">
      <formula>0</formula>
    </cfRule>
  </conditionalFormatting>
  <conditionalFormatting sqref="C1638:C1664">
    <cfRule type="cellIs" dxfId="0" priority="3" stopIfTrue="1" operator="equal">
      <formula>"OUT OF BALANCE"</formula>
    </cfRule>
  </conditionalFormatting>
  <printOptions horizontalCentered="1"/>
  <pageMargins left="0.5" right="0.5" top="0.75" bottom="0.75" header="0.5" footer="0.5"/>
  <pageSetup scale="51" fitToHeight="0" orientation="portrait" r:id="rId1"/>
  <headerFooter alignWithMargins="0">
    <oddHeader>&amp;R&amp;D   &amp;T</oddHeader>
    <oddFooter>&amp;L&amp;F&amp;CBell Partners, Inc.&amp;R&amp;Pof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a853798-336f-424c-829e-33fbdb56a9ec">
      <UserInfo>
        <DisplayName>FSReportingSP_p2122</DisplayName>
        <AccountId>461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5" ma:contentTypeDescription="Create a new document." ma:contentTypeScope="" ma:versionID="12c1381fa08004bdaebc08c41f514e64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090c0e71a90278ec3ccc91827b40d1bd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936117-EDF2-4F11-B09D-E8BF6B18B549}"/>
</file>

<file path=customXml/itemProps2.xml><?xml version="1.0" encoding="utf-8"?>
<ds:datastoreItem xmlns:ds="http://schemas.openxmlformats.org/officeDocument/2006/customXml" ds:itemID="{8A6948C0-AA2F-4598-AD6F-1F5E07238D86}"/>
</file>

<file path=customXml/itemProps3.xml><?xml version="1.0" encoding="utf-8"?>
<ds:datastoreItem xmlns:ds="http://schemas.openxmlformats.org/officeDocument/2006/customXml" ds:itemID="{3180528D-6DE0-421F-9EC8-3C6EB1D9C0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Shaun Naylor</cp:lastModifiedBy>
  <cp:revision/>
  <dcterms:created xsi:type="dcterms:W3CDTF">2024-01-17T12:40:54Z</dcterms:created>
  <dcterms:modified xsi:type="dcterms:W3CDTF">2024-01-17T12:40:54Z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