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5188964666/WOPIServiceId_TP_BOX_2/WOPIUserId_-/"/>
    </mc:Choice>
  </mc:AlternateContent>
  <xr:revisionPtr revIDLastSave="2" documentId="8_{934F6126-33DE-41BF-9F5B-72086B52D129}" xr6:coauthVersionLast="47" xr6:coauthVersionMax="47" xr10:uidLastSave="{448C7A4D-483E-4A97-8F38-E38AE12EF255}"/>
  <bookViews>
    <workbookView xWindow="28680" yWindow="-120" windowWidth="51840" windowHeight="21120" xr2:uid="{00000000-000D-0000-FFFF-FFFF00000000}"/>
  </bookViews>
  <sheets>
    <sheet name="Export" sheetId="1" r:id="rId1"/>
  </sheets>
  <definedNames>
    <definedName name="_xlnm._FilterDatabase" localSheetId="0" hidden="1">Export!$A$3:$V$19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U20" i="1"/>
  <c r="Q20" i="1"/>
  <c r="P20" i="1"/>
  <c r="O20" i="1"/>
  <c r="H20" i="1"/>
  <c r="N20" i="1"/>
  <c r="M20" i="1"/>
  <c r="K20" i="1"/>
  <c r="L20" i="1"/>
  <c r="J20" i="1"/>
  <c r="I20" i="1"/>
  <c r="F20" i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4" i="1"/>
  <c r="S4" i="1" s="1"/>
  <c r="S20" i="1" l="1"/>
  <c r="R20" i="1"/>
</calcChain>
</file>

<file path=xl/sharedStrings.xml><?xml version="1.0" encoding="utf-8"?>
<sst xmlns="http://schemas.openxmlformats.org/spreadsheetml/2006/main" count="88" uniqueCount="68">
  <si>
    <t>Date</t>
  </si>
  <si>
    <t>Resident</t>
  </si>
  <si>
    <t>Unit</t>
  </si>
  <si>
    <t>Unit Type</t>
  </si>
  <si>
    <t>BR</t>
  </si>
  <si>
    <t>SF</t>
  </si>
  <si>
    <t>Type</t>
  </si>
  <si>
    <t>Term</t>
  </si>
  <si>
    <t>Lease Rent</t>
  </si>
  <si>
    <t>Total Concessions</t>
  </si>
  <si>
    <t>Effective Rent</t>
  </si>
  <si>
    <t>$ Effective Rent Variance to Market Rent</t>
  </si>
  <si>
    <t>% Effective Rent Variance to Market Rent</t>
  </si>
  <si>
    <t>Prior Term</t>
  </si>
  <si>
    <t>Prior Lease Rent</t>
  </si>
  <si>
    <t>Prior Total Concessions</t>
  </si>
  <si>
    <t>Prior Effective Rent</t>
  </si>
  <si>
    <t>Current Resident Move-In Date</t>
  </si>
  <si>
    <t>640</t>
  </si>
  <si>
    <t>pt_1E1</t>
  </si>
  <si>
    <t>New</t>
  </si>
  <si>
    <t>pt_1E</t>
  </si>
  <si>
    <t>pt_2B</t>
  </si>
  <si>
    <t>pt_SA</t>
  </si>
  <si>
    <t>pt_3A</t>
  </si>
  <si>
    <t>436</t>
  </si>
  <si>
    <t>507</t>
  </si>
  <si>
    <t>pt_2E</t>
  </si>
  <si>
    <t>432</t>
  </si>
  <si>
    <t>pt_1E2</t>
  </si>
  <si>
    <t>pt_1A</t>
  </si>
  <si>
    <t>Renewal</t>
  </si>
  <si>
    <t>530</t>
  </si>
  <si>
    <t>t3014044_GS</t>
  </si>
  <si>
    <t>366</t>
  </si>
  <si>
    <t>543</t>
  </si>
  <si>
    <t>t3014053_GS</t>
  </si>
  <si>
    <t>341</t>
  </si>
  <si>
    <t>544</t>
  </si>
  <si>
    <t>pt_1F</t>
  </si>
  <si>
    <t>t3014072_GS</t>
  </si>
  <si>
    <t>324</t>
  </si>
  <si>
    <t>t3014076_GS</t>
  </si>
  <si>
    <t>719</t>
  </si>
  <si>
    <t>pt_1M</t>
  </si>
  <si>
    <t>t3367861_GS</t>
  </si>
  <si>
    <t>354</t>
  </si>
  <si>
    <t>t3014081_GS</t>
  </si>
  <si>
    <t>442</t>
  </si>
  <si>
    <t>t3014091_GS</t>
  </si>
  <si>
    <t>550</t>
  </si>
  <si>
    <t>t3014096_GS</t>
  </si>
  <si>
    <t>348</t>
  </si>
  <si>
    <t>450</t>
  </si>
  <si>
    <t>t3118174_GS</t>
  </si>
  <si>
    <t>t3121369_GS</t>
  </si>
  <si>
    <t>t3121780_GS</t>
  </si>
  <si>
    <t>t3121813_GS</t>
  </si>
  <si>
    <t>t3029618_GS</t>
  </si>
  <si>
    <t>t3307892_GS</t>
  </si>
  <si>
    <t>t3183423_GS</t>
  </si>
  <si>
    <t>t3406128_GS</t>
  </si>
  <si>
    <t>Lease Rent Gain/Loss</t>
  </si>
  <si>
    <t>Lease Rent Gain/Loss %</t>
  </si>
  <si>
    <t>Eff. Rent Gain/Loss</t>
  </si>
  <si>
    <t>Eff. Rent Gain/Loss %</t>
  </si>
  <si>
    <t>Total/Avg.</t>
  </si>
  <si>
    <t>Highlighted green cells denote fields added by CBRE for analysis. All other data represented herein was obtained directly from property's leasing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</si>
</sst>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0.0%;\-0.0%;0.0%"/>
    <numFmt numFmtId="166" formatCode="0.0%"/>
  </numFmts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" fontId="2" fillId="2" borderId="2" xfId="0" applyNumberFormat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9" fontId="2" fillId="2" borderId="2" xfId="1" applyFont="1" applyFill="1" applyBorder="1" applyAlignment="1">
      <alignment vertical="center" wrapText="1"/>
    </xf>
    <xf numFmtId="164" fontId="0" fillId="2" borderId="0" xfId="0" applyNumberFormat="1" applyFill="1"/>
    <xf numFmtId="166" fontId="0" fillId="2" borderId="0" xfId="1" applyNumberFormat="1" applyFont="1" applyFill="1"/>
    <xf numFmtId="0" fontId="3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showGridLines="0" tabSelected="1" workbookViewId="0">
      <selection activeCell="A2" sqref="A2"/>
    </sheetView>
  </sheetViews>
  <sheetFormatPr defaultRowHeight="14.5" x14ac:dyDescent="0.35"/>
  <cols>
    <col min="1" max="1" width="9.453125" style="2" bestFit="1" customWidth="1"/>
    <col min="2" max="2" width="13.453125" style="2" customWidth="1"/>
    <col min="3" max="3" width="4.26953125" style="2" bestFit="1" customWidth="1"/>
    <col min="4" max="4" width="8.7265625" style="2" bestFit="1" customWidth="1"/>
    <col min="5" max="5" width="3" style="2" bestFit="1" customWidth="1"/>
    <col min="6" max="6" width="6.36328125" style="2" bestFit="1" customWidth="1"/>
    <col min="7" max="7" width="7.90625" style="2" bestFit="1" customWidth="1"/>
    <col min="8" max="8" width="5.1796875" style="2" bestFit="1" customWidth="1"/>
    <col min="9" max="9" width="9.7265625" style="2" bestFit="1" customWidth="1"/>
    <col min="10" max="10" width="11" style="2" bestFit="1" customWidth="1"/>
    <col min="11" max="11" width="12.1796875" style="2" bestFit="1" customWidth="1"/>
    <col min="12" max="12" width="13.453125" style="2" customWidth="1"/>
    <col min="13" max="13" width="13.36328125" style="2" bestFit="1" customWidth="1"/>
    <col min="14" max="14" width="9.6328125" style="2" bestFit="1" customWidth="1"/>
    <col min="15" max="15" width="9.90625" style="2" bestFit="1" customWidth="1"/>
    <col min="16" max="16" width="11" style="2" bestFit="1" customWidth="1"/>
    <col min="17" max="17" width="12.36328125" style="2" bestFit="1" customWidth="1"/>
    <col min="18" max="18" width="11.08984375" customWidth="1"/>
    <col min="19" max="19" width="15.7265625" customWidth="1"/>
    <col min="20" max="20" width="9" style="2" bestFit="1" customWidth="1"/>
    <col min="21" max="21" width="10.90625" style="2" bestFit="1" customWidth="1"/>
    <col min="22" max="22" width="13.26953125" style="2" bestFit="1" customWidth="1"/>
    <col min="29" max="29" width="9.453125" bestFit="1" customWidth="1"/>
  </cols>
  <sheetData>
    <row r="1" spans="1:22" x14ac:dyDescent="0.35">
      <c r="A1" s="15" t="s">
        <v>67</v>
      </c>
    </row>
    <row r="3" spans="1:22" s="7" customFormat="1" ht="60" customHeight="1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8" t="s">
        <v>62</v>
      </c>
      <c r="S3" s="8" t="s">
        <v>63</v>
      </c>
      <c r="T3" s="6" t="s">
        <v>64</v>
      </c>
      <c r="U3" s="6" t="s">
        <v>65</v>
      </c>
      <c r="V3" s="6" t="s">
        <v>17</v>
      </c>
    </row>
    <row r="4" spans="1:22" x14ac:dyDescent="0.35">
      <c r="A4" s="1">
        <v>46054</v>
      </c>
      <c r="B4" s="2" t="s">
        <v>42</v>
      </c>
      <c r="C4" s="2" t="s">
        <v>43</v>
      </c>
      <c r="D4" s="2" t="s">
        <v>44</v>
      </c>
      <c r="E4" s="3">
        <v>1</v>
      </c>
      <c r="F4" s="2">
        <v>821</v>
      </c>
      <c r="G4" s="2" t="s">
        <v>31</v>
      </c>
      <c r="H4" s="3">
        <v>14</v>
      </c>
      <c r="I4" s="4">
        <v>2183</v>
      </c>
      <c r="J4" s="4">
        <v>-300</v>
      </c>
      <c r="K4" s="4">
        <v>2161.5714285714284</v>
      </c>
      <c r="L4" s="4">
        <v>16.571428571428442</v>
      </c>
      <c r="M4" s="5">
        <v>7.7256077256076649E-3</v>
      </c>
      <c r="N4" s="3">
        <v>14</v>
      </c>
      <c r="O4" s="4">
        <v>2151</v>
      </c>
      <c r="P4" s="4">
        <v>0</v>
      </c>
      <c r="Q4" s="4">
        <v>2151</v>
      </c>
      <c r="R4" s="13">
        <f>I4-O4</f>
        <v>32</v>
      </c>
      <c r="S4" s="14">
        <f>R4/O4</f>
        <v>1.4876801487680148E-2</v>
      </c>
      <c r="T4" s="4">
        <v>10.571428571428442</v>
      </c>
      <c r="U4" s="5">
        <v>4.9146576343228462E-3</v>
      </c>
      <c r="V4" s="1">
        <v>45231</v>
      </c>
    </row>
    <row r="5" spans="1:22" x14ac:dyDescent="0.35">
      <c r="A5" s="1">
        <v>46054</v>
      </c>
      <c r="B5" s="2" t="s">
        <v>59</v>
      </c>
      <c r="C5" s="2" t="s">
        <v>53</v>
      </c>
      <c r="D5" s="2" t="s">
        <v>30</v>
      </c>
      <c r="E5" s="3">
        <v>1</v>
      </c>
      <c r="F5" s="2">
        <v>777</v>
      </c>
      <c r="G5" s="2" t="s">
        <v>20</v>
      </c>
      <c r="H5" s="3">
        <v>13</v>
      </c>
      <c r="I5" s="4">
        <v>1977</v>
      </c>
      <c r="J5" s="4">
        <v>-988.5</v>
      </c>
      <c r="K5" s="4">
        <v>1900.9615384615386</v>
      </c>
      <c r="L5" s="4">
        <v>-151.03846153846143</v>
      </c>
      <c r="M5" s="5">
        <v>-7.3605488079172235E-2</v>
      </c>
      <c r="N5" s="3">
        <v>12</v>
      </c>
      <c r="O5" s="4">
        <v>2024</v>
      </c>
      <c r="P5" s="4">
        <v>-500</v>
      </c>
      <c r="Q5" s="4">
        <v>1982.3333333333333</v>
      </c>
      <c r="R5" s="13">
        <f>I5-O5</f>
        <v>-47</v>
      </c>
      <c r="S5" s="14">
        <f>R5/O5</f>
        <v>-2.3221343873517788E-2</v>
      </c>
      <c r="T5" s="4">
        <v>-81.371794871794691</v>
      </c>
      <c r="U5" s="5">
        <v>-4.104849245256164E-2</v>
      </c>
      <c r="V5" s="1">
        <v>46080</v>
      </c>
    </row>
    <row r="6" spans="1:22" x14ac:dyDescent="0.35">
      <c r="A6" s="1">
        <v>46055</v>
      </c>
      <c r="B6" s="2" t="s">
        <v>55</v>
      </c>
      <c r="C6" s="2" t="s">
        <v>18</v>
      </c>
      <c r="D6" s="2" t="s">
        <v>19</v>
      </c>
      <c r="E6" s="3">
        <v>1</v>
      </c>
      <c r="F6" s="2">
        <v>799</v>
      </c>
      <c r="G6" s="2" t="s">
        <v>31</v>
      </c>
      <c r="H6" s="3">
        <v>13</v>
      </c>
      <c r="I6" s="4">
        <v>2197</v>
      </c>
      <c r="J6" s="4">
        <v>0</v>
      </c>
      <c r="K6" s="4">
        <v>2197</v>
      </c>
      <c r="L6" s="4">
        <v>-151</v>
      </c>
      <c r="M6" s="5">
        <v>-6.4310051107325378E-2</v>
      </c>
      <c r="N6" s="3">
        <v>13</v>
      </c>
      <c r="O6" s="4">
        <v>2165</v>
      </c>
      <c r="P6" s="4">
        <v>-3547.5</v>
      </c>
      <c r="Q6" s="4">
        <v>1892.1153846153848</v>
      </c>
      <c r="R6" s="13">
        <f>I6-O6</f>
        <v>32</v>
      </c>
      <c r="S6" s="14">
        <f>R6/O6</f>
        <v>1.4780600461893764E-2</v>
      </c>
      <c r="T6" s="4">
        <v>304.88461538461524</v>
      </c>
      <c r="U6" s="5">
        <v>0.16113426161195235</v>
      </c>
      <c r="V6" s="1">
        <v>45659</v>
      </c>
    </row>
    <row r="7" spans="1:22" x14ac:dyDescent="0.35">
      <c r="A7" s="1">
        <v>46057</v>
      </c>
      <c r="B7" s="2" t="s">
        <v>54</v>
      </c>
      <c r="C7" s="2" t="s">
        <v>32</v>
      </c>
      <c r="D7" s="2" t="s">
        <v>21</v>
      </c>
      <c r="E7" s="3">
        <v>1</v>
      </c>
      <c r="F7" s="2">
        <v>828</v>
      </c>
      <c r="G7" s="2" t="s">
        <v>31</v>
      </c>
      <c r="H7" s="3">
        <v>13</v>
      </c>
      <c r="I7" s="4">
        <v>2050</v>
      </c>
      <c r="J7" s="4">
        <v>0</v>
      </c>
      <c r="K7" s="4">
        <v>2050</v>
      </c>
      <c r="L7" s="4">
        <v>-159</v>
      </c>
      <c r="M7" s="5">
        <v>-7.1978270710728834E-2</v>
      </c>
      <c r="N7" s="3">
        <v>13</v>
      </c>
      <c r="O7" s="4">
        <v>2020</v>
      </c>
      <c r="P7" s="4">
        <v>-3330</v>
      </c>
      <c r="Q7" s="4">
        <v>1763.8461538461538</v>
      </c>
      <c r="R7" s="13">
        <f>I7-O7</f>
        <v>30</v>
      </c>
      <c r="S7" s="14">
        <f>R7/O7</f>
        <v>1.4851485148514851E-2</v>
      </c>
      <c r="T7" s="4">
        <v>286.15384615384619</v>
      </c>
      <c r="U7" s="5">
        <v>0.16223288268643701</v>
      </c>
      <c r="V7" s="1">
        <v>45661</v>
      </c>
    </row>
    <row r="8" spans="1:22" x14ac:dyDescent="0.35">
      <c r="A8" s="1">
        <v>46057</v>
      </c>
      <c r="B8" s="2" t="s">
        <v>57</v>
      </c>
      <c r="C8" s="2" t="s">
        <v>25</v>
      </c>
      <c r="D8" s="2" t="s">
        <v>22</v>
      </c>
      <c r="E8" s="3">
        <v>2</v>
      </c>
      <c r="F8" s="2">
        <v>1353</v>
      </c>
      <c r="G8" s="2" t="s">
        <v>31</v>
      </c>
      <c r="H8" s="3">
        <v>13</v>
      </c>
      <c r="I8" s="4">
        <v>3344</v>
      </c>
      <c r="J8" s="4">
        <v>0</v>
      </c>
      <c r="K8" s="4">
        <v>3344</v>
      </c>
      <c r="L8" s="4">
        <v>49</v>
      </c>
      <c r="M8" s="5">
        <v>1.4871016691957511E-2</v>
      </c>
      <c r="N8" s="3">
        <v>13</v>
      </c>
      <c r="O8" s="4">
        <v>3295</v>
      </c>
      <c r="P8" s="4">
        <v>-5742.5</v>
      </c>
      <c r="Q8" s="4">
        <v>2853.2692307692309</v>
      </c>
      <c r="R8" s="13">
        <f>I8-O8</f>
        <v>49</v>
      </c>
      <c r="S8" s="14">
        <f>R8/O8</f>
        <v>1.4871016691957511E-2</v>
      </c>
      <c r="T8" s="4">
        <v>490.73076923076906</v>
      </c>
      <c r="U8" s="5">
        <v>0.17198894655253749</v>
      </c>
      <c r="V8" s="1">
        <v>45661</v>
      </c>
    </row>
    <row r="9" spans="1:22" x14ac:dyDescent="0.35">
      <c r="A9" s="1">
        <v>46057</v>
      </c>
      <c r="B9" s="2" t="s">
        <v>60</v>
      </c>
      <c r="C9" s="2" t="s">
        <v>35</v>
      </c>
      <c r="D9" s="2" t="s">
        <v>29</v>
      </c>
      <c r="E9" s="3">
        <v>1</v>
      </c>
      <c r="F9" s="2">
        <v>765</v>
      </c>
      <c r="G9" s="2" t="s">
        <v>20</v>
      </c>
      <c r="H9" s="3">
        <v>13</v>
      </c>
      <c r="I9" s="4">
        <v>2080</v>
      </c>
      <c r="J9" s="4">
        <v>0</v>
      </c>
      <c r="K9" s="4">
        <v>2080</v>
      </c>
      <c r="L9" s="4">
        <v>-175</v>
      </c>
      <c r="M9" s="5">
        <v>-7.7605321507760533E-2</v>
      </c>
      <c r="N9" s="3">
        <v>13</v>
      </c>
      <c r="O9" s="4">
        <v>2257</v>
      </c>
      <c r="P9" s="4">
        <v>0</v>
      </c>
      <c r="Q9" s="4">
        <v>2257</v>
      </c>
      <c r="R9" s="13">
        <f>I9-O9</f>
        <v>-177</v>
      </c>
      <c r="S9" s="14">
        <f>R9/O9</f>
        <v>-7.8422684980062024E-2</v>
      </c>
      <c r="T9" s="4">
        <v>-177</v>
      </c>
      <c r="U9" s="5">
        <v>-7.8422684980062024E-2</v>
      </c>
      <c r="V9" s="1">
        <v>46071</v>
      </c>
    </row>
    <row r="10" spans="1:22" x14ac:dyDescent="0.35">
      <c r="A10" s="1">
        <v>46060</v>
      </c>
      <c r="B10" s="2" t="s">
        <v>36</v>
      </c>
      <c r="C10" s="2" t="s">
        <v>37</v>
      </c>
      <c r="D10" s="2" t="s">
        <v>30</v>
      </c>
      <c r="E10" s="3">
        <v>1</v>
      </c>
      <c r="F10" s="2">
        <v>777</v>
      </c>
      <c r="G10" s="2" t="s">
        <v>31</v>
      </c>
      <c r="H10" s="3">
        <v>13</v>
      </c>
      <c r="I10" s="4">
        <v>2117</v>
      </c>
      <c r="J10" s="4">
        <v>0</v>
      </c>
      <c r="K10" s="4">
        <v>2117</v>
      </c>
      <c r="L10" s="4">
        <v>65</v>
      </c>
      <c r="M10" s="5">
        <v>3.1676413255360622E-2</v>
      </c>
      <c r="N10" s="3">
        <v>15</v>
      </c>
      <c r="O10" s="4">
        <v>2086</v>
      </c>
      <c r="P10" s="4">
        <v>-250</v>
      </c>
      <c r="Q10" s="4">
        <v>2069.3333333333335</v>
      </c>
      <c r="R10" s="13">
        <f>I10-O10</f>
        <v>31</v>
      </c>
      <c r="S10" s="14">
        <f>R10/O10</f>
        <v>1.4860977948226271E-2</v>
      </c>
      <c r="T10" s="4">
        <v>47.666666666666515</v>
      </c>
      <c r="U10" s="5">
        <v>2.3034793814432915E-2</v>
      </c>
      <c r="V10" s="1">
        <v>45206</v>
      </c>
    </row>
    <row r="11" spans="1:22" x14ac:dyDescent="0.35">
      <c r="A11" s="1">
        <v>46064</v>
      </c>
      <c r="B11" s="2" t="s">
        <v>56</v>
      </c>
      <c r="C11" s="2" t="s">
        <v>28</v>
      </c>
      <c r="D11" s="2" t="s">
        <v>21</v>
      </c>
      <c r="E11" s="3">
        <v>1</v>
      </c>
      <c r="F11" s="2">
        <v>828</v>
      </c>
      <c r="G11" s="2" t="s">
        <v>31</v>
      </c>
      <c r="H11" s="3">
        <v>13</v>
      </c>
      <c r="I11" s="4">
        <v>2161</v>
      </c>
      <c r="J11" s="4">
        <v>0</v>
      </c>
      <c r="K11" s="4">
        <v>2161</v>
      </c>
      <c r="L11" s="4">
        <v>-23</v>
      </c>
      <c r="M11" s="5">
        <v>-1.0531135531135532E-2</v>
      </c>
      <c r="N11" s="3">
        <v>13</v>
      </c>
      <c r="O11" s="4">
        <v>2145</v>
      </c>
      <c r="P11" s="4">
        <v>-3217.5</v>
      </c>
      <c r="Q11" s="4">
        <v>1897.5</v>
      </c>
      <c r="R11" s="13">
        <f>I11-O11</f>
        <v>16</v>
      </c>
      <c r="S11" s="14">
        <f>R11/O11</f>
        <v>7.4592074592074592E-3</v>
      </c>
      <c r="T11" s="4">
        <v>263.5</v>
      </c>
      <c r="U11" s="5">
        <v>0.13886693017127799</v>
      </c>
      <c r="V11" s="1">
        <v>45668</v>
      </c>
    </row>
    <row r="12" spans="1:22" x14ac:dyDescent="0.35">
      <c r="A12" s="1">
        <v>46067</v>
      </c>
      <c r="B12" s="2" t="s">
        <v>33</v>
      </c>
      <c r="C12" s="2" t="s">
        <v>34</v>
      </c>
      <c r="D12" s="2" t="s">
        <v>24</v>
      </c>
      <c r="E12" s="3">
        <v>3</v>
      </c>
      <c r="F12" s="2">
        <v>1411</v>
      </c>
      <c r="G12" s="2" t="s">
        <v>31</v>
      </c>
      <c r="H12" s="3">
        <v>14</v>
      </c>
      <c r="I12" s="4">
        <v>4000</v>
      </c>
      <c r="J12" s="4">
        <v>0</v>
      </c>
      <c r="K12" s="4">
        <v>4000</v>
      </c>
      <c r="L12" s="4">
        <v>40</v>
      </c>
      <c r="M12" s="5">
        <v>1.0101010101010102E-2</v>
      </c>
      <c r="N12" s="3">
        <v>15</v>
      </c>
      <c r="O12" s="4">
        <v>3980</v>
      </c>
      <c r="P12" s="4">
        <v>-250</v>
      </c>
      <c r="Q12" s="4">
        <v>3963.3333333333335</v>
      </c>
      <c r="R12" s="13">
        <f>I12-O12</f>
        <v>20</v>
      </c>
      <c r="S12" s="14">
        <f>R12/O12</f>
        <v>5.0251256281407036E-3</v>
      </c>
      <c r="T12" s="4">
        <v>36.666666666666515</v>
      </c>
      <c r="U12" s="5">
        <v>9.2514718250630394E-3</v>
      </c>
      <c r="V12" s="1">
        <v>45152</v>
      </c>
    </row>
    <row r="13" spans="1:22" x14ac:dyDescent="0.35">
      <c r="A13" s="1">
        <v>46069</v>
      </c>
      <c r="B13" s="2" t="s">
        <v>45</v>
      </c>
      <c r="C13" s="2" t="s">
        <v>46</v>
      </c>
      <c r="D13" s="2" t="s">
        <v>39</v>
      </c>
      <c r="E13" s="3">
        <v>1</v>
      </c>
      <c r="F13" s="2">
        <v>737</v>
      </c>
      <c r="G13" s="2" t="s">
        <v>31</v>
      </c>
      <c r="H13" s="3">
        <v>13</v>
      </c>
      <c r="I13" s="4">
        <v>2001</v>
      </c>
      <c r="J13" s="4">
        <v>0</v>
      </c>
      <c r="K13" s="4">
        <v>2001</v>
      </c>
      <c r="L13" s="4">
        <v>39</v>
      </c>
      <c r="M13" s="5">
        <v>1.9877675840978593E-2</v>
      </c>
      <c r="N13" s="3">
        <v>13</v>
      </c>
      <c r="O13" s="4">
        <v>1962</v>
      </c>
      <c r="P13" s="4">
        <v>0</v>
      </c>
      <c r="Q13" s="4">
        <v>1962</v>
      </c>
      <c r="R13" s="13">
        <f>I13-O13</f>
        <v>39</v>
      </c>
      <c r="S13" s="14">
        <f>R13/O13</f>
        <v>1.9877675840978593E-2</v>
      </c>
      <c r="T13" s="4">
        <v>39</v>
      </c>
      <c r="U13" s="5">
        <v>1.9877675840978593E-2</v>
      </c>
      <c r="V13" s="1">
        <v>45276</v>
      </c>
    </row>
    <row r="14" spans="1:22" x14ac:dyDescent="0.35">
      <c r="A14" s="1">
        <v>46071</v>
      </c>
      <c r="B14" s="2" t="s">
        <v>61</v>
      </c>
      <c r="C14" s="2" t="s">
        <v>38</v>
      </c>
      <c r="D14" s="2" t="s">
        <v>30</v>
      </c>
      <c r="E14" s="3">
        <v>1</v>
      </c>
      <c r="F14" s="2">
        <v>777</v>
      </c>
      <c r="G14" s="2" t="s">
        <v>20</v>
      </c>
      <c r="H14" s="3">
        <v>13</v>
      </c>
      <c r="I14" s="4">
        <v>2127</v>
      </c>
      <c r="J14" s="4">
        <v>-1000</v>
      </c>
      <c r="K14" s="4">
        <v>2050.0769230769229</v>
      </c>
      <c r="L14" s="4">
        <v>-76.923076923077133</v>
      </c>
      <c r="M14" s="5">
        <v>-3.6165057321615957E-2</v>
      </c>
      <c r="N14" s="3">
        <v>13</v>
      </c>
      <c r="O14" s="4">
        <v>2110</v>
      </c>
      <c r="P14" s="4">
        <v>-2110</v>
      </c>
      <c r="Q14" s="4">
        <v>1947.6923076923076</v>
      </c>
      <c r="R14" s="13">
        <f>I14-O14</f>
        <v>17</v>
      </c>
      <c r="S14" s="14">
        <f>R14/O14</f>
        <v>8.0568720379146919E-3</v>
      </c>
      <c r="T14" s="4">
        <v>102.38461538461524</v>
      </c>
      <c r="U14" s="5">
        <v>5.2567140600315886E-2</v>
      </c>
      <c r="V14" s="1">
        <v>46074</v>
      </c>
    </row>
    <row r="15" spans="1:22" x14ac:dyDescent="0.35">
      <c r="A15" s="1">
        <v>46072</v>
      </c>
      <c r="B15" s="2" t="s">
        <v>51</v>
      </c>
      <c r="C15" s="2" t="s">
        <v>52</v>
      </c>
      <c r="D15" s="2" t="s">
        <v>30</v>
      </c>
      <c r="E15" s="3">
        <v>1</v>
      </c>
      <c r="F15" s="2">
        <v>777</v>
      </c>
      <c r="G15" s="2" t="s">
        <v>31</v>
      </c>
      <c r="H15" s="3">
        <v>13</v>
      </c>
      <c r="I15" s="4">
        <v>2029</v>
      </c>
      <c r="J15" s="4">
        <v>0</v>
      </c>
      <c r="K15" s="4">
        <v>2029</v>
      </c>
      <c r="L15" s="4">
        <v>-8</v>
      </c>
      <c r="M15" s="5">
        <v>-3.9273441335297005E-3</v>
      </c>
      <c r="N15" s="3">
        <v>13</v>
      </c>
      <c r="O15" s="4">
        <v>1999</v>
      </c>
      <c r="P15" s="4">
        <v>0</v>
      </c>
      <c r="Q15" s="4">
        <v>1999</v>
      </c>
      <c r="R15" s="13">
        <f>I15-O15</f>
        <v>30</v>
      </c>
      <c r="S15" s="14">
        <f>R15/O15</f>
        <v>1.5007503751875938E-2</v>
      </c>
      <c r="T15" s="4">
        <v>30</v>
      </c>
      <c r="U15" s="5">
        <v>1.5007503751875938E-2</v>
      </c>
      <c r="V15" s="1">
        <v>45279</v>
      </c>
    </row>
    <row r="16" spans="1:22" x14ac:dyDescent="0.35">
      <c r="A16" s="1">
        <v>46073</v>
      </c>
      <c r="B16" s="2" t="s">
        <v>40</v>
      </c>
      <c r="C16" s="2" t="s">
        <v>41</v>
      </c>
      <c r="D16" s="2" t="s">
        <v>23</v>
      </c>
      <c r="E16" s="3">
        <v>0</v>
      </c>
      <c r="F16" s="2">
        <v>688</v>
      </c>
      <c r="G16" s="2" t="s">
        <v>31</v>
      </c>
      <c r="H16" s="3">
        <v>13</v>
      </c>
      <c r="I16" s="4">
        <v>1906</v>
      </c>
      <c r="J16" s="4">
        <v>-300</v>
      </c>
      <c r="K16" s="4">
        <v>1882.9230769230769</v>
      </c>
      <c r="L16" s="4">
        <v>-13.076923076923094</v>
      </c>
      <c r="M16" s="5">
        <v>-6.8971113274910838E-3</v>
      </c>
      <c r="N16" s="3">
        <v>13</v>
      </c>
      <c r="O16" s="4">
        <v>1869</v>
      </c>
      <c r="P16" s="4">
        <v>0</v>
      </c>
      <c r="Q16" s="4">
        <v>1869</v>
      </c>
      <c r="R16" s="13">
        <f>I16-O16</f>
        <v>37</v>
      </c>
      <c r="S16" s="14">
        <f>R16/O16</f>
        <v>1.9796682718031033E-2</v>
      </c>
      <c r="T16" s="4">
        <v>13.923076923076906</v>
      </c>
      <c r="U16" s="5">
        <v>7.4494793595917099E-3</v>
      </c>
      <c r="V16" s="1">
        <v>45219</v>
      </c>
    </row>
    <row r="17" spans="1:22" x14ac:dyDescent="0.35">
      <c r="A17" s="1">
        <v>46075</v>
      </c>
      <c r="B17" s="2" t="s">
        <v>49</v>
      </c>
      <c r="C17" s="2" t="s">
        <v>50</v>
      </c>
      <c r="D17" s="2" t="s">
        <v>30</v>
      </c>
      <c r="E17" s="3">
        <v>1</v>
      </c>
      <c r="F17" s="2">
        <v>777</v>
      </c>
      <c r="G17" s="2" t="s">
        <v>31</v>
      </c>
      <c r="H17" s="3">
        <v>13</v>
      </c>
      <c r="I17" s="4">
        <v>2205</v>
      </c>
      <c r="J17" s="4">
        <v>0</v>
      </c>
      <c r="K17" s="4">
        <v>2205</v>
      </c>
      <c r="L17" s="4">
        <v>78</v>
      </c>
      <c r="M17" s="5">
        <v>3.6671368124118475E-2</v>
      </c>
      <c r="N17" s="3">
        <v>13</v>
      </c>
      <c r="O17" s="4">
        <v>2172</v>
      </c>
      <c r="P17" s="4">
        <v>0</v>
      </c>
      <c r="Q17" s="4">
        <v>2172</v>
      </c>
      <c r="R17" s="13">
        <f>I17-O17</f>
        <v>33</v>
      </c>
      <c r="S17" s="14">
        <f>R17/O17</f>
        <v>1.5193370165745856E-2</v>
      </c>
      <c r="T17" s="4">
        <v>33</v>
      </c>
      <c r="U17" s="5">
        <v>1.5193370165745856E-2</v>
      </c>
      <c r="V17" s="1">
        <v>45283</v>
      </c>
    </row>
    <row r="18" spans="1:22" x14ac:dyDescent="0.35">
      <c r="A18" s="1">
        <v>46080</v>
      </c>
      <c r="B18" s="2" t="s">
        <v>58</v>
      </c>
      <c r="C18" s="2" t="s">
        <v>26</v>
      </c>
      <c r="D18" s="2" t="s">
        <v>27</v>
      </c>
      <c r="E18" s="3">
        <v>2</v>
      </c>
      <c r="F18" s="2">
        <v>1120</v>
      </c>
      <c r="G18" s="2" t="s">
        <v>31</v>
      </c>
      <c r="H18" s="3">
        <v>13</v>
      </c>
      <c r="I18" s="4">
        <v>2766</v>
      </c>
      <c r="J18" s="4">
        <v>-300</v>
      </c>
      <c r="K18" s="4">
        <v>2742.9230769230771</v>
      </c>
      <c r="L18" s="4">
        <v>17.923076923077133</v>
      </c>
      <c r="M18" s="5">
        <v>6.5772759350741774E-3</v>
      </c>
      <c r="N18" s="3">
        <v>13</v>
      </c>
      <c r="O18" s="4">
        <v>2725</v>
      </c>
      <c r="P18" s="4">
        <v>0</v>
      </c>
      <c r="Q18" s="4">
        <v>2725</v>
      </c>
      <c r="R18" s="13">
        <f>I18-O18</f>
        <v>41</v>
      </c>
      <c r="S18" s="14">
        <f>R18/O18</f>
        <v>1.5045871559633028E-2</v>
      </c>
      <c r="T18" s="4">
        <v>17.923076923077133</v>
      </c>
      <c r="U18" s="5">
        <v>6.5772759350741774E-3</v>
      </c>
      <c r="V18" s="1">
        <v>45684</v>
      </c>
    </row>
    <row r="19" spans="1:22" x14ac:dyDescent="0.35">
      <c r="A19" s="1">
        <v>46082</v>
      </c>
      <c r="B19" s="2" t="s">
        <v>47</v>
      </c>
      <c r="C19" s="2" t="s">
        <v>48</v>
      </c>
      <c r="D19" s="2" t="s">
        <v>30</v>
      </c>
      <c r="E19" s="3">
        <v>1</v>
      </c>
      <c r="F19" s="2">
        <v>777</v>
      </c>
      <c r="G19" s="2" t="s">
        <v>31</v>
      </c>
      <c r="H19" s="3">
        <v>15</v>
      </c>
      <c r="I19" s="4">
        <v>2060</v>
      </c>
      <c r="J19" s="4">
        <v>-300</v>
      </c>
      <c r="K19" s="4">
        <v>2040</v>
      </c>
      <c r="L19" s="4">
        <v>43</v>
      </c>
      <c r="M19" s="5">
        <v>2.1532298447671506E-2</v>
      </c>
      <c r="N19" s="3">
        <v>15</v>
      </c>
      <c r="O19" s="4">
        <v>2030</v>
      </c>
      <c r="P19" s="4">
        <v>-250</v>
      </c>
      <c r="Q19" s="4">
        <v>2013.3333333333333</v>
      </c>
      <c r="R19" s="13">
        <f>I19-O19</f>
        <v>30</v>
      </c>
      <c r="S19" s="14">
        <f>R19/O19</f>
        <v>1.4778325123152709E-2</v>
      </c>
      <c r="T19" s="4">
        <v>26.666666666666742</v>
      </c>
      <c r="U19" s="5">
        <v>1.324503311258282E-2</v>
      </c>
      <c r="V19" s="1">
        <v>45231</v>
      </c>
    </row>
    <row r="20" spans="1:22" ht="29" x14ac:dyDescent="0.35">
      <c r="A20" s="9" t="s">
        <v>66</v>
      </c>
      <c r="B20" s="9"/>
      <c r="C20" s="9"/>
      <c r="D20" s="9"/>
      <c r="E20" s="9"/>
      <c r="F20" s="10">
        <f>AVERAGE(F4:F19)</f>
        <v>875.75</v>
      </c>
      <c r="G20" s="9"/>
      <c r="H20" s="10">
        <f t="shared" ref="H20" si="0">AVERAGE(H4:H19)</f>
        <v>13.25</v>
      </c>
      <c r="I20" s="11">
        <f>AVERAGE(I4:I19)</f>
        <v>2325.1875</v>
      </c>
      <c r="J20" s="11">
        <f>AVERAGE(J4:J19)</f>
        <v>-199.28125</v>
      </c>
      <c r="K20" s="11">
        <f t="shared" ref="K20:N20" si="1">AVERAGE(K4:K19)</f>
        <v>2310.1535027472528</v>
      </c>
      <c r="L20" s="11">
        <f t="shared" si="1"/>
        <v>-25.533997252747255</v>
      </c>
      <c r="M20" s="12">
        <f t="shared" si="1"/>
        <v>-1.2249194599811285E-2</v>
      </c>
      <c r="N20" s="10">
        <f t="shared" si="1"/>
        <v>13.375</v>
      </c>
      <c r="O20" s="11">
        <f t="shared" ref="O20" si="2">AVERAGE(O4:O19)</f>
        <v>2311.875</v>
      </c>
      <c r="P20" s="11">
        <f t="shared" ref="P20" si="3">AVERAGE(P4:P19)</f>
        <v>-1199.84375</v>
      </c>
      <c r="Q20" s="11">
        <f t="shared" ref="Q20:U20" si="4">AVERAGE(Q4:Q19)</f>
        <v>2219.8597756410259</v>
      </c>
      <c r="R20" s="11">
        <f t="shared" si="4"/>
        <v>13.3125</v>
      </c>
      <c r="S20" s="12">
        <f t="shared" si="4"/>
        <v>5.8023429480857959E-3</v>
      </c>
      <c r="T20" s="11">
        <f t="shared" si="4"/>
        <v>90.293727106227081</v>
      </c>
      <c r="U20" s="12">
        <f t="shared" si="4"/>
        <v>4.2616890351847812E-2</v>
      </c>
      <c r="V20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Rodin, Emi</dc:creator>
  <cp:lastModifiedBy>Dave Delany</cp:lastModifiedBy>
  <dcterms:created xsi:type="dcterms:W3CDTF">2026-03-05T12:53:35Z</dcterms:created>
  <dcterms:modified xsi:type="dcterms:W3CDTF">2026-03-05T17:27:07Z</dcterms:modified>
</cp:coreProperties>
</file>