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ule Registry" sheetId="1" state="visible" r:id="rId1"/>
    <sheet xmlns:r="http://schemas.openxmlformats.org/officeDocument/2006/relationships" name="Formula Engine" sheetId="2" state="visible" r:id="rId2"/>
    <sheet xmlns:r="http://schemas.openxmlformats.org/officeDocument/2006/relationships" name="Data Flow Matrix" sheetId="3" state="visible" r:id="rId3"/>
    <sheet xmlns:r="http://schemas.openxmlformats.org/officeDocument/2006/relationships" name="Agent Coverage" sheetId="4" state="visible" r:id="rId4"/>
    <sheet xmlns:r="http://schemas.openxmlformats.org/officeDocument/2006/relationships" name="Wireframe Specs" sheetId="5" state="visible" r:id="rId5"/>
    <sheet xmlns:r="http://schemas.openxmlformats.org/officeDocument/2006/relationships" name="Strategy Signal Weights" sheetId="6" state="visible" r:id="rId6"/>
    <sheet xmlns:r="http://schemas.openxmlformats.org/officeDocument/2006/relationships" name="Implementation Priority" sheetId="7" state="visible" r:id="rId7"/>
    <sheet xmlns:r="http://schemas.openxmlformats.org/officeDocument/2006/relationships" name="Data Flow Matrix v2" sheetId="8" state="visible" r:id="rId8"/>
    <sheet xmlns:r="http://schemas.openxmlformats.org/officeDocument/2006/relationships" name="Data Contracts" sheetId="9" state="visible" r:id="rId9"/>
    <sheet xmlns:r="http://schemas.openxmlformats.org/officeDocument/2006/relationships" name="Recomputation Cascade" sheetId="10" state="visible" r:id="rId10"/>
    <sheet xmlns:r="http://schemas.openxmlformats.org/officeDocument/2006/relationships" name="Document Triggers" sheetId="11" state="visible" r:id="rId11"/>
  </sheets>
  <definedNames>
    <definedName name="_xlnm._FilterDatabase" localSheetId="0" hidden="1">'Module Registry'!$A$1:$M$26</definedName>
    <definedName name="_xlnm._FilterDatabase" localSheetId="1" hidden="1">'Formula Engine'!$A$1:$K$36</definedName>
    <definedName name="_xlnm._FilterDatabase" localSheetId="3" hidden="1">'Agent Coverage'!$A$1:$I$14</definedName>
    <definedName name="_xlnm._FilterDatabase" localSheetId="4" hidden="1">'Wireframe Specs'!$A$1:$I$21</definedName>
    <definedName name="_xlnm._FilterDatabase" localSheetId="6" hidden="1">'Implementation Priority'!$A$1:$G$13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9"/>
    </font>
    <font>
      <name val="Arial"/>
      <charset val="1"/>
      <family val="0"/>
      <color rgb="FFFFFFFF"/>
      <sz val="7"/>
    </font>
    <font>
      <name val="Arial"/>
      <charset val="1"/>
      <family val="0"/>
      <color rgb="FF1B4A2A"/>
      <sz val="7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0"/>
    </font>
    <font>
      <name val="Arial"/>
      <sz val="10"/>
    </font>
    <font>
      <name val="Arial"/>
      <b val="1"/>
      <color rgb="FFFFFFFF"/>
      <sz val="10"/>
    </font>
  </fonts>
  <fills count="15">
    <fill>
      <patternFill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C7CE"/>
        <bgColor rgb="FFD0D0D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E8EDF3"/>
        <bgColor rgb="FFFFFFFF"/>
      </patternFill>
    </fill>
    <fill>
      <patternFill patternType="solid">
        <fgColor rgb="FFD0D0D0"/>
        <bgColor rgb="FFCCCCCC"/>
      </patternFill>
    </fill>
    <fill>
      <patternFill patternType="solid">
        <fgColor rgb="FF1B6B3A"/>
        <bgColor rgb="FF006400"/>
      </patternFill>
    </fill>
    <fill>
      <patternFill patternType="solid">
        <fgColor rgb="FFA8D5BA"/>
        <bgColor rgb="FF99CC99"/>
      </patternFill>
    </fill>
    <fill>
      <patternFill patternType="solid">
        <fgColor rgb="FFFF6B6B"/>
        <bgColor rgb="FFFF6600"/>
      </patternFill>
    </fill>
    <fill>
      <patternFill patternType="solid">
        <fgColor rgb="FFFFBB33"/>
        <bgColor rgb="FFFF9900"/>
      </patternFill>
    </fill>
    <fill>
      <patternFill patternType="solid">
        <fgColor rgb="FF99CC99"/>
        <bgColor rgb="FFA8D5BA"/>
      </patternFill>
    </fill>
    <fill>
      <patternFill patternType="solid">
        <fgColor rgb="FFFFF8DC"/>
      </patternFill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5" fillId="10" borderId="1" applyAlignment="1" pivotButton="0" quotePrefix="0" xfId="0">
      <alignment horizontal="general" vertical="top" wrapText="1"/>
    </xf>
    <xf numFmtId="0" fontId="5" fillId="11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12" fillId="13" borderId="2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5" fillId="10" borderId="1" applyAlignment="1" pivotButton="0" quotePrefix="0" xfId="0">
      <alignment horizontal="general" vertical="top" wrapText="1"/>
    </xf>
    <xf numFmtId="0" fontId="5" fillId="11" borderId="1" applyAlignment="1" pivotButton="0" quotePrefix="0" xfId="0">
      <alignment horizontal="general" vertical="top" wrapText="1"/>
    </xf>
    <xf numFmtId="0" fontId="5" fillId="12" borderId="1" applyAlignment="1" pivotButton="0" quotePrefix="0" xfId="0">
      <alignment horizontal="general" vertical="top" wrapText="1"/>
    </xf>
    <xf numFmtId="0" fontId="13" fillId="14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9CC99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BB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1B6B3A"/>
      <rgbColor rgb="FFCCCCCC"/>
      <rgbColor rgb="FF808080"/>
      <rgbColor rgb="FF9999FF"/>
      <rgbColor rgb="FF7A2D4A"/>
      <rgbColor rgb="FFFFFFCC"/>
      <rgbColor rgb="FFE8EDF3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8D5BA"/>
      <rgbColor rgb="FFFF99CC"/>
      <rgbColor rgb="FFCC99FF"/>
      <rgbColor rgb="FFFFC7CE"/>
      <rgbColor rgb="FF3366FF"/>
      <rgbColor rgb="FF33CCCC"/>
      <rgbColor rgb="FF99CC00"/>
      <rgbColor rgb="FFFFBB33"/>
      <rgbColor rgb="FFFF9900"/>
      <rgbColor rgb="FFFF6600"/>
      <rgbColor rgb="FF666699"/>
      <rgbColor rgb="FF99CC99"/>
      <rgbColor rgb="FF1B2A4A"/>
      <rgbColor rgb="FF4A7A2D"/>
      <rgbColor rgb="FF003300"/>
      <rgbColor rgb="FF1B4A2A"/>
      <rgbColor rgb="FFC45100"/>
      <rgbColor rgb="FF993366"/>
      <rgbColor rgb="FF2D4A7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M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22" customWidth="1" style="20" min="2" max="2"/>
    <col width="18" customWidth="1" style="20" min="3" max="3"/>
    <col width="14" customWidth="1" style="20" min="4" max="4"/>
    <col width="55" customWidth="1" style="20" min="5" max="5"/>
    <col width="12" customWidth="1" style="20" min="6" max="6"/>
    <col width="16" customWidth="1" style="20" min="7" max="7"/>
    <col width="50" customWidth="1" style="20" min="8" max="8"/>
    <col width="28" customWidth="1" style="20" min="9" max="10"/>
    <col width="14" customWidth="1" style="20" min="11" max="11"/>
    <col width="10" customWidth="1" style="20" min="12" max="12"/>
    <col width="30" customWidth="1" style="20" min="13" max="13"/>
  </cols>
  <sheetData>
    <row r="1" ht="26.25" customHeight="1" s="21">
      <c r="A1" s="22" t="inlineStr">
        <is>
          <t>Module ID</t>
        </is>
      </c>
      <c r="B1" s="22" t="inlineStr">
        <is>
          <t>Module Name</t>
        </is>
      </c>
      <c r="C1" s="22" t="inlineStr">
        <is>
          <t>Stage</t>
        </is>
      </c>
      <c r="D1" s="22" t="inlineStr">
        <is>
          <t>Category</t>
        </is>
      </c>
      <c r="E1" s="22" t="inlineStr">
        <is>
          <t>Purpose / What It Does</t>
        </is>
      </c>
      <c r="F1" s="22" t="inlineStr">
        <is>
          <t>Has Agent?</t>
        </is>
      </c>
      <c r="G1" s="22" t="inlineStr">
        <is>
          <t>Agent Name</t>
        </is>
      </c>
      <c r="H1" s="22" t="inlineStr">
        <is>
          <t>Key Outputs</t>
        </is>
      </c>
      <c r="I1" s="22" t="inlineStr">
        <is>
          <t>Feeds Into (Modules)</t>
        </is>
      </c>
      <c r="J1" s="22" t="inlineStr">
        <is>
          <t>Receives From (Modules)</t>
        </is>
      </c>
      <c r="K1" s="22" t="inlineStr">
        <is>
          <t>Build Status</t>
        </is>
      </c>
      <c r="L1" s="22" t="inlineStr">
        <is>
          <t>Priority</t>
        </is>
      </c>
      <c r="M1" s="22" t="inlineStr">
        <is>
          <t>UI Location</t>
        </is>
      </c>
    </row>
    <row r="2" ht="23.25" customHeight="1" s="21">
      <c r="A2" s="23" t="inlineStr">
        <is>
          <t>M01</t>
        </is>
      </c>
      <c r="B2" s="23" t="inlineStr">
        <is>
          <t>Deal Overview</t>
        </is>
      </c>
      <c r="C2" s="23" t="inlineStr">
        <is>
          <t>S1: Overview</t>
        </is>
      </c>
      <c r="D2" s="23" t="inlineStr">
        <is>
          <t>Core</t>
        </is>
      </c>
      <c r="E2" s="23" t="inlineStr">
        <is>
          <t>Single-pane summary: JEDI Score, property basics, owner intel, quick stats. First thing user sees when opening a deal.</t>
        </is>
      </c>
      <c r="F2" s="24" t="inlineStr">
        <is>
          <t>No</t>
        </is>
      </c>
      <c r="G2" s="23" t="inlineStr">
        <is>
          <t>—</t>
        </is>
      </c>
      <c r="H2" s="23" t="inlineStr">
        <is>
          <t>JEDI Score display, property snapshot, owner propensity score</t>
        </is>
      </c>
      <c r="I2" s="23" t="inlineStr">
        <is>
          <t>M02,M06,M08,M09,M14</t>
        </is>
      </c>
      <c r="J2" s="23" t="inlineStr">
        <is>
          <t>ALL (aggregator)</t>
        </is>
      </c>
      <c r="K2" s="25" t="inlineStr">
        <is>
          <t>Built</t>
        </is>
      </c>
      <c r="L2" s="23" t="inlineStr">
        <is>
          <t>P0</t>
        </is>
      </c>
      <c r="M2" s="23" t="inlineStr">
        <is>
          <t>Deal Capsule → Overview Tab</t>
        </is>
      </c>
    </row>
    <row r="3" ht="23.25" customHeight="1" s="21">
      <c r="A3" s="23" t="inlineStr">
        <is>
          <t>M02</t>
        </is>
      </c>
      <c r="B3" s="23" t="inlineStr">
        <is>
          <t>Zoning &amp; Entitlements</t>
        </is>
      </c>
      <c r="C3" s="23" t="inlineStr">
        <is>
          <t>S1: Overview</t>
        </is>
      </c>
      <c r="D3" s="23" t="inlineStr">
        <is>
          <t>Intelligence</t>
        </is>
      </c>
      <c r="E3" s="23" t="inlineStr">
        <is>
          <t>Current zoning code, density utilization %, max buildable, entitlement pathway, regulatory risk. Verification-first with Municode.</t>
        </is>
      </c>
      <c r="F3" s="25" t="inlineStr">
        <is>
          <t>Yes</t>
        </is>
      </c>
      <c r="G3" s="23" t="inlineStr">
        <is>
          <t>Zoning Agent</t>
        </is>
      </c>
      <c r="H3" s="23" t="inlineStr">
        <is>
          <t>Zoning code, max density, FAR, setbacks, entitlement risk score, zoning utilization %</t>
        </is>
      </c>
      <c r="I3" s="23" t="inlineStr">
        <is>
          <t>M03,M05,M08,M14</t>
        </is>
      </c>
      <c r="J3" s="23" t="inlineStr">
        <is>
          <t>Municode API, user input, municipal databases</t>
        </is>
      </c>
      <c r="K3" s="26" t="inlineStr">
        <is>
          <t>Partial</t>
        </is>
      </c>
      <c r="L3" s="23" t="inlineStr">
        <is>
          <t>P0</t>
        </is>
      </c>
      <c r="M3" s="23" t="inlineStr">
        <is>
          <t>Deal Capsule → Zoning Tab</t>
        </is>
      </c>
    </row>
    <row r="4" ht="23.25" customHeight="1" s="21">
      <c r="A4" s="23" t="inlineStr">
        <is>
          <t>M03</t>
        </is>
      </c>
      <c r="B4" s="23" t="inlineStr">
        <is>
          <t>Development Capacity</t>
        </is>
      </c>
      <c r="C4" s="23" t="inlineStr">
        <is>
          <t>S1: Overview</t>
        </is>
      </c>
      <c r="D4" s="23" t="inlineStr">
        <is>
          <t>Intelligence</t>
        </is>
      </c>
      <c r="E4" s="23" t="inlineStr">
        <is>
          <t>10-year supply forecast. Building envelope calculator: what CAN be built vs what IS built. As-of-right vs variance scenarios.</t>
        </is>
      </c>
      <c r="F4" s="24" t="inlineStr">
        <is>
          <t>No</t>
        </is>
      </c>
      <c r="G4" s="23" t="inlineStr">
        <is>
          <t>—</t>
        </is>
      </c>
      <c r="H4" s="23" t="inlineStr">
        <is>
          <t>Max units by-right, envelope dimensions, scenario comparison (as-right/variance/rezone), 10yr supply gap</t>
        </is>
      </c>
      <c r="I4" s="23" t="inlineStr">
        <is>
          <t>M05,M08,M09,M14</t>
        </is>
      </c>
      <c r="J4" s="23" t="inlineStr">
        <is>
          <t>M02 (zoning), M04 (supply pipeline), property boundaries</t>
        </is>
      </c>
      <c r="K4" s="26" t="inlineStr">
        <is>
          <t>Partial</t>
        </is>
      </c>
      <c r="L4" s="23" t="inlineStr">
        <is>
          <t>P1</t>
        </is>
      </c>
      <c r="M4" s="23" t="inlineStr">
        <is>
          <t>Deal Capsule → Development Tab</t>
        </is>
      </c>
    </row>
    <row r="5" ht="23.25" customHeight="1" s="21">
      <c r="A5" s="23" t="inlineStr">
        <is>
          <t>M04</t>
        </is>
      </c>
      <c r="B5" s="23" t="inlineStr">
        <is>
          <t>Supply Pipeline</t>
        </is>
      </c>
      <c r="C5" s="23" t="inlineStr">
        <is>
          <t>S1: Overview</t>
        </is>
      </c>
      <c r="D5" s="23" t="inlineStr">
        <is>
          <t>Intelligence</t>
        </is>
      </c>
      <c r="E5" s="23" t="inlineStr">
        <is>
          <t>Track all permitted/under-construction/delivered units in trade area. Pipeline pressure score. Competitive set identification.</t>
        </is>
      </c>
      <c r="F5" s="25" t="inlineStr">
        <is>
          <t>Yes</t>
        </is>
      </c>
      <c r="G5" s="23" t="inlineStr">
        <is>
          <t>Supply Agent</t>
        </is>
      </c>
      <c r="H5" s="23" t="inlineStr">
        <is>
          <t>Pipeline units by status, absorption rate, months of supply, supply pressure score, competitive projects list</t>
        </is>
      </c>
      <c r="I5" s="23" t="inlineStr">
        <is>
          <t>M03,M05,M08,M09,M14</t>
        </is>
      </c>
      <c r="J5" s="23" t="inlineStr">
        <is>
          <t>Permit databases, CoStar, news events, user contributions</t>
        </is>
      </c>
      <c r="K5" s="26" t="inlineStr">
        <is>
          <t>Partial</t>
        </is>
      </c>
      <c r="L5" s="23" t="inlineStr">
        <is>
          <t>P0</t>
        </is>
      </c>
      <c r="M5" s="23" t="inlineStr">
        <is>
          <t>Deal Capsule → Supply Tab</t>
        </is>
      </c>
    </row>
    <row r="6" ht="34.5" customHeight="1" s="21">
      <c r="A6" s="23" t="inlineStr">
        <is>
          <t>M05</t>
        </is>
      </c>
      <c r="B6" s="23" t="inlineStr">
        <is>
          <t>Market Analysis</t>
        </is>
      </c>
      <c r="C6" s="23" t="inlineStr">
        <is>
          <t>S2: Market Intel</t>
        </is>
      </c>
      <c r="D6" s="23" t="inlineStr">
        <is>
          <t>Intelligence</t>
        </is>
      </c>
      <c r="E6" s="23" t="inlineStr">
        <is>
          <t>Submarket fundamentals: rent levels, vacancy, absorption, rent growth trends, demographic shifts. Comp set analysis.</t>
        </is>
      </c>
      <c r="F6" s="24" t="inlineStr">
        <is>
          <t>No</t>
        </is>
      </c>
      <c r="G6" s="23" t="inlineStr">
        <is>
          <t>—</t>
        </is>
      </c>
      <c r="H6" s="23" t="inlineStr">
        <is>
          <t>Avg rent/SF, vacancy rate, absorption rate, rent growth %, demographic trends, submarket rank</t>
        </is>
      </c>
      <c r="I6" s="23" t="inlineStr">
        <is>
          <t>M08,M09,M10,M14</t>
        </is>
      </c>
      <c r="J6" s="23" t="inlineStr">
        <is>
          <t>M02,M04, apartments.com scraper, RentCast API, Census data</t>
        </is>
      </c>
      <c r="K6" s="26" t="inlineStr">
        <is>
          <t>Partial</t>
        </is>
      </c>
      <c r="L6" s="23" t="inlineStr">
        <is>
          <t>P0</t>
        </is>
      </c>
      <c r="M6" s="23" t="inlineStr">
        <is>
          <t>Deal Capsule → Market Tab</t>
        </is>
      </c>
    </row>
    <row r="7" ht="34.5" customHeight="1" s="21">
      <c r="A7" s="23" t="inlineStr">
        <is>
          <t>M06</t>
        </is>
      </c>
      <c r="B7" s="23" t="inlineStr">
        <is>
          <t>Demand Signals</t>
        </is>
      </c>
      <c r="C7" s="23" t="inlineStr">
        <is>
          <t>S2: Market Intel</t>
        </is>
      </c>
      <c r="D7" s="23" t="inlineStr">
        <is>
          <t>Intelligence</t>
        </is>
      </c>
      <c r="E7" s="23" t="inlineStr">
        <is>
          <t>Convert news events into quantified housing demand: employment expansions, university growth, migration. Phased quarterly projections.</t>
        </is>
      </c>
      <c r="F7" s="24" t="inlineStr">
        <is>
          <t>No</t>
        </is>
      </c>
      <c r="G7" s="23" t="inlineStr">
        <is>
          <t>—</t>
        </is>
      </c>
      <c r="H7" s="23" t="inlineStr">
        <is>
          <t>Demand units (total &amp; phased), income tier breakdown, demand score, employer concentration risk</t>
        </is>
      </c>
      <c r="I7" s="23" t="inlineStr">
        <is>
          <t>M05,M08,M09,M14</t>
        </is>
      </c>
      <c r="J7" s="23" t="inlineStr">
        <is>
          <t>News API, email intel, user inputs, BLS data</t>
        </is>
      </c>
      <c r="K7" s="25" t="inlineStr">
        <is>
          <t>Built</t>
        </is>
      </c>
      <c r="L7" s="23" t="inlineStr">
        <is>
          <t>P0</t>
        </is>
      </c>
      <c r="M7" s="23" t="inlineStr">
        <is>
          <t>Deal Capsule → Market Tab (sub-section)</t>
        </is>
      </c>
    </row>
    <row r="8" ht="23.25" customHeight="1" s="21">
      <c r="A8" s="23" t="inlineStr">
        <is>
          <t>M07</t>
        </is>
      </c>
      <c r="B8" s="23" t="inlineStr">
        <is>
          <t>Traffic Intelligence</t>
        </is>
      </c>
      <c r="C8" s="23" t="inlineStr">
        <is>
          <t>S2: Market Intel</t>
        </is>
      </c>
      <c r="D8" s="23" t="inlineStr">
        <is>
          <t>Intelligence</t>
        </is>
      </c>
      <c r="E8" s="23" t="inlineStr">
        <is>
          <t>Physical + digital traffic → lease prediction. Drive-by counts, web visits, search volume → expected tours/leases.</t>
        </is>
      </c>
      <c r="F8" s="24" t="inlineStr">
        <is>
          <t>No</t>
        </is>
      </c>
      <c r="G8" s="23" t="inlineStr">
        <is>
          <t>—</t>
        </is>
      </c>
      <c r="H8" s="23" t="inlineStr">
        <is>
          <t>Predicted leases/week, traffic-to-lease ratio, traffic trend, search volume index</t>
        </is>
      </c>
      <c r="I8" s="23" t="inlineStr">
        <is>
          <t>M05,M08,M09</t>
        </is>
      </c>
      <c r="J8" s="23" t="inlineStr">
        <is>
          <t>Placer.ai, SpyFu, Google Trends, user lease data</t>
        </is>
      </c>
      <c r="K8" s="24" t="inlineStr">
        <is>
          <t>New</t>
        </is>
      </c>
      <c r="L8" s="23" t="inlineStr">
        <is>
          <t>P2</t>
        </is>
      </c>
      <c r="M8" s="23" t="inlineStr">
        <is>
          <t>Deal Capsule → Traffic Tab</t>
        </is>
      </c>
    </row>
    <row r="9" ht="23.25" customHeight="1" s="21">
      <c r="A9" s="23" t="inlineStr">
        <is>
          <t>M08</t>
        </is>
      </c>
      <c r="B9" s="23" t="inlineStr">
        <is>
          <t>Strategy Arbitrage</t>
        </is>
      </c>
      <c r="C9" s="23" t="inlineStr">
        <is>
          <t>S2: Market Intel</t>
        </is>
      </c>
      <c r="D9" s="23" t="inlineStr">
        <is>
          <t>Core</t>
        </is>
      </c>
      <c r="E9" s="23" t="inlineStr">
        <is>
          <t>THE differentiator. Simultaneously analyze all 4 strategies (BTS, Flip, Rental, STR) for every deal. Identify hidden ROI gaps.</t>
        </is>
      </c>
      <c r="F9" s="24" t="inlineStr">
        <is>
          <t>No</t>
        </is>
      </c>
      <c r="G9" s="23" t="inlineStr">
        <is>
          <t>—</t>
        </is>
      </c>
      <c r="H9" s="23" t="inlineStr">
        <is>
          <t>Strategy scores (4), ROI comparison matrix, recommended strategy, arbitrage opportunity flag</t>
        </is>
      </c>
      <c r="I9" s="23" t="inlineStr">
        <is>
          <t>M09,M10,M14</t>
        </is>
      </c>
      <c r="J9" s="23" t="inlineStr">
        <is>
          <t>M02,M03,M04,M05,M06,M07 (needs ALL signals)</t>
        </is>
      </c>
      <c r="K9" s="26" t="inlineStr">
        <is>
          <t>Partial</t>
        </is>
      </c>
      <c r="L9" s="23" t="inlineStr">
        <is>
          <t>P0</t>
        </is>
      </c>
      <c r="M9" s="23" t="inlineStr">
        <is>
          <t>Deal Capsule → Strategy Tab</t>
        </is>
      </c>
    </row>
    <row r="10" ht="23.25" customHeight="1" s="21">
      <c r="A10" s="23" t="inlineStr">
        <is>
          <t>M09</t>
        </is>
      </c>
      <c r="B10" s="23" t="inlineStr">
        <is>
          <t>Pro Forma Engine</t>
        </is>
      </c>
      <c r="C10" s="23" t="inlineStr">
        <is>
          <t>S3: Financial</t>
        </is>
      </c>
      <c r="D10" s="23" t="inlineStr">
        <is>
          <t>Financial</t>
        </is>
      </c>
      <c r="E10" s="23" t="inlineStr">
        <is>
          <t>Dynamic pro forma per strategy. Baseline vs news-adjusted assumptions. Auto-sync from market data. User override capability.</t>
        </is>
      </c>
      <c r="F10" s="24" t="inlineStr">
        <is>
          <t>No</t>
        </is>
      </c>
      <c r="G10" s="23" t="inlineStr">
        <is>
          <t>—</t>
        </is>
      </c>
      <c r="H10" s="23" t="inlineStr">
        <is>
          <t>NOI, cash flow projections, IRR, equity multiple, CoC return, cap rate analysis</t>
        </is>
      </c>
      <c r="I10" s="23" t="inlineStr">
        <is>
          <t>M10,M11,M14</t>
        </is>
      </c>
      <c r="J10" s="23" t="inlineStr">
        <is>
          <t>M02,M03,M04,M05,M06,M08 (all intelligence modules)</t>
        </is>
      </c>
      <c r="K10" s="26" t="inlineStr">
        <is>
          <t>Partial</t>
        </is>
      </c>
      <c r="L10" s="23" t="inlineStr">
        <is>
          <t>P0</t>
        </is>
      </c>
      <c r="M10" s="23" t="inlineStr">
        <is>
          <t>Deal Capsule → Financial Tab</t>
        </is>
      </c>
    </row>
    <row r="11" ht="34.5" customHeight="1" s="21">
      <c r="A11" s="23" t="inlineStr">
        <is>
          <t>M10</t>
        </is>
      </c>
      <c r="B11" s="23" t="inlineStr">
        <is>
          <t>Scenario Engine</t>
        </is>
      </c>
      <c r="C11" s="23" t="inlineStr">
        <is>
          <t>S3: Financial</t>
        </is>
      </c>
      <c r="D11" s="23" t="inlineStr">
        <is>
          <t>Financial</t>
        </is>
      </c>
      <c r="E11" s="23" t="inlineStr">
        <is>
          <t>Bull/Base/Bear/Stress scenarios. Evidence-based parameters from actual news events, not generic ±10%. Custom scenario builder.</t>
        </is>
      </c>
      <c r="F11" s="24" t="inlineStr">
        <is>
          <t>No</t>
        </is>
      </c>
      <c r="G11" s="23" t="inlineStr">
        <is>
          <t>—</t>
        </is>
      </c>
      <c r="H11" s="23" t="inlineStr">
        <is>
          <t>Scenario comparison table, probability-weighted returns, scenario narratives, sensitivity ranges</t>
        </is>
      </c>
      <c r="I11" s="23" t="inlineStr">
        <is>
          <t>M09,M11,M14</t>
        </is>
      </c>
      <c r="J11" s="23" t="inlineStr">
        <is>
          <t>M06 (demand events), M04 (supply events), M09 (base proforma)</t>
        </is>
      </c>
      <c r="K11" s="25" t="inlineStr">
        <is>
          <t>Built</t>
        </is>
      </c>
      <c r="L11" s="23" t="inlineStr">
        <is>
          <t>P1</t>
        </is>
      </c>
      <c r="M11" s="23" t="inlineStr">
        <is>
          <t>Deal Capsule → Scenarios Tab</t>
        </is>
      </c>
    </row>
    <row r="12" ht="23.25" customHeight="1" s="21">
      <c r="A12" s="23" t="inlineStr">
        <is>
          <t>M11</t>
        </is>
      </c>
      <c r="B12" s="23" t="inlineStr">
        <is>
          <t>Debt Analysis</t>
        </is>
      </c>
      <c r="C12" s="23" t="inlineStr">
        <is>
          <t>S3: Financial</t>
        </is>
      </c>
      <c r="D12" s="23" t="inlineStr">
        <is>
          <t>Financial</t>
        </is>
      </c>
      <c r="E12" s="23" t="inlineStr">
        <is>
          <t>Debt market conditions, lender matching, DSCR analysis, rate sensitivity, refi risk assessment.</t>
        </is>
      </c>
      <c r="F12" s="24" t="inlineStr">
        <is>
          <t>No</t>
        </is>
      </c>
      <c r="G12" s="23" t="inlineStr">
        <is>
          <t>—</t>
        </is>
      </c>
      <c r="H12" s="23" t="inlineStr">
        <is>
          <t>DSCR, LTV, debt yield, rate sensitivity matrix, lender recommendations</t>
        </is>
      </c>
      <c r="I12" s="23" t="inlineStr">
        <is>
          <t>M09,M14</t>
        </is>
      </c>
      <c r="J12" s="23" t="inlineStr">
        <is>
          <t>M09 (NOI), rate feeds, lender database</t>
        </is>
      </c>
      <c r="K12" s="26" t="inlineStr">
        <is>
          <t>Partial</t>
        </is>
      </c>
      <c r="L12" s="23" t="inlineStr">
        <is>
          <t>P1</t>
        </is>
      </c>
      <c r="M12" s="23" t="inlineStr">
        <is>
          <t>Deal Capsule → Debt Tab</t>
        </is>
      </c>
    </row>
    <row r="13" ht="23.25" customHeight="1" s="21">
      <c r="A13" s="23" t="inlineStr">
        <is>
          <t>M12</t>
        </is>
      </c>
      <c r="B13" s="23" t="inlineStr">
        <is>
          <t>Exit Analysis</t>
        </is>
      </c>
      <c r="C13" s="23" t="inlineStr">
        <is>
          <t>S3: Financial</t>
        </is>
      </c>
      <c r="D13" s="23" t="inlineStr">
        <is>
          <t>Financial</t>
        </is>
      </c>
      <c r="E13" s="23" t="inlineStr">
        <is>
          <t>Exit timing optimization. Cap rate forecast, disposition strategy, 1031 exchange planning, hold vs sell analysis.</t>
        </is>
      </c>
      <c r="F13" s="24" t="inlineStr">
        <is>
          <t>No</t>
        </is>
      </c>
      <c r="G13" s="23" t="inlineStr">
        <is>
          <t>—</t>
        </is>
      </c>
      <c r="H13" s="23" t="inlineStr">
        <is>
          <t>Optimal exit year, exit cap rate range, disposition value, hold vs sell NPV comparison</t>
        </is>
      </c>
      <c r="I13" s="23" t="inlineStr">
        <is>
          <t>M14</t>
        </is>
      </c>
      <c r="J13" s="23" t="inlineStr">
        <is>
          <t>M09 (proforma), M05 (market trends), M04 (future supply)</t>
        </is>
      </c>
      <c r="K13" s="26" t="inlineStr">
        <is>
          <t>Partial</t>
        </is>
      </c>
      <c r="L13" s="23" t="inlineStr">
        <is>
          <t>P2</t>
        </is>
      </c>
      <c r="M13" s="23" t="inlineStr">
        <is>
          <t>Deal Capsule → Exit Tab</t>
        </is>
      </c>
    </row>
    <row r="14" ht="23.25" customHeight="1" s="21">
      <c r="A14" s="23" t="inlineStr">
        <is>
          <t>M13</t>
        </is>
      </c>
      <c r="B14" s="23" t="inlineStr">
        <is>
          <t>Due Diligence Tracker</t>
        </is>
      </c>
      <c r="C14" s="23" t="inlineStr">
        <is>
          <t>S4: DD &amp; Risk</t>
        </is>
      </c>
      <c r="D14" s="23" t="inlineStr">
        <is>
          <t>Operations</t>
        </is>
      </c>
      <c r="E14" s="23" t="inlineStr">
        <is>
          <t>Checklist-driven DD workflow. Document tracking, inspection scheduling, vendor management, red flag alerts.</t>
        </is>
      </c>
      <c r="F14" s="24" t="inlineStr">
        <is>
          <t>No</t>
        </is>
      </c>
      <c r="G14" s="23" t="inlineStr">
        <is>
          <t>—</t>
        </is>
      </c>
      <c r="H14" s="23" t="inlineStr">
        <is>
          <t>DD completion %, critical findings, timeline status, document checklist</t>
        </is>
      </c>
      <c r="I14" s="23" t="inlineStr">
        <is>
          <t>M14,M15</t>
        </is>
      </c>
      <c r="J14" s="23" t="inlineStr">
        <is>
          <t>User input, document uploads, vendor responses</t>
        </is>
      </c>
      <c r="K14" s="26" t="inlineStr">
        <is>
          <t>Partial</t>
        </is>
      </c>
      <c r="L14" s="23" t="inlineStr">
        <is>
          <t>P1</t>
        </is>
      </c>
      <c r="M14" s="23" t="inlineStr">
        <is>
          <t>Deal Capsule → DD Tab</t>
        </is>
      </c>
    </row>
    <row r="15" ht="23.25" customHeight="1" s="21">
      <c r="A15" s="23" t="inlineStr">
        <is>
          <t>M14</t>
        </is>
      </c>
      <c r="B15" s="23" t="inlineStr">
        <is>
          <t>Risk Dashboard</t>
        </is>
      </c>
      <c r="C15" s="23" t="inlineStr">
        <is>
          <t>S4: DD &amp; Risk</t>
        </is>
      </c>
      <c r="D15" s="23" t="inlineStr">
        <is>
          <t>Intelligence</t>
        </is>
      </c>
      <c r="E15" s="23" t="inlineStr">
        <is>
          <t>Composite risk: supply risk, demand risk, regulatory risk, market risk, execution risk, climate risk. Auto-calculated from signals.</t>
        </is>
      </c>
      <c r="F15" s="24" t="inlineStr">
        <is>
          <t>No</t>
        </is>
      </c>
      <c r="G15" s="23" t="inlineStr">
        <is>
          <t>—</t>
        </is>
      </c>
      <c r="H15" s="23" t="inlineStr">
        <is>
          <t>Composite risk score, risk heatmap by category, risk trend, alert triggers</t>
        </is>
      </c>
      <c r="I15" s="23" t="inlineStr">
        <is>
          <t>M01,M08,M09</t>
        </is>
      </c>
      <c r="J15" s="23" t="inlineStr">
        <is>
          <t>M02,M04,M05,M06 (all signal modules)</t>
        </is>
      </c>
      <c r="K15" s="25" t="inlineStr">
        <is>
          <t>Built</t>
        </is>
      </c>
      <c r="L15" s="23" t="inlineStr">
        <is>
          <t>P0</t>
        </is>
      </c>
      <c r="M15" s="23" t="inlineStr">
        <is>
          <t>Deal Capsule → Risk section in Overview</t>
        </is>
      </c>
    </row>
    <row r="16" ht="23.25" customHeight="1" s="21">
      <c r="A16" s="23" t="inlineStr">
        <is>
          <t>M15</t>
        </is>
      </c>
      <c r="B16" s="23" t="inlineStr">
        <is>
          <t>Competition Analysis</t>
        </is>
      </c>
      <c r="C16" s="23" t="inlineStr">
        <is>
          <t>S4: DD &amp; Risk</t>
        </is>
      </c>
      <c r="D16" s="23" t="inlineStr">
        <is>
          <t>Intelligence</t>
        </is>
      </c>
      <c r="E16" s="23" t="inlineStr">
        <is>
          <t>Competitive set: identify, track, compare properties within trade area. Rent comp grid. Amenity comparison.</t>
        </is>
      </c>
      <c r="F16" s="24" t="inlineStr">
        <is>
          <t>No</t>
        </is>
      </c>
      <c r="G16" s="23" t="inlineStr">
        <is>
          <t>—</t>
        </is>
      </c>
      <c r="H16" s="23" t="inlineStr">
        <is>
          <t>Comp set list, rent comp matrix, amenity gap analysis, competitive position score</t>
        </is>
      </c>
      <c r="I16" s="23" t="inlineStr">
        <is>
          <t>M05,M08,M09</t>
        </is>
      </c>
      <c r="J16" s="23" t="inlineStr">
        <is>
          <t>M04 (supply), apartments.com, user input</t>
        </is>
      </c>
      <c r="K16" s="26" t="inlineStr">
        <is>
          <t>Partial</t>
        </is>
      </c>
      <c r="L16" s="23" t="inlineStr">
        <is>
          <t>P1</t>
        </is>
      </c>
      <c r="M16" s="23" t="inlineStr">
        <is>
          <t>Deal Capsule → Competition Tab</t>
        </is>
      </c>
    </row>
    <row r="17" ht="23.25" customHeight="1" s="21">
      <c r="A17" s="23" t="inlineStr">
        <is>
          <t>M16</t>
        </is>
      </c>
      <c r="B17" s="23" t="inlineStr">
        <is>
          <t>Deal Pipeline</t>
        </is>
      </c>
      <c r="C17" s="23" t="inlineStr">
        <is>
          <t>S5: Execution</t>
        </is>
      </c>
      <c r="D17" s="23" t="inlineStr">
        <is>
          <t>Operations</t>
        </is>
      </c>
      <c r="E17" s="23" t="inlineStr">
        <is>
          <t>Kanban pipeline: Lead → Prospect → LOI → DD → Close → Asset. Stage gates with auto-progression rules.</t>
        </is>
      </c>
      <c r="F17" s="24" t="inlineStr">
        <is>
          <t>No</t>
        </is>
      </c>
      <c r="G17" s="23" t="inlineStr">
        <is>
          <t>—</t>
        </is>
      </c>
      <c r="H17" s="23" t="inlineStr">
        <is>
          <t>Pipeline stage, days in stage, conversion rates, deal velocity metrics</t>
        </is>
      </c>
      <c r="I17" s="23" t="inlineStr">
        <is>
          <t>M01,M17</t>
        </is>
      </c>
      <c r="J17" s="23" t="inlineStr">
        <is>
          <t>User actions, deal status changes</t>
        </is>
      </c>
      <c r="K17" s="25" t="inlineStr">
        <is>
          <t>Built</t>
        </is>
      </c>
      <c r="L17" s="23" t="inlineStr">
        <is>
          <t>P0</t>
        </is>
      </c>
      <c r="M17" s="23" t="inlineStr">
        <is>
          <t>Dashboard → Pipeline View</t>
        </is>
      </c>
    </row>
    <row r="18" ht="23.25" customHeight="1" s="21">
      <c r="A18" s="23" t="inlineStr">
        <is>
          <t>M17</t>
        </is>
      </c>
      <c r="B18" s="23" t="inlineStr">
        <is>
          <t>Team &amp; Collaboration</t>
        </is>
      </c>
      <c r="C18" s="23" t="inlineStr">
        <is>
          <t>S5: Execution</t>
        </is>
      </c>
      <c r="D18" s="23" t="inlineStr">
        <is>
          <t>Operations</t>
        </is>
      </c>
      <c r="E18" s="23" t="inlineStr">
        <is>
          <t>Multi-user deal access, role-based permissions, activity feed, task assignment, @mentions.</t>
        </is>
      </c>
      <c r="F18" s="24" t="inlineStr">
        <is>
          <t>No</t>
        </is>
      </c>
      <c r="G18" s="23" t="inlineStr">
        <is>
          <t>—</t>
        </is>
      </c>
      <c r="H18" s="23" t="inlineStr">
        <is>
          <t>Team members, task status, activity log, permission levels</t>
        </is>
      </c>
      <c r="I18" s="23" t="inlineStr">
        <is>
          <t>M16,M13</t>
        </is>
      </c>
      <c r="J18" s="23" t="inlineStr">
        <is>
          <t>User actions</t>
        </is>
      </c>
      <c r="K18" s="26" t="inlineStr">
        <is>
          <t>Partial</t>
        </is>
      </c>
      <c r="L18" s="23" t="inlineStr">
        <is>
          <t>P2</t>
        </is>
      </c>
      <c r="M18" s="23" t="inlineStr">
        <is>
          <t>Deal Capsule → Team Tab</t>
        </is>
      </c>
    </row>
    <row r="19" ht="23.25" customHeight="1" s="21">
      <c r="A19" s="23" t="inlineStr">
        <is>
          <t>M18</t>
        </is>
      </c>
      <c r="B19" s="23" t="inlineStr">
        <is>
          <t>Documents &amp; Files</t>
        </is>
      </c>
      <c r="C19" s="23" t="inlineStr">
        <is>
          <t>S5: Execution</t>
        </is>
      </c>
      <c r="D19" s="23" t="inlineStr">
        <is>
          <t>Operations</t>
        </is>
      </c>
      <c r="E19" s="23" t="inlineStr">
        <is>
          <t>Document management: upload, version, categorize, OCR. Auto-categorization by deal stage. Template library.</t>
        </is>
      </c>
      <c r="F19" s="24" t="inlineStr">
        <is>
          <t>No</t>
        </is>
      </c>
      <c r="G19" s="23" t="inlineStr">
        <is>
          <t>—</t>
        </is>
      </c>
      <c r="H19" s="23" t="inlineStr">
        <is>
          <t>Document index, version history, auto-tags, OCR extracted data</t>
        </is>
      </c>
      <c r="I19" s="23" t="inlineStr">
        <is>
          <t>M13,M09</t>
        </is>
      </c>
      <c r="J19" s="23" t="inlineStr">
        <is>
          <t>User uploads, OCR engine</t>
        </is>
      </c>
      <c r="K19" s="26" t="inlineStr">
        <is>
          <t>Partial</t>
        </is>
      </c>
      <c r="L19" s="23" t="inlineStr">
        <is>
          <t>P1</t>
        </is>
      </c>
      <c r="M19" s="23" t="inlineStr">
        <is>
          <t>Deal Capsule → Documents Tab</t>
        </is>
      </c>
    </row>
    <row r="20" ht="34.5" customHeight="1" s="21">
      <c r="A20" s="23" t="inlineStr">
        <is>
          <t>M19</t>
        </is>
      </c>
      <c r="B20" s="23" t="inlineStr">
        <is>
          <t>News Intelligence</t>
        </is>
      </c>
      <c r="C20" s="23" t="inlineStr">
        <is>
          <t>S6: Platform</t>
        </is>
      </c>
      <c r="D20" s="23" t="inlineStr">
        <is>
          <t>Intelligence</t>
        </is>
      </c>
      <c r="E20" s="23" t="inlineStr">
        <is>
          <t>Scrape, classify, extract structured data from news. Employment events, zoning changes, infrastructure announcements. Email intelligence.</t>
        </is>
      </c>
      <c r="F20" s="24" t="inlineStr">
        <is>
          <t>No</t>
        </is>
      </c>
      <c r="G20" s="23" t="inlineStr">
        <is>
          <t>—</t>
        </is>
      </c>
      <c r="H20" s="23" t="inlineStr">
        <is>
          <t>Classified events, demand/supply signals, sentiment score, geographic tagging</t>
        </is>
      </c>
      <c r="I20" s="23" t="inlineStr">
        <is>
          <t>M06,M04,M14</t>
        </is>
      </c>
      <c r="J20" s="23" t="inlineStr">
        <is>
          <t>News APIs, email sync, RSS feeds</t>
        </is>
      </c>
      <c r="K20" s="26" t="inlineStr">
        <is>
          <t>Partial</t>
        </is>
      </c>
      <c r="L20" s="23" t="inlineStr">
        <is>
          <t>P0</t>
        </is>
      </c>
      <c r="M20" s="23" t="inlineStr">
        <is>
          <t>Dashboard → News Feed</t>
        </is>
      </c>
    </row>
    <row r="21" ht="23.25" customHeight="1" s="21">
      <c r="A21" s="23" t="inlineStr">
        <is>
          <t>M20</t>
        </is>
      </c>
      <c r="B21" s="23" t="inlineStr">
        <is>
          <t>Map Intelligence</t>
        </is>
      </c>
      <c r="C21" s="23" t="inlineStr">
        <is>
          <t>S6: Platform</t>
        </is>
      </c>
      <c r="D21" s="23" t="inlineStr">
        <is>
          <t>Core</t>
        </is>
      </c>
      <c r="E21" s="23" t="inlineStr">
        <is>
          <t>Interactive war map. Property bubbles with JEDI scores. Layer toggles. Drawing tools. Trade area visualization. Heat maps.</t>
        </is>
      </c>
      <c r="F21" s="24" t="inlineStr">
        <is>
          <t>No</t>
        </is>
      </c>
      <c r="G21" s="23" t="inlineStr">
        <is>
          <t>—</t>
        </is>
      </c>
      <c r="H21" s="23" t="inlineStr">
        <is>
          <t>Property map, heat maps, layer overlays, drawn trade areas, bubble drill-downs</t>
        </is>
      </c>
      <c r="I21" s="23" t="inlineStr">
        <is>
          <t>M01,M16</t>
        </is>
      </c>
      <c r="J21" s="23" t="inlineStr">
        <is>
          <t>ALL modules (visualization layer)</t>
        </is>
      </c>
      <c r="K21" s="26" t="inlineStr">
        <is>
          <t>Partial</t>
        </is>
      </c>
      <c r="L21" s="23" t="inlineStr">
        <is>
          <t>P0</t>
        </is>
      </c>
      <c r="M21" s="23" t="inlineStr">
        <is>
          <t>Dashboard → Map View</t>
        </is>
      </c>
    </row>
    <row r="22" ht="23.25" customHeight="1" s="21">
      <c r="A22" s="23" t="inlineStr">
        <is>
          <t>M21</t>
        </is>
      </c>
      <c r="B22" s="23" t="inlineStr">
        <is>
          <t>AI Chat (Opus)</t>
        </is>
      </c>
      <c r="C22" s="23" t="inlineStr">
        <is>
          <t>S6: Platform</t>
        </is>
      </c>
      <c r="D22" s="23" t="inlineStr">
        <is>
          <t>Core</t>
        </is>
      </c>
      <c r="E22" s="23" t="inlineStr">
        <is>
          <t>Claude-powered conversational analysis. Ask questions about deals, markets, strategies. Natural language to structured queries.</t>
        </is>
      </c>
      <c r="F22" s="24" t="inlineStr">
        <is>
          <t>No</t>
        </is>
      </c>
      <c r="G22" s="23" t="inlineStr">
        <is>
          <t>—</t>
        </is>
      </c>
      <c r="H22" s="23" t="inlineStr">
        <is>
          <t>Natural language insights, analysis requests, report generation</t>
        </is>
      </c>
      <c r="I22" s="23" t="inlineStr">
        <is>
          <t>ALL</t>
        </is>
      </c>
      <c r="J22" s="23" t="inlineStr">
        <is>
          <t>ALL modules (query layer)</t>
        </is>
      </c>
      <c r="K22" s="26" t="inlineStr">
        <is>
          <t>Partial</t>
        </is>
      </c>
      <c r="L22" s="23" t="inlineStr">
        <is>
          <t>P1</t>
        </is>
      </c>
      <c r="M22" s="23" t="inlineStr">
        <is>
          <t>Global → Chat Panel</t>
        </is>
      </c>
    </row>
    <row r="23" ht="23.25" customHeight="1" s="21">
      <c r="A23" s="23" t="inlineStr">
        <is>
          <t>M22</t>
        </is>
      </c>
      <c r="B23" s="23" t="inlineStr">
        <is>
          <t>Portfolio Manager</t>
        </is>
      </c>
      <c r="C23" s="23" t="inlineStr">
        <is>
          <t>S6: Platform</t>
        </is>
      </c>
      <c r="D23" s="23" t="inlineStr">
        <is>
          <t>Financial</t>
        </is>
      </c>
      <c r="E23" s="23" t="inlineStr">
        <is>
          <t>Owned assets view. Actual vs projected performance. Budget vs actual tracking. Portfolio-level metrics.</t>
        </is>
      </c>
      <c r="F23" s="24" t="inlineStr">
        <is>
          <t>No</t>
        </is>
      </c>
      <c r="G23" s="23" t="inlineStr">
        <is>
          <t>—</t>
        </is>
      </c>
      <c r="H23" s="23" t="inlineStr">
        <is>
          <t>Portfolio NOI, actual vs budget, asset performance ranking, portfolio risk score</t>
        </is>
      </c>
      <c r="I23" s="23" t="inlineStr">
        <is>
          <t>M01,M20</t>
        </is>
      </c>
      <c r="J23" s="23" t="inlineStr">
        <is>
          <t>M09 (proforma), actual financial data uploads</t>
        </is>
      </c>
      <c r="K23" s="26" t="inlineStr">
        <is>
          <t>Partial</t>
        </is>
      </c>
      <c r="L23" s="23" t="inlineStr">
        <is>
          <t>P1</t>
        </is>
      </c>
      <c r="M23" s="23" t="inlineStr">
        <is>
          <t>Dashboard → Assets View</t>
        </is>
      </c>
    </row>
    <row r="24" ht="23.25" customHeight="1" s="21">
      <c r="A24" s="23" t="inlineStr">
        <is>
          <t>M23</t>
        </is>
      </c>
      <c r="B24" s="23" t="inlineStr">
        <is>
          <t>Alerts &amp; Notifications</t>
        </is>
      </c>
      <c r="C24" s="23" t="inlineStr">
        <is>
          <t>S6: Platform</t>
        </is>
      </c>
      <c r="D24" s="23" t="inlineStr">
        <is>
          <t>Operations</t>
        </is>
      </c>
      <c r="E24" s="23" t="inlineStr">
        <is>
          <t>Real-time alerts: JEDI score changes, news events, pipeline status, risk threshold breaches, market shifts.</t>
        </is>
      </c>
      <c r="F24" s="24" t="inlineStr">
        <is>
          <t>No</t>
        </is>
      </c>
      <c r="G24" s="23" t="inlineStr">
        <is>
          <t>—</t>
        </is>
      </c>
      <c r="H24" s="23" t="inlineStr">
        <is>
          <t>Alert feed, alert rules, notification preferences, alert history</t>
        </is>
      </c>
      <c r="I24" s="23" t="inlineStr">
        <is>
          <t>ALL</t>
        </is>
      </c>
      <c r="J24" s="23" t="inlineStr">
        <is>
          <t>M06,M04,M14,M16 (event-driven)</t>
        </is>
      </c>
      <c r="K24" s="26" t="inlineStr">
        <is>
          <t>Partial</t>
        </is>
      </c>
      <c r="L24" s="23" t="inlineStr">
        <is>
          <t>P1</t>
        </is>
      </c>
      <c r="M24" s="23" t="inlineStr">
        <is>
          <t>Global → Notification Bell</t>
        </is>
      </c>
    </row>
    <row r="25" ht="23.25" customHeight="1" s="21">
      <c r="A25" s="23" t="inlineStr">
        <is>
          <t>M24</t>
        </is>
      </c>
      <c r="B25" s="23" t="inlineStr">
        <is>
          <t>Settings &amp; Preferences</t>
        </is>
      </c>
      <c r="C25" s="23" t="inlineStr">
        <is>
          <t>S6: Platform</t>
        </is>
      </c>
      <c r="D25" s="23" t="inlineStr">
        <is>
          <t>Core</t>
        </is>
      </c>
      <c r="E25" s="23" t="inlineStr">
        <is>
          <t>User preferences: keywords, trade areas, data sources, module activation, subscription management.</t>
        </is>
      </c>
      <c r="F25" s="24" t="inlineStr">
        <is>
          <t>No</t>
        </is>
      </c>
      <c r="G25" s="23" t="inlineStr">
        <is>
          <t>—</t>
        </is>
      </c>
      <c r="H25" s="23" t="inlineStr">
        <is>
          <t>User config, active modules, keyword lists, trade area definitions</t>
        </is>
      </c>
      <c r="I25" s="23" t="inlineStr">
        <is>
          <t>ALL</t>
        </is>
      </c>
      <c r="J25" s="23" t="inlineStr">
        <is>
          <t>User input</t>
        </is>
      </c>
      <c r="K25" s="26" t="inlineStr">
        <is>
          <t>Partial</t>
        </is>
      </c>
      <c r="L25" s="23" t="inlineStr">
        <is>
          <t>P2</t>
        </is>
      </c>
      <c r="M25" s="23" t="inlineStr">
        <is>
          <t>Settings Page</t>
        </is>
      </c>
    </row>
    <row r="26" ht="23.25" customHeight="1" s="21">
      <c r="A26" s="23" t="inlineStr">
        <is>
          <t>M25</t>
        </is>
      </c>
      <c r="B26" s="23" t="inlineStr">
        <is>
          <t>JEDI Score Engine</t>
        </is>
      </c>
      <c r="C26" s="23" t="inlineStr">
        <is>
          <t>S6: Platform</t>
        </is>
      </c>
      <c r="D26" s="23" t="inlineStr">
        <is>
          <t>Core</t>
        </is>
      </c>
      <c r="E26" s="23" t="inlineStr">
        <is>
          <t>Master scoring: Demand(30%) + Supply(25%) + Momentum(20%) + Position(15%) + Risk(10%). Recalculates on signal changes.</t>
        </is>
      </c>
      <c r="F26" s="24" t="inlineStr">
        <is>
          <t>No</t>
        </is>
      </c>
      <c r="G26" s="23" t="inlineStr">
        <is>
          <t>—</t>
        </is>
      </c>
      <c r="H26" s="23" t="inlineStr">
        <is>
          <t>JEDI Score (0-100), 5 sub-scores, score delta, score history, confidence level</t>
        </is>
      </c>
      <c r="I26" s="23" t="inlineStr">
        <is>
          <t>M01,M08,M14,M20</t>
        </is>
      </c>
      <c r="J26" s="23" t="inlineStr">
        <is>
          <t>M04,M05,M06,M07,M14 (all signals)</t>
        </is>
      </c>
      <c r="K26" s="25" t="inlineStr">
        <is>
          <t>Built</t>
        </is>
      </c>
      <c r="L26" s="23" t="inlineStr">
        <is>
          <t>P0</t>
        </is>
      </c>
      <c r="M26" s="23" t="inlineStr">
        <is>
          <t>Embedded in M01, M20</t>
        </is>
      </c>
    </row>
    <row r="27" ht="110" customHeight="1" s="21">
      <c r="A27" s="27" t="inlineStr">
        <is>
          <t>M35</t>
        </is>
      </c>
      <c r="B27" s="27" t="inlineStr">
        <is>
          <t>Event Impact Engine</t>
        </is>
      </c>
      <c r="C27" s="27" t="inlineStr">
        <is>
          <t>S2: Market Intel</t>
        </is>
      </c>
      <c r="D27" s="27" t="inlineStr">
        <is>
          <t>Intelligence</t>
        </is>
      </c>
      <c r="E27" s="27" t="inlineStr">
        <is>
          <t>Event taxonomy + playbook library. Captures structured events (employer announcements, supply shocks, regulatory changes) and measures historical impacts on metrics over time. Provides per-event-type forecast distributions for new events. Includes calibration ledger that backtests forecasts against realizations.</t>
        </is>
      </c>
      <c r="F27" s="27" t="inlineStr">
        <is>
          <t>No</t>
        </is>
      </c>
      <c r="G27" s="27" t="inlineStr">
        <is>
          <t>—</t>
        </is>
      </c>
      <c r="H27" s="27" t="inlineStr">
        <is>
          <t>Event library, per-subtype playbooks, forecast distributions, backtest reports, calibration metrics, anomaly attribution</t>
        </is>
      </c>
      <c r="I27" s="27" t="inlineStr">
        <is>
          <t>M06,M04,M05,M09,M14,M36</t>
        </is>
      </c>
      <c r="J27" s="27" t="inlineStr">
        <is>
          <t>News API, M19 news pipeline, manual submission, M36 anomaly feed</t>
        </is>
      </c>
      <c r="K27" s="27" t="inlineStr">
        <is>
          <t>New (specced)</t>
        </is>
      </c>
      <c r="L27" s="27" t="inlineStr">
        <is>
          <t>P0</t>
        </is>
      </c>
      <c r="M27" s="27" t="inlineStr">
        <is>
          <t>Deal Capsule events tab + Market Intelligence pages</t>
        </is>
      </c>
    </row>
    <row r="28" ht="110" customHeight="1" s="21">
      <c r="A28" s="27" t="inlineStr">
        <is>
          <t>M36</t>
        </is>
      </c>
      <c r="B28" s="27" t="inlineStr">
        <is>
          <t>Joint Distribution Engine</t>
        </is>
      </c>
      <c r="C28" s="27" t="inlineStr">
        <is>
          <t>S4: Inference</t>
        </is>
      </c>
      <c r="D28" s="27" t="inlineStr">
        <is>
          <t>Core</t>
        </is>
      </c>
      <c r="E28" s="27" t="inlineStr">
        <is>
          <t>Owns multivariate covariance Σ over all platform metrics. Provides plausibility scoring (Mahalanobis distance), goal-seeking optimization (constrained Σ minimization), conditional forecasting, factor decomposition, regime classification, stress testing. Structural backbone for M14, M10, M35 propagation, Cashflow Agent reasoning.</t>
        </is>
      </c>
      <c r="F28" s="27" t="inlineStr">
        <is>
          <t>No</t>
        </is>
      </c>
      <c r="G28" s="27" t="inlineStr">
        <is>
          <t>—</t>
        </is>
      </c>
      <c r="H28" s="27" t="inlineStr">
        <is>
          <t>Σ matrix per regime/asset class/scope, factor loadings B, regime probabilities, plausibility scores, goal-seek Pareto frontiers, conditional distributions, stress test outputs</t>
        </is>
      </c>
      <c r="I28" s="27" t="inlineStr">
        <is>
          <t>M14,M10,M35,M08,M09,M25</t>
        </is>
      </c>
      <c r="J28" s="27" t="inlineStr">
        <is>
          <t>M04,M05,M06,M07 metric time series, FRED, BLS macro indicators</t>
        </is>
      </c>
      <c r="K28" s="27" t="inlineStr">
        <is>
          <t>New (specced)</t>
        </is>
      </c>
      <c r="L28" s="27" t="inlineStr">
        <is>
          <t>P0</t>
        </is>
      </c>
      <c r="M28" s="27" t="inlineStr">
        <is>
          <t>Internal service + admin dashboard; surfaces in M09 plausibility badges</t>
        </is>
      </c>
    </row>
    <row r="29" ht="110" customHeight="1" s="21">
      <c r="A29" s="27" t="inlineStr">
        <is>
          <t>M37</t>
        </is>
      </c>
      <c r="B29" s="27" t="inlineStr">
        <is>
          <t>Cross-Market Analog Engine</t>
        </is>
      </c>
      <c r="C29" s="27" t="inlineStr">
        <is>
          <t>S4: Inference</t>
        </is>
      </c>
      <c r="D29" s="27" t="inlineStr">
        <is>
          <t>Core</t>
        </is>
      </c>
      <c r="E29" s="27" t="inlineStr">
        <is>
          <t>Given an event in a market, finds analog events in other markets weighted by market similarity (M36 factor loadings + spatial kernel) and regime similarity. Returns calibrated forecast distributions for subject market. Bidirectional: also supports market-profile-driven analog lookup. Transfer learning across geographic dimension.</t>
        </is>
      </c>
      <c r="F29" s="27" t="inlineStr">
        <is>
          <t>No</t>
        </is>
      </c>
      <c r="G29" s="27" t="inlineStr">
        <is>
          <t>—</t>
        </is>
      </c>
      <c r="H29" s="27" t="inlineStr">
        <is>
          <t>Ranked analog list, weighted forecast distribution, similarity scores, confidence intervals, source event references</t>
        </is>
      </c>
      <c r="I29" s="27" t="inlineStr">
        <is>
          <t>M06,M09,M14,Cashflow Agent</t>
        </is>
      </c>
      <c r="J29" s="27" t="inlineStr">
        <is>
          <t>M35 event library, M36 Σ + factor loadings, M05 market characteristics</t>
        </is>
      </c>
      <c r="K29" s="27" t="inlineStr">
        <is>
          <t>New (specced)</t>
        </is>
      </c>
      <c r="L29" s="27" t="inlineStr">
        <is>
          <t>P1</t>
        </is>
      </c>
      <c r="M29" s="27" t="inlineStr">
        <is>
          <t>Surfaces inside Cashflow Agent reasoning + M06 demand event details</t>
        </is>
      </c>
    </row>
    <row r="30" ht="110" customHeight="1" s="21">
      <c r="A30" s="27" t="inlineStr">
        <is>
          <t>M38</t>
        </is>
      </c>
      <c r="B30" s="27" t="inlineStr">
        <is>
          <t>Calibration Ledger</t>
        </is>
      </c>
      <c r="C30" s="27" t="inlineStr">
        <is>
          <t>S4: Inference</t>
        </is>
      </c>
      <c r="D30" s="27" t="inlineStr">
        <is>
          <t>Core</t>
        </is>
      </c>
      <c r="E30" s="27" t="inlineStr">
        <is>
          <t>Tracks every prediction with prediction interval. Compares to realized outcomes. Reliability diagrams per agent x asset class x regime x metric. Output: empirical calibration of every output the platform produces. Folds into M35 backtest framework as extension. (See M35_Calibration_Ledger_Addendum.md)</t>
        </is>
      </c>
      <c r="F30" s="27" t="inlineStr">
        <is>
          <t>No</t>
        </is>
      </c>
      <c r="G30" s="27" t="inlineStr">
        <is>
          <t>—</t>
        </is>
      </c>
      <c r="H30" s="27" t="inlineStr">
        <is>
          <t>Reliability diagrams, calibration multipliers, agent-specific accuracy scores, drift alerts</t>
        </is>
      </c>
      <c r="I30" s="27" t="inlineStr">
        <is>
          <t>M14,M36,Cashflow Agent,UI Intel Agent</t>
        </is>
      </c>
      <c r="J30" s="27" t="inlineStr">
        <is>
          <t>All prediction-emitting modules, M22 actuals</t>
        </is>
      </c>
      <c r="K30" s="27" t="inlineStr">
        <is>
          <t>New (specced)</t>
        </is>
      </c>
      <c r="L30" s="27" t="inlineStr">
        <is>
          <t>P1</t>
        </is>
      </c>
      <c r="M30" s="27" t="inlineStr">
        <is>
          <t>Admin dashboard + confidence indicators in user UI</t>
        </is>
      </c>
    </row>
  </sheetData>
  <autoFilter ref="A1:M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D4A7A"/>
    <outlinePr summaryBelow="1" summaryRight="1"/>
    <pageSetUpPr fitToPage="0"/>
  </sheetPr>
  <dimension ref="A1:K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30" customWidth="1" style="20" min="2" max="2"/>
    <col width="14" customWidth="1" style="20" min="3" max="4"/>
    <col width="65" customWidth="1" style="20" min="5" max="5"/>
    <col width="50" customWidth="1" style="20" min="6" max="6"/>
    <col width="40" customWidth="1" style="20" min="7" max="7"/>
    <col width="14" customWidth="1" style="20" min="8" max="8"/>
    <col width="22" customWidth="1" style="20" min="9" max="9"/>
    <col width="16" customWidth="1" style="20" min="10" max="10"/>
    <col width="12" customWidth="1" style="20" min="11" max="11"/>
  </cols>
  <sheetData>
    <row r="1" ht="26.25" customHeight="1" s="21">
      <c r="A1" s="22" t="inlineStr">
        <is>
          <t>Formula ID</t>
        </is>
      </c>
      <c r="B1" s="22" t="inlineStr">
        <is>
          <t>Formula Name</t>
        </is>
      </c>
      <c r="C1" s="22" t="inlineStr">
        <is>
          <t>Module(s)</t>
        </is>
      </c>
      <c r="D1" s="22" t="inlineStr">
        <is>
          <t>Category</t>
        </is>
      </c>
      <c r="E1" s="22" t="inlineStr">
        <is>
          <t>Formula / Calculation</t>
        </is>
      </c>
      <c r="F1" s="22" t="inlineStr">
        <is>
          <t>Input Variables</t>
        </is>
      </c>
      <c r="G1" s="22" t="inlineStr">
        <is>
          <t>Output</t>
        </is>
      </c>
      <c r="H1" s="22" t="inlineStr">
        <is>
          <t>Unit</t>
        </is>
      </c>
      <c r="I1" s="22" t="inlineStr">
        <is>
          <t>Update Trigger</t>
        </is>
      </c>
      <c r="J1" s="22" t="inlineStr">
        <is>
          <t>Agent Required?</t>
        </is>
      </c>
      <c r="K1" s="22" t="inlineStr">
        <is>
          <t>Status</t>
        </is>
      </c>
    </row>
    <row r="2" ht="23.25" customHeight="1" s="21">
      <c r="A2" s="23" t="inlineStr">
        <is>
          <t>F01</t>
        </is>
      </c>
      <c r="B2" s="23" t="inlineStr">
        <is>
          <t>JEDI Score (Composite)</t>
        </is>
      </c>
      <c r="C2" s="23" t="inlineStr">
        <is>
          <t>M25</t>
        </is>
      </c>
      <c r="D2" s="23" t="inlineStr">
        <is>
          <t>Scoring</t>
        </is>
      </c>
      <c r="E2" s="23" t="inlineStr">
        <is>
          <t>(demand × 0.30) + (Supply × 0.25) + (Momentum × 0.20) + (Position × 0.15) + (Risk × 0.10))</t>
        </is>
      </c>
      <c r="F2" s="23" t="inlineStr">
        <is>
          <t>demand_score, supply_score, momentum_score, position_score, risk_score (each 0-100)</t>
        </is>
      </c>
      <c r="G2" s="23" t="inlineStr">
        <is>
          <t>jedi_score (0-100)</t>
        </is>
      </c>
      <c r="H2" s="23" t="inlineStr">
        <is>
          <t>Score</t>
        </is>
      </c>
      <c r="I2" s="23" t="inlineStr">
        <is>
          <t>On any sub-score change</t>
        </is>
      </c>
      <c r="J2" s="23" t="inlineStr">
        <is>
          <t>No</t>
        </is>
      </c>
      <c r="K2" s="25" t="inlineStr">
        <is>
          <t>Built</t>
        </is>
      </c>
    </row>
    <row r="3" ht="23.25" customHeight="1" s="21">
      <c r="A3" s="23" t="inlineStr">
        <is>
          <t>F02</t>
        </is>
      </c>
      <c r="B3" s="23" t="inlineStr">
        <is>
          <t>Demand Sub-Score</t>
        </is>
      </c>
      <c r="C3" s="23" t="inlineStr">
        <is>
          <t>M06,M25</t>
        </is>
      </c>
      <c r="D3" s="23" t="inlineStr">
        <is>
          <t>Scoring</t>
        </is>
      </c>
      <c r="E3" s="23" t="inlineStr">
        <is>
          <t>σ(event_impact × confidence_weight × distance_decay) / normalizer
where distance_decay = 1 / (1 + distance_miles/5))</t>
        </is>
      </c>
      <c r="F3" s="23" t="inlineStr">
        <is>
          <t>demand_events[], confidence (H=1.0,M=0.7,L=0.4), distance_miles</t>
        </is>
      </c>
      <c r="G3" s="23" t="inlineStr">
        <is>
          <t>demand_score (0-100)</t>
        </is>
      </c>
      <c r="H3" s="23" t="inlineStr">
        <is>
          <t>Score</t>
        </is>
      </c>
      <c r="I3" s="23" t="inlineStr">
        <is>
          <t>On new demand event</t>
        </is>
      </c>
      <c r="J3" s="23" t="inlineStr">
        <is>
          <t>No</t>
        </is>
      </c>
      <c r="K3" s="25" t="inlineStr">
        <is>
          <t>Built</t>
        </is>
      </c>
    </row>
    <row r="4" ht="15" customHeight="1" s="21">
      <c r="A4" s="23" t="inlineStr">
        <is>
          <t>F03</t>
        </is>
      </c>
      <c r="B4" s="23" t="inlineStr">
        <is>
          <t>Supply Sub-Score</t>
        </is>
      </c>
      <c r="C4" s="23" t="inlineStr">
        <is>
          <t>M04,M25</t>
        </is>
      </c>
      <c r="D4" s="23" t="inlineStr">
        <is>
          <t>Scoring</t>
        </is>
      </c>
      <c r="E4" s="23" t="inlineStr">
        <is>
          <t>100 - (supply_pressure × 100)
where supply_pressure = pipeline_units / (existing_units × absorption_rate × 12))</t>
        </is>
      </c>
      <c r="F4" s="23" t="inlineStr">
        <is>
          <t>pipeline_units, existing_units, annual_absorption_rate</t>
        </is>
      </c>
      <c r="G4" s="23" t="inlineStr">
        <is>
          <t>supply_score (0-100)</t>
        </is>
      </c>
      <c r="H4" s="23" t="inlineStr">
        <is>
          <t>Score</t>
        </is>
      </c>
      <c r="I4" s="23" t="inlineStr">
        <is>
          <t>On new supply event</t>
        </is>
      </c>
      <c r="J4" s="23" t="inlineStr">
        <is>
          <t>Yes (Supply)</t>
        </is>
      </c>
      <c r="K4" s="25" t="inlineStr">
        <is>
          <t>Built</t>
        </is>
      </c>
    </row>
    <row r="5" ht="15" customHeight="1" s="21">
      <c r="A5" s="23" t="inlineStr">
        <is>
          <t>F04</t>
        </is>
      </c>
      <c r="B5" s="23" t="inlineStr">
        <is>
          <t>Momentum Sub-Score</t>
        </is>
      </c>
      <c r="C5" s="23" t="inlineStr">
        <is>
          <t>M05,M25</t>
        </is>
      </c>
      <c r="D5" s="23" t="inlineStr">
        <is>
          <t>Scoring</t>
        </is>
      </c>
      <c r="E5" s="23" t="inlineStr">
        <is>
          <t>(rent_growth_percentile × 0.4) + (transaction_velocity_percentile × 0.3) + (sentiment_score × 0.3))</t>
        </is>
      </c>
      <c r="F5" s="23" t="inlineStr">
        <is>
          <t>rent_growth_rate, transaction_count, market_sentiment</t>
        </is>
      </c>
      <c r="G5" s="23" t="inlineStr">
        <is>
          <t>momentum_score (0-100)</t>
        </is>
      </c>
      <c r="H5" s="23" t="inlineStr">
        <is>
          <t>Score</t>
        </is>
      </c>
      <c r="I5" s="23" t="inlineStr">
        <is>
          <t>Monthly recalc</t>
        </is>
      </c>
      <c r="J5" s="23" t="inlineStr">
        <is>
          <t>No</t>
        </is>
      </c>
      <c r="K5" s="26" t="inlineStr">
        <is>
          <t>Partial</t>
        </is>
      </c>
    </row>
    <row r="6" ht="23.25" customHeight="1" s="21">
      <c r="A6" s="23" t="inlineStr">
        <is>
          <t>F05</t>
        </is>
      </c>
      <c r="B6" s="23" t="inlineStr">
        <is>
          <t>Position Sub-Score</t>
        </is>
      </c>
      <c r="C6" s="23" t="inlineStr">
        <is>
          <t>M05,M25</t>
        </is>
      </c>
      <c r="D6" s="23" t="inlineStr">
        <is>
          <t>Scoring</t>
        </is>
      </c>
      <c r="E6" s="23" t="inlineStr">
        <is>
          <t>(submarket_rank_percentile × 0.5) + (amenity_score × 0.25) + (competitive_position × 0.25))</t>
        </is>
      </c>
      <c r="F6" s="23" t="inlineStr">
        <is>
          <t>submarket_rank, amenity_proximity_scores[], comp_set_position</t>
        </is>
      </c>
      <c r="G6" s="23" t="inlineStr">
        <is>
          <t>position_score (0-100)</t>
        </is>
      </c>
      <c r="H6" s="23" t="inlineStr">
        <is>
          <t>Score</t>
        </is>
      </c>
      <c r="I6" s="23" t="inlineStr">
        <is>
          <t>On property change</t>
        </is>
      </c>
      <c r="J6" s="23" t="inlineStr">
        <is>
          <t>No</t>
        </is>
      </c>
      <c r="K6" s="26" t="inlineStr">
        <is>
          <t>Partial</t>
        </is>
      </c>
    </row>
    <row r="7" ht="23.25" customHeight="1" s="21">
      <c r="A7" s="23" t="inlineStr">
        <is>
          <t>F06</t>
        </is>
      </c>
      <c r="B7" s="23" t="inlineStr">
        <is>
          <t>Risk Sub-Score (Composite)</t>
        </is>
      </c>
      <c r="C7" s="23" t="inlineStr">
        <is>
          <t>M14,M25</t>
        </is>
      </c>
      <c r="D7" s="23" t="inlineStr">
        <is>
          <t>Scoring</t>
        </is>
      </c>
      <c r="E7" s="23" t="inlineStr">
        <is>
          <t>(supply_risk × 0.35) + (demand_risk × 0.35) + (regulatory × 0.10) + (market × 0.10) + (execution × 0.05) + (climate × 0.05))</t>
        </is>
      </c>
      <c r="F7" s="23" t="inlineStr">
        <is>
          <t>supply_risk, demand_risk, regulatory_risk, market_risk, execution_risk, climate_risk</t>
        </is>
      </c>
      <c r="G7" s="23" t="inlineStr">
        <is>
          <t>risk_score (0-100, inverted: lower risk = higher score)</t>
        </is>
      </c>
      <c r="H7" s="23" t="inlineStr">
        <is>
          <t>Score</t>
        </is>
      </c>
      <c r="I7" s="23" t="inlineStr">
        <is>
          <t>On risk factor change</t>
        </is>
      </c>
      <c r="J7" s="23" t="inlineStr">
        <is>
          <t>No</t>
        </is>
      </c>
      <c r="K7" s="25" t="inlineStr">
        <is>
          <t>Built</t>
        </is>
      </c>
    </row>
    <row r="8" ht="23.25" customHeight="1" s="21">
      <c r="A8" s="23" t="inlineStr">
        <is>
          <t>F07</t>
        </is>
      </c>
      <c r="B8" s="23" t="inlineStr">
        <is>
          <t>Supply Pressure Ratio</t>
        </is>
      </c>
      <c r="C8" s="23" t="inlineStr">
        <is>
          <t>M04</t>
        </is>
      </c>
      <c r="D8" s="23" t="inlineStr">
        <is>
          <t>Supply</t>
        </is>
      </c>
      <c r="E8" s="23" t="inlineStr">
        <is>
          <t>pipeline_units / (existing_units × annual_absorption_rate))</t>
        </is>
      </c>
      <c r="F8" s="23" t="inlineStr">
        <is>
          <t>pipeline_units (permitted + under_construction), existing_units, absorption_rate</t>
        </is>
      </c>
      <c r="G8" s="23" t="inlineStr">
        <is>
          <t>supply_pressure (ratio, &gt;1.0 = oversupply)</t>
        </is>
      </c>
      <c r="H8" s="23" t="inlineStr">
        <is>
          <t>Ratio</t>
        </is>
      </c>
      <c r="I8" s="23" t="inlineStr">
        <is>
          <t>On supply event</t>
        </is>
      </c>
      <c r="J8" s="23" t="inlineStr">
        <is>
          <t>Yes (Supply)</t>
        </is>
      </c>
      <c r="K8" s="25" t="inlineStr">
        <is>
          <t>Built</t>
        </is>
      </c>
    </row>
    <row r="9" ht="15" customHeight="1" s="21">
      <c r="A9" s="23" t="inlineStr">
        <is>
          <t>F08</t>
        </is>
      </c>
      <c r="B9" s="23" t="inlineStr">
        <is>
          <t>Months of Supply</t>
        </is>
      </c>
      <c r="C9" s="23" t="inlineStr">
        <is>
          <t>M04</t>
        </is>
      </c>
      <c r="D9" s="23" t="inlineStr">
        <is>
          <t>Supply</t>
        </is>
      </c>
      <c r="E9" s="23" t="inlineStr">
        <is>
          <t>pipeline_units / monthly_absorption
where monthly_absorption = existing_units × (absorption_rate / 12)</t>
        </is>
      </c>
      <c r="F9" s="23" t="inlineStr">
        <is>
          <t>pipeline_units, existing_units, absorption_rate</t>
        </is>
      </c>
      <c r="G9" s="23" t="inlineStr">
        <is>
          <t>months_to_absorb</t>
        </is>
      </c>
      <c r="H9" s="23" t="inlineStr">
        <is>
          <t>Months</t>
        </is>
      </c>
      <c r="I9" s="23" t="inlineStr">
        <is>
          <t>On supply event</t>
        </is>
      </c>
      <c r="J9" s="23" t="inlineStr">
        <is>
          <t>Yes (Supply)</t>
        </is>
      </c>
      <c r="K9" s="25" t="inlineStr">
        <is>
          <t>Built</t>
        </is>
      </c>
    </row>
    <row r="10" ht="34.5" customHeight="1" s="21">
      <c r="A10" s="23" t="inlineStr">
        <is>
          <t>F09</t>
        </is>
      </c>
      <c r="B10" s="23" t="inlineStr">
        <is>
          <t>Supply Risk Score</t>
        </is>
      </c>
      <c r="C10" s="23" t="inlineStr">
        <is>
          <t>M04,M14</t>
        </is>
      </c>
      <c r="D10" s="23" t="inlineStr">
        <is>
          <t>Supply</t>
        </is>
      </c>
      <c r="E10" s="23" t="inlineStr">
        <is>
          <t>Base = min(100, months_to_absorb × 10)
+ escalation (luxury concentration &gt;40%: +15, single developer &gt;30%: +10)
- de-escalation (absorption acceleration: -10)</t>
        </is>
      </c>
      <c r="F10" s="23" t="inlineStr">
        <is>
          <t>months_to_absorb, luxury_pct, developer_concentration, absorption_trend</t>
        </is>
      </c>
      <c r="G10" s="23" t="inlineStr">
        <is>
          <t>supply_risk_score (0-100)</t>
        </is>
      </c>
      <c r="H10" s="23" t="inlineStr">
        <is>
          <t>Score</t>
        </is>
      </c>
      <c r="I10" s="23" t="inlineStr">
        <is>
          <t>On supply event</t>
        </is>
      </c>
      <c r="J10" s="23" t="inlineStr">
        <is>
          <t>Yes (Supply)</t>
        </is>
      </c>
      <c r="K10" s="25" t="inlineStr">
        <is>
          <t>Built</t>
        </is>
      </c>
    </row>
    <row r="11" ht="23.25" customHeight="1" s="21">
      <c r="A11" s="23" t="inlineStr">
        <is>
          <t>F10</t>
        </is>
      </c>
      <c r="B11" s="23" t="inlineStr">
        <is>
          <t>Housing Demand Conversion</t>
        </is>
      </c>
      <c r="C11" s="23" t="inlineStr">
        <is>
          <t>M06</t>
        </is>
      </c>
      <c r="D11" s="23" t="inlineStr">
        <is>
          <t>Demand</t>
        </is>
      </c>
      <c r="E11" s="23" t="inlineStr">
        <is>
          <t>people_count × conversion_rate × (1 - remote_work_pct) × geographic_concentration
Conversion rates: Employment=0.3, University=0.8, Military=0.9</t>
        </is>
      </c>
      <c r="F11" s="23" t="inlineStr">
        <is>
          <t>people_count, category, remote_work_pct, geographic_concentration</t>
        </is>
      </c>
      <c r="G11" s="23" t="inlineStr">
        <is>
          <t>total_housing_units_demanded</t>
        </is>
      </c>
      <c r="H11" s="23" t="inlineStr">
        <is>
          <t>Units</t>
        </is>
      </c>
      <c r="I11" s="23" t="inlineStr">
        <is>
          <t>On news event</t>
        </is>
      </c>
      <c r="J11" s="23" t="inlineStr">
        <is>
          <t>No</t>
        </is>
      </c>
      <c r="K11" s="25" t="inlineStr">
        <is>
          <t>Built</t>
        </is>
      </c>
    </row>
    <row r="12" ht="34.5" customHeight="1" s="21">
      <c r="A12" s="23" t="inlineStr">
        <is>
          <t>F11</t>
        </is>
      </c>
      <c r="B12" s="23" t="inlineStr">
        <is>
          <t>Demand Phasing (Quarterly)</t>
        </is>
      </c>
      <c r="C12" s="23" t="inlineStr">
        <is>
          <t>M06</t>
        </is>
      </c>
      <c r="D12" s="23" t="inlineStr">
        <is>
          <t>Demand</t>
        </is>
      </c>
      <c r="E12" s="23" t="inlineStr">
        <is>
          <t>Phasing templates by category:
Employment: Q1=10%, Q2=25%, Q3=35%, Q4=30%
University: Q1=5%, Q2=10%, Q3=70%, Q4=15%</t>
        </is>
      </c>
      <c r="F12" s="23" t="inlineStr">
        <is>
          <t>total_units, category, start_date</t>
        </is>
      </c>
      <c r="G12" s="23" t="inlineStr">
        <is>
          <t>quarterly_demand_projections[]</t>
        </is>
      </c>
      <c r="H12" s="23" t="inlineStr">
        <is>
          <t>Units/Qtr</t>
        </is>
      </c>
      <c r="I12" s="23" t="inlineStr">
        <is>
          <t>On event creation</t>
        </is>
      </c>
      <c r="J12" s="23" t="inlineStr">
        <is>
          <t>No</t>
        </is>
      </c>
      <c r="K12" s="25" t="inlineStr">
        <is>
          <t>Built</t>
        </is>
      </c>
    </row>
    <row r="13" ht="45.75" customHeight="1" s="21">
      <c r="A13" s="23" t="inlineStr">
        <is>
          <t>F12</t>
        </is>
      </c>
      <c r="B13" s="23" t="inlineStr">
        <is>
          <t>Income Tier Stratification</t>
        </is>
      </c>
      <c r="C13" s="23" t="inlineStr">
        <is>
          <t>M06</t>
        </is>
      </c>
      <c r="D13" s="23" t="inlineStr">
        <is>
          <t>Demand</t>
        </is>
      </c>
      <c r="E13" s="23" t="inlineStr">
        <is>
          <t>Low (&lt;$40k): affordable_pct=60%, workforce=30%, luxury=10%
Standard ($40-80k): 20%/60%/20%
High ($80-150k): 10%/40%/50%
Luxury (&gt;$150k): 5%/15%/80%</t>
        </is>
      </c>
      <c r="F13" s="23" t="inlineStr">
        <is>
          <t>income_tier, total_units</t>
        </is>
      </c>
      <c r="G13" s="23" t="inlineStr">
        <is>
          <t>units_by_tier (affordable, workforce, market, luxury)</t>
        </is>
      </c>
      <c r="H13" s="23" t="inlineStr">
        <is>
          <t>Units</t>
        </is>
      </c>
      <c r="I13" s="23" t="inlineStr">
        <is>
          <t>On event creation</t>
        </is>
      </c>
      <c r="J13" s="23" t="inlineStr">
        <is>
          <t>No</t>
        </is>
      </c>
      <c r="K13" s="25" t="inlineStr">
        <is>
          <t>Built</t>
        </is>
      </c>
    </row>
    <row r="14" ht="15" customHeight="1" s="21">
      <c r="A14" s="23" t="inlineStr">
        <is>
          <t>F13</t>
        </is>
      </c>
      <c r="B14" s="23" t="inlineStr">
        <is>
          <t>Zoning Utilization %</t>
        </is>
      </c>
      <c r="C14" s="23" t="inlineStr">
        <is>
          <t>M02</t>
        </is>
      </c>
      <c r="D14" s="23" t="inlineStr">
        <is>
          <t>Zoning</t>
        </is>
      </c>
      <c r="E14" s="23" t="inlineStr">
        <is>
          <t>(current_units / max_allowed_units) × 100
where max_allowed_units = land_area × max_density</t>
        </is>
      </c>
      <c r="F14" s="23" t="inlineStr">
        <is>
          <t>current_units, land_area_acres, max_density_per_acre</t>
        </is>
      </c>
      <c r="G14" s="23" t="inlineStr">
        <is>
          <t>zoning_utilization_pct</t>
        </is>
      </c>
      <c r="H14" s="23" t="inlineStr">
        <is>
          <t>%</t>
        </is>
      </c>
      <c r="I14" s="23" t="inlineStr">
        <is>
          <t>On zoning data update</t>
        </is>
      </c>
      <c r="J14" s="23" t="inlineStr">
        <is>
          <t>Yes (Zoning)</t>
        </is>
      </c>
      <c r="K14" s="25" t="inlineStr">
        <is>
          <t>Built</t>
        </is>
      </c>
    </row>
    <row r="15" ht="45.75" customHeight="1" s="21">
      <c r="A15" s="23" t="inlineStr">
        <is>
          <t>F14</t>
        </is>
      </c>
      <c r="B15" s="23" t="inlineStr">
        <is>
          <t>Building Envelope (As-of-Right)</t>
        </is>
      </c>
      <c r="C15" s="23" t="inlineStr">
        <is>
          <t>M03</t>
        </is>
      </c>
      <c r="D15" s="23" t="inlineStr">
        <is>
          <t>Development</t>
        </is>
      </c>
      <c r="E15" s="23" t="inlineStr">
        <is>
          <t>buildable_area = land_area - setback_area
max_GFA = buildable_area × FAR
max_units = max_GFA / avg_unit_size
parking = max_units × parking_ratio</t>
        </is>
      </c>
      <c r="F15" s="23" t="inlineStr">
        <is>
          <t>land_area, setbacks (F/S/R), FAR, max_height, avg_unit_size, parking_ratio</t>
        </is>
      </c>
      <c r="G15" s="23" t="inlineStr">
        <is>
          <t>max_units, max_GFA, building_height, parking_spaces</t>
        </is>
      </c>
      <c r="H15" s="23" t="inlineStr">
        <is>
          <t>Units/SF</t>
        </is>
      </c>
      <c r="I15" s="23" t="inlineStr">
        <is>
          <t>On zoning change</t>
        </is>
      </c>
      <c r="J15" s="23" t="inlineStr">
        <is>
          <t>No</t>
        </is>
      </c>
      <c r="K15" s="26" t="inlineStr">
        <is>
          <t>Partial</t>
        </is>
      </c>
    </row>
    <row r="16" ht="23.25" customHeight="1" s="21">
      <c r="A16" s="23" t="inlineStr">
        <is>
          <t>F15</t>
        </is>
      </c>
      <c r="B16" s="23" t="inlineStr">
        <is>
          <t>Development Capacity Gap</t>
        </is>
      </c>
      <c r="C16" s="23" t="inlineStr">
        <is>
          <t>M03</t>
        </is>
      </c>
      <c r="D16" s="23" t="inlineStr">
        <is>
          <t>Development</t>
        </is>
      </c>
      <c r="E16" s="23" t="inlineStr">
        <is>
          <t>max_buildable_units - existing_units
10yr gap = (projected_demand × 10) - (existing + pipeline))</t>
        </is>
      </c>
      <c r="F16" s="23" t="inlineStr">
        <is>
          <t>max_buildable_units, existing_units, projected_annual_demand, pipeline_units</t>
        </is>
      </c>
      <c r="G16" s="23" t="inlineStr">
        <is>
          <t>capacity_gap_units, 10yr_supply_gap</t>
        </is>
      </c>
      <c r="H16" s="23" t="inlineStr">
        <is>
          <t>Units</t>
        </is>
      </c>
      <c r="I16" s="23" t="inlineStr">
        <is>
          <t>On demand/supply change</t>
        </is>
      </c>
      <c r="J16" s="23" t="inlineStr">
        <is>
          <t>No</t>
        </is>
      </c>
      <c r="K16" s="26" t="inlineStr">
        <is>
          <t>Partial</t>
        </is>
      </c>
    </row>
    <row r="17" ht="15" customHeight="1" s="21">
      <c r="A17" s="23" t="inlineStr">
        <is>
          <t>F16</t>
        </is>
      </c>
      <c r="B17" s="23" t="inlineStr">
        <is>
          <t>Net Operating Income (NOI)</t>
        </is>
      </c>
      <c r="C17" s="23" t="inlineStr">
        <is>
          <t>M09</t>
        </is>
      </c>
      <c r="D17" s="23" t="inlineStr">
        <is>
          <t>Financial</t>
        </is>
      </c>
      <c r="E17" s="23" t="inlineStr">
        <is>
          <t>effective gross income - operating expenses
egi = (units × avg_rent × 12) × (1 - vacancy) + other_income
OpEx = EGI × opex_ratio)</t>
        </is>
      </c>
      <c r="F17" s="23" t="inlineStr">
        <is>
          <t>units, avg_rent, vacancy_rate, other_income, opex_ratio</t>
        </is>
      </c>
      <c r="G17" s="23" t="inlineStr">
        <is>
          <t>NOI (annual)</t>
        </is>
      </c>
      <c r="H17" s="23" t="inlineStr">
        <is>
          <t>$</t>
        </is>
      </c>
      <c r="I17" s="23" t="inlineStr">
        <is>
          <t>On assumption change</t>
        </is>
      </c>
      <c r="J17" s="23" t="inlineStr">
        <is>
          <t>No</t>
        </is>
      </c>
      <c r="K17" s="26" t="inlineStr">
        <is>
          <t>Partial</t>
        </is>
      </c>
    </row>
    <row r="18" ht="15" customHeight="1" s="21">
      <c r="A18" s="23" t="inlineStr">
        <is>
          <t>F17</t>
        </is>
      </c>
      <c r="B18" s="23" t="inlineStr">
        <is>
          <t>Cap Rate (Going-In)</t>
        </is>
      </c>
      <c r="C18" s="23" t="inlineStr">
        <is>
          <t>M09</t>
        </is>
      </c>
      <c r="D18" s="23" t="inlineStr">
        <is>
          <t>Financial</t>
        </is>
      </c>
      <c r="E18" s="23" t="inlineStr">
        <is>
          <t>noi / purchase_price</t>
        </is>
      </c>
      <c r="F18" s="23" t="inlineStr">
        <is>
          <t>NOI_year1, purchase_price</t>
        </is>
      </c>
      <c r="G18" s="23" t="inlineStr">
        <is>
          <t>cap_rate</t>
        </is>
      </c>
      <c r="H18" s="23" t="inlineStr">
        <is>
          <t>%</t>
        </is>
      </c>
      <c r="I18" s="23" t="inlineStr">
        <is>
          <t>On price or NOI change</t>
        </is>
      </c>
      <c r="J18" s="23" t="inlineStr">
        <is>
          <t>No</t>
        </is>
      </c>
      <c r="K18" s="26" t="inlineStr">
        <is>
          <t>Partial</t>
        </is>
      </c>
    </row>
    <row r="19" ht="15" customHeight="1" s="21">
      <c r="A19" s="23" t="inlineStr">
        <is>
          <t>F18</t>
        </is>
      </c>
      <c r="B19" s="23" t="inlineStr">
        <is>
          <t>Cash-on-Cash Return</t>
        </is>
      </c>
      <c r="C19" s="23" t="inlineStr">
        <is>
          <t>M09</t>
        </is>
      </c>
      <c r="D19" s="23" t="inlineStr">
        <is>
          <t>Financial</t>
        </is>
      </c>
      <c r="E19" s="23" t="inlineStr">
        <is>
          <t>annual_before_tax_cash_flow / total_equity_invested
btcf = noi - debt_service</t>
        </is>
      </c>
      <c r="F19" s="23" t="inlineStr">
        <is>
          <t>NOI, annual_debt_service, total_equity</t>
        </is>
      </c>
      <c r="G19" s="23" t="inlineStr">
        <is>
          <t>coc_return</t>
        </is>
      </c>
      <c r="H19" s="23" t="inlineStr">
        <is>
          <t>%</t>
        </is>
      </c>
      <c r="I19" s="23" t="inlineStr">
        <is>
          <t>On financial change</t>
        </is>
      </c>
      <c r="J19" s="23" t="inlineStr">
        <is>
          <t>No</t>
        </is>
      </c>
      <c r="K19" s="26" t="inlineStr">
        <is>
          <t>Partial</t>
        </is>
      </c>
    </row>
    <row r="20" ht="23.25" customHeight="1" s="21">
      <c r="A20" s="23" t="inlineStr">
        <is>
          <t>F19</t>
        </is>
      </c>
      <c r="B20" s="23" t="inlineStr">
        <is>
          <t>IRR (Internal Rate of Return)</t>
        </is>
      </c>
      <c r="C20" s="23" t="inlineStr">
        <is>
          <t>M09</t>
        </is>
      </c>
      <c r="D20" s="23" t="inlineStr">
        <is>
          <t>Financial</t>
        </is>
      </c>
      <c r="E20" s="23" t="inlineStr">
        <is>
          <t>Solve for r: 0 = -equity + Σ(CFt / (1+r)^t) + (sale_proceeds / (1+r)^n)
where CFt = annual cash flow, n = hold period</t>
        </is>
      </c>
      <c r="F20" s="23" t="inlineStr">
        <is>
          <t>initial_equity, annual_cash_flows[], exit_proceeds, hold_years</t>
        </is>
      </c>
      <c r="G20" s="23" t="inlineStr">
        <is>
          <t>irr</t>
        </is>
      </c>
      <c r="H20" s="23" t="inlineStr">
        <is>
          <t>%</t>
        </is>
      </c>
      <c r="I20" s="23" t="inlineStr">
        <is>
          <t>On any financial change</t>
        </is>
      </c>
      <c r="J20" s="23" t="inlineStr">
        <is>
          <t>No</t>
        </is>
      </c>
      <c r="K20" s="26" t="inlineStr">
        <is>
          <t>Partial</t>
        </is>
      </c>
    </row>
    <row r="21" ht="15" customHeight="1" s="21">
      <c r="A21" s="23" t="inlineStr">
        <is>
          <t>F20</t>
        </is>
      </c>
      <c r="B21" s="23" t="inlineStr">
        <is>
          <t>Equity Multiple</t>
        </is>
      </c>
      <c r="C21" s="23" t="inlineStr">
        <is>
          <t>M09</t>
        </is>
      </c>
      <c r="D21" s="23" t="inlineStr">
        <is>
          <t>Financial</t>
        </is>
      </c>
      <c r="E21" s="23" t="inlineStr">
        <is>
          <t>(total_distributions + exit_proceeds) / total_equity_invested</t>
        </is>
      </c>
      <c r="F21" s="23" t="inlineStr">
        <is>
          <t>annual_cash_flows[], exit_proceeds, total_equity</t>
        </is>
      </c>
      <c r="G21" s="23" t="inlineStr">
        <is>
          <t>equity_multiple</t>
        </is>
      </c>
      <c r="H21" s="23" t="inlineStr">
        <is>
          <t>x</t>
        </is>
      </c>
      <c r="I21" s="23" t="inlineStr">
        <is>
          <t>On financial change</t>
        </is>
      </c>
      <c r="J21" s="23" t="inlineStr">
        <is>
          <t>No</t>
        </is>
      </c>
      <c r="K21" s="26" t="inlineStr">
        <is>
          <t>Partial</t>
        </is>
      </c>
    </row>
    <row r="22" ht="15" customHeight="1" s="21">
      <c r="A22" s="23" t="inlineStr">
        <is>
          <t>F21</t>
        </is>
      </c>
      <c r="B22" s="23" t="inlineStr">
        <is>
          <t>DSCR (Debt Service Coverage)</t>
        </is>
      </c>
      <c r="C22" s="23" t="inlineStr">
        <is>
          <t>M11</t>
        </is>
      </c>
      <c r="D22" s="23" t="inlineStr">
        <is>
          <t>Financial</t>
        </is>
      </c>
      <c r="E22" s="23" t="inlineStr">
        <is>
          <t>noi / annual_debt_service
annual_ds = loan_amount × (rate × (1+rate)^n) / ((1+rate)^n - 1) × 12</t>
        </is>
      </c>
      <c r="F22" s="23" t="inlineStr">
        <is>
          <t>NOI, loan_amount, interest_rate, amortization_years</t>
        </is>
      </c>
      <c r="G22" s="23" t="inlineStr">
        <is>
          <t>dscr (ratio, &gt;1.25 = healthy)</t>
        </is>
      </c>
      <c r="H22" s="23" t="inlineStr">
        <is>
          <t>Ratio</t>
        </is>
      </c>
      <c r="I22" s="23" t="inlineStr">
        <is>
          <t>On NOI or debt change</t>
        </is>
      </c>
      <c r="J22" s="23" t="inlineStr">
        <is>
          <t>No</t>
        </is>
      </c>
      <c r="K22" s="26" t="inlineStr">
        <is>
          <t>Partial</t>
        </is>
      </c>
    </row>
    <row r="23" ht="15" customHeight="1" s="21">
      <c r="A23" s="23" t="inlineStr">
        <is>
          <t>F22</t>
        </is>
      </c>
      <c r="B23" s="23" t="inlineStr">
        <is>
          <t>Debt Yield</t>
        </is>
      </c>
      <c r="C23" s="23" t="inlineStr">
        <is>
          <t>M11</t>
        </is>
      </c>
      <c r="D23" s="23" t="inlineStr">
        <is>
          <t>Financial</t>
        </is>
      </c>
      <c r="E23" s="23" t="inlineStr">
        <is>
          <t>noi / loan_amount</t>
        </is>
      </c>
      <c r="F23" s="23" t="inlineStr">
        <is>
          <t>NOI, loan_amount</t>
        </is>
      </c>
      <c r="G23" s="23" t="inlineStr">
        <is>
          <t>debt_yield</t>
        </is>
      </c>
      <c r="H23" s="23" t="inlineStr">
        <is>
          <t>%</t>
        </is>
      </c>
      <c r="I23" s="23" t="inlineStr">
        <is>
          <t>On NOI or debt change</t>
        </is>
      </c>
      <c r="J23" s="23" t="inlineStr">
        <is>
          <t>No</t>
        </is>
      </c>
      <c r="K23" s="26" t="inlineStr">
        <is>
          <t>Partial</t>
        </is>
      </c>
    </row>
    <row r="24" ht="34.5" customHeight="1" s="21">
      <c r="A24" s="23" t="inlineStr">
        <is>
          <t>F23</t>
        </is>
      </c>
      <c r="B24" s="23" t="inlineStr">
        <is>
          <t>Strategy Score (per strategy)</t>
        </is>
      </c>
      <c r="C24" s="23" t="inlineStr">
        <is>
          <t>M08</t>
        </is>
      </c>
      <c r="D24" s="23" t="inlineStr">
        <is>
          <t>Strategy</t>
        </is>
      </c>
      <c r="E24" s="23" t="inlineStr">
        <is>
          <t>For each strategy (BTS/Flip/Rental/STR):
score = Σ(signal_score × strategy_weight)
Weights vary by strategy per Strategy Matrix</t>
        </is>
      </c>
      <c r="F24" s="23" t="inlineStr">
        <is>
          <t>demand_score, supply_score, momentum_score, position_score, risk_score, strategy_weights{}</t>
        </is>
      </c>
      <c r="G24" s="23" t="inlineStr">
        <is>
          <t>strategy_score (0-100) per strategy</t>
        </is>
      </c>
      <c r="H24" s="23" t="inlineStr">
        <is>
          <t>Score</t>
        </is>
      </c>
      <c r="I24" s="23" t="inlineStr">
        <is>
          <t>On any JEDI sub-score change</t>
        </is>
      </c>
      <c r="J24" s="23" t="inlineStr">
        <is>
          <t>No</t>
        </is>
      </c>
      <c r="K24" s="26" t="inlineStr">
        <is>
          <t>Partial</t>
        </is>
      </c>
    </row>
    <row r="25" ht="23.25" customHeight="1" s="21">
      <c r="A25" s="23" t="inlineStr">
        <is>
          <t>F24</t>
        </is>
      </c>
      <c r="B25" s="23" t="inlineStr">
        <is>
          <t>Arbitrage Opportunity Flag</t>
        </is>
      </c>
      <c r="C25" s="23" t="inlineStr">
        <is>
          <t>M08</t>
        </is>
      </c>
      <c r="D25" s="23" t="inlineStr">
        <is>
          <t>Strategy</t>
        </is>
      </c>
      <c r="E25" s="23" t="inlineStr">
        <is>
          <t>MAX(strategy_scores) - second_max(strategy_scores)
flag if delta &gt; 15 points and max_score &gt; 70</t>
        </is>
      </c>
      <c r="F25" s="23" t="inlineStr">
        <is>
          <t>strategy_scores[4]</t>
        </is>
      </c>
      <c r="G25" s="23" t="inlineStr">
        <is>
          <t>arbitrage_flag (bool), arbitrage_delta, recommended_strategy</t>
        </is>
      </c>
      <c r="H25" s="23" t="inlineStr">
        <is>
          <t>Flag</t>
        </is>
      </c>
      <c r="I25" s="23" t="inlineStr">
        <is>
          <t>On strategy score change</t>
        </is>
      </c>
      <c r="J25" s="23" t="inlineStr">
        <is>
          <t>No</t>
        </is>
      </c>
      <c r="K25" s="24" t="inlineStr">
        <is>
          <t>New</t>
        </is>
      </c>
    </row>
    <row r="26" ht="45.75" customHeight="1" s="21">
      <c r="A26" s="23" t="inlineStr">
        <is>
          <t>F25</t>
        </is>
      </c>
      <c r="B26" s="23" t="inlineStr">
        <is>
          <t>Strategy-Specific ROI</t>
        </is>
      </c>
      <c r="C26" s="23" t="inlineStr">
        <is>
          <t>M08,M09</t>
        </is>
      </c>
      <c r="D26" s="23" t="inlineStr">
        <is>
          <t>Strategy</t>
        </is>
      </c>
      <c r="E26" s="23" t="inlineStr">
        <is>
          <t>BTS: yield_on_cost = stabilized_NOI / total_dev_cost
Flip: profit_margin = (ARV - acquisition - rehab) / (acquisition + rehab)
Rental: CoC = BTCF / equity
STR: RevPAR vs long-term rent premium</t>
        </is>
      </c>
      <c r="F26" s="23" t="inlineStr">
        <is>
          <t>Per strategy: costs, revenues, timelines from M09</t>
        </is>
      </c>
      <c r="G26" s="23" t="inlineStr">
        <is>
          <t>roi_by_strategy[4]</t>
        </is>
      </c>
      <c r="H26" s="23" t="inlineStr">
        <is>
          <t>%</t>
        </is>
      </c>
      <c r="I26" s="23" t="inlineStr">
        <is>
          <t>On financial change</t>
        </is>
      </c>
      <c r="J26" s="23" t="inlineStr">
        <is>
          <t>No</t>
        </is>
      </c>
      <c r="K26" s="26" t="inlineStr">
        <is>
          <t>Partial</t>
        </is>
      </c>
    </row>
    <row r="27" ht="23.25" customHeight="1" s="21">
      <c r="A27" s="23" t="inlineStr">
        <is>
          <t>F26</t>
        </is>
      </c>
      <c r="B27" s="23" t="inlineStr">
        <is>
          <t>Submarket Rank</t>
        </is>
      </c>
      <c r="C27" s="23" t="inlineStr">
        <is>
          <t>M05</t>
        </is>
      </c>
      <c r="D27" s="23" t="inlineStr">
        <is>
          <t>Market</t>
        </is>
      </c>
      <c r="E27" s="23" t="inlineStr">
        <is>
          <t>percentile_rank(rent_growth × 0.3 + absorption × 0.25 + vacancy_inverse × 0.25 + pop_growth × 0.2))</t>
        </is>
      </c>
      <c r="F27" s="23" t="inlineStr">
        <is>
          <t>rent_growth, absorption_rate, vacancy_rate, population_growth_rate</t>
        </is>
      </c>
      <c r="G27" s="23" t="inlineStr">
        <is>
          <t>submarket_rank_percentile (0-100)</t>
        </is>
      </c>
      <c r="H27" s="23" t="inlineStr">
        <is>
          <t>Percentile</t>
        </is>
      </c>
      <c r="I27" s="23" t="inlineStr">
        <is>
          <t>Monthly</t>
        </is>
      </c>
      <c r="J27" s="23" t="inlineStr">
        <is>
          <t>No</t>
        </is>
      </c>
      <c r="K27" s="24" t="inlineStr">
        <is>
          <t>New</t>
        </is>
      </c>
    </row>
    <row r="28" ht="23.25" customHeight="1" s="21">
      <c r="A28" s="23" t="inlineStr">
        <is>
          <t>F27</t>
        </is>
      </c>
      <c r="B28" s="23" t="inlineStr">
        <is>
          <t>Rent Comp Analysis</t>
        </is>
      </c>
      <c r="C28" s="23" t="inlineStr">
        <is>
          <t>M05,M15</t>
        </is>
      </c>
      <c r="D28" s="23" t="inlineStr">
        <is>
          <t>Market</t>
        </is>
      </c>
      <c r="E28" s="23" t="inlineStr">
        <is>
          <t>subject_rent_psf / avg_comp_rent_psf
premium/discount = (subject - avg_comp) / avg_comp × 100</t>
        </is>
      </c>
      <c r="F28" s="23" t="inlineStr">
        <is>
          <t>subject_property_rent, comp_rents[], comp_sizes[], comp_amenities[]</t>
        </is>
      </c>
      <c r="G28" s="23" t="inlineStr">
        <is>
          <t>rent_premium_pct, comp_position</t>
        </is>
      </c>
      <c r="H28" s="23" t="inlineStr">
        <is>
          <t>%</t>
        </is>
      </c>
      <c r="I28" s="23" t="inlineStr">
        <is>
          <t>On comp data update</t>
        </is>
      </c>
      <c r="J28" s="23" t="inlineStr">
        <is>
          <t>No</t>
        </is>
      </c>
      <c r="K28" s="26" t="inlineStr">
        <is>
          <t>Partial</t>
        </is>
      </c>
    </row>
    <row r="29" ht="23.25" customHeight="1" s="21">
      <c r="A29" s="23" t="inlineStr">
        <is>
          <t>F28</t>
        </is>
      </c>
      <c r="B29" s="23" t="inlineStr">
        <is>
          <t>Traffic-to-Lease Prediction</t>
        </is>
      </c>
      <c r="C29" s="23" t="inlineStr">
        <is>
          <t>M07</t>
        </is>
      </c>
      <c r="D29" s="23" t="inlineStr">
        <is>
          <t>Traffic</t>
        </is>
      </c>
      <c r="E29" s="23" t="inlineStr">
        <is>
          <t>predicted_leases = β0 + β1(drive_bys) + β2(web_visits) + β3(search_volume)
Train with user-contributed actual lease data</t>
        </is>
      </c>
      <c r="F29" s="23" t="inlineStr">
        <is>
          <t>daily_drive_bys, weekly_web_visits, monthly_search_volume</t>
        </is>
      </c>
      <c r="G29" s="23" t="inlineStr">
        <is>
          <t>predicted_weekly_leases, prediction_confidence</t>
        </is>
      </c>
      <c r="H29" s="23" t="inlineStr">
        <is>
          <t>Leases/wk</t>
        </is>
      </c>
      <c r="I29" s="23" t="inlineStr">
        <is>
          <t>Weekly</t>
        </is>
      </c>
      <c r="J29" s="23" t="inlineStr">
        <is>
          <t>No</t>
        </is>
      </c>
      <c r="K29" s="24" t="inlineStr">
        <is>
          <t>New</t>
        </is>
      </c>
    </row>
    <row r="30" ht="15" customHeight="1" s="21">
      <c r="A30" s="23" t="inlineStr">
        <is>
          <t>F29</t>
        </is>
      </c>
      <c r="B30" s="23" t="inlineStr">
        <is>
          <t>Lease Velocity Index</t>
        </is>
      </c>
      <c r="C30" s="23" t="inlineStr">
        <is>
          <t>M07,M05</t>
        </is>
      </c>
      <c r="D30" s="23" t="inlineStr">
        <is>
          <t>Traffic</t>
        </is>
      </c>
      <c r="E30" s="23" t="inlineStr">
        <is>
          <t>actual_leases_per_month / available_units × 100
Benchmark: &lt;5% = slow, 5-10% = normal, &gt;10% = hot</t>
        </is>
      </c>
      <c r="F30" s="23" t="inlineStr">
        <is>
          <t>monthly_leases, available_units</t>
        </is>
      </c>
      <c r="G30" s="23" t="inlineStr">
        <is>
          <t>lease_velocity_pct, velocity_rating</t>
        </is>
      </c>
      <c r="H30" s="23" t="inlineStr">
        <is>
          <t>%</t>
        </is>
      </c>
      <c r="I30" s="23" t="inlineStr">
        <is>
          <t>Monthly</t>
        </is>
      </c>
      <c r="J30" s="23" t="inlineStr">
        <is>
          <t>No</t>
        </is>
      </c>
      <c r="K30" s="24" t="inlineStr">
        <is>
          <t>New</t>
        </is>
      </c>
    </row>
    <row r="31" ht="34.5" customHeight="1" s="21">
      <c r="A31" s="23" t="inlineStr">
        <is>
          <t>F30</t>
        </is>
      </c>
      <c r="B31" s="23" t="inlineStr">
        <is>
          <t>Scenario Parameter Generation</t>
        </is>
      </c>
      <c r="C31" s="23" t="inlineStr">
        <is>
          <t>M10</t>
        </is>
      </c>
      <c r="D31" s="23" t="inlineStr">
        <is>
          <t>Scenario</t>
        </is>
      </c>
      <c r="E31" s="23" t="inlineStr">
        <is>
          <t>Bull: include demand_positive events, exclude negative, demand_multiplier=1.2
Bear: include supply_positive, demand_negative, supply_multiplier=1.3
Stress: worst case all categories, delay demand 6mo</t>
        </is>
      </c>
      <c r="F31" s="23" t="inlineStr">
        <is>
          <t>demand_events[], supply_events[], scenario_template</t>
        </is>
      </c>
      <c r="G31" s="23" t="inlineStr">
        <is>
          <t>scenario_assumptions{} per scenario type</t>
        </is>
      </c>
      <c r="H31" s="23" t="inlineStr">
        <is>
          <t>Assumptions</t>
        </is>
      </c>
      <c r="I31" s="23" t="inlineStr">
        <is>
          <t>On event change</t>
        </is>
      </c>
      <c r="J31" s="23" t="inlineStr">
        <is>
          <t>No</t>
        </is>
      </c>
      <c r="K31" s="25" t="inlineStr">
        <is>
          <t>Built</t>
        </is>
      </c>
    </row>
    <row r="32" ht="15" customHeight="1" s="21">
      <c r="A32" s="23" t="inlineStr">
        <is>
          <t>F31</t>
        </is>
      </c>
      <c r="B32" s="23" t="inlineStr">
        <is>
          <t>Probability-Weighted Return</t>
        </is>
      </c>
      <c r="C32" s="23" t="inlineStr">
        <is>
          <t>M10</t>
        </is>
      </c>
      <c r="D32" s="23" t="inlineStr">
        <is>
          <t>Scenario</t>
        </is>
      </c>
      <c r="E32" s="23" t="inlineStr">
        <is>
          <t>σ(scenario_probability × scenario_irr)
Default weights: Bull=20%, Base=50%, Bear=25%, Stress=5%)</t>
        </is>
      </c>
      <c r="F32" s="23" t="inlineStr">
        <is>
          <t>scenario_irrs[4], scenario_probabilities[4]</t>
        </is>
      </c>
      <c r="G32" s="23" t="inlineStr">
        <is>
          <t>expected_irr, expected_equity_multiple</t>
        </is>
      </c>
      <c r="H32" s="23" t="inlineStr">
        <is>
          <t>%</t>
        </is>
      </c>
      <c r="I32" s="23" t="inlineStr">
        <is>
          <t>On scenario change</t>
        </is>
      </c>
      <c r="J32" s="23" t="inlineStr">
        <is>
          <t>No</t>
        </is>
      </c>
      <c r="K32" s="24" t="inlineStr">
        <is>
          <t>New</t>
        </is>
      </c>
    </row>
    <row r="33" ht="23.25" customHeight="1" s="21">
      <c r="A33" s="23" t="inlineStr">
        <is>
          <t>F32</t>
        </is>
      </c>
      <c r="B33" s="23" t="inlineStr">
        <is>
          <t>News-Adjusted Rent Growth</t>
        </is>
      </c>
      <c r="C33" s="23" t="inlineStr">
        <is>
          <t>M09</t>
        </is>
      </c>
      <c r="D33" s="23" t="inlineStr">
        <is>
          <t>Financial</t>
        </is>
      </c>
      <c r="E33" s="23" t="inlineStr">
        <is>
          <t>baseline_rent_growth + σ(event_rent_impact)
event_rent_impact = demand_units × rent_sensitivity × confidence</t>
        </is>
      </c>
      <c r="F33" s="23" t="inlineStr">
        <is>
          <t>baseline_rent_growth, demand_events[], rent_sensitivity_factor</t>
        </is>
      </c>
      <c r="G33" s="23" t="inlineStr">
        <is>
          <t>adjusted_rent_growth</t>
        </is>
      </c>
      <c r="H33" s="23" t="inlineStr">
        <is>
          <t>%</t>
        </is>
      </c>
      <c r="I33" s="23" t="inlineStr">
        <is>
          <t>On demand event</t>
        </is>
      </c>
      <c r="J33" s="23" t="inlineStr">
        <is>
          <t>No</t>
        </is>
      </c>
      <c r="K33" s="25" t="inlineStr">
        <is>
          <t>Built</t>
        </is>
      </c>
    </row>
    <row r="34" ht="23.25" customHeight="1" s="21">
      <c r="A34" s="23" t="inlineStr">
        <is>
          <t>F33</t>
        </is>
      </c>
      <c r="B34" s="23" t="inlineStr">
        <is>
          <t>News-Adjusted Vacancy</t>
        </is>
      </c>
      <c r="C34" s="23" t="inlineStr">
        <is>
          <t>M09</t>
        </is>
      </c>
      <c r="D34" s="23" t="inlineStr">
        <is>
          <t>Financial</t>
        </is>
      </c>
      <c r="E34" s="23" t="inlineStr">
        <is>
          <t>baseline_vacancy - (net_demand_units / existing_units × vacancy_sensitivity)
Capped at floor of 2%)</t>
        </is>
      </c>
      <c r="F34" s="23" t="inlineStr">
        <is>
          <t>baseline_vacancy, net_demand_units, existing_units, vacancy_sensitivity</t>
        </is>
      </c>
      <c r="G34" s="23" t="inlineStr">
        <is>
          <t>adjusted_vacancy</t>
        </is>
      </c>
      <c r="H34" s="23" t="inlineStr">
        <is>
          <t>%</t>
        </is>
      </c>
      <c r="I34" s="23" t="inlineStr">
        <is>
          <t>On demand/supply event</t>
        </is>
      </c>
      <c r="J34" s="23" t="inlineStr">
        <is>
          <t>No</t>
        </is>
      </c>
      <c r="K34" s="25" t="inlineStr">
        <is>
          <t>Built</t>
        </is>
      </c>
    </row>
    <row r="35" ht="34.5" customHeight="1" s="21">
      <c r="A35" s="23" t="inlineStr">
        <is>
          <t>F34</t>
        </is>
      </c>
      <c r="B35" s="23" t="inlineStr">
        <is>
          <t>Optimal Exit Year</t>
        </is>
      </c>
      <c r="C35" s="23" t="inlineStr">
        <is>
          <t>M12</t>
        </is>
      </c>
      <c r="D35" s="23" t="inlineStr">
        <is>
          <t>Financial</t>
        </is>
      </c>
      <c r="E35" s="23" t="inlineStr">
        <is>
          <t>For each year y: exit_value_y = NOI_y+1 / exit_cap_y
hold_value_y = Σ(CF_t for t&gt;y) / (1+discount_rate)^(t-y)
Optimal = year where exit_value &gt; hold_value first time</t>
        </is>
      </c>
      <c r="F35" s="23" t="inlineStr">
        <is>
          <t>projected_NOIs[], projected_exit_caps[], discount_rate, annual_CFs[]</t>
        </is>
      </c>
      <c r="G35" s="23" t="inlineStr">
        <is>
          <t>optimal_exit_year, exit_value_at_optimal</t>
        </is>
      </c>
      <c r="H35" s="23" t="inlineStr">
        <is>
          <t>Year/$</t>
        </is>
      </c>
      <c r="I35" s="23" t="inlineStr">
        <is>
          <t>On financial change</t>
        </is>
      </c>
      <c r="J35" s="23" t="inlineStr">
        <is>
          <t>No</t>
        </is>
      </c>
      <c r="K35" s="24" t="inlineStr">
        <is>
          <t>New</t>
        </is>
      </c>
    </row>
    <row r="36" ht="34.5" customHeight="1" s="21">
      <c r="A36" s="23" t="inlineStr">
        <is>
          <t>F35</t>
        </is>
      </c>
      <c r="B36" s="23" t="inlineStr">
        <is>
          <t>Portfolio Performance</t>
        </is>
      </c>
      <c r="C36" s="23" t="inlineStr">
        <is>
          <t>M22</t>
        </is>
      </c>
      <c r="D36" s="23" t="inlineStr">
        <is>
          <t>Portfolio</t>
        </is>
      </c>
      <c r="E36" s="23" t="inlineStr">
        <is>
          <t>Portfolio NOI = Σ(asset_NOIs)
Actual vs Budget = (actual_NOI - budget_NOI) / budget_NOI × 100
Portfolio JEDI = weighted_avg(asset_JEDI_scores, by_value)</t>
        </is>
      </c>
      <c r="F36" s="23" t="inlineStr">
        <is>
          <t>asset_NOIs[], budget_NOIs[], asset_values[], asset_jedi_scores[]</t>
        </is>
      </c>
      <c r="G36" s="23" t="inlineStr">
        <is>
          <t>portfolio_NOI, variance_pct, portfolio_jedi_score</t>
        </is>
      </c>
      <c r="H36" s="23" t="inlineStr">
        <is>
          <t>$/%/Score</t>
        </is>
      </c>
      <c r="I36" s="23" t="inlineStr">
        <is>
          <t>On actual data upload</t>
        </is>
      </c>
      <c r="J36" s="23" t="inlineStr">
        <is>
          <t>No</t>
        </is>
      </c>
      <c r="K36" s="24" t="inlineStr">
        <is>
          <t>New</t>
        </is>
      </c>
    </row>
    <row r="37" ht="90" customHeight="1" s="21">
      <c r="A37" s="27" t="inlineStr">
        <is>
          <t>F37</t>
        </is>
      </c>
      <c r="B37" s="27" t="inlineStr">
        <is>
          <t>Mahalanobis Distance (Plausibility)</t>
        </is>
      </c>
      <c r="C37" s="27" t="inlineStr">
        <is>
          <t>M36</t>
        </is>
      </c>
      <c r="D37" s="27" t="inlineStr">
        <is>
          <t>Plausibility</t>
        </is>
      </c>
      <c r="E37" s="27" t="inlineStr">
        <is>
          <t>d² = (x - μ)ᵀ Σ⁻¹ (x - μ)
Maps to bands: ≤1 Realistic, 1-2 Stretch, 2-3 Aggressive, &gt;3 Heroic.</t>
        </is>
      </c>
      <c r="F37" s="27" t="inlineStr">
        <is>
          <t>assumption_vector_x, regime_mu, regime_sigma_inv</t>
        </is>
      </c>
      <c r="G37" s="27" t="inlineStr">
        <is>
          <t>mahalanobis_distance, aggressiveness_band</t>
        </is>
      </c>
      <c r="H37" s="27" t="inlineStr">
        <is>
          <t>Distance</t>
        </is>
      </c>
      <c r="I37" s="27" t="inlineStr">
        <is>
          <t>On any assumption change</t>
        </is>
      </c>
      <c r="J37" s="27" t="inlineStr">
        <is>
          <t>No</t>
        </is>
      </c>
      <c r="K37" s="27" t="inlineStr">
        <is>
          <t>Spec</t>
        </is>
      </c>
    </row>
    <row r="38" ht="90" customHeight="1" s="21">
      <c r="A38" s="27" t="inlineStr">
        <is>
          <t>F38</t>
        </is>
      </c>
      <c r="B38" s="27" t="inlineStr">
        <is>
          <t>Per-Variable Plausibility Contribution</t>
        </is>
      </c>
      <c r="C38" s="27" t="inlineStr">
        <is>
          <t>M36</t>
        </is>
      </c>
      <c r="D38" s="27" t="inlineStr">
        <is>
          <t>Plausibility</t>
        </is>
      </c>
      <c r="E38" s="27" t="inlineStr">
        <is>
          <t>contribution_i = (x_i - μ_i) · [Σ⁻¹(x - μ)]_i. Sums to d². Identifies which assumption drives aggressiveness.</t>
        </is>
      </c>
      <c r="F38" s="27" t="inlineStr">
        <is>
          <t>x, μ, Σ⁻¹</t>
        </is>
      </c>
      <c r="G38" s="27" t="inlineStr">
        <is>
          <t>contribution per variable</t>
        </is>
      </c>
      <c r="H38" s="27" t="inlineStr">
        <is>
          <t>Score</t>
        </is>
      </c>
      <c r="I38" s="27" t="inlineStr">
        <is>
          <t>On plausibility scoring</t>
        </is>
      </c>
      <c r="J38" s="27" t="inlineStr">
        <is>
          <t>No</t>
        </is>
      </c>
      <c r="K38" s="27" t="inlineStr">
        <is>
          <t>Spec</t>
        </is>
      </c>
    </row>
    <row r="39" ht="90" customHeight="1" s="21">
      <c r="A39" s="27" t="inlineStr">
        <is>
          <t>F39</t>
        </is>
      </c>
      <c r="B39" s="27" t="inlineStr">
        <is>
          <t>Factor Variance Attribution</t>
        </is>
      </c>
      <c r="C39" s="27" t="inlineStr">
        <is>
          <t>M36,M14</t>
        </is>
      </c>
      <c r="D39" s="27" t="inlineStr">
        <is>
          <t>Risk</t>
        </is>
      </c>
      <c r="E39" s="27" t="inlineStr">
        <is>
          <t>Var(IRR) = sᵀ(BΣ_FBᵀ + Ψ)s. Per-factor: ((sᵀB)_k)² σ²_F,k. Replaces hand-tuned risk weights.</t>
        </is>
      </c>
      <c r="F39" s="27" t="inlineStr">
        <is>
          <t>sensitivity_s, factor_loadings_B, factor_cov_F, residual_psi</t>
        </is>
      </c>
      <c r="G39" s="27" t="inlineStr">
        <is>
          <t>per_factor_variance, idiosyncratic_variance</t>
        </is>
      </c>
      <c r="H39" s="27" t="inlineStr">
        <is>
          <t>Variance</t>
        </is>
      </c>
      <c r="I39" s="27" t="inlineStr">
        <is>
          <t>On Σ refresh or proforma change</t>
        </is>
      </c>
      <c r="J39" s="27" t="inlineStr">
        <is>
          <t>No</t>
        </is>
      </c>
      <c r="K39" s="27" t="inlineStr">
        <is>
          <t>Spec</t>
        </is>
      </c>
    </row>
    <row r="40" ht="90" customHeight="1" s="21">
      <c r="A40" s="27" t="inlineStr">
        <is>
          <t>F40</t>
        </is>
      </c>
      <c r="B40" s="27" t="inlineStr">
        <is>
          <t>Conditional Mean (Σ Propagation)</t>
        </is>
      </c>
      <c r="C40" s="27" t="inlineStr">
        <is>
          <t>M36,M35</t>
        </is>
      </c>
      <c r="D40" s="27" t="inlineStr">
        <is>
          <t>Forecasting</t>
        </is>
      </c>
      <c r="E40" s="27" t="inlineStr">
        <is>
          <t>μ_u|o = μ_u + Σ_uo Σ_oo⁻¹ (x_o - μ_o); Σ_u|o = Σ_uu - Σ_uo Σ_oo⁻¹ Σ_ou. Propagates shocks to unobserved variables.</t>
        </is>
      </c>
      <c r="F40" s="27" t="inlineStr">
        <is>
          <t>observed_values, full_mu, full_sigma, observed_indices</t>
        </is>
      </c>
      <c r="G40" s="27" t="inlineStr">
        <is>
          <t>conditional_mean, conditional_covariance</t>
        </is>
      </c>
      <c r="H40" s="27" t="inlineStr">
        <is>
          <t>Distribution</t>
        </is>
      </c>
      <c r="I40" s="27" t="inlineStr">
        <is>
          <t>On event ingestion or stress test</t>
        </is>
      </c>
      <c r="J40" s="27" t="inlineStr">
        <is>
          <t>No</t>
        </is>
      </c>
      <c r="K40" s="27" t="inlineStr">
        <is>
          <t>Spec</t>
        </is>
      </c>
    </row>
    <row r="41" ht="90" customHeight="1" s="21">
      <c r="A41" s="27" t="inlineStr">
        <is>
          <t>F41</t>
        </is>
      </c>
      <c r="B41" s="27" t="inlineStr">
        <is>
          <t>Goal-Seek Optimization</t>
        </is>
      </c>
      <c r="C41" s="27" t="inlineStr">
        <is>
          <t>M36</t>
        </is>
      </c>
      <c r="D41" s="27" t="inlineStr">
        <is>
          <t>Optimization</t>
        </is>
      </c>
      <c r="E41" s="27" t="inlineStr">
        <is>
          <t>min d²(x) s.t. proforma(x) = I*. SLSQP solver. Returns Pareto frontier across budgets {1.0, 1.5, 2.0, 2.5}.</t>
        </is>
      </c>
      <c r="F41" s="27" t="inlineStr">
        <is>
          <t>target_value, base_x, constraints, sigma, mu</t>
        </is>
      </c>
      <c r="G41" s="27" t="inlineStr">
        <is>
          <t>pareto_frontier of {x, irr, d}</t>
        </is>
      </c>
      <c r="H41" s="27" t="inlineStr">
        <is>
          <t>Frontier</t>
        </is>
      </c>
      <c r="I41" s="27" t="inlineStr">
        <is>
          <t>On user goal-seek</t>
        </is>
      </c>
      <c r="J41" s="27" t="inlineStr">
        <is>
          <t>No</t>
        </is>
      </c>
      <c r="K41" s="27" t="inlineStr">
        <is>
          <t>Spec</t>
        </is>
      </c>
    </row>
    <row r="42" ht="90" customHeight="1" s="21">
      <c r="A42" s="27" t="inlineStr">
        <is>
          <t>F42</t>
        </is>
      </c>
      <c r="B42" s="27" t="inlineStr">
        <is>
          <t>Multi-Step Σ (VAR Propagation)</t>
        </is>
      </c>
      <c r="C42" s="27" t="inlineStr">
        <is>
          <t>M36</t>
        </is>
      </c>
      <c r="D42" s="27" t="inlineStr">
        <is>
          <t>Distribution</t>
        </is>
      </c>
      <c r="E42" s="27" t="inlineStr">
        <is>
          <t>For VAR(1): Σ(k) = Σ_{i=0}^{k-1} A^i Σ_ε (A^i)ᵀ. Required because Σ at hold periods 12mo vs 60mo are not equivalent. (M36 multi-horizon addendum)</t>
        </is>
      </c>
      <c r="F42" s="27" t="inlineStr">
        <is>
          <t>transition_matrix_A, innovation_cov, horizon_k</t>
        </is>
      </c>
      <c r="G42" s="27" t="inlineStr">
        <is>
          <t>horizon_specific_sigma</t>
        </is>
      </c>
      <c r="H42" s="27" t="inlineStr">
        <is>
          <t>Cov matrix</t>
        </is>
      </c>
      <c r="I42" s="27" t="inlineStr">
        <is>
          <t>On Σ refresh</t>
        </is>
      </c>
      <c r="J42" s="27" t="inlineStr">
        <is>
          <t>No</t>
        </is>
      </c>
      <c r="K42" s="27" t="inlineStr">
        <is>
          <t>Spec</t>
        </is>
      </c>
    </row>
    <row r="43" ht="90" customHeight="1" s="21">
      <c r="A43" s="27" t="inlineStr">
        <is>
          <t>F43</t>
        </is>
      </c>
      <c r="B43" s="27" t="inlineStr">
        <is>
          <t>Analog Similarity Score</t>
        </is>
      </c>
      <c r="C43" s="27" t="inlineStr">
        <is>
          <t>M37</t>
        </is>
      </c>
      <c r="D43" s="27" t="inlineStr">
        <is>
          <t>Similarity</t>
        </is>
      </c>
      <c r="E43" s="27" t="inlineStr">
        <is>
          <t>sim(a,b) = exp(-d_factor/λ_f) · exp(-d_geo/λ_g) · exp(-d_regime/λ_r). Product kernel weighting analog events.</t>
        </is>
      </c>
      <c r="F43" s="27" t="inlineStr">
        <is>
          <t>factor_loadings_a/b, drive_time, regime_a/b</t>
        </is>
      </c>
      <c r="G43" s="27" t="inlineStr">
        <is>
          <t>similarity_score</t>
        </is>
      </c>
      <c r="H43" s="27" t="inlineStr">
        <is>
          <t>Score 0-1</t>
        </is>
      </c>
      <c r="I43" s="27" t="inlineStr">
        <is>
          <t>On analog query</t>
        </is>
      </c>
      <c r="J43" s="27" t="inlineStr">
        <is>
          <t>No</t>
        </is>
      </c>
      <c r="K43" s="27" t="inlineStr">
        <is>
          <t>Spec</t>
        </is>
      </c>
    </row>
    <row r="44" ht="90" customHeight="1" s="21">
      <c r="A44" s="27" t="inlineStr">
        <is>
          <t>F44</t>
        </is>
      </c>
      <c r="B44" s="27" t="inlineStr">
        <is>
          <t>Weighted Analog Forecast</t>
        </is>
      </c>
      <c r="C44" s="27" t="inlineStr">
        <is>
          <t>M37</t>
        </is>
      </c>
      <c r="D44" s="27" t="inlineStr">
        <is>
          <t>Forecasting</t>
        </is>
      </c>
      <c r="E44" s="27" t="inlineStr">
        <is>
          <t>forecast = Σ sim_i · realized_i / Σ sim_i; var = (Σ sim²σ²) / (Σ sim)² + cross-disagreement. Weighted across analogs.</t>
        </is>
      </c>
      <c r="F44" s="27" t="inlineStr">
        <is>
          <t>analogs of {sim, realized, variance}</t>
        </is>
      </c>
      <c r="G44" s="27" t="inlineStr">
        <is>
          <t>forecast_mean, forecast_variance, n_effective</t>
        </is>
      </c>
      <c r="H44" s="27" t="inlineStr">
        <is>
          <t>Distribution</t>
        </is>
      </c>
      <c r="I44" s="27" t="inlineStr">
        <is>
          <t>On forecast query</t>
        </is>
      </c>
      <c r="J44" s="27" t="inlineStr">
        <is>
          <t>No</t>
        </is>
      </c>
      <c r="K44" s="27" t="inlineStr">
        <is>
          <t>Spec</t>
        </is>
      </c>
    </row>
    <row r="45" ht="90" customHeight="1" s="21">
      <c r="A45" s="27" t="inlineStr">
        <is>
          <t>F45</t>
        </is>
      </c>
      <c r="B45" s="27" t="inlineStr">
        <is>
          <t>Calibration Reliability Score</t>
        </is>
      </c>
      <c r="C45" s="27" t="inlineStr">
        <is>
          <t>M38,M35</t>
        </is>
      </c>
      <c r="D45" s="27" t="inlineStr">
        <is>
          <t>Calibration</t>
        </is>
      </c>
      <c r="E45" s="27" t="inlineStr">
        <is>
          <t>reliability(α) = |(1/n) Σ I(y ∈ CI_α(p)) - α|. Per agent × asset class × regime × metric. Low = well-calibrated.</t>
        </is>
      </c>
      <c r="F45" s="27" t="inlineStr">
        <is>
          <t>predictions, outcomes, ci_levels</t>
        </is>
      </c>
      <c r="G45" s="27" t="inlineStr">
        <is>
          <t>reliability_score</t>
        </is>
      </c>
      <c r="H45" s="27" t="inlineStr">
        <is>
          <t>Score 0-1</t>
        </is>
      </c>
      <c r="I45" s="27" t="inlineStr">
        <is>
          <t>Monthly recompute</t>
        </is>
      </c>
      <c r="J45" s="27" t="inlineStr">
        <is>
          <t>No</t>
        </is>
      </c>
      <c r="K45" s="27" t="inlineStr">
        <is>
          <t>Spec</t>
        </is>
      </c>
    </row>
    <row r="46" ht="90" customHeight="1" s="21">
      <c r="A46" s="27" t="inlineStr">
        <is>
          <t>F46</t>
        </is>
      </c>
      <c r="B46" s="27" t="inlineStr">
        <is>
          <t>CI Propagation through ProForma</t>
        </is>
      </c>
      <c r="C46" s="27" t="inlineStr">
        <is>
          <t>M09,M14</t>
        </is>
      </c>
      <c r="D46" s="27" t="inlineStr">
        <is>
          <t>Distribution</t>
        </is>
      </c>
      <c r="E46" s="27" t="inlineStr">
        <is>
          <t>IRR_dist = MC(proforma, assumption_dists). When assumptions ship as (mean, CI), draw n samples, propagate. Mixed mode: point + distribution inputs.</t>
        </is>
      </c>
      <c r="F46" s="27" t="inlineStr">
        <is>
          <t>assumption_distributions, n_mc</t>
        </is>
      </c>
      <c r="G46" s="27" t="inlineStr">
        <is>
          <t>irr_distribution_p10_p50_p90</t>
        </is>
      </c>
      <c r="H46" s="27" t="inlineStr">
        <is>
          <t>Distribution</t>
        </is>
      </c>
      <c r="I46" s="27" t="inlineStr">
        <is>
          <t>On any assumption change</t>
        </is>
      </c>
      <c r="J46" s="27" t="inlineStr">
        <is>
          <t>No</t>
        </is>
      </c>
      <c r="K46" s="27" t="inlineStr">
        <is>
          <t>Spec</t>
        </is>
      </c>
    </row>
    <row r="47" ht="90" customHeight="1" s="21">
      <c r="A47" s="27" t="inlineStr">
        <is>
          <t>F47</t>
        </is>
      </c>
      <c r="B47" s="27" t="inlineStr">
        <is>
          <t>Outlier Score (Document Parsing)</t>
        </is>
      </c>
      <c r="C47" s="27" t="inlineStr">
        <is>
          <t>M36,M09</t>
        </is>
      </c>
      <c r="D47" s="27" t="inlineStr">
        <is>
          <t>Plausibility</t>
        </is>
      </c>
      <c r="E47" s="27" t="inlineStr">
        <is>
          <t>z = (v - μ_local) / σ_local. Flag if |z| &gt; 3. Gates auto-acceptance of T12, rent roll, tax bill values.</t>
        </is>
      </c>
      <c r="F47" s="27" t="inlineStr">
        <is>
          <t>parsed_value, local_mu, local_sigma</t>
        </is>
      </c>
      <c r="G47" s="27" t="inlineStr">
        <is>
          <t>z_score, flag_boolean</t>
        </is>
      </c>
      <c r="H47" s="27" t="inlineStr">
        <is>
          <t>Z-score</t>
        </is>
      </c>
      <c r="I47" s="27" t="inlineStr">
        <is>
          <t>On document parse</t>
        </is>
      </c>
      <c r="J47" s="27" t="inlineStr">
        <is>
          <t>No</t>
        </is>
      </c>
      <c r="K47" s="27" t="inlineStr">
        <is>
          <t>Spec</t>
        </is>
      </c>
    </row>
    <row r="48" ht="90" customHeight="1" s="21">
      <c r="A48" s="27" t="inlineStr">
        <is>
          <t>F48</t>
        </is>
      </c>
      <c r="B48" s="27" t="inlineStr">
        <is>
          <t>Lease-Up Conversion Funnel</t>
        </is>
      </c>
      <c r="C48" s="27" t="inlineStr">
        <is>
          <t>M07,M09</t>
        </is>
      </c>
      <c r="D48" s="27" t="inlineStr">
        <is>
          <t>Traffic</t>
        </is>
      </c>
      <c r="E48" s="27" t="inlineStr">
        <is>
          <t>leases/mo = traffic × P(traffic→lead) × P(lead→tour) × P(tour→app) × P(app→lease) × 4.33. Each P_i has covariates and CI that propagate.</t>
        </is>
      </c>
      <c r="F48" s="27" t="inlineStr">
        <is>
          <t>weekly_traffic, conversion_rates, conversion_ci</t>
        </is>
      </c>
      <c r="G48" s="27" t="inlineStr">
        <is>
          <t>leases_per_month_mean, leases_per_month_ci</t>
        </is>
      </c>
      <c r="H48" s="27" t="inlineStr">
        <is>
          <t>Leases</t>
        </is>
      </c>
      <c r="I48" s="27" t="inlineStr">
        <is>
          <t>On traffic update</t>
        </is>
      </c>
      <c r="J48" s="27" t="inlineStr">
        <is>
          <t>No</t>
        </is>
      </c>
      <c r="K48" s="27" t="inlineStr">
        <is>
          <t>Spec</t>
        </is>
      </c>
    </row>
    <row r="49" ht="90" customHeight="1" s="21">
      <c r="A49" s="27" t="inlineStr">
        <is>
          <t>F49</t>
        </is>
      </c>
      <c r="B49" s="27" t="inlineStr">
        <is>
          <t>Effective Revenue (Burn-Off Aware)</t>
        </is>
      </c>
      <c r="C49" s="27" t="inlineStr">
        <is>
          <t>M09</t>
        </is>
      </c>
      <c r="D49" s="27" t="inlineStr">
        <is>
          <t>Revenue</t>
        </is>
      </c>
      <c r="E49" s="27" t="inlineStr">
        <is>
          <t>For unit u, month t: in-place=in_place×escalator; expiring=mkt×P_relet+in_place×(1-P_relet)×frac; vacant=mkt×occ_path. GPR=Σmkt; vac_loss=GPR-effective.</t>
        </is>
      </c>
      <c r="F49" s="27" t="inlineStr">
        <is>
          <t>rent_roll_schedule, market_rent_path, occupancy_path, prob_relet</t>
        </is>
      </c>
      <c r="G49" s="27" t="inlineStr">
        <is>
          <t>effective_revenue, gpr, vacancy_loss</t>
        </is>
      </c>
      <c r="H49" s="27" t="inlineStr">
        <is>
          <t>$ / month</t>
        </is>
      </c>
      <c r="I49" s="27" t="inlineStr">
        <is>
          <t>On rent roll or M07 update</t>
        </is>
      </c>
      <c r="J49" s="27" t="inlineStr">
        <is>
          <t>No</t>
        </is>
      </c>
      <c r="K49" s="27" t="inlineStr">
        <is>
          <t>Spec</t>
        </is>
      </c>
    </row>
  </sheetData>
  <autoFilter ref="A1:K3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A7A2D"/>
    <outlinePr summaryBelow="1" summaryRight="1"/>
    <pageSetUpPr fitToPage="0"/>
  </sheetPr>
  <dimension ref="A1:Z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20" min="1" max="1"/>
    <col width="12" customWidth="1" style="20" min="2" max="26"/>
  </cols>
  <sheetData>
    <row r="1" ht="60" customHeight="1" s="21">
      <c r="A1" s="28" t="inlineStr">
        <is>
          <t>FROM ↓  /  TO →</t>
        </is>
      </c>
      <c r="B1" s="29" t="inlineStr">
        <is>
          <t>M01
Overview</t>
        </is>
      </c>
      <c r="C1" s="29" t="inlineStr">
        <is>
          <t>M02
Zoning</t>
        </is>
      </c>
      <c r="D1" s="29" t="inlineStr">
        <is>
          <t>M03
Dev Cap</t>
        </is>
      </c>
      <c r="E1" s="29" t="inlineStr">
        <is>
          <t>M04
Supply</t>
        </is>
      </c>
      <c r="F1" s="29" t="inlineStr">
        <is>
          <t>M05
Market</t>
        </is>
      </c>
      <c r="G1" s="29" t="inlineStr">
        <is>
          <t>M06
Demand</t>
        </is>
      </c>
      <c r="H1" s="29" t="inlineStr">
        <is>
          <t>M07
Traffic</t>
        </is>
      </c>
      <c r="I1" s="29" t="inlineStr">
        <is>
          <t>M08
Strategy</t>
        </is>
      </c>
      <c r="J1" s="29" t="inlineStr">
        <is>
          <t>M09
ProForma</t>
        </is>
      </c>
      <c r="K1" s="29" t="inlineStr">
        <is>
          <t>M10
Scenario</t>
        </is>
      </c>
      <c r="L1" s="29" t="inlineStr">
        <is>
          <t>M11
Debt</t>
        </is>
      </c>
      <c r="M1" s="29" t="inlineStr">
        <is>
          <t>M12
Exit</t>
        </is>
      </c>
      <c r="N1" s="29" t="inlineStr">
        <is>
          <t>M13
DD</t>
        </is>
      </c>
      <c r="O1" s="29" t="inlineStr">
        <is>
          <t>M14
Risk</t>
        </is>
      </c>
      <c r="P1" s="29" t="inlineStr">
        <is>
          <t>M15
Competition</t>
        </is>
      </c>
      <c r="Q1" s="29" t="inlineStr">
        <is>
          <t>M16
Pipeline</t>
        </is>
      </c>
      <c r="R1" s="29" t="inlineStr">
        <is>
          <t>M17
Team</t>
        </is>
      </c>
      <c r="S1" s="29" t="inlineStr">
        <is>
          <t>M18
Documents</t>
        </is>
      </c>
      <c r="T1" s="29" t="inlineStr">
        <is>
          <t>M19
News Intel</t>
        </is>
      </c>
      <c r="U1" s="29" t="inlineStr">
        <is>
          <t>M20
Map</t>
        </is>
      </c>
      <c r="V1" s="29" t="inlineStr">
        <is>
          <t>M21
AI Chat</t>
        </is>
      </c>
      <c r="W1" s="29" t="inlineStr">
        <is>
          <t>M22
Portfolio</t>
        </is>
      </c>
      <c r="X1" s="29" t="inlineStr">
        <is>
          <t>M23
Alerts</t>
        </is>
      </c>
      <c r="Y1" s="29" t="inlineStr">
        <is>
          <t>M24
Settings</t>
        </is>
      </c>
      <c r="Z1" s="29" t="inlineStr">
        <is>
          <t>M25
JEDI Score</t>
        </is>
      </c>
    </row>
    <row r="2" ht="15" customHeight="1" s="21">
      <c r="A2" s="30" t="inlineStr">
        <is>
          <t>M01 Overview</t>
        </is>
      </c>
      <c r="B2" s="31" t="inlineStr">
        <is>
          <t>—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</row>
    <row r="3" ht="23.25" customHeight="1" s="21">
      <c r="A3" s="30" t="inlineStr">
        <is>
          <t>M02 Zoning</t>
        </is>
      </c>
      <c r="B3" s="32" t="n"/>
      <c r="C3" s="31" t="inlineStr">
        <is>
          <t>—</t>
        </is>
      </c>
      <c r="D3" s="33" t="inlineStr">
        <is>
          <t>● zoning code, FAR, setbacks, max density</t>
        </is>
      </c>
      <c r="E3" s="32" t="n"/>
      <c r="F3" s="32" t="n"/>
      <c r="G3" s="32" t="n"/>
      <c r="H3" s="32" t="n"/>
      <c r="I3" s="34" t="inlineStr">
        <is>
          <t>○ regulatory constraints per strategy</t>
        </is>
      </c>
      <c r="J3" s="33" t="inlineStr">
        <is>
          <t>● zoning-adjusted assumptions</t>
        </is>
      </c>
      <c r="K3" s="32" t="n"/>
      <c r="L3" s="32" t="n"/>
      <c r="M3" s="32" t="n"/>
      <c r="N3" s="32" t="n"/>
      <c r="O3" s="34" t="inlineStr">
        <is>
          <t>○ regulatory risk factors</t>
        </is>
      </c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</row>
    <row r="4" ht="15.75" customHeight="1" s="21">
      <c r="A4" s="30" t="inlineStr">
        <is>
          <t>M03 Dev Cap</t>
        </is>
      </c>
      <c r="B4" s="32" t="n"/>
      <c r="C4" s="32" t="n"/>
      <c r="D4" s="31" t="inlineStr">
        <is>
          <t>—</t>
        </is>
      </c>
      <c r="E4" s="32" t="n"/>
      <c r="F4" s="32" t="n"/>
      <c r="G4" s="32" t="n"/>
      <c r="H4" s="32" t="n"/>
      <c r="I4" s="33" t="inlineStr">
        <is>
          <t>● max buildable units, envelope</t>
        </is>
      </c>
      <c r="J4" s="33" t="inlineStr">
        <is>
          <t>● development cost estimates</t>
        </is>
      </c>
      <c r="K4" s="32" t="n"/>
      <c r="L4" s="32" t="n"/>
      <c r="M4" s="32" t="n"/>
      <c r="N4" s="32" t="n"/>
      <c r="O4" s="34" t="inlineStr">
        <is>
          <t>○ development risk</t>
        </is>
      </c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 ht="15.75" customHeight="1" s="21">
      <c r="A5" s="30" t="inlineStr">
        <is>
          <t>M04 Supply</t>
        </is>
      </c>
      <c r="B5" s="32" t="n"/>
      <c r="C5" s="32" t="n"/>
      <c r="D5" s="33" t="inlineStr">
        <is>
          <t>● pipeline context for gap analysis</t>
        </is>
      </c>
      <c r="E5" s="31" t="inlineStr">
        <is>
          <t>—</t>
        </is>
      </c>
      <c r="F5" s="33" t="inlineStr">
        <is>
          <t>● supply pressure, absorption</t>
        </is>
      </c>
      <c r="G5" s="32" t="n"/>
      <c r="H5" s="32" t="n"/>
      <c r="I5" s="33" t="inlineStr">
        <is>
          <t>● supply signals per strategy</t>
        </is>
      </c>
      <c r="J5" s="33" t="inlineStr">
        <is>
          <t>● vacancy projections</t>
        </is>
      </c>
      <c r="K5" s="32" t="n"/>
      <c r="L5" s="32" t="n"/>
      <c r="M5" s="32" t="n"/>
      <c r="N5" s="32" t="n"/>
      <c r="O5" s="33" t="inlineStr">
        <is>
          <t>● supply risk score</t>
        </is>
      </c>
      <c r="P5" s="34" t="inlineStr">
        <is>
          <t>○ comp set data</t>
        </is>
      </c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3" t="inlineStr">
        <is>
          <t>● supply sub-score input</t>
        </is>
      </c>
    </row>
    <row r="6" ht="15.75" customHeight="1" s="21">
      <c r="A6" s="30" t="inlineStr">
        <is>
          <t>M05 Market</t>
        </is>
      </c>
      <c r="B6" s="32" t="n"/>
      <c r="C6" s="32" t="n"/>
      <c r="D6" s="32" t="n"/>
      <c r="E6" s="32" t="n"/>
      <c r="F6" s="31" t="inlineStr">
        <is>
          <t>—</t>
        </is>
      </c>
      <c r="G6" s="32" t="n"/>
      <c r="H6" s="32" t="n"/>
      <c r="I6" s="33" t="inlineStr">
        <is>
          <t>● market signals per strategy</t>
        </is>
      </c>
      <c r="J6" s="33" t="inlineStr">
        <is>
          <t>● rent levels, vacancy, growth</t>
        </is>
      </c>
      <c r="K6" s="34" t="inlineStr">
        <is>
          <t>○ market condition inputs</t>
        </is>
      </c>
      <c r="L6" s="32" t="n"/>
      <c r="M6" s="32" t="n"/>
      <c r="N6" s="32" t="n"/>
      <c r="O6" s="34" t="inlineStr">
        <is>
          <t>○ market risk factors</t>
        </is>
      </c>
      <c r="P6" s="33" t="inlineStr">
        <is>
          <t>● rent comp data</t>
        </is>
      </c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3" t="inlineStr">
        <is>
          <t>● momentum + position inputs</t>
        </is>
      </c>
    </row>
    <row r="7" ht="15.75" customHeight="1" s="21">
      <c r="A7" s="30" t="inlineStr">
        <is>
          <t>M06 Demand</t>
        </is>
      </c>
      <c r="B7" s="32" t="n"/>
      <c r="C7" s="32" t="n"/>
      <c r="D7" s="32" t="n"/>
      <c r="E7" s="32" t="n"/>
      <c r="F7" s="33" t="inlineStr">
        <is>
          <t>● demand-side market signals</t>
        </is>
      </c>
      <c r="G7" s="31" t="inlineStr">
        <is>
          <t>—</t>
        </is>
      </c>
      <c r="H7" s="32" t="n"/>
      <c r="I7" s="33" t="inlineStr">
        <is>
          <t>● demand signals per strategy</t>
        </is>
      </c>
      <c r="J7" s="33" t="inlineStr">
        <is>
          <t>● demand-adjusted assumptions</t>
        </is>
      </c>
      <c r="K7" s="32" t="n"/>
      <c r="L7" s="32" t="n"/>
      <c r="M7" s="32" t="n"/>
      <c r="N7" s="32" t="n"/>
      <c r="O7" s="33" t="inlineStr">
        <is>
          <t>● demand risk (concentration)</t>
        </is>
      </c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3" t="inlineStr">
        <is>
          <t>● demand sub-score input</t>
        </is>
      </c>
    </row>
    <row r="8" ht="15.75" customHeight="1" s="21">
      <c r="A8" s="30" t="inlineStr">
        <is>
          <t>M07 Traffic</t>
        </is>
      </c>
      <c r="B8" s="32" t="n"/>
      <c r="C8" s="32" t="n"/>
      <c r="D8" s="32" t="n"/>
      <c r="E8" s="32" t="n"/>
      <c r="F8" s="34" t="inlineStr">
        <is>
          <t>○ traffic demand signals</t>
        </is>
      </c>
      <c r="G8" s="32" t="n"/>
      <c r="H8" s="31" t="inlineStr">
        <is>
          <t>—</t>
        </is>
      </c>
      <c r="I8" s="34" t="inlineStr">
        <is>
          <t>○ traffic correlation per strategy</t>
        </is>
      </c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</row>
    <row r="9" ht="23.25" customHeight="1" s="21">
      <c r="A9" s="30" t="inlineStr">
        <is>
          <t>M08 Strategy</t>
        </is>
      </c>
      <c r="B9" s="33" t="inlineStr">
        <is>
          <t>● strategy recommendation, scores</t>
        </is>
      </c>
      <c r="C9" s="32" t="n"/>
      <c r="D9" s="32" t="n"/>
      <c r="E9" s="32" t="n"/>
      <c r="F9" s="32" t="n"/>
      <c r="G9" s="32" t="n"/>
      <c r="H9" s="32" t="n"/>
      <c r="I9" s="31" t="inlineStr">
        <is>
          <t>—</t>
        </is>
      </c>
      <c r="J9" s="33" t="inlineStr">
        <is>
          <t>● strategy-specific proforma params</t>
        </is>
      </c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4" t="inlineStr">
        <is>
          <t>○ strategy-adjusted weighting</t>
        </is>
      </c>
    </row>
    <row r="10" ht="23.25" customHeight="1" s="21">
      <c r="A10" s="30" t="inlineStr">
        <is>
          <t>M09 ProForma</t>
        </is>
      </c>
      <c r="B10" s="33" t="inlineStr">
        <is>
          <t>● key financials for overview</t>
        </is>
      </c>
      <c r="C10" s="32" t="n"/>
      <c r="D10" s="32" t="n"/>
      <c r="E10" s="32" t="n"/>
      <c r="F10" s="32" t="n"/>
      <c r="G10" s="32" t="n"/>
      <c r="H10" s="32" t="n"/>
      <c r="I10" s="32" t="n"/>
      <c r="J10" s="31" t="inlineStr">
        <is>
          <t>—</t>
        </is>
      </c>
      <c r="K10" s="33" t="inlineStr">
        <is>
          <t>● base case financials</t>
        </is>
      </c>
      <c r="L10" s="33" t="inlineStr">
        <is>
          <t>● NOI for DSCR/debt analysis</t>
        </is>
      </c>
      <c r="M10" s="33" t="inlineStr">
        <is>
          <t>● NOI/CF projections for exit timing</t>
        </is>
      </c>
      <c r="N10" s="32" t="n"/>
      <c r="O10" s="34" t="inlineStr">
        <is>
          <t>○ financial risk indicators</t>
        </is>
      </c>
      <c r="P10" s="32" t="n"/>
      <c r="Q10" s="32" t="n"/>
      <c r="R10" s="32" t="n"/>
      <c r="S10" s="32" t="n"/>
      <c r="T10" s="32" t="n"/>
      <c r="U10" s="32" t="n"/>
      <c r="V10" s="32" t="n"/>
      <c r="W10" s="33" t="inlineStr">
        <is>
          <t>● projected vs actual</t>
        </is>
      </c>
      <c r="X10" s="32" t="n"/>
      <c r="Y10" s="32" t="n"/>
      <c r="Z10" s="32" t="n"/>
    </row>
    <row r="11" ht="15.75" customHeight="1" s="21">
      <c r="A11" s="30" t="inlineStr">
        <is>
          <t>M10 Scenario</t>
        </is>
      </c>
      <c r="B11" s="34" t="inlineStr">
        <is>
          <t>○ probability-weighted returns</t>
        </is>
      </c>
      <c r="C11" s="32" t="n"/>
      <c r="D11" s="32" t="n"/>
      <c r="E11" s="32" t="n"/>
      <c r="F11" s="32" t="n"/>
      <c r="G11" s="32" t="n"/>
      <c r="H11" s="32" t="n"/>
      <c r="I11" s="32" t="n"/>
      <c r="J11" s="34" t="inlineStr">
        <is>
          <t>○ stress-test parameters</t>
        </is>
      </c>
      <c r="K11" s="31" t="inlineStr">
        <is>
          <t>—</t>
        </is>
      </c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 ht="15.75" customHeight="1" s="21">
      <c r="A12" s="30" t="inlineStr">
        <is>
          <t>M11 Debt</t>
        </is>
      </c>
      <c r="B12" s="34" t="inlineStr">
        <is>
          <t>○ debt terms summary</t>
        </is>
      </c>
      <c r="C12" s="32" t="n"/>
      <c r="D12" s="32" t="n"/>
      <c r="E12" s="32" t="n"/>
      <c r="F12" s="32" t="n"/>
      <c r="G12" s="32" t="n"/>
      <c r="H12" s="32" t="n"/>
      <c r="I12" s="32" t="n"/>
      <c r="J12" s="33" t="inlineStr">
        <is>
          <t>● debt service into CF</t>
        </is>
      </c>
      <c r="K12" s="32" t="n"/>
      <c r="L12" s="31" t="inlineStr">
        <is>
          <t>—</t>
        </is>
      </c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</row>
    <row r="13" ht="15" customHeight="1" s="21">
      <c r="A13" s="30" t="inlineStr">
        <is>
          <t>M12 Exit</t>
        </is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1" t="inlineStr">
        <is>
          <t>—</t>
        </is>
      </c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 ht="15" customHeight="1" s="21">
      <c r="A14" s="30" t="inlineStr">
        <is>
          <t>M13 DD</t>
        </is>
      </c>
      <c r="B14" s="34" t="inlineStr">
        <is>
          <t>○ DD completion %</t>
        </is>
      </c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1" t="inlineStr">
        <is>
          <t>—</t>
        </is>
      </c>
      <c r="O14" s="34" t="inlineStr">
        <is>
          <t>○ DD red flags</t>
        </is>
      </c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</row>
    <row r="15" ht="15.75" customHeight="1" s="21">
      <c r="A15" s="30" t="inlineStr">
        <is>
          <t>M14 Risk</t>
        </is>
      </c>
      <c r="B15" s="33" t="inlineStr">
        <is>
          <t>● composite risk display</t>
        </is>
      </c>
      <c r="C15" s="32" t="n"/>
      <c r="D15" s="32" t="n"/>
      <c r="E15" s="32" t="n"/>
      <c r="F15" s="32" t="n"/>
      <c r="G15" s="32" t="n"/>
      <c r="H15" s="32" t="n"/>
      <c r="I15" s="34" t="inlineStr">
        <is>
          <t>○ risk-adjusted strategy scores</t>
        </is>
      </c>
      <c r="J15" s="32" t="n"/>
      <c r="K15" s="32" t="n"/>
      <c r="L15" s="32" t="n"/>
      <c r="M15" s="32" t="n"/>
      <c r="N15" s="32" t="n"/>
      <c r="O15" s="31" t="inlineStr">
        <is>
          <t>—</t>
        </is>
      </c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3" t="inlineStr">
        <is>
          <t>● risk sub-score input</t>
        </is>
      </c>
    </row>
    <row r="16" ht="23.25" customHeight="1" s="21">
      <c r="A16" s="30" t="inlineStr">
        <is>
          <t>M15 Competition</t>
        </is>
      </c>
      <c r="B16" s="32" t="n"/>
      <c r="C16" s="32" t="n"/>
      <c r="D16" s="32" t="n"/>
      <c r="E16" s="32" t="n"/>
      <c r="F16" s="33" t="inlineStr">
        <is>
          <t>● competitive positioning data</t>
        </is>
      </c>
      <c r="G16" s="32" t="n"/>
      <c r="H16" s="32" t="n"/>
      <c r="I16" s="34" t="inlineStr">
        <is>
          <t>○ competitive advantage per strategy</t>
        </is>
      </c>
      <c r="J16" s="32" t="n"/>
      <c r="K16" s="32" t="n"/>
      <c r="L16" s="32" t="n"/>
      <c r="M16" s="32" t="n"/>
      <c r="N16" s="32" t="n"/>
      <c r="O16" s="32" t="n"/>
      <c r="P16" s="31" t="inlineStr">
        <is>
          <t>—</t>
        </is>
      </c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</row>
    <row r="17" ht="15" customHeight="1" s="21">
      <c r="A17" s="30" t="inlineStr">
        <is>
          <t>M16 Pipeline</t>
        </is>
      </c>
      <c r="B17" s="34" t="inlineStr">
        <is>
          <t>○ pipeline stage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1" t="inlineStr">
        <is>
          <t>—</t>
        </is>
      </c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</row>
    <row r="18" ht="15" customHeight="1" s="21">
      <c r="A18" s="30" t="inlineStr">
        <is>
          <t>M17 Team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1" t="inlineStr">
        <is>
          <t>—</t>
        </is>
      </c>
      <c r="S18" s="32" t="n"/>
      <c r="T18" s="32" t="n"/>
      <c r="U18" s="32" t="n"/>
      <c r="V18" s="32" t="n"/>
      <c r="W18" s="32" t="n"/>
      <c r="X18" s="32" t="n"/>
      <c r="Y18" s="32" t="n"/>
      <c r="Z18" s="32" t="n"/>
    </row>
    <row r="19" ht="15" customHeight="1" s="21">
      <c r="A19" s="30" t="inlineStr">
        <is>
          <t>M18 Documents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1" t="inlineStr">
        <is>
          <t>—</t>
        </is>
      </c>
      <c r="T19" s="32" t="n"/>
      <c r="U19" s="32" t="n"/>
      <c r="V19" s="32" t="n"/>
      <c r="W19" s="32" t="n"/>
      <c r="X19" s="32" t="n"/>
      <c r="Y19" s="32" t="n"/>
      <c r="Z19" s="32" t="n"/>
    </row>
    <row r="20" ht="15.75" customHeight="1" s="21">
      <c r="A20" s="30" t="inlineStr">
        <is>
          <t>M19 News Intel</t>
        </is>
      </c>
      <c r="B20" s="32" t="n"/>
      <c r="C20" s="32" t="n"/>
      <c r="D20" s="32" t="n"/>
      <c r="E20" s="33" t="inlineStr">
        <is>
          <t>● classified supply events</t>
        </is>
      </c>
      <c r="F20" s="32" t="n"/>
      <c r="G20" s="33" t="inlineStr">
        <is>
          <t>● classified demand events</t>
        </is>
      </c>
      <c r="H20" s="32" t="n"/>
      <c r="I20" s="32" t="n"/>
      <c r="J20" s="32" t="n"/>
      <c r="K20" s="32" t="n"/>
      <c r="L20" s="32" t="n"/>
      <c r="M20" s="32" t="n"/>
      <c r="N20" s="32" t="n"/>
      <c r="O20" s="34" t="inlineStr">
        <is>
          <t>○ sentiment, risk signals</t>
        </is>
      </c>
      <c r="P20" s="32" t="n"/>
      <c r="Q20" s="32" t="n"/>
      <c r="R20" s="32" t="n"/>
      <c r="S20" s="32" t="n"/>
      <c r="T20" s="31" t="inlineStr">
        <is>
          <t>—</t>
        </is>
      </c>
      <c r="U20" s="32" t="n"/>
      <c r="V20" s="32" t="n"/>
      <c r="W20" s="32" t="n"/>
      <c r="X20" s="32" t="n"/>
      <c r="Y20" s="32" t="n"/>
      <c r="Z20" s="32" t="n"/>
    </row>
    <row r="21" ht="15" customHeight="1" s="21">
      <c r="A21" s="30" t="inlineStr">
        <is>
          <t>M20 Map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1" t="inlineStr">
        <is>
          <t>—</t>
        </is>
      </c>
      <c r="V21" s="32" t="n"/>
      <c r="W21" s="32" t="n"/>
      <c r="X21" s="32" t="n"/>
      <c r="Y21" s="32" t="n"/>
      <c r="Z21" s="32" t="n"/>
    </row>
    <row r="22" ht="15" customHeight="1" s="21">
      <c r="A22" s="30" t="inlineStr">
        <is>
          <t>M21 AI Chat</t>
        </is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1" t="inlineStr">
        <is>
          <t>—</t>
        </is>
      </c>
      <c r="W22" s="32" t="n"/>
      <c r="X22" s="32" t="n"/>
      <c r="Y22" s="32" t="n"/>
      <c r="Z22" s="32" t="n"/>
    </row>
    <row r="23" ht="15" customHeight="1" s="21">
      <c r="A23" s="30" t="inlineStr">
        <is>
          <t>M22 Portfolio</t>
        </is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1" t="inlineStr">
        <is>
          <t>—</t>
        </is>
      </c>
      <c r="X23" s="32" t="n"/>
      <c r="Y23" s="32" t="n"/>
      <c r="Z23" s="32" t="n"/>
    </row>
    <row r="24" ht="15" customHeight="1" s="21">
      <c r="A24" s="30" t="inlineStr">
        <is>
          <t>M23 Alerts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1" t="inlineStr">
        <is>
          <t>—</t>
        </is>
      </c>
      <c r="Y24" s="32" t="n"/>
      <c r="Z24" s="32" t="n"/>
    </row>
    <row r="25" ht="15.75" customHeight="1" s="21">
      <c r="A25" s="30" t="inlineStr">
        <is>
          <t>M24 Settings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1" t="inlineStr">
        <is>
          <t>—</t>
        </is>
      </c>
      <c r="Z25" s="34" t="inlineStr">
        <is>
          <t>○ user weight overrides</t>
        </is>
      </c>
    </row>
    <row r="26" ht="15.75" customHeight="1" s="21">
      <c r="A26" s="30" t="inlineStr">
        <is>
          <t>M25 JEDI Score</t>
        </is>
      </c>
      <c r="B26" s="33" t="inlineStr">
        <is>
          <t>● JEDI Score for display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inlineStr">
        <is>
          <t>● scores for map bubbles</t>
        </is>
      </c>
      <c r="V26" s="32" t="n"/>
      <c r="W26" s="32" t="n"/>
      <c r="X26" s="33" t="inlineStr">
        <is>
          <t>● score changes trigger alerts</t>
        </is>
      </c>
      <c r="Y26" s="32" t="n"/>
      <c r="Z26" s="31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45100"/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16" customWidth="1" style="20" min="2" max="2"/>
    <col width="12" customWidth="1" style="20" min="3" max="3"/>
    <col width="55" customWidth="1" style="20" min="4" max="4"/>
    <col width="45" customWidth="1" style="20" min="5" max="5"/>
    <col width="25" customWidth="1" style="20" min="6" max="6"/>
    <col width="18" customWidth="1" style="20" min="7" max="8"/>
    <col width="50" customWidth="1" style="20" min="9" max="9"/>
  </cols>
  <sheetData>
    <row r="1" ht="26.25" customHeight="1" s="21">
      <c r="A1" s="22" t="inlineStr">
        <is>
          <t>Module</t>
        </is>
      </c>
      <c r="B1" s="22" t="inlineStr">
        <is>
          <t>Current Agent</t>
        </is>
      </c>
      <c r="C1" s="22" t="inlineStr">
        <is>
          <t>Agent Status</t>
        </is>
      </c>
      <c r="D1" s="22" t="inlineStr">
        <is>
          <t>What Agent Would Do</t>
        </is>
      </c>
      <c r="E1" s="22" t="inlineStr">
        <is>
          <t>Data Sources It Needs</t>
        </is>
      </c>
      <c r="F1" s="22" t="inlineStr">
        <is>
          <t>Automation Level Without Agent</t>
        </is>
      </c>
      <c r="G1" s="22" t="inlineStr">
        <is>
          <t>Priority for Agent</t>
        </is>
      </c>
      <c r="H1" s="22" t="inlineStr">
        <is>
          <t>Estimated Complexity</t>
        </is>
      </c>
      <c r="I1" s="22" t="inlineStr">
        <is>
          <t>Notes</t>
        </is>
      </c>
    </row>
    <row r="2" ht="23.25" customHeight="1" s="21">
      <c r="A2" s="23" t="inlineStr">
        <is>
          <t>M02 Zoning</t>
        </is>
      </c>
      <c r="B2" s="23" t="inlineStr">
        <is>
          <t>Zoning Agent</t>
        </is>
      </c>
      <c r="C2" s="25" t="inlineStr">
        <is>
          <t>Active</t>
        </is>
      </c>
      <c r="D2" s="23" t="inlineStr">
        <is>
          <t>Query Municode, parse zoning codes, extract FAR/setbacks/density, verify against municipal source</t>
        </is>
      </c>
      <c r="E2" s="23" t="inlineStr">
        <is>
          <t>Municode API, municipal databases, user corrections</t>
        </is>
      </c>
      <c r="F2" s="23" t="inlineStr">
        <is>
          <t>Low (manual lookup)</t>
        </is>
      </c>
      <c r="G2" s="23" t="inlineStr">
        <is>
          <t>P0 - EXISTS</t>
        </is>
      </c>
      <c r="H2" s="23" t="inlineStr">
        <is>
          <t>Medium</t>
        </is>
      </c>
      <c r="I2" s="23" t="inlineStr">
        <is>
          <t>Verification-first approach. 90% Municode, 10% direct municipal.</t>
        </is>
      </c>
    </row>
    <row r="3" ht="23.25" customHeight="1" s="21">
      <c r="A3" s="23" t="inlineStr">
        <is>
          <t>M04 Supply</t>
        </is>
      </c>
      <c r="B3" s="23" t="inlineStr">
        <is>
          <t>Supply Agent</t>
        </is>
      </c>
      <c r="C3" s="25" t="inlineStr">
        <is>
          <t>Active</t>
        </is>
      </c>
      <c r="D3" s="23" t="inlineStr">
        <is>
          <t>Track permits, classify construction status, calculate pipeline metrics, identify competitive projects</t>
        </is>
      </c>
      <c r="E3" s="23" t="inlineStr">
        <is>
          <t>Permit databases, CoStar, news events, apartments.com</t>
        </is>
      </c>
      <c r="F3" s="23" t="inlineStr">
        <is>
          <t>Very Low (manual tracking)</t>
        </is>
      </c>
      <c r="G3" s="23" t="inlineStr">
        <is>
          <t>P0 - EXISTS</t>
        </is>
      </c>
      <c r="H3" s="23" t="inlineStr">
        <is>
          <t>High</t>
        </is>
      </c>
      <c r="I3" s="23" t="inlineStr">
        <is>
          <t>Needs real permit database connections.</t>
        </is>
      </c>
    </row>
    <row r="4" ht="23.25" customHeight="1" s="21">
      <c r="A4" s="23" t="inlineStr">
        <is>
          <t>M03 Dev Capacity</t>
        </is>
      </c>
      <c r="B4" s="23" t="inlineStr">
        <is>
          <t>—</t>
        </is>
      </c>
      <c r="C4" s="24" t="inlineStr">
        <is>
          <t>None</t>
        </is>
      </c>
      <c r="D4" s="23" t="inlineStr">
        <is>
          <t>Auto-calculate building envelope from zoning + parcel data. Run as-right/variance/rezone scenarios. 10yr forecast.</t>
        </is>
      </c>
      <c r="E4" s="23" t="inlineStr">
        <is>
          <t>M02 zoning data, property boundaries (PostGIS), building codes</t>
        </is>
      </c>
      <c r="F4" s="23" t="inlineStr">
        <is>
          <t>Medium (uses M02 output)</t>
        </is>
      </c>
      <c r="G4" s="23" t="inlineStr">
        <is>
          <t>P1</t>
        </is>
      </c>
      <c r="H4" s="23" t="inlineStr">
        <is>
          <t>Medium</t>
        </is>
      </c>
      <c r="I4" s="23" t="inlineStr">
        <is>
          <t>Can be formula-driven initially, agent later for complex scenarios.</t>
        </is>
      </c>
    </row>
    <row r="5" ht="23.25" customHeight="1" s="21">
      <c r="A5" s="23" t="inlineStr">
        <is>
          <t>M06 Demand</t>
        </is>
      </c>
      <c r="B5" s="23" t="inlineStr">
        <is>
          <t>—</t>
        </is>
      </c>
      <c r="C5" s="24" t="inlineStr">
        <is>
          <t>None</t>
        </is>
      </c>
      <c r="D5" s="23" t="inlineStr">
        <is>
          <t>Auto-classify news events into demand categories. Extract employee counts, income tiers. Calculate housing conversion.</t>
        </is>
      </c>
      <c r="E5" s="23" t="inlineStr">
        <is>
          <t>News APIs, email sync, LLM for classification</t>
        </is>
      </c>
      <c r="F5" s="23" t="inlineStr">
        <is>
          <t>Medium (service exists)</t>
        </is>
      </c>
      <c r="G5" s="23" t="inlineStr">
        <is>
          <t>P1</t>
        </is>
      </c>
      <c r="H5" s="23" t="inlineStr">
        <is>
          <t>Medium</t>
        </is>
      </c>
      <c r="I5" s="23" t="inlineStr">
        <is>
          <t>Demand Signal Service exists but no autonomous agent. LLM classification needed.</t>
        </is>
      </c>
    </row>
    <row r="6" ht="23.25" customHeight="1" s="21">
      <c r="A6" s="23" t="inlineStr">
        <is>
          <t>M07 Traffic</t>
        </is>
      </c>
      <c r="B6" s="23" t="inlineStr">
        <is>
          <t>—</t>
        </is>
      </c>
      <c r="C6" s="24" t="inlineStr">
        <is>
          <t>None</t>
        </is>
      </c>
      <c r="D6" s="23" t="inlineStr">
        <is>
          <t>Aggregate physical + digital traffic data. Train lease prediction model. Generate weekly forecasts.</t>
        </is>
      </c>
      <c r="E6" s="23" t="inlineStr">
        <is>
          <t>Placer.ai API, SpyFu API, Google Trends, user lease data</t>
        </is>
      </c>
      <c r="F6" s="23" t="inlineStr">
        <is>
          <t>None (new module)</t>
        </is>
      </c>
      <c r="G6" s="23" t="inlineStr">
        <is>
          <t>P2</t>
        </is>
      </c>
      <c r="H6" s="23" t="inlineStr">
        <is>
          <t>High</t>
        </is>
      </c>
      <c r="I6" s="23" t="inlineStr">
        <is>
          <t>Requires paid data sources. Start with digital-only.</t>
        </is>
      </c>
    </row>
    <row r="7" ht="23.25" customHeight="1" s="21">
      <c r="A7" s="23" t="inlineStr">
        <is>
          <t>M08 Strategy</t>
        </is>
      </c>
      <c r="B7" s="23" t="inlineStr">
        <is>
          <t>—</t>
        </is>
      </c>
      <c r="C7" s="24" t="inlineStr">
        <is>
          <t>None</t>
        </is>
      </c>
      <c r="D7" s="23" t="inlineStr">
        <is>
          <t>Run 4-strategy simultaneous analysis. Flag arbitrage opportunities. Generate strategy recommendation with reasoning.</t>
        </is>
      </c>
      <c r="E7" s="23" t="inlineStr">
        <is>
          <t>ALL signal modules (M02-M07), Strategy Matrix weights</t>
        </is>
      </c>
      <c r="F7" s="23" t="inlineStr">
        <is>
          <t>Low (needs all inputs wired)</t>
        </is>
      </c>
      <c r="G7" s="23" t="inlineStr">
        <is>
          <t>P0</t>
        </is>
      </c>
      <c r="H7" s="23" t="inlineStr">
        <is>
          <t>High</t>
        </is>
      </c>
      <c r="I7" s="23" t="inlineStr">
        <is>
          <t>THE core differentiator. Needs all other modules feeding it.</t>
        </is>
      </c>
    </row>
    <row r="8" ht="23.25" customHeight="1" s="21">
      <c r="A8" s="23" t="inlineStr">
        <is>
          <t>M09 ProForma</t>
        </is>
      </c>
      <c r="B8" s="23" t="inlineStr">
        <is>
          <t>—</t>
        </is>
      </c>
      <c r="C8" s="24" t="inlineStr">
        <is>
          <t>None</t>
        </is>
      </c>
      <c r="D8" s="23" t="inlineStr">
        <is>
          <t>Auto-generate proforma from market data + zoning. Apply news-adjusted assumptions. Recalculate on signal changes.</t>
        </is>
      </c>
      <c r="E8" s="23" t="inlineStr">
        <is>
          <t>M02-M08 outputs, user overrides, rate data</t>
        </is>
      </c>
      <c r="F8" s="23" t="inlineStr">
        <is>
          <t>Medium (service exists)</t>
        </is>
      </c>
      <c r="G8" s="23" t="inlineStr">
        <is>
          <t>P0</t>
        </is>
      </c>
      <c r="H8" s="23" t="inlineStr">
        <is>
          <t>High</t>
        </is>
      </c>
      <c r="I8" s="23" t="inlineStr">
        <is>
          <t>Proforma Adjustment Service exists. Needs auto-sync wiring.</t>
        </is>
      </c>
    </row>
    <row r="9" ht="23.25" customHeight="1" s="21">
      <c r="A9" s="23" t="inlineStr">
        <is>
          <t>M19 News Intel</t>
        </is>
      </c>
      <c r="B9" s="23" t="inlineStr">
        <is>
          <t>—</t>
        </is>
      </c>
      <c r="C9" s="24" t="inlineStr">
        <is>
          <t>None</t>
        </is>
      </c>
      <c r="D9" s="23" t="inlineStr">
        <is>
          <t>Scrape news sources, classify events, extract structured data (people count, location, category), geographic tag.</t>
        </is>
      </c>
      <c r="E9" s="23" t="inlineStr">
        <is>
          <t>News APIs, email inbox (OAuth), RSS feeds, LLM</t>
        </is>
      </c>
      <c r="F9" s="23" t="inlineStr">
        <is>
          <t>Low (manual news tracking)</t>
        </is>
      </c>
      <c r="G9" s="23" t="inlineStr">
        <is>
          <t>P0</t>
        </is>
      </c>
      <c r="H9" s="23" t="inlineStr">
        <is>
          <t>High</t>
        </is>
      </c>
      <c r="I9" s="23" t="inlineStr">
        <is>
          <t>Email intelligence is premium. LLM needed for classification. Weeks-ahead signal.</t>
        </is>
      </c>
    </row>
    <row r="10" ht="23.25" customHeight="1" s="21">
      <c r="A10" s="23" t="inlineStr">
        <is>
          <t>M25 JEDI Score</t>
        </is>
      </c>
      <c r="B10" s="23" t="inlineStr">
        <is>
          <t>—</t>
        </is>
      </c>
      <c r="C10" s="24" t="inlineStr">
        <is>
          <t>None</t>
        </is>
      </c>
      <c r="D10" s="23" t="inlineStr">
        <is>
          <t>Orchestrate all sub-scores. Recalculate on any signal change. Track history. Generate confidence interval.</t>
        </is>
      </c>
      <c r="E10" s="23" t="inlineStr">
        <is>
          <t>M04,M05,M06,M07,M14 outputs</t>
        </is>
      </c>
      <c r="F10" s="23" t="inlineStr">
        <is>
          <t>Medium (service exists)</t>
        </is>
      </c>
      <c r="G10" s="23" t="inlineStr">
        <is>
          <t>P0</t>
        </is>
      </c>
      <c r="H10" s="23" t="inlineStr">
        <is>
          <t>Medium</t>
        </is>
      </c>
      <c r="I10" s="23" t="inlineStr">
        <is>
          <t>Service exists and is well-defined. Needs trigger wiring.</t>
        </is>
      </c>
    </row>
    <row r="11" ht="23.25" customHeight="1" s="21">
      <c r="A11" s="23" t="inlineStr">
        <is>
          <t>M14 Risk</t>
        </is>
      </c>
      <c r="B11" s="23" t="inlineStr">
        <is>
          <t>—</t>
        </is>
      </c>
      <c r="C11" s="24" t="inlineStr">
        <is>
          <t>None</t>
        </is>
      </c>
      <c r="D11" s="23" t="inlineStr">
        <is>
          <t>Auto-calculate 6 risk categories. Generate risk alerts on threshold breach. Trend tracking.</t>
        </is>
      </c>
      <c r="E11" s="23" t="inlineStr">
        <is>
          <t>M04 supply data, M06 demand data, regulatory feeds, market data</t>
        </is>
      </c>
      <c r="F11" s="23" t="inlineStr">
        <is>
          <t>Medium (service exists)</t>
        </is>
      </c>
      <c r="G11" s="23" t="inlineStr">
        <is>
          <t>P1</t>
        </is>
      </c>
      <c r="H11" s="23" t="inlineStr">
        <is>
          <t>Medium</t>
        </is>
      </c>
      <c r="I11" s="23" t="inlineStr">
        <is>
          <t>Risk Scoring Service exists. Needs Phase 3 categories.</t>
        </is>
      </c>
    </row>
    <row r="12" ht="23.25" customHeight="1" s="21">
      <c r="A12" s="23" t="inlineStr">
        <is>
          <t>M05 Market</t>
        </is>
      </c>
      <c r="B12" s="23" t="inlineStr">
        <is>
          <t>—</t>
        </is>
      </c>
      <c r="C12" s="24" t="inlineStr">
        <is>
          <t>None</t>
        </is>
      </c>
      <c r="D12" s="23" t="inlineStr">
        <is>
          <t>Aggregate market data from multiple sources. Calculate submarket metrics. Rank submarkets. Comp analysis.</t>
        </is>
      </c>
      <c r="E12" s="23" t="inlineStr">
        <is>
          <t>Apartments.com scraper, RentCast API, Census, BLS</t>
        </is>
      </c>
      <c r="F12" s="23" t="inlineStr">
        <is>
          <t>Medium (partial services)</t>
        </is>
      </c>
      <c r="G12" s="23" t="inlineStr">
        <is>
          <t>P1</t>
        </is>
      </c>
      <c r="H12" s="23" t="inlineStr">
        <is>
          <t>High</t>
        </is>
      </c>
      <c r="I12" s="23" t="inlineStr">
        <is>
          <t>Multiple data sources to normalize. Comp analysis is complex.</t>
        </is>
      </c>
    </row>
    <row r="13" ht="23.25" customHeight="1" s="21">
      <c r="A13" s="23" t="inlineStr">
        <is>
          <t>M15 Competition</t>
        </is>
      </c>
      <c r="B13" s="23" t="inlineStr">
        <is>
          <t>—</t>
        </is>
      </c>
      <c r="C13" s="24" t="inlineStr">
        <is>
          <t>None</t>
        </is>
      </c>
      <c r="D13" s="23" t="inlineStr">
        <is>
          <t>Identify competitive set within trade area. Track their rents, occupancy, amenities. Generate competitive position.</t>
        </is>
      </c>
      <c r="E13" s="23" t="inlineStr">
        <is>
          <t>Apartments.com, CoStar, Google Maps, user input</t>
        </is>
      </c>
      <c r="F13" s="23" t="inlineStr">
        <is>
          <t>Low (manual comps)</t>
        </is>
      </c>
      <c r="G13" s="23" t="inlineStr">
        <is>
          <t>P1</t>
        </is>
      </c>
      <c r="H13" s="23" t="inlineStr">
        <is>
          <t>Medium</t>
        </is>
      </c>
      <c r="I13" s="23" t="inlineStr">
        <is>
          <t>Overlaps with M05 Market. Could be sub-agent.</t>
        </is>
      </c>
    </row>
    <row r="14" ht="23.25" customHeight="1" s="21">
      <c r="A14" s="23" t="inlineStr">
        <is>
          <t>M21 AI Chat</t>
        </is>
      </c>
      <c r="B14" s="23" t="inlineStr">
        <is>
          <t>—</t>
        </is>
      </c>
      <c r="C14" s="24" t="inlineStr">
        <is>
          <t>None</t>
        </is>
      </c>
      <c r="D14" s="23" t="inlineStr">
        <is>
          <t>Natural language interface to all platform data. Answer deal questions. Generate reports. Conversational analysis.</t>
        </is>
      </c>
      <c r="E14" s="23" t="inlineStr">
        <is>
          <t>ALL module APIs, LLM (Claude)</t>
        </is>
      </c>
      <c r="F14" s="23" t="inlineStr">
        <is>
          <t>None (new capability)</t>
        </is>
      </c>
      <c r="G14" s="23" t="inlineStr">
        <is>
          <t>P1</t>
        </is>
      </c>
      <c r="H14" s="23" t="inlineStr">
        <is>
          <t>Very High</t>
        </is>
      </c>
      <c r="I14" s="23" t="inlineStr">
        <is>
          <t>Opus integration exists but needs full data wiring.</t>
        </is>
      </c>
    </row>
  </sheetData>
  <autoFilter ref="A1:I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A2D4A"/>
    <outlinePr summaryBelow="1" summaryRight="1"/>
    <pageSetUpPr fitToPage="0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20" min="1" max="1"/>
    <col width="28" customWidth="1" style="20" min="2" max="2"/>
    <col width="55" customWidth="1" style="20" min="3" max="3"/>
    <col width="50" customWidth="1" style="20" min="4" max="5"/>
    <col width="45" customWidth="1" style="20" min="6" max="6"/>
    <col width="50" customWidth="1" style="20" min="7" max="7"/>
    <col width="20" customWidth="1" style="20" min="8" max="8"/>
    <col width="12" customWidth="1" style="20" min="9" max="9"/>
  </cols>
  <sheetData>
    <row r="1" ht="26.25" customHeight="1" s="21">
      <c r="A1" s="22" t="inlineStr">
        <is>
          <t>Module</t>
        </is>
      </c>
      <c r="B1" s="22" t="inlineStr">
        <is>
          <t>UI View / Tab</t>
        </is>
      </c>
      <c r="C1" s="22" t="inlineStr">
        <is>
          <t>Primary Data Displayed</t>
        </is>
      </c>
      <c r="D1" s="22" t="inlineStr">
        <is>
          <t>Secondary Data</t>
        </is>
      </c>
      <c r="E1" s="22" t="inlineStr">
        <is>
          <t>User Actions</t>
        </is>
      </c>
      <c r="F1" s="22" t="inlineStr">
        <is>
          <t>Cross-Module Dependencies</t>
        </is>
      </c>
      <c r="G1" s="22" t="inlineStr">
        <is>
          <t>Key Widgets</t>
        </is>
      </c>
      <c r="H1" s="22" t="inlineStr">
        <is>
          <t>Data Refresh Rate</t>
        </is>
      </c>
      <c r="I1" s="22" t="inlineStr">
        <is>
          <t>Build Status</t>
        </is>
      </c>
    </row>
    <row r="2" ht="23.25" customHeight="1" s="21">
      <c r="A2" s="23" t="inlineStr">
        <is>
          <t>M01 Overview</t>
        </is>
      </c>
      <c r="B2" s="23" t="inlineStr">
        <is>
          <t>Deal Capsule → Overview Tab</t>
        </is>
      </c>
      <c r="C2" s="23" t="inlineStr">
        <is>
          <t>JEDI Score (large gauge), property photo/address, owner info, strategy recommendation, pipeline stage</t>
        </is>
      </c>
      <c r="D2" s="23" t="inlineStr">
        <is>
          <t>Score delta (trending arrow), DD completion %, team members, last activity</t>
        </is>
      </c>
      <c r="E2" s="23" t="inlineStr">
        <is>
          <t>Edit property details, change pipeline stage, assign team member, flag deal</t>
        </is>
      </c>
      <c r="F2" s="23" t="inlineStr">
        <is>
          <t>M25→score, M08→strategy, M16→stage, M14→risk, M13→DD%</t>
        </is>
      </c>
      <c r="G2" s="23" t="inlineStr">
        <is>
          <t>Score gauge, mini sparkline (score history), property card, quick stats grid</t>
        </is>
      </c>
      <c r="H2" s="23" t="inlineStr">
        <is>
          <t>Real-time (WebSocket)</t>
        </is>
      </c>
      <c r="I2" s="26" t="inlineStr">
        <is>
          <t>Partial</t>
        </is>
      </c>
    </row>
    <row r="3" ht="23.25" customHeight="1" s="21">
      <c r="A3" s="23" t="inlineStr">
        <is>
          <t>M02 Zoning</t>
        </is>
      </c>
      <c r="B3" s="23" t="inlineStr">
        <is>
          <t>Deal Capsule → Zoning Tab</t>
        </is>
      </c>
      <c r="C3" s="23" t="inlineStr">
        <is>
          <t>Zoning code, current density vs max, FAR, setbacks, land use, entitlement pathway</t>
        </is>
      </c>
      <c r="D3" s="23" t="inlineStr">
        <is>
          <t>Zoning utilization gauge, comparable redevelopments, zoning map overlay</t>
        </is>
      </c>
      <c r="E3" s="23" t="inlineStr">
        <is>
          <t>Request zoning verification, submit user correction, view Municode source, compare to neighboring parcels</t>
        </is>
      </c>
      <c r="F3" s="23" t="inlineStr">
        <is>
          <t>Municode API→code, M03→density comparison, PostGIS→parcel boundaries</t>
        </is>
      </c>
      <c r="G3" s="23" t="inlineStr">
        <is>
          <t>Zoning card with source citation, density bar chart, setback diagram, entitlement timeline</t>
        </is>
      </c>
      <c r="H3" s="23" t="inlineStr">
        <is>
          <t>On-demand (agent query)</t>
        </is>
      </c>
      <c r="I3" s="26" t="inlineStr">
        <is>
          <t>Partial</t>
        </is>
      </c>
    </row>
    <row r="4" ht="23.25" customHeight="1" s="21">
      <c r="A4" s="23" t="inlineStr">
        <is>
          <t>M03 Dev Cap</t>
        </is>
      </c>
      <c r="B4" s="23" t="inlineStr">
        <is>
          <t>Deal Capsule → Development Tab</t>
        </is>
      </c>
      <c r="C4" s="23" t="inlineStr">
        <is>
          <t>As-of-right scenario (units/GFA/height/parking), variance scenario, rezone scenario comparison table</t>
        </is>
      </c>
      <c r="D4" s="23" t="inlineStr">
        <is>
          <t>10-year supply gap chart, construction cost estimate, comparable developments</t>
        </is>
      </c>
      <c r="E4" s="23" t="inlineStr">
        <is>
          <t>Adjust unit mix, change building parameters, run custom scenario, export envelope to 3D</t>
        </is>
      </c>
      <c r="F4" s="23" t="inlineStr">
        <is>
          <t>M02→zoning params, M04→pipeline for gap calc, property boundaries→site area</t>
        </is>
      </c>
      <c r="G4" s="23" t="inlineStr">
        <is>
          <t>Scenario comparison table, building envelope 3D preview, supply gap chart, cost waterfall</t>
        </is>
      </c>
      <c r="H4" s="23" t="inlineStr">
        <is>
          <t>On zoning change</t>
        </is>
      </c>
      <c r="I4" s="26" t="inlineStr">
        <is>
          <t>Partial</t>
        </is>
      </c>
    </row>
    <row r="5" ht="23.25" customHeight="1" s="21">
      <c r="A5" s="23" t="inlineStr">
        <is>
          <t>M04 Supply</t>
        </is>
      </c>
      <c r="B5" s="23" t="inlineStr">
        <is>
          <t>Deal Capsule → Supply Tab</t>
        </is>
      </c>
      <c r="C5" s="23" t="inlineStr">
        <is>
          <t>Pipeline summary (permitted/UC/delivered), supply pressure gauge, months of supply, competitive project list</t>
        </is>
      </c>
      <c r="D5" s="23" t="inlineStr">
        <is>
          <t>Supply trend chart (12mo), absorption rate trend, pipeline map (locations), developer concentration</t>
        </is>
      </c>
      <c r="E5" s="23" t="inlineStr">
        <is>
          <t>Add manual supply event, mark project status change, filter by distance/price tier, export pipeline</t>
        </is>
      </c>
      <c r="F5" s="23" t="inlineStr">
        <is>
          <t>Permit DBs→events, M19→news supply events, apartments.com→comp data</t>
        </is>
      </c>
      <c r="G5" s="23" t="inlineStr">
        <is>
          <t>Pipeline donut chart, supply pressure gauge, project timeline, competitive map overlay</t>
        </is>
      </c>
      <c r="H5" s="23" t="inlineStr">
        <is>
          <t>Daily (scraper)</t>
        </is>
      </c>
      <c r="I5" s="26" t="inlineStr">
        <is>
          <t>Partial</t>
        </is>
      </c>
    </row>
    <row r="6" ht="23.25" customHeight="1" s="21">
      <c r="A6" s="23" t="inlineStr">
        <is>
          <t>M05 Market</t>
        </is>
      </c>
      <c r="B6" s="23" t="inlineStr">
        <is>
          <t>Deal Capsule → Market Tab</t>
        </is>
      </c>
      <c r="C6" s="23" t="inlineStr">
        <is>
          <t>Avg rent/SF, vacancy rate, absorption, rent growth trend, submarket rank, demographic snapshot</t>
        </is>
      </c>
      <c r="D6" s="23" t="inlineStr">
        <is>
          <t>Rent trend chart (24mo), vacancy trend, population growth, employment data, income distribution</t>
        </is>
      </c>
      <c r="E6" s="23" t="inlineStr">
        <is>
          <t>Set comp radius, filter by property type/class, compare submarkets, set rent assumptions</t>
        </is>
      </c>
      <c r="F6" s="23" t="inlineStr">
        <is>
          <t>Apartments.com→rents, RentCast→market data, Census→demographics, M06→demand context</t>
        </is>
      </c>
      <c r="G6" s="23" t="inlineStr">
        <is>
          <t>Rent trend sparkline, vacancy gauge, demographic donut chart, submarket rank bar, comp grid</t>
        </is>
      </c>
      <c r="H6" s="23" t="inlineStr">
        <is>
          <t>Weekly (scraper)</t>
        </is>
      </c>
      <c r="I6" s="26" t="inlineStr">
        <is>
          <t>Partial</t>
        </is>
      </c>
    </row>
    <row r="7" ht="23.25" customHeight="1" s="21">
      <c r="A7" s="23" t="inlineStr">
        <is>
          <t>M06 Demand</t>
        </is>
      </c>
      <c r="B7" s="23" t="inlineStr">
        <is>
          <t>Market Tab → Demand Sub-section</t>
        </is>
      </c>
      <c r="C7" s="23" t="inlineStr">
        <is>
          <t>Active demand events list, total units demanded, phased projection chart (quarterly), income tier breakdown</t>
        </is>
      </c>
      <c r="D7" s="23" t="inlineStr">
        <is>
          <t>Demand event timeline, employer concentration pie chart, demand confidence level</t>
        </is>
      </c>
      <c r="E7" s="23" t="inlineStr">
        <is>
          <t>Add manual demand event, adjust conversion rates, set confidence, link to news source</t>
        </is>
      </c>
      <c r="F7" s="23" t="inlineStr">
        <is>
          <t>M19→classified news events, BLS→employment, Census→migration data</t>
        </is>
      </c>
      <c r="G7" s="23" t="inlineStr">
        <is>
          <t>Demand event cards, phased bar chart, income tier stacked bar, employer pie chart</t>
        </is>
      </c>
      <c r="H7" s="23" t="inlineStr">
        <is>
          <t>On news event</t>
        </is>
      </c>
      <c r="I7" s="25" t="inlineStr">
        <is>
          <t>Built</t>
        </is>
      </c>
    </row>
    <row r="8" ht="23.25" customHeight="1" s="21">
      <c r="A8" s="23" t="inlineStr">
        <is>
          <t>M07 Traffic</t>
        </is>
      </c>
      <c r="B8" s="23" t="inlineStr">
        <is>
          <t>Deal Capsule → Traffic Tab</t>
        </is>
      </c>
      <c r="C8" s="23" t="inlineStr">
        <is>
          <t>Predicted leases/week, traffic-to-lease funnel, physical traffic count, digital traffic (web/search)</t>
        </is>
      </c>
      <c r="D8" s="23" t="inlineStr">
        <is>
          <t>Traffic trend (weekly), search keyword cloud, drive-by heatmap, competitor traffic comparison</t>
        </is>
      </c>
      <c r="E8" s="23" t="inlineStr">
        <is>
          <t>Input actual lease data (trains model), set traffic sources, compare to portfolio</t>
        </is>
      </c>
      <c r="F8" s="23" t="inlineStr">
        <is>
          <t>Placer.ai→physical, SpyFu→digital, user→actual leases</t>
        </is>
      </c>
      <c r="G8" s="23" t="inlineStr">
        <is>
          <t>Traffic funnel visualization, prediction gauge with confidence, trend line chart, keyword cloud</t>
        </is>
      </c>
      <c r="H8" s="23" t="inlineStr">
        <is>
          <t>Weekly</t>
        </is>
      </c>
      <c r="I8" s="24" t="inlineStr">
        <is>
          <t>New</t>
        </is>
      </c>
    </row>
    <row r="9" ht="23.25" customHeight="1" s="21">
      <c r="A9" s="23" t="inlineStr">
        <is>
          <t>M08 Strategy</t>
        </is>
      </c>
      <c r="B9" s="23" t="inlineStr">
        <is>
          <t>Deal Capsule → Strategy Tab</t>
        </is>
      </c>
      <c r="C9" s="23" t="inlineStr">
        <is>
          <t>4-strategy comparison matrix: BTS / Flip / Rental / STR scores, ROI comparison, recommended strategy with reasoning</t>
        </is>
      </c>
      <c r="D9" s="23" t="inlineStr">
        <is>
          <t>Strategy radar chart (5 signals × 4 strategies), arbitrage opportunity flag, strategy-specific assumptions</t>
        </is>
      </c>
      <c r="E9" s="23" t="inlineStr">
        <is>
          <t>Override strategy weights, toggle strategies on/off, drill into strategy details, generate strategy memo</t>
        </is>
      </c>
      <c r="F9" s="23" t="inlineStr">
        <is>
          <t>M02-M07→all signals, M09→ROI per strategy, Strategy Matrix→weights</t>
        </is>
      </c>
      <c r="G9" s="23" t="inlineStr">
        <is>
          <t>Strategy comparison table, radar chart, ROI bar chart, arbitrage alert banner, recommendation card</t>
        </is>
      </c>
      <c r="H9" s="23" t="inlineStr">
        <is>
          <t>On any signal change</t>
        </is>
      </c>
      <c r="I9" s="26" t="inlineStr">
        <is>
          <t>Partial</t>
        </is>
      </c>
    </row>
    <row r="10" ht="23.25" customHeight="1" s="21">
      <c r="A10" s="23" t="inlineStr">
        <is>
          <t>M09 ProForma</t>
        </is>
      </c>
      <c r="B10" s="23" t="inlineStr">
        <is>
          <t>Deal Capsule → Financial Tab</t>
        </is>
      </c>
      <c r="C10" s="23" t="inlineStr">
        <is>
          <t>Income statement (5-10yr), NOI, cash flow, IRR, equity multiple, CoC, cap rate. Baseline vs news-adjusted columns.</t>
        </is>
      </c>
      <c r="D10" s="23" t="inlineStr">
        <is>
          <t>Assumption panel (editable), waterfall chart (value creation), sensitivity table</t>
        </is>
      </c>
      <c r="E10" s="23" t="inlineStr">
        <is>
          <t>Edit assumptions (blue cells), toggle news-adjustment on/off, switch strategy, export to Excel, run sensitivity</t>
        </is>
      </c>
      <c r="F10" s="23" t="inlineStr">
        <is>
          <t>M02-M08→assumptions auto-sync, user→overrides, rate feeds→debt terms</t>
        </is>
      </c>
      <c r="G10" s="23" t="inlineStr">
        <is>
          <t>Proforma spreadsheet grid, assumption sidebar, waterfall chart, returns summary card, toggle baseline/adjusted</t>
        </is>
      </c>
      <c r="H10" s="23" t="inlineStr">
        <is>
          <t>On assumption change</t>
        </is>
      </c>
      <c r="I10" s="26" t="inlineStr">
        <is>
          <t>Partial</t>
        </is>
      </c>
    </row>
    <row r="11" ht="23.25" customHeight="1" s="21">
      <c r="A11" s="23" t="inlineStr">
        <is>
          <t>M10 Scenario</t>
        </is>
      </c>
      <c r="B11" s="23" t="inlineStr">
        <is>
          <t>Financial Tab → Scenarios Sub-tab</t>
        </is>
      </c>
      <c r="C11" s="23" t="inlineStr">
        <is>
          <t>Bull/Base/Bear/Stress comparison table, probability-weighted return, scenario narratives</t>
        </is>
      </c>
      <c r="D11" s="23" t="inlineStr">
        <is>
          <t>Scenario parameter diff table, event sources per scenario, Monte Carlo distribution (future)</t>
        </is>
      </c>
      <c r="E11" s="23" t="inlineStr">
        <is>
          <t>Generate scenarios, adjust probabilities, create custom scenario, view event evidence</t>
        </is>
      </c>
      <c r="F11" s="23" t="inlineStr">
        <is>
          <t>M06→demand events, M04→supply events, M09→base proforma</t>
        </is>
      </c>
      <c r="G11" s="23" t="inlineStr">
        <is>
          <t>Scenario comparison table, probability slider, return distribution chart, event evidence cards</t>
        </is>
      </c>
      <c r="H11" s="23" t="inlineStr">
        <is>
          <t>On event change</t>
        </is>
      </c>
      <c r="I11" s="25" t="inlineStr">
        <is>
          <t>Built</t>
        </is>
      </c>
    </row>
    <row r="12" ht="23.25" customHeight="1" s="21">
      <c r="A12" s="23" t="inlineStr">
        <is>
          <t>M11 Debt</t>
        </is>
      </c>
      <c r="B12" s="23" t="inlineStr">
        <is>
          <t>Deal Capsule → Debt Tab</t>
        </is>
      </c>
      <c r="C12" s="23" t="inlineStr">
        <is>
          <t>DSCR gauge, LTV, debt yield, amortization schedule, rate sensitivity table</t>
        </is>
      </c>
      <c r="D12" s="23" t="inlineStr">
        <is>
          <t>Lender comp table, refi risk timeline, rate forecast chart</t>
        </is>
      </c>
      <c r="E12" s="23" t="inlineStr">
        <is>
          <t>Input loan terms, compare lender quotes, run rate sensitivity, toggle fixed/floating</t>
        </is>
      </c>
      <c r="F12" s="23" t="inlineStr">
        <is>
          <t>M09→NOI, rate feeds, lender database</t>
        </is>
      </c>
      <c r="G12" s="23" t="inlineStr">
        <is>
          <t>DSCR gauge, amortization table, rate sensitivity heatmap, lender comparison grid</t>
        </is>
      </c>
      <c r="H12" s="23" t="inlineStr">
        <is>
          <t>On NOI or rate change</t>
        </is>
      </c>
      <c r="I12" s="26" t="inlineStr">
        <is>
          <t>Partial</t>
        </is>
      </c>
    </row>
    <row r="13" ht="23.25" customHeight="1" s="21">
      <c r="A13" s="23" t="inlineStr">
        <is>
          <t>M12 Exit</t>
        </is>
      </c>
      <c r="B13" s="23" t="inlineStr">
        <is>
          <t>Deal Capsule → Exit Tab</t>
        </is>
      </c>
      <c r="C13" s="23" t="inlineStr">
        <is>
          <t>Optimal exit year, hold vs sell NPV chart, exit cap rate range, disposition value estimate</t>
        </is>
      </c>
      <c r="D13" s="23" t="inlineStr">
        <is>
          <t>1031 exchange timeline, exit comp transactions, cap rate forecast</t>
        </is>
      </c>
      <c r="E13" s="23" t="inlineStr">
        <is>
          <t>Set exit assumptions, compare hold periods, model 1031 scenarios, set target returns</t>
        </is>
      </c>
      <c r="F13" s="23" t="inlineStr">
        <is>
          <t>M09→projected NOI/CF, M05→cap rate trends, M04→future supply</t>
        </is>
      </c>
      <c r="G13" s="23" t="inlineStr">
        <is>
          <t>Hold vs Sell line chart, exit value table by year, cap rate forecast, disposition waterfall</t>
        </is>
      </c>
      <c r="H13" s="23" t="inlineStr">
        <is>
          <t>On financial change</t>
        </is>
      </c>
      <c r="I13" s="26" t="inlineStr">
        <is>
          <t>Partial</t>
        </is>
      </c>
    </row>
    <row r="14" ht="23.25" customHeight="1" s="21">
      <c r="A14" s="23" t="inlineStr">
        <is>
          <t>M13 DD</t>
        </is>
      </c>
      <c r="B14" s="23" t="inlineStr">
        <is>
          <t>Deal Capsule → DD Tab</t>
        </is>
      </c>
      <c r="C14" s="23" t="inlineStr">
        <is>
          <t>DD checklist by category (physical/financial/legal/environmental), completion %, critical findings</t>
        </is>
      </c>
      <c r="D14" s="23" t="inlineStr">
        <is>
          <t>Document tracker, inspection calendar, vendor assignments, red flag alerts</t>
        </is>
      </c>
      <c r="E14" s="23" t="inlineStr">
        <is>
          <t>Check off items, upload documents, assign vendors, flag findings, set deadlines</t>
        </is>
      </c>
      <c r="F14" s="23" t="inlineStr">
        <is>
          <t>User input, M18→documents, vendor responses</t>
        </is>
      </c>
      <c r="G14" s="23" t="inlineStr">
        <is>
          <t>Checklist with progress bars, document grid, calendar view, red flag banner, timeline</t>
        </is>
      </c>
      <c r="H14" s="23" t="inlineStr">
        <is>
          <t>Real-time (user input)</t>
        </is>
      </c>
      <c r="I14" s="26" t="inlineStr">
        <is>
          <t>Partial</t>
        </is>
      </c>
    </row>
    <row r="15" ht="34.5" customHeight="1" s="21">
      <c r="A15" s="23" t="inlineStr">
        <is>
          <t>M14 Risk</t>
        </is>
      </c>
      <c r="B15" s="23" t="inlineStr">
        <is>
          <t>Overview Tab → Risk Section</t>
        </is>
      </c>
      <c r="C15" s="23" t="inlineStr">
        <is>
          <t>Composite risk score, 6-category risk heatmap, highest risk alert, risk trend arrow</t>
        </is>
      </c>
      <c r="D15" s="23" t="inlineStr">
        <is>
          <t>Category drill-down, risk factor detail, mitigation suggestions, risk history chart</t>
        </is>
      </c>
      <c r="E15" s="23" t="inlineStr">
        <is>
          <t>Acknowledge risk, add mitigation note, set risk threshold alerts, override risk category</t>
        </is>
      </c>
      <c r="F15" s="23" t="inlineStr">
        <is>
          <t>M04→supply risk, M06→demand risk, M02→regulatory, M05→market, M13→execution, climate data</t>
        </is>
      </c>
      <c r="G15" s="23" t="inlineStr">
        <is>
          <t>Risk heatmap (6 cells), composite gauge, risk trend sparkline, alert cards</t>
        </is>
      </c>
      <c r="H15" s="23" t="inlineStr">
        <is>
          <t>On any signal change</t>
        </is>
      </c>
      <c r="I15" s="25" t="inlineStr">
        <is>
          <t>Built</t>
        </is>
      </c>
    </row>
    <row r="16" ht="23.25" customHeight="1" s="21">
      <c r="A16" s="23" t="inlineStr">
        <is>
          <t>M15 Competition</t>
        </is>
      </c>
      <c r="B16" s="23" t="inlineStr">
        <is>
          <t>Deal Capsule → Competition Tab</t>
        </is>
      </c>
      <c r="C16" s="23" t="inlineStr">
        <is>
          <t>Competitive set (5-10 properties), rent comp grid, amenity comparison matrix, competitive position score</t>
        </is>
      </c>
      <c r="D16" s="23" t="inlineStr">
        <is>
          <t>Property photos, occupancy trends, rent trend per comp, map with comp locations</t>
        </is>
      </c>
      <c r="E16" s="23" t="inlineStr">
        <is>
          <t>Add/remove comps, adjust trade area for comp search, export comp report, flag a comp</t>
        </is>
      </c>
      <c r="F16" s="23" t="inlineStr">
        <is>
          <t>M04→pipeline projects, apartments.com→property data, M05→market context</t>
        </is>
      </c>
      <c r="G16" s="23" t="inlineStr">
        <is>
          <t>Comp grid table, amenity comparison matrix, rent index chart, comp map overlay</t>
        </is>
      </c>
      <c r="H16" s="23" t="inlineStr">
        <is>
          <t>Weekly</t>
        </is>
      </c>
      <c r="I16" s="26" t="inlineStr">
        <is>
          <t>Partial</t>
        </is>
      </c>
    </row>
    <row r="17" ht="23.25" customHeight="1" s="21">
      <c r="A17" s="23" t="inlineStr">
        <is>
          <t>M16 Pipeline</t>
        </is>
      </c>
      <c r="B17" s="23" t="inlineStr">
        <is>
          <t>Dashboard → Pipeline View</t>
        </is>
      </c>
      <c r="C17" s="23" t="inlineStr">
        <is>
          <t>Kanban board (Lead→Prospect→LOI→DD→Close→Asset), deal count per stage, total pipeline value</t>
        </is>
      </c>
      <c r="D17" s="23" t="inlineStr">
        <is>
          <t>Deal velocity metrics, conversion rates, stage duration averages</t>
        </is>
      </c>
      <c r="E17" s="23" t="inlineStr">
        <is>
          <t>Drag-and-drop deal between stages, filter by strategy/market, sort by JEDI score, bulk actions</t>
        </is>
      </c>
      <c r="F17" s="23" t="inlineStr">
        <is>
          <t>M01→deal summary cards, M25→JEDI scores for sorting</t>
        </is>
      </c>
      <c r="G17" s="23" t="inlineStr">
        <is>
          <t>Kanban board, pipeline value bar chart, velocity metrics, filter panel</t>
        </is>
      </c>
      <c r="H17" s="23" t="inlineStr">
        <is>
          <t>Real-time</t>
        </is>
      </c>
      <c r="I17" s="25" t="inlineStr">
        <is>
          <t>Built</t>
        </is>
      </c>
    </row>
    <row r="18" ht="23.25" customHeight="1" s="21">
      <c r="A18" s="23" t="inlineStr">
        <is>
          <t>M19 News</t>
        </is>
      </c>
      <c r="B18" s="23" t="inlineStr">
        <is>
          <t>Dashboard → News Feed</t>
        </is>
      </c>
      <c r="C18" s="23" t="inlineStr">
        <is>
          <t>Classified news events, geographic relevance, demand/supply impact tag, sentiment score</t>
        </is>
      </c>
      <c r="D18" s="23" t="inlineStr">
        <is>
          <t>Event detail modal, affected deals list, historical similar events</t>
        </is>
      </c>
      <c r="E18" s="23" t="inlineStr">
        <is>
          <t>Reclassify event, link to deal, dismiss, set keyword alerts, mark as processed</t>
        </is>
      </c>
      <c r="F18" s="23" t="inlineStr">
        <is>
          <t>News APIs→raw articles, M06→demand classification, M04→supply classification, email sync</t>
        </is>
      </c>
      <c r="G18" s="23" t="inlineStr">
        <is>
          <t>News card feed, classification badges, geographic tag, impact indicator, linked deals</t>
        </is>
      </c>
      <c r="H18" s="23" t="inlineStr">
        <is>
          <t>Real-time (polling)</t>
        </is>
      </c>
      <c r="I18" s="26" t="inlineStr">
        <is>
          <t>Partial</t>
        </is>
      </c>
    </row>
    <row r="19" ht="23.25" customHeight="1" s="21">
      <c r="A19" s="23" t="inlineStr">
        <is>
          <t>M20 Map</t>
        </is>
      </c>
      <c r="B19" s="23" t="inlineStr">
        <is>
          <t>Dashboard → Map View</t>
        </is>
      </c>
      <c r="C19" s="23" t="inlineStr">
        <is>
          <t>Property bubbles (sized by units, colored by JEDI score), trade area boundaries, heat map layers</t>
        </is>
      </c>
      <c r="D19" s="23" t="inlineStr">
        <is>
          <t>Layer controls (zoning, supply pipeline, demand events, traffic), filter panel, property detail popup</t>
        </is>
      </c>
      <c r="E19" s="23" t="inlineStr">
        <is>
          <t>Draw trade area, toggle layers, click bubble for detail, filter by score/strategy/type, save map view</t>
        </is>
      </c>
      <c r="F19" s="23" t="inlineStr">
        <is>
          <t>M25→scores for bubbles, M04→supply locations, M06→demand locations, M02→zoning overlay</t>
        </is>
      </c>
      <c r="G19" s="23" t="inlineStr">
        <is>
          <t>Mapbox map, bubble layer, drawing tools, layer control panel, filter sidebar, popup cards</t>
        </is>
      </c>
      <c r="H19" s="23" t="inlineStr">
        <is>
          <t>Real-time (WebSocket)</t>
        </is>
      </c>
      <c r="I19" s="26" t="inlineStr">
        <is>
          <t>Partial</t>
        </is>
      </c>
    </row>
    <row r="20" ht="23.25" customHeight="1" s="21">
      <c r="A20" s="23" t="inlineStr">
        <is>
          <t>M22 Portfolio</t>
        </is>
      </c>
      <c r="B20" s="23" t="inlineStr">
        <is>
          <t>Dashboard → Assets View</t>
        </is>
      </c>
      <c r="C20" s="23" t="inlineStr">
        <is>
          <t>Owned asset grid, portfolio NOI, actual vs budget variance, portfolio JEDI score</t>
        </is>
      </c>
      <c r="D20" s="23" t="inlineStr">
        <is>
          <t>Asset performance ranking, variance trend chart, cash flow timeline</t>
        </is>
      </c>
      <c r="E20" s="23" t="inlineStr">
        <is>
          <t>Upload actuals, compare to projections, drill into asset detail, export portfolio report</t>
        </is>
      </c>
      <c r="F20" s="23" t="inlineStr">
        <is>
          <t>M09→projected data, user→actual financials, M25→asset JEDI scores</t>
        </is>
      </c>
      <c r="G20" s="23" t="inlineStr">
        <is>
          <t>Asset grid table, performance bar chart, variance sparklines, portfolio summary card</t>
        </is>
      </c>
      <c r="H20" s="23" t="inlineStr">
        <is>
          <t>Monthly (on actual upload)</t>
        </is>
      </c>
      <c r="I20" s="26" t="inlineStr">
        <is>
          <t>Partial</t>
        </is>
      </c>
    </row>
    <row r="21" ht="23.25" customHeight="1" s="21">
      <c r="A21" s="23" t="inlineStr">
        <is>
          <t>M25 JEDI Score</t>
        </is>
      </c>
      <c r="B21" s="23" t="inlineStr">
        <is>
          <t>Embedded (M01, M20)</t>
        </is>
      </c>
      <c r="C21" s="23" t="inlineStr">
        <is>
          <t>Total JEDI Score (0-100) with 5 sub-score breakdown, confidence level, score delta</t>
        </is>
      </c>
      <c r="D21" s="23" t="inlineStr">
        <is>
          <t>Score history chart, sub-score contribution bar, benchmark comparison</t>
        </is>
      </c>
      <c r="E21" s="23" t="inlineStr">
        <is>
          <t>View score breakdown, drill into sub-score, view score history, set score alerts</t>
        </is>
      </c>
      <c r="F21" s="23" t="inlineStr">
        <is>
          <t>M04→supply, M05→market, M06→demand, M07→traffic, M14→risk</t>
        </is>
      </c>
      <c r="G21" s="23" t="inlineStr">
        <is>
          <t>Score gauge (large), sub-score bars, trend sparkline, confidence indicator</t>
        </is>
      </c>
      <c r="H21" s="23" t="inlineStr">
        <is>
          <t>On any sub-score change</t>
        </is>
      </c>
      <c r="I21" s="25" t="inlineStr">
        <is>
          <t>Built</t>
        </is>
      </c>
    </row>
  </sheetData>
  <autoFilter ref="A1:I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0" min="1" max="2"/>
    <col width="20" customWidth="1" style="20" min="3" max="3"/>
    <col width="14" customWidth="1" style="20" min="4" max="6"/>
    <col width="35" customWidth="1" style="20" min="7" max="10"/>
  </cols>
  <sheetData>
    <row r="1" ht="26.25" customHeight="1" s="21">
      <c r="A1" s="22" t="inlineStr">
        <is>
          <t>Signal</t>
        </is>
      </c>
      <c r="B1" s="22" t="inlineStr">
        <is>
          <t>JEDI Weight</t>
        </is>
      </c>
      <c r="C1" s="22" t="inlineStr">
        <is>
          <t>Build-to-Sell Weight</t>
        </is>
      </c>
      <c r="D1" s="22" t="inlineStr">
        <is>
          <t>Flip Weight</t>
        </is>
      </c>
      <c r="E1" s="22" t="inlineStr">
        <is>
          <t>Rental Weight</t>
        </is>
      </c>
      <c r="F1" s="22" t="inlineStr">
        <is>
          <t>STR Weight</t>
        </is>
      </c>
      <c r="G1" s="22" t="inlineStr">
        <is>
          <t>Key Indicator (BTS)</t>
        </is>
      </c>
      <c r="H1" s="22" t="inlineStr">
        <is>
          <t>Key Indicator (Flip)</t>
        </is>
      </c>
      <c r="I1" s="22" t="inlineStr">
        <is>
          <t>Key Indicator (Rental)</t>
        </is>
      </c>
      <c r="J1" s="22" t="inlineStr">
        <is>
          <t>Key Indicator (STR)</t>
        </is>
      </c>
    </row>
    <row r="2" ht="15" customHeight="1" s="21">
      <c r="A2" s="23" t="inlineStr">
        <is>
          <t>Demand</t>
        </is>
      </c>
      <c r="B2" s="35" t="n">
        <v>0.3</v>
      </c>
      <c r="C2" s="35" t="n">
        <v>0.3</v>
      </c>
      <c r="D2" s="35" t="n">
        <v>0.15</v>
      </c>
      <c r="E2" s="35" t="n">
        <v>0.3</v>
      </c>
      <c r="F2" s="35" t="n">
        <v>0.25</v>
      </c>
      <c r="G2" s="23" t="inlineStr">
        <is>
          <t>Absorption rate &gt; supply pipeline</t>
        </is>
      </c>
      <c r="H2" s="23" t="inlineStr">
        <is>
          <t>Distressed inventory rising</t>
        </is>
      </c>
      <c r="I2" s="23" t="inlineStr">
        <is>
          <t>Rent growth &gt; inflation</t>
        </is>
      </c>
      <c r="J2" s="23" t="inlineStr">
        <is>
          <t>Tourism/business travel trends</t>
        </is>
      </c>
    </row>
    <row r="3" ht="15" customHeight="1" s="21">
      <c r="A3" s="23" t="inlineStr">
        <is>
          <t>Supply</t>
        </is>
      </c>
      <c r="B3" s="35" t="n">
        <v>0.25</v>
      </c>
      <c r="C3" s="35" t="n">
        <v>0.25</v>
      </c>
      <c r="D3" s="35" t="n">
        <v>0.2</v>
      </c>
      <c r="E3" s="35" t="n">
        <v>0.25</v>
      </c>
      <c r="F3" s="35" t="n">
        <v>0.2</v>
      </c>
      <c r="G3" s="23" t="inlineStr">
        <is>
          <t>Permit activity low</t>
        </is>
      </c>
      <c r="H3" s="23" t="inlineStr">
        <is>
          <t>REO/foreclosure inventory</t>
        </is>
      </c>
      <c r="I3" s="23" t="inlineStr">
        <is>
          <t>Vacancy rate declining</t>
        </is>
      </c>
      <c r="J3" s="23" t="inlineStr">
        <is>
          <t>STR permit availability</t>
        </is>
      </c>
    </row>
    <row r="4" ht="15" customHeight="1" s="21">
      <c r="A4" s="23" t="inlineStr">
        <is>
          <t>Momentum</t>
        </is>
      </c>
      <c r="B4" s="35" t="n">
        <v>0.2</v>
      </c>
      <c r="C4" s="35" t="n">
        <v>0.2</v>
      </c>
      <c r="D4" s="35" t="n">
        <v>0.3</v>
      </c>
      <c r="E4" s="35" t="n">
        <v>0.2</v>
      </c>
      <c r="F4" s="35" t="n">
        <v>0.25</v>
      </c>
      <c r="G4" s="23" t="inlineStr">
        <is>
          <t>Price appreciation accelerating</t>
        </is>
      </c>
      <c r="H4" s="23" t="inlineStr">
        <is>
          <t>Days on market declining</t>
        </is>
      </c>
      <c r="I4" s="23" t="inlineStr">
        <is>
          <t>Cap rate compression</t>
        </is>
      </c>
      <c r="J4" s="23" t="inlineStr">
        <is>
          <t>ADR growth rate</t>
        </is>
      </c>
    </row>
    <row r="5" ht="15" customHeight="1" s="21">
      <c r="A5" s="23" t="inlineStr">
        <is>
          <t>Position</t>
        </is>
      </c>
      <c r="B5" s="35" t="n">
        <v>0.15</v>
      </c>
      <c r="C5" s="35" t="n">
        <v>0.15</v>
      </c>
      <c r="D5" s="35" t="n">
        <v>0.2</v>
      </c>
      <c r="E5" s="35" t="n">
        <v>0.15</v>
      </c>
      <c r="F5" s="35" t="n">
        <v>0.2</v>
      </c>
      <c r="G5" s="23" t="inlineStr">
        <is>
          <t>Entitled land available</t>
        </is>
      </c>
      <c r="H5" s="23" t="inlineStr">
        <is>
          <t>Below-market distressed deals</t>
        </is>
      </c>
      <c r="I5" s="23" t="inlineStr">
        <is>
          <t>Cash flow positive at acquisition</t>
        </is>
      </c>
      <c r="J5" s="23" t="inlineStr">
        <is>
          <t>Revenue/key above market</t>
        </is>
      </c>
    </row>
    <row r="6" ht="15" customHeight="1" s="21">
      <c r="A6" s="23" t="inlineStr">
        <is>
          <t>Risk</t>
        </is>
      </c>
      <c r="B6" s="35" t="n">
        <v>0.1</v>
      </c>
      <c r="C6" s="35" t="n">
        <v>0.1</v>
      </c>
      <c r="D6" s="35" t="n">
        <v>0.15</v>
      </c>
      <c r="E6" s="35" t="n">
        <v>0.1</v>
      </c>
      <c r="F6" s="35" t="n">
        <v>0.1</v>
      </c>
      <c r="G6" s="23" t="inlineStr">
        <is>
          <t>Construction cost stability</t>
        </is>
      </c>
      <c r="H6" s="23" t="inlineStr">
        <is>
          <t>Renovation cost certainty</t>
        </is>
      </c>
      <c r="I6" s="23" t="inlineStr">
        <is>
          <t>Tenant quality/default risk</t>
        </is>
      </c>
      <c r="J6" s="23" t="inlineStr">
        <is>
          <t>Regulatory environment</t>
        </is>
      </c>
    </row>
    <row r="7" ht="15" customHeight="1" s="21">
      <c r="A7" s="36" t="inlineStr">
        <is>
          <t>TOTAL</t>
        </is>
      </c>
      <c r="B7" s="37">
        <f>SUM(B2:B6)</f>
        <v/>
      </c>
      <c r="C7" s="37">
        <f>SUM(C2:C6)</f>
        <v/>
      </c>
      <c r="D7" s="37">
        <f>SUM(D2:D6)</f>
        <v/>
      </c>
      <c r="E7" s="37">
        <f>SUM(E2:E6)</f>
        <v/>
      </c>
      <c r="F7" s="37">
        <f>SUM(F2:F6)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06400"/>
    <outlinePr summaryBelow="1" summaryRight="1"/>
    <pageSetUpPr fitToPage="0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35" customWidth="1" style="20" min="2" max="2"/>
    <col width="60" customWidth="1" style="20" min="3" max="3"/>
    <col width="40" customWidth="1" style="20" min="4" max="4"/>
    <col width="35" customWidth="1" style="20" min="5" max="5"/>
    <col width="14" customWidth="1" style="20" min="6" max="6"/>
    <col width="12" customWidth="1" style="20" min="7" max="7"/>
  </cols>
  <sheetData>
    <row r="1" ht="15" customHeight="1" s="21">
      <c r="A1" s="22" t="inlineStr">
        <is>
          <t>Priority</t>
        </is>
      </c>
      <c r="B1" s="22" t="inlineStr">
        <is>
          <t>Module(s)</t>
        </is>
      </c>
      <c r="C1" s="22" t="inlineStr">
        <is>
          <t>What to Wire</t>
        </is>
      </c>
      <c r="D1" s="22" t="inlineStr">
        <is>
          <t>Formulas Needed</t>
        </is>
      </c>
      <c r="E1" s="22" t="inlineStr">
        <is>
          <t>Blocked By</t>
        </is>
      </c>
      <c r="F1" s="22" t="inlineStr">
        <is>
          <t>Effort</t>
        </is>
      </c>
      <c r="G1" s="22" t="inlineStr">
        <is>
          <t>Impact</t>
        </is>
      </c>
    </row>
    <row r="2" ht="23.25" customHeight="1" s="21">
      <c r="A2" s="23" t="inlineStr">
        <is>
          <t>P0-1</t>
        </is>
      </c>
      <c r="B2" s="23" t="inlineStr">
        <is>
          <t>M25 JEDI Score → M01 Overview</t>
        </is>
      </c>
      <c r="C2" s="23" t="inlineStr">
        <is>
          <t>Wire JEDI Score service to Overview display. Score recalculation triggers on sub-score change.</t>
        </is>
      </c>
      <c r="D2" s="23" t="inlineStr">
        <is>
          <t>F01 (composite), F02-F06 (sub-scores)</t>
        </is>
      </c>
      <c r="E2" s="23" t="inlineStr">
        <is>
          <t>Sub-score services need data feeds</t>
        </is>
      </c>
      <c r="F2" s="23" t="inlineStr">
        <is>
          <t>Medium</t>
        </is>
      </c>
      <c r="G2" s="38" t="inlineStr">
        <is>
          <t>Critical</t>
        </is>
      </c>
    </row>
    <row r="3" ht="23.25" customHeight="1" s="21">
      <c r="A3" s="23" t="inlineStr">
        <is>
          <t>P0-2</t>
        </is>
      </c>
      <c r="B3" s="23" t="inlineStr">
        <is>
          <t>M19 News → M06 Demand + M04 Supply</t>
        </is>
      </c>
      <c r="C3" s="23" t="inlineStr">
        <is>
          <t>News classification pipeline: raw article → LLM classification → structured event → demand/supply service</t>
        </is>
      </c>
      <c r="D3" s="23" t="inlineStr">
        <is>
          <t>F10 (housing conversion), F11 (phasing)</t>
        </is>
      </c>
      <c r="E3" s="23" t="inlineStr">
        <is>
          <t>LLM integration, news API setup</t>
        </is>
      </c>
      <c r="F3" s="23" t="inlineStr">
        <is>
          <t>High</t>
        </is>
      </c>
      <c r="G3" s="38" t="inlineStr">
        <is>
          <t>Critical</t>
        </is>
      </c>
    </row>
    <row r="4" ht="23.25" customHeight="1" s="21">
      <c r="A4" s="23" t="inlineStr">
        <is>
          <t>P0-3</t>
        </is>
      </c>
      <c r="B4" s="23" t="inlineStr">
        <is>
          <t>M02 Zoning → M03 Dev Cap → M08 Strategy</t>
        </is>
      </c>
      <c r="C4" s="23" t="inlineStr">
        <is>
          <t>Zoning output feeds building envelope calculator, which feeds strategy-specific development feasibility</t>
        </is>
      </c>
      <c r="D4" s="23" t="inlineStr">
        <is>
          <t>F13 (utilization), F14 (envelope), F15 (gap)</t>
        </is>
      </c>
      <c r="E4" s="23" t="inlineStr">
        <is>
          <t>Zoning Agent data quality</t>
        </is>
      </c>
      <c r="F4" s="23" t="inlineStr">
        <is>
          <t>High</t>
        </is>
      </c>
      <c r="G4" s="38" t="inlineStr">
        <is>
          <t>Critical</t>
        </is>
      </c>
    </row>
    <row r="5" ht="23.25" customHeight="1" s="21">
      <c r="A5" s="23" t="inlineStr">
        <is>
          <t>P0-4</t>
        </is>
      </c>
      <c r="B5" s="23" t="inlineStr">
        <is>
          <t>M04 Supply + M06 Demand → M14 Risk</t>
        </is>
      </c>
      <c r="C5" s="23" t="inlineStr">
        <is>
          <t>Supply pressure + demand concentration → composite risk score → risk sub-score → JEDI</t>
        </is>
      </c>
      <c r="D5" s="23" t="inlineStr">
        <is>
          <t>F07 (pressure), F08 (months), F09 (supply risk), F06 (composite)</t>
        </is>
      </c>
      <c r="E5" s="23" t="inlineStr">
        <is>
          <t>Supply/demand data feeds</t>
        </is>
      </c>
      <c r="F5" s="23" t="inlineStr">
        <is>
          <t>Medium</t>
        </is>
      </c>
      <c r="G5" s="39" t="inlineStr">
        <is>
          <t>High</t>
        </is>
      </c>
    </row>
    <row r="6" ht="23.25" customHeight="1" s="21">
      <c r="A6" s="23" t="inlineStr">
        <is>
          <t>P0-5</t>
        </is>
      </c>
      <c r="B6" s="23" t="inlineStr">
        <is>
          <t>M08 Strategy Arbitrage Engine</t>
        </is>
      </c>
      <c r="C6" s="23" t="inlineStr">
        <is>
          <t>Wire all signals into 4-strategy scoring. Apply strategy-specific weights from Strategy Matrix. Flag arbitrage.</t>
        </is>
      </c>
      <c r="D6" s="23" t="inlineStr">
        <is>
          <t>F23 (strategy scores), F24 (arbitrage flag)</t>
        </is>
      </c>
      <c r="E6" s="23" t="inlineStr">
        <is>
          <t>Needs M02-M07 all wired first</t>
        </is>
      </c>
      <c r="F6" s="23" t="inlineStr">
        <is>
          <t>Very High</t>
        </is>
      </c>
      <c r="G6" s="38" t="inlineStr">
        <is>
          <t>Critical</t>
        </is>
      </c>
    </row>
    <row r="7" ht="23.25" customHeight="1" s="21">
      <c r="A7" s="23" t="inlineStr">
        <is>
          <t>P1-1</t>
        </is>
      </c>
      <c r="B7" s="23" t="inlineStr">
        <is>
          <t>M09 ProForma auto-sync</t>
        </is>
      </c>
      <c r="C7" s="23" t="inlineStr">
        <is>
          <t>Market data + news adjustments auto-populate proforma assumptions. User override layer on top.</t>
        </is>
      </c>
      <c r="D7" s="23" t="inlineStr">
        <is>
          <t>F16-F22 (financial), F32-F33 (adjustments)</t>
        </is>
      </c>
      <c r="E7" s="23" t="inlineStr">
        <is>
          <t>M05 market data feed</t>
        </is>
      </c>
      <c r="F7" s="23" t="inlineStr">
        <is>
          <t>High</t>
        </is>
      </c>
      <c r="G7" s="39" t="inlineStr">
        <is>
          <t>High</t>
        </is>
      </c>
    </row>
    <row r="8" ht="23.25" customHeight="1" s="21">
      <c r="A8" s="23" t="inlineStr">
        <is>
          <t>P1-2</t>
        </is>
      </c>
      <c r="B8" s="23" t="inlineStr">
        <is>
          <t>M10 Scenario → M09 ProForma</t>
        </is>
      </c>
      <c r="C8" s="23" t="inlineStr">
        <is>
          <t>Evidence-based scenarios from actual events. Scenario parameters modify proforma assumptions.</t>
        </is>
      </c>
      <c r="D8" s="23" t="inlineStr">
        <is>
          <t>F30 (scenario params), F31 (prob-weighted)</t>
        </is>
      </c>
      <c r="E8" s="23" t="inlineStr">
        <is>
          <t>M06+M04 event feeds</t>
        </is>
      </c>
      <c r="F8" s="23" t="inlineStr">
        <is>
          <t>Medium</t>
        </is>
      </c>
      <c r="G8" s="39" t="inlineStr">
        <is>
          <t>High</t>
        </is>
      </c>
    </row>
    <row r="9" ht="23.25" customHeight="1" s="21">
      <c r="A9" s="23" t="inlineStr">
        <is>
          <t>P1-3</t>
        </is>
      </c>
      <c r="B9" s="23" t="inlineStr">
        <is>
          <t>M15 Competition → M05 Market</t>
        </is>
      </c>
      <c r="C9" s="23" t="inlineStr">
        <is>
          <t>Comp set data feeds into market analysis. Rent comps calibrate proforma assumptions.</t>
        </is>
      </c>
      <c r="D9" s="23" t="inlineStr">
        <is>
          <t>F26 (submarket rank), F27 (rent comp)</t>
        </is>
      </c>
      <c r="E9" s="23" t="inlineStr">
        <is>
          <t>Apartments.com scraper</t>
        </is>
      </c>
      <c r="F9" s="23" t="inlineStr">
        <is>
          <t>Medium</t>
        </is>
      </c>
      <c r="G9" s="40" t="inlineStr">
        <is>
          <t>Medium</t>
        </is>
      </c>
    </row>
    <row r="10" ht="15" customHeight="1" s="21">
      <c r="A10" s="23" t="inlineStr">
        <is>
          <t>P1-4</t>
        </is>
      </c>
      <c r="B10" s="23" t="inlineStr">
        <is>
          <t>M11 Debt analysis wiring</t>
        </is>
      </c>
      <c r="C10" s="23" t="inlineStr">
        <is>
          <t>NOI from proforma feeds DSCR/LTV calculations. Rate sensitivity matrix.</t>
        </is>
      </c>
      <c r="D10" s="23" t="inlineStr">
        <is>
          <t>F21 (DSCR), F22 (debt yield)</t>
        </is>
      </c>
      <c r="E10" s="23" t="inlineStr">
        <is>
          <t>M09 proforma</t>
        </is>
      </c>
      <c r="F10" s="23" t="inlineStr">
        <is>
          <t>Medium</t>
        </is>
      </c>
      <c r="G10" s="40" t="inlineStr">
        <is>
          <t>Medium</t>
        </is>
      </c>
    </row>
    <row r="11" ht="23.25" customHeight="1" s="21">
      <c r="A11" s="23" t="inlineStr">
        <is>
          <t>P2-1</t>
        </is>
      </c>
      <c r="B11" s="23" t="inlineStr">
        <is>
          <t>M07 Traffic Intelligence</t>
        </is>
      </c>
      <c r="C11" s="23" t="inlineStr">
        <is>
          <t>New module: traffic data aggregation, lease prediction model, correlation analysis</t>
        </is>
      </c>
      <c r="D11" s="23" t="inlineStr">
        <is>
          <t>F28 (traffic-to-lease), F29 (velocity)</t>
        </is>
      </c>
      <c r="E11" s="23" t="inlineStr">
        <is>
          <t>Paid data source contracts</t>
        </is>
      </c>
      <c r="F11" s="23" t="inlineStr">
        <is>
          <t>Very High</t>
        </is>
      </c>
      <c r="G11" s="40" t="inlineStr">
        <is>
          <t>Medium</t>
        </is>
      </c>
    </row>
    <row r="12" ht="15" customHeight="1" s="21">
      <c r="A12" s="23" t="inlineStr">
        <is>
          <t>P2-2</t>
        </is>
      </c>
      <c r="B12" s="23" t="inlineStr">
        <is>
          <t>M12 Exit Analysis</t>
        </is>
      </c>
      <c r="C12" s="23" t="inlineStr">
        <is>
          <t>Optimal exit timing from proforma projections. Cap rate forecasting.</t>
        </is>
      </c>
      <c r="D12" s="23" t="inlineStr">
        <is>
          <t>F34 (optimal exit)</t>
        </is>
      </c>
      <c r="E12" s="23" t="inlineStr">
        <is>
          <t>M09 multi-year proforma</t>
        </is>
      </c>
      <c r="F12" s="23" t="inlineStr">
        <is>
          <t>Medium</t>
        </is>
      </c>
      <c r="G12" s="40" t="inlineStr">
        <is>
          <t>Medium</t>
        </is>
      </c>
    </row>
    <row r="13" ht="15" customHeight="1" s="21">
      <c r="A13" s="23" t="inlineStr">
        <is>
          <t>P2-3</t>
        </is>
      </c>
      <c r="B13" s="23" t="inlineStr">
        <is>
          <t>M22 Portfolio + M09 actuals</t>
        </is>
      </c>
      <c r="C13" s="23" t="inlineStr">
        <is>
          <t>Actual financial uploads vs projected. Portfolio-level aggregation.</t>
        </is>
      </c>
      <c r="D13" s="23" t="inlineStr">
        <is>
          <t>F35 (portfolio perf)</t>
        </is>
      </c>
      <c r="E13" s="23" t="inlineStr">
        <is>
          <t>M09 proforma, user data uploads</t>
        </is>
      </c>
      <c r="F13" s="23" t="inlineStr">
        <is>
          <t>Medium</t>
        </is>
      </c>
      <c r="G13" s="40" t="inlineStr">
        <is>
          <t>Medium</t>
        </is>
      </c>
    </row>
    <row r="14" ht="80" customHeight="1" s="21">
      <c r="A14" s="27" t="inlineStr">
        <is>
          <t>P0-6</t>
        </is>
      </c>
      <c r="B14" s="27" t="inlineStr">
        <is>
          <t>M07 ← M04+M06+M35+M05+M18+M36</t>
        </is>
      </c>
      <c r="C14" s="27" t="inlineStr">
        <is>
          <t>Wire all six upstream feeds into M07 per Data Contracts DC-01 through DC-06. Implement TrafficEngineInput contract.</t>
        </is>
      </c>
      <c r="D14" s="27" t="inlineStr">
        <is>
          <t>F48 conversion funnel</t>
        </is>
      </c>
      <c r="E14" s="27" t="inlineStr">
        <is>
          <t>M35 specced; M36 specced; M18 parsers exist</t>
        </is>
      </c>
      <c r="F14" s="27" t="inlineStr">
        <is>
          <t>High</t>
        </is>
      </c>
      <c r="G14" s="27" t="inlineStr">
        <is>
          <t>Critical</t>
        </is>
      </c>
    </row>
    <row r="15" ht="80" customHeight="1" s="21">
      <c r="A15" s="27" t="inlineStr">
        <is>
          <t>P0-7</t>
        </is>
      </c>
      <c r="B15" s="27" t="inlineStr">
        <is>
          <t>M07 → M09 ProFormaHandoff</t>
        </is>
      </c>
      <c r="C15" s="27" t="inlineStr">
        <is>
          <t>Implement DC-07. Wire occupancy_path, market_rent_path, lease_up_velocity, burn_off into M09 GPR and effective revenue (F49). CI fields enable F46 propagation.</t>
        </is>
      </c>
      <c r="D15" s="27" t="inlineStr">
        <is>
          <t>F49 effective revenue, F46 CI propagation</t>
        </is>
      </c>
      <c r="E15" s="27" t="inlineStr">
        <is>
          <t>M07 input wiring (P0-6) must complete first</t>
        </is>
      </c>
      <c r="F15" s="27" t="inlineStr">
        <is>
          <t>High</t>
        </is>
      </c>
      <c r="G15" s="27" t="inlineStr">
        <is>
          <t>Critical</t>
        </is>
      </c>
    </row>
    <row r="16" ht="80" customHeight="1" s="21">
      <c r="A16" s="27" t="inlineStr">
        <is>
          <t>P0-8</t>
        </is>
      </c>
      <c r="B16" s="27" t="inlineStr">
        <is>
          <t>M36 → M14 + M10 + M09</t>
        </is>
      </c>
      <c r="C16" s="27" t="inlineStr">
        <is>
          <t>Wire Σ to risk Monte Carlo (DC-10), scenario sampling (DC-11), plausibility scoring (DC-12). Replaces hand-tuned correlations.</t>
        </is>
      </c>
      <c r="D16" s="27" t="inlineStr">
        <is>
          <t>F37, F38, F39, F46</t>
        </is>
      </c>
      <c r="E16" s="27" t="inlineStr">
        <is>
          <t>M36 spec implementation, time-series consolidation</t>
        </is>
      </c>
      <c r="F16" s="27" t="inlineStr">
        <is>
          <t>Very High</t>
        </is>
      </c>
      <c r="G16" s="27" t="inlineStr">
        <is>
          <t>Critical</t>
        </is>
      </c>
    </row>
    <row r="17" ht="80" customHeight="1" s="21">
      <c r="A17" s="27" t="inlineStr">
        <is>
          <t>P0-9</t>
        </is>
      </c>
      <c r="B17" s="27" t="inlineStr">
        <is>
          <t>M18 document parsers → M36 outlier gate</t>
        </is>
      </c>
      <c r="C17" s="27" t="inlineStr">
        <is>
          <t>Every parsed value runs F47 outlier check before LayeredValue commit. Prevents silent acceptance of misread T12/RR/tax bill values.</t>
        </is>
      </c>
      <c r="D17" s="27" t="inlineStr">
        <is>
          <t>F47</t>
        </is>
      </c>
      <c r="E17" s="27" t="inlineStr">
        <is>
          <t>M36 plausibility API (P0-8)</t>
        </is>
      </c>
      <c r="F17" s="27" t="inlineStr">
        <is>
          <t>Medium</t>
        </is>
      </c>
      <c r="G17" s="27" t="inlineStr">
        <is>
          <t>High</t>
        </is>
      </c>
    </row>
    <row r="18" ht="80" customHeight="1" s="21">
      <c r="A18" s="27" t="inlineStr">
        <is>
          <t>P1-5</t>
        </is>
      </c>
      <c r="B18" s="27" t="inlineStr">
        <is>
          <t>M35 → all consumers (M06, M04, M09, M14, M36, M37)</t>
        </is>
      </c>
      <c r="C18" s="27" t="inlineStr">
        <is>
          <t>Event ingestion cascade per Recomputation Cascade row 1. Wire DC-08, DC-09, plus event-driven assumption deltas to M09 and risk updates to M14.</t>
        </is>
      </c>
      <c r="D18" s="27" t="inlineStr">
        <is>
          <t>F40 conditional propagation</t>
        </is>
      </c>
      <c r="E18" s="27" t="inlineStr">
        <is>
          <t>M35 spec implementation, news classifier</t>
        </is>
      </c>
      <c r="F18" s="27" t="inlineStr">
        <is>
          <t>Very High</t>
        </is>
      </c>
      <c r="G18" s="27" t="inlineStr">
        <is>
          <t>High</t>
        </is>
      </c>
    </row>
    <row r="19" ht="80" customHeight="1" s="21">
      <c r="A19" s="27" t="inlineStr">
        <is>
          <t>P1-6</t>
        </is>
      </c>
      <c r="B19" s="27" t="inlineStr">
        <is>
          <t>M37 Analog Engine → Cashflow Agent + M06</t>
        </is>
      </c>
      <c r="C19" s="27" t="inlineStr">
        <is>
          <t>Wire DC-13 analog forecast handoff. Cashflow Agent uses for assumption priors with CIs.</t>
        </is>
      </c>
      <c r="D19" s="27" t="inlineStr">
        <is>
          <t>F43, F44</t>
        </is>
      </c>
      <c r="E19" s="27" t="inlineStr">
        <is>
          <t>M36 + M35 wired (P0-8, P1-5)</t>
        </is>
      </c>
      <c r="F19" s="27" t="inlineStr">
        <is>
          <t>High</t>
        </is>
      </c>
      <c r="G19" s="27" t="inlineStr">
        <is>
          <t>High</t>
        </is>
      </c>
    </row>
    <row r="20" ht="80" customHeight="1" s="21">
      <c r="A20" s="27" t="inlineStr">
        <is>
          <t>P1-7</t>
        </is>
      </c>
      <c r="B20" s="27" t="inlineStr">
        <is>
          <t>M22 → M38 actuals tracking</t>
        </is>
      </c>
      <c r="C20" s="27" t="inlineStr">
        <is>
          <t>Wire DC-15 prediction-vs-actual. Requires deal_monthly_actuals table (flagged as M22 critical-path unlock).</t>
        </is>
      </c>
      <c r="D20" s="27" t="inlineStr">
        <is>
          <t>F45 reliability scoring</t>
        </is>
      </c>
      <c r="E20" s="27" t="inlineStr">
        <is>
          <t>deal_monthly_actuals migration</t>
        </is>
      </c>
      <c r="F20" s="27" t="inlineStr">
        <is>
          <t>Medium</t>
        </is>
      </c>
      <c r="G20" s="27" t="inlineStr">
        <is>
          <t>High</t>
        </is>
      </c>
    </row>
    <row r="21" ht="80" customHeight="1" s="21">
      <c r="A21" s="27" t="inlineStr">
        <is>
          <t>P1-8</t>
        </is>
      </c>
      <c r="B21" s="27" t="inlineStr">
        <is>
          <t>M38 → Cashflow Agent calibration profile</t>
        </is>
      </c>
      <c r="C21" s="27" t="inlineStr">
        <is>
          <t>Wire DC-14. Agent prompts include calibration multipliers per metric × asset class × regime.</t>
        </is>
      </c>
      <c r="D21" s="27" t="inlineStr">
        <is>
          <t>F45</t>
        </is>
      </c>
      <c r="E21" s="27" t="inlineStr">
        <is>
          <t>M38 actuals pipeline (P1-7)</t>
        </is>
      </c>
      <c r="F21" s="27" t="inlineStr">
        <is>
          <t>Medium</t>
        </is>
      </c>
      <c r="G21" s="27" t="inlineStr">
        <is>
          <t>Medium</t>
        </is>
      </c>
    </row>
    <row r="22" ht="80" customHeight="1" s="21">
      <c r="A22" s="27" t="inlineStr">
        <is>
          <t>P2-2</t>
        </is>
      </c>
      <c r="B22" s="27" t="inlineStr">
        <is>
          <t>M36 multi-horizon Σ</t>
        </is>
      </c>
      <c r="C22" s="27" t="inlineStr">
        <is>
          <t>Implement F42 VAR-based multi-step covariance for hold periods other than 60mo. Required for Flip (3-12mo) and BTS (18-36mo) accurate scenario sampling.</t>
        </is>
      </c>
      <c r="D22" s="27" t="inlineStr">
        <is>
          <t>F42</t>
        </is>
      </c>
      <c r="E22" s="27" t="inlineStr">
        <is>
          <t>Base M36 implementation stable</t>
        </is>
      </c>
      <c r="F22" s="27" t="inlineStr">
        <is>
          <t>High</t>
        </is>
      </c>
      <c r="G22" s="27" t="inlineStr">
        <is>
          <t>Medium</t>
        </is>
      </c>
    </row>
    <row r="23" ht="80" customHeight="1" s="21">
      <c r="A23" s="27" t="inlineStr">
        <is>
          <t>P2-3</t>
        </is>
      </c>
      <c r="B23" s="27" t="inlineStr">
        <is>
          <t>User feedback → M38 disagreement signal</t>
        </is>
      </c>
      <c r="C23" s="27" t="inlineStr">
        <is>
          <t>"Flag this prediction" UI flow + Kafka topic. Aggregates into calibration adjustment.</t>
        </is>
      </c>
      <c r="D23" s="27" t="inlineStr">
        <is>
          <t>F45</t>
        </is>
      </c>
      <c r="E23" s="27" t="inlineStr">
        <is>
          <t>M38 base (P1-8)</t>
        </is>
      </c>
      <c r="F23" s="27" t="inlineStr">
        <is>
          <t>Low</t>
        </is>
      </c>
      <c r="G23" s="27" t="inlineStr">
        <is>
          <t>Medium</t>
        </is>
      </c>
    </row>
  </sheetData>
  <autoFilter ref="A1:G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21" min="1" max="1"/>
    <col width="14" customWidth="1" style="21" min="2" max="2"/>
    <col width="14" customWidth="1" style="21" min="3" max="3"/>
    <col width="14" customWidth="1" style="21" min="4" max="4"/>
    <col width="14" customWidth="1" style="21" min="5" max="5"/>
    <col width="14" customWidth="1" style="21" min="6" max="6"/>
    <col width="14" customWidth="1" style="21" min="7" max="7"/>
    <col width="14" customWidth="1" style="21" min="8" max="8"/>
    <col width="14" customWidth="1" style="21" min="9" max="9"/>
    <col width="14" customWidth="1" style="21" min="10" max="10"/>
    <col width="14" customWidth="1" style="21" min="11" max="11"/>
    <col width="14" customWidth="1" style="21" min="12" max="12"/>
    <col width="14" customWidth="1" style="21" min="13" max="13"/>
    <col width="14" customWidth="1" style="21" min="14" max="14"/>
    <col width="14" customWidth="1" style="21" min="15" max="15"/>
    <col width="14" customWidth="1" style="21" min="16" max="16"/>
    <col width="14" customWidth="1" style="21" min="17" max="17"/>
    <col width="14" customWidth="1" style="21" min="18" max="18"/>
    <col width="14" customWidth="1" style="21" min="19" max="19"/>
    <col width="14" customWidth="1" style="21" min="20" max="20"/>
    <col width="14" customWidth="1" style="21" min="21" max="21"/>
    <col width="14" customWidth="1" style="21" min="22" max="22"/>
    <col width="14" customWidth="1" style="21" min="23" max="23"/>
    <col width="14" customWidth="1" style="21" min="24" max="24"/>
    <col width="14" customWidth="1" style="21" min="25" max="25"/>
    <col width="14" customWidth="1" style="21" min="26" max="26"/>
    <col width="14" customWidth="1" style="21" min="27" max="27"/>
    <col width="14" customWidth="1" style="21" min="28" max="28"/>
    <col width="14" customWidth="1" style="21" min="29" max="29"/>
    <col width="14" customWidth="1" style="21" min="30" max="30"/>
  </cols>
  <sheetData>
    <row r="1" ht="36" customHeight="1" s="21">
      <c r="A1" s="41" t="inlineStr">
        <is>
          <t>FROM ↓  /  TO →</t>
        </is>
      </c>
      <c r="B1" s="41" t="inlineStr">
        <is>
          <t>M01
Overview</t>
        </is>
      </c>
      <c r="C1" s="41" t="inlineStr">
        <is>
          <t>M02
Zoning</t>
        </is>
      </c>
      <c r="D1" s="41" t="inlineStr">
        <is>
          <t>M03
DevCap</t>
        </is>
      </c>
      <c r="E1" s="41" t="inlineStr">
        <is>
          <t>M04
Supply</t>
        </is>
      </c>
      <c r="F1" s="41" t="inlineStr">
        <is>
          <t>M05
Market</t>
        </is>
      </c>
      <c r="G1" s="41" t="inlineStr">
        <is>
          <t>M06
Demand</t>
        </is>
      </c>
      <c r="H1" s="41" t="inlineStr">
        <is>
          <t>M07
Traffic</t>
        </is>
      </c>
      <c r="I1" s="41" t="inlineStr">
        <is>
          <t>M08
Strategy</t>
        </is>
      </c>
      <c r="J1" s="41" t="inlineStr">
        <is>
          <t>M09
ProForma</t>
        </is>
      </c>
      <c r="K1" s="41" t="inlineStr">
        <is>
          <t>M10
Scenario</t>
        </is>
      </c>
      <c r="L1" s="41" t="inlineStr">
        <is>
          <t>M11
Debt</t>
        </is>
      </c>
      <c r="M1" s="41" t="inlineStr">
        <is>
          <t>M12
Exit</t>
        </is>
      </c>
      <c r="N1" s="41" t="inlineStr">
        <is>
          <t>M13
DD</t>
        </is>
      </c>
      <c r="O1" s="41" t="inlineStr">
        <is>
          <t>M14
Risk</t>
        </is>
      </c>
      <c r="P1" s="41" t="inlineStr">
        <is>
          <t>M15
Competition</t>
        </is>
      </c>
      <c r="Q1" s="41" t="inlineStr">
        <is>
          <t>M16
Pipeline</t>
        </is>
      </c>
      <c r="R1" s="41" t="inlineStr">
        <is>
          <t>M17
Team</t>
        </is>
      </c>
      <c r="S1" s="41" t="inlineStr">
        <is>
          <t>M18
Documents</t>
        </is>
      </c>
      <c r="T1" s="41" t="inlineStr">
        <is>
          <t>M19
News Intel</t>
        </is>
      </c>
      <c r="U1" s="41" t="inlineStr">
        <is>
          <t>M20
Map</t>
        </is>
      </c>
      <c r="V1" s="41" t="inlineStr">
        <is>
          <t>M21
AI Chat</t>
        </is>
      </c>
      <c r="W1" s="41" t="inlineStr">
        <is>
          <t>M22
Portfolio</t>
        </is>
      </c>
      <c r="X1" s="41" t="inlineStr">
        <is>
          <t>M23
Alerts</t>
        </is>
      </c>
      <c r="Y1" s="41" t="inlineStr">
        <is>
          <t>M24
Settings</t>
        </is>
      </c>
      <c r="Z1" s="41" t="inlineStr">
        <is>
          <t>M25
JEDI Score</t>
        </is>
      </c>
      <c r="AA1" s="41" t="inlineStr">
        <is>
          <t>M35
Events</t>
        </is>
      </c>
      <c r="AB1" s="41" t="inlineStr">
        <is>
          <t>M36
Σ Engine</t>
        </is>
      </c>
      <c r="AC1" s="41" t="inlineStr">
        <is>
          <t>M37
Analogs</t>
        </is>
      </c>
      <c r="AD1" s="41" t="inlineStr">
        <is>
          <t>M38
Calibration</t>
        </is>
      </c>
    </row>
    <row r="2" ht="28" customHeight="1" s="21">
      <c r="A2" s="41" t="inlineStr">
        <is>
          <t>M01 Overview</t>
        </is>
      </c>
      <c r="B2" t="inlineStr">
        <is>
          <t>—</t>
        </is>
      </c>
    </row>
    <row r="3" ht="28" customHeight="1" s="21">
      <c r="A3" s="41" t="inlineStr">
        <is>
          <t>M02 Zoning</t>
        </is>
      </c>
      <c r="C3" t="inlineStr">
        <is>
          <t>—</t>
        </is>
      </c>
      <c r="D3" s="42" t="inlineStr">
        <is>
          <t>● zoning code, FAR, setbacks, max density</t>
        </is>
      </c>
      <c r="J3" s="42" t="inlineStr">
        <is>
          <t>○ regulatory constraints per strategy</t>
        </is>
      </c>
      <c r="O3" s="42" t="inlineStr">
        <is>
          <t>○ regulatory risk factors</t>
        </is>
      </c>
    </row>
    <row r="4" ht="28" customHeight="1" s="21">
      <c r="A4" s="41" t="inlineStr">
        <is>
          <t>M03 DevCap</t>
        </is>
      </c>
      <c r="D4" t="inlineStr">
        <is>
          <t>—</t>
        </is>
      </c>
      <c r="I4" s="42" t="inlineStr">
        <is>
          <t>● max buildable units, envelope</t>
        </is>
      </c>
      <c r="J4" s="42" t="inlineStr">
        <is>
          <t>● development cost estimates</t>
        </is>
      </c>
      <c r="O4" s="42" t="inlineStr">
        <is>
          <t>○ development risk</t>
        </is>
      </c>
    </row>
    <row r="5" ht="28" customHeight="1" s="21">
      <c r="A5" s="41" t="inlineStr">
        <is>
          <t>M04 Supply</t>
        </is>
      </c>
      <c r="D5" s="42" t="inlineStr">
        <is>
          <t>● pipeline context for gap analysis</t>
        </is>
      </c>
      <c r="E5" t="inlineStr">
        <is>
          <t>—</t>
        </is>
      </c>
      <c r="F5" s="42" t="inlineStr">
        <is>
          <t>● supply pressure, absorption</t>
        </is>
      </c>
      <c r="H5" s="27" t="inlineStr">
        <is>
          <t>★ pipeline_units, months_to_absorb, lease-up competitor concentration</t>
        </is>
      </c>
      <c r="I5" s="42" t="inlineStr">
        <is>
          <t>● supply signals per strategy</t>
        </is>
      </c>
      <c r="J5" s="42" t="inlineStr">
        <is>
          <t>● vacancy projections</t>
        </is>
      </c>
      <c r="O5" s="42" t="inlineStr">
        <is>
          <t>● supply risk score</t>
        </is>
      </c>
      <c r="P5" s="42" t="inlineStr">
        <is>
          <t>○ comp set data</t>
        </is>
      </c>
      <c r="Z5" s="42" t="inlineStr">
        <is>
          <t>● supply sub-score input</t>
        </is>
      </c>
    </row>
    <row r="6" ht="28" customHeight="1" s="21">
      <c r="A6" s="41" t="inlineStr">
        <is>
          <t>M05 Market</t>
        </is>
      </c>
      <c r="F6" t="inlineStr">
        <is>
          <t>—</t>
        </is>
      </c>
      <c r="H6" s="27" t="inlineStr">
        <is>
          <t>★ comp set rents, concessions, submarket vacancy</t>
        </is>
      </c>
      <c r="I6" s="42" t="inlineStr">
        <is>
          <t>● market signals per strategy</t>
        </is>
      </c>
      <c r="J6" s="42" t="inlineStr">
        <is>
          <t>● rent levels, vacancy, growth</t>
        </is>
      </c>
      <c r="K6" s="42" t="inlineStr">
        <is>
          <t>○ market condition inputs</t>
        </is>
      </c>
      <c r="O6" s="42" t="inlineStr">
        <is>
          <t>○ market risk factors</t>
        </is>
      </c>
      <c r="P6" s="42" t="inlineStr">
        <is>
          <t>● rent comp data</t>
        </is>
      </c>
      <c r="Z6" s="42" t="inlineStr">
        <is>
          <t>● momentum + position inputs</t>
        </is>
      </c>
    </row>
    <row r="7" ht="28" customHeight="1" s="21">
      <c r="A7" s="41" t="inlineStr">
        <is>
          <t>M06 Demand</t>
        </is>
      </c>
      <c r="F7" s="42" t="inlineStr">
        <is>
          <t>● demand-side market signals</t>
        </is>
      </c>
      <c r="G7" t="inlineStr">
        <is>
          <t>—</t>
        </is>
      </c>
      <c r="H7" s="27" t="inlineStr">
        <is>
          <t>★ employment, migration, employer concentration</t>
        </is>
      </c>
      <c r="I7" s="42" t="inlineStr">
        <is>
          <t>● demand signals per strategy</t>
        </is>
      </c>
      <c r="J7" s="42" t="inlineStr">
        <is>
          <t>● demand-adjusted assumptions</t>
        </is>
      </c>
      <c r="O7" s="42" t="inlineStr">
        <is>
          <t>● demand risk (concentration)</t>
        </is>
      </c>
      <c r="Z7" s="42" t="inlineStr">
        <is>
          <t>● demand sub-score input</t>
        </is>
      </c>
    </row>
    <row r="8" ht="28" customHeight="1" s="21">
      <c r="A8" s="41" t="inlineStr">
        <is>
          <t>M07 Traffic</t>
        </is>
      </c>
      <c r="F8" s="42" t="inlineStr">
        <is>
          <t>○ traffic demand signals</t>
        </is>
      </c>
      <c r="H8" t="inlineStr">
        <is>
          <t>—</t>
        </is>
      </c>
      <c r="I8" s="42" t="inlineStr">
        <is>
          <t>○ traffic correlation per strategy</t>
        </is>
      </c>
      <c r="J8" s="27" t="inlineStr">
        <is>
          <t>★ occupancy_path, market_rent_path, lease_up_velocity, burn_off</t>
        </is>
      </c>
    </row>
    <row r="9" ht="28" customHeight="1" s="21">
      <c r="A9" s="41" t="inlineStr">
        <is>
          <t>M08 Strategy</t>
        </is>
      </c>
      <c r="B9" s="42" t="inlineStr">
        <is>
          <t>● strategy recommendation, scores</t>
        </is>
      </c>
      <c r="I9" t="inlineStr">
        <is>
          <t>—</t>
        </is>
      </c>
      <c r="J9" s="42" t="inlineStr">
        <is>
          <t>● strategy-specific proforma params</t>
        </is>
      </c>
      <c r="Z9" s="42" t="inlineStr">
        <is>
          <t>○ strategy-adjusted weighting</t>
        </is>
      </c>
    </row>
    <row r="10" ht="28" customHeight="1" s="21">
      <c r="A10" s="41" t="inlineStr">
        <is>
          <t>M09 ProForma</t>
        </is>
      </c>
      <c r="B10" s="42" t="inlineStr">
        <is>
          <t>● key financials for overview</t>
        </is>
      </c>
      <c r="J10" t="inlineStr">
        <is>
          <t>—</t>
        </is>
      </c>
      <c r="K10" s="42" t="inlineStr">
        <is>
          <t>● base case financials</t>
        </is>
      </c>
      <c r="L10" s="42" t="inlineStr">
        <is>
          <t>● NOI for DSCR/debt analysis</t>
        </is>
      </c>
      <c r="M10" s="42" t="inlineStr">
        <is>
          <t>● NOI/CF projections for exit timing</t>
        </is>
      </c>
      <c r="O10" s="42" t="inlineStr">
        <is>
          <t>○ financial risk indicators</t>
        </is>
      </c>
      <c r="W10" s="42" t="inlineStr">
        <is>
          <t>● projected vs actual</t>
        </is>
      </c>
    </row>
    <row r="11" ht="28" customHeight="1" s="21">
      <c r="A11" s="41" t="inlineStr">
        <is>
          <t>M10 Scenario</t>
        </is>
      </c>
      <c r="B11" s="42" t="inlineStr">
        <is>
          <t>○ probability-weighted returns</t>
        </is>
      </c>
      <c r="J11" s="42" t="inlineStr">
        <is>
          <t>○ stress-test parameters</t>
        </is>
      </c>
      <c r="K11" t="inlineStr">
        <is>
          <t>—</t>
        </is>
      </c>
    </row>
    <row r="12" ht="28" customHeight="1" s="21">
      <c r="A12" s="41" t="inlineStr">
        <is>
          <t>M11 Debt</t>
        </is>
      </c>
      <c r="L12" t="inlineStr">
        <is>
          <t>—</t>
        </is>
      </c>
    </row>
    <row r="13" ht="28" customHeight="1" s="21">
      <c r="A13" s="41" t="inlineStr">
        <is>
          <t>M12 Exit</t>
        </is>
      </c>
      <c r="M13" t="inlineStr">
        <is>
          <t>—</t>
        </is>
      </c>
    </row>
    <row r="14" ht="28" customHeight="1" s="21">
      <c r="A14" s="41" t="inlineStr">
        <is>
          <t>M13 DD</t>
        </is>
      </c>
      <c r="N14" t="inlineStr">
        <is>
          <t>—</t>
        </is>
      </c>
    </row>
    <row r="15" ht="28" customHeight="1" s="21">
      <c r="A15" s="41" t="inlineStr">
        <is>
          <t>M14 Risk</t>
        </is>
      </c>
      <c r="O15" t="inlineStr">
        <is>
          <t>—</t>
        </is>
      </c>
      <c r="Z15" s="42" t="inlineStr">
        <is>
          <t>○ risk sub-score input</t>
        </is>
      </c>
    </row>
    <row r="16" ht="28" customHeight="1" s="21">
      <c r="A16" s="41" t="inlineStr">
        <is>
          <t>M15 Competition</t>
        </is>
      </c>
      <c r="P16" t="inlineStr">
        <is>
          <t>—</t>
        </is>
      </c>
    </row>
    <row r="17" ht="28" customHeight="1" s="21">
      <c r="A17" s="41" t="inlineStr">
        <is>
          <t>M16 Pipeline</t>
        </is>
      </c>
      <c r="Q17" t="inlineStr">
        <is>
          <t>—</t>
        </is>
      </c>
    </row>
    <row r="18" ht="28" customHeight="1" s="21">
      <c r="A18" s="41" t="inlineStr">
        <is>
          <t>M17 Team</t>
        </is>
      </c>
      <c r="R18" t="inlineStr">
        <is>
          <t>—</t>
        </is>
      </c>
    </row>
    <row r="19" ht="28" customHeight="1" s="21">
      <c r="A19" s="41" t="inlineStr">
        <is>
          <t>M18 Documents</t>
        </is>
      </c>
      <c r="H19" s="27" t="inlineStr">
        <is>
          <t>★ rent roll lease expiration schedule</t>
        </is>
      </c>
      <c r="J19" s="27" t="inlineStr">
        <is>
          <t>★ parsed-value handoff to ProForma</t>
        </is>
      </c>
      <c r="S19" t="inlineStr">
        <is>
          <t>—</t>
        </is>
      </c>
      <c r="AB19" s="27" t="inlineStr">
        <is>
          <t>★ parsed values for outlier scoring (T12, RR, tax bill)</t>
        </is>
      </c>
    </row>
    <row r="20" ht="28" customHeight="1" s="21">
      <c r="A20" s="41" t="inlineStr">
        <is>
          <t>M19 News Intel</t>
        </is>
      </c>
      <c r="T20" t="inlineStr">
        <is>
          <t>—</t>
        </is>
      </c>
    </row>
    <row r="21" ht="28" customHeight="1" s="21">
      <c r="A21" s="41" t="inlineStr">
        <is>
          <t>M20 Map</t>
        </is>
      </c>
      <c r="U21" t="inlineStr">
        <is>
          <t>—</t>
        </is>
      </c>
    </row>
    <row r="22" ht="28" customHeight="1" s="21">
      <c r="A22" s="41" t="inlineStr">
        <is>
          <t>M21 AI Chat</t>
        </is>
      </c>
      <c r="V22" t="inlineStr">
        <is>
          <t>—</t>
        </is>
      </c>
    </row>
    <row r="23" ht="28" customHeight="1" s="21">
      <c r="A23" s="41" t="inlineStr">
        <is>
          <t>M22 Portfolio</t>
        </is>
      </c>
      <c r="W23" t="inlineStr">
        <is>
          <t>—</t>
        </is>
      </c>
      <c r="AD23" s="27" t="inlineStr">
        <is>
          <t>★ realized actuals vs underwritten predictions</t>
        </is>
      </c>
    </row>
    <row r="24" ht="28" customHeight="1" s="21">
      <c r="A24" s="41" t="inlineStr">
        <is>
          <t>M23 Alerts</t>
        </is>
      </c>
      <c r="X24" t="inlineStr">
        <is>
          <t>—</t>
        </is>
      </c>
    </row>
    <row r="25" ht="28" customHeight="1" s="21">
      <c r="A25" s="41" t="inlineStr">
        <is>
          <t>M24 Settings</t>
        </is>
      </c>
      <c r="Y25" t="inlineStr">
        <is>
          <t>—</t>
        </is>
      </c>
    </row>
    <row r="26" ht="28" customHeight="1" s="21">
      <c r="A26" s="41" t="inlineStr">
        <is>
          <t>M25 JEDI Score</t>
        </is>
      </c>
      <c r="B26" s="42" t="inlineStr">
        <is>
          <t>● composite JEDI Score</t>
        </is>
      </c>
      <c r="Z26" t="inlineStr">
        <is>
          <t>—</t>
        </is>
      </c>
    </row>
    <row r="27" ht="28" customHeight="1" s="21">
      <c r="A27" s="41" t="inlineStr">
        <is>
          <t>M35 Events</t>
        </is>
      </c>
      <c r="E27" s="27" t="inlineStr">
        <is>
          <t>★ classified supply events (permits, completions)</t>
        </is>
      </c>
      <c r="G27" s="27" t="inlineStr">
        <is>
          <t>★ classified demand events with quantified uplift</t>
        </is>
      </c>
      <c r="H27" s="27" t="inlineStr">
        <is>
          <t>★ active events with residual impact curves</t>
        </is>
      </c>
      <c r="J27" s="27" t="inlineStr">
        <is>
          <t>★ event-adjusted assumption deltas</t>
        </is>
      </c>
      <c r="O27" s="27" t="inlineStr">
        <is>
          <t>★ event-driven risk factor updates</t>
        </is>
      </c>
      <c r="AA27" t="inlineStr">
        <is>
          <t>—</t>
        </is>
      </c>
      <c r="AB27" s="27" t="inlineStr">
        <is>
          <t>★ event observations for anomaly attribution</t>
        </is>
      </c>
      <c r="AC27" s="27" t="inlineStr">
        <is>
          <t>★ realized impacts feeding analog library</t>
        </is>
      </c>
    </row>
    <row r="28" ht="28" customHeight="1" s="21">
      <c r="A28" s="41" t="inlineStr">
        <is>
          <t>M36 Σ Engine</t>
        </is>
      </c>
      <c r="H28" s="27" t="inlineStr">
        <is>
          <t>★ Σ_local, factor loadings, regime</t>
        </is>
      </c>
      <c r="I28" s="27" t="inlineStr">
        <is>
          <t>★ variance of strategy scores → probabilistic ranking</t>
        </is>
      </c>
      <c r="J28" s="27" t="inlineStr">
        <is>
          <t>★ plausibility scores on assumption sets</t>
        </is>
      </c>
      <c r="K28" s="27" t="inlineStr">
        <is>
          <t>★ Σ-consistent scenario sampling</t>
        </is>
      </c>
      <c r="O28" s="27" t="inlineStr">
        <is>
          <t>★ Σ for Monte Carlo + factor variance attribution</t>
        </is>
      </c>
      <c r="Z28" s="27" t="inlineStr">
        <is>
          <t>★ confidence intervals on JEDI Score</t>
        </is>
      </c>
      <c r="AA28" s="27" t="inlineStr">
        <is>
          <t>★ prior distribution for novel events; anomaly detector</t>
        </is>
      </c>
      <c r="AB28" t="inlineStr">
        <is>
          <t>—</t>
        </is>
      </c>
    </row>
    <row r="29" ht="28" customHeight="1" s="21">
      <c r="A29" s="41" t="inlineStr">
        <is>
          <t>M37 Analogs</t>
        </is>
      </c>
      <c r="G29" s="27" t="inlineStr">
        <is>
          <t>★ analog-derived demand forecasts</t>
        </is>
      </c>
      <c r="J29" s="27" t="inlineStr">
        <is>
          <t>★ analog-calibrated assumption priors</t>
        </is>
      </c>
      <c r="O29" s="27" t="inlineStr">
        <is>
          <t>★ analog-derived risk distributions</t>
        </is>
      </c>
      <c r="AC29" t="inlineStr">
        <is>
          <t>—</t>
        </is>
      </c>
    </row>
    <row r="30" ht="28" customHeight="1" s="21">
      <c r="A30" s="41" t="inlineStr">
        <is>
          <t>M38 Calibration</t>
        </is>
      </c>
      <c r="O30" s="27" t="inlineStr">
        <is>
          <t>★ calibration multipliers on prediction CIs</t>
        </is>
      </c>
      <c r="V30" s="27" t="inlineStr">
        <is>
          <t>★ agent calibration scores → prompt augmentation</t>
        </is>
      </c>
      <c r="AB30" s="27" t="inlineStr">
        <is>
          <t>★ drift signals → Σ refresh trigger</t>
        </is>
      </c>
      <c r="AD30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style="21" min="1" max="1"/>
    <col width="24" customWidth="1" style="21" min="2" max="2"/>
    <col width="28" customWidth="1" style="21" min="3" max="3"/>
    <col width="65" customWidth="1" style="21" min="4" max="4"/>
    <col width="24" customWidth="1" style="21" min="5" max="5"/>
    <col width="50" customWidth="1" style="21" min="6" max="6"/>
  </cols>
  <sheetData>
    <row r="1" ht="30" customHeight="1" s="21">
      <c r="A1" s="41" t="inlineStr">
        <is>
          <t>Edge ID</t>
        </is>
      </c>
      <c r="B1" s="41" t="inlineStr">
        <is>
          <t>From → To</t>
        </is>
      </c>
      <c r="C1" s="41" t="inlineStr">
        <is>
          <t>Trigger</t>
        </is>
      </c>
      <c r="D1" s="41" t="inlineStr">
        <is>
          <t>Payload Schema (TypeScript-style)</t>
        </is>
      </c>
      <c r="E1" s="41" t="inlineStr">
        <is>
          <t>Update Cadence</t>
        </is>
      </c>
      <c r="F1" s="41" t="inlineStr">
        <is>
          <t>Notes / Constraints</t>
        </is>
      </c>
    </row>
    <row r="2" ht="130" customHeight="1" s="21">
      <c r="A2" s="42" t="inlineStr">
        <is>
          <t>DC-01</t>
        </is>
      </c>
      <c r="B2" s="42" t="inlineStr">
        <is>
          <t>M35 → M07</t>
        </is>
      </c>
      <c r="C2" s="42" t="inlineStr">
        <is>
          <t>event.ingested OR event.verified</t>
        </is>
      </c>
      <c r="D2" s="42" t="inlineStr">
        <is>
          <t>TrafficEvent {
  event_id, subtype,
  magnitude_class: small|medium|large,
  distance_to_subject_mi,
  months_since_event,
  expected_residual_impact_curve: [{month_offset, impact_pct, ci}],
  confidence: high|medium|low
}</t>
        </is>
      </c>
      <c r="E2" s="42" t="inlineStr">
        <is>
          <t>On event lifecycle change</t>
        </is>
      </c>
      <c r="F2" s="42" t="inlineStr">
        <is>
          <t>Subject within 5mi (multifamily) or 10mi (industrial). Residual impact curve from M35 playbook.</t>
        </is>
      </c>
    </row>
    <row r="3" ht="130" customHeight="1" s="21">
      <c r="A3" s="42" t="inlineStr">
        <is>
          <t>DC-02</t>
        </is>
      </c>
      <c r="B3" s="42" t="inlineStr">
        <is>
          <t>M04 → M07</t>
        </is>
      </c>
      <c r="C3" s="42" t="inlineStr">
        <is>
          <t>supply.event_added or daily refresh</t>
        </is>
      </c>
      <c r="D3" s="42" t="inlineStr">
        <is>
          <t>SupplyContext {
  pipeline_units_within_radius: {1mi, 3mi, 5mi},
  months_to_absorb_local,
  planned_deliveries_next_12mo,
  lease_up_competitor_count,
  lease_up_competitor_concession_avg_pct
}</t>
        </is>
      </c>
      <c r="E3" s="42" t="inlineStr">
        <is>
          <t>Daily</t>
        </is>
      </c>
      <c r="F3" s="42" t="inlineStr">
        <is>
          <t>Radius queries via PostGIS. Concession data from M15 comp set.</t>
        </is>
      </c>
    </row>
    <row r="4" ht="130" customHeight="1" s="21">
      <c r="A4" s="42" t="inlineStr">
        <is>
          <t>DC-03</t>
        </is>
      </c>
      <c r="B4" s="42" t="inlineStr">
        <is>
          <t>M06 → M07</t>
        </is>
      </c>
      <c r="C4" s="42" t="inlineStr">
        <is>
          <t>demand.signal_updated</t>
        </is>
      </c>
      <c r="D4" s="42" t="inlineStr">
        <is>
          <t>DemandContext {
  employment_growth_yoy,
  net_migration_yoy,
  wage_growth_yoy,
  employer_concentration: [{employer, jobs_added, distance_mi, ramp_quarter}],
  income_tier_breakdown: {&lt;60k, 60-100k, 100-150k, 150k+}
}</t>
        </is>
      </c>
      <c r="E4" s="42" t="inlineStr">
        <is>
          <t>Weekly + on news event</t>
        </is>
      </c>
      <c r="F4" s="42" t="inlineStr">
        <is>
          <t>Employer geocoding required. Ramp quarter from M35 if event-derived.</t>
        </is>
      </c>
    </row>
    <row r="5" ht="130" customHeight="1" s="21">
      <c r="A5" s="42" t="inlineStr">
        <is>
          <t>DC-04</t>
        </is>
      </c>
      <c r="B5" s="42" t="inlineStr">
        <is>
          <t>M05 → M07</t>
        </is>
      </c>
      <c r="C5" s="42" t="inlineStr">
        <is>
          <t>market.refresh</t>
        </is>
      </c>
      <c r="D5" s="42" t="inlineStr">
        <is>
          <t>MarketContext {
  submarket_rent_growth_yoy,
  submarket_vacancy_rate,
  submarket_absorption_rate,
  comp_set_rent_psf: [{comp_id, rent_psf, concessions}],
  occupancy_distribution_p25_p50_p75
}</t>
        </is>
      </c>
      <c r="E5" s="42" t="inlineStr">
        <is>
          <t>Weekly</t>
        </is>
      </c>
      <c r="F5" s="42" t="inlineStr">
        <is>
          <t>Comp set defined by M15. Submarket boundaries from PostGIS layer.</t>
        </is>
      </c>
    </row>
    <row r="6" ht="130" customHeight="1" s="21">
      <c r="A6" s="42" t="inlineStr">
        <is>
          <t>DC-05</t>
        </is>
      </c>
      <c r="B6" s="42" t="inlineStr">
        <is>
          <t>M18 → M07</t>
        </is>
      </c>
      <c r="C6" s="42" t="inlineStr">
        <is>
          <t>document.parsed (rent_roll)</t>
        </is>
      </c>
      <c r="D6" s="42" t="inlineStr">
        <is>
          <t>RentRollContext {
  total_units, occupied_units, current_occupancy_pct,
  unit_mix: {studio, 1br, 2br, 3br},
  avg_in_place_rent_psf,
  loss_to_lease_pct,
  lease_expiration_schedule: [{month_offset, expiring_units, expiring_rent_total}],
  concessions_active: [{type, value, expiry}]
}</t>
        </is>
      </c>
      <c r="E6" s="42" t="inlineStr">
        <is>
          <t>On rent roll upload</t>
        </is>
      </c>
      <c r="F6" s="42" t="inlineStr">
        <is>
          <t>Parser produces LayeredValue with provenance="rent_roll". Lease expiration schedule is critical for F49 burn-off computation.</t>
        </is>
      </c>
    </row>
    <row r="7" ht="130" customHeight="1" s="21">
      <c r="A7" s="42" t="inlineStr">
        <is>
          <t>DC-06</t>
        </is>
      </c>
      <c r="B7" s="42" t="inlineStr">
        <is>
          <t>M36 → M07</t>
        </is>
      </c>
      <c r="C7" s="42" t="inlineStr">
        <is>
          <t>sigma.recomputed</t>
        </is>
      </c>
      <c r="D7" s="42" t="inlineStr">
        <is>
          <t>SigmaOverlay {
  sigma_local: [[float]],
  factor_loadings: [{variable, factor, loading}],
  regime: expansion|late_cycle|contraction,
  regime_probability,
  mu_for_plausibility: {variable: float}
}</t>
        </is>
      </c>
      <c r="E7" s="42" t="inlineStr">
        <is>
          <t>Weekly + on regime change</t>
        </is>
      </c>
      <c r="F7" s="42" t="inlineStr">
        <is>
          <t>Scope = submarket × asset_class. Falls back to MSA-level Σ if submarket has insufficient history.</t>
        </is>
      </c>
    </row>
    <row r="8" ht="130" customHeight="1" s="21">
      <c r="A8" s="42" t="inlineStr">
        <is>
          <t>DC-07</t>
        </is>
      </c>
      <c r="B8" s="42" t="inlineStr">
        <is>
          <t>M07 → M09</t>
        </is>
      </c>
      <c r="C8" s="42" t="inlineStr">
        <is>
          <t>traffic.projection_updated</t>
        </is>
      </c>
      <c r="D8" s="42" t="inlineStr">
        <is>
          <t>ProFormaHandoff {
  occupancy_path: [{month, occupancy_pct, ci_low, ci_high}],
  market_rent_path: [{month, market_rent_psf, ci_low, ci_high}],
  lease_up_velocity_units_per_month: {mean, p10, p90},
  in_place_rent_burn_off: [
    {month_offset, expiring_units, prob_relet_within_30d, expected_new_rent}
  ],
  confidence_score,
  plausibility_d
}</t>
        </is>
      </c>
      <c r="E8" s="42" t="inlineStr">
        <is>
          <t>On any M07 input change</t>
        </is>
      </c>
      <c r="F8" s="42" t="inlineStr">
        <is>
          <t>CRITICAL handoff. Drives F49 effective revenue computation. ci_low/ci_high enable F46 CI propagation through proforma to IRR distribution.</t>
        </is>
      </c>
    </row>
    <row r="9" ht="130" customHeight="1" s="21">
      <c r="A9" s="42" t="inlineStr">
        <is>
          <t>DC-08</t>
        </is>
      </c>
      <c r="B9" s="42" t="inlineStr">
        <is>
          <t>M35 → M06</t>
        </is>
      </c>
      <c r="C9" s="42" t="inlineStr">
        <is>
          <t>event.classified (demand category)</t>
        </is>
      </c>
      <c r="D9" s="42" t="inlineStr">
        <is>
          <t>DemandEvent {
  event_id, employer_name,
  jobs_added, jobs_phased: [{quarter, count}],
  income_distribution,
  geographic_concentration: {center_lat, center_lng, radius},
  conversion_to_housing_units: {total, phased}
}</t>
        </is>
      </c>
      <c r="E9" s="42" t="inlineStr">
        <is>
          <t>On news event classification</t>
        </is>
      </c>
      <c r="F9" s="42" t="inlineStr">
        <is>
          <t>F10 housing demand conversion applied. Confidence inherited from M35 classifier.</t>
        </is>
      </c>
    </row>
    <row r="10" ht="130" customHeight="1" s="21">
      <c r="A10" s="42" t="inlineStr">
        <is>
          <t>DC-09</t>
        </is>
      </c>
      <c r="B10" s="42" t="inlineStr">
        <is>
          <t>M35 → M04</t>
        </is>
      </c>
      <c r="C10" s="42" t="inlineStr">
        <is>
          <t>event.classified (supply category)</t>
        </is>
      </c>
      <c r="D10" s="42" t="inlineStr">
        <is>
          <t>SupplyEvent {
  event_id, project_name,
  status: permitted|under_construction|delivered,
  units, asset_class, target_rent_tier,
  expected_delivery_quarter,
  developer
}</t>
        </is>
      </c>
      <c r="E10" s="42" t="inlineStr">
        <is>
          <t>On news event classification</t>
        </is>
      </c>
      <c r="F10" s="42" t="inlineStr">
        <is>
          <t>Updates F07 supply pressure ratio. Status transitions tracked.</t>
        </is>
      </c>
    </row>
    <row r="11" ht="130" customHeight="1" s="21">
      <c r="A11" s="42" t="inlineStr">
        <is>
          <t>DC-10</t>
        </is>
      </c>
      <c r="B11" s="42" t="inlineStr">
        <is>
          <t>M36 → M14</t>
        </is>
      </c>
      <c r="C11" s="42" t="inlineStr">
        <is>
          <t>sigma.recomputed</t>
        </is>
      </c>
      <c r="D11" s="42" t="inlineStr">
        <is>
          <t>RiskInput {
  sigma: [[float]],
  factor_loadings_B: [[float]],
  factor_covariance_F: [[float]],
  residual_variance_psi: [float],
  regime, regime_probability
}</t>
        </is>
      </c>
      <c r="E11" s="42" t="inlineStr">
        <is>
          <t>Weekly + on regime change</t>
        </is>
      </c>
      <c r="F11" s="42" t="inlineStr">
        <is>
          <t>Replaces M14 hand-tuned correlations. Used for F39 factor variance attribution and F46 Monte Carlo.</t>
        </is>
      </c>
    </row>
    <row r="12" ht="130" customHeight="1" s="21">
      <c r="A12" s="42" t="inlineStr">
        <is>
          <t>DC-11</t>
        </is>
      </c>
      <c r="B12" s="42" t="inlineStr">
        <is>
          <t>M36 → M10</t>
        </is>
      </c>
      <c r="C12" s="42" t="inlineStr">
        <is>
          <t>scenario.requested</t>
        </is>
      </c>
      <c r="D12" s="42" t="inlineStr">
        <is>
          <t>ScenarioSamples {
  bull_path: {variable: value_path[]},
  base_path: {variable: value_path[]},
  bear_path: {variable: value_path[]},
  stress_paths: [{eigenvector_id, k_sigma, path}]
}</t>
        </is>
      </c>
      <c r="E12" s="42" t="inlineStr">
        <is>
          <t>On scenario generation request</t>
        </is>
      </c>
      <c r="F12" s="42" t="inlineStr">
        <is>
          <t>Bull/Base/Bear = 90th/50th/10th percentile paths through Σ. Stress along principal eigenvectors.</t>
        </is>
      </c>
    </row>
    <row r="13" ht="130" customHeight="1" s="21">
      <c r="A13" s="42" t="inlineStr">
        <is>
          <t>DC-12</t>
        </is>
      </c>
      <c r="B13" s="42" t="inlineStr">
        <is>
          <t>M36 → M09</t>
        </is>
      </c>
      <c r="C13" s="42" t="inlineStr">
        <is>
          <t>plausibility.requested</t>
        </is>
      </c>
      <c r="D13" s="42" t="inlineStr">
        <is>
          <t>PlausibilityScore {
  mahalanobis_d,
  aggressiveness_band,
  per_variable_contributions: [{variable, contrib}],
  regime_context
}</t>
        </is>
      </c>
      <c r="E13" s="42" t="inlineStr">
        <is>
          <t>On user assumption edit (debounced 500ms)</t>
        </is>
      </c>
      <c r="F13" s="42" t="inlineStr">
        <is>
          <t>Real-time scoring. Debounced to avoid hammering Σ engine on every keystroke.</t>
        </is>
      </c>
    </row>
    <row r="14" ht="130" customHeight="1" s="21">
      <c r="A14" s="42" t="inlineStr">
        <is>
          <t>DC-13</t>
        </is>
      </c>
      <c r="B14" s="42" t="inlineStr">
        <is>
          <t>M37 → Cashflow Agent</t>
        </is>
      </c>
      <c r="C14" s="42" t="inlineStr">
        <is>
          <t>agent.assumption_request</t>
        </is>
      </c>
      <c r="D14" s="42" t="inlineStr">
        <is>
          <t>AnalogForecast {
  metric, target_market,
  analogs: [{event_id, market, similarity, realized_impact}],
  forecast_distribution: {mean, ci_80_low, ci_80_high},
  n_effective_analogs,
  confidence_score
}</t>
        </is>
      </c>
      <c r="E14" s="42" t="inlineStr">
        <is>
          <t>On agent reasoning step</t>
        </is>
      </c>
      <c r="F14" s="42" t="inlineStr">
        <is>
          <t>Returned synchronously to agent. Agent uses for both point estimate and CI on each assumption.</t>
        </is>
      </c>
    </row>
    <row r="15" ht="130" customHeight="1" s="21">
      <c r="A15" s="42" t="inlineStr">
        <is>
          <t>DC-14</t>
        </is>
      </c>
      <c r="B15" s="42" t="inlineStr">
        <is>
          <t>M38 → Cashflow Agent</t>
        </is>
      </c>
      <c r="C15" s="42" t="inlineStr">
        <is>
          <t>agent.invocation</t>
        </is>
      </c>
      <c r="D15" s="42" t="inlineStr">
        <is>
          <t>CalibrationProfile {
  agent_version, asset_class, regime,
  per_metric_reliability: [{metric, reliability_score, ci_widening_factor}],
  drift_alerts: [{metric, drift_severity}]
}</t>
        </is>
      </c>
      <c r="E15" s="42" t="inlineStr">
        <is>
          <t>Per agent invocation (cached)</t>
        </is>
      </c>
      <c r="F15" s="42" t="inlineStr">
        <is>
          <t>CI widening factor maintains calibration. Updated monthly.</t>
        </is>
      </c>
    </row>
    <row r="16" ht="130" customHeight="1" s="21">
      <c r="A16" s="42" t="inlineStr">
        <is>
          <t>DC-15</t>
        </is>
      </c>
      <c r="B16" s="42" t="inlineStr">
        <is>
          <t>M22 → M38</t>
        </is>
      </c>
      <c r="C16" s="42" t="inlineStr">
        <is>
          <t>actuals.recorded (monthly)</t>
        </is>
      </c>
      <c r="D16" s="42" t="inlineStr">
        <is>
          <t>PredictionActual {
  prediction_id, metric, asset_class, regime_at_prediction,
  predicted_value, predicted_ci,
  realized_value, realization_date,
  agent_or_module_source
}</t>
        </is>
      </c>
      <c r="E16" s="42" t="inlineStr">
        <is>
          <t>Monthly per deal post-close</t>
        </is>
      </c>
      <c r="F16" s="42" t="inlineStr">
        <is>
          <t>Requires deal_monthly_actuals table — flagged as critical-path unlock for M22.</t>
        </is>
      </c>
    </row>
    <row r="17" ht="130" customHeight="1" s="21">
      <c r="A17" s="42" t="inlineStr">
        <is>
          <t>DC-16</t>
        </is>
      </c>
      <c r="B17" s="42" t="inlineStr">
        <is>
          <t>M18 → M36</t>
        </is>
      </c>
      <c r="C17" s="42" t="inlineStr">
        <is>
          <t>document.parsed</t>
        </is>
      </c>
      <c r="D17" s="42" t="inlineStr">
        <is>
          <t>OutlierCheck {
  parsed_value, metric, scope_submarket,
  expected_mean, expected_sigma,
  z_score, flag_threshold_breached
}</t>
        </is>
      </c>
      <c r="E17" s="42" t="inlineStr">
        <is>
          <t>On every document parse</t>
        </is>
      </c>
      <c r="F17" s="42" t="inlineStr">
        <is>
          <t>F47 outlier scoring. If z &gt; 3, flag for user review before accepting LayeredValue. Prevents silent acceptance of misread values.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12" customWidth="1" style="21" min="2" max="2"/>
    <col width="26" customWidth="1" style="21" min="3" max="3"/>
    <col width="36" customWidth="1" style="21" min="4" max="4"/>
    <col width="65" customWidth="1" style="21" min="5" max="5"/>
    <col width="45" customWidth="1" style="21" min="6" max="6"/>
    <col width="24" customWidth="1" style="21" min="7" max="7"/>
  </cols>
  <sheetData>
    <row r="1" ht="30" customHeight="1" s="21">
      <c r="A1" s="41" t="inlineStr">
        <is>
          <t>Trigger Event</t>
        </is>
      </c>
      <c r="B1" s="41" t="inlineStr">
        <is>
          <t>Source</t>
        </is>
      </c>
      <c r="C1" s="41" t="inlineStr">
        <is>
          <t>Kafka Topic</t>
        </is>
      </c>
      <c r="D1" s="41" t="inlineStr">
        <is>
          <t>Subscribers (in order)</t>
        </is>
      </c>
      <c r="E1" s="41" t="inlineStr">
        <is>
          <t>Action per Subscriber</t>
        </is>
      </c>
      <c r="F1" s="41" t="inlineStr">
        <is>
          <t>UI Effect</t>
        </is>
      </c>
      <c r="G1" s="41" t="inlineStr">
        <is>
          <t>Latency Target</t>
        </is>
      </c>
    </row>
    <row r="2" ht="145" customHeight="1" s="21">
      <c r="A2" s="42" t="inlineStr">
        <is>
          <t>Event ingested</t>
        </is>
      </c>
      <c r="B2" s="42" t="inlineStr">
        <is>
          <t>M35</t>
        </is>
      </c>
      <c r="C2" s="42" t="inlineStr">
        <is>
          <t>event.ingested</t>
        </is>
      </c>
      <c r="D2" s="42" t="inlineStr">
        <is>
          <t>M36 → M07 → M06 → M04 → M09 → M14 → M25 → dealStore</t>
        </is>
      </c>
      <c r="E2" s="42" t="inlineStr">
        <is>
          <t>M36: recompute Σ_conditional given shock; emit sigma.updated. M07: re-run traffic projection for affected properties. M06: classify into demand category if applicable. M04: classify into supply category if applicable. M09: recompute proforma using updated assumptions and traffic handoff. M14: recompute factor variance attribution. M25: recompute JEDI Score. dealStore: broadcast to UI subscribers.</t>
        </is>
      </c>
      <c r="F2" s="42" t="inlineStr">
        <is>
          <t>Deal Capsule re-renders affected tabs (Events, Market, Traffic, Financial, Risk, Overview). Plausibility badges update.</t>
        </is>
      </c>
      <c r="G2" s="42" t="inlineStr">
        <is>
          <t>&lt; 5s end-to-end for cached deals</t>
        </is>
      </c>
    </row>
    <row r="3" ht="145" customHeight="1" s="21">
      <c r="A3" s="42" t="inlineStr">
        <is>
          <t>Σ recomputed</t>
        </is>
      </c>
      <c r="B3" s="42" t="inlineStr">
        <is>
          <t>M36</t>
        </is>
      </c>
      <c r="C3" s="42" t="inlineStr">
        <is>
          <t>sigma.recomputed</t>
        </is>
      </c>
      <c r="D3" s="42" t="inlineStr">
        <is>
          <t>M14 → M10 → M07 → M09</t>
        </is>
      </c>
      <c r="E3" s="42" t="inlineStr">
        <is>
          <t>M14: refresh factor attribution and Monte Carlo cache. M10: invalidate scenario cache. M07: refresh sigma_overlay used in traffic projection variance. M09: invalidate plausibility scores cache for all open deals.</t>
        </is>
      </c>
      <c r="F3" s="42" t="inlineStr">
        <is>
          <t>Aggressiveness badges may shift band on next user edit. Risk attribution refreshed in M14 panel.</t>
        </is>
      </c>
      <c r="G3" s="42" t="inlineStr">
        <is>
          <t>&lt; 30s for cache invalidation</t>
        </is>
      </c>
    </row>
    <row r="4" ht="145" customHeight="1" s="21">
      <c r="A4" s="42" t="inlineStr">
        <is>
          <t>Regime change detected</t>
        </is>
      </c>
      <c r="B4" s="42" t="inlineStr">
        <is>
          <t>M36</t>
        </is>
      </c>
      <c r="C4" s="42" t="inlineStr">
        <is>
          <t>sigma.regime_change</t>
        </is>
      </c>
      <c r="D4" s="42" t="inlineStr">
        <is>
          <t>All Σ consumers + Cashflow Agent + M38</t>
        </is>
      </c>
      <c r="E4" s="42" t="inlineStr">
        <is>
          <t>All consumers refresh cached Σ. Cashflow Agent receives prompt-injection update with new regime context. M38 starts logging predictions tagged with new regime for calibration.</t>
        </is>
      </c>
      <c r="F4" s="42" t="inlineStr">
        <is>
          <t>Banner alert in admin dashboard. User-facing: "Market regime updated to [late_cycle]; risk profile refreshed."</t>
        </is>
      </c>
      <c r="G4" s="42" t="inlineStr">
        <is>
          <t>&lt; 60s; not real-time critical</t>
        </is>
      </c>
    </row>
    <row r="5" ht="145" customHeight="1" s="21">
      <c r="A5" s="42" t="inlineStr">
        <is>
          <t>Anomaly detected</t>
        </is>
      </c>
      <c r="B5" s="42" t="inlineStr">
        <is>
          <t>M36</t>
        </is>
      </c>
      <c r="C5" s="42" t="inlineStr">
        <is>
          <t>sigma.anomaly_detected</t>
        </is>
      </c>
      <c r="D5" s="42" t="inlineStr">
        <is>
          <t>M35 → admin review queue</t>
        </is>
      </c>
      <c r="E5" s="42" t="inlineStr">
        <is>
          <t>M35 receives candidate "unidentified event"; creates draft event record for manual classification. If subsequently attributed to real event, M35 closes loop. If recurring with no attribution, flagged as potential regime shift.</t>
        </is>
      </c>
      <c r="F5" s="42" t="inlineStr">
        <is>
          <t>Admin dashboard shows pending anomaly attributions. User-facing: not surfaced unless severe.</t>
        </is>
      </c>
      <c r="G5" s="42" t="inlineStr">
        <is>
          <t>&lt; 5min</t>
        </is>
      </c>
    </row>
    <row r="6" ht="145" customHeight="1" s="21">
      <c r="A6" s="42" t="inlineStr">
        <is>
          <t>Rent roll uploaded</t>
        </is>
      </c>
      <c r="B6" s="42" t="inlineStr">
        <is>
          <t>M18</t>
        </is>
      </c>
      <c r="C6" s="42" t="inlineStr">
        <is>
          <t>document.parsed (rent_roll)</t>
        </is>
      </c>
      <c r="D6" s="42" t="inlineStr">
        <is>
          <t>M36 (outlier) → M07 → M09 → M14 → M25</t>
        </is>
      </c>
      <c r="E6" s="42" t="inlineStr">
        <is>
          <t>M36: F47 outlier check; flag if z &gt; 3. M07: re-run traffic with new lease expiration schedule and in-place rent vector. M09: recompute GPR baseline; new burn-off schedule (F49). M14: re-run risk attribution. M25: refresh JEDI Score.</t>
        </is>
      </c>
      <c r="F6" s="42" t="inlineStr">
        <is>
          <t>M09 ProForma cells update (GPR, vacancy loss, EGI). Plausibility badges refresh.</t>
        </is>
      </c>
      <c r="G6" s="42" t="inlineStr">
        <is>
          <t>&lt; 10s after parse complete</t>
        </is>
      </c>
    </row>
    <row r="7" ht="145" customHeight="1" s="21">
      <c r="A7" s="42" t="inlineStr">
        <is>
          <t>T12 uploaded</t>
        </is>
      </c>
      <c r="B7" s="42" t="inlineStr">
        <is>
          <t>M18</t>
        </is>
      </c>
      <c r="C7" s="42" t="inlineStr">
        <is>
          <t>document.parsed (t12)</t>
        </is>
      </c>
      <c r="D7" s="42" t="inlineStr">
        <is>
          <t>M36 → M09 → M14</t>
        </is>
      </c>
      <c r="E7" s="42" t="inlineStr">
        <is>
          <t>M36: outlier check on parsed expense ratios. M09: derive expense baseline; flag line items with z &gt; 3. M14: re-run for expense volatility risk.</t>
        </is>
      </c>
      <c r="F7" s="42" t="inlineStr">
        <is>
          <t>M09 expense assumptions populate from T12 with outlier flags inline.</t>
        </is>
      </c>
      <c r="G7" s="42" t="inlineStr">
        <is>
          <t>&lt; 5s after parse complete</t>
        </is>
      </c>
    </row>
    <row r="8" ht="145" customHeight="1" s="21">
      <c r="A8" s="42" t="inlineStr">
        <is>
          <t>Tax bill uploaded</t>
        </is>
      </c>
      <c r="B8" s="42" t="inlineStr">
        <is>
          <t>M18</t>
        </is>
      </c>
      <c r="C8" s="42" t="inlineStr">
        <is>
          <t>document.parsed (tax_bill)</t>
        </is>
      </c>
      <c r="D8" s="42" t="inlineStr">
        <is>
          <t>M36 → M09</t>
        </is>
      </c>
      <c r="E8" s="42" t="inlineStr">
        <is>
          <t>M36: outlier check on assessed value vs market estimate. M09: apply Florida-specific mechanics (10% non-homestead cap, doc stamps, intangible taxes, reassessment-on-sale projection).</t>
        </is>
      </c>
      <c r="F8" s="42" t="inlineStr">
        <is>
          <t>M09 tax expense line populates with reassessment trajectory.</t>
        </is>
      </c>
      <c r="G8" s="42" t="inlineStr">
        <is>
          <t>&lt; 5s</t>
        </is>
      </c>
    </row>
    <row r="9" ht="145" customHeight="1" s="21">
      <c r="A9" s="42" t="inlineStr">
        <is>
          <t>User overrides assumption</t>
        </is>
      </c>
      <c r="B9" s="42" t="inlineStr">
        <is>
          <t>M09</t>
        </is>
      </c>
      <c r="C9" s="42" t="inlineStr">
        <is>
          <t>assumption.override</t>
        </is>
      </c>
      <c r="D9" s="42" t="inlineStr">
        <is>
          <t>M36 (plausibility) → M09 → M14 → M25</t>
        </is>
      </c>
      <c r="E9" s="42" t="inlineStr">
        <is>
          <t>M36: compute Mahalanobis for new assumption set; emit plausibility.scored. M09: recompute affected proforma line items. M14: refresh factor variance. M25: refresh JEDI Score with CI.</t>
        </is>
      </c>
      <c r="F9" s="42" t="inlineStr">
        <is>
          <t>Aggressiveness badge updates inline on cell. Per-variable contribution shown on hover.</t>
        </is>
      </c>
      <c r="G9" s="42" t="inlineStr">
        <is>
          <t>&lt; 500ms (debounced)</t>
        </is>
      </c>
    </row>
    <row r="10" ht="145" customHeight="1" s="21">
      <c r="A10" s="42" t="inlineStr">
        <is>
          <t>Goal-seek requested</t>
        </is>
      </c>
      <c r="B10" s="42" t="inlineStr">
        <is>
          <t>M09</t>
        </is>
      </c>
      <c r="C10" s="42" t="inlineStr">
        <is>
          <t>goalseek.requested</t>
        </is>
      </c>
      <c r="D10" s="42" t="inlineStr">
        <is>
          <t>M36 (solver) → Cashflow Agent → M09 → M14</t>
        </is>
      </c>
      <c r="E10" s="42" t="inlineStr">
        <is>
          <t>M36: run constrained Mahalanobis minimization across debt bundles; return Pareto frontier. Cashflow Agent: synthesize narrative explanation. M09: optionally apply selected option. M14: refresh risk under selected scenario.</t>
        </is>
      </c>
      <c r="F10" s="42" t="inlineStr">
        <is>
          <t>Modal showing Pareto frontier across bundles. User selects, accepts, or compares.</t>
        </is>
      </c>
      <c r="G10" s="42" t="inlineStr">
        <is>
          <t>&lt; 3s solver; &lt; 8s full agent narrative</t>
        </is>
      </c>
    </row>
    <row r="11" ht="145" customHeight="1" s="21">
      <c r="A11" s="42" t="inlineStr">
        <is>
          <t>Calibration drift detected</t>
        </is>
      </c>
      <c r="B11" s="42" t="inlineStr">
        <is>
          <t>M38</t>
        </is>
      </c>
      <c r="C11" s="42" t="inlineStr">
        <is>
          <t>calibration.drift_alert</t>
        </is>
      </c>
      <c r="D11" s="42" t="inlineStr">
        <is>
          <t>Cashflow Agent prompt + admin dashboard</t>
        </is>
      </c>
      <c r="E11" s="42" t="inlineStr">
        <is>
          <t>Cashflow Agent prompt updates with new CI widening factors. Admin dashboard shows reliability degradation. If severe (reliability &lt; 0.5), agent flagged for retraining or prompt revision.</t>
        </is>
      </c>
      <c r="F11" s="42" t="inlineStr">
        <is>
          <t>Subtle: agent CIs may widen on next prediction. Admin sees drift dashboard.</t>
        </is>
      </c>
      <c r="G11" s="42" t="inlineStr">
        <is>
          <t>&lt; 1hr (monthly recompute cycle)</t>
        </is>
      </c>
    </row>
    <row r="12" ht="145" customHeight="1" s="21">
      <c r="A12" s="42" t="inlineStr">
        <is>
          <t>Post-close actuals recorded</t>
        </is>
      </c>
      <c r="B12" s="42" t="inlineStr">
        <is>
          <t>M22</t>
        </is>
      </c>
      <c r="C12" s="42" t="inlineStr">
        <is>
          <t>actuals.recorded</t>
        </is>
      </c>
      <c r="D12" s="42" t="inlineStr">
        <is>
          <t>M38 → calibration update → Cashflow Agent → M36</t>
        </is>
      </c>
      <c r="E12" s="42" t="inlineStr">
        <is>
          <t>M38: pair realized values with original predictions; update reliability diagrams. Cashflow Agent: receive updated CalibrationProfile on next invocation. M36: feed into Σ refresh data pipeline.</t>
        </is>
      </c>
      <c r="F12" s="42" t="inlineStr">
        <is>
          <t>Post-close panel shows underwritten-vs-actual delta. Drift alerts if material.</t>
        </is>
      </c>
      <c r="G12" s="42" t="inlineStr">
        <is>
          <t>Monthly batch</t>
        </is>
      </c>
    </row>
    <row r="13" ht="145" customHeight="1" s="21">
      <c r="A13" s="42" t="inlineStr">
        <is>
          <t>User flags prediction wrong</t>
        </is>
      </c>
      <c r="B13" s="42" t="inlineStr">
        <is>
          <t>UI</t>
        </is>
      </c>
      <c r="C13" s="42" t="inlineStr">
        <is>
          <t>feedback.disagreement</t>
        </is>
      </c>
      <c r="D13" s="42" t="inlineStr">
        <is>
          <t>M38 → calibration update</t>
        </is>
      </c>
      <c r="E13" s="42" t="inlineStr">
        <is>
          <t>M38: log disagreement with user-provided correct value or "this seems wrong". Aggregate signal feeds calibration adjustment for that agent × asset class × regime × metric. Strong disagreement triggers prompt review.</t>
        </is>
      </c>
      <c r="F13" s="42" t="inlineStr">
        <is>
          <t>Confirmation toast. Future agent runs reflect updated calibration.</t>
        </is>
      </c>
      <c r="G13" s="42" t="inlineStr">
        <is>
          <t>Async; effects after monthly recompute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style="21" min="1" max="1"/>
    <col width="26" customWidth="1" style="21" min="2" max="2"/>
    <col width="32" customWidth="1" style="21" min="3" max="3"/>
    <col width="26" customWidth="1" style="21" min="4" max="4"/>
    <col width="50" customWidth="1" style="21" min="5" max="5"/>
    <col width="55" customWidth="1" style="21" min="6" max="6"/>
    <col width="50" customWidth="1" style="21" min="7" max="7"/>
  </cols>
  <sheetData>
    <row r="1" ht="30" customHeight="1" s="21">
      <c r="A1" s="41" t="inlineStr">
        <is>
          <t>Document Type</t>
        </is>
      </c>
      <c r="B1" s="41" t="inlineStr">
        <is>
          <t>Parser</t>
        </is>
      </c>
      <c r="C1" s="41" t="inlineStr">
        <is>
          <t>Writes To (LayeredValue Provenance)</t>
        </is>
      </c>
      <c r="D1" s="41" t="inlineStr">
        <is>
          <t>Triggers (Kafka Topic)</t>
        </is>
      </c>
      <c r="E1" s="41" t="inlineStr">
        <is>
          <t>Outlier Gate</t>
        </is>
      </c>
      <c r="F1" s="41" t="inlineStr">
        <is>
          <t>Downstream Cascade</t>
        </is>
      </c>
      <c r="G1" s="41" t="inlineStr">
        <is>
          <t>Notes</t>
        </is>
      </c>
    </row>
    <row r="2" ht="110" customHeight="1" s="21">
      <c r="A2" s="42" t="inlineStr">
        <is>
          <t>T12 / P&amp;L</t>
        </is>
      </c>
      <c r="B2" s="42" t="inlineStr">
        <is>
          <t>yardi-aware-t12-parser</t>
        </is>
      </c>
      <c r="C2" s="42" t="inlineStr">
        <is>
          <t>expense line items with provenance="t12"</t>
        </is>
      </c>
      <c r="D2" s="42" t="inlineStr">
        <is>
          <t>document.parsed (t12)</t>
        </is>
      </c>
      <c r="E2" s="42" t="inlineStr">
        <is>
          <t>F47 outlier per line item: |z| &gt; 3 → flag for user review</t>
        </is>
      </c>
      <c r="F2" s="42" t="inlineStr">
        <is>
          <t>M36 outlier → M09 expense baseline → M14 risk</t>
        </is>
      </c>
      <c r="G2" s="42" t="inlineStr">
        <is>
          <t>Yardi format detected by signature; falls back to generic P&amp;L parser. Cross-validates against M05 submarket expense ratios.</t>
        </is>
      </c>
    </row>
    <row r="3" ht="110" customHeight="1" s="21">
      <c r="A3" s="42" t="inlineStr">
        <is>
          <t>Rent Roll (RR)</t>
        </is>
      </c>
      <c r="B3" s="42" t="inlineStr">
        <is>
          <t>rrwlc-rent-roll-parser</t>
        </is>
      </c>
      <c r="C3" s="42" t="inlineStr">
        <is>
          <t>unit-level data with provenance="rent_roll"</t>
        </is>
      </c>
      <c r="D3" s="42" t="inlineStr">
        <is>
          <t>document.parsed (rent_roll)</t>
        </is>
      </c>
      <c r="E3" s="42" t="inlineStr">
        <is>
          <t>F47 outlier on avg in-place rent vs M05 market rent: |z| &gt; 3 → flag</t>
        </is>
      </c>
      <c r="F3" s="42" t="inlineStr">
        <is>
          <t>M36 outlier → M07 traffic (lease schedule) → M09 GPR + burn-off (F49) → M14 → M25</t>
        </is>
      </c>
      <c r="G3" s="42" t="inlineStr">
        <is>
          <t>Single rent roll = signing history. Lease start dates as signing date proxies. Diff extractors activate when 2+ snapshots exist.</t>
        </is>
      </c>
    </row>
    <row r="4" ht="110" customHeight="1" s="21">
      <c r="A4" s="42" t="inlineStr">
        <is>
          <t>Tax Bill PDF</t>
        </is>
      </c>
      <c r="B4" s="42" t="inlineStr">
        <is>
          <t>tax-bill-pdf-parser</t>
        </is>
      </c>
      <c r="C4" s="42" t="inlineStr">
        <is>
          <t>tax mechanics with provenance="tax_bill"</t>
        </is>
      </c>
      <c r="D4" s="42" t="inlineStr">
        <is>
          <t>document.parsed (tax_bill)</t>
        </is>
      </c>
      <c r="E4" s="42" t="inlineStr">
        <is>
          <t>F47 outlier on assessed_value vs market_value estimate</t>
        </is>
      </c>
      <c r="F4" s="42" t="inlineStr">
        <is>
          <t>M36 outlier → M09 Florida tax mechanics (cap, stamps, intangibles, reassessment)</t>
        </is>
      </c>
      <c r="G4" s="42" t="inlineStr">
        <is>
          <t>Florida-specific. County GIS verified for 3 counties; broader rollout pending.</t>
        </is>
      </c>
    </row>
    <row r="5" ht="110" customHeight="1" s="21">
      <c r="A5" s="42" t="inlineStr">
        <is>
          <t>Pro Forma (broker)</t>
        </is>
      </c>
      <c r="B5" s="42" t="inlineStr">
        <is>
          <t>proforma-seeder-service</t>
        </is>
      </c>
      <c r="C5" s="42" t="inlineStr">
        <is>
          <t>all line items with provenance="broker"</t>
        </is>
      </c>
      <c r="D5" s="42" t="inlineStr">
        <is>
          <t>document.parsed (broker_proforma)</t>
        </is>
      </c>
      <c r="E5" s="42" t="inlineStr">
        <is>
          <t>F47 outlier on every numeric assumption</t>
        </is>
      </c>
      <c r="F5" s="42" t="inlineStr">
        <is>
          <t>M36 outlier → M09 baseline (LayeredValue layer 1: broker) → M37 analog comparison → flag</t>
        </is>
      </c>
      <c r="G5" s="42" t="inlineStr">
        <is>
          <t>Broker proforma = lowest-trust LayeredValue layer. M37 surfaces "broker assumes 5% growth, analogs say 3.2% ± 0.8% — likely aggressive."</t>
        </is>
      </c>
    </row>
    <row r="6" ht="110" customHeight="1" s="21">
      <c r="A6" s="42" t="inlineStr">
        <is>
          <t>OM / Marketing</t>
        </is>
      </c>
      <c r="B6" s="42" t="inlineStr">
        <is>
          <t>om-parser (planned)</t>
        </is>
      </c>
      <c r="C6" s="42" t="inlineStr">
        <is>
          <t>narrative + numeric extracts with provenance="om"</t>
        </is>
      </c>
      <c r="D6" s="42" t="inlineStr">
        <is>
          <t>document.parsed (om)</t>
        </is>
      </c>
      <c r="E6" s="42" t="inlineStr">
        <is>
          <t>F47 outlier on extracted numerics; sentiment flag on narrative</t>
        </is>
      </c>
      <c r="F6" s="42" t="inlineStr">
        <is>
          <t>M36 outlier → M09 baseline → M35 cross-reference event claims</t>
        </is>
      </c>
      <c r="G6" s="42" t="inlineStr">
        <is>
          <t>Lower priority. NLP extraction. Cross-validates against rent roll / T12 for "story" consistency.</t>
        </is>
      </c>
    </row>
    <row r="7" ht="110" customHeight="1" s="21">
      <c r="A7" s="42" t="inlineStr">
        <is>
          <t>Lease Document</t>
        </is>
      </c>
      <c r="B7" s="42" t="inlineStr">
        <is>
          <t>lease-parser (planned)</t>
        </is>
      </c>
      <c r="C7" s="42" t="inlineStr">
        <is>
          <t>lease terms with provenance="lease"</t>
        </is>
      </c>
      <c r="D7" s="42" t="inlineStr">
        <is>
          <t>document.parsed (lease)</t>
        </is>
      </c>
      <c r="E7" s="42" t="inlineStr">
        <is>
          <t>F47 outlier on lease term, escalator, concessions vs market</t>
        </is>
      </c>
      <c r="F7" s="42" t="inlineStr">
        <is>
          <t>M36 outlier → M07 (RR augmentation) → M09</t>
        </is>
      </c>
      <c r="G7" s="42" t="inlineStr">
        <is>
          <t>Validates RR data; surfaces non-standard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2026-02-25T18:32:08Z</dcterms:created>
  <dcterms:modified xmlns:dcterms="http://purl.org/dc/terms/" xmlns:xsi="http://www.w3.org/2001/XMLSchema-instance" xsi:type="dcterms:W3CDTF">2026-05-01T06:08:35Z</dcterms:modified>
  <cp:revision>0</cp:revision>
</cp:coreProperties>
</file>